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8_{F56EFE63-0ABA-4B61-813A-728FE9AAB753}" xr6:coauthVersionLast="47" xr6:coauthVersionMax="47" xr10:uidLastSave="{00000000-0000-0000-0000-000000000000}"/>
  <bookViews>
    <workbookView xWindow="-28920" yWindow="1785" windowWidth="29040" windowHeight="15720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Sheet1!$A$1:$BT$1118</definedName>
    <definedName name="_xlnm._FilterDatabase" localSheetId="1" hidden="1">팀공격력!$A$1:$AQ$12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2" i="2" l="1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118" i="1"/>
  <c r="BN1118" i="1"/>
  <c r="BL1118" i="1"/>
  <c r="BK1118" i="1"/>
  <c r="BJ1118" i="1"/>
  <c r="BI1118" i="1"/>
  <c r="BH1118" i="1"/>
  <c r="BG1118" i="1"/>
  <c r="BF1118" i="1"/>
  <c r="BE1118" i="1"/>
  <c r="BD1118" i="1"/>
  <c r="AT1118" i="1"/>
  <c r="AR1118" i="1"/>
  <c r="AN1118" i="1"/>
  <c r="AL1118" i="1"/>
  <c r="AJ1118" i="1"/>
  <c r="AH1118" i="1"/>
  <c r="AF1118" i="1"/>
  <c r="AD1118" i="1"/>
  <c r="AC1118" i="1"/>
  <c r="AB1118" i="1"/>
  <c r="Y1118" i="1"/>
  <c r="X1118" i="1"/>
  <c r="W1118" i="1"/>
  <c r="T1118" i="1"/>
  <c r="S1118" i="1"/>
  <c r="R1118" i="1"/>
  <c r="O1118" i="1"/>
  <c r="N1118" i="1"/>
  <c r="M1118" i="1"/>
  <c r="J1118" i="1"/>
  <c r="H1118" i="1"/>
  <c r="BO1117" i="1"/>
  <c r="BN1117" i="1"/>
  <c r="BL1117" i="1"/>
  <c r="BK1117" i="1"/>
  <c r="BJ1117" i="1"/>
  <c r="BI1117" i="1"/>
  <c r="BH1117" i="1"/>
  <c r="BG1117" i="1"/>
  <c r="BF1117" i="1"/>
  <c r="BE1117" i="1"/>
  <c r="BD1117" i="1"/>
  <c r="AT1117" i="1"/>
  <c r="AR1117" i="1"/>
  <c r="AN1117" i="1"/>
  <c r="AL1117" i="1"/>
  <c r="AJ1117" i="1"/>
  <c r="AH1117" i="1"/>
  <c r="AF1117" i="1"/>
  <c r="AD1117" i="1"/>
  <c r="AC1117" i="1"/>
  <c r="AB1117" i="1"/>
  <c r="Y1117" i="1"/>
  <c r="X1117" i="1"/>
  <c r="W1117" i="1"/>
  <c r="T1117" i="1"/>
  <c r="S1117" i="1"/>
  <c r="R1117" i="1"/>
  <c r="O1117" i="1"/>
  <c r="N1117" i="1"/>
  <c r="M1117" i="1"/>
  <c r="J1117" i="1"/>
  <c r="H1117" i="1"/>
  <c r="BO1116" i="1"/>
  <c r="BN1116" i="1"/>
  <c r="BL1116" i="1"/>
  <c r="BK1116" i="1"/>
  <c r="BJ1116" i="1"/>
  <c r="BI1116" i="1"/>
  <c r="BH1116" i="1"/>
  <c r="BG1116" i="1"/>
  <c r="BF1116" i="1"/>
  <c r="BE1116" i="1"/>
  <c r="BD1116" i="1"/>
  <c r="AT1116" i="1"/>
  <c r="AR1116" i="1"/>
  <c r="AN1116" i="1"/>
  <c r="AL1116" i="1"/>
  <c r="AJ1116" i="1"/>
  <c r="AH1116" i="1"/>
  <c r="AF1116" i="1"/>
  <c r="AD1116" i="1"/>
  <c r="AC1116" i="1"/>
  <c r="AB1116" i="1"/>
  <c r="Y1116" i="1"/>
  <c r="X1116" i="1"/>
  <c r="W1116" i="1"/>
  <c r="T1116" i="1"/>
  <c r="S1116" i="1"/>
  <c r="R1116" i="1"/>
  <c r="O1116" i="1"/>
  <c r="N1116" i="1"/>
  <c r="M1116" i="1"/>
  <c r="J1116" i="1"/>
  <c r="H1116" i="1"/>
  <c r="BO1115" i="1"/>
  <c r="BN1115" i="1"/>
  <c r="BL1115" i="1"/>
  <c r="BK1115" i="1"/>
  <c r="BJ1115" i="1"/>
  <c r="BI1115" i="1"/>
  <c r="BH1115" i="1"/>
  <c r="BG1115" i="1"/>
  <c r="BF1115" i="1"/>
  <c r="BE1115" i="1"/>
  <c r="BD1115" i="1"/>
  <c r="AT1115" i="1"/>
  <c r="AR1115" i="1"/>
  <c r="AN1115" i="1"/>
  <c r="AL1115" i="1"/>
  <c r="AJ1115" i="1"/>
  <c r="AH1115" i="1"/>
  <c r="AF1115" i="1"/>
  <c r="AD1115" i="1"/>
  <c r="AC1115" i="1"/>
  <c r="AB1115" i="1"/>
  <c r="Y1115" i="1"/>
  <c r="X1115" i="1"/>
  <c r="W1115" i="1"/>
  <c r="T1115" i="1"/>
  <c r="S1115" i="1"/>
  <c r="R1115" i="1"/>
  <c r="O1115" i="1"/>
  <c r="N1115" i="1"/>
  <c r="M1115" i="1"/>
  <c r="J1115" i="1"/>
  <c r="H1115" i="1"/>
  <c r="BO1114" i="1"/>
  <c r="BN1114" i="1"/>
  <c r="BL1114" i="1"/>
  <c r="BK1114" i="1"/>
  <c r="BJ1114" i="1"/>
  <c r="BI1114" i="1"/>
  <c r="BH1114" i="1"/>
  <c r="BG1114" i="1"/>
  <c r="BF1114" i="1"/>
  <c r="BE1114" i="1"/>
  <c r="BD1114" i="1"/>
  <c r="AT1114" i="1"/>
  <c r="AR1114" i="1"/>
  <c r="AN1114" i="1"/>
  <c r="AL1114" i="1"/>
  <c r="AJ1114" i="1"/>
  <c r="AH1114" i="1"/>
  <c r="AF1114" i="1"/>
  <c r="AD1114" i="1"/>
  <c r="AC1114" i="1"/>
  <c r="AB1114" i="1"/>
  <c r="Y1114" i="1"/>
  <c r="X1114" i="1"/>
  <c r="W1114" i="1"/>
  <c r="T1114" i="1"/>
  <c r="S1114" i="1"/>
  <c r="R1114" i="1"/>
  <c r="O1114" i="1"/>
  <c r="N1114" i="1"/>
  <c r="M1114" i="1"/>
  <c r="J1114" i="1"/>
  <c r="H1114" i="1"/>
  <c r="BO1113" i="1"/>
  <c r="BN1113" i="1"/>
  <c r="BL1113" i="1"/>
  <c r="BK1113" i="1"/>
  <c r="BJ1113" i="1"/>
  <c r="BI1113" i="1"/>
  <c r="BH1113" i="1"/>
  <c r="BG1113" i="1"/>
  <c r="BF1113" i="1"/>
  <c r="BE1113" i="1"/>
  <c r="BD1113" i="1"/>
  <c r="AT1113" i="1"/>
  <c r="AR1113" i="1"/>
  <c r="AN1113" i="1"/>
  <c r="AL1113" i="1"/>
  <c r="AJ1113" i="1"/>
  <c r="AH1113" i="1"/>
  <c r="AF1113" i="1"/>
  <c r="AD1113" i="1"/>
  <c r="AC1113" i="1"/>
  <c r="AB1113" i="1"/>
  <c r="Y1113" i="1"/>
  <c r="X1113" i="1"/>
  <c r="W1113" i="1"/>
  <c r="T1113" i="1"/>
  <c r="S1113" i="1"/>
  <c r="R1113" i="1"/>
  <c r="O1113" i="1"/>
  <c r="N1113" i="1"/>
  <c r="M1113" i="1"/>
  <c r="J1113" i="1"/>
  <c r="H1113" i="1"/>
  <c r="BO1112" i="1"/>
  <c r="BN1112" i="1"/>
  <c r="BL1112" i="1"/>
  <c r="BK1112" i="1"/>
  <c r="BJ1112" i="1"/>
  <c r="BI1112" i="1"/>
  <c r="BH1112" i="1"/>
  <c r="BG1112" i="1"/>
  <c r="BF1112" i="1"/>
  <c r="BE1112" i="1"/>
  <c r="BD1112" i="1"/>
  <c r="AT1112" i="1"/>
  <c r="AR1112" i="1"/>
  <c r="AN1112" i="1"/>
  <c r="AL1112" i="1"/>
  <c r="AJ1112" i="1"/>
  <c r="AH1112" i="1"/>
  <c r="AF1112" i="1"/>
  <c r="AD1112" i="1"/>
  <c r="AC1112" i="1"/>
  <c r="AB1112" i="1"/>
  <c r="Y1112" i="1"/>
  <c r="X1112" i="1"/>
  <c r="W1112" i="1"/>
  <c r="T1112" i="1"/>
  <c r="S1112" i="1"/>
  <c r="R1112" i="1"/>
  <c r="O1112" i="1"/>
  <c r="N1112" i="1"/>
  <c r="M1112" i="1"/>
  <c r="J1112" i="1"/>
  <c r="H1112" i="1"/>
  <c r="BO1111" i="1"/>
  <c r="BN1111" i="1"/>
  <c r="BL1111" i="1"/>
  <c r="BK1111" i="1"/>
  <c r="BJ1111" i="1"/>
  <c r="BI1111" i="1"/>
  <c r="BH1111" i="1"/>
  <c r="BG1111" i="1"/>
  <c r="BF1111" i="1"/>
  <c r="BE1111" i="1"/>
  <c r="BD1111" i="1"/>
  <c r="AT1111" i="1"/>
  <c r="AR1111" i="1"/>
  <c r="AN1111" i="1"/>
  <c r="AL1111" i="1"/>
  <c r="AJ1111" i="1"/>
  <c r="AH1111" i="1"/>
  <c r="AF1111" i="1"/>
  <c r="AD1111" i="1"/>
  <c r="AC1111" i="1"/>
  <c r="AB1111" i="1"/>
  <c r="Y1111" i="1"/>
  <c r="X1111" i="1"/>
  <c r="W1111" i="1"/>
  <c r="T1111" i="1"/>
  <c r="S1111" i="1"/>
  <c r="R1111" i="1"/>
  <c r="O1111" i="1"/>
  <c r="N1111" i="1"/>
  <c r="M1111" i="1"/>
  <c r="J1111" i="1"/>
  <c r="H1111" i="1"/>
  <c r="BO1110" i="1"/>
  <c r="BN1110" i="1"/>
  <c r="BL1110" i="1"/>
  <c r="BK1110" i="1"/>
  <c r="BJ1110" i="1"/>
  <c r="BI1110" i="1"/>
  <c r="BH1110" i="1"/>
  <c r="BG1110" i="1"/>
  <c r="BF1110" i="1"/>
  <c r="BE1110" i="1"/>
  <c r="BD1110" i="1"/>
  <c r="AT1110" i="1"/>
  <c r="AR1110" i="1"/>
  <c r="AN1110" i="1"/>
  <c r="AL1110" i="1"/>
  <c r="AJ1110" i="1"/>
  <c r="AH1110" i="1"/>
  <c r="AF1110" i="1"/>
  <c r="AD1110" i="1"/>
  <c r="AC1110" i="1"/>
  <c r="AB1110" i="1"/>
  <c r="Y1110" i="1"/>
  <c r="X1110" i="1"/>
  <c r="W1110" i="1"/>
  <c r="T1110" i="1"/>
  <c r="S1110" i="1"/>
  <c r="R1110" i="1"/>
  <c r="O1110" i="1"/>
  <c r="N1110" i="1"/>
  <c r="M1110" i="1"/>
  <c r="J1110" i="1"/>
  <c r="H1110" i="1"/>
  <c r="BO1109" i="1"/>
  <c r="BN1109" i="1"/>
  <c r="BL1109" i="1"/>
  <c r="BK1109" i="1"/>
  <c r="BJ1109" i="1"/>
  <c r="BI1109" i="1"/>
  <c r="BH1109" i="1"/>
  <c r="BG1109" i="1"/>
  <c r="BF1109" i="1"/>
  <c r="BE1109" i="1"/>
  <c r="BD1109" i="1"/>
  <c r="AT1109" i="1"/>
  <c r="AR1109" i="1"/>
  <c r="AN1109" i="1"/>
  <c r="AL1109" i="1"/>
  <c r="AJ1109" i="1"/>
  <c r="AH1109" i="1"/>
  <c r="AF1109" i="1"/>
  <c r="AD1109" i="1"/>
  <c r="AC1109" i="1"/>
  <c r="AB1109" i="1"/>
  <c r="Y1109" i="1"/>
  <c r="X1109" i="1"/>
  <c r="W1109" i="1"/>
  <c r="T1109" i="1"/>
  <c r="S1109" i="1"/>
  <c r="R1109" i="1"/>
  <c r="O1109" i="1"/>
  <c r="N1109" i="1"/>
  <c r="M1109" i="1"/>
  <c r="J1109" i="1"/>
  <c r="H1109" i="1"/>
  <c r="BO1108" i="1"/>
  <c r="BN1108" i="1"/>
  <c r="BL1108" i="1"/>
  <c r="BK1108" i="1"/>
  <c r="BJ1108" i="1"/>
  <c r="BI1108" i="1"/>
  <c r="BH1108" i="1"/>
  <c r="BG1108" i="1"/>
  <c r="BF1108" i="1"/>
  <c r="BE1108" i="1"/>
  <c r="BD1108" i="1"/>
  <c r="AT1108" i="1"/>
  <c r="AR1108" i="1"/>
  <c r="AN1108" i="1"/>
  <c r="AL1108" i="1"/>
  <c r="AJ1108" i="1"/>
  <c r="AH1108" i="1"/>
  <c r="AF1108" i="1"/>
  <c r="AD1108" i="1"/>
  <c r="AC1108" i="1"/>
  <c r="AB1108" i="1"/>
  <c r="Y1108" i="1"/>
  <c r="X1108" i="1"/>
  <c r="W1108" i="1"/>
  <c r="T1108" i="1"/>
  <c r="S1108" i="1"/>
  <c r="R1108" i="1"/>
  <c r="O1108" i="1"/>
  <c r="N1108" i="1"/>
  <c r="M1108" i="1"/>
  <c r="J1108" i="1"/>
  <c r="H1108" i="1"/>
  <c r="BO1107" i="1"/>
  <c r="BN1107" i="1"/>
  <c r="BL1107" i="1"/>
  <c r="BK1107" i="1"/>
  <c r="BJ1107" i="1"/>
  <c r="BI1107" i="1"/>
  <c r="BH1107" i="1"/>
  <c r="BG1107" i="1"/>
  <c r="BF1107" i="1"/>
  <c r="BE1107" i="1"/>
  <c r="BD1107" i="1"/>
  <c r="AT1107" i="1"/>
  <c r="AR1107" i="1"/>
  <c r="AN1107" i="1"/>
  <c r="AL1107" i="1"/>
  <c r="AJ1107" i="1"/>
  <c r="AH1107" i="1"/>
  <c r="AF1107" i="1"/>
  <c r="AD1107" i="1"/>
  <c r="AC1107" i="1"/>
  <c r="AB1107" i="1"/>
  <c r="Y1107" i="1"/>
  <c r="X1107" i="1"/>
  <c r="W1107" i="1"/>
  <c r="T1107" i="1"/>
  <c r="S1107" i="1"/>
  <c r="R1107" i="1"/>
  <c r="O1107" i="1"/>
  <c r="N1107" i="1"/>
  <c r="M1107" i="1"/>
  <c r="J1107" i="1"/>
  <c r="H1107" i="1"/>
  <c r="BO1106" i="1"/>
  <c r="BN1106" i="1"/>
  <c r="BL1106" i="1"/>
  <c r="BK1106" i="1"/>
  <c r="BJ1106" i="1"/>
  <c r="BI1106" i="1"/>
  <c r="BH1106" i="1"/>
  <c r="BG1106" i="1"/>
  <c r="BF1106" i="1"/>
  <c r="BE1106" i="1"/>
  <c r="BD1106" i="1"/>
  <c r="AT1106" i="1"/>
  <c r="AR1106" i="1"/>
  <c r="AN1106" i="1"/>
  <c r="AL1106" i="1"/>
  <c r="AJ1106" i="1"/>
  <c r="AH1106" i="1"/>
  <c r="AF1106" i="1"/>
  <c r="AD1106" i="1"/>
  <c r="AC1106" i="1"/>
  <c r="AB1106" i="1"/>
  <c r="Y1106" i="1"/>
  <c r="X1106" i="1"/>
  <c r="W1106" i="1"/>
  <c r="T1106" i="1"/>
  <c r="S1106" i="1"/>
  <c r="R1106" i="1"/>
  <c r="O1106" i="1"/>
  <c r="N1106" i="1"/>
  <c r="M1106" i="1"/>
  <c r="J1106" i="1"/>
  <c r="H1106" i="1"/>
  <c r="BO1105" i="1"/>
  <c r="BN1105" i="1"/>
  <c r="BL1105" i="1"/>
  <c r="BK1105" i="1"/>
  <c r="BJ1105" i="1"/>
  <c r="BI1105" i="1"/>
  <c r="BH1105" i="1"/>
  <c r="BG1105" i="1"/>
  <c r="BF1105" i="1"/>
  <c r="BE1105" i="1"/>
  <c r="BD1105" i="1"/>
  <c r="AT1105" i="1"/>
  <c r="AR1105" i="1"/>
  <c r="AN1105" i="1"/>
  <c r="AL1105" i="1"/>
  <c r="AJ1105" i="1"/>
  <c r="AH1105" i="1"/>
  <c r="AF1105" i="1"/>
  <c r="AD1105" i="1"/>
  <c r="AC1105" i="1"/>
  <c r="AB1105" i="1"/>
  <c r="Y1105" i="1"/>
  <c r="X1105" i="1"/>
  <c r="W1105" i="1"/>
  <c r="T1105" i="1"/>
  <c r="S1105" i="1"/>
  <c r="R1105" i="1"/>
  <c r="O1105" i="1"/>
  <c r="N1105" i="1"/>
  <c r="M1105" i="1"/>
  <c r="J1105" i="1"/>
  <c r="H1105" i="1"/>
  <c r="BO1104" i="1"/>
  <c r="BN1104" i="1"/>
  <c r="BL1104" i="1"/>
  <c r="BK1104" i="1"/>
  <c r="BJ1104" i="1"/>
  <c r="BI1104" i="1"/>
  <c r="BH1104" i="1"/>
  <c r="BG1104" i="1"/>
  <c r="BF1104" i="1"/>
  <c r="BE1104" i="1"/>
  <c r="BD1104" i="1"/>
  <c r="AT1104" i="1"/>
  <c r="AR1104" i="1"/>
  <c r="AN1104" i="1"/>
  <c r="AL1104" i="1"/>
  <c r="AJ1104" i="1"/>
  <c r="AH1104" i="1"/>
  <c r="AF1104" i="1"/>
  <c r="AD1104" i="1"/>
  <c r="AC1104" i="1"/>
  <c r="AB1104" i="1"/>
  <c r="Y1104" i="1"/>
  <c r="X1104" i="1"/>
  <c r="W1104" i="1"/>
  <c r="T1104" i="1"/>
  <c r="S1104" i="1"/>
  <c r="R1104" i="1"/>
  <c r="O1104" i="1"/>
  <c r="N1104" i="1"/>
  <c r="M1104" i="1"/>
  <c r="J1104" i="1"/>
  <c r="H1104" i="1"/>
  <c r="BO1103" i="1"/>
  <c r="BN1103" i="1"/>
  <c r="BL1103" i="1"/>
  <c r="BK1103" i="1"/>
  <c r="BJ1103" i="1"/>
  <c r="BI1103" i="1"/>
  <c r="BH1103" i="1"/>
  <c r="BG1103" i="1"/>
  <c r="BF1103" i="1"/>
  <c r="BE1103" i="1"/>
  <c r="BD1103" i="1"/>
  <c r="AT1103" i="1"/>
  <c r="AR1103" i="1"/>
  <c r="AN1103" i="1"/>
  <c r="AL1103" i="1"/>
  <c r="AJ1103" i="1"/>
  <c r="AH1103" i="1"/>
  <c r="AF1103" i="1"/>
  <c r="AD1103" i="1"/>
  <c r="AC1103" i="1"/>
  <c r="AB1103" i="1"/>
  <c r="Y1103" i="1"/>
  <c r="X1103" i="1"/>
  <c r="W1103" i="1"/>
  <c r="T1103" i="1"/>
  <c r="S1103" i="1"/>
  <c r="R1103" i="1"/>
  <c r="O1103" i="1"/>
  <c r="N1103" i="1"/>
  <c r="M1103" i="1"/>
  <c r="J1103" i="1"/>
  <c r="H1103" i="1"/>
  <c r="BO1102" i="1"/>
  <c r="BN1102" i="1"/>
  <c r="BL1102" i="1"/>
  <c r="BK1102" i="1"/>
  <c r="BJ1102" i="1"/>
  <c r="BI1102" i="1"/>
  <c r="BH1102" i="1"/>
  <c r="BG1102" i="1"/>
  <c r="BF1102" i="1"/>
  <c r="BE1102" i="1"/>
  <c r="BD1102" i="1"/>
  <c r="AT1102" i="1"/>
  <c r="AR1102" i="1"/>
  <c r="AN1102" i="1"/>
  <c r="AL1102" i="1"/>
  <c r="AJ1102" i="1"/>
  <c r="AH1102" i="1"/>
  <c r="AF1102" i="1"/>
  <c r="AD1102" i="1"/>
  <c r="AC1102" i="1"/>
  <c r="AB1102" i="1"/>
  <c r="Y1102" i="1"/>
  <c r="X1102" i="1"/>
  <c r="W1102" i="1"/>
  <c r="T1102" i="1"/>
  <c r="S1102" i="1"/>
  <c r="R1102" i="1"/>
  <c r="O1102" i="1"/>
  <c r="N1102" i="1"/>
  <c r="M1102" i="1"/>
  <c r="J1102" i="1"/>
  <c r="H1102" i="1"/>
  <c r="BO1101" i="1"/>
  <c r="BN1101" i="1"/>
  <c r="BL1101" i="1"/>
  <c r="BK1101" i="1"/>
  <c r="BJ1101" i="1"/>
  <c r="BI1101" i="1"/>
  <c r="BH1101" i="1"/>
  <c r="BG1101" i="1"/>
  <c r="BF1101" i="1"/>
  <c r="BE1101" i="1"/>
  <c r="BD1101" i="1"/>
  <c r="AT1101" i="1"/>
  <c r="AR1101" i="1"/>
  <c r="AN1101" i="1"/>
  <c r="AL1101" i="1"/>
  <c r="AJ1101" i="1"/>
  <c r="AH1101" i="1"/>
  <c r="AF1101" i="1"/>
  <c r="AD1101" i="1"/>
  <c r="AC1101" i="1"/>
  <c r="AB1101" i="1"/>
  <c r="Y1101" i="1"/>
  <c r="X1101" i="1"/>
  <c r="W1101" i="1"/>
  <c r="T1101" i="1"/>
  <c r="S1101" i="1"/>
  <c r="R1101" i="1"/>
  <c r="O1101" i="1"/>
  <c r="N1101" i="1"/>
  <c r="M1101" i="1"/>
  <c r="J1101" i="1"/>
  <c r="H1101" i="1"/>
  <c r="BO1100" i="1"/>
  <c r="BN1100" i="1"/>
  <c r="BL1100" i="1"/>
  <c r="BK1100" i="1"/>
  <c r="BJ1100" i="1"/>
  <c r="BI1100" i="1"/>
  <c r="BH1100" i="1"/>
  <c r="BG1100" i="1"/>
  <c r="BF1100" i="1"/>
  <c r="BE1100" i="1"/>
  <c r="BD1100" i="1"/>
  <c r="AT1100" i="1"/>
  <c r="AR1100" i="1"/>
  <c r="AN1100" i="1"/>
  <c r="AL1100" i="1"/>
  <c r="AJ1100" i="1"/>
  <c r="AH1100" i="1"/>
  <c r="AF1100" i="1"/>
  <c r="AD1100" i="1"/>
  <c r="AC1100" i="1"/>
  <c r="AB1100" i="1"/>
  <c r="Y1100" i="1"/>
  <c r="X1100" i="1"/>
  <c r="W1100" i="1"/>
  <c r="T1100" i="1"/>
  <c r="S1100" i="1"/>
  <c r="R1100" i="1"/>
  <c r="O1100" i="1"/>
  <c r="N1100" i="1"/>
  <c r="M1100" i="1"/>
  <c r="J1100" i="1"/>
  <c r="H1100" i="1"/>
  <c r="BO1099" i="1"/>
  <c r="BN1099" i="1"/>
  <c r="BL1099" i="1"/>
  <c r="BK1099" i="1"/>
  <c r="BJ1099" i="1"/>
  <c r="BI1099" i="1"/>
  <c r="BH1099" i="1"/>
  <c r="BG1099" i="1"/>
  <c r="BF1099" i="1"/>
  <c r="BE1099" i="1"/>
  <c r="BD1099" i="1"/>
  <c r="AT1099" i="1"/>
  <c r="AR1099" i="1"/>
  <c r="AN1099" i="1"/>
  <c r="AL1099" i="1"/>
  <c r="AJ1099" i="1"/>
  <c r="AH1099" i="1"/>
  <c r="AF1099" i="1"/>
  <c r="AD1099" i="1"/>
  <c r="AC1099" i="1"/>
  <c r="AB1099" i="1"/>
  <c r="Y1099" i="1"/>
  <c r="X1099" i="1"/>
  <c r="W1099" i="1"/>
  <c r="T1099" i="1"/>
  <c r="S1099" i="1"/>
  <c r="R1099" i="1"/>
  <c r="O1099" i="1"/>
  <c r="N1099" i="1"/>
  <c r="M1099" i="1"/>
  <c r="J1099" i="1"/>
  <c r="H1099" i="1"/>
  <c r="BO1098" i="1"/>
  <c r="BN1098" i="1"/>
  <c r="BL1098" i="1"/>
  <c r="BK1098" i="1"/>
  <c r="BJ1098" i="1"/>
  <c r="BI1098" i="1"/>
  <c r="BH1098" i="1"/>
  <c r="BG1098" i="1"/>
  <c r="BF1098" i="1"/>
  <c r="BE1098" i="1"/>
  <c r="BD1098" i="1"/>
  <c r="AT1098" i="1"/>
  <c r="AR1098" i="1"/>
  <c r="AN1098" i="1"/>
  <c r="AL1098" i="1"/>
  <c r="AJ1098" i="1"/>
  <c r="AH1098" i="1"/>
  <c r="AF1098" i="1"/>
  <c r="AD1098" i="1"/>
  <c r="AC1098" i="1"/>
  <c r="AB1098" i="1"/>
  <c r="Y1098" i="1"/>
  <c r="X1098" i="1"/>
  <c r="W1098" i="1"/>
  <c r="T1098" i="1"/>
  <c r="S1098" i="1"/>
  <c r="R1098" i="1"/>
  <c r="O1098" i="1"/>
  <c r="N1098" i="1"/>
  <c r="M1098" i="1"/>
  <c r="J1098" i="1"/>
  <c r="H1098" i="1"/>
  <c r="BO1097" i="1"/>
  <c r="BN1097" i="1"/>
  <c r="BL1097" i="1"/>
  <c r="BK1097" i="1"/>
  <c r="BJ1097" i="1"/>
  <c r="BI1097" i="1"/>
  <c r="BH1097" i="1"/>
  <c r="BG1097" i="1"/>
  <c r="BF1097" i="1"/>
  <c r="BE1097" i="1"/>
  <c r="BD1097" i="1"/>
  <c r="AT1097" i="1"/>
  <c r="AR1097" i="1"/>
  <c r="AN1097" i="1"/>
  <c r="AL1097" i="1"/>
  <c r="AJ1097" i="1"/>
  <c r="AH1097" i="1"/>
  <c r="AF1097" i="1"/>
  <c r="AD1097" i="1"/>
  <c r="AC1097" i="1"/>
  <c r="AB1097" i="1"/>
  <c r="Y1097" i="1"/>
  <c r="X1097" i="1"/>
  <c r="W1097" i="1"/>
  <c r="T1097" i="1"/>
  <c r="S1097" i="1"/>
  <c r="R1097" i="1"/>
  <c r="O1097" i="1"/>
  <c r="N1097" i="1"/>
  <c r="M1097" i="1"/>
  <c r="J1097" i="1"/>
  <c r="H1097" i="1"/>
  <c r="BO1096" i="1"/>
  <c r="BN1096" i="1"/>
  <c r="BL1096" i="1"/>
  <c r="BK1096" i="1"/>
  <c r="BJ1096" i="1"/>
  <c r="BI1096" i="1"/>
  <c r="BH1096" i="1"/>
  <c r="BG1096" i="1"/>
  <c r="BF1096" i="1"/>
  <c r="BE1096" i="1"/>
  <c r="BD1096" i="1"/>
  <c r="AT1096" i="1"/>
  <c r="AR1096" i="1"/>
  <c r="AN1096" i="1"/>
  <c r="AL1096" i="1"/>
  <c r="AJ1096" i="1"/>
  <c r="AH1096" i="1"/>
  <c r="AF1096" i="1"/>
  <c r="AD1096" i="1"/>
  <c r="AC1096" i="1"/>
  <c r="AB1096" i="1"/>
  <c r="Y1096" i="1"/>
  <c r="X1096" i="1"/>
  <c r="W1096" i="1"/>
  <c r="T1096" i="1"/>
  <c r="S1096" i="1"/>
  <c r="R1096" i="1"/>
  <c r="O1096" i="1"/>
  <c r="N1096" i="1"/>
  <c r="M1096" i="1"/>
  <c r="J1096" i="1"/>
  <c r="H1096" i="1"/>
  <c r="BO1095" i="1"/>
  <c r="BN1095" i="1"/>
  <c r="BL1095" i="1"/>
  <c r="BK1095" i="1"/>
  <c r="BJ1095" i="1"/>
  <c r="BI1095" i="1"/>
  <c r="BH1095" i="1"/>
  <c r="BG1095" i="1"/>
  <c r="BF1095" i="1"/>
  <c r="BE1095" i="1"/>
  <c r="BD1095" i="1"/>
  <c r="AT1095" i="1"/>
  <c r="AR1095" i="1"/>
  <c r="AN1095" i="1"/>
  <c r="AL1095" i="1"/>
  <c r="AJ1095" i="1"/>
  <c r="AH1095" i="1"/>
  <c r="AF1095" i="1"/>
  <c r="AD1095" i="1"/>
  <c r="AC1095" i="1"/>
  <c r="AB1095" i="1"/>
  <c r="Y1095" i="1"/>
  <c r="X1095" i="1"/>
  <c r="W1095" i="1"/>
  <c r="T1095" i="1"/>
  <c r="S1095" i="1"/>
  <c r="R1095" i="1"/>
  <c r="O1095" i="1"/>
  <c r="N1095" i="1"/>
  <c r="M1095" i="1"/>
  <c r="J1095" i="1"/>
  <c r="H1095" i="1"/>
  <c r="BO1094" i="1"/>
  <c r="BN1094" i="1"/>
  <c r="BL1094" i="1"/>
  <c r="BK1094" i="1"/>
  <c r="BJ1094" i="1"/>
  <c r="BI1094" i="1"/>
  <c r="BH1094" i="1"/>
  <c r="BG1094" i="1"/>
  <c r="BF1094" i="1"/>
  <c r="BE1094" i="1"/>
  <c r="BD1094" i="1"/>
  <c r="AT1094" i="1"/>
  <c r="AR1094" i="1"/>
  <c r="AN1094" i="1"/>
  <c r="AL1094" i="1"/>
  <c r="AJ1094" i="1"/>
  <c r="AH1094" i="1"/>
  <c r="AF1094" i="1"/>
  <c r="AD1094" i="1"/>
  <c r="AC1094" i="1"/>
  <c r="AB1094" i="1"/>
  <c r="Y1094" i="1"/>
  <c r="X1094" i="1"/>
  <c r="W1094" i="1"/>
  <c r="T1094" i="1"/>
  <c r="S1094" i="1"/>
  <c r="R1094" i="1"/>
  <c r="O1094" i="1"/>
  <c r="N1094" i="1"/>
  <c r="M1094" i="1"/>
  <c r="J1094" i="1"/>
  <c r="H1094" i="1"/>
  <c r="BO1093" i="1"/>
  <c r="BN1093" i="1"/>
  <c r="BL1093" i="1"/>
  <c r="BK1093" i="1"/>
  <c r="BJ1093" i="1"/>
  <c r="BI1093" i="1"/>
  <c r="BH1093" i="1"/>
  <c r="BG1093" i="1"/>
  <c r="BF1093" i="1"/>
  <c r="BE1093" i="1"/>
  <c r="BD1093" i="1"/>
  <c r="AT1093" i="1"/>
  <c r="AR1093" i="1"/>
  <c r="AN1093" i="1"/>
  <c r="AL1093" i="1"/>
  <c r="AJ1093" i="1"/>
  <c r="AH1093" i="1"/>
  <c r="AF1093" i="1"/>
  <c r="AD1093" i="1"/>
  <c r="AC1093" i="1"/>
  <c r="AB1093" i="1"/>
  <c r="Y1093" i="1"/>
  <c r="X1093" i="1"/>
  <c r="W1093" i="1"/>
  <c r="T1093" i="1"/>
  <c r="S1093" i="1"/>
  <c r="R1093" i="1"/>
  <c r="O1093" i="1"/>
  <c r="N1093" i="1"/>
  <c r="M1093" i="1"/>
  <c r="J1093" i="1"/>
  <c r="H1093" i="1"/>
  <c r="BO1092" i="1"/>
  <c r="BN1092" i="1"/>
  <c r="BL1092" i="1"/>
  <c r="BK1092" i="1"/>
  <c r="BJ1092" i="1"/>
  <c r="BI1092" i="1"/>
  <c r="BH1092" i="1"/>
  <c r="BG1092" i="1"/>
  <c r="BF1092" i="1"/>
  <c r="BE1092" i="1"/>
  <c r="BD1092" i="1"/>
  <c r="AT1092" i="1"/>
  <c r="AR1092" i="1"/>
  <c r="AN1092" i="1"/>
  <c r="AL1092" i="1"/>
  <c r="AJ1092" i="1"/>
  <c r="AH1092" i="1"/>
  <c r="AF1092" i="1"/>
  <c r="AD1092" i="1"/>
  <c r="AC1092" i="1"/>
  <c r="AB1092" i="1"/>
  <c r="Y1092" i="1"/>
  <c r="X1092" i="1"/>
  <c r="W1092" i="1"/>
  <c r="T1092" i="1"/>
  <c r="S1092" i="1"/>
  <c r="R1092" i="1"/>
  <c r="O1092" i="1"/>
  <c r="N1092" i="1"/>
  <c r="M1092" i="1"/>
  <c r="J1092" i="1"/>
  <c r="H1092" i="1"/>
  <c r="BO1091" i="1"/>
  <c r="BN1091" i="1"/>
  <c r="BL1091" i="1"/>
  <c r="BK1091" i="1"/>
  <c r="BJ1091" i="1"/>
  <c r="BI1091" i="1"/>
  <c r="BH1091" i="1"/>
  <c r="BG1091" i="1"/>
  <c r="BF1091" i="1"/>
  <c r="BE1091" i="1"/>
  <c r="BD1091" i="1"/>
  <c r="AT1091" i="1"/>
  <c r="AR1091" i="1"/>
  <c r="AN1091" i="1"/>
  <c r="AL1091" i="1"/>
  <c r="AJ1091" i="1"/>
  <c r="AH1091" i="1"/>
  <c r="AF1091" i="1"/>
  <c r="AD1091" i="1"/>
  <c r="AC1091" i="1"/>
  <c r="AB1091" i="1"/>
  <c r="Y1091" i="1"/>
  <c r="X1091" i="1"/>
  <c r="W1091" i="1"/>
  <c r="T1091" i="1"/>
  <c r="S1091" i="1"/>
  <c r="R1091" i="1"/>
  <c r="O1091" i="1"/>
  <c r="N1091" i="1"/>
  <c r="M1091" i="1"/>
  <c r="J1091" i="1"/>
  <c r="H1091" i="1"/>
  <c r="BO1090" i="1"/>
  <c r="BN1090" i="1"/>
  <c r="BL1090" i="1"/>
  <c r="BK1090" i="1"/>
  <c r="BJ1090" i="1"/>
  <c r="BI1090" i="1"/>
  <c r="BH1090" i="1"/>
  <c r="BG1090" i="1"/>
  <c r="BF1090" i="1"/>
  <c r="BE1090" i="1"/>
  <c r="BD1090" i="1"/>
  <c r="AT1090" i="1"/>
  <c r="AR1090" i="1"/>
  <c r="AN1090" i="1"/>
  <c r="AL1090" i="1"/>
  <c r="AJ1090" i="1"/>
  <c r="AH1090" i="1"/>
  <c r="AF1090" i="1"/>
  <c r="AD1090" i="1"/>
  <c r="AC1090" i="1"/>
  <c r="AB1090" i="1"/>
  <c r="Y1090" i="1"/>
  <c r="X1090" i="1"/>
  <c r="W1090" i="1"/>
  <c r="T1090" i="1"/>
  <c r="S1090" i="1"/>
  <c r="R1090" i="1"/>
  <c r="O1090" i="1"/>
  <c r="N1090" i="1"/>
  <c r="M1090" i="1"/>
  <c r="J1090" i="1"/>
  <c r="H1090" i="1"/>
  <c r="BO1089" i="1"/>
  <c r="BN1089" i="1"/>
  <c r="BL1089" i="1"/>
  <c r="BK1089" i="1"/>
  <c r="BJ1089" i="1"/>
  <c r="BI1089" i="1"/>
  <c r="BH1089" i="1"/>
  <c r="BG1089" i="1"/>
  <c r="BF1089" i="1"/>
  <c r="BE1089" i="1"/>
  <c r="BD1089" i="1"/>
  <c r="AT1089" i="1"/>
  <c r="AR1089" i="1"/>
  <c r="AN1089" i="1"/>
  <c r="AL1089" i="1"/>
  <c r="AJ1089" i="1"/>
  <c r="AH1089" i="1"/>
  <c r="AF1089" i="1"/>
  <c r="AD1089" i="1"/>
  <c r="AC1089" i="1"/>
  <c r="AB1089" i="1"/>
  <c r="Y1089" i="1"/>
  <c r="X1089" i="1"/>
  <c r="W1089" i="1"/>
  <c r="T1089" i="1"/>
  <c r="S1089" i="1"/>
  <c r="R1089" i="1"/>
  <c r="O1089" i="1"/>
  <c r="N1089" i="1"/>
  <c r="M1089" i="1"/>
  <c r="J1089" i="1"/>
  <c r="H1089" i="1"/>
  <c r="BO1088" i="1"/>
  <c r="BN1088" i="1"/>
  <c r="BL1088" i="1"/>
  <c r="BK1088" i="1"/>
  <c r="BJ1088" i="1"/>
  <c r="BI1088" i="1"/>
  <c r="BH1088" i="1"/>
  <c r="BG1088" i="1"/>
  <c r="BF1088" i="1"/>
  <c r="BE1088" i="1"/>
  <c r="BD1088" i="1"/>
  <c r="AT1088" i="1"/>
  <c r="AR1088" i="1"/>
  <c r="AN1088" i="1"/>
  <c r="AL1088" i="1"/>
  <c r="AJ1088" i="1"/>
  <c r="AH1088" i="1"/>
  <c r="AF1088" i="1"/>
  <c r="AD1088" i="1"/>
  <c r="AC1088" i="1"/>
  <c r="AB1088" i="1"/>
  <c r="Y1088" i="1"/>
  <c r="X1088" i="1"/>
  <c r="W1088" i="1"/>
  <c r="T1088" i="1"/>
  <c r="S1088" i="1"/>
  <c r="R1088" i="1"/>
  <c r="O1088" i="1"/>
  <c r="N1088" i="1"/>
  <c r="M1088" i="1"/>
  <c r="J1088" i="1"/>
  <c r="H1088" i="1"/>
  <c r="BO1087" i="1"/>
  <c r="BN1087" i="1"/>
  <c r="BL1087" i="1"/>
  <c r="BK1087" i="1"/>
  <c r="BJ1087" i="1"/>
  <c r="BI1087" i="1"/>
  <c r="BH1087" i="1"/>
  <c r="BG1087" i="1"/>
  <c r="BF1087" i="1"/>
  <c r="BE1087" i="1"/>
  <c r="BD1087" i="1"/>
  <c r="AT1087" i="1"/>
  <c r="AR1087" i="1"/>
  <c r="AN1087" i="1"/>
  <c r="AL1087" i="1"/>
  <c r="AJ1087" i="1"/>
  <c r="AH1087" i="1"/>
  <c r="AF1087" i="1"/>
  <c r="AD1087" i="1"/>
  <c r="AC1087" i="1"/>
  <c r="AB1087" i="1"/>
  <c r="Y1087" i="1"/>
  <c r="X1087" i="1"/>
  <c r="W1087" i="1"/>
  <c r="T1087" i="1"/>
  <c r="S1087" i="1"/>
  <c r="R1087" i="1"/>
  <c r="O1087" i="1"/>
  <c r="N1087" i="1"/>
  <c r="M1087" i="1"/>
  <c r="J1087" i="1"/>
  <c r="H1087" i="1"/>
  <c r="BO1086" i="1"/>
  <c r="BN1086" i="1"/>
  <c r="BL1086" i="1"/>
  <c r="BK1086" i="1"/>
  <c r="BJ1086" i="1"/>
  <c r="BI1086" i="1"/>
  <c r="BH1086" i="1"/>
  <c r="BG1086" i="1"/>
  <c r="BF1086" i="1"/>
  <c r="BE1086" i="1"/>
  <c r="BD1086" i="1"/>
  <c r="AT1086" i="1"/>
  <c r="AR1086" i="1"/>
  <c r="AN1086" i="1"/>
  <c r="AL1086" i="1"/>
  <c r="AJ1086" i="1"/>
  <c r="AH1086" i="1"/>
  <c r="AF1086" i="1"/>
  <c r="AD1086" i="1"/>
  <c r="AC1086" i="1"/>
  <c r="AB1086" i="1"/>
  <c r="Y1086" i="1"/>
  <c r="X1086" i="1"/>
  <c r="W1086" i="1"/>
  <c r="T1086" i="1"/>
  <c r="S1086" i="1"/>
  <c r="R1086" i="1"/>
  <c r="O1086" i="1"/>
  <c r="N1086" i="1"/>
  <c r="M1086" i="1"/>
  <c r="J1086" i="1"/>
  <c r="H1086" i="1"/>
  <c r="BO1085" i="1"/>
  <c r="BN1085" i="1"/>
  <c r="BL1085" i="1"/>
  <c r="BK1085" i="1"/>
  <c r="BJ1085" i="1"/>
  <c r="BI1085" i="1"/>
  <c r="BH1085" i="1"/>
  <c r="BG1085" i="1"/>
  <c r="BF1085" i="1"/>
  <c r="BE1085" i="1"/>
  <c r="BD1085" i="1"/>
  <c r="AT1085" i="1"/>
  <c r="AR1085" i="1"/>
  <c r="AN1085" i="1"/>
  <c r="AL1085" i="1"/>
  <c r="AJ1085" i="1"/>
  <c r="AH1085" i="1"/>
  <c r="AF1085" i="1"/>
  <c r="AD1085" i="1"/>
  <c r="AC1085" i="1"/>
  <c r="AB1085" i="1"/>
  <c r="Y1085" i="1"/>
  <c r="X1085" i="1"/>
  <c r="W1085" i="1"/>
  <c r="T1085" i="1"/>
  <c r="S1085" i="1"/>
  <c r="R1085" i="1"/>
  <c r="O1085" i="1"/>
  <c r="N1085" i="1"/>
  <c r="M1085" i="1"/>
  <c r="J1085" i="1"/>
  <c r="H1085" i="1"/>
  <c r="BO1084" i="1"/>
  <c r="BN1084" i="1"/>
  <c r="BL1084" i="1"/>
  <c r="BK1084" i="1"/>
  <c r="BJ1084" i="1"/>
  <c r="BI1084" i="1"/>
  <c r="BH1084" i="1"/>
  <c r="BG1084" i="1"/>
  <c r="BF1084" i="1"/>
  <c r="BE1084" i="1"/>
  <c r="BD1084" i="1"/>
  <c r="AT1084" i="1"/>
  <c r="AR1084" i="1"/>
  <c r="AN1084" i="1"/>
  <c r="AL1084" i="1"/>
  <c r="AJ1084" i="1"/>
  <c r="AH1084" i="1"/>
  <c r="AF1084" i="1"/>
  <c r="AD1084" i="1"/>
  <c r="AC1084" i="1"/>
  <c r="AB1084" i="1"/>
  <c r="Y1084" i="1"/>
  <c r="X1084" i="1"/>
  <c r="W1084" i="1"/>
  <c r="T1084" i="1"/>
  <c r="S1084" i="1"/>
  <c r="R1084" i="1"/>
  <c r="O1084" i="1"/>
  <c r="N1084" i="1"/>
  <c r="M1084" i="1"/>
  <c r="J1084" i="1"/>
  <c r="H1084" i="1"/>
  <c r="BO1083" i="1"/>
  <c r="BN1083" i="1"/>
  <c r="BL1083" i="1"/>
  <c r="BK1083" i="1"/>
  <c r="BJ1083" i="1"/>
  <c r="BI1083" i="1"/>
  <c r="BH1083" i="1"/>
  <c r="BG1083" i="1"/>
  <c r="BF1083" i="1"/>
  <c r="BE1083" i="1"/>
  <c r="BD1083" i="1"/>
  <c r="AT1083" i="1"/>
  <c r="AR1083" i="1"/>
  <c r="AN1083" i="1"/>
  <c r="AL1083" i="1"/>
  <c r="AJ1083" i="1"/>
  <c r="AH1083" i="1"/>
  <c r="AF1083" i="1"/>
  <c r="AD1083" i="1"/>
  <c r="AC1083" i="1"/>
  <c r="AB1083" i="1"/>
  <c r="Y1083" i="1"/>
  <c r="X1083" i="1"/>
  <c r="W1083" i="1"/>
  <c r="T1083" i="1"/>
  <c r="S1083" i="1"/>
  <c r="R1083" i="1"/>
  <c r="O1083" i="1"/>
  <c r="N1083" i="1"/>
  <c r="M1083" i="1"/>
  <c r="J1083" i="1"/>
  <c r="H1083" i="1"/>
  <c r="BO1082" i="1"/>
  <c r="BN1082" i="1"/>
  <c r="BL1082" i="1"/>
  <c r="BK1082" i="1"/>
  <c r="BJ1082" i="1"/>
  <c r="BI1082" i="1"/>
  <c r="BH1082" i="1"/>
  <c r="BG1082" i="1"/>
  <c r="BF1082" i="1"/>
  <c r="BE1082" i="1"/>
  <c r="BD1082" i="1"/>
  <c r="AT1082" i="1"/>
  <c r="AR1082" i="1"/>
  <c r="AN1082" i="1"/>
  <c r="AL1082" i="1"/>
  <c r="AJ1082" i="1"/>
  <c r="AH1082" i="1"/>
  <c r="AF1082" i="1"/>
  <c r="AD1082" i="1"/>
  <c r="AC1082" i="1"/>
  <c r="AB1082" i="1"/>
  <c r="Y1082" i="1"/>
  <c r="X1082" i="1"/>
  <c r="W1082" i="1"/>
  <c r="T1082" i="1"/>
  <c r="S1082" i="1"/>
  <c r="R1082" i="1"/>
  <c r="O1082" i="1"/>
  <c r="N1082" i="1"/>
  <c r="M1082" i="1"/>
  <c r="J1082" i="1"/>
  <c r="H1082" i="1"/>
  <c r="BO1081" i="1"/>
  <c r="BN1081" i="1"/>
  <c r="BL1081" i="1"/>
  <c r="BK1081" i="1"/>
  <c r="BJ1081" i="1"/>
  <c r="BI1081" i="1"/>
  <c r="BH1081" i="1"/>
  <c r="BG1081" i="1"/>
  <c r="BF1081" i="1"/>
  <c r="BE1081" i="1"/>
  <c r="BD1081" i="1"/>
  <c r="AT1081" i="1"/>
  <c r="AR1081" i="1"/>
  <c r="AN1081" i="1"/>
  <c r="AL1081" i="1"/>
  <c r="AJ1081" i="1"/>
  <c r="AH1081" i="1"/>
  <c r="AF1081" i="1"/>
  <c r="AD1081" i="1"/>
  <c r="AC1081" i="1"/>
  <c r="AB1081" i="1"/>
  <c r="Y1081" i="1"/>
  <c r="X1081" i="1"/>
  <c r="W1081" i="1"/>
  <c r="T1081" i="1"/>
  <c r="S1081" i="1"/>
  <c r="R1081" i="1"/>
  <c r="O1081" i="1"/>
  <c r="N1081" i="1"/>
  <c r="M1081" i="1"/>
  <c r="J1081" i="1"/>
  <c r="H1081" i="1"/>
  <c r="BO1080" i="1"/>
  <c r="BN1080" i="1"/>
  <c r="BL1080" i="1"/>
  <c r="BK1080" i="1"/>
  <c r="BJ1080" i="1"/>
  <c r="BI1080" i="1"/>
  <c r="BH1080" i="1"/>
  <c r="BG1080" i="1"/>
  <c r="BF1080" i="1"/>
  <c r="BE1080" i="1"/>
  <c r="BD1080" i="1"/>
  <c r="AT1080" i="1"/>
  <c r="AR1080" i="1"/>
  <c r="AN1080" i="1"/>
  <c r="AL1080" i="1"/>
  <c r="AJ1080" i="1"/>
  <c r="AH1080" i="1"/>
  <c r="AF1080" i="1"/>
  <c r="AD1080" i="1"/>
  <c r="AC1080" i="1"/>
  <c r="AB1080" i="1"/>
  <c r="Y1080" i="1"/>
  <c r="X1080" i="1"/>
  <c r="W1080" i="1"/>
  <c r="T1080" i="1"/>
  <c r="S1080" i="1"/>
  <c r="R1080" i="1"/>
  <c r="O1080" i="1"/>
  <c r="N1080" i="1"/>
  <c r="M1080" i="1"/>
  <c r="J1080" i="1"/>
  <c r="H1080" i="1"/>
  <c r="BO1079" i="1"/>
  <c r="BN1079" i="1"/>
  <c r="BL1079" i="1"/>
  <c r="BK1079" i="1"/>
  <c r="BJ1079" i="1"/>
  <c r="BI1079" i="1"/>
  <c r="BH1079" i="1"/>
  <c r="BG1079" i="1"/>
  <c r="BF1079" i="1"/>
  <c r="BE1079" i="1"/>
  <c r="BD1079" i="1"/>
  <c r="AT1079" i="1"/>
  <c r="AR1079" i="1"/>
  <c r="AN1079" i="1"/>
  <c r="AL1079" i="1"/>
  <c r="AJ1079" i="1"/>
  <c r="AH1079" i="1"/>
  <c r="AF1079" i="1"/>
  <c r="AD1079" i="1"/>
  <c r="AC1079" i="1"/>
  <c r="AB1079" i="1"/>
  <c r="Y1079" i="1"/>
  <c r="X1079" i="1"/>
  <c r="W1079" i="1"/>
  <c r="T1079" i="1"/>
  <c r="S1079" i="1"/>
  <c r="R1079" i="1"/>
  <c r="O1079" i="1"/>
  <c r="N1079" i="1"/>
  <c r="M1079" i="1"/>
  <c r="J1079" i="1"/>
  <c r="H1079" i="1"/>
  <c r="BO1078" i="1"/>
  <c r="BN1078" i="1"/>
  <c r="BL1078" i="1"/>
  <c r="BK1078" i="1"/>
  <c r="BJ1078" i="1"/>
  <c r="BI1078" i="1"/>
  <c r="BH1078" i="1"/>
  <c r="BG1078" i="1"/>
  <c r="BF1078" i="1"/>
  <c r="BE1078" i="1"/>
  <c r="BD1078" i="1"/>
  <c r="AT1078" i="1"/>
  <c r="AR1078" i="1"/>
  <c r="AN1078" i="1"/>
  <c r="AL1078" i="1"/>
  <c r="AJ1078" i="1"/>
  <c r="AH1078" i="1"/>
  <c r="AF1078" i="1"/>
  <c r="AD1078" i="1"/>
  <c r="AC1078" i="1"/>
  <c r="AB1078" i="1"/>
  <c r="Y1078" i="1"/>
  <c r="X1078" i="1"/>
  <c r="W1078" i="1"/>
  <c r="T1078" i="1"/>
  <c r="S1078" i="1"/>
  <c r="R1078" i="1"/>
  <c r="O1078" i="1"/>
  <c r="N1078" i="1"/>
  <c r="M1078" i="1"/>
  <c r="J1078" i="1"/>
  <c r="H1078" i="1"/>
  <c r="BO1077" i="1"/>
  <c r="BN1077" i="1"/>
  <c r="BL1077" i="1"/>
  <c r="BK1077" i="1"/>
  <c r="BJ1077" i="1"/>
  <c r="BI1077" i="1"/>
  <c r="BH1077" i="1"/>
  <c r="BG1077" i="1"/>
  <c r="BF1077" i="1"/>
  <c r="BE1077" i="1"/>
  <c r="BD1077" i="1"/>
  <c r="AT1077" i="1"/>
  <c r="AR1077" i="1"/>
  <c r="AN1077" i="1"/>
  <c r="AL1077" i="1"/>
  <c r="AJ1077" i="1"/>
  <c r="AH1077" i="1"/>
  <c r="AF1077" i="1"/>
  <c r="AD1077" i="1"/>
  <c r="AC1077" i="1"/>
  <c r="AB1077" i="1"/>
  <c r="Y1077" i="1"/>
  <c r="X1077" i="1"/>
  <c r="W1077" i="1"/>
  <c r="T1077" i="1"/>
  <c r="S1077" i="1"/>
  <c r="R1077" i="1"/>
  <c r="O1077" i="1"/>
  <c r="N1077" i="1"/>
  <c r="M1077" i="1"/>
  <c r="J1077" i="1"/>
  <c r="H1077" i="1"/>
  <c r="BO1076" i="1"/>
  <c r="BN1076" i="1"/>
  <c r="BL1076" i="1"/>
  <c r="BK1076" i="1"/>
  <c r="BJ1076" i="1"/>
  <c r="BI1076" i="1"/>
  <c r="BH1076" i="1"/>
  <c r="BG1076" i="1"/>
  <c r="BF1076" i="1"/>
  <c r="BE1076" i="1"/>
  <c r="BD1076" i="1"/>
  <c r="AT1076" i="1"/>
  <c r="AR1076" i="1"/>
  <c r="AN1076" i="1"/>
  <c r="AL1076" i="1"/>
  <c r="AJ1076" i="1"/>
  <c r="AH1076" i="1"/>
  <c r="AF1076" i="1"/>
  <c r="AD1076" i="1"/>
  <c r="AC1076" i="1"/>
  <c r="AB1076" i="1"/>
  <c r="Y1076" i="1"/>
  <c r="X1076" i="1"/>
  <c r="W1076" i="1"/>
  <c r="T1076" i="1"/>
  <c r="S1076" i="1"/>
  <c r="R1076" i="1"/>
  <c r="O1076" i="1"/>
  <c r="N1076" i="1"/>
  <c r="M1076" i="1"/>
  <c r="J1076" i="1"/>
  <c r="H1076" i="1"/>
  <c r="BO1075" i="1"/>
  <c r="BN1075" i="1"/>
  <c r="BL1075" i="1"/>
  <c r="BK1075" i="1"/>
  <c r="BJ1075" i="1"/>
  <c r="BI1075" i="1"/>
  <c r="BH1075" i="1"/>
  <c r="BG1075" i="1"/>
  <c r="BF1075" i="1"/>
  <c r="BE1075" i="1"/>
  <c r="BD1075" i="1"/>
  <c r="AT1075" i="1"/>
  <c r="AR1075" i="1"/>
  <c r="AN1075" i="1"/>
  <c r="AL1075" i="1"/>
  <c r="AJ1075" i="1"/>
  <c r="AH1075" i="1"/>
  <c r="AF1075" i="1"/>
  <c r="AD1075" i="1"/>
  <c r="AC1075" i="1"/>
  <c r="AB1075" i="1"/>
  <c r="Y1075" i="1"/>
  <c r="X1075" i="1"/>
  <c r="W1075" i="1"/>
  <c r="T1075" i="1"/>
  <c r="S1075" i="1"/>
  <c r="R1075" i="1"/>
  <c r="O1075" i="1"/>
  <c r="N1075" i="1"/>
  <c r="M1075" i="1"/>
  <c r="J1075" i="1"/>
  <c r="H1075" i="1"/>
  <c r="BO1074" i="1"/>
  <c r="BN1074" i="1"/>
  <c r="BL1074" i="1"/>
  <c r="BK1074" i="1"/>
  <c r="BJ1074" i="1"/>
  <c r="BI1074" i="1"/>
  <c r="BH1074" i="1"/>
  <c r="BG1074" i="1"/>
  <c r="BF1074" i="1"/>
  <c r="BE1074" i="1"/>
  <c r="BD1074" i="1"/>
  <c r="AT1074" i="1"/>
  <c r="AR1074" i="1"/>
  <c r="AN1074" i="1"/>
  <c r="AL1074" i="1"/>
  <c r="AJ1074" i="1"/>
  <c r="AH1074" i="1"/>
  <c r="AF1074" i="1"/>
  <c r="AD1074" i="1"/>
  <c r="AC1074" i="1"/>
  <c r="AB1074" i="1"/>
  <c r="Y1074" i="1"/>
  <c r="X1074" i="1"/>
  <c r="W1074" i="1"/>
  <c r="T1074" i="1"/>
  <c r="S1074" i="1"/>
  <c r="R1074" i="1"/>
  <c r="O1074" i="1"/>
  <c r="N1074" i="1"/>
  <c r="M1074" i="1"/>
  <c r="J1074" i="1"/>
  <c r="H1074" i="1"/>
  <c r="BO1073" i="1"/>
  <c r="BN1073" i="1"/>
  <c r="BL1073" i="1"/>
  <c r="BK1073" i="1"/>
  <c r="BJ1073" i="1"/>
  <c r="BI1073" i="1"/>
  <c r="BH1073" i="1"/>
  <c r="BG1073" i="1"/>
  <c r="BF1073" i="1"/>
  <c r="BE1073" i="1"/>
  <c r="BD1073" i="1"/>
  <c r="AT1073" i="1"/>
  <c r="AR1073" i="1"/>
  <c r="AN1073" i="1"/>
  <c r="AL1073" i="1"/>
  <c r="AJ1073" i="1"/>
  <c r="AH1073" i="1"/>
  <c r="AF1073" i="1"/>
  <c r="AD1073" i="1"/>
  <c r="AC1073" i="1"/>
  <c r="AB1073" i="1"/>
  <c r="Y1073" i="1"/>
  <c r="X1073" i="1"/>
  <c r="W1073" i="1"/>
  <c r="T1073" i="1"/>
  <c r="S1073" i="1"/>
  <c r="R1073" i="1"/>
  <c r="O1073" i="1"/>
  <c r="N1073" i="1"/>
  <c r="M1073" i="1"/>
  <c r="J1073" i="1"/>
  <c r="H1073" i="1"/>
  <c r="BO1072" i="1"/>
  <c r="BN1072" i="1"/>
  <c r="BL1072" i="1"/>
  <c r="BK1072" i="1"/>
  <c r="BJ1072" i="1"/>
  <c r="BI1072" i="1"/>
  <c r="BH1072" i="1"/>
  <c r="BG1072" i="1"/>
  <c r="BF1072" i="1"/>
  <c r="BE1072" i="1"/>
  <c r="BD1072" i="1"/>
  <c r="AT1072" i="1"/>
  <c r="AR1072" i="1"/>
  <c r="AN1072" i="1"/>
  <c r="AL1072" i="1"/>
  <c r="AJ1072" i="1"/>
  <c r="AH1072" i="1"/>
  <c r="AF1072" i="1"/>
  <c r="AD1072" i="1"/>
  <c r="AC1072" i="1"/>
  <c r="AB1072" i="1"/>
  <c r="Y1072" i="1"/>
  <c r="X1072" i="1"/>
  <c r="W1072" i="1"/>
  <c r="T1072" i="1"/>
  <c r="S1072" i="1"/>
  <c r="R1072" i="1"/>
  <c r="O1072" i="1"/>
  <c r="N1072" i="1"/>
  <c r="M1072" i="1"/>
  <c r="J1072" i="1"/>
  <c r="H1072" i="1"/>
  <c r="BO1071" i="1"/>
  <c r="BN1071" i="1"/>
  <c r="BL1071" i="1"/>
  <c r="BK1071" i="1"/>
  <c r="BJ1071" i="1"/>
  <c r="BI1071" i="1"/>
  <c r="BH1071" i="1"/>
  <c r="BG1071" i="1"/>
  <c r="BF1071" i="1"/>
  <c r="BE1071" i="1"/>
  <c r="BD1071" i="1"/>
  <c r="AT1071" i="1"/>
  <c r="AR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J1071" i="1"/>
  <c r="H1071" i="1"/>
  <c r="BO1070" i="1"/>
  <c r="BN1070" i="1"/>
  <c r="BL1070" i="1"/>
  <c r="BK1070" i="1"/>
  <c r="BJ1070" i="1"/>
  <c r="BI1070" i="1"/>
  <c r="BH1070" i="1"/>
  <c r="BG1070" i="1"/>
  <c r="BF1070" i="1"/>
  <c r="BE1070" i="1"/>
  <c r="BD1070" i="1"/>
  <c r="AT1070" i="1"/>
  <c r="AR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J1070" i="1"/>
  <c r="H1070" i="1"/>
  <c r="BO1069" i="1"/>
  <c r="BN1069" i="1"/>
  <c r="BL1069" i="1"/>
  <c r="BK1069" i="1"/>
  <c r="BJ1069" i="1"/>
  <c r="BI1069" i="1"/>
  <c r="BH1069" i="1"/>
  <c r="BG1069" i="1"/>
  <c r="BF1069" i="1"/>
  <c r="BE1069" i="1"/>
  <c r="BD1069" i="1"/>
  <c r="AT1069" i="1"/>
  <c r="AR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J1069" i="1"/>
  <c r="H1069" i="1"/>
  <c r="BO1068" i="1"/>
  <c r="BN1068" i="1"/>
  <c r="BL1068" i="1"/>
  <c r="BK1068" i="1"/>
  <c r="BJ1068" i="1"/>
  <c r="BI1068" i="1"/>
  <c r="BH1068" i="1"/>
  <c r="BG1068" i="1"/>
  <c r="BF1068" i="1"/>
  <c r="BE1068" i="1"/>
  <c r="BD1068" i="1"/>
  <c r="AT1068" i="1"/>
  <c r="AR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J1068" i="1"/>
  <c r="H1068" i="1"/>
  <c r="BO1067" i="1"/>
  <c r="BN1067" i="1"/>
  <c r="BL1067" i="1"/>
  <c r="BK1067" i="1"/>
  <c r="BJ1067" i="1"/>
  <c r="BI1067" i="1"/>
  <c r="BH1067" i="1"/>
  <c r="BG1067" i="1"/>
  <c r="BF1067" i="1"/>
  <c r="BE1067" i="1"/>
  <c r="BD1067" i="1"/>
  <c r="AT1067" i="1"/>
  <c r="AR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J1067" i="1"/>
  <c r="H1067" i="1"/>
  <c r="BO1066" i="1"/>
  <c r="BN1066" i="1"/>
  <c r="BL1066" i="1"/>
  <c r="BK1066" i="1"/>
  <c r="BJ1066" i="1"/>
  <c r="BI1066" i="1"/>
  <c r="BH1066" i="1"/>
  <c r="BG1066" i="1"/>
  <c r="BF1066" i="1"/>
  <c r="BE1066" i="1"/>
  <c r="BD1066" i="1"/>
  <c r="AT1066" i="1"/>
  <c r="AR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J1066" i="1"/>
  <c r="H1066" i="1"/>
  <c r="BO1065" i="1"/>
  <c r="BN1065" i="1"/>
  <c r="BL1065" i="1"/>
  <c r="BK1065" i="1"/>
  <c r="BJ1065" i="1"/>
  <c r="BI1065" i="1"/>
  <c r="BH1065" i="1"/>
  <c r="BG1065" i="1"/>
  <c r="BF1065" i="1"/>
  <c r="BE1065" i="1"/>
  <c r="BD1065" i="1"/>
  <c r="AT1065" i="1"/>
  <c r="AR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J1065" i="1"/>
  <c r="H1065" i="1"/>
  <c r="BO1064" i="1"/>
  <c r="BN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J1064" i="1"/>
  <c r="H1064" i="1"/>
  <c r="BO1063" i="1"/>
  <c r="BN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J1063" i="1"/>
  <c r="H1063" i="1"/>
  <c r="BO1062" i="1"/>
  <c r="BN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J1062" i="1"/>
  <c r="H1062" i="1"/>
  <c r="BO1061" i="1"/>
  <c r="BN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J1061" i="1"/>
  <c r="H1061" i="1"/>
  <c r="BO1060" i="1"/>
  <c r="BN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J1060" i="1"/>
  <c r="H1060" i="1"/>
  <c r="BO1059" i="1"/>
  <c r="BN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J1059" i="1"/>
  <c r="H1059" i="1"/>
  <c r="BO1058" i="1"/>
  <c r="BN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J1058" i="1"/>
  <c r="H1058" i="1"/>
  <c r="BO1057" i="1"/>
  <c r="BN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J1057" i="1"/>
  <c r="H1057" i="1"/>
  <c r="BO1056" i="1"/>
  <c r="BN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J1056" i="1"/>
  <c r="H1056" i="1"/>
  <c r="BO1055" i="1"/>
  <c r="BN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J1055" i="1"/>
  <c r="H1055" i="1"/>
  <c r="BO1054" i="1"/>
  <c r="BN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J1054" i="1"/>
  <c r="H1054" i="1"/>
  <c r="BO1053" i="1"/>
  <c r="BN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J1053" i="1"/>
  <c r="H1053" i="1"/>
  <c r="BO1052" i="1"/>
  <c r="BN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J1052" i="1"/>
  <c r="H1052" i="1"/>
  <c r="BO1051" i="1"/>
  <c r="BN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J1051" i="1"/>
  <c r="H1051" i="1"/>
  <c r="BO1050" i="1"/>
  <c r="BN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J1050" i="1"/>
  <c r="H1050" i="1"/>
  <c r="BO1049" i="1"/>
  <c r="BN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J1049" i="1"/>
  <c r="H1049" i="1"/>
  <c r="BO1048" i="1"/>
  <c r="BN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J1048" i="1"/>
  <c r="H1048" i="1"/>
  <c r="BO1047" i="1"/>
  <c r="BN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J1047" i="1"/>
  <c r="H1047" i="1"/>
  <c r="BO1046" i="1"/>
  <c r="BN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J1046" i="1"/>
  <c r="H1046" i="1"/>
  <c r="BO1045" i="1"/>
  <c r="BN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J1045" i="1"/>
  <c r="H1045" i="1"/>
  <c r="BO1044" i="1"/>
  <c r="BN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J1044" i="1"/>
  <c r="H1044" i="1"/>
  <c r="BO1043" i="1"/>
  <c r="BN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J1043" i="1"/>
  <c r="H1043" i="1"/>
  <c r="BO1042" i="1"/>
  <c r="BN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J1042" i="1"/>
  <c r="H1042" i="1"/>
  <c r="BO1041" i="1"/>
  <c r="BN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J1041" i="1"/>
  <c r="H1041" i="1"/>
  <c r="BO1040" i="1"/>
  <c r="BN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J1040" i="1"/>
  <c r="H1040" i="1"/>
  <c r="BO1039" i="1"/>
  <c r="BN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J1039" i="1"/>
  <c r="H1039" i="1"/>
  <c r="BO1038" i="1"/>
  <c r="BN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J1038" i="1"/>
  <c r="H1038" i="1"/>
  <c r="BO1037" i="1"/>
  <c r="BN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J1037" i="1"/>
  <c r="H1037" i="1"/>
  <c r="BO1036" i="1"/>
  <c r="BN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J1036" i="1"/>
  <c r="H1036" i="1"/>
  <c r="BO1035" i="1"/>
  <c r="BN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J1035" i="1"/>
  <c r="H1035" i="1"/>
  <c r="BO1034" i="1"/>
  <c r="BN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J1034" i="1"/>
  <c r="H1034" i="1"/>
  <c r="BO1033" i="1"/>
  <c r="BN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J1033" i="1"/>
  <c r="H1033" i="1"/>
  <c r="BO1032" i="1"/>
  <c r="BN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J1032" i="1"/>
  <c r="H1032" i="1"/>
  <c r="BO1031" i="1"/>
  <c r="BN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J1031" i="1"/>
  <c r="H1031" i="1"/>
  <c r="BO1030" i="1"/>
  <c r="BN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J1030" i="1"/>
  <c r="H1030" i="1"/>
  <c r="BO1029" i="1"/>
  <c r="BN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J1029" i="1"/>
  <c r="H1029" i="1"/>
  <c r="BO1028" i="1"/>
  <c r="BN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J1028" i="1"/>
  <c r="H1028" i="1"/>
  <c r="BO1027" i="1"/>
  <c r="BN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J1027" i="1"/>
  <c r="H1027" i="1"/>
  <c r="BO1026" i="1"/>
  <c r="BN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J1026" i="1"/>
  <c r="H1026" i="1"/>
  <c r="BO1025" i="1"/>
  <c r="BN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J1025" i="1"/>
  <c r="H1025" i="1"/>
  <c r="BO1024" i="1"/>
  <c r="BN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J1024" i="1"/>
  <c r="H1024" i="1"/>
  <c r="BO1023" i="1"/>
  <c r="BN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J1023" i="1"/>
  <c r="H1023" i="1"/>
  <c r="BO1022" i="1"/>
  <c r="BN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J1022" i="1"/>
  <c r="H1022" i="1"/>
  <c r="BO1021" i="1"/>
  <c r="BN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J1021" i="1"/>
  <c r="H1021" i="1"/>
  <c r="BO1020" i="1"/>
  <c r="BN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J1020" i="1"/>
  <c r="H1020" i="1"/>
  <c r="BO1019" i="1"/>
  <c r="BN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J1019" i="1"/>
  <c r="H1019" i="1"/>
  <c r="BO1018" i="1"/>
  <c r="BN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J1018" i="1"/>
  <c r="H1018" i="1"/>
  <c r="BO1017" i="1"/>
  <c r="BN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J1017" i="1"/>
  <c r="H1017" i="1"/>
  <c r="BO1016" i="1"/>
  <c r="BN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J1016" i="1"/>
  <c r="H1016" i="1"/>
  <c r="BO1015" i="1"/>
  <c r="BN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J1015" i="1"/>
  <c r="H1015" i="1"/>
  <c r="BO1014" i="1"/>
  <c r="BN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J1014" i="1"/>
  <c r="H1014" i="1"/>
  <c r="BO1013" i="1"/>
  <c r="BN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J1013" i="1"/>
  <c r="H1013" i="1"/>
  <c r="BO1012" i="1"/>
  <c r="BN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J1012" i="1"/>
  <c r="H1012" i="1"/>
  <c r="BO1011" i="1"/>
  <c r="BN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J1011" i="1"/>
  <c r="H1011" i="1"/>
  <c r="BO1010" i="1"/>
  <c r="BN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J1010" i="1"/>
  <c r="H1010" i="1"/>
  <c r="BO1009" i="1"/>
  <c r="BN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J1009" i="1"/>
  <c r="H1009" i="1"/>
  <c r="BO1008" i="1"/>
  <c r="BN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J1008" i="1"/>
  <c r="H1008" i="1"/>
  <c r="BO1007" i="1"/>
  <c r="BN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J1007" i="1"/>
  <c r="H1007" i="1"/>
  <c r="BO1006" i="1"/>
  <c r="BN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J1006" i="1"/>
  <c r="H1006" i="1"/>
  <c r="BO1005" i="1"/>
  <c r="BN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J1005" i="1"/>
  <c r="H1005" i="1"/>
  <c r="BO1004" i="1"/>
  <c r="BN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J1004" i="1"/>
  <c r="H1004" i="1"/>
  <c r="BO1003" i="1"/>
  <c r="BN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J1003" i="1"/>
  <c r="H1003" i="1"/>
  <c r="BO1002" i="1"/>
  <c r="BN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J1002" i="1"/>
  <c r="H1002" i="1"/>
  <c r="BO1001" i="1"/>
  <c r="BN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J1001" i="1"/>
  <c r="H1001" i="1"/>
  <c r="BO1000" i="1"/>
  <c r="BN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J1000" i="1"/>
  <c r="H1000" i="1"/>
  <c r="BO999" i="1"/>
  <c r="BN999" i="1"/>
  <c r="BL999" i="1"/>
  <c r="BK999" i="1"/>
  <c r="BJ999" i="1"/>
  <c r="BI999" i="1"/>
  <c r="BH999" i="1"/>
  <c r="BG999" i="1"/>
  <c r="BF999" i="1"/>
  <c r="BE999" i="1"/>
  <c r="BD999" i="1"/>
  <c r="AT999" i="1"/>
  <c r="AR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J999" i="1"/>
  <c r="H999" i="1"/>
  <c r="BO998" i="1"/>
  <c r="BN998" i="1"/>
  <c r="BL998" i="1"/>
  <c r="BK998" i="1"/>
  <c r="BJ998" i="1"/>
  <c r="BI998" i="1"/>
  <c r="BH998" i="1"/>
  <c r="BG998" i="1"/>
  <c r="BF998" i="1"/>
  <c r="BE998" i="1"/>
  <c r="BD998" i="1"/>
  <c r="AT998" i="1"/>
  <c r="AR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J998" i="1"/>
  <c r="H998" i="1"/>
  <c r="BO997" i="1"/>
  <c r="BN997" i="1"/>
  <c r="BL997" i="1"/>
  <c r="BK997" i="1"/>
  <c r="BJ997" i="1"/>
  <c r="BI997" i="1"/>
  <c r="BH997" i="1"/>
  <c r="BG997" i="1"/>
  <c r="BF997" i="1"/>
  <c r="BE997" i="1"/>
  <c r="BD997" i="1"/>
  <c r="AT997" i="1"/>
  <c r="AR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J997" i="1"/>
  <c r="H997" i="1"/>
  <c r="BO996" i="1"/>
  <c r="BN996" i="1"/>
  <c r="BL996" i="1"/>
  <c r="BK996" i="1"/>
  <c r="BJ996" i="1"/>
  <c r="BI996" i="1"/>
  <c r="BH996" i="1"/>
  <c r="BG996" i="1"/>
  <c r="BF996" i="1"/>
  <c r="BE996" i="1"/>
  <c r="BD996" i="1"/>
  <c r="AT996" i="1"/>
  <c r="AR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J996" i="1"/>
  <c r="H996" i="1"/>
  <c r="BO995" i="1"/>
  <c r="BN995" i="1"/>
  <c r="BL995" i="1"/>
  <c r="BK995" i="1"/>
  <c r="BJ995" i="1"/>
  <c r="BI995" i="1"/>
  <c r="BH995" i="1"/>
  <c r="BG995" i="1"/>
  <c r="BF995" i="1"/>
  <c r="BE995" i="1"/>
  <c r="BD995" i="1"/>
  <c r="AT995" i="1"/>
  <c r="AR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J995" i="1"/>
  <c r="H995" i="1"/>
  <c r="BO994" i="1"/>
  <c r="BN994" i="1"/>
  <c r="BL994" i="1"/>
  <c r="BK994" i="1"/>
  <c r="BJ994" i="1"/>
  <c r="BI994" i="1"/>
  <c r="BH994" i="1"/>
  <c r="BG994" i="1"/>
  <c r="BF994" i="1"/>
  <c r="BE994" i="1"/>
  <c r="BD994" i="1"/>
  <c r="AT994" i="1"/>
  <c r="AR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J994" i="1"/>
  <c r="H994" i="1"/>
  <c r="BO993" i="1"/>
  <c r="BN993" i="1"/>
  <c r="BL993" i="1"/>
  <c r="BK993" i="1"/>
  <c r="BJ993" i="1"/>
  <c r="BI993" i="1"/>
  <c r="BH993" i="1"/>
  <c r="BG993" i="1"/>
  <c r="BF993" i="1"/>
  <c r="BE993" i="1"/>
  <c r="BD993" i="1"/>
  <c r="AT993" i="1"/>
  <c r="AR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J993" i="1"/>
  <c r="H993" i="1"/>
  <c r="BO992" i="1"/>
  <c r="BN992" i="1"/>
  <c r="BL992" i="1"/>
  <c r="BK992" i="1"/>
  <c r="BJ992" i="1"/>
  <c r="BI992" i="1"/>
  <c r="BH992" i="1"/>
  <c r="BG992" i="1"/>
  <c r="BF992" i="1"/>
  <c r="BE992" i="1"/>
  <c r="BD992" i="1"/>
  <c r="AT992" i="1"/>
  <c r="AR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J992" i="1"/>
  <c r="H992" i="1"/>
  <c r="BO991" i="1"/>
  <c r="BN991" i="1"/>
  <c r="BL991" i="1"/>
  <c r="BK991" i="1"/>
  <c r="BJ991" i="1"/>
  <c r="BI991" i="1"/>
  <c r="BH991" i="1"/>
  <c r="BG991" i="1"/>
  <c r="BF991" i="1"/>
  <c r="BE991" i="1"/>
  <c r="BD991" i="1"/>
  <c r="AT991" i="1"/>
  <c r="AR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J991" i="1"/>
  <c r="H991" i="1"/>
  <c r="BO990" i="1"/>
  <c r="BN990" i="1"/>
  <c r="BL990" i="1"/>
  <c r="BK990" i="1"/>
  <c r="BJ990" i="1"/>
  <c r="BI990" i="1"/>
  <c r="BH990" i="1"/>
  <c r="BG990" i="1"/>
  <c r="BF990" i="1"/>
  <c r="BE990" i="1"/>
  <c r="BD990" i="1"/>
  <c r="AT990" i="1"/>
  <c r="AR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J990" i="1"/>
  <c r="H990" i="1"/>
  <c r="BO989" i="1"/>
  <c r="BN989" i="1"/>
  <c r="BL989" i="1"/>
  <c r="BK989" i="1"/>
  <c r="BJ989" i="1"/>
  <c r="BI989" i="1"/>
  <c r="BH989" i="1"/>
  <c r="BG989" i="1"/>
  <c r="BF989" i="1"/>
  <c r="BE989" i="1"/>
  <c r="BD989" i="1"/>
  <c r="AT989" i="1"/>
  <c r="AR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J989" i="1"/>
  <c r="H989" i="1"/>
  <c r="BO988" i="1"/>
  <c r="BN988" i="1"/>
  <c r="BL988" i="1"/>
  <c r="BK988" i="1"/>
  <c r="BJ988" i="1"/>
  <c r="BI988" i="1"/>
  <c r="BH988" i="1"/>
  <c r="BG988" i="1"/>
  <c r="BF988" i="1"/>
  <c r="BE988" i="1"/>
  <c r="BD988" i="1"/>
  <c r="AT988" i="1"/>
  <c r="AR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J988" i="1"/>
  <c r="H988" i="1"/>
  <c r="BO987" i="1"/>
  <c r="BN987" i="1"/>
  <c r="BL987" i="1"/>
  <c r="BK987" i="1"/>
  <c r="BJ987" i="1"/>
  <c r="BI987" i="1"/>
  <c r="BH987" i="1"/>
  <c r="BG987" i="1"/>
  <c r="BF987" i="1"/>
  <c r="BE987" i="1"/>
  <c r="BD987" i="1"/>
  <c r="AT987" i="1"/>
  <c r="AR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J987" i="1"/>
  <c r="H987" i="1"/>
  <c r="BO986" i="1"/>
  <c r="BN986" i="1"/>
  <c r="BL986" i="1"/>
  <c r="BK986" i="1"/>
  <c r="BJ986" i="1"/>
  <c r="BI986" i="1"/>
  <c r="BH986" i="1"/>
  <c r="BG986" i="1"/>
  <c r="BF986" i="1"/>
  <c r="BE986" i="1"/>
  <c r="BD986" i="1"/>
  <c r="AT986" i="1"/>
  <c r="AR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J986" i="1"/>
  <c r="H986" i="1"/>
  <c r="BO985" i="1"/>
  <c r="BN985" i="1"/>
  <c r="BL985" i="1"/>
  <c r="BK985" i="1"/>
  <c r="BJ985" i="1"/>
  <c r="BI985" i="1"/>
  <c r="BH985" i="1"/>
  <c r="BG985" i="1"/>
  <c r="BF985" i="1"/>
  <c r="BE985" i="1"/>
  <c r="BD985" i="1"/>
  <c r="AT985" i="1"/>
  <c r="AR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J985" i="1"/>
  <c r="H985" i="1"/>
  <c r="BO984" i="1"/>
  <c r="BN984" i="1"/>
  <c r="BL984" i="1"/>
  <c r="BK984" i="1"/>
  <c r="BJ984" i="1"/>
  <c r="BI984" i="1"/>
  <c r="BH984" i="1"/>
  <c r="BG984" i="1"/>
  <c r="BF984" i="1"/>
  <c r="BE984" i="1"/>
  <c r="BD984" i="1"/>
  <c r="AT984" i="1"/>
  <c r="AR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J984" i="1"/>
  <c r="H984" i="1"/>
  <c r="BO983" i="1"/>
  <c r="BN983" i="1"/>
  <c r="BL983" i="1"/>
  <c r="BK983" i="1"/>
  <c r="BJ983" i="1"/>
  <c r="BI983" i="1"/>
  <c r="BH983" i="1"/>
  <c r="BG983" i="1"/>
  <c r="BF983" i="1"/>
  <c r="BE983" i="1"/>
  <c r="BD983" i="1"/>
  <c r="AT983" i="1"/>
  <c r="AR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J983" i="1"/>
  <c r="H983" i="1"/>
  <c r="BO982" i="1"/>
  <c r="BN982" i="1"/>
  <c r="BL982" i="1"/>
  <c r="BK982" i="1"/>
  <c r="BJ982" i="1"/>
  <c r="BI982" i="1"/>
  <c r="BH982" i="1"/>
  <c r="BG982" i="1"/>
  <c r="BF982" i="1"/>
  <c r="BE982" i="1"/>
  <c r="BD982" i="1"/>
  <c r="AT982" i="1"/>
  <c r="AR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J982" i="1"/>
  <c r="H982" i="1"/>
  <c r="BO981" i="1"/>
  <c r="BN981" i="1"/>
  <c r="BL981" i="1"/>
  <c r="BK981" i="1"/>
  <c r="BJ981" i="1"/>
  <c r="BI981" i="1"/>
  <c r="BH981" i="1"/>
  <c r="BG981" i="1"/>
  <c r="BF981" i="1"/>
  <c r="BE981" i="1"/>
  <c r="BD981" i="1"/>
  <c r="AT981" i="1"/>
  <c r="AR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J981" i="1"/>
  <c r="H981" i="1"/>
  <c r="BO980" i="1"/>
  <c r="BN980" i="1"/>
  <c r="BL980" i="1"/>
  <c r="BK980" i="1"/>
  <c r="BJ980" i="1"/>
  <c r="BI980" i="1"/>
  <c r="BH980" i="1"/>
  <c r="BG980" i="1"/>
  <c r="BF980" i="1"/>
  <c r="BE980" i="1"/>
  <c r="BD980" i="1"/>
  <c r="AT980" i="1"/>
  <c r="AR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J980" i="1"/>
  <c r="H980" i="1"/>
  <c r="BO979" i="1"/>
  <c r="BN979" i="1"/>
  <c r="BL979" i="1"/>
  <c r="BK979" i="1"/>
  <c r="BJ979" i="1"/>
  <c r="BI979" i="1"/>
  <c r="BH979" i="1"/>
  <c r="BG979" i="1"/>
  <c r="BF979" i="1"/>
  <c r="BE979" i="1"/>
  <c r="BD979" i="1"/>
  <c r="AT979" i="1"/>
  <c r="AR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J979" i="1"/>
  <c r="H979" i="1"/>
  <c r="BO978" i="1"/>
  <c r="BN978" i="1"/>
  <c r="BL978" i="1"/>
  <c r="BK978" i="1"/>
  <c r="BJ978" i="1"/>
  <c r="BI978" i="1"/>
  <c r="BH978" i="1"/>
  <c r="BG978" i="1"/>
  <c r="BF978" i="1"/>
  <c r="BE978" i="1"/>
  <c r="BD978" i="1"/>
  <c r="AT978" i="1"/>
  <c r="AR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J978" i="1"/>
  <c r="H978" i="1"/>
  <c r="BO977" i="1"/>
  <c r="BN977" i="1"/>
  <c r="BL977" i="1"/>
  <c r="BK977" i="1"/>
  <c r="BJ977" i="1"/>
  <c r="BI977" i="1"/>
  <c r="BH977" i="1"/>
  <c r="BG977" i="1"/>
  <c r="BF977" i="1"/>
  <c r="BE977" i="1"/>
  <c r="BD977" i="1"/>
  <c r="AT977" i="1"/>
  <c r="AR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J977" i="1"/>
  <c r="H977" i="1"/>
  <c r="BO976" i="1"/>
  <c r="BN976" i="1"/>
  <c r="BL976" i="1"/>
  <c r="BK976" i="1"/>
  <c r="BJ976" i="1"/>
  <c r="BI976" i="1"/>
  <c r="BH976" i="1"/>
  <c r="BG976" i="1"/>
  <c r="BF976" i="1"/>
  <c r="BE976" i="1"/>
  <c r="BD976" i="1"/>
  <c r="AT976" i="1"/>
  <c r="AR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J976" i="1"/>
  <c r="H976" i="1"/>
  <c r="BO975" i="1"/>
  <c r="BN975" i="1"/>
  <c r="BL975" i="1"/>
  <c r="BK975" i="1"/>
  <c r="BJ975" i="1"/>
  <c r="BI975" i="1"/>
  <c r="BH975" i="1"/>
  <c r="BG975" i="1"/>
  <c r="BF975" i="1"/>
  <c r="BE975" i="1"/>
  <c r="BD975" i="1"/>
  <c r="AT975" i="1"/>
  <c r="AR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J975" i="1"/>
  <c r="H975" i="1"/>
  <c r="BO974" i="1"/>
  <c r="BN974" i="1"/>
  <c r="BL974" i="1"/>
  <c r="BK974" i="1"/>
  <c r="BJ974" i="1"/>
  <c r="BI974" i="1"/>
  <c r="BH974" i="1"/>
  <c r="BG974" i="1"/>
  <c r="BF974" i="1"/>
  <c r="BE974" i="1"/>
  <c r="BD974" i="1"/>
  <c r="AT974" i="1"/>
  <c r="AR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J974" i="1"/>
  <c r="H974" i="1"/>
  <c r="BO973" i="1"/>
  <c r="BN973" i="1"/>
  <c r="BL973" i="1"/>
  <c r="BK973" i="1"/>
  <c r="BJ973" i="1"/>
  <c r="BI973" i="1"/>
  <c r="BH973" i="1"/>
  <c r="BG973" i="1"/>
  <c r="BF973" i="1"/>
  <c r="BE973" i="1"/>
  <c r="BD973" i="1"/>
  <c r="AT973" i="1"/>
  <c r="AR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J973" i="1"/>
  <c r="H973" i="1"/>
  <c r="BO972" i="1"/>
  <c r="BN972" i="1"/>
  <c r="BL972" i="1"/>
  <c r="BK972" i="1"/>
  <c r="BJ972" i="1"/>
  <c r="BI972" i="1"/>
  <c r="BH972" i="1"/>
  <c r="BG972" i="1"/>
  <c r="BF972" i="1"/>
  <c r="BE972" i="1"/>
  <c r="BD972" i="1"/>
  <c r="AT972" i="1"/>
  <c r="AR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J972" i="1"/>
  <c r="H972" i="1"/>
  <c r="BO971" i="1"/>
  <c r="BN971" i="1"/>
  <c r="BL971" i="1"/>
  <c r="BK971" i="1"/>
  <c r="BJ971" i="1"/>
  <c r="BI971" i="1"/>
  <c r="BH971" i="1"/>
  <c r="BG971" i="1"/>
  <c r="BF971" i="1"/>
  <c r="BE971" i="1"/>
  <c r="BD971" i="1"/>
  <c r="AT971" i="1"/>
  <c r="AR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J971" i="1"/>
  <c r="H971" i="1"/>
  <c r="BO970" i="1"/>
  <c r="BN970" i="1"/>
  <c r="BL970" i="1"/>
  <c r="BK970" i="1"/>
  <c r="BJ970" i="1"/>
  <c r="BI970" i="1"/>
  <c r="BH970" i="1"/>
  <c r="BG970" i="1"/>
  <c r="BF970" i="1"/>
  <c r="BE970" i="1"/>
  <c r="BD970" i="1"/>
  <c r="AT970" i="1"/>
  <c r="AR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J970" i="1"/>
  <c r="H970" i="1"/>
  <c r="BO969" i="1"/>
  <c r="BN969" i="1"/>
  <c r="BL969" i="1"/>
  <c r="BK969" i="1"/>
  <c r="BJ969" i="1"/>
  <c r="BI969" i="1"/>
  <c r="BH969" i="1"/>
  <c r="BG969" i="1"/>
  <c r="BF969" i="1"/>
  <c r="BE969" i="1"/>
  <c r="BD969" i="1"/>
  <c r="AT969" i="1"/>
  <c r="AR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J969" i="1"/>
  <c r="H969" i="1"/>
  <c r="BO968" i="1"/>
  <c r="BN968" i="1"/>
  <c r="BL968" i="1"/>
  <c r="BK968" i="1"/>
  <c r="BJ968" i="1"/>
  <c r="BI968" i="1"/>
  <c r="BH968" i="1"/>
  <c r="BG968" i="1"/>
  <c r="BF968" i="1"/>
  <c r="BE968" i="1"/>
  <c r="BD968" i="1"/>
  <c r="AT968" i="1"/>
  <c r="AR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J968" i="1"/>
  <c r="H968" i="1"/>
  <c r="BO967" i="1"/>
  <c r="BN967" i="1"/>
  <c r="BL967" i="1"/>
  <c r="BK967" i="1"/>
  <c r="BJ967" i="1"/>
  <c r="BI967" i="1"/>
  <c r="BH967" i="1"/>
  <c r="BG967" i="1"/>
  <c r="BF967" i="1"/>
  <c r="BE967" i="1"/>
  <c r="BD967" i="1"/>
  <c r="AT967" i="1"/>
  <c r="AR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J967" i="1"/>
  <c r="H967" i="1"/>
  <c r="BO966" i="1"/>
  <c r="BN966" i="1"/>
  <c r="BL966" i="1"/>
  <c r="BK966" i="1"/>
  <c r="BJ966" i="1"/>
  <c r="BI966" i="1"/>
  <c r="BH966" i="1"/>
  <c r="BG966" i="1"/>
  <c r="BF966" i="1"/>
  <c r="BE966" i="1"/>
  <c r="BD966" i="1"/>
  <c r="AT966" i="1"/>
  <c r="AR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J966" i="1"/>
  <c r="H966" i="1"/>
  <c r="BO965" i="1"/>
  <c r="BN965" i="1"/>
  <c r="BL965" i="1"/>
  <c r="BK965" i="1"/>
  <c r="BJ965" i="1"/>
  <c r="BI965" i="1"/>
  <c r="BH965" i="1"/>
  <c r="BG965" i="1"/>
  <c r="BF965" i="1"/>
  <c r="BE965" i="1"/>
  <c r="BD965" i="1"/>
  <c r="AT965" i="1"/>
  <c r="AR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J965" i="1"/>
  <c r="H965" i="1"/>
  <c r="BO964" i="1"/>
  <c r="BN964" i="1"/>
  <c r="BL964" i="1"/>
  <c r="BK964" i="1"/>
  <c r="BJ964" i="1"/>
  <c r="BI964" i="1"/>
  <c r="BH964" i="1"/>
  <c r="BG964" i="1"/>
  <c r="BF964" i="1"/>
  <c r="BE964" i="1"/>
  <c r="BD964" i="1"/>
  <c r="AT964" i="1"/>
  <c r="AR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J964" i="1"/>
  <c r="H964" i="1"/>
  <c r="BO963" i="1"/>
  <c r="BN963" i="1"/>
  <c r="BL963" i="1"/>
  <c r="BK963" i="1"/>
  <c r="BJ963" i="1"/>
  <c r="BI963" i="1"/>
  <c r="BH963" i="1"/>
  <c r="BG963" i="1"/>
  <c r="BF963" i="1"/>
  <c r="BE963" i="1"/>
  <c r="BD963" i="1"/>
  <c r="AT963" i="1"/>
  <c r="AR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J963" i="1"/>
  <c r="H963" i="1"/>
  <c r="BO962" i="1"/>
  <c r="BN962" i="1"/>
  <c r="BL962" i="1"/>
  <c r="BK962" i="1"/>
  <c r="BJ962" i="1"/>
  <c r="BI962" i="1"/>
  <c r="BH962" i="1"/>
  <c r="BG962" i="1"/>
  <c r="BF962" i="1"/>
  <c r="BE962" i="1"/>
  <c r="BD962" i="1"/>
  <c r="AT962" i="1"/>
  <c r="AR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J962" i="1"/>
  <c r="H962" i="1"/>
  <c r="BO961" i="1"/>
  <c r="BN961" i="1"/>
  <c r="BL961" i="1"/>
  <c r="BK961" i="1"/>
  <c r="BJ961" i="1"/>
  <c r="BI961" i="1"/>
  <c r="BH961" i="1"/>
  <c r="BG961" i="1"/>
  <c r="BF961" i="1"/>
  <c r="BE961" i="1"/>
  <c r="BD961" i="1"/>
  <c r="AT961" i="1"/>
  <c r="AR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J961" i="1"/>
  <c r="H961" i="1"/>
  <c r="BO960" i="1"/>
  <c r="BN960" i="1"/>
  <c r="BL960" i="1"/>
  <c r="BK960" i="1"/>
  <c r="BJ960" i="1"/>
  <c r="BI960" i="1"/>
  <c r="BH960" i="1"/>
  <c r="BG960" i="1"/>
  <c r="BF960" i="1"/>
  <c r="BE960" i="1"/>
  <c r="BD960" i="1"/>
  <c r="AT960" i="1"/>
  <c r="AR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J960" i="1"/>
  <c r="H960" i="1"/>
  <c r="BO959" i="1"/>
  <c r="BN959" i="1"/>
  <c r="BL959" i="1"/>
  <c r="BK959" i="1"/>
  <c r="BJ959" i="1"/>
  <c r="BI959" i="1"/>
  <c r="BH959" i="1"/>
  <c r="BG959" i="1"/>
  <c r="BF959" i="1"/>
  <c r="BE959" i="1"/>
  <c r="BD959" i="1"/>
  <c r="AT959" i="1"/>
  <c r="AR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J959" i="1"/>
  <c r="H959" i="1"/>
  <c r="BO958" i="1"/>
  <c r="BN958" i="1"/>
  <c r="BL958" i="1"/>
  <c r="BK958" i="1"/>
  <c r="BJ958" i="1"/>
  <c r="BI958" i="1"/>
  <c r="BH958" i="1"/>
  <c r="BG958" i="1"/>
  <c r="BF958" i="1"/>
  <c r="BE958" i="1"/>
  <c r="BD958" i="1"/>
  <c r="AT958" i="1"/>
  <c r="AR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J958" i="1"/>
  <c r="H958" i="1"/>
  <c r="BO957" i="1"/>
  <c r="BN957" i="1"/>
  <c r="BL957" i="1"/>
  <c r="BK957" i="1"/>
  <c r="BJ957" i="1"/>
  <c r="BI957" i="1"/>
  <c r="BH957" i="1"/>
  <c r="BG957" i="1"/>
  <c r="BF957" i="1"/>
  <c r="BE957" i="1"/>
  <c r="BD957" i="1"/>
  <c r="AT957" i="1"/>
  <c r="AR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J957" i="1"/>
  <c r="H957" i="1"/>
  <c r="BO956" i="1"/>
  <c r="BN956" i="1"/>
  <c r="BL956" i="1"/>
  <c r="BK956" i="1"/>
  <c r="BJ956" i="1"/>
  <c r="BI956" i="1"/>
  <c r="BH956" i="1"/>
  <c r="BG956" i="1"/>
  <c r="BF956" i="1"/>
  <c r="BE956" i="1"/>
  <c r="BD956" i="1"/>
  <c r="AT956" i="1"/>
  <c r="AR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J956" i="1"/>
  <c r="H956" i="1"/>
  <c r="BO955" i="1"/>
  <c r="BN955" i="1"/>
  <c r="BL955" i="1"/>
  <c r="BK955" i="1"/>
  <c r="BJ955" i="1"/>
  <c r="BI955" i="1"/>
  <c r="BH955" i="1"/>
  <c r="BG955" i="1"/>
  <c r="BF955" i="1"/>
  <c r="BE955" i="1"/>
  <c r="BD955" i="1"/>
  <c r="AT955" i="1"/>
  <c r="AR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J955" i="1"/>
  <c r="H955" i="1"/>
  <c r="BO954" i="1"/>
  <c r="BN954" i="1"/>
  <c r="BL954" i="1"/>
  <c r="BK954" i="1"/>
  <c r="BJ954" i="1"/>
  <c r="BI954" i="1"/>
  <c r="BH954" i="1"/>
  <c r="BG954" i="1"/>
  <c r="BF954" i="1"/>
  <c r="BE954" i="1"/>
  <c r="BD954" i="1"/>
  <c r="AT954" i="1"/>
  <c r="AR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J954" i="1"/>
  <c r="H954" i="1"/>
  <c r="BO953" i="1"/>
  <c r="BN953" i="1"/>
  <c r="BL953" i="1"/>
  <c r="BK953" i="1"/>
  <c r="BJ953" i="1"/>
  <c r="BI953" i="1"/>
  <c r="BH953" i="1"/>
  <c r="BG953" i="1"/>
  <c r="BF953" i="1"/>
  <c r="BE953" i="1"/>
  <c r="BD953" i="1"/>
  <c r="AT953" i="1"/>
  <c r="AR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J953" i="1"/>
  <c r="H953" i="1"/>
  <c r="BO952" i="1"/>
  <c r="BN952" i="1"/>
  <c r="BL952" i="1"/>
  <c r="BK952" i="1"/>
  <c r="BJ952" i="1"/>
  <c r="BI952" i="1"/>
  <c r="BH952" i="1"/>
  <c r="BG952" i="1"/>
  <c r="BF952" i="1"/>
  <c r="BE952" i="1"/>
  <c r="BD952" i="1"/>
  <c r="AT952" i="1"/>
  <c r="AR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J952" i="1"/>
  <c r="H952" i="1"/>
  <c r="BO951" i="1"/>
  <c r="BN951" i="1"/>
  <c r="BL951" i="1"/>
  <c r="BK951" i="1"/>
  <c r="BJ951" i="1"/>
  <c r="BI951" i="1"/>
  <c r="BH951" i="1"/>
  <c r="BG951" i="1"/>
  <c r="BF951" i="1"/>
  <c r="BE951" i="1"/>
  <c r="BD951" i="1"/>
  <c r="AT951" i="1"/>
  <c r="AR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J951" i="1"/>
  <c r="H951" i="1"/>
  <c r="BO950" i="1"/>
  <c r="BN950" i="1"/>
  <c r="BL950" i="1"/>
  <c r="BK950" i="1"/>
  <c r="BJ950" i="1"/>
  <c r="BI950" i="1"/>
  <c r="BH950" i="1"/>
  <c r="BG950" i="1"/>
  <c r="BF950" i="1"/>
  <c r="BE950" i="1"/>
  <c r="BD950" i="1"/>
  <c r="AT950" i="1"/>
  <c r="AR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J950" i="1"/>
  <c r="H950" i="1"/>
  <c r="BO949" i="1"/>
  <c r="BN949" i="1"/>
  <c r="BL949" i="1"/>
  <c r="BK949" i="1"/>
  <c r="BJ949" i="1"/>
  <c r="BI949" i="1"/>
  <c r="BH949" i="1"/>
  <c r="BG949" i="1"/>
  <c r="BF949" i="1"/>
  <c r="BE949" i="1"/>
  <c r="BD949" i="1"/>
  <c r="AT949" i="1"/>
  <c r="AR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J949" i="1"/>
  <c r="H949" i="1"/>
  <c r="BO948" i="1"/>
  <c r="BN948" i="1"/>
  <c r="BL948" i="1"/>
  <c r="BK948" i="1"/>
  <c r="BJ948" i="1"/>
  <c r="BI948" i="1"/>
  <c r="BH948" i="1"/>
  <c r="BG948" i="1"/>
  <c r="BF948" i="1"/>
  <c r="BE948" i="1"/>
  <c r="BD948" i="1"/>
  <c r="AT948" i="1"/>
  <c r="AR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J948" i="1"/>
  <c r="H948" i="1"/>
  <c r="BO947" i="1"/>
  <c r="BN947" i="1"/>
  <c r="BL947" i="1"/>
  <c r="BK947" i="1"/>
  <c r="BJ947" i="1"/>
  <c r="BI947" i="1"/>
  <c r="BH947" i="1"/>
  <c r="BG947" i="1"/>
  <c r="BF947" i="1"/>
  <c r="BE947" i="1"/>
  <c r="BD947" i="1"/>
  <c r="AT947" i="1"/>
  <c r="AR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J947" i="1"/>
  <c r="H947" i="1"/>
  <c r="BO946" i="1"/>
  <c r="BN946" i="1"/>
  <c r="BL946" i="1"/>
  <c r="BK946" i="1"/>
  <c r="BJ946" i="1"/>
  <c r="BI946" i="1"/>
  <c r="BH946" i="1"/>
  <c r="BG946" i="1"/>
  <c r="BF946" i="1"/>
  <c r="BE946" i="1"/>
  <c r="BD946" i="1"/>
  <c r="AT946" i="1"/>
  <c r="AR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J946" i="1"/>
  <c r="H946" i="1"/>
  <c r="BO945" i="1"/>
  <c r="BN945" i="1"/>
  <c r="BL945" i="1"/>
  <c r="BK945" i="1"/>
  <c r="BJ945" i="1"/>
  <c r="BI945" i="1"/>
  <c r="BH945" i="1"/>
  <c r="BG945" i="1"/>
  <c r="BF945" i="1"/>
  <c r="BE945" i="1"/>
  <c r="BD945" i="1"/>
  <c r="AT945" i="1"/>
  <c r="AR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J945" i="1"/>
  <c r="H945" i="1"/>
  <c r="BO944" i="1"/>
  <c r="BN944" i="1"/>
  <c r="BL944" i="1"/>
  <c r="BK944" i="1"/>
  <c r="BJ944" i="1"/>
  <c r="BI944" i="1"/>
  <c r="BH944" i="1"/>
  <c r="BG944" i="1"/>
  <c r="BF944" i="1"/>
  <c r="BE944" i="1"/>
  <c r="BD944" i="1"/>
  <c r="AT944" i="1"/>
  <c r="AR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J944" i="1"/>
  <c r="H944" i="1"/>
  <c r="BO943" i="1"/>
  <c r="BN943" i="1"/>
  <c r="BL943" i="1"/>
  <c r="BK943" i="1"/>
  <c r="BJ943" i="1"/>
  <c r="BI943" i="1"/>
  <c r="BH943" i="1"/>
  <c r="BG943" i="1"/>
  <c r="BF943" i="1"/>
  <c r="BE943" i="1"/>
  <c r="BD943" i="1"/>
  <c r="AT943" i="1"/>
  <c r="AR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J943" i="1"/>
  <c r="H943" i="1"/>
  <c r="BO942" i="1"/>
  <c r="BN942" i="1"/>
  <c r="BL942" i="1"/>
  <c r="BK942" i="1"/>
  <c r="BJ942" i="1"/>
  <c r="BI942" i="1"/>
  <c r="BH942" i="1"/>
  <c r="BG942" i="1"/>
  <c r="BF942" i="1"/>
  <c r="BE942" i="1"/>
  <c r="BD942" i="1"/>
  <c r="AT942" i="1"/>
  <c r="AR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J942" i="1"/>
  <c r="H942" i="1"/>
  <c r="BO941" i="1"/>
  <c r="BN941" i="1"/>
  <c r="BL941" i="1"/>
  <c r="BK941" i="1"/>
  <c r="BJ941" i="1"/>
  <c r="BI941" i="1"/>
  <c r="BH941" i="1"/>
  <c r="BG941" i="1"/>
  <c r="BF941" i="1"/>
  <c r="BE941" i="1"/>
  <c r="BD941" i="1"/>
  <c r="AT941" i="1"/>
  <c r="AR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J941" i="1"/>
  <c r="H941" i="1"/>
  <c r="BO940" i="1"/>
  <c r="BN940" i="1"/>
  <c r="BL940" i="1"/>
  <c r="BK940" i="1"/>
  <c r="BJ940" i="1"/>
  <c r="BI940" i="1"/>
  <c r="BH940" i="1"/>
  <c r="BG940" i="1"/>
  <c r="BF940" i="1"/>
  <c r="BE940" i="1"/>
  <c r="BD940" i="1"/>
  <c r="AT940" i="1"/>
  <c r="AR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J940" i="1"/>
  <c r="H940" i="1"/>
  <c r="BO939" i="1"/>
  <c r="BN939" i="1"/>
  <c r="BL939" i="1"/>
  <c r="BK939" i="1"/>
  <c r="BJ939" i="1"/>
  <c r="BI939" i="1"/>
  <c r="BH939" i="1"/>
  <c r="BG939" i="1"/>
  <c r="BF939" i="1"/>
  <c r="BE939" i="1"/>
  <c r="BD939" i="1"/>
  <c r="AT939" i="1"/>
  <c r="AR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J939" i="1"/>
  <c r="H939" i="1"/>
  <c r="BO938" i="1"/>
  <c r="BN938" i="1"/>
  <c r="BL938" i="1"/>
  <c r="BK938" i="1"/>
  <c r="BJ938" i="1"/>
  <c r="BI938" i="1"/>
  <c r="BH938" i="1"/>
  <c r="BG938" i="1"/>
  <c r="BF938" i="1"/>
  <c r="BE938" i="1"/>
  <c r="BD938" i="1"/>
  <c r="AT938" i="1"/>
  <c r="AR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J938" i="1"/>
  <c r="H938" i="1"/>
  <c r="BO937" i="1"/>
  <c r="BN937" i="1"/>
  <c r="BL937" i="1"/>
  <c r="BK937" i="1"/>
  <c r="BJ937" i="1"/>
  <c r="BI937" i="1"/>
  <c r="BH937" i="1"/>
  <c r="BG937" i="1"/>
  <c r="BF937" i="1"/>
  <c r="BE937" i="1"/>
  <c r="BD937" i="1"/>
  <c r="AT937" i="1"/>
  <c r="AR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J937" i="1"/>
  <c r="H937" i="1"/>
  <c r="BO936" i="1"/>
  <c r="BN936" i="1"/>
  <c r="BL936" i="1"/>
  <c r="BK936" i="1"/>
  <c r="BJ936" i="1"/>
  <c r="BI936" i="1"/>
  <c r="BH936" i="1"/>
  <c r="BG936" i="1"/>
  <c r="BF936" i="1"/>
  <c r="BE936" i="1"/>
  <c r="BD936" i="1"/>
  <c r="AT936" i="1"/>
  <c r="AR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J936" i="1"/>
  <c r="H936" i="1"/>
  <c r="BO935" i="1"/>
  <c r="BN935" i="1"/>
  <c r="BL935" i="1"/>
  <c r="BK935" i="1"/>
  <c r="BJ935" i="1"/>
  <c r="BI935" i="1"/>
  <c r="BH935" i="1"/>
  <c r="BG935" i="1"/>
  <c r="BF935" i="1"/>
  <c r="BE935" i="1"/>
  <c r="BD935" i="1"/>
  <c r="AT935" i="1"/>
  <c r="AR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J935" i="1"/>
  <c r="H935" i="1"/>
  <c r="BO934" i="1"/>
  <c r="BN934" i="1"/>
  <c r="BL934" i="1"/>
  <c r="BK934" i="1"/>
  <c r="BJ934" i="1"/>
  <c r="BI934" i="1"/>
  <c r="BH934" i="1"/>
  <c r="BG934" i="1"/>
  <c r="BF934" i="1"/>
  <c r="BE934" i="1"/>
  <c r="BD934" i="1"/>
  <c r="AT934" i="1"/>
  <c r="AR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J934" i="1"/>
  <c r="H934" i="1"/>
  <c r="BO933" i="1"/>
  <c r="BN933" i="1"/>
  <c r="BL933" i="1"/>
  <c r="BK933" i="1"/>
  <c r="BJ933" i="1"/>
  <c r="BI933" i="1"/>
  <c r="BH933" i="1"/>
  <c r="BG933" i="1"/>
  <c r="BF933" i="1"/>
  <c r="BE933" i="1"/>
  <c r="BD933" i="1"/>
  <c r="AT933" i="1"/>
  <c r="AR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J933" i="1"/>
  <c r="H933" i="1"/>
  <c r="BO932" i="1"/>
  <c r="BN932" i="1"/>
  <c r="BL932" i="1"/>
  <c r="BK932" i="1"/>
  <c r="BJ932" i="1"/>
  <c r="BI932" i="1"/>
  <c r="BH932" i="1"/>
  <c r="BG932" i="1"/>
  <c r="BF932" i="1"/>
  <c r="BE932" i="1"/>
  <c r="BD932" i="1"/>
  <c r="AT932" i="1"/>
  <c r="AR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J932" i="1"/>
  <c r="H932" i="1"/>
  <c r="BO931" i="1"/>
  <c r="BN931" i="1"/>
  <c r="BL931" i="1"/>
  <c r="BK931" i="1"/>
  <c r="BJ931" i="1"/>
  <c r="BI931" i="1"/>
  <c r="BH931" i="1"/>
  <c r="BG931" i="1"/>
  <c r="BF931" i="1"/>
  <c r="BE931" i="1"/>
  <c r="BD931" i="1"/>
  <c r="AT931" i="1"/>
  <c r="AR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J931" i="1"/>
  <c r="H931" i="1"/>
  <c r="BO930" i="1"/>
  <c r="BN930" i="1"/>
  <c r="BL930" i="1"/>
  <c r="BK930" i="1"/>
  <c r="BJ930" i="1"/>
  <c r="BI930" i="1"/>
  <c r="BH930" i="1"/>
  <c r="BG930" i="1"/>
  <c r="BF930" i="1"/>
  <c r="BE930" i="1"/>
  <c r="BD930" i="1"/>
  <c r="AT930" i="1"/>
  <c r="AR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J930" i="1"/>
  <c r="H930" i="1"/>
  <c r="BO929" i="1"/>
  <c r="BN929" i="1"/>
  <c r="BL929" i="1"/>
  <c r="BK929" i="1"/>
  <c r="BJ929" i="1"/>
  <c r="BI929" i="1"/>
  <c r="BH929" i="1"/>
  <c r="BG929" i="1"/>
  <c r="BF929" i="1"/>
  <c r="BE929" i="1"/>
  <c r="BD929" i="1"/>
  <c r="AT929" i="1"/>
  <c r="AR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J929" i="1"/>
  <c r="H929" i="1"/>
  <c r="BO928" i="1"/>
  <c r="BN928" i="1"/>
  <c r="BL928" i="1"/>
  <c r="BK928" i="1"/>
  <c r="BJ928" i="1"/>
  <c r="BI928" i="1"/>
  <c r="BH928" i="1"/>
  <c r="BG928" i="1"/>
  <c r="BF928" i="1"/>
  <c r="BE928" i="1"/>
  <c r="BD928" i="1"/>
  <c r="AT928" i="1"/>
  <c r="AR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J928" i="1"/>
  <c r="H928" i="1"/>
  <c r="BO927" i="1"/>
  <c r="BN927" i="1"/>
  <c r="BL927" i="1"/>
  <c r="BK927" i="1"/>
  <c r="BJ927" i="1"/>
  <c r="BI927" i="1"/>
  <c r="BH927" i="1"/>
  <c r="BG927" i="1"/>
  <c r="BF927" i="1"/>
  <c r="BE927" i="1"/>
  <c r="BD927" i="1"/>
  <c r="AT927" i="1"/>
  <c r="AR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J927" i="1"/>
  <c r="H927" i="1"/>
  <c r="BO926" i="1"/>
  <c r="BN926" i="1"/>
  <c r="BL926" i="1"/>
  <c r="BK926" i="1"/>
  <c r="BJ926" i="1"/>
  <c r="BI926" i="1"/>
  <c r="BH926" i="1"/>
  <c r="BG926" i="1"/>
  <c r="BF926" i="1"/>
  <c r="BE926" i="1"/>
  <c r="BD926" i="1"/>
  <c r="AT926" i="1"/>
  <c r="AR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J926" i="1"/>
  <c r="H926" i="1"/>
  <c r="BO925" i="1"/>
  <c r="BN925" i="1"/>
  <c r="BL925" i="1"/>
  <c r="BK925" i="1"/>
  <c r="BJ925" i="1"/>
  <c r="BI925" i="1"/>
  <c r="BH925" i="1"/>
  <c r="BG925" i="1"/>
  <c r="BF925" i="1"/>
  <c r="BE925" i="1"/>
  <c r="BD925" i="1"/>
  <c r="AT925" i="1"/>
  <c r="AR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J925" i="1"/>
  <c r="H925" i="1"/>
  <c r="BO924" i="1"/>
  <c r="BN924" i="1"/>
  <c r="BL924" i="1"/>
  <c r="BK924" i="1"/>
  <c r="BJ924" i="1"/>
  <c r="BI924" i="1"/>
  <c r="BH924" i="1"/>
  <c r="BG924" i="1"/>
  <c r="BF924" i="1"/>
  <c r="BE924" i="1"/>
  <c r="BD924" i="1"/>
  <c r="AT924" i="1"/>
  <c r="AR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J924" i="1"/>
  <c r="H924" i="1"/>
  <c r="BO923" i="1"/>
  <c r="BN923" i="1"/>
  <c r="BL923" i="1"/>
  <c r="BK923" i="1"/>
  <c r="BJ923" i="1"/>
  <c r="BI923" i="1"/>
  <c r="BH923" i="1"/>
  <c r="BG923" i="1"/>
  <c r="BF923" i="1"/>
  <c r="BE923" i="1"/>
  <c r="BD923" i="1"/>
  <c r="AT923" i="1"/>
  <c r="AR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J923" i="1"/>
  <c r="H923" i="1"/>
  <c r="BO922" i="1"/>
  <c r="BN922" i="1"/>
  <c r="BL922" i="1"/>
  <c r="BK922" i="1"/>
  <c r="BJ922" i="1"/>
  <c r="BI922" i="1"/>
  <c r="BH922" i="1"/>
  <c r="BG922" i="1"/>
  <c r="BF922" i="1"/>
  <c r="BE922" i="1"/>
  <c r="BD922" i="1"/>
  <c r="AT922" i="1"/>
  <c r="AR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J922" i="1"/>
  <c r="H922" i="1"/>
  <c r="BO921" i="1"/>
  <c r="BN921" i="1"/>
  <c r="BL921" i="1"/>
  <c r="BK921" i="1"/>
  <c r="BJ921" i="1"/>
  <c r="BI921" i="1"/>
  <c r="BH921" i="1"/>
  <c r="BG921" i="1"/>
  <c r="BF921" i="1"/>
  <c r="BE921" i="1"/>
  <c r="BD921" i="1"/>
  <c r="AT921" i="1"/>
  <c r="AR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J921" i="1"/>
  <c r="H921" i="1"/>
  <c r="BO920" i="1"/>
  <c r="BN920" i="1"/>
  <c r="BL920" i="1"/>
  <c r="BK920" i="1"/>
  <c r="BJ920" i="1"/>
  <c r="BI920" i="1"/>
  <c r="BH920" i="1"/>
  <c r="BG920" i="1"/>
  <c r="BF920" i="1"/>
  <c r="BE920" i="1"/>
  <c r="BD920" i="1"/>
  <c r="AT920" i="1"/>
  <c r="AR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J920" i="1"/>
  <c r="H920" i="1"/>
  <c r="BO919" i="1"/>
  <c r="BN919" i="1"/>
  <c r="BL919" i="1"/>
  <c r="BK919" i="1"/>
  <c r="BJ919" i="1"/>
  <c r="BI919" i="1"/>
  <c r="BH919" i="1"/>
  <c r="BG919" i="1"/>
  <c r="BF919" i="1"/>
  <c r="BE919" i="1"/>
  <c r="BD919" i="1"/>
  <c r="AT919" i="1"/>
  <c r="AR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J919" i="1"/>
  <c r="H919" i="1"/>
  <c r="BO918" i="1"/>
  <c r="BN918" i="1"/>
  <c r="BL918" i="1"/>
  <c r="BK918" i="1"/>
  <c r="BJ918" i="1"/>
  <c r="BI918" i="1"/>
  <c r="BH918" i="1"/>
  <c r="BG918" i="1"/>
  <c r="BF918" i="1"/>
  <c r="BE918" i="1"/>
  <c r="BD918" i="1"/>
  <c r="AT918" i="1"/>
  <c r="AR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J918" i="1"/>
  <c r="H918" i="1"/>
  <c r="BO917" i="1"/>
  <c r="BN917" i="1"/>
  <c r="BL917" i="1"/>
  <c r="BK917" i="1"/>
  <c r="BJ917" i="1"/>
  <c r="BI917" i="1"/>
  <c r="BH917" i="1"/>
  <c r="BG917" i="1"/>
  <c r="BF917" i="1"/>
  <c r="BE917" i="1"/>
  <c r="BD917" i="1"/>
  <c r="AT917" i="1"/>
  <c r="AR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J917" i="1"/>
  <c r="H917" i="1"/>
  <c r="BO916" i="1"/>
  <c r="BN916" i="1"/>
  <c r="BL916" i="1"/>
  <c r="BK916" i="1"/>
  <c r="BJ916" i="1"/>
  <c r="BI916" i="1"/>
  <c r="BH916" i="1"/>
  <c r="BG916" i="1"/>
  <c r="BF916" i="1"/>
  <c r="BE916" i="1"/>
  <c r="BD916" i="1"/>
  <c r="AT916" i="1"/>
  <c r="AR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J916" i="1"/>
  <c r="H916" i="1"/>
  <c r="BO915" i="1"/>
  <c r="BN915" i="1"/>
  <c r="BL915" i="1"/>
  <c r="BK915" i="1"/>
  <c r="BJ915" i="1"/>
  <c r="BI915" i="1"/>
  <c r="BH915" i="1"/>
  <c r="BG915" i="1"/>
  <c r="BF915" i="1"/>
  <c r="BE915" i="1"/>
  <c r="BD915" i="1"/>
  <c r="AT915" i="1"/>
  <c r="AR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J915" i="1"/>
  <c r="H915" i="1"/>
  <c r="BO914" i="1"/>
  <c r="BN914" i="1"/>
  <c r="BL914" i="1"/>
  <c r="BK914" i="1"/>
  <c r="BJ914" i="1"/>
  <c r="BI914" i="1"/>
  <c r="BH914" i="1"/>
  <c r="BG914" i="1"/>
  <c r="BF914" i="1"/>
  <c r="BE914" i="1"/>
  <c r="BD914" i="1"/>
  <c r="AT914" i="1"/>
  <c r="AR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J914" i="1"/>
  <c r="H914" i="1"/>
  <c r="BO913" i="1"/>
  <c r="BN913" i="1"/>
  <c r="BL913" i="1"/>
  <c r="BK913" i="1"/>
  <c r="BJ913" i="1"/>
  <c r="BI913" i="1"/>
  <c r="BH913" i="1"/>
  <c r="BG913" i="1"/>
  <c r="BF913" i="1"/>
  <c r="BE913" i="1"/>
  <c r="BD913" i="1"/>
  <c r="AT913" i="1"/>
  <c r="AR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J913" i="1"/>
  <c r="H913" i="1"/>
  <c r="BO912" i="1"/>
  <c r="BN912" i="1"/>
  <c r="BL912" i="1"/>
  <c r="BK912" i="1"/>
  <c r="BJ912" i="1"/>
  <c r="BI912" i="1"/>
  <c r="BH912" i="1"/>
  <c r="BG912" i="1"/>
  <c r="BF912" i="1"/>
  <c r="BE912" i="1"/>
  <c r="BD912" i="1"/>
  <c r="AT912" i="1"/>
  <c r="AR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J912" i="1"/>
  <c r="H912" i="1"/>
  <c r="BO911" i="1"/>
  <c r="BN911" i="1"/>
  <c r="BL911" i="1"/>
  <c r="BK911" i="1"/>
  <c r="BJ911" i="1"/>
  <c r="BI911" i="1"/>
  <c r="BH911" i="1"/>
  <c r="BG911" i="1"/>
  <c r="BF911" i="1"/>
  <c r="BE911" i="1"/>
  <c r="BD911" i="1"/>
  <c r="AT911" i="1"/>
  <c r="AR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J911" i="1"/>
  <c r="H911" i="1"/>
  <c r="BO910" i="1"/>
  <c r="BN910" i="1"/>
  <c r="BL910" i="1"/>
  <c r="BK910" i="1"/>
  <c r="BJ910" i="1"/>
  <c r="BI910" i="1"/>
  <c r="BH910" i="1"/>
  <c r="BG910" i="1"/>
  <c r="BF910" i="1"/>
  <c r="BE910" i="1"/>
  <c r="BD910" i="1"/>
  <c r="AT910" i="1"/>
  <c r="AR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J910" i="1"/>
  <c r="H910" i="1"/>
  <c r="BO909" i="1"/>
  <c r="BN909" i="1"/>
  <c r="BL909" i="1"/>
  <c r="BK909" i="1"/>
  <c r="BJ909" i="1"/>
  <c r="BI909" i="1"/>
  <c r="BH909" i="1"/>
  <c r="BG909" i="1"/>
  <c r="BF909" i="1"/>
  <c r="BE909" i="1"/>
  <c r="BD909" i="1"/>
  <c r="AT909" i="1"/>
  <c r="AR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J909" i="1"/>
  <c r="H909" i="1"/>
  <c r="BO908" i="1"/>
  <c r="BN908" i="1"/>
  <c r="BL908" i="1"/>
  <c r="BK908" i="1"/>
  <c r="BJ908" i="1"/>
  <c r="BI908" i="1"/>
  <c r="BH908" i="1"/>
  <c r="BG908" i="1"/>
  <c r="BF908" i="1"/>
  <c r="BE908" i="1"/>
  <c r="BD908" i="1"/>
  <c r="AT908" i="1"/>
  <c r="AR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J908" i="1"/>
  <c r="H908" i="1"/>
  <c r="BO907" i="1"/>
  <c r="BN907" i="1"/>
  <c r="BL907" i="1"/>
  <c r="BK907" i="1"/>
  <c r="BJ907" i="1"/>
  <c r="BI907" i="1"/>
  <c r="BH907" i="1"/>
  <c r="BG907" i="1"/>
  <c r="BF907" i="1"/>
  <c r="BE907" i="1"/>
  <c r="BD907" i="1"/>
  <c r="AT907" i="1"/>
  <c r="AR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J907" i="1"/>
  <c r="H907" i="1"/>
  <c r="BO906" i="1"/>
  <c r="BN906" i="1"/>
  <c r="BL906" i="1"/>
  <c r="BK906" i="1"/>
  <c r="BJ906" i="1"/>
  <c r="BI906" i="1"/>
  <c r="BH906" i="1"/>
  <c r="BG906" i="1"/>
  <c r="BF906" i="1"/>
  <c r="BE906" i="1"/>
  <c r="BD906" i="1"/>
  <c r="AT906" i="1"/>
  <c r="AR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J906" i="1"/>
  <c r="H906" i="1"/>
  <c r="BO905" i="1"/>
  <c r="BN905" i="1"/>
  <c r="BL905" i="1"/>
  <c r="BK905" i="1"/>
  <c r="BJ905" i="1"/>
  <c r="BI905" i="1"/>
  <c r="BH905" i="1"/>
  <c r="BG905" i="1"/>
  <c r="BF905" i="1"/>
  <c r="BE905" i="1"/>
  <c r="BD905" i="1"/>
  <c r="AT905" i="1"/>
  <c r="AR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J905" i="1"/>
  <c r="H905" i="1"/>
  <c r="BO904" i="1"/>
  <c r="BN904" i="1"/>
  <c r="BL904" i="1"/>
  <c r="BK904" i="1"/>
  <c r="BJ904" i="1"/>
  <c r="BI904" i="1"/>
  <c r="BH904" i="1"/>
  <c r="BG904" i="1"/>
  <c r="BF904" i="1"/>
  <c r="BE904" i="1"/>
  <c r="BD904" i="1"/>
  <c r="AT904" i="1"/>
  <c r="AR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J904" i="1"/>
  <c r="H904" i="1"/>
  <c r="BO903" i="1"/>
  <c r="BN903" i="1"/>
  <c r="BL903" i="1"/>
  <c r="BK903" i="1"/>
  <c r="BJ903" i="1"/>
  <c r="BI903" i="1"/>
  <c r="BH903" i="1"/>
  <c r="BG903" i="1"/>
  <c r="BF903" i="1"/>
  <c r="BE903" i="1"/>
  <c r="BD903" i="1"/>
  <c r="AT903" i="1"/>
  <c r="AR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J903" i="1"/>
  <c r="H903" i="1"/>
  <c r="BO902" i="1"/>
  <c r="BN902" i="1"/>
  <c r="BL902" i="1"/>
  <c r="BK902" i="1"/>
  <c r="BJ902" i="1"/>
  <c r="BI902" i="1"/>
  <c r="BH902" i="1"/>
  <c r="BG902" i="1"/>
  <c r="BF902" i="1"/>
  <c r="BE902" i="1"/>
  <c r="BD902" i="1"/>
  <c r="AT902" i="1"/>
  <c r="AR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J902" i="1"/>
  <c r="H902" i="1"/>
  <c r="BO901" i="1"/>
  <c r="BN901" i="1"/>
  <c r="BL901" i="1"/>
  <c r="BK901" i="1"/>
  <c r="BJ901" i="1"/>
  <c r="BI901" i="1"/>
  <c r="BH901" i="1"/>
  <c r="BG901" i="1"/>
  <c r="BF901" i="1"/>
  <c r="BE901" i="1"/>
  <c r="BD901" i="1"/>
  <c r="AT901" i="1"/>
  <c r="AR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J901" i="1"/>
  <c r="H901" i="1"/>
  <c r="BO900" i="1"/>
  <c r="BN900" i="1"/>
  <c r="BL900" i="1"/>
  <c r="BK900" i="1"/>
  <c r="BJ900" i="1"/>
  <c r="BI900" i="1"/>
  <c r="BH900" i="1"/>
  <c r="BG900" i="1"/>
  <c r="BF900" i="1"/>
  <c r="BE900" i="1"/>
  <c r="BD900" i="1"/>
  <c r="AT900" i="1"/>
  <c r="AR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J900" i="1"/>
  <c r="H900" i="1"/>
  <c r="BO899" i="1"/>
  <c r="BN899" i="1"/>
  <c r="BL899" i="1"/>
  <c r="BK899" i="1"/>
  <c r="BJ899" i="1"/>
  <c r="BI899" i="1"/>
  <c r="BH899" i="1"/>
  <c r="BG899" i="1"/>
  <c r="BF899" i="1"/>
  <c r="BE899" i="1"/>
  <c r="BD899" i="1"/>
  <c r="AT899" i="1"/>
  <c r="AR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J899" i="1"/>
  <c r="H899" i="1"/>
  <c r="BO898" i="1"/>
  <c r="BN898" i="1"/>
  <c r="BL898" i="1"/>
  <c r="BK898" i="1"/>
  <c r="BJ898" i="1"/>
  <c r="BI898" i="1"/>
  <c r="BH898" i="1"/>
  <c r="BG898" i="1"/>
  <c r="BF898" i="1"/>
  <c r="BE898" i="1"/>
  <c r="BD898" i="1"/>
  <c r="AT898" i="1"/>
  <c r="AR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J898" i="1"/>
  <c r="H898" i="1"/>
  <c r="BO897" i="1"/>
  <c r="BN897" i="1"/>
  <c r="BL897" i="1"/>
  <c r="BK897" i="1"/>
  <c r="BJ897" i="1"/>
  <c r="BI897" i="1"/>
  <c r="BH897" i="1"/>
  <c r="BG897" i="1"/>
  <c r="BF897" i="1"/>
  <c r="BE897" i="1"/>
  <c r="BD897" i="1"/>
  <c r="AT897" i="1"/>
  <c r="AR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J897" i="1"/>
  <c r="H897" i="1"/>
  <c r="BO896" i="1"/>
  <c r="BN896" i="1"/>
  <c r="BL896" i="1"/>
  <c r="BK896" i="1"/>
  <c r="BJ896" i="1"/>
  <c r="BI896" i="1"/>
  <c r="BH896" i="1"/>
  <c r="BG896" i="1"/>
  <c r="BF896" i="1"/>
  <c r="BE896" i="1"/>
  <c r="BD896" i="1"/>
  <c r="AT896" i="1"/>
  <c r="AR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J896" i="1"/>
  <c r="H896" i="1"/>
  <c r="BO895" i="1"/>
  <c r="BN895" i="1"/>
  <c r="BL895" i="1"/>
  <c r="BK895" i="1"/>
  <c r="BJ895" i="1"/>
  <c r="BI895" i="1"/>
  <c r="BH895" i="1"/>
  <c r="BG895" i="1"/>
  <c r="BF895" i="1"/>
  <c r="BE895" i="1"/>
  <c r="BD895" i="1"/>
  <c r="AT895" i="1"/>
  <c r="AR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J895" i="1"/>
  <c r="H895" i="1"/>
  <c r="BO894" i="1"/>
  <c r="BN894" i="1"/>
  <c r="BL894" i="1"/>
  <c r="BK894" i="1"/>
  <c r="BJ894" i="1"/>
  <c r="BI894" i="1"/>
  <c r="BH894" i="1"/>
  <c r="BG894" i="1"/>
  <c r="BF894" i="1"/>
  <c r="BE894" i="1"/>
  <c r="BD894" i="1"/>
  <c r="AT894" i="1"/>
  <c r="AR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J894" i="1"/>
  <c r="H894" i="1"/>
  <c r="BO893" i="1"/>
  <c r="BN893" i="1"/>
  <c r="BL893" i="1"/>
  <c r="BK893" i="1"/>
  <c r="BJ893" i="1"/>
  <c r="BI893" i="1"/>
  <c r="BH893" i="1"/>
  <c r="BG893" i="1"/>
  <c r="BF893" i="1"/>
  <c r="BE893" i="1"/>
  <c r="BD893" i="1"/>
  <c r="AT893" i="1"/>
  <c r="AR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J893" i="1"/>
  <c r="H893" i="1"/>
  <c r="BO892" i="1"/>
  <c r="BN892" i="1"/>
  <c r="BL892" i="1"/>
  <c r="BK892" i="1"/>
  <c r="BJ892" i="1"/>
  <c r="BI892" i="1"/>
  <c r="BH892" i="1"/>
  <c r="BG892" i="1"/>
  <c r="BF892" i="1"/>
  <c r="BE892" i="1"/>
  <c r="BD892" i="1"/>
  <c r="AT892" i="1"/>
  <c r="AR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J892" i="1"/>
  <c r="H892" i="1"/>
  <c r="BO891" i="1"/>
  <c r="BN891" i="1"/>
  <c r="BL891" i="1"/>
  <c r="BK891" i="1"/>
  <c r="BJ891" i="1"/>
  <c r="BI891" i="1"/>
  <c r="BH891" i="1"/>
  <c r="BG891" i="1"/>
  <c r="BF891" i="1"/>
  <c r="BE891" i="1"/>
  <c r="BD891" i="1"/>
  <c r="AT891" i="1"/>
  <c r="AR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J891" i="1"/>
  <c r="H891" i="1"/>
  <c r="BO890" i="1"/>
  <c r="BN890" i="1"/>
  <c r="BL890" i="1"/>
  <c r="BK890" i="1"/>
  <c r="BJ890" i="1"/>
  <c r="BI890" i="1"/>
  <c r="BH890" i="1"/>
  <c r="BG890" i="1"/>
  <c r="BF890" i="1"/>
  <c r="BE890" i="1"/>
  <c r="BD890" i="1"/>
  <c r="AT890" i="1"/>
  <c r="AR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J890" i="1"/>
  <c r="H890" i="1"/>
  <c r="BO889" i="1"/>
  <c r="BN889" i="1"/>
  <c r="BL889" i="1"/>
  <c r="BK889" i="1"/>
  <c r="BJ889" i="1"/>
  <c r="BI889" i="1"/>
  <c r="BH889" i="1"/>
  <c r="BG889" i="1"/>
  <c r="BF889" i="1"/>
  <c r="BE889" i="1"/>
  <c r="BD889" i="1"/>
  <c r="AT889" i="1"/>
  <c r="AR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J889" i="1"/>
  <c r="H889" i="1"/>
  <c r="BO888" i="1"/>
  <c r="BN888" i="1"/>
  <c r="BL888" i="1"/>
  <c r="BK888" i="1"/>
  <c r="BJ888" i="1"/>
  <c r="BI888" i="1"/>
  <c r="BH888" i="1"/>
  <c r="BG888" i="1"/>
  <c r="BF888" i="1"/>
  <c r="BE888" i="1"/>
  <c r="BD888" i="1"/>
  <c r="AT888" i="1"/>
  <c r="AR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J888" i="1"/>
  <c r="H888" i="1"/>
  <c r="BO887" i="1"/>
  <c r="BN887" i="1"/>
  <c r="BL887" i="1"/>
  <c r="BK887" i="1"/>
  <c r="BJ887" i="1"/>
  <c r="BI887" i="1"/>
  <c r="BH887" i="1"/>
  <c r="BG887" i="1"/>
  <c r="BF887" i="1"/>
  <c r="BE887" i="1"/>
  <c r="BD887" i="1"/>
  <c r="AT887" i="1"/>
  <c r="AR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J887" i="1"/>
  <c r="H887" i="1"/>
  <c r="BO886" i="1"/>
  <c r="BN886" i="1"/>
  <c r="BL886" i="1"/>
  <c r="BK886" i="1"/>
  <c r="BJ886" i="1"/>
  <c r="BI886" i="1"/>
  <c r="BH886" i="1"/>
  <c r="BG886" i="1"/>
  <c r="BF886" i="1"/>
  <c r="BE886" i="1"/>
  <c r="BD886" i="1"/>
  <c r="AT886" i="1"/>
  <c r="AR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J886" i="1"/>
  <c r="H886" i="1"/>
  <c r="BO885" i="1"/>
  <c r="BN885" i="1"/>
  <c r="BL885" i="1"/>
  <c r="BK885" i="1"/>
  <c r="BJ885" i="1"/>
  <c r="BI885" i="1"/>
  <c r="BH885" i="1"/>
  <c r="BG885" i="1"/>
  <c r="BF885" i="1"/>
  <c r="BE885" i="1"/>
  <c r="BD885" i="1"/>
  <c r="AT885" i="1"/>
  <c r="AR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J885" i="1"/>
  <c r="H885" i="1"/>
  <c r="BO884" i="1"/>
  <c r="BN884" i="1"/>
  <c r="BL884" i="1"/>
  <c r="BK884" i="1"/>
  <c r="BJ884" i="1"/>
  <c r="BI884" i="1"/>
  <c r="BH884" i="1"/>
  <c r="BG884" i="1"/>
  <c r="BF884" i="1"/>
  <c r="BE884" i="1"/>
  <c r="BD884" i="1"/>
  <c r="AT884" i="1"/>
  <c r="AR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J884" i="1"/>
  <c r="H884" i="1"/>
  <c r="BO883" i="1"/>
  <c r="BN883" i="1"/>
  <c r="BL883" i="1"/>
  <c r="BK883" i="1"/>
  <c r="BJ883" i="1"/>
  <c r="BI883" i="1"/>
  <c r="BH883" i="1"/>
  <c r="BG883" i="1"/>
  <c r="BF883" i="1"/>
  <c r="BE883" i="1"/>
  <c r="BD883" i="1"/>
  <c r="AT883" i="1"/>
  <c r="AR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J883" i="1"/>
  <c r="H883" i="1"/>
  <c r="BO882" i="1"/>
  <c r="BN882" i="1"/>
  <c r="BL882" i="1"/>
  <c r="BK882" i="1"/>
  <c r="BJ882" i="1"/>
  <c r="BI882" i="1"/>
  <c r="BH882" i="1"/>
  <c r="BG882" i="1"/>
  <c r="BF882" i="1"/>
  <c r="BE882" i="1"/>
  <c r="BD882" i="1"/>
  <c r="AT882" i="1"/>
  <c r="AR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J882" i="1"/>
  <c r="H882" i="1"/>
  <c r="BO881" i="1"/>
  <c r="BN881" i="1"/>
  <c r="BL881" i="1"/>
  <c r="BK881" i="1"/>
  <c r="BJ881" i="1"/>
  <c r="BI881" i="1"/>
  <c r="BH881" i="1"/>
  <c r="BG881" i="1"/>
  <c r="BF881" i="1"/>
  <c r="BE881" i="1"/>
  <c r="BD881" i="1"/>
  <c r="AT881" i="1"/>
  <c r="AR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J881" i="1"/>
  <c r="H881" i="1"/>
  <c r="BO880" i="1"/>
  <c r="BN880" i="1"/>
  <c r="BL880" i="1"/>
  <c r="BK880" i="1"/>
  <c r="BJ880" i="1"/>
  <c r="BI880" i="1"/>
  <c r="BH880" i="1"/>
  <c r="BG880" i="1"/>
  <c r="BF880" i="1"/>
  <c r="BE880" i="1"/>
  <c r="BD880" i="1"/>
  <c r="AT880" i="1"/>
  <c r="AR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J880" i="1"/>
  <c r="H880" i="1"/>
  <c r="BO879" i="1"/>
  <c r="BN879" i="1"/>
  <c r="BL879" i="1"/>
  <c r="BK879" i="1"/>
  <c r="BJ879" i="1"/>
  <c r="BI879" i="1"/>
  <c r="BH879" i="1"/>
  <c r="BG879" i="1"/>
  <c r="BF879" i="1"/>
  <c r="BE879" i="1"/>
  <c r="BD879" i="1"/>
  <c r="AT879" i="1"/>
  <c r="AR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J879" i="1"/>
  <c r="H879" i="1"/>
  <c r="BO878" i="1"/>
  <c r="BN878" i="1"/>
  <c r="BL878" i="1"/>
  <c r="BK878" i="1"/>
  <c r="BJ878" i="1"/>
  <c r="BI878" i="1"/>
  <c r="BH878" i="1"/>
  <c r="BG878" i="1"/>
  <c r="BF878" i="1"/>
  <c r="BE878" i="1"/>
  <c r="BD878" i="1"/>
  <c r="AT878" i="1"/>
  <c r="AR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J878" i="1"/>
  <c r="H878" i="1"/>
  <c r="BO877" i="1"/>
  <c r="BN877" i="1"/>
  <c r="BL877" i="1"/>
  <c r="BK877" i="1"/>
  <c r="BJ877" i="1"/>
  <c r="BI877" i="1"/>
  <c r="BH877" i="1"/>
  <c r="BG877" i="1"/>
  <c r="BF877" i="1"/>
  <c r="BE877" i="1"/>
  <c r="BD877" i="1"/>
  <c r="AT877" i="1"/>
  <c r="AR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J877" i="1"/>
  <c r="H877" i="1"/>
  <c r="BO876" i="1"/>
  <c r="BN876" i="1"/>
  <c r="BL876" i="1"/>
  <c r="BK876" i="1"/>
  <c r="BJ876" i="1"/>
  <c r="BI876" i="1"/>
  <c r="BH876" i="1"/>
  <c r="BG876" i="1"/>
  <c r="BF876" i="1"/>
  <c r="BE876" i="1"/>
  <c r="BD876" i="1"/>
  <c r="AT876" i="1"/>
  <c r="AR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J876" i="1"/>
  <c r="H876" i="1"/>
  <c r="BO875" i="1"/>
  <c r="BN875" i="1"/>
  <c r="BL875" i="1"/>
  <c r="BK875" i="1"/>
  <c r="BJ875" i="1"/>
  <c r="BI875" i="1"/>
  <c r="BH875" i="1"/>
  <c r="BG875" i="1"/>
  <c r="BF875" i="1"/>
  <c r="BE875" i="1"/>
  <c r="BD875" i="1"/>
  <c r="AT875" i="1"/>
  <c r="AR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J875" i="1"/>
  <c r="H875" i="1"/>
  <c r="BO874" i="1"/>
  <c r="BN874" i="1"/>
  <c r="BL874" i="1"/>
  <c r="BK874" i="1"/>
  <c r="BJ874" i="1"/>
  <c r="BI874" i="1"/>
  <c r="BH874" i="1"/>
  <c r="BG874" i="1"/>
  <c r="BF874" i="1"/>
  <c r="BE874" i="1"/>
  <c r="BD874" i="1"/>
  <c r="AT874" i="1"/>
  <c r="AR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J874" i="1"/>
  <c r="H874" i="1"/>
  <c r="BO873" i="1"/>
  <c r="BN873" i="1"/>
  <c r="BL873" i="1"/>
  <c r="BK873" i="1"/>
  <c r="BJ873" i="1"/>
  <c r="BI873" i="1"/>
  <c r="BH873" i="1"/>
  <c r="BG873" i="1"/>
  <c r="BF873" i="1"/>
  <c r="BE873" i="1"/>
  <c r="BD873" i="1"/>
  <c r="AT873" i="1"/>
  <c r="AR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J873" i="1"/>
  <c r="H873" i="1"/>
  <c r="BO872" i="1"/>
  <c r="BN872" i="1"/>
  <c r="BL872" i="1"/>
  <c r="BK872" i="1"/>
  <c r="BJ872" i="1"/>
  <c r="BI872" i="1"/>
  <c r="BH872" i="1"/>
  <c r="BG872" i="1"/>
  <c r="BF872" i="1"/>
  <c r="BE872" i="1"/>
  <c r="BD872" i="1"/>
  <c r="AT872" i="1"/>
  <c r="AR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J872" i="1"/>
  <c r="H872" i="1"/>
  <c r="BO871" i="1"/>
  <c r="BN871" i="1"/>
  <c r="BL871" i="1"/>
  <c r="BK871" i="1"/>
  <c r="BJ871" i="1"/>
  <c r="BI871" i="1"/>
  <c r="BH871" i="1"/>
  <c r="BG871" i="1"/>
  <c r="BF871" i="1"/>
  <c r="BE871" i="1"/>
  <c r="BD871" i="1"/>
  <c r="AT871" i="1"/>
  <c r="AR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J871" i="1"/>
  <c r="H871" i="1"/>
  <c r="BO870" i="1"/>
  <c r="BN870" i="1"/>
  <c r="BL870" i="1"/>
  <c r="BK870" i="1"/>
  <c r="BJ870" i="1"/>
  <c r="BI870" i="1"/>
  <c r="BH870" i="1"/>
  <c r="BG870" i="1"/>
  <c r="BF870" i="1"/>
  <c r="BE870" i="1"/>
  <c r="BD870" i="1"/>
  <c r="AT870" i="1"/>
  <c r="AR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J870" i="1"/>
  <c r="H870" i="1"/>
  <c r="BO869" i="1"/>
  <c r="BN869" i="1"/>
  <c r="BL869" i="1"/>
  <c r="BK869" i="1"/>
  <c r="BJ869" i="1"/>
  <c r="BI869" i="1"/>
  <c r="BH869" i="1"/>
  <c r="BG869" i="1"/>
  <c r="BF869" i="1"/>
  <c r="BE869" i="1"/>
  <c r="BD869" i="1"/>
  <c r="AT869" i="1"/>
  <c r="AR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J869" i="1"/>
  <c r="H869" i="1"/>
  <c r="BO868" i="1"/>
  <c r="BN868" i="1"/>
  <c r="BL868" i="1"/>
  <c r="BK868" i="1"/>
  <c r="BJ868" i="1"/>
  <c r="BI868" i="1"/>
  <c r="BH868" i="1"/>
  <c r="BG868" i="1"/>
  <c r="BF868" i="1"/>
  <c r="BE868" i="1"/>
  <c r="BD868" i="1"/>
  <c r="AT868" i="1"/>
  <c r="AR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J868" i="1"/>
  <c r="H868" i="1"/>
  <c r="BO867" i="1"/>
  <c r="BN867" i="1"/>
  <c r="BL867" i="1"/>
  <c r="BK867" i="1"/>
  <c r="BJ867" i="1"/>
  <c r="BI867" i="1"/>
  <c r="BH867" i="1"/>
  <c r="BG867" i="1"/>
  <c r="BF867" i="1"/>
  <c r="BE867" i="1"/>
  <c r="BD867" i="1"/>
  <c r="AT867" i="1"/>
  <c r="AR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J867" i="1"/>
  <c r="H867" i="1"/>
  <c r="BO866" i="1"/>
  <c r="BN866" i="1"/>
  <c r="BL866" i="1"/>
  <c r="BK866" i="1"/>
  <c r="BJ866" i="1"/>
  <c r="BI866" i="1"/>
  <c r="BH866" i="1"/>
  <c r="BG866" i="1"/>
  <c r="BF866" i="1"/>
  <c r="BE866" i="1"/>
  <c r="BD866" i="1"/>
  <c r="AT866" i="1"/>
  <c r="AR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J866" i="1"/>
  <c r="H866" i="1"/>
  <c r="BO865" i="1"/>
  <c r="BN865" i="1"/>
  <c r="BL865" i="1"/>
  <c r="BK865" i="1"/>
  <c r="BJ865" i="1"/>
  <c r="BI865" i="1"/>
  <c r="BH865" i="1"/>
  <c r="BG865" i="1"/>
  <c r="BF865" i="1"/>
  <c r="BE865" i="1"/>
  <c r="BD865" i="1"/>
  <c r="AT865" i="1"/>
  <c r="AR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J865" i="1"/>
  <c r="H865" i="1"/>
  <c r="BO864" i="1"/>
  <c r="BN864" i="1"/>
  <c r="BL864" i="1"/>
  <c r="BK864" i="1"/>
  <c r="BJ864" i="1"/>
  <c r="BI864" i="1"/>
  <c r="BH864" i="1"/>
  <c r="BG864" i="1"/>
  <c r="BF864" i="1"/>
  <c r="BE864" i="1"/>
  <c r="BD864" i="1"/>
  <c r="AT864" i="1"/>
  <c r="AR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J864" i="1"/>
  <c r="H864" i="1"/>
  <c r="BO863" i="1"/>
  <c r="BN863" i="1"/>
  <c r="BL863" i="1"/>
  <c r="BK863" i="1"/>
  <c r="BJ863" i="1"/>
  <c r="BI863" i="1"/>
  <c r="BH863" i="1"/>
  <c r="BG863" i="1"/>
  <c r="BF863" i="1"/>
  <c r="BE863" i="1"/>
  <c r="BD863" i="1"/>
  <c r="AT863" i="1"/>
  <c r="AR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J863" i="1"/>
  <c r="H863" i="1"/>
  <c r="BO862" i="1"/>
  <c r="BN862" i="1"/>
  <c r="BL862" i="1"/>
  <c r="BK862" i="1"/>
  <c r="BJ862" i="1"/>
  <c r="BI862" i="1"/>
  <c r="BH862" i="1"/>
  <c r="BG862" i="1"/>
  <c r="BF862" i="1"/>
  <c r="BE862" i="1"/>
  <c r="BD862" i="1"/>
  <c r="AT862" i="1"/>
  <c r="AR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J862" i="1"/>
  <c r="H862" i="1"/>
  <c r="BO861" i="1"/>
  <c r="BN861" i="1"/>
  <c r="BL861" i="1"/>
  <c r="BK861" i="1"/>
  <c r="BJ861" i="1"/>
  <c r="BI861" i="1"/>
  <c r="BH861" i="1"/>
  <c r="BG861" i="1"/>
  <c r="BF861" i="1"/>
  <c r="BE861" i="1"/>
  <c r="BD861" i="1"/>
  <c r="AT861" i="1"/>
  <c r="AR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J861" i="1"/>
  <c r="H861" i="1"/>
  <c r="BO860" i="1"/>
  <c r="BN860" i="1"/>
  <c r="BL860" i="1"/>
  <c r="BK860" i="1"/>
  <c r="BJ860" i="1"/>
  <c r="BI860" i="1"/>
  <c r="BH860" i="1"/>
  <c r="BG860" i="1"/>
  <c r="BF860" i="1"/>
  <c r="BE860" i="1"/>
  <c r="BD860" i="1"/>
  <c r="AT860" i="1"/>
  <c r="AR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J860" i="1"/>
  <c r="H860" i="1"/>
  <c r="BO859" i="1"/>
  <c r="BN859" i="1"/>
  <c r="BL859" i="1"/>
  <c r="BK859" i="1"/>
  <c r="BJ859" i="1"/>
  <c r="BI859" i="1"/>
  <c r="BH859" i="1"/>
  <c r="BG859" i="1"/>
  <c r="BF859" i="1"/>
  <c r="BE859" i="1"/>
  <c r="BD859" i="1"/>
  <c r="AT859" i="1"/>
  <c r="AR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J859" i="1"/>
  <c r="H859" i="1"/>
  <c r="BO858" i="1"/>
  <c r="BN858" i="1"/>
  <c r="BL858" i="1"/>
  <c r="BK858" i="1"/>
  <c r="BJ858" i="1"/>
  <c r="BI858" i="1"/>
  <c r="BH858" i="1"/>
  <c r="BG858" i="1"/>
  <c r="BF858" i="1"/>
  <c r="BE858" i="1"/>
  <c r="BD858" i="1"/>
  <c r="AT858" i="1"/>
  <c r="AR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J858" i="1"/>
  <c r="H858" i="1"/>
  <c r="BO857" i="1"/>
  <c r="BN857" i="1"/>
  <c r="BL857" i="1"/>
  <c r="BK857" i="1"/>
  <c r="BJ857" i="1"/>
  <c r="BI857" i="1"/>
  <c r="BH857" i="1"/>
  <c r="BG857" i="1"/>
  <c r="BF857" i="1"/>
  <c r="BE857" i="1"/>
  <c r="BD857" i="1"/>
  <c r="AT857" i="1"/>
  <c r="AR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J857" i="1"/>
  <c r="H857" i="1"/>
  <c r="BO856" i="1"/>
  <c r="BN856" i="1"/>
  <c r="BL856" i="1"/>
  <c r="BK856" i="1"/>
  <c r="BJ856" i="1"/>
  <c r="BI856" i="1"/>
  <c r="BH856" i="1"/>
  <c r="BG856" i="1"/>
  <c r="BF856" i="1"/>
  <c r="BE856" i="1"/>
  <c r="BD856" i="1"/>
  <c r="AT856" i="1"/>
  <c r="AR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J856" i="1"/>
  <c r="H856" i="1"/>
  <c r="BO855" i="1"/>
  <c r="BN855" i="1"/>
  <c r="BL855" i="1"/>
  <c r="BK855" i="1"/>
  <c r="BJ855" i="1"/>
  <c r="BI855" i="1"/>
  <c r="BH855" i="1"/>
  <c r="BG855" i="1"/>
  <c r="BF855" i="1"/>
  <c r="BE855" i="1"/>
  <c r="BD855" i="1"/>
  <c r="AT855" i="1"/>
  <c r="AR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J855" i="1"/>
  <c r="H855" i="1"/>
  <c r="BO854" i="1"/>
  <c r="BN854" i="1"/>
  <c r="BL854" i="1"/>
  <c r="BK854" i="1"/>
  <c r="BJ854" i="1"/>
  <c r="BI854" i="1"/>
  <c r="BH854" i="1"/>
  <c r="BG854" i="1"/>
  <c r="BF854" i="1"/>
  <c r="BE854" i="1"/>
  <c r="BD854" i="1"/>
  <c r="AT854" i="1"/>
  <c r="AR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J854" i="1"/>
  <c r="H854" i="1"/>
  <c r="BO853" i="1"/>
  <c r="BN853" i="1"/>
  <c r="BL853" i="1"/>
  <c r="BK853" i="1"/>
  <c r="BJ853" i="1"/>
  <c r="BI853" i="1"/>
  <c r="BH853" i="1"/>
  <c r="BG853" i="1"/>
  <c r="BF853" i="1"/>
  <c r="BE853" i="1"/>
  <c r="BD853" i="1"/>
  <c r="AT853" i="1"/>
  <c r="AR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J853" i="1"/>
  <c r="H853" i="1"/>
  <c r="BO852" i="1"/>
  <c r="BN852" i="1"/>
  <c r="BL852" i="1"/>
  <c r="BK852" i="1"/>
  <c r="BJ852" i="1"/>
  <c r="BI852" i="1"/>
  <c r="BH852" i="1"/>
  <c r="BG852" i="1"/>
  <c r="BF852" i="1"/>
  <c r="BE852" i="1"/>
  <c r="BD852" i="1"/>
  <c r="AT852" i="1"/>
  <c r="AR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J852" i="1"/>
  <c r="H852" i="1"/>
  <c r="BO851" i="1"/>
  <c r="BN851" i="1"/>
  <c r="BL851" i="1"/>
  <c r="BK851" i="1"/>
  <c r="BJ851" i="1"/>
  <c r="BI851" i="1"/>
  <c r="BH851" i="1"/>
  <c r="BG851" i="1"/>
  <c r="BF851" i="1"/>
  <c r="BE851" i="1"/>
  <c r="BD851" i="1"/>
  <c r="AT851" i="1"/>
  <c r="AR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J851" i="1"/>
  <c r="H851" i="1"/>
  <c r="BO850" i="1"/>
  <c r="BN850" i="1"/>
  <c r="BL850" i="1"/>
  <c r="BK850" i="1"/>
  <c r="BJ850" i="1"/>
  <c r="BI850" i="1"/>
  <c r="BH850" i="1"/>
  <c r="BG850" i="1"/>
  <c r="BF850" i="1"/>
  <c r="BE850" i="1"/>
  <c r="BD850" i="1"/>
  <c r="AT850" i="1"/>
  <c r="AR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J850" i="1"/>
  <c r="H850" i="1"/>
  <c r="BO849" i="1"/>
  <c r="BN849" i="1"/>
  <c r="BL849" i="1"/>
  <c r="BK849" i="1"/>
  <c r="BJ849" i="1"/>
  <c r="BI849" i="1"/>
  <c r="BH849" i="1"/>
  <c r="BG849" i="1"/>
  <c r="BF849" i="1"/>
  <c r="BE849" i="1"/>
  <c r="BD849" i="1"/>
  <c r="AT849" i="1"/>
  <c r="AR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J849" i="1"/>
  <c r="H849" i="1"/>
  <c r="BO848" i="1"/>
  <c r="BN848" i="1"/>
  <c r="BL848" i="1"/>
  <c r="BK848" i="1"/>
  <c r="BJ848" i="1"/>
  <c r="BI848" i="1"/>
  <c r="BH848" i="1"/>
  <c r="BG848" i="1"/>
  <c r="BF848" i="1"/>
  <c r="BE848" i="1"/>
  <c r="BD848" i="1"/>
  <c r="AT848" i="1"/>
  <c r="AR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J848" i="1"/>
  <c r="H848" i="1"/>
  <c r="BO847" i="1"/>
  <c r="BN847" i="1"/>
  <c r="BL847" i="1"/>
  <c r="BK847" i="1"/>
  <c r="BJ847" i="1"/>
  <c r="BI847" i="1"/>
  <c r="BH847" i="1"/>
  <c r="BG847" i="1"/>
  <c r="BF847" i="1"/>
  <c r="BE847" i="1"/>
  <c r="BD847" i="1"/>
  <c r="AT847" i="1"/>
  <c r="AR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J847" i="1"/>
  <c r="H847" i="1"/>
  <c r="BO846" i="1"/>
  <c r="BN846" i="1"/>
  <c r="BL846" i="1"/>
  <c r="BK846" i="1"/>
  <c r="BJ846" i="1"/>
  <c r="BI846" i="1"/>
  <c r="BH846" i="1"/>
  <c r="BG846" i="1"/>
  <c r="BF846" i="1"/>
  <c r="BE846" i="1"/>
  <c r="BD846" i="1"/>
  <c r="AT846" i="1"/>
  <c r="AR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J846" i="1"/>
  <c r="H846" i="1"/>
  <c r="BO845" i="1"/>
  <c r="BN845" i="1"/>
  <c r="BL845" i="1"/>
  <c r="BK845" i="1"/>
  <c r="BJ845" i="1"/>
  <c r="BI845" i="1"/>
  <c r="BH845" i="1"/>
  <c r="BG845" i="1"/>
  <c r="BF845" i="1"/>
  <c r="BE845" i="1"/>
  <c r="BD845" i="1"/>
  <c r="AT845" i="1"/>
  <c r="AR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J845" i="1"/>
  <c r="H845" i="1"/>
  <c r="BO844" i="1"/>
  <c r="BN844" i="1"/>
  <c r="BL844" i="1"/>
  <c r="BK844" i="1"/>
  <c r="BJ844" i="1"/>
  <c r="BI844" i="1"/>
  <c r="BH844" i="1"/>
  <c r="BG844" i="1"/>
  <c r="BF844" i="1"/>
  <c r="BE844" i="1"/>
  <c r="BD844" i="1"/>
  <c r="AT844" i="1"/>
  <c r="AR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J844" i="1"/>
  <c r="H844" i="1"/>
  <c r="BO843" i="1"/>
  <c r="BN843" i="1"/>
  <c r="BL843" i="1"/>
  <c r="BK843" i="1"/>
  <c r="BJ843" i="1"/>
  <c r="BI843" i="1"/>
  <c r="BH843" i="1"/>
  <c r="BG843" i="1"/>
  <c r="BF843" i="1"/>
  <c r="BE843" i="1"/>
  <c r="BD843" i="1"/>
  <c r="AT843" i="1"/>
  <c r="AR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J843" i="1"/>
  <c r="H843" i="1"/>
  <c r="BO842" i="1"/>
  <c r="BN842" i="1"/>
  <c r="BL842" i="1"/>
  <c r="BK842" i="1"/>
  <c r="BJ842" i="1"/>
  <c r="BI842" i="1"/>
  <c r="BH842" i="1"/>
  <c r="BG842" i="1"/>
  <c r="BF842" i="1"/>
  <c r="BE842" i="1"/>
  <c r="BD842" i="1"/>
  <c r="AT842" i="1"/>
  <c r="AR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J842" i="1"/>
  <c r="H842" i="1"/>
  <c r="BO841" i="1"/>
  <c r="BN841" i="1"/>
  <c r="BL841" i="1"/>
  <c r="BK841" i="1"/>
  <c r="BJ841" i="1"/>
  <c r="BI841" i="1"/>
  <c r="BH841" i="1"/>
  <c r="BG841" i="1"/>
  <c r="BF841" i="1"/>
  <c r="BE841" i="1"/>
  <c r="BD841" i="1"/>
  <c r="AT841" i="1"/>
  <c r="AR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J841" i="1"/>
  <c r="H841" i="1"/>
  <c r="BO840" i="1"/>
  <c r="BN840" i="1"/>
  <c r="BL840" i="1"/>
  <c r="BK840" i="1"/>
  <c r="BJ840" i="1"/>
  <c r="BI840" i="1"/>
  <c r="BH840" i="1"/>
  <c r="BG840" i="1"/>
  <c r="BF840" i="1"/>
  <c r="BE840" i="1"/>
  <c r="BD840" i="1"/>
  <c r="AT840" i="1"/>
  <c r="AR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J840" i="1"/>
  <c r="H840" i="1"/>
  <c r="BO839" i="1"/>
  <c r="BN839" i="1"/>
  <c r="BL839" i="1"/>
  <c r="BK839" i="1"/>
  <c r="BJ839" i="1"/>
  <c r="BI839" i="1"/>
  <c r="BH839" i="1"/>
  <c r="BG839" i="1"/>
  <c r="BF839" i="1"/>
  <c r="BE839" i="1"/>
  <c r="BD839" i="1"/>
  <c r="AT839" i="1"/>
  <c r="AR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J839" i="1"/>
  <c r="H839" i="1"/>
  <c r="BO838" i="1"/>
  <c r="BN838" i="1"/>
  <c r="BL838" i="1"/>
  <c r="BK838" i="1"/>
  <c r="BJ838" i="1"/>
  <c r="BI838" i="1"/>
  <c r="BH838" i="1"/>
  <c r="BG838" i="1"/>
  <c r="BF838" i="1"/>
  <c r="BE838" i="1"/>
  <c r="BD838" i="1"/>
  <c r="AT838" i="1"/>
  <c r="AR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J838" i="1"/>
  <c r="H838" i="1"/>
  <c r="BO837" i="1"/>
  <c r="BN837" i="1"/>
  <c r="BL837" i="1"/>
  <c r="BK837" i="1"/>
  <c r="BJ837" i="1"/>
  <c r="BI837" i="1"/>
  <c r="BH837" i="1"/>
  <c r="BG837" i="1"/>
  <c r="BF837" i="1"/>
  <c r="BE837" i="1"/>
  <c r="BD837" i="1"/>
  <c r="AT837" i="1"/>
  <c r="AR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J837" i="1"/>
  <c r="H837" i="1"/>
  <c r="BO836" i="1"/>
  <c r="BN836" i="1"/>
  <c r="BL836" i="1"/>
  <c r="BK836" i="1"/>
  <c r="BJ836" i="1"/>
  <c r="BI836" i="1"/>
  <c r="BH836" i="1"/>
  <c r="BG836" i="1"/>
  <c r="BF836" i="1"/>
  <c r="BE836" i="1"/>
  <c r="BD836" i="1"/>
  <c r="AT836" i="1"/>
  <c r="AR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J836" i="1"/>
  <c r="H836" i="1"/>
  <c r="BO835" i="1"/>
  <c r="BN835" i="1"/>
  <c r="BL835" i="1"/>
  <c r="BK835" i="1"/>
  <c r="BJ835" i="1"/>
  <c r="BI835" i="1"/>
  <c r="BH835" i="1"/>
  <c r="BG835" i="1"/>
  <c r="BF835" i="1"/>
  <c r="BE835" i="1"/>
  <c r="BD835" i="1"/>
  <c r="AT835" i="1"/>
  <c r="AR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J835" i="1"/>
  <c r="H835" i="1"/>
  <c r="BO834" i="1"/>
  <c r="BN834" i="1"/>
  <c r="BL834" i="1"/>
  <c r="BK834" i="1"/>
  <c r="BJ834" i="1"/>
  <c r="BI834" i="1"/>
  <c r="BH834" i="1"/>
  <c r="BG834" i="1"/>
  <c r="BF834" i="1"/>
  <c r="BE834" i="1"/>
  <c r="BD834" i="1"/>
  <c r="AT834" i="1"/>
  <c r="AR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J834" i="1"/>
  <c r="H834" i="1"/>
  <c r="BO833" i="1"/>
  <c r="BN833" i="1"/>
  <c r="BL833" i="1"/>
  <c r="BK833" i="1"/>
  <c r="BJ833" i="1"/>
  <c r="BI833" i="1"/>
  <c r="BH833" i="1"/>
  <c r="BG833" i="1"/>
  <c r="BF833" i="1"/>
  <c r="BE833" i="1"/>
  <c r="BD833" i="1"/>
  <c r="AT833" i="1"/>
  <c r="AR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J833" i="1"/>
  <c r="H833" i="1"/>
  <c r="BO832" i="1"/>
  <c r="BN832" i="1"/>
  <c r="BL832" i="1"/>
  <c r="BK832" i="1"/>
  <c r="BJ832" i="1"/>
  <c r="BI832" i="1"/>
  <c r="BH832" i="1"/>
  <c r="BG832" i="1"/>
  <c r="BF832" i="1"/>
  <c r="BE832" i="1"/>
  <c r="BD832" i="1"/>
  <c r="AT832" i="1"/>
  <c r="AR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J832" i="1"/>
  <c r="H832" i="1"/>
  <c r="BO831" i="1"/>
  <c r="BN831" i="1"/>
  <c r="BL831" i="1"/>
  <c r="BK831" i="1"/>
  <c r="BJ831" i="1"/>
  <c r="BI831" i="1"/>
  <c r="BH831" i="1"/>
  <c r="BG831" i="1"/>
  <c r="BF831" i="1"/>
  <c r="BE831" i="1"/>
  <c r="BD831" i="1"/>
  <c r="AT831" i="1"/>
  <c r="AR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J831" i="1"/>
  <c r="H831" i="1"/>
  <c r="BO830" i="1"/>
  <c r="BN830" i="1"/>
  <c r="BL830" i="1"/>
  <c r="BK830" i="1"/>
  <c r="BJ830" i="1"/>
  <c r="BI830" i="1"/>
  <c r="BH830" i="1"/>
  <c r="BG830" i="1"/>
  <c r="BF830" i="1"/>
  <c r="BE830" i="1"/>
  <c r="BD830" i="1"/>
  <c r="AT830" i="1"/>
  <c r="AR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J830" i="1"/>
  <c r="H830" i="1"/>
  <c r="BO829" i="1"/>
  <c r="BN829" i="1"/>
  <c r="BL829" i="1"/>
  <c r="BK829" i="1"/>
  <c r="BJ829" i="1"/>
  <c r="BI829" i="1"/>
  <c r="BH829" i="1"/>
  <c r="BG829" i="1"/>
  <c r="BF829" i="1"/>
  <c r="BE829" i="1"/>
  <c r="BD829" i="1"/>
  <c r="AT829" i="1"/>
  <c r="AR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J829" i="1"/>
  <c r="H829" i="1"/>
  <c r="BO828" i="1"/>
  <c r="BN828" i="1"/>
  <c r="BL828" i="1"/>
  <c r="BK828" i="1"/>
  <c r="BJ828" i="1"/>
  <c r="BI828" i="1"/>
  <c r="BH828" i="1"/>
  <c r="BG828" i="1"/>
  <c r="BF828" i="1"/>
  <c r="BE828" i="1"/>
  <c r="BD828" i="1"/>
  <c r="AT828" i="1"/>
  <c r="AR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J828" i="1"/>
  <c r="H828" i="1"/>
  <c r="BO827" i="1"/>
  <c r="BN827" i="1"/>
  <c r="BL827" i="1"/>
  <c r="BK827" i="1"/>
  <c r="BJ827" i="1"/>
  <c r="BI827" i="1"/>
  <c r="BH827" i="1"/>
  <c r="BG827" i="1"/>
  <c r="BF827" i="1"/>
  <c r="BE827" i="1"/>
  <c r="BD827" i="1"/>
  <c r="AT827" i="1"/>
  <c r="AR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J827" i="1"/>
  <c r="H827" i="1"/>
  <c r="BO826" i="1"/>
  <c r="BN826" i="1"/>
  <c r="BL826" i="1"/>
  <c r="BK826" i="1"/>
  <c r="BJ826" i="1"/>
  <c r="BI826" i="1"/>
  <c r="BH826" i="1"/>
  <c r="BG826" i="1"/>
  <c r="BF826" i="1"/>
  <c r="BE826" i="1"/>
  <c r="BD826" i="1"/>
  <c r="AT826" i="1"/>
  <c r="AR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J826" i="1"/>
  <c r="H826" i="1"/>
  <c r="BO825" i="1"/>
  <c r="BN825" i="1"/>
  <c r="BL825" i="1"/>
  <c r="BK825" i="1"/>
  <c r="BJ825" i="1"/>
  <c r="BI825" i="1"/>
  <c r="BH825" i="1"/>
  <c r="BG825" i="1"/>
  <c r="BF825" i="1"/>
  <c r="BE825" i="1"/>
  <c r="BD825" i="1"/>
  <c r="AT825" i="1"/>
  <c r="AR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J825" i="1"/>
  <c r="H825" i="1"/>
  <c r="BO824" i="1"/>
  <c r="BN824" i="1"/>
  <c r="BL824" i="1"/>
  <c r="BK824" i="1"/>
  <c r="BJ824" i="1"/>
  <c r="BI824" i="1"/>
  <c r="BH824" i="1"/>
  <c r="BG824" i="1"/>
  <c r="BF824" i="1"/>
  <c r="BE824" i="1"/>
  <c r="BD824" i="1"/>
  <c r="AT824" i="1"/>
  <c r="AR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J824" i="1"/>
  <c r="H824" i="1"/>
  <c r="BO823" i="1"/>
  <c r="BN823" i="1"/>
  <c r="BL823" i="1"/>
  <c r="BK823" i="1"/>
  <c r="BJ823" i="1"/>
  <c r="BI823" i="1"/>
  <c r="BH823" i="1"/>
  <c r="BG823" i="1"/>
  <c r="BF823" i="1"/>
  <c r="BE823" i="1"/>
  <c r="BD823" i="1"/>
  <c r="AT823" i="1"/>
  <c r="AR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J823" i="1"/>
  <c r="H823" i="1"/>
  <c r="BO822" i="1"/>
  <c r="BN822" i="1"/>
  <c r="BL822" i="1"/>
  <c r="BK822" i="1"/>
  <c r="BJ822" i="1"/>
  <c r="BI822" i="1"/>
  <c r="BH822" i="1"/>
  <c r="BG822" i="1"/>
  <c r="BF822" i="1"/>
  <c r="BE822" i="1"/>
  <c r="BD822" i="1"/>
  <c r="AT822" i="1"/>
  <c r="AR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J822" i="1"/>
  <c r="H822" i="1"/>
  <c r="BO821" i="1"/>
  <c r="BN821" i="1"/>
  <c r="BL821" i="1"/>
  <c r="BK821" i="1"/>
  <c r="BJ821" i="1"/>
  <c r="BI821" i="1"/>
  <c r="BH821" i="1"/>
  <c r="BG821" i="1"/>
  <c r="BF821" i="1"/>
  <c r="BE821" i="1"/>
  <c r="BD821" i="1"/>
  <c r="AT821" i="1"/>
  <c r="AR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J821" i="1"/>
  <c r="H821" i="1"/>
  <c r="BO820" i="1"/>
  <c r="BN820" i="1"/>
  <c r="BL820" i="1"/>
  <c r="BK820" i="1"/>
  <c r="BJ820" i="1"/>
  <c r="BI820" i="1"/>
  <c r="BH820" i="1"/>
  <c r="BG820" i="1"/>
  <c r="BF820" i="1"/>
  <c r="BE820" i="1"/>
  <c r="BD820" i="1"/>
  <c r="AT820" i="1"/>
  <c r="AR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J820" i="1"/>
  <c r="H820" i="1"/>
  <c r="BO819" i="1"/>
  <c r="BN819" i="1"/>
  <c r="BL819" i="1"/>
  <c r="BK819" i="1"/>
  <c r="BJ819" i="1"/>
  <c r="BI819" i="1"/>
  <c r="BH819" i="1"/>
  <c r="BG819" i="1"/>
  <c r="BF819" i="1"/>
  <c r="BE819" i="1"/>
  <c r="BD819" i="1"/>
  <c r="AT819" i="1"/>
  <c r="AR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J819" i="1"/>
  <c r="H819" i="1"/>
  <c r="BO818" i="1"/>
  <c r="BN818" i="1"/>
  <c r="BL818" i="1"/>
  <c r="BK818" i="1"/>
  <c r="BJ818" i="1"/>
  <c r="BI818" i="1"/>
  <c r="BH818" i="1"/>
  <c r="BG818" i="1"/>
  <c r="BF818" i="1"/>
  <c r="BE818" i="1"/>
  <c r="BD818" i="1"/>
  <c r="AT818" i="1"/>
  <c r="AR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J818" i="1"/>
  <c r="H818" i="1"/>
  <c r="BO817" i="1"/>
  <c r="BN817" i="1"/>
  <c r="BL817" i="1"/>
  <c r="BK817" i="1"/>
  <c r="BJ817" i="1"/>
  <c r="BI817" i="1"/>
  <c r="BH817" i="1"/>
  <c r="BG817" i="1"/>
  <c r="BF817" i="1"/>
  <c r="BE817" i="1"/>
  <c r="BD817" i="1"/>
  <c r="AT817" i="1"/>
  <c r="AR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J817" i="1"/>
  <c r="H817" i="1"/>
  <c r="BO816" i="1"/>
  <c r="BN816" i="1"/>
  <c r="BL816" i="1"/>
  <c r="BK816" i="1"/>
  <c r="BJ816" i="1"/>
  <c r="BI816" i="1"/>
  <c r="BH816" i="1"/>
  <c r="BG816" i="1"/>
  <c r="BF816" i="1"/>
  <c r="BE816" i="1"/>
  <c r="BD816" i="1"/>
  <c r="AT816" i="1"/>
  <c r="AR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J816" i="1"/>
  <c r="H816" i="1"/>
  <c r="BO815" i="1"/>
  <c r="BN815" i="1"/>
  <c r="BL815" i="1"/>
  <c r="BK815" i="1"/>
  <c r="BJ815" i="1"/>
  <c r="BI815" i="1"/>
  <c r="BH815" i="1"/>
  <c r="BG815" i="1"/>
  <c r="BF815" i="1"/>
  <c r="BE815" i="1"/>
  <c r="BD815" i="1"/>
  <c r="AT815" i="1"/>
  <c r="AR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J815" i="1"/>
  <c r="H815" i="1"/>
  <c r="BO814" i="1"/>
  <c r="BN814" i="1"/>
  <c r="BL814" i="1"/>
  <c r="BK814" i="1"/>
  <c r="BJ814" i="1"/>
  <c r="BI814" i="1"/>
  <c r="BH814" i="1"/>
  <c r="BG814" i="1"/>
  <c r="BF814" i="1"/>
  <c r="BE814" i="1"/>
  <c r="BD814" i="1"/>
  <c r="AT814" i="1"/>
  <c r="AR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J814" i="1"/>
  <c r="H814" i="1"/>
  <c r="BO813" i="1"/>
  <c r="BN813" i="1"/>
  <c r="BL813" i="1"/>
  <c r="BK813" i="1"/>
  <c r="BJ813" i="1"/>
  <c r="BI813" i="1"/>
  <c r="BH813" i="1"/>
  <c r="BG813" i="1"/>
  <c r="BF813" i="1"/>
  <c r="BE813" i="1"/>
  <c r="BD813" i="1"/>
  <c r="AT813" i="1"/>
  <c r="AR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J813" i="1"/>
  <c r="H813" i="1"/>
  <c r="BO812" i="1"/>
  <c r="BN812" i="1"/>
  <c r="BL812" i="1"/>
  <c r="BK812" i="1"/>
  <c r="BJ812" i="1"/>
  <c r="BI812" i="1"/>
  <c r="BH812" i="1"/>
  <c r="BG812" i="1"/>
  <c r="BF812" i="1"/>
  <c r="BE812" i="1"/>
  <c r="BD812" i="1"/>
  <c r="AT812" i="1"/>
  <c r="AR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J812" i="1"/>
  <c r="H812" i="1"/>
  <c r="BO811" i="1"/>
  <c r="BN811" i="1"/>
  <c r="BL811" i="1"/>
  <c r="BK811" i="1"/>
  <c r="BJ811" i="1"/>
  <c r="BI811" i="1"/>
  <c r="BH811" i="1"/>
  <c r="BG811" i="1"/>
  <c r="BF811" i="1"/>
  <c r="BE811" i="1"/>
  <c r="BD811" i="1"/>
  <c r="AT811" i="1"/>
  <c r="AR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J811" i="1"/>
  <c r="H811" i="1"/>
  <c r="BO810" i="1"/>
  <c r="BN810" i="1"/>
  <c r="BL810" i="1"/>
  <c r="BK810" i="1"/>
  <c r="BJ810" i="1"/>
  <c r="BI810" i="1"/>
  <c r="BH810" i="1"/>
  <c r="BG810" i="1"/>
  <c r="BF810" i="1"/>
  <c r="BE810" i="1"/>
  <c r="BD810" i="1"/>
  <c r="AT810" i="1"/>
  <c r="AR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J810" i="1"/>
  <c r="H810" i="1"/>
  <c r="BO809" i="1"/>
  <c r="BN809" i="1"/>
  <c r="BL809" i="1"/>
  <c r="BK809" i="1"/>
  <c r="BJ809" i="1"/>
  <c r="BI809" i="1"/>
  <c r="BH809" i="1"/>
  <c r="BG809" i="1"/>
  <c r="BF809" i="1"/>
  <c r="BE809" i="1"/>
  <c r="BD809" i="1"/>
  <c r="AT809" i="1"/>
  <c r="AR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J809" i="1"/>
  <c r="H809" i="1"/>
  <c r="BO808" i="1"/>
  <c r="BN808" i="1"/>
  <c r="BL808" i="1"/>
  <c r="BK808" i="1"/>
  <c r="BJ808" i="1"/>
  <c r="BI808" i="1"/>
  <c r="BH808" i="1"/>
  <c r="BG808" i="1"/>
  <c r="BF808" i="1"/>
  <c r="BE808" i="1"/>
  <c r="BD808" i="1"/>
  <c r="AT808" i="1"/>
  <c r="AR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J808" i="1"/>
  <c r="H808" i="1"/>
  <c r="BO807" i="1"/>
  <c r="BN807" i="1"/>
  <c r="BL807" i="1"/>
  <c r="BK807" i="1"/>
  <c r="BJ807" i="1"/>
  <c r="BI807" i="1"/>
  <c r="BH807" i="1"/>
  <c r="BG807" i="1"/>
  <c r="BF807" i="1"/>
  <c r="BE807" i="1"/>
  <c r="BD807" i="1"/>
  <c r="AT807" i="1"/>
  <c r="AR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J807" i="1"/>
  <c r="H807" i="1"/>
  <c r="BO806" i="1"/>
  <c r="BN806" i="1"/>
  <c r="BL806" i="1"/>
  <c r="BK806" i="1"/>
  <c r="BJ806" i="1"/>
  <c r="BI806" i="1"/>
  <c r="BH806" i="1"/>
  <c r="BG806" i="1"/>
  <c r="BF806" i="1"/>
  <c r="BE806" i="1"/>
  <c r="BD806" i="1"/>
  <c r="AT806" i="1"/>
  <c r="AR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J806" i="1"/>
  <c r="H806" i="1"/>
  <c r="BO805" i="1"/>
  <c r="BN805" i="1"/>
  <c r="BL805" i="1"/>
  <c r="BK805" i="1"/>
  <c r="BJ805" i="1"/>
  <c r="BI805" i="1"/>
  <c r="BH805" i="1"/>
  <c r="BG805" i="1"/>
  <c r="BF805" i="1"/>
  <c r="BE805" i="1"/>
  <c r="BD805" i="1"/>
  <c r="AT805" i="1"/>
  <c r="AR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J805" i="1"/>
  <c r="H805" i="1"/>
  <c r="BO804" i="1"/>
  <c r="BN804" i="1"/>
  <c r="BL804" i="1"/>
  <c r="BK804" i="1"/>
  <c r="BJ804" i="1"/>
  <c r="BI804" i="1"/>
  <c r="BH804" i="1"/>
  <c r="BG804" i="1"/>
  <c r="BF804" i="1"/>
  <c r="BE804" i="1"/>
  <c r="BD804" i="1"/>
  <c r="AT804" i="1"/>
  <c r="AR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J804" i="1"/>
  <c r="H804" i="1"/>
  <c r="BO803" i="1"/>
  <c r="BN803" i="1"/>
  <c r="BL803" i="1"/>
  <c r="BK803" i="1"/>
  <c r="BJ803" i="1"/>
  <c r="BI803" i="1"/>
  <c r="BH803" i="1"/>
  <c r="BG803" i="1"/>
  <c r="BF803" i="1"/>
  <c r="BE803" i="1"/>
  <c r="BD803" i="1"/>
  <c r="AT803" i="1"/>
  <c r="AR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J803" i="1"/>
  <c r="H803" i="1"/>
  <c r="BO802" i="1"/>
  <c r="BN802" i="1"/>
  <c r="BL802" i="1"/>
  <c r="BK802" i="1"/>
  <c r="BJ802" i="1"/>
  <c r="BI802" i="1"/>
  <c r="BH802" i="1"/>
  <c r="BG802" i="1"/>
  <c r="BF802" i="1"/>
  <c r="BE802" i="1"/>
  <c r="BD802" i="1"/>
  <c r="AT802" i="1"/>
  <c r="AR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J802" i="1"/>
  <c r="H802" i="1"/>
  <c r="BO801" i="1"/>
  <c r="BN801" i="1"/>
  <c r="BL801" i="1"/>
  <c r="BK801" i="1"/>
  <c r="BJ801" i="1"/>
  <c r="BI801" i="1"/>
  <c r="BH801" i="1"/>
  <c r="BG801" i="1"/>
  <c r="BF801" i="1"/>
  <c r="BE801" i="1"/>
  <c r="BD801" i="1"/>
  <c r="AT801" i="1"/>
  <c r="AR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J801" i="1"/>
  <c r="H801" i="1"/>
  <c r="BO800" i="1"/>
  <c r="BN800" i="1"/>
  <c r="BL800" i="1"/>
  <c r="BK800" i="1"/>
  <c r="BJ800" i="1"/>
  <c r="BI800" i="1"/>
  <c r="BH800" i="1"/>
  <c r="BG800" i="1"/>
  <c r="BF800" i="1"/>
  <c r="BE800" i="1"/>
  <c r="BD800" i="1"/>
  <c r="AT800" i="1"/>
  <c r="AR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J800" i="1"/>
  <c r="H800" i="1"/>
  <c r="BO799" i="1"/>
  <c r="BN799" i="1"/>
  <c r="BL799" i="1"/>
  <c r="BK799" i="1"/>
  <c r="BJ799" i="1"/>
  <c r="BI799" i="1"/>
  <c r="BH799" i="1"/>
  <c r="BG799" i="1"/>
  <c r="BF799" i="1"/>
  <c r="BE799" i="1"/>
  <c r="BD799" i="1"/>
  <c r="AT799" i="1"/>
  <c r="AR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J799" i="1"/>
  <c r="H799" i="1"/>
  <c r="BO798" i="1"/>
  <c r="BN798" i="1"/>
  <c r="BL798" i="1"/>
  <c r="BK798" i="1"/>
  <c r="BJ798" i="1"/>
  <c r="BI798" i="1"/>
  <c r="BH798" i="1"/>
  <c r="BG798" i="1"/>
  <c r="BF798" i="1"/>
  <c r="BE798" i="1"/>
  <c r="BD798" i="1"/>
  <c r="AT798" i="1"/>
  <c r="AR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J798" i="1"/>
  <c r="H798" i="1"/>
  <c r="BO797" i="1"/>
  <c r="BN797" i="1"/>
  <c r="BL797" i="1"/>
  <c r="BK797" i="1"/>
  <c r="BJ797" i="1"/>
  <c r="BI797" i="1"/>
  <c r="BH797" i="1"/>
  <c r="BG797" i="1"/>
  <c r="BF797" i="1"/>
  <c r="BE797" i="1"/>
  <c r="BD797" i="1"/>
  <c r="AT797" i="1"/>
  <c r="AR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J797" i="1"/>
  <c r="H797" i="1"/>
  <c r="BO796" i="1"/>
  <c r="BN796" i="1"/>
  <c r="BL796" i="1"/>
  <c r="BK796" i="1"/>
  <c r="BJ796" i="1"/>
  <c r="BI796" i="1"/>
  <c r="BH796" i="1"/>
  <c r="BG796" i="1"/>
  <c r="BF796" i="1"/>
  <c r="BE796" i="1"/>
  <c r="BD796" i="1"/>
  <c r="AT796" i="1"/>
  <c r="AR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J796" i="1"/>
  <c r="H796" i="1"/>
  <c r="BO795" i="1"/>
  <c r="BN795" i="1"/>
  <c r="BL795" i="1"/>
  <c r="BK795" i="1"/>
  <c r="BJ795" i="1"/>
  <c r="BI795" i="1"/>
  <c r="BH795" i="1"/>
  <c r="BG795" i="1"/>
  <c r="BF795" i="1"/>
  <c r="BE795" i="1"/>
  <c r="BD795" i="1"/>
  <c r="AT795" i="1"/>
  <c r="AR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J795" i="1"/>
  <c r="H795" i="1"/>
  <c r="BO794" i="1"/>
  <c r="BN794" i="1"/>
  <c r="BL794" i="1"/>
  <c r="BK794" i="1"/>
  <c r="BJ794" i="1"/>
  <c r="BI794" i="1"/>
  <c r="BH794" i="1"/>
  <c r="BG794" i="1"/>
  <c r="BF794" i="1"/>
  <c r="BE794" i="1"/>
  <c r="BD794" i="1"/>
  <c r="AT794" i="1"/>
  <c r="AR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J794" i="1"/>
  <c r="H794" i="1"/>
  <c r="BO793" i="1"/>
  <c r="BN793" i="1"/>
  <c r="BL793" i="1"/>
  <c r="BK793" i="1"/>
  <c r="BJ793" i="1"/>
  <c r="BI793" i="1"/>
  <c r="BH793" i="1"/>
  <c r="BG793" i="1"/>
  <c r="BF793" i="1"/>
  <c r="BE793" i="1"/>
  <c r="BD793" i="1"/>
  <c r="AT793" i="1"/>
  <c r="AR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J793" i="1"/>
  <c r="H793" i="1"/>
  <c r="BO792" i="1"/>
  <c r="BN792" i="1"/>
  <c r="BL792" i="1"/>
  <c r="BK792" i="1"/>
  <c r="BJ792" i="1"/>
  <c r="BI792" i="1"/>
  <c r="BH792" i="1"/>
  <c r="BG792" i="1"/>
  <c r="BF792" i="1"/>
  <c r="BE792" i="1"/>
  <c r="BD792" i="1"/>
  <c r="AT792" i="1"/>
  <c r="AR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J792" i="1"/>
  <c r="H792" i="1"/>
  <c r="BO791" i="1"/>
  <c r="BN791" i="1"/>
  <c r="BL791" i="1"/>
  <c r="BK791" i="1"/>
  <c r="BJ791" i="1"/>
  <c r="BI791" i="1"/>
  <c r="BH791" i="1"/>
  <c r="BG791" i="1"/>
  <c r="BF791" i="1"/>
  <c r="BE791" i="1"/>
  <c r="BD791" i="1"/>
  <c r="AT791" i="1"/>
  <c r="AR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J791" i="1"/>
  <c r="H791" i="1"/>
  <c r="BO790" i="1"/>
  <c r="BN790" i="1"/>
  <c r="BL790" i="1"/>
  <c r="BK790" i="1"/>
  <c r="BJ790" i="1"/>
  <c r="BI790" i="1"/>
  <c r="BH790" i="1"/>
  <c r="BG790" i="1"/>
  <c r="BF790" i="1"/>
  <c r="BE790" i="1"/>
  <c r="BD790" i="1"/>
  <c r="AT790" i="1"/>
  <c r="AR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J790" i="1"/>
  <c r="H790" i="1"/>
  <c r="BO789" i="1"/>
  <c r="BN789" i="1"/>
  <c r="BL789" i="1"/>
  <c r="BK789" i="1"/>
  <c r="BJ789" i="1"/>
  <c r="BI789" i="1"/>
  <c r="BH789" i="1"/>
  <c r="BG789" i="1"/>
  <c r="BF789" i="1"/>
  <c r="BE789" i="1"/>
  <c r="BD789" i="1"/>
  <c r="AT789" i="1"/>
  <c r="AR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J789" i="1"/>
  <c r="H789" i="1"/>
  <c r="BO788" i="1"/>
  <c r="BN788" i="1"/>
  <c r="BL788" i="1"/>
  <c r="BK788" i="1"/>
  <c r="BJ788" i="1"/>
  <c r="BI788" i="1"/>
  <c r="BH788" i="1"/>
  <c r="BG788" i="1"/>
  <c r="BF788" i="1"/>
  <c r="BE788" i="1"/>
  <c r="BD788" i="1"/>
  <c r="AT788" i="1"/>
  <c r="AR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J788" i="1"/>
  <c r="H788" i="1"/>
  <c r="BO787" i="1"/>
  <c r="BN787" i="1"/>
  <c r="BL787" i="1"/>
  <c r="BK787" i="1"/>
  <c r="BJ787" i="1"/>
  <c r="BI787" i="1"/>
  <c r="BH787" i="1"/>
  <c r="BG787" i="1"/>
  <c r="BF787" i="1"/>
  <c r="BE787" i="1"/>
  <c r="BD787" i="1"/>
  <c r="AT787" i="1"/>
  <c r="AR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J787" i="1"/>
  <c r="H787" i="1"/>
  <c r="BO786" i="1"/>
  <c r="BN786" i="1"/>
  <c r="BL786" i="1"/>
  <c r="BK786" i="1"/>
  <c r="BJ786" i="1"/>
  <c r="BI786" i="1"/>
  <c r="BH786" i="1"/>
  <c r="BG786" i="1"/>
  <c r="BF786" i="1"/>
  <c r="BE786" i="1"/>
  <c r="BD786" i="1"/>
  <c r="AT786" i="1"/>
  <c r="AR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J786" i="1"/>
  <c r="H786" i="1"/>
  <c r="BO785" i="1"/>
  <c r="BN785" i="1"/>
  <c r="BL785" i="1"/>
  <c r="BK785" i="1"/>
  <c r="BJ785" i="1"/>
  <c r="BI785" i="1"/>
  <c r="BH785" i="1"/>
  <c r="BG785" i="1"/>
  <c r="BF785" i="1"/>
  <c r="BE785" i="1"/>
  <c r="BD785" i="1"/>
  <c r="AT785" i="1"/>
  <c r="AR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J785" i="1"/>
  <c r="H785" i="1"/>
  <c r="BO784" i="1"/>
  <c r="BN784" i="1"/>
  <c r="BL784" i="1"/>
  <c r="BK784" i="1"/>
  <c r="BJ784" i="1"/>
  <c r="BI784" i="1"/>
  <c r="BH784" i="1"/>
  <c r="BG784" i="1"/>
  <c r="BF784" i="1"/>
  <c r="BE784" i="1"/>
  <c r="BD784" i="1"/>
  <c r="AT784" i="1"/>
  <c r="AR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J784" i="1"/>
  <c r="H784" i="1"/>
  <c r="BO783" i="1"/>
  <c r="BN783" i="1"/>
  <c r="BL783" i="1"/>
  <c r="BK783" i="1"/>
  <c r="BJ783" i="1"/>
  <c r="BI783" i="1"/>
  <c r="BH783" i="1"/>
  <c r="BG783" i="1"/>
  <c r="BF783" i="1"/>
  <c r="BE783" i="1"/>
  <c r="BD783" i="1"/>
  <c r="AT783" i="1"/>
  <c r="AR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J783" i="1"/>
  <c r="H783" i="1"/>
  <c r="BO782" i="1"/>
  <c r="BN782" i="1"/>
  <c r="BL782" i="1"/>
  <c r="BK782" i="1"/>
  <c r="BJ782" i="1"/>
  <c r="BI782" i="1"/>
  <c r="BH782" i="1"/>
  <c r="BG782" i="1"/>
  <c r="BF782" i="1"/>
  <c r="BE782" i="1"/>
  <c r="BD782" i="1"/>
  <c r="AT782" i="1"/>
  <c r="AR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J782" i="1"/>
  <c r="H782" i="1"/>
  <c r="BO781" i="1"/>
  <c r="BN781" i="1"/>
  <c r="BL781" i="1"/>
  <c r="BK781" i="1"/>
  <c r="BJ781" i="1"/>
  <c r="BI781" i="1"/>
  <c r="BH781" i="1"/>
  <c r="BG781" i="1"/>
  <c r="BF781" i="1"/>
  <c r="BE781" i="1"/>
  <c r="BD781" i="1"/>
  <c r="AT781" i="1"/>
  <c r="AR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J781" i="1"/>
  <c r="H781" i="1"/>
  <c r="BO780" i="1"/>
  <c r="BN780" i="1"/>
  <c r="BL780" i="1"/>
  <c r="BK780" i="1"/>
  <c r="BJ780" i="1"/>
  <c r="BI780" i="1"/>
  <c r="BH780" i="1"/>
  <c r="BG780" i="1"/>
  <c r="BF780" i="1"/>
  <c r="BE780" i="1"/>
  <c r="BD780" i="1"/>
  <c r="AT780" i="1"/>
  <c r="AR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J780" i="1"/>
  <c r="H780" i="1"/>
  <c r="BO779" i="1"/>
  <c r="BN779" i="1"/>
  <c r="BL779" i="1"/>
  <c r="BK779" i="1"/>
  <c r="BJ779" i="1"/>
  <c r="BI779" i="1"/>
  <c r="BH779" i="1"/>
  <c r="BG779" i="1"/>
  <c r="BF779" i="1"/>
  <c r="BE779" i="1"/>
  <c r="BD779" i="1"/>
  <c r="AT779" i="1"/>
  <c r="AR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J779" i="1"/>
  <c r="H779" i="1"/>
  <c r="BO778" i="1"/>
  <c r="BN778" i="1"/>
  <c r="BL778" i="1"/>
  <c r="BK778" i="1"/>
  <c r="BJ778" i="1"/>
  <c r="BI778" i="1"/>
  <c r="BH778" i="1"/>
  <c r="BG778" i="1"/>
  <c r="BF778" i="1"/>
  <c r="BE778" i="1"/>
  <c r="BD778" i="1"/>
  <c r="AT778" i="1"/>
  <c r="AR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J778" i="1"/>
  <c r="H778" i="1"/>
  <c r="BO777" i="1"/>
  <c r="BN777" i="1"/>
  <c r="BL777" i="1"/>
  <c r="BK777" i="1"/>
  <c r="BJ777" i="1"/>
  <c r="BI777" i="1"/>
  <c r="BH777" i="1"/>
  <c r="BG777" i="1"/>
  <c r="BF777" i="1"/>
  <c r="BE777" i="1"/>
  <c r="BD777" i="1"/>
  <c r="AT777" i="1"/>
  <c r="AR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J777" i="1"/>
  <c r="H777" i="1"/>
  <c r="BO776" i="1"/>
  <c r="BN776" i="1"/>
  <c r="BL776" i="1"/>
  <c r="BK776" i="1"/>
  <c r="BJ776" i="1"/>
  <c r="BI776" i="1"/>
  <c r="BH776" i="1"/>
  <c r="BG776" i="1"/>
  <c r="BF776" i="1"/>
  <c r="BE776" i="1"/>
  <c r="BD776" i="1"/>
  <c r="AT776" i="1"/>
  <c r="AR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J776" i="1"/>
  <c r="H776" i="1"/>
  <c r="BO775" i="1"/>
  <c r="BN775" i="1"/>
  <c r="BL775" i="1"/>
  <c r="BK775" i="1"/>
  <c r="BJ775" i="1"/>
  <c r="BI775" i="1"/>
  <c r="BH775" i="1"/>
  <c r="BG775" i="1"/>
  <c r="BF775" i="1"/>
  <c r="BE775" i="1"/>
  <c r="BD775" i="1"/>
  <c r="AT775" i="1"/>
  <c r="AR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J775" i="1"/>
  <c r="H775" i="1"/>
  <c r="BO774" i="1"/>
  <c r="BN774" i="1"/>
  <c r="BL774" i="1"/>
  <c r="BK774" i="1"/>
  <c r="BJ774" i="1"/>
  <c r="BI774" i="1"/>
  <c r="BH774" i="1"/>
  <c r="BG774" i="1"/>
  <c r="BF774" i="1"/>
  <c r="BE774" i="1"/>
  <c r="BD774" i="1"/>
  <c r="AT774" i="1"/>
  <c r="AR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J774" i="1"/>
  <c r="H774" i="1"/>
  <c r="BO773" i="1"/>
  <c r="BN773" i="1"/>
  <c r="BL773" i="1"/>
  <c r="BK773" i="1"/>
  <c r="BJ773" i="1"/>
  <c r="BI773" i="1"/>
  <c r="BH773" i="1"/>
  <c r="BG773" i="1"/>
  <c r="BF773" i="1"/>
  <c r="BE773" i="1"/>
  <c r="BD773" i="1"/>
  <c r="AT773" i="1"/>
  <c r="AR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J773" i="1"/>
  <c r="H773" i="1"/>
  <c r="BO772" i="1"/>
  <c r="BN772" i="1"/>
  <c r="BL772" i="1"/>
  <c r="BK772" i="1"/>
  <c r="BJ772" i="1"/>
  <c r="BI772" i="1"/>
  <c r="BH772" i="1"/>
  <c r="BG772" i="1"/>
  <c r="BF772" i="1"/>
  <c r="BE772" i="1"/>
  <c r="BD772" i="1"/>
  <c r="AT772" i="1"/>
  <c r="AR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J772" i="1"/>
  <c r="H772" i="1"/>
  <c r="BO771" i="1"/>
  <c r="BN771" i="1"/>
  <c r="BL771" i="1"/>
  <c r="BK771" i="1"/>
  <c r="BJ771" i="1"/>
  <c r="BI771" i="1"/>
  <c r="BH771" i="1"/>
  <c r="BG771" i="1"/>
  <c r="BF771" i="1"/>
  <c r="BE771" i="1"/>
  <c r="BD771" i="1"/>
  <c r="AT771" i="1"/>
  <c r="AR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J771" i="1"/>
  <c r="H771" i="1"/>
  <c r="BO770" i="1"/>
  <c r="BN770" i="1"/>
  <c r="BL770" i="1"/>
  <c r="BK770" i="1"/>
  <c r="BJ770" i="1"/>
  <c r="BI770" i="1"/>
  <c r="BH770" i="1"/>
  <c r="BG770" i="1"/>
  <c r="BF770" i="1"/>
  <c r="BE770" i="1"/>
  <c r="BD770" i="1"/>
  <c r="AT770" i="1"/>
  <c r="AR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J770" i="1"/>
  <c r="H770" i="1"/>
  <c r="BO769" i="1"/>
  <c r="BN769" i="1"/>
  <c r="BL769" i="1"/>
  <c r="BK769" i="1"/>
  <c r="BJ769" i="1"/>
  <c r="BI769" i="1"/>
  <c r="BH769" i="1"/>
  <c r="BG769" i="1"/>
  <c r="BF769" i="1"/>
  <c r="BE769" i="1"/>
  <c r="BD769" i="1"/>
  <c r="AT769" i="1"/>
  <c r="AR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J769" i="1"/>
  <c r="H769" i="1"/>
  <c r="BO768" i="1"/>
  <c r="BN768" i="1"/>
  <c r="BL768" i="1"/>
  <c r="BK768" i="1"/>
  <c r="BJ768" i="1"/>
  <c r="BI768" i="1"/>
  <c r="BH768" i="1"/>
  <c r="BG768" i="1"/>
  <c r="BF768" i="1"/>
  <c r="BE768" i="1"/>
  <c r="BD768" i="1"/>
  <c r="AT768" i="1"/>
  <c r="AR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J768" i="1"/>
  <c r="H768" i="1"/>
  <c r="BO767" i="1"/>
  <c r="BN767" i="1"/>
  <c r="BL767" i="1"/>
  <c r="BK767" i="1"/>
  <c r="BJ767" i="1"/>
  <c r="BI767" i="1"/>
  <c r="BH767" i="1"/>
  <c r="BG767" i="1"/>
  <c r="BF767" i="1"/>
  <c r="BE767" i="1"/>
  <c r="BD767" i="1"/>
  <c r="AT767" i="1"/>
  <c r="AR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J767" i="1"/>
  <c r="H767" i="1"/>
  <c r="BO766" i="1"/>
  <c r="BN766" i="1"/>
  <c r="BL766" i="1"/>
  <c r="BK766" i="1"/>
  <c r="BJ766" i="1"/>
  <c r="BI766" i="1"/>
  <c r="BH766" i="1"/>
  <c r="BG766" i="1"/>
  <c r="BF766" i="1"/>
  <c r="BE766" i="1"/>
  <c r="BD766" i="1"/>
  <c r="AT766" i="1"/>
  <c r="AR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J766" i="1"/>
  <c r="H766" i="1"/>
  <c r="BO765" i="1"/>
  <c r="BN765" i="1"/>
  <c r="BL765" i="1"/>
  <c r="BK765" i="1"/>
  <c r="BJ765" i="1"/>
  <c r="BI765" i="1"/>
  <c r="BH765" i="1"/>
  <c r="BG765" i="1"/>
  <c r="BF765" i="1"/>
  <c r="BE765" i="1"/>
  <c r="BD765" i="1"/>
  <c r="AT765" i="1"/>
  <c r="AR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J765" i="1"/>
  <c r="H765" i="1"/>
  <c r="BO764" i="1"/>
  <c r="BN764" i="1"/>
  <c r="BL764" i="1"/>
  <c r="BK764" i="1"/>
  <c r="BJ764" i="1"/>
  <c r="BI764" i="1"/>
  <c r="BH764" i="1"/>
  <c r="BG764" i="1"/>
  <c r="BF764" i="1"/>
  <c r="BE764" i="1"/>
  <c r="BD764" i="1"/>
  <c r="AT764" i="1"/>
  <c r="AR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J764" i="1"/>
  <c r="H764" i="1"/>
  <c r="BO763" i="1"/>
  <c r="BN763" i="1"/>
  <c r="BL763" i="1"/>
  <c r="BK763" i="1"/>
  <c r="BJ763" i="1"/>
  <c r="BI763" i="1"/>
  <c r="BH763" i="1"/>
  <c r="BG763" i="1"/>
  <c r="BF763" i="1"/>
  <c r="BE763" i="1"/>
  <c r="BD763" i="1"/>
  <c r="AT763" i="1"/>
  <c r="AR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J763" i="1"/>
  <c r="H763" i="1"/>
  <c r="BO762" i="1"/>
  <c r="BN762" i="1"/>
  <c r="BL762" i="1"/>
  <c r="BK762" i="1"/>
  <c r="BJ762" i="1"/>
  <c r="BI762" i="1"/>
  <c r="BH762" i="1"/>
  <c r="BG762" i="1"/>
  <c r="BF762" i="1"/>
  <c r="BE762" i="1"/>
  <c r="BD762" i="1"/>
  <c r="AT762" i="1"/>
  <c r="AR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J762" i="1"/>
  <c r="H762" i="1"/>
  <c r="BO761" i="1"/>
  <c r="BN761" i="1"/>
  <c r="BL761" i="1"/>
  <c r="BK761" i="1"/>
  <c r="BJ761" i="1"/>
  <c r="BI761" i="1"/>
  <c r="BH761" i="1"/>
  <c r="BG761" i="1"/>
  <c r="BF761" i="1"/>
  <c r="BE761" i="1"/>
  <c r="BD761" i="1"/>
  <c r="AT761" i="1"/>
  <c r="AR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J761" i="1"/>
  <c r="H761" i="1"/>
  <c r="BO760" i="1"/>
  <c r="BN760" i="1"/>
  <c r="BL760" i="1"/>
  <c r="BK760" i="1"/>
  <c r="BJ760" i="1"/>
  <c r="BI760" i="1"/>
  <c r="BH760" i="1"/>
  <c r="BG760" i="1"/>
  <c r="BF760" i="1"/>
  <c r="BE760" i="1"/>
  <c r="BD760" i="1"/>
  <c r="AT760" i="1"/>
  <c r="AR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J760" i="1"/>
  <c r="H760" i="1"/>
  <c r="BO759" i="1"/>
  <c r="BN759" i="1"/>
  <c r="BL759" i="1"/>
  <c r="BK759" i="1"/>
  <c r="BJ759" i="1"/>
  <c r="BI759" i="1"/>
  <c r="BH759" i="1"/>
  <c r="BG759" i="1"/>
  <c r="BF759" i="1"/>
  <c r="BE759" i="1"/>
  <c r="BD759" i="1"/>
  <c r="AT759" i="1"/>
  <c r="AR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J759" i="1"/>
  <c r="H759" i="1"/>
  <c r="BO758" i="1"/>
  <c r="BN758" i="1"/>
  <c r="BL758" i="1"/>
  <c r="BK758" i="1"/>
  <c r="BJ758" i="1"/>
  <c r="BI758" i="1"/>
  <c r="BH758" i="1"/>
  <c r="BG758" i="1"/>
  <c r="BF758" i="1"/>
  <c r="BE758" i="1"/>
  <c r="BD758" i="1"/>
  <c r="AT758" i="1"/>
  <c r="AR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J758" i="1"/>
  <c r="H758" i="1"/>
  <c r="BO757" i="1"/>
  <c r="BN757" i="1"/>
  <c r="BL757" i="1"/>
  <c r="BK757" i="1"/>
  <c r="BJ757" i="1"/>
  <c r="BI757" i="1"/>
  <c r="BH757" i="1"/>
  <c r="BG757" i="1"/>
  <c r="BF757" i="1"/>
  <c r="BE757" i="1"/>
  <c r="BD757" i="1"/>
  <c r="AT757" i="1"/>
  <c r="AR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J757" i="1"/>
  <c r="H757" i="1"/>
  <c r="BO756" i="1"/>
  <c r="BN756" i="1"/>
  <c r="BL756" i="1"/>
  <c r="BK756" i="1"/>
  <c r="BJ756" i="1"/>
  <c r="BI756" i="1"/>
  <c r="BH756" i="1"/>
  <c r="BG756" i="1"/>
  <c r="BF756" i="1"/>
  <c r="BE756" i="1"/>
  <c r="BD756" i="1"/>
  <c r="AT756" i="1"/>
  <c r="AR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J756" i="1"/>
  <c r="H756" i="1"/>
  <c r="BO755" i="1"/>
  <c r="BN755" i="1"/>
  <c r="BL755" i="1"/>
  <c r="BK755" i="1"/>
  <c r="BJ755" i="1"/>
  <c r="BI755" i="1"/>
  <c r="BH755" i="1"/>
  <c r="BG755" i="1"/>
  <c r="BF755" i="1"/>
  <c r="BE755" i="1"/>
  <c r="BD755" i="1"/>
  <c r="AT755" i="1"/>
  <c r="AR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J755" i="1"/>
  <c r="H755" i="1"/>
  <c r="BO754" i="1"/>
  <c r="BN754" i="1"/>
  <c r="BL754" i="1"/>
  <c r="BK754" i="1"/>
  <c r="BJ754" i="1"/>
  <c r="BI754" i="1"/>
  <c r="BH754" i="1"/>
  <c r="BG754" i="1"/>
  <c r="BF754" i="1"/>
  <c r="BE754" i="1"/>
  <c r="BD754" i="1"/>
  <c r="AT754" i="1"/>
  <c r="AR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J754" i="1"/>
  <c r="H754" i="1"/>
  <c r="BO753" i="1"/>
  <c r="BN753" i="1"/>
  <c r="BL753" i="1"/>
  <c r="BK753" i="1"/>
  <c r="BJ753" i="1"/>
  <c r="BI753" i="1"/>
  <c r="BH753" i="1"/>
  <c r="BG753" i="1"/>
  <c r="BF753" i="1"/>
  <c r="BE753" i="1"/>
  <c r="BD753" i="1"/>
  <c r="AT753" i="1"/>
  <c r="AR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J753" i="1"/>
  <c r="H753" i="1"/>
  <c r="BO752" i="1"/>
  <c r="BN752" i="1"/>
  <c r="BL752" i="1"/>
  <c r="BK752" i="1"/>
  <c r="BJ752" i="1"/>
  <c r="BI752" i="1"/>
  <c r="BH752" i="1"/>
  <c r="BG752" i="1"/>
  <c r="BF752" i="1"/>
  <c r="BE752" i="1"/>
  <c r="BD752" i="1"/>
  <c r="AT752" i="1"/>
  <c r="AR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J752" i="1"/>
  <c r="H752" i="1"/>
  <c r="BO751" i="1"/>
  <c r="BN751" i="1"/>
  <c r="BL751" i="1"/>
  <c r="BK751" i="1"/>
  <c r="BJ751" i="1"/>
  <c r="BI751" i="1"/>
  <c r="BH751" i="1"/>
  <c r="BG751" i="1"/>
  <c r="BF751" i="1"/>
  <c r="BE751" i="1"/>
  <c r="BD751" i="1"/>
  <c r="AT751" i="1"/>
  <c r="AR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J751" i="1"/>
  <c r="H751" i="1"/>
  <c r="BO750" i="1"/>
  <c r="BN750" i="1"/>
  <c r="BL750" i="1"/>
  <c r="BK750" i="1"/>
  <c r="BJ750" i="1"/>
  <c r="BI750" i="1"/>
  <c r="BH750" i="1"/>
  <c r="BG750" i="1"/>
  <c r="BF750" i="1"/>
  <c r="BE750" i="1"/>
  <c r="BD750" i="1"/>
  <c r="AT750" i="1"/>
  <c r="AR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J750" i="1"/>
  <c r="H750" i="1"/>
  <c r="BO749" i="1"/>
  <c r="BN749" i="1"/>
  <c r="BL749" i="1"/>
  <c r="BK749" i="1"/>
  <c r="BJ749" i="1"/>
  <c r="BI749" i="1"/>
  <c r="BH749" i="1"/>
  <c r="BG749" i="1"/>
  <c r="BF749" i="1"/>
  <c r="BE749" i="1"/>
  <c r="BD749" i="1"/>
  <c r="AT749" i="1"/>
  <c r="AR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J749" i="1"/>
  <c r="H749" i="1"/>
  <c r="BO748" i="1"/>
  <c r="BN748" i="1"/>
  <c r="BL748" i="1"/>
  <c r="BK748" i="1"/>
  <c r="BJ748" i="1"/>
  <c r="BI748" i="1"/>
  <c r="BH748" i="1"/>
  <c r="BG748" i="1"/>
  <c r="BF748" i="1"/>
  <c r="BE748" i="1"/>
  <c r="BD748" i="1"/>
  <c r="AT748" i="1"/>
  <c r="AR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J748" i="1"/>
  <c r="H748" i="1"/>
  <c r="BO747" i="1"/>
  <c r="BN747" i="1"/>
  <c r="BL747" i="1"/>
  <c r="BK747" i="1"/>
  <c r="BJ747" i="1"/>
  <c r="BI747" i="1"/>
  <c r="BH747" i="1"/>
  <c r="BG747" i="1"/>
  <c r="BF747" i="1"/>
  <c r="BE747" i="1"/>
  <c r="BD747" i="1"/>
  <c r="AT747" i="1"/>
  <c r="AR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J747" i="1"/>
  <c r="H747" i="1"/>
  <c r="BO746" i="1"/>
  <c r="BN746" i="1"/>
  <c r="BL746" i="1"/>
  <c r="BK746" i="1"/>
  <c r="BJ746" i="1"/>
  <c r="BI746" i="1"/>
  <c r="BH746" i="1"/>
  <c r="BG746" i="1"/>
  <c r="BF746" i="1"/>
  <c r="BE746" i="1"/>
  <c r="BD746" i="1"/>
  <c r="AT746" i="1"/>
  <c r="AR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J746" i="1"/>
  <c r="H746" i="1"/>
  <c r="BO745" i="1"/>
  <c r="BN745" i="1"/>
  <c r="BL745" i="1"/>
  <c r="BK745" i="1"/>
  <c r="BJ745" i="1"/>
  <c r="BI745" i="1"/>
  <c r="BH745" i="1"/>
  <c r="BG745" i="1"/>
  <c r="BF745" i="1"/>
  <c r="BE745" i="1"/>
  <c r="BD745" i="1"/>
  <c r="AT745" i="1"/>
  <c r="AR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J745" i="1"/>
  <c r="H745" i="1"/>
  <c r="BO744" i="1"/>
  <c r="BN744" i="1"/>
  <c r="BL744" i="1"/>
  <c r="BK744" i="1"/>
  <c r="BJ744" i="1"/>
  <c r="BI744" i="1"/>
  <c r="BH744" i="1"/>
  <c r="BG744" i="1"/>
  <c r="BF744" i="1"/>
  <c r="BE744" i="1"/>
  <c r="BD744" i="1"/>
  <c r="AT744" i="1"/>
  <c r="AR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J744" i="1"/>
  <c r="H744" i="1"/>
  <c r="BO743" i="1"/>
  <c r="BN743" i="1"/>
  <c r="BL743" i="1"/>
  <c r="BK743" i="1"/>
  <c r="BJ743" i="1"/>
  <c r="BI743" i="1"/>
  <c r="BH743" i="1"/>
  <c r="BG743" i="1"/>
  <c r="BF743" i="1"/>
  <c r="BE743" i="1"/>
  <c r="BD743" i="1"/>
  <c r="AT743" i="1"/>
  <c r="AR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J743" i="1"/>
  <c r="H743" i="1"/>
  <c r="BO742" i="1"/>
  <c r="BN742" i="1"/>
  <c r="BL742" i="1"/>
  <c r="BK742" i="1"/>
  <c r="BJ742" i="1"/>
  <c r="BI742" i="1"/>
  <c r="BH742" i="1"/>
  <c r="BG742" i="1"/>
  <c r="BF742" i="1"/>
  <c r="BE742" i="1"/>
  <c r="BD742" i="1"/>
  <c r="AT742" i="1"/>
  <c r="AR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J742" i="1"/>
  <c r="H742" i="1"/>
  <c r="BO741" i="1"/>
  <c r="BN741" i="1"/>
  <c r="BL741" i="1"/>
  <c r="BK741" i="1"/>
  <c r="BJ741" i="1"/>
  <c r="BI741" i="1"/>
  <c r="BH741" i="1"/>
  <c r="BG741" i="1"/>
  <c r="BF741" i="1"/>
  <c r="BE741" i="1"/>
  <c r="BD741" i="1"/>
  <c r="AT741" i="1"/>
  <c r="AR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J741" i="1"/>
  <c r="H741" i="1"/>
  <c r="BO740" i="1"/>
  <c r="BN740" i="1"/>
  <c r="BL740" i="1"/>
  <c r="BK740" i="1"/>
  <c r="BJ740" i="1"/>
  <c r="BI740" i="1"/>
  <c r="BH740" i="1"/>
  <c r="BG740" i="1"/>
  <c r="BF740" i="1"/>
  <c r="BE740" i="1"/>
  <c r="BD740" i="1"/>
  <c r="AT740" i="1"/>
  <c r="AR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J740" i="1"/>
  <c r="H740" i="1"/>
  <c r="BO739" i="1"/>
  <c r="BN739" i="1"/>
  <c r="BL739" i="1"/>
  <c r="BK739" i="1"/>
  <c r="BJ739" i="1"/>
  <c r="BI739" i="1"/>
  <c r="BH739" i="1"/>
  <c r="BG739" i="1"/>
  <c r="BF739" i="1"/>
  <c r="BE739" i="1"/>
  <c r="BD739" i="1"/>
  <c r="AT739" i="1"/>
  <c r="AR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J739" i="1"/>
  <c r="H739" i="1"/>
  <c r="BO738" i="1"/>
  <c r="BN738" i="1"/>
  <c r="BL738" i="1"/>
  <c r="BK738" i="1"/>
  <c r="BJ738" i="1"/>
  <c r="BI738" i="1"/>
  <c r="BH738" i="1"/>
  <c r="BG738" i="1"/>
  <c r="BF738" i="1"/>
  <c r="BE738" i="1"/>
  <c r="BD738" i="1"/>
  <c r="AT738" i="1"/>
  <c r="AR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J738" i="1"/>
  <c r="H738" i="1"/>
  <c r="BO737" i="1"/>
  <c r="BN737" i="1"/>
  <c r="BL737" i="1"/>
  <c r="BK737" i="1"/>
  <c r="BJ737" i="1"/>
  <c r="BI737" i="1"/>
  <c r="BH737" i="1"/>
  <c r="BG737" i="1"/>
  <c r="BF737" i="1"/>
  <c r="BE737" i="1"/>
  <c r="BD737" i="1"/>
  <c r="AT737" i="1"/>
  <c r="AR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J737" i="1"/>
  <c r="H737" i="1"/>
  <c r="BO736" i="1"/>
  <c r="BN736" i="1"/>
  <c r="BL736" i="1"/>
  <c r="BK736" i="1"/>
  <c r="BJ736" i="1"/>
  <c r="BI736" i="1"/>
  <c r="BH736" i="1"/>
  <c r="BG736" i="1"/>
  <c r="BF736" i="1"/>
  <c r="BE736" i="1"/>
  <c r="BD736" i="1"/>
  <c r="AT736" i="1"/>
  <c r="AR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J736" i="1"/>
  <c r="H736" i="1"/>
  <c r="BO735" i="1"/>
  <c r="BN735" i="1"/>
  <c r="BL735" i="1"/>
  <c r="BK735" i="1"/>
  <c r="BJ735" i="1"/>
  <c r="BI735" i="1"/>
  <c r="BH735" i="1"/>
  <c r="BG735" i="1"/>
  <c r="BF735" i="1"/>
  <c r="BE735" i="1"/>
  <c r="BD735" i="1"/>
  <c r="AT735" i="1"/>
  <c r="AR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J735" i="1"/>
  <c r="H735" i="1"/>
  <c r="BO734" i="1"/>
  <c r="BN734" i="1"/>
  <c r="BL734" i="1"/>
  <c r="BK734" i="1"/>
  <c r="BJ734" i="1"/>
  <c r="BI734" i="1"/>
  <c r="BH734" i="1"/>
  <c r="BG734" i="1"/>
  <c r="BF734" i="1"/>
  <c r="BE734" i="1"/>
  <c r="BD734" i="1"/>
  <c r="AT734" i="1"/>
  <c r="AR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J734" i="1"/>
  <c r="H734" i="1"/>
  <c r="BO733" i="1"/>
  <c r="BN733" i="1"/>
  <c r="BL733" i="1"/>
  <c r="BK733" i="1"/>
  <c r="BJ733" i="1"/>
  <c r="BI733" i="1"/>
  <c r="BH733" i="1"/>
  <c r="BG733" i="1"/>
  <c r="BF733" i="1"/>
  <c r="BE733" i="1"/>
  <c r="BD733" i="1"/>
  <c r="AT733" i="1"/>
  <c r="AR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J733" i="1"/>
  <c r="H733" i="1"/>
  <c r="BO732" i="1"/>
  <c r="BN732" i="1"/>
  <c r="BL732" i="1"/>
  <c r="BK732" i="1"/>
  <c r="BJ732" i="1"/>
  <c r="BI732" i="1"/>
  <c r="BH732" i="1"/>
  <c r="BG732" i="1"/>
  <c r="BF732" i="1"/>
  <c r="BE732" i="1"/>
  <c r="BD732" i="1"/>
  <c r="AT732" i="1"/>
  <c r="AR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J732" i="1"/>
  <c r="H732" i="1"/>
  <c r="BO731" i="1"/>
  <c r="BN731" i="1"/>
  <c r="BL731" i="1"/>
  <c r="BK731" i="1"/>
  <c r="BJ731" i="1"/>
  <c r="BI731" i="1"/>
  <c r="BH731" i="1"/>
  <c r="BG731" i="1"/>
  <c r="BF731" i="1"/>
  <c r="BE731" i="1"/>
  <c r="BD731" i="1"/>
  <c r="AT731" i="1"/>
  <c r="AR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J731" i="1"/>
  <c r="H731" i="1"/>
  <c r="BO730" i="1"/>
  <c r="BN730" i="1"/>
  <c r="BL730" i="1"/>
  <c r="BK730" i="1"/>
  <c r="BJ730" i="1"/>
  <c r="BI730" i="1"/>
  <c r="BH730" i="1"/>
  <c r="BG730" i="1"/>
  <c r="BF730" i="1"/>
  <c r="BE730" i="1"/>
  <c r="BD730" i="1"/>
  <c r="AT730" i="1"/>
  <c r="AR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J730" i="1"/>
  <c r="H730" i="1"/>
  <c r="BO729" i="1"/>
  <c r="BN729" i="1"/>
  <c r="BL729" i="1"/>
  <c r="BK729" i="1"/>
  <c r="BJ729" i="1"/>
  <c r="BI729" i="1"/>
  <c r="BH729" i="1"/>
  <c r="BG729" i="1"/>
  <c r="BF729" i="1"/>
  <c r="BE729" i="1"/>
  <c r="BD729" i="1"/>
  <c r="AT729" i="1"/>
  <c r="AR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J729" i="1"/>
  <c r="H729" i="1"/>
  <c r="BO728" i="1"/>
  <c r="BN728" i="1"/>
  <c r="BL728" i="1"/>
  <c r="BK728" i="1"/>
  <c r="BJ728" i="1"/>
  <c r="BI728" i="1"/>
  <c r="BH728" i="1"/>
  <c r="BG728" i="1"/>
  <c r="BF728" i="1"/>
  <c r="BE728" i="1"/>
  <c r="BD728" i="1"/>
  <c r="AT728" i="1"/>
  <c r="AR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J728" i="1"/>
  <c r="H728" i="1"/>
  <c r="BO727" i="1"/>
  <c r="BN727" i="1"/>
  <c r="BL727" i="1"/>
  <c r="BK727" i="1"/>
  <c r="BJ727" i="1"/>
  <c r="BI727" i="1"/>
  <c r="BH727" i="1"/>
  <c r="BG727" i="1"/>
  <c r="BF727" i="1"/>
  <c r="BE727" i="1"/>
  <c r="BD727" i="1"/>
  <c r="AT727" i="1"/>
  <c r="AR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J727" i="1"/>
  <c r="H727" i="1"/>
  <c r="BO726" i="1"/>
  <c r="BN726" i="1"/>
  <c r="BL726" i="1"/>
  <c r="BK726" i="1"/>
  <c r="BJ726" i="1"/>
  <c r="BI726" i="1"/>
  <c r="BH726" i="1"/>
  <c r="BG726" i="1"/>
  <c r="BF726" i="1"/>
  <c r="BE726" i="1"/>
  <c r="BD726" i="1"/>
  <c r="AT726" i="1"/>
  <c r="AR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J726" i="1"/>
  <c r="H726" i="1"/>
  <c r="BO725" i="1"/>
  <c r="BN725" i="1"/>
  <c r="BL725" i="1"/>
  <c r="BK725" i="1"/>
  <c r="BJ725" i="1"/>
  <c r="BI725" i="1"/>
  <c r="BH725" i="1"/>
  <c r="BG725" i="1"/>
  <c r="BF725" i="1"/>
  <c r="BE725" i="1"/>
  <c r="BD725" i="1"/>
  <c r="AT725" i="1"/>
  <c r="AR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J725" i="1"/>
  <c r="H725" i="1"/>
  <c r="BO724" i="1"/>
  <c r="BN724" i="1"/>
  <c r="BL724" i="1"/>
  <c r="BK724" i="1"/>
  <c r="BJ724" i="1"/>
  <c r="BI724" i="1"/>
  <c r="BH724" i="1"/>
  <c r="BG724" i="1"/>
  <c r="BF724" i="1"/>
  <c r="BE724" i="1"/>
  <c r="BD724" i="1"/>
  <c r="AT724" i="1"/>
  <c r="AR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J724" i="1"/>
  <c r="H724" i="1"/>
  <c r="BO723" i="1"/>
  <c r="BN723" i="1"/>
  <c r="BL723" i="1"/>
  <c r="BK723" i="1"/>
  <c r="BJ723" i="1"/>
  <c r="BI723" i="1"/>
  <c r="BH723" i="1"/>
  <c r="BG723" i="1"/>
  <c r="BF723" i="1"/>
  <c r="BE723" i="1"/>
  <c r="BD723" i="1"/>
  <c r="AT723" i="1"/>
  <c r="AR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J723" i="1"/>
  <c r="H723" i="1"/>
  <c r="BO722" i="1"/>
  <c r="BN722" i="1"/>
  <c r="BL722" i="1"/>
  <c r="BK722" i="1"/>
  <c r="BJ722" i="1"/>
  <c r="BI722" i="1"/>
  <c r="BH722" i="1"/>
  <c r="BG722" i="1"/>
  <c r="BF722" i="1"/>
  <c r="BE722" i="1"/>
  <c r="BD722" i="1"/>
  <c r="AT722" i="1"/>
  <c r="AR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J722" i="1"/>
  <c r="H722" i="1"/>
  <c r="BO721" i="1"/>
  <c r="BN721" i="1"/>
  <c r="BL721" i="1"/>
  <c r="BK721" i="1"/>
  <c r="BJ721" i="1"/>
  <c r="BI721" i="1"/>
  <c r="BH721" i="1"/>
  <c r="BG721" i="1"/>
  <c r="BF721" i="1"/>
  <c r="BE721" i="1"/>
  <c r="BD721" i="1"/>
  <c r="AT721" i="1"/>
  <c r="AR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J721" i="1"/>
  <c r="H721" i="1"/>
  <c r="BO720" i="1"/>
  <c r="BN720" i="1"/>
  <c r="BL720" i="1"/>
  <c r="BK720" i="1"/>
  <c r="BJ720" i="1"/>
  <c r="BI720" i="1"/>
  <c r="BH720" i="1"/>
  <c r="BG720" i="1"/>
  <c r="BF720" i="1"/>
  <c r="BE720" i="1"/>
  <c r="BD720" i="1"/>
  <c r="AT720" i="1"/>
  <c r="AR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J720" i="1"/>
  <c r="H720" i="1"/>
  <c r="BO719" i="1"/>
  <c r="BN719" i="1"/>
  <c r="BL719" i="1"/>
  <c r="BK719" i="1"/>
  <c r="BJ719" i="1"/>
  <c r="BI719" i="1"/>
  <c r="BH719" i="1"/>
  <c r="BG719" i="1"/>
  <c r="BF719" i="1"/>
  <c r="BE719" i="1"/>
  <c r="BD719" i="1"/>
  <c r="AT719" i="1"/>
  <c r="AR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J719" i="1"/>
  <c r="H719" i="1"/>
  <c r="BO718" i="1"/>
  <c r="BN718" i="1"/>
  <c r="BL718" i="1"/>
  <c r="BK718" i="1"/>
  <c r="BJ718" i="1"/>
  <c r="BI718" i="1"/>
  <c r="BH718" i="1"/>
  <c r="BG718" i="1"/>
  <c r="BF718" i="1"/>
  <c r="BE718" i="1"/>
  <c r="BD718" i="1"/>
  <c r="AT718" i="1"/>
  <c r="AR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J718" i="1"/>
  <c r="H718" i="1"/>
  <c r="BO717" i="1"/>
  <c r="BN717" i="1"/>
  <c r="BL717" i="1"/>
  <c r="BK717" i="1"/>
  <c r="BJ717" i="1"/>
  <c r="BI717" i="1"/>
  <c r="BH717" i="1"/>
  <c r="BG717" i="1"/>
  <c r="BF717" i="1"/>
  <c r="BE717" i="1"/>
  <c r="BD717" i="1"/>
  <c r="AT717" i="1"/>
  <c r="AR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J717" i="1"/>
  <c r="H717" i="1"/>
  <c r="BO716" i="1"/>
  <c r="BN716" i="1"/>
  <c r="BL716" i="1"/>
  <c r="BK716" i="1"/>
  <c r="BJ716" i="1"/>
  <c r="BI716" i="1"/>
  <c r="BH716" i="1"/>
  <c r="BG716" i="1"/>
  <c r="BF716" i="1"/>
  <c r="BE716" i="1"/>
  <c r="BD716" i="1"/>
  <c r="AT716" i="1"/>
  <c r="AR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J716" i="1"/>
  <c r="H716" i="1"/>
  <c r="BO715" i="1"/>
  <c r="BN715" i="1"/>
  <c r="BL715" i="1"/>
  <c r="BK715" i="1"/>
  <c r="BJ715" i="1"/>
  <c r="BI715" i="1"/>
  <c r="BH715" i="1"/>
  <c r="BG715" i="1"/>
  <c r="BF715" i="1"/>
  <c r="BE715" i="1"/>
  <c r="BD715" i="1"/>
  <c r="AT715" i="1"/>
  <c r="AR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J715" i="1"/>
  <c r="H715" i="1"/>
  <c r="BO714" i="1"/>
  <c r="BN714" i="1"/>
  <c r="BL714" i="1"/>
  <c r="BK714" i="1"/>
  <c r="BJ714" i="1"/>
  <c r="BI714" i="1"/>
  <c r="BH714" i="1"/>
  <c r="BG714" i="1"/>
  <c r="BF714" i="1"/>
  <c r="BE714" i="1"/>
  <c r="BD714" i="1"/>
  <c r="AT714" i="1"/>
  <c r="AR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J714" i="1"/>
  <c r="H714" i="1"/>
  <c r="BO713" i="1"/>
  <c r="BN713" i="1"/>
  <c r="BL713" i="1"/>
  <c r="BK713" i="1"/>
  <c r="BJ713" i="1"/>
  <c r="BI713" i="1"/>
  <c r="BH713" i="1"/>
  <c r="BG713" i="1"/>
  <c r="BF713" i="1"/>
  <c r="BE713" i="1"/>
  <c r="BD713" i="1"/>
  <c r="AT713" i="1"/>
  <c r="AR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J713" i="1"/>
  <c r="H713" i="1"/>
  <c r="BO712" i="1"/>
  <c r="BN712" i="1"/>
  <c r="BL712" i="1"/>
  <c r="BK712" i="1"/>
  <c r="BJ712" i="1"/>
  <c r="BI712" i="1"/>
  <c r="BH712" i="1"/>
  <c r="BG712" i="1"/>
  <c r="BF712" i="1"/>
  <c r="BE712" i="1"/>
  <c r="BD712" i="1"/>
  <c r="AT712" i="1"/>
  <c r="AR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J712" i="1"/>
  <c r="H712" i="1"/>
  <c r="BO711" i="1"/>
  <c r="BN711" i="1"/>
  <c r="BL711" i="1"/>
  <c r="BK711" i="1"/>
  <c r="BJ711" i="1"/>
  <c r="BI711" i="1"/>
  <c r="BH711" i="1"/>
  <c r="BG711" i="1"/>
  <c r="BF711" i="1"/>
  <c r="BE711" i="1"/>
  <c r="BD711" i="1"/>
  <c r="AT711" i="1"/>
  <c r="AR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J711" i="1"/>
  <c r="H711" i="1"/>
  <c r="BO710" i="1"/>
  <c r="BN710" i="1"/>
  <c r="BL710" i="1"/>
  <c r="BK710" i="1"/>
  <c r="BJ710" i="1"/>
  <c r="BI710" i="1"/>
  <c r="BH710" i="1"/>
  <c r="BG710" i="1"/>
  <c r="BF710" i="1"/>
  <c r="BE710" i="1"/>
  <c r="BD710" i="1"/>
  <c r="AT710" i="1"/>
  <c r="AR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J710" i="1"/>
  <c r="H710" i="1"/>
  <c r="BO709" i="1"/>
  <c r="BN709" i="1"/>
  <c r="BL709" i="1"/>
  <c r="BK709" i="1"/>
  <c r="BJ709" i="1"/>
  <c r="BI709" i="1"/>
  <c r="BH709" i="1"/>
  <c r="BG709" i="1"/>
  <c r="BF709" i="1"/>
  <c r="BE709" i="1"/>
  <c r="BD709" i="1"/>
  <c r="AT709" i="1"/>
  <c r="AR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J709" i="1"/>
  <c r="H709" i="1"/>
  <c r="BO708" i="1"/>
  <c r="BN708" i="1"/>
  <c r="BL708" i="1"/>
  <c r="BK708" i="1"/>
  <c r="BJ708" i="1"/>
  <c r="BI708" i="1"/>
  <c r="BH708" i="1"/>
  <c r="BG708" i="1"/>
  <c r="BF708" i="1"/>
  <c r="BE708" i="1"/>
  <c r="BD708" i="1"/>
  <c r="AT708" i="1"/>
  <c r="AR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J708" i="1"/>
  <c r="H708" i="1"/>
  <c r="BO707" i="1"/>
  <c r="BN707" i="1"/>
  <c r="BL707" i="1"/>
  <c r="BK707" i="1"/>
  <c r="BJ707" i="1"/>
  <c r="BI707" i="1"/>
  <c r="BH707" i="1"/>
  <c r="BG707" i="1"/>
  <c r="BF707" i="1"/>
  <c r="BE707" i="1"/>
  <c r="BD707" i="1"/>
  <c r="AT707" i="1"/>
  <c r="AR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J707" i="1"/>
  <c r="H707" i="1"/>
  <c r="BO706" i="1"/>
  <c r="BN706" i="1"/>
  <c r="BL706" i="1"/>
  <c r="BK706" i="1"/>
  <c r="BJ706" i="1"/>
  <c r="BI706" i="1"/>
  <c r="BH706" i="1"/>
  <c r="BG706" i="1"/>
  <c r="BF706" i="1"/>
  <c r="BE706" i="1"/>
  <c r="BD706" i="1"/>
  <c r="AT706" i="1"/>
  <c r="AR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J706" i="1"/>
  <c r="H706" i="1"/>
  <c r="BO705" i="1"/>
  <c r="BN705" i="1"/>
  <c r="BL705" i="1"/>
  <c r="BK705" i="1"/>
  <c r="BJ705" i="1"/>
  <c r="BI705" i="1"/>
  <c r="BH705" i="1"/>
  <c r="BG705" i="1"/>
  <c r="BF705" i="1"/>
  <c r="BE705" i="1"/>
  <c r="BD705" i="1"/>
  <c r="AT705" i="1"/>
  <c r="AR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J705" i="1"/>
  <c r="H705" i="1"/>
  <c r="BO704" i="1"/>
  <c r="BN704" i="1"/>
  <c r="BL704" i="1"/>
  <c r="BK704" i="1"/>
  <c r="BJ704" i="1"/>
  <c r="BI704" i="1"/>
  <c r="BH704" i="1"/>
  <c r="BG704" i="1"/>
  <c r="BF704" i="1"/>
  <c r="BE704" i="1"/>
  <c r="BD704" i="1"/>
  <c r="AT704" i="1"/>
  <c r="AR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J704" i="1"/>
  <c r="H704" i="1"/>
  <c r="BO703" i="1"/>
  <c r="BN703" i="1"/>
  <c r="BL703" i="1"/>
  <c r="BK703" i="1"/>
  <c r="BJ703" i="1"/>
  <c r="BI703" i="1"/>
  <c r="BH703" i="1"/>
  <c r="BG703" i="1"/>
  <c r="BF703" i="1"/>
  <c r="BE703" i="1"/>
  <c r="BD703" i="1"/>
  <c r="AT703" i="1"/>
  <c r="AR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J703" i="1"/>
  <c r="H703" i="1"/>
  <c r="BO702" i="1"/>
  <c r="BN702" i="1"/>
  <c r="BL702" i="1"/>
  <c r="BK702" i="1"/>
  <c r="BJ702" i="1"/>
  <c r="BI702" i="1"/>
  <c r="BH702" i="1"/>
  <c r="BG702" i="1"/>
  <c r="BF702" i="1"/>
  <c r="BE702" i="1"/>
  <c r="BD702" i="1"/>
  <c r="AT702" i="1"/>
  <c r="AR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J702" i="1"/>
  <c r="H702" i="1"/>
  <c r="BO701" i="1"/>
  <c r="BN701" i="1"/>
  <c r="BL701" i="1"/>
  <c r="BK701" i="1"/>
  <c r="BJ701" i="1"/>
  <c r="BI701" i="1"/>
  <c r="BH701" i="1"/>
  <c r="BG701" i="1"/>
  <c r="BF701" i="1"/>
  <c r="BE701" i="1"/>
  <c r="BD701" i="1"/>
  <c r="AT701" i="1"/>
  <c r="AR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J701" i="1"/>
  <c r="H701" i="1"/>
  <c r="BO700" i="1"/>
  <c r="BN700" i="1"/>
  <c r="BL700" i="1"/>
  <c r="BK700" i="1"/>
  <c r="BJ700" i="1"/>
  <c r="BI700" i="1"/>
  <c r="BH700" i="1"/>
  <c r="BG700" i="1"/>
  <c r="BF700" i="1"/>
  <c r="BE700" i="1"/>
  <c r="BD700" i="1"/>
  <c r="AT700" i="1"/>
  <c r="AR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J700" i="1"/>
  <c r="H700" i="1"/>
  <c r="BO699" i="1"/>
  <c r="BN699" i="1"/>
  <c r="BL699" i="1"/>
  <c r="BK699" i="1"/>
  <c r="BJ699" i="1"/>
  <c r="BI699" i="1"/>
  <c r="BH699" i="1"/>
  <c r="BG699" i="1"/>
  <c r="BF699" i="1"/>
  <c r="BE699" i="1"/>
  <c r="BD699" i="1"/>
  <c r="AT699" i="1"/>
  <c r="AR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J699" i="1"/>
  <c r="H699" i="1"/>
  <c r="BO698" i="1"/>
  <c r="BN698" i="1"/>
  <c r="BL698" i="1"/>
  <c r="BK698" i="1"/>
  <c r="BJ698" i="1"/>
  <c r="BI698" i="1"/>
  <c r="BH698" i="1"/>
  <c r="BG698" i="1"/>
  <c r="BF698" i="1"/>
  <c r="BE698" i="1"/>
  <c r="BD698" i="1"/>
  <c r="AT698" i="1"/>
  <c r="AR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J698" i="1"/>
  <c r="H698" i="1"/>
  <c r="BO697" i="1"/>
  <c r="BN697" i="1"/>
  <c r="BL697" i="1"/>
  <c r="BK697" i="1"/>
  <c r="BJ697" i="1"/>
  <c r="BI697" i="1"/>
  <c r="BH697" i="1"/>
  <c r="BG697" i="1"/>
  <c r="BF697" i="1"/>
  <c r="BE697" i="1"/>
  <c r="BD697" i="1"/>
  <c r="AT697" i="1"/>
  <c r="AR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J697" i="1"/>
  <c r="H697" i="1"/>
  <c r="BO696" i="1"/>
  <c r="BN696" i="1"/>
  <c r="BL696" i="1"/>
  <c r="BK696" i="1"/>
  <c r="BJ696" i="1"/>
  <c r="BI696" i="1"/>
  <c r="BH696" i="1"/>
  <c r="BG696" i="1"/>
  <c r="BF696" i="1"/>
  <c r="BE696" i="1"/>
  <c r="BD696" i="1"/>
  <c r="AT696" i="1"/>
  <c r="AR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J696" i="1"/>
  <c r="H696" i="1"/>
  <c r="BO695" i="1"/>
  <c r="BN695" i="1"/>
  <c r="BL695" i="1"/>
  <c r="BK695" i="1"/>
  <c r="BJ695" i="1"/>
  <c r="BI695" i="1"/>
  <c r="BH695" i="1"/>
  <c r="BG695" i="1"/>
  <c r="BF695" i="1"/>
  <c r="BE695" i="1"/>
  <c r="BD695" i="1"/>
  <c r="AT695" i="1"/>
  <c r="AR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J695" i="1"/>
  <c r="H695" i="1"/>
  <c r="BO694" i="1"/>
  <c r="BN694" i="1"/>
  <c r="BL694" i="1"/>
  <c r="BK694" i="1"/>
  <c r="BJ694" i="1"/>
  <c r="BI694" i="1"/>
  <c r="BH694" i="1"/>
  <c r="BG694" i="1"/>
  <c r="BF694" i="1"/>
  <c r="BE694" i="1"/>
  <c r="BD694" i="1"/>
  <c r="AT694" i="1"/>
  <c r="AR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J694" i="1"/>
  <c r="H694" i="1"/>
  <c r="BO693" i="1"/>
  <c r="BN693" i="1"/>
  <c r="BL693" i="1"/>
  <c r="BK693" i="1"/>
  <c r="BJ693" i="1"/>
  <c r="BI693" i="1"/>
  <c r="BH693" i="1"/>
  <c r="BG693" i="1"/>
  <c r="BF693" i="1"/>
  <c r="BE693" i="1"/>
  <c r="BD693" i="1"/>
  <c r="AT693" i="1"/>
  <c r="AR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J693" i="1"/>
  <c r="H693" i="1"/>
  <c r="BO692" i="1"/>
  <c r="BN692" i="1"/>
  <c r="BL692" i="1"/>
  <c r="BK692" i="1"/>
  <c r="BJ692" i="1"/>
  <c r="BI692" i="1"/>
  <c r="BH692" i="1"/>
  <c r="BG692" i="1"/>
  <c r="BF692" i="1"/>
  <c r="BE692" i="1"/>
  <c r="BD692" i="1"/>
  <c r="AT692" i="1"/>
  <c r="AR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J692" i="1"/>
  <c r="H692" i="1"/>
  <c r="BO691" i="1"/>
  <c r="BN691" i="1"/>
  <c r="BL691" i="1"/>
  <c r="BK691" i="1"/>
  <c r="BJ691" i="1"/>
  <c r="BI691" i="1"/>
  <c r="BH691" i="1"/>
  <c r="BG691" i="1"/>
  <c r="BF691" i="1"/>
  <c r="BE691" i="1"/>
  <c r="BD691" i="1"/>
  <c r="AT691" i="1"/>
  <c r="AR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J691" i="1"/>
  <c r="H691" i="1"/>
  <c r="BO690" i="1"/>
  <c r="BN690" i="1"/>
  <c r="BL690" i="1"/>
  <c r="BK690" i="1"/>
  <c r="BJ690" i="1"/>
  <c r="BI690" i="1"/>
  <c r="BH690" i="1"/>
  <c r="BG690" i="1"/>
  <c r="BF690" i="1"/>
  <c r="BE690" i="1"/>
  <c r="BD690" i="1"/>
  <c r="AT690" i="1"/>
  <c r="AR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J690" i="1"/>
  <c r="H690" i="1"/>
  <c r="BO689" i="1"/>
  <c r="BN689" i="1"/>
  <c r="BL689" i="1"/>
  <c r="BK689" i="1"/>
  <c r="BJ689" i="1"/>
  <c r="BI689" i="1"/>
  <c r="BH689" i="1"/>
  <c r="BG689" i="1"/>
  <c r="BF689" i="1"/>
  <c r="BE689" i="1"/>
  <c r="BD689" i="1"/>
  <c r="AT689" i="1"/>
  <c r="AR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J689" i="1"/>
  <c r="H689" i="1"/>
  <c r="BO688" i="1"/>
  <c r="BN688" i="1"/>
  <c r="BL688" i="1"/>
  <c r="BK688" i="1"/>
  <c r="BJ688" i="1"/>
  <c r="BI688" i="1"/>
  <c r="BH688" i="1"/>
  <c r="BG688" i="1"/>
  <c r="BF688" i="1"/>
  <c r="BE688" i="1"/>
  <c r="BD688" i="1"/>
  <c r="AT688" i="1"/>
  <c r="AR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J688" i="1"/>
  <c r="H688" i="1"/>
  <c r="BO687" i="1"/>
  <c r="BN687" i="1"/>
  <c r="BL687" i="1"/>
  <c r="BK687" i="1"/>
  <c r="BJ687" i="1"/>
  <c r="BI687" i="1"/>
  <c r="BH687" i="1"/>
  <c r="BG687" i="1"/>
  <c r="BF687" i="1"/>
  <c r="BE687" i="1"/>
  <c r="BD687" i="1"/>
  <c r="AT687" i="1"/>
  <c r="AR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J687" i="1"/>
  <c r="H687" i="1"/>
  <c r="BO686" i="1"/>
  <c r="BN686" i="1"/>
  <c r="BL686" i="1"/>
  <c r="BK686" i="1"/>
  <c r="BJ686" i="1"/>
  <c r="BI686" i="1"/>
  <c r="BH686" i="1"/>
  <c r="BG686" i="1"/>
  <c r="BF686" i="1"/>
  <c r="BE686" i="1"/>
  <c r="BD686" i="1"/>
  <c r="AT686" i="1"/>
  <c r="AR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J686" i="1"/>
  <c r="H686" i="1"/>
  <c r="BO685" i="1"/>
  <c r="BN685" i="1"/>
  <c r="BL685" i="1"/>
  <c r="BK685" i="1"/>
  <c r="BJ685" i="1"/>
  <c r="BI685" i="1"/>
  <c r="BH685" i="1"/>
  <c r="BG685" i="1"/>
  <c r="BF685" i="1"/>
  <c r="BE685" i="1"/>
  <c r="BD685" i="1"/>
  <c r="AT685" i="1"/>
  <c r="AR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J685" i="1"/>
  <c r="H685" i="1"/>
  <c r="BO684" i="1"/>
  <c r="BN684" i="1"/>
  <c r="BL684" i="1"/>
  <c r="BK684" i="1"/>
  <c r="BJ684" i="1"/>
  <c r="BI684" i="1"/>
  <c r="BH684" i="1"/>
  <c r="BG684" i="1"/>
  <c r="BF684" i="1"/>
  <c r="BE684" i="1"/>
  <c r="BD684" i="1"/>
  <c r="AT684" i="1"/>
  <c r="AR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J684" i="1"/>
  <c r="H684" i="1"/>
  <c r="BO683" i="1"/>
  <c r="BN683" i="1"/>
  <c r="BL683" i="1"/>
  <c r="BK683" i="1"/>
  <c r="BJ683" i="1"/>
  <c r="BI683" i="1"/>
  <c r="BH683" i="1"/>
  <c r="BG683" i="1"/>
  <c r="BF683" i="1"/>
  <c r="BE683" i="1"/>
  <c r="BD683" i="1"/>
  <c r="AT683" i="1"/>
  <c r="AR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J683" i="1"/>
  <c r="H683" i="1"/>
  <c r="BO682" i="1"/>
  <c r="BN682" i="1"/>
  <c r="BL682" i="1"/>
  <c r="BK682" i="1"/>
  <c r="BJ682" i="1"/>
  <c r="BI682" i="1"/>
  <c r="BH682" i="1"/>
  <c r="BG682" i="1"/>
  <c r="BF682" i="1"/>
  <c r="BE682" i="1"/>
  <c r="BD682" i="1"/>
  <c r="AT682" i="1"/>
  <c r="AR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J682" i="1"/>
  <c r="H682" i="1"/>
  <c r="BO681" i="1"/>
  <c r="BN681" i="1"/>
  <c r="BL681" i="1"/>
  <c r="BK681" i="1"/>
  <c r="BJ681" i="1"/>
  <c r="BI681" i="1"/>
  <c r="BH681" i="1"/>
  <c r="BG681" i="1"/>
  <c r="BF681" i="1"/>
  <c r="BE681" i="1"/>
  <c r="BD681" i="1"/>
  <c r="AT681" i="1"/>
  <c r="AR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J681" i="1"/>
  <c r="H681" i="1"/>
  <c r="BO680" i="1"/>
  <c r="BN680" i="1"/>
  <c r="BL680" i="1"/>
  <c r="BK680" i="1"/>
  <c r="BJ680" i="1"/>
  <c r="BI680" i="1"/>
  <c r="BH680" i="1"/>
  <c r="BG680" i="1"/>
  <c r="BF680" i="1"/>
  <c r="BE680" i="1"/>
  <c r="BD680" i="1"/>
  <c r="AT680" i="1"/>
  <c r="AR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J680" i="1"/>
  <c r="H680" i="1"/>
  <c r="BO679" i="1"/>
  <c r="BN679" i="1"/>
  <c r="BL679" i="1"/>
  <c r="BK679" i="1"/>
  <c r="BJ679" i="1"/>
  <c r="BI679" i="1"/>
  <c r="BH679" i="1"/>
  <c r="BG679" i="1"/>
  <c r="BF679" i="1"/>
  <c r="BE679" i="1"/>
  <c r="BD679" i="1"/>
  <c r="AT679" i="1"/>
  <c r="AR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J679" i="1"/>
  <c r="H679" i="1"/>
  <c r="BO678" i="1"/>
  <c r="BN678" i="1"/>
  <c r="BL678" i="1"/>
  <c r="BK678" i="1"/>
  <c r="BJ678" i="1"/>
  <c r="BI678" i="1"/>
  <c r="BH678" i="1"/>
  <c r="BG678" i="1"/>
  <c r="BF678" i="1"/>
  <c r="BE678" i="1"/>
  <c r="BD678" i="1"/>
  <c r="AT678" i="1"/>
  <c r="AR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J678" i="1"/>
  <c r="H678" i="1"/>
  <c r="BO677" i="1"/>
  <c r="BN677" i="1"/>
  <c r="BL677" i="1"/>
  <c r="BK677" i="1"/>
  <c r="BJ677" i="1"/>
  <c r="BI677" i="1"/>
  <c r="BH677" i="1"/>
  <c r="BG677" i="1"/>
  <c r="BF677" i="1"/>
  <c r="BE677" i="1"/>
  <c r="BD677" i="1"/>
  <c r="AT677" i="1"/>
  <c r="AR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J677" i="1"/>
  <c r="H677" i="1"/>
  <c r="BO676" i="1"/>
  <c r="BN676" i="1"/>
  <c r="BL676" i="1"/>
  <c r="BK676" i="1"/>
  <c r="BJ676" i="1"/>
  <c r="BI676" i="1"/>
  <c r="BH676" i="1"/>
  <c r="BG676" i="1"/>
  <c r="BF676" i="1"/>
  <c r="BE676" i="1"/>
  <c r="BD676" i="1"/>
  <c r="AT676" i="1"/>
  <c r="AR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J676" i="1"/>
  <c r="H676" i="1"/>
  <c r="BO675" i="1"/>
  <c r="BN675" i="1"/>
  <c r="BL675" i="1"/>
  <c r="BK675" i="1"/>
  <c r="BJ675" i="1"/>
  <c r="BI675" i="1"/>
  <c r="BH675" i="1"/>
  <c r="BG675" i="1"/>
  <c r="BF675" i="1"/>
  <c r="BE675" i="1"/>
  <c r="BD675" i="1"/>
  <c r="AT675" i="1"/>
  <c r="AR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J675" i="1"/>
  <c r="H675" i="1"/>
  <c r="BO674" i="1"/>
  <c r="BN674" i="1"/>
  <c r="BL674" i="1"/>
  <c r="BK674" i="1"/>
  <c r="BJ674" i="1"/>
  <c r="BI674" i="1"/>
  <c r="BH674" i="1"/>
  <c r="BG674" i="1"/>
  <c r="BF674" i="1"/>
  <c r="BE674" i="1"/>
  <c r="BD674" i="1"/>
  <c r="AT674" i="1"/>
  <c r="AR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J674" i="1"/>
  <c r="H674" i="1"/>
  <c r="BO673" i="1"/>
  <c r="BN673" i="1"/>
  <c r="BL673" i="1"/>
  <c r="BK673" i="1"/>
  <c r="BJ673" i="1"/>
  <c r="BI673" i="1"/>
  <c r="BH673" i="1"/>
  <c r="BG673" i="1"/>
  <c r="BF673" i="1"/>
  <c r="BE673" i="1"/>
  <c r="BD673" i="1"/>
  <c r="AT673" i="1"/>
  <c r="AR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J673" i="1"/>
  <c r="H673" i="1"/>
  <c r="BO672" i="1"/>
  <c r="BN672" i="1"/>
  <c r="BL672" i="1"/>
  <c r="BK672" i="1"/>
  <c r="BJ672" i="1"/>
  <c r="BI672" i="1"/>
  <c r="BH672" i="1"/>
  <c r="BG672" i="1"/>
  <c r="BF672" i="1"/>
  <c r="BE672" i="1"/>
  <c r="BD672" i="1"/>
  <c r="AT672" i="1"/>
  <c r="AR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J672" i="1"/>
  <c r="H672" i="1"/>
  <c r="BO671" i="1"/>
  <c r="BN671" i="1"/>
  <c r="BL671" i="1"/>
  <c r="BK671" i="1"/>
  <c r="BJ671" i="1"/>
  <c r="BI671" i="1"/>
  <c r="BH671" i="1"/>
  <c r="BG671" i="1"/>
  <c r="BF671" i="1"/>
  <c r="BE671" i="1"/>
  <c r="BD671" i="1"/>
  <c r="AT671" i="1"/>
  <c r="AR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J671" i="1"/>
  <c r="H671" i="1"/>
  <c r="BO670" i="1"/>
  <c r="BN670" i="1"/>
  <c r="BL670" i="1"/>
  <c r="BK670" i="1"/>
  <c r="BJ670" i="1"/>
  <c r="BI670" i="1"/>
  <c r="BH670" i="1"/>
  <c r="BG670" i="1"/>
  <c r="BF670" i="1"/>
  <c r="BE670" i="1"/>
  <c r="BD670" i="1"/>
  <c r="AT670" i="1"/>
  <c r="AR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J670" i="1"/>
  <c r="H670" i="1"/>
  <c r="BO669" i="1"/>
  <c r="BN669" i="1"/>
  <c r="BL669" i="1"/>
  <c r="BK669" i="1"/>
  <c r="BJ669" i="1"/>
  <c r="BI669" i="1"/>
  <c r="BH669" i="1"/>
  <c r="BG669" i="1"/>
  <c r="BF669" i="1"/>
  <c r="BE669" i="1"/>
  <c r="BD669" i="1"/>
  <c r="AT669" i="1"/>
  <c r="AR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J669" i="1"/>
  <c r="H669" i="1"/>
  <c r="BO668" i="1"/>
  <c r="BN668" i="1"/>
  <c r="BL668" i="1"/>
  <c r="BK668" i="1"/>
  <c r="BJ668" i="1"/>
  <c r="BI668" i="1"/>
  <c r="BH668" i="1"/>
  <c r="BG668" i="1"/>
  <c r="BF668" i="1"/>
  <c r="BE668" i="1"/>
  <c r="BD668" i="1"/>
  <c r="AT668" i="1"/>
  <c r="AR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J668" i="1"/>
  <c r="H668" i="1"/>
  <c r="BO667" i="1"/>
  <c r="BN667" i="1"/>
  <c r="BL667" i="1"/>
  <c r="BK667" i="1"/>
  <c r="BJ667" i="1"/>
  <c r="BI667" i="1"/>
  <c r="BH667" i="1"/>
  <c r="BG667" i="1"/>
  <c r="BF667" i="1"/>
  <c r="BE667" i="1"/>
  <c r="BD667" i="1"/>
  <c r="AT667" i="1"/>
  <c r="AR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J667" i="1"/>
  <c r="H667" i="1"/>
  <c r="BO666" i="1"/>
  <c r="BN666" i="1"/>
  <c r="BL666" i="1"/>
  <c r="BK666" i="1"/>
  <c r="BJ666" i="1"/>
  <c r="BI666" i="1"/>
  <c r="BH666" i="1"/>
  <c r="BG666" i="1"/>
  <c r="BF666" i="1"/>
  <c r="BE666" i="1"/>
  <c r="BD666" i="1"/>
  <c r="AT666" i="1"/>
  <c r="AR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J666" i="1"/>
  <c r="H666" i="1"/>
  <c r="BO665" i="1"/>
  <c r="BN665" i="1"/>
  <c r="BL665" i="1"/>
  <c r="BK665" i="1"/>
  <c r="BJ665" i="1"/>
  <c r="BI665" i="1"/>
  <c r="BH665" i="1"/>
  <c r="BG665" i="1"/>
  <c r="BF665" i="1"/>
  <c r="BE665" i="1"/>
  <c r="BD665" i="1"/>
  <c r="AT665" i="1"/>
  <c r="AR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J665" i="1"/>
  <c r="H665" i="1"/>
  <c r="BO664" i="1"/>
  <c r="BN664" i="1"/>
  <c r="BL664" i="1"/>
  <c r="BK664" i="1"/>
  <c r="BJ664" i="1"/>
  <c r="BI664" i="1"/>
  <c r="BH664" i="1"/>
  <c r="BG664" i="1"/>
  <c r="BF664" i="1"/>
  <c r="BE664" i="1"/>
  <c r="BD664" i="1"/>
  <c r="AT664" i="1"/>
  <c r="AR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J664" i="1"/>
  <c r="H664" i="1"/>
  <c r="BO663" i="1"/>
  <c r="BN663" i="1"/>
  <c r="BL663" i="1"/>
  <c r="BK663" i="1"/>
  <c r="BJ663" i="1"/>
  <c r="BI663" i="1"/>
  <c r="BH663" i="1"/>
  <c r="BG663" i="1"/>
  <c r="BF663" i="1"/>
  <c r="BE663" i="1"/>
  <c r="BD663" i="1"/>
  <c r="AT663" i="1"/>
  <c r="AR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J663" i="1"/>
  <c r="H663" i="1"/>
  <c r="BO662" i="1"/>
  <c r="BN662" i="1"/>
  <c r="BL662" i="1"/>
  <c r="BK662" i="1"/>
  <c r="BJ662" i="1"/>
  <c r="BI662" i="1"/>
  <c r="BH662" i="1"/>
  <c r="BG662" i="1"/>
  <c r="BF662" i="1"/>
  <c r="BE662" i="1"/>
  <c r="BD662" i="1"/>
  <c r="AT662" i="1"/>
  <c r="AR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J662" i="1"/>
  <c r="H662" i="1"/>
  <c r="BO661" i="1"/>
  <c r="BN661" i="1"/>
  <c r="BL661" i="1"/>
  <c r="BK661" i="1"/>
  <c r="BJ661" i="1"/>
  <c r="BI661" i="1"/>
  <c r="BH661" i="1"/>
  <c r="BG661" i="1"/>
  <c r="BF661" i="1"/>
  <c r="BE661" i="1"/>
  <c r="BD661" i="1"/>
  <c r="AT661" i="1"/>
  <c r="AR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J661" i="1"/>
  <c r="H661" i="1"/>
  <c r="BO660" i="1"/>
  <c r="BN660" i="1"/>
  <c r="BL660" i="1"/>
  <c r="BK660" i="1"/>
  <c r="BJ660" i="1"/>
  <c r="BI660" i="1"/>
  <c r="BH660" i="1"/>
  <c r="BG660" i="1"/>
  <c r="BF660" i="1"/>
  <c r="BE660" i="1"/>
  <c r="BD660" i="1"/>
  <c r="AT660" i="1"/>
  <c r="AR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J660" i="1"/>
  <c r="H660" i="1"/>
  <c r="BO659" i="1"/>
  <c r="BN659" i="1"/>
  <c r="BL659" i="1"/>
  <c r="BK659" i="1"/>
  <c r="BJ659" i="1"/>
  <c r="BI659" i="1"/>
  <c r="BH659" i="1"/>
  <c r="BG659" i="1"/>
  <c r="BF659" i="1"/>
  <c r="BE659" i="1"/>
  <c r="BD659" i="1"/>
  <c r="AT659" i="1"/>
  <c r="AR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J659" i="1"/>
  <c r="H659" i="1"/>
  <c r="BO658" i="1"/>
  <c r="BN658" i="1"/>
  <c r="BL658" i="1"/>
  <c r="BK658" i="1"/>
  <c r="BJ658" i="1"/>
  <c r="BI658" i="1"/>
  <c r="BH658" i="1"/>
  <c r="BG658" i="1"/>
  <c r="BF658" i="1"/>
  <c r="BE658" i="1"/>
  <c r="BD658" i="1"/>
  <c r="AT658" i="1"/>
  <c r="AR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J658" i="1"/>
  <c r="H658" i="1"/>
  <c r="BO657" i="1"/>
  <c r="BN657" i="1"/>
  <c r="BL657" i="1"/>
  <c r="BK657" i="1"/>
  <c r="BJ657" i="1"/>
  <c r="BI657" i="1"/>
  <c r="BH657" i="1"/>
  <c r="BG657" i="1"/>
  <c r="BF657" i="1"/>
  <c r="BE657" i="1"/>
  <c r="BD657" i="1"/>
  <c r="AT657" i="1"/>
  <c r="AR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J657" i="1"/>
  <c r="H657" i="1"/>
  <c r="BO656" i="1"/>
  <c r="BN656" i="1"/>
  <c r="BL656" i="1"/>
  <c r="BK656" i="1"/>
  <c r="BJ656" i="1"/>
  <c r="BI656" i="1"/>
  <c r="BH656" i="1"/>
  <c r="BG656" i="1"/>
  <c r="BF656" i="1"/>
  <c r="BE656" i="1"/>
  <c r="BD656" i="1"/>
  <c r="AT656" i="1"/>
  <c r="AR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J656" i="1"/>
  <c r="H656" i="1"/>
  <c r="BO655" i="1"/>
  <c r="BN655" i="1"/>
  <c r="BL655" i="1"/>
  <c r="BK655" i="1"/>
  <c r="BJ655" i="1"/>
  <c r="BI655" i="1"/>
  <c r="BH655" i="1"/>
  <c r="BG655" i="1"/>
  <c r="BF655" i="1"/>
  <c r="BE655" i="1"/>
  <c r="BD655" i="1"/>
  <c r="AT655" i="1"/>
  <c r="AR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J655" i="1"/>
  <c r="H655" i="1"/>
  <c r="BO654" i="1"/>
  <c r="BN654" i="1"/>
  <c r="BL654" i="1"/>
  <c r="BK654" i="1"/>
  <c r="BJ654" i="1"/>
  <c r="BI654" i="1"/>
  <c r="BH654" i="1"/>
  <c r="BG654" i="1"/>
  <c r="BF654" i="1"/>
  <c r="BE654" i="1"/>
  <c r="BD654" i="1"/>
  <c r="AT654" i="1"/>
  <c r="AR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J654" i="1"/>
  <c r="H654" i="1"/>
  <c r="BO653" i="1"/>
  <c r="BN653" i="1"/>
  <c r="BL653" i="1"/>
  <c r="BK653" i="1"/>
  <c r="BJ653" i="1"/>
  <c r="BI653" i="1"/>
  <c r="BH653" i="1"/>
  <c r="BG653" i="1"/>
  <c r="BF653" i="1"/>
  <c r="BE653" i="1"/>
  <c r="BD653" i="1"/>
  <c r="AT653" i="1"/>
  <c r="AR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J653" i="1"/>
  <c r="H653" i="1"/>
  <c r="BO652" i="1"/>
  <c r="BN652" i="1"/>
  <c r="BL652" i="1"/>
  <c r="BK652" i="1"/>
  <c r="BJ652" i="1"/>
  <c r="BI652" i="1"/>
  <c r="BH652" i="1"/>
  <c r="BG652" i="1"/>
  <c r="BF652" i="1"/>
  <c r="BE652" i="1"/>
  <c r="BD652" i="1"/>
  <c r="AT652" i="1"/>
  <c r="AR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J652" i="1"/>
  <c r="H652" i="1"/>
  <c r="BO651" i="1"/>
  <c r="BN651" i="1"/>
  <c r="BL651" i="1"/>
  <c r="BK651" i="1"/>
  <c r="BJ651" i="1"/>
  <c r="BI651" i="1"/>
  <c r="BH651" i="1"/>
  <c r="BG651" i="1"/>
  <c r="BF651" i="1"/>
  <c r="BE651" i="1"/>
  <c r="BD651" i="1"/>
  <c r="AT651" i="1"/>
  <c r="AR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J651" i="1"/>
  <c r="H651" i="1"/>
  <c r="BO650" i="1"/>
  <c r="BN650" i="1"/>
  <c r="BL650" i="1"/>
  <c r="BK650" i="1"/>
  <c r="BJ650" i="1"/>
  <c r="BI650" i="1"/>
  <c r="BH650" i="1"/>
  <c r="BG650" i="1"/>
  <c r="BF650" i="1"/>
  <c r="BE650" i="1"/>
  <c r="BD650" i="1"/>
  <c r="AT650" i="1"/>
  <c r="AR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J650" i="1"/>
  <c r="H650" i="1"/>
  <c r="BO649" i="1"/>
  <c r="BN649" i="1"/>
  <c r="BL649" i="1"/>
  <c r="BK649" i="1"/>
  <c r="BJ649" i="1"/>
  <c r="BI649" i="1"/>
  <c r="BH649" i="1"/>
  <c r="BG649" i="1"/>
  <c r="BF649" i="1"/>
  <c r="BE649" i="1"/>
  <c r="BD649" i="1"/>
  <c r="AT649" i="1"/>
  <c r="AR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J649" i="1"/>
  <c r="H649" i="1"/>
  <c r="BO648" i="1"/>
  <c r="BN648" i="1"/>
  <c r="BL648" i="1"/>
  <c r="BK648" i="1"/>
  <c r="BJ648" i="1"/>
  <c r="BI648" i="1"/>
  <c r="BH648" i="1"/>
  <c r="BG648" i="1"/>
  <c r="BF648" i="1"/>
  <c r="BE648" i="1"/>
  <c r="BD648" i="1"/>
  <c r="AT648" i="1"/>
  <c r="AR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J648" i="1"/>
  <c r="H648" i="1"/>
  <c r="BO647" i="1"/>
  <c r="BN647" i="1"/>
  <c r="BL647" i="1"/>
  <c r="BK647" i="1"/>
  <c r="BJ647" i="1"/>
  <c r="BI647" i="1"/>
  <c r="BH647" i="1"/>
  <c r="BG647" i="1"/>
  <c r="BF647" i="1"/>
  <c r="BE647" i="1"/>
  <c r="BD647" i="1"/>
  <c r="AT647" i="1"/>
  <c r="AR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J647" i="1"/>
  <c r="H647" i="1"/>
  <c r="BO646" i="1"/>
  <c r="BN646" i="1"/>
  <c r="BL646" i="1"/>
  <c r="BK646" i="1"/>
  <c r="BJ646" i="1"/>
  <c r="BI646" i="1"/>
  <c r="BH646" i="1"/>
  <c r="BG646" i="1"/>
  <c r="BF646" i="1"/>
  <c r="BE646" i="1"/>
  <c r="BD646" i="1"/>
  <c r="AT646" i="1"/>
  <c r="AR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J646" i="1"/>
  <c r="H646" i="1"/>
  <c r="BO645" i="1"/>
  <c r="BN645" i="1"/>
  <c r="BL645" i="1"/>
  <c r="BK645" i="1"/>
  <c r="BJ645" i="1"/>
  <c r="BI645" i="1"/>
  <c r="BH645" i="1"/>
  <c r="BG645" i="1"/>
  <c r="BF645" i="1"/>
  <c r="BE645" i="1"/>
  <c r="BD645" i="1"/>
  <c r="AT645" i="1"/>
  <c r="AR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J645" i="1"/>
  <c r="H645" i="1"/>
  <c r="BO644" i="1"/>
  <c r="BN644" i="1"/>
  <c r="BL644" i="1"/>
  <c r="BK644" i="1"/>
  <c r="BJ644" i="1"/>
  <c r="BI644" i="1"/>
  <c r="BH644" i="1"/>
  <c r="BG644" i="1"/>
  <c r="BF644" i="1"/>
  <c r="BE644" i="1"/>
  <c r="BD644" i="1"/>
  <c r="AT644" i="1"/>
  <c r="AR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J644" i="1"/>
  <c r="H644" i="1"/>
  <c r="BO643" i="1"/>
  <c r="BN643" i="1"/>
  <c r="BL643" i="1"/>
  <c r="BK643" i="1"/>
  <c r="BJ643" i="1"/>
  <c r="BI643" i="1"/>
  <c r="BH643" i="1"/>
  <c r="BG643" i="1"/>
  <c r="BF643" i="1"/>
  <c r="BE643" i="1"/>
  <c r="BD643" i="1"/>
  <c r="AT643" i="1"/>
  <c r="AR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J643" i="1"/>
  <c r="H643" i="1"/>
  <c r="BO642" i="1"/>
  <c r="BN642" i="1"/>
  <c r="BL642" i="1"/>
  <c r="BK642" i="1"/>
  <c r="BJ642" i="1"/>
  <c r="BI642" i="1"/>
  <c r="BH642" i="1"/>
  <c r="BG642" i="1"/>
  <c r="BF642" i="1"/>
  <c r="BE642" i="1"/>
  <c r="BD642" i="1"/>
  <c r="AT642" i="1"/>
  <c r="AR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J642" i="1"/>
  <c r="H642" i="1"/>
  <c r="BO641" i="1"/>
  <c r="BN641" i="1"/>
  <c r="BL641" i="1"/>
  <c r="BK641" i="1"/>
  <c r="BJ641" i="1"/>
  <c r="BI641" i="1"/>
  <c r="BH641" i="1"/>
  <c r="BG641" i="1"/>
  <c r="BF641" i="1"/>
  <c r="BE641" i="1"/>
  <c r="BD641" i="1"/>
  <c r="AT641" i="1"/>
  <c r="AR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J641" i="1"/>
  <c r="H641" i="1"/>
  <c r="BO640" i="1"/>
  <c r="BN640" i="1"/>
  <c r="BL640" i="1"/>
  <c r="BK640" i="1"/>
  <c r="BJ640" i="1"/>
  <c r="BI640" i="1"/>
  <c r="BH640" i="1"/>
  <c r="BG640" i="1"/>
  <c r="BF640" i="1"/>
  <c r="BE640" i="1"/>
  <c r="BD640" i="1"/>
  <c r="AT640" i="1"/>
  <c r="AR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J640" i="1"/>
  <c r="H640" i="1"/>
  <c r="BO639" i="1"/>
  <c r="BN639" i="1"/>
  <c r="BL639" i="1"/>
  <c r="BK639" i="1"/>
  <c r="BJ639" i="1"/>
  <c r="BI639" i="1"/>
  <c r="BH639" i="1"/>
  <c r="BG639" i="1"/>
  <c r="BF639" i="1"/>
  <c r="BE639" i="1"/>
  <c r="BD639" i="1"/>
  <c r="AT639" i="1"/>
  <c r="AR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J639" i="1"/>
  <c r="H639" i="1"/>
  <c r="BO638" i="1"/>
  <c r="BN638" i="1"/>
  <c r="BL638" i="1"/>
  <c r="BK638" i="1"/>
  <c r="BJ638" i="1"/>
  <c r="BI638" i="1"/>
  <c r="BH638" i="1"/>
  <c r="BG638" i="1"/>
  <c r="BF638" i="1"/>
  <c r="BE638" i="1"/>
  <c r="BD638" i="1"/>
  <c r="AT638" i="1"/>
  <c r="AR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J638" i="1"/>
  <c r="H638" i="1"/>
  <c r="BO637" i="1"/>
  <c r="BN637" i="1"/>
  <c r="BL637" i="1"/>
  <c r="BK637" i="1"/>
  <c r="BJ637" i="1"/>
  <c r="BI637" i="1"/>
  <c r="BH637" i="1"/>
  <c r="BG637" i="1"/>
  <c r="BF637" i="1"/>
  <c r="BE637" i="1"/>
  <c r="BD637" i="1"/>
  <c r="AT637" i="1"/>
  <c r="AR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J637" i="1"/>
  <c r="H637" i="1"/>
  <c r="BO636" i="1"/>
  <c r="BN636" i="1"/>
  <c r="BL636" i="1"/>
  <c r="BK636" i="1"/>
  <c r="BJ636" i="1"/>
  <c r="BI636" i="1"/>
  <c r="BH636" i="1"/>
  <c r="BG636" i="1"/>
  <c r="BF636" i="1"/>
  <c r="BE636" i="1"/>
  <c r="BD636" i="1"/>
  <c r="AT636" i="1"/>
  <c r="AR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J636" i="1"/>
  <c r="H636" i="1"/>
  <c r="BO635" i="1"/>
  <c r="BN635" i="1"/>
  <c r="BL635" i="1"/>
  <c r="BK635" i="1"/>
  <c r="BJ635" i="1"/>
  <c r="BI635" i="1"/>
  <c r="BH635" i="1"/>
  <c r="BG635" i="1"/>
  <c r="BF635" i="1"/>
  <c r="BE635" i="1"/>
  <c r="BD635" i="1"/>
  <c r="AT635" i="1"/>
  <c r="AR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J635" i="1"/>
  <c r="H635" i="1"/>
  <c r="BO634" i="1"/>
  <c r="BN634" i="1"/>
  <c r="BL634" i="1"/>
  <c r="BK634" i="1"/>
  <c r="BJ634" i="1"/>
  <c r="BI634" i="1"/>
  <c r="BH634" i="1"/>
  <c r="BG634" i="1"/>
  <c r="BF634" i="1"/>
  <c r="BE634" i="1"/>
  <c r="BD634" i="1"/>
  <c r="AT634" i="1"/>
  <c r="AR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J634" i="1"/>
  <c r="H634" i="1"/>
  <c r="BO633" i="1"/>
  <c r="BN633" i="1"/>
  <c r="BL633" i="1"/>
  <c r="BK633" i="1"/>
  <c r="BJ633" i="1"/>
  <c r="BI633" i="1"/>
  <c r="BH633" i="1"/>
  <c r="BG633" i="1"/>
  <c r="BF633" i="1"/>
  <c r="BE633" i="1"/>
  <c r="BD633" i="1"/>
  <c r="AT633" i="1"/>
  <c r="AR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J633" i="1"/>
  <c r="H633" i="1"/>
  <c r="BO632" i="1"/>
  <c r="BN632" i="1"/>
  <c r="BL632" i="1"/>
  <c r="BK632" i="1"/>
  <c r="BJ632" i="1"/>
  <c r="BI632" i="1"/>
  <c r="BH632" i="1"/>
  <c r="BG632" i="1"/>
  <c r="BF632" i="1"/>
  <c r="BE632" i="1"/>
  <c r="BD632" i="1"/>
  <c r="AT632" i="1"/>
  <c r="AR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J632" i="1"/>
  <c r="H632" i="1"/>
  <c r="BO631" i="1"/>
  <c r="BN631" i="1"/>
  <c r="BL631" i="1"/>
  <c r="BK631" i="1"/>
  <c r="BJ631" i="1"/>
  <c r="BI631" i="1"/>
  <c r="BH631" i="1"/>
  <c r="BG631" i="1"/>
  <c r="BF631" i="1"/>
  <c r="BE631" i="1"/>
  <c r="BD631" i="1"/>
  <c r="AT631" i="1"/>
  <c r="AR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J631" i="1"/>
  <c r="H631" i="1"/>
  <c r="BO630" i="1"/>
  <c r="BN630" i="1"/>
  <c r="BL630" i="1"/>
  <c r="BK630" i="1"/>
  <c r="BJ630" i="1"/>
  <c r="BI630" i="1"/>
  <c r="BH630" i="1"/>
  <c r="BG630" i="1"/>
  <c r="BF630" i="1"/>
  <c r="BE630" i="1"/>
  <c r="BD630" i="1"/>
  <c r="AT630" i="1"/>
  <c r="AR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J630" i="1"/>
  <c r="H630" i="1"/>
  <c r="BO629" i="1"/>
  <c r="BN629" i="1"/>
  <c r="BL629" i="1"/>
  <c r="BK629" i="1"/>
  <c r="BJ629" i="1"/>
  <c r="BI629" i="1"/>
  <c r="BH629" i="1"/>
  <c r="BG629" i="1"/>
  <c r="BF629" i="1"/>
  <c r="BE629" i="1"/>
  <c r="BD629" i="1"/>
  <c r="AT629" i="1"/>
  <c r="AR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J629" i="1"/>
  <c r="H629" i="1"/>
  <c r="BO628" i="1"/>
  <c r="BN628" i="1"/>
  <c r="BL628" i="1"/>
  <c r="BK628" i="1"/>
  <c r="BJ628" i="1"/>
  <c r="BI628" i="1"/>
  <c r="BH628" i="1"/>
  <c r="BG628" i="1"/>
  <c r="BF628" i="1"/>
  <c r="BE628" i="1"/>
  <c r="BD628" i="1"/>
  <c r="AT628" i="1"/>
  <c r="AR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J628" i="1"/>
  <c r="H628" i="1"/>
  <c r="BO627" i="1"/>
  <c r="BN627" i="1"/>
  <c r="BL627" i="1"/>
  <c r="BK627" i="1"/>
  <c r="BJ627" i="1"/>
  <c r="BI627" i="1"/>
  <c r="BH627" i="1"/>
  <c r="BG627" i="1"/>
  <c r="BF627" i="1"/>
  <c r="BE627" i="1"/>
  <c r="BD627" i="1"/>
  <c r="AT627" i="1"/>
  <c r="AR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J627" i="1"/>
  <c r="H627" i="1"/>
  <c r="BO626" i="1"/>
  <c r="BN626" i="1"/>
  <c r="BL626" i="1"/>
  <c r="BK626" i="1"/>
  <c r="BJ626" i="1"/>
  <c r="BI626" i="1"/>
  <c r="BH626" i="1"/>
  <c r="BG626" i="1"/>
  <c r="BF626" i="1"/>
  <c r="BE626" i="1"/>
  <c r="BD626" i="1"/>
  <c r="AT626" i="1"/>
  <c r="AR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J626" i="1"/>
  <c r="H626" i="1"/>
  <c r="BO625" i="1"/>
  <c r="BN625" i="1"/>
  <c r="BL625" i="1"/>
  <c r="BK625" i="1"/>
  <c r="BJ625" i="1"/>
  <c r="BI625" i="1"/>
  <c r="BH625" i="1"/>
  <c r="BG625" i="1"/>
  <c r="BF625" i="1"/>
  <c r="BE625" i="1"/>
  <c r="BD625" i="1"/>
  <c r="AT625" i="1"/>
  <c r="AR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J625" i="1"/>
  <c r="H625" i="1"/>
  <c r="BO624" i="1"/>
  <c r="BN624" i="1"/>
  <c r="BL624" i="1"/>
  <c r="BK624" i="1"/>
  <c r="BJ624" i="1"/>
  <c r="BI624" i="1"/>
  <c r="BH624" i="1"/>
  <c r="BG624" i="1"/>
  <c r="BF624" i="1"/>
  <c r="BE624" i="1"/>
  <c r="BD624" i="1"/>
  <c r="AT624" i="1"/>
  <c r="AR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J624" i="1"/>
  <c r="H624" i="1"/>
  <c r="BO623" i="1"/>
  <c r="BN623" i="1"/>
  <c r="BL623" i="1"/>
  <c r="BK623" i="1"/>
  <c r="BJ623" i="1"/>
  <c r="BI623" i="1"/>
  <c r="BH623" i="1"/>
  <c r="BG623" i="1"/>
  <c r="BF623" i="1"/>
  <c r="BE623" i="1"/>
  <c r="BD623" i="1"/>
  <c r="AT623" i="1"/>
  <c r="AR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J623" i="1"/>
  <c r="H623" i="1"/>
  <c r="BO622" i="1"/>
  <c r="BN622" i="1"/>
  <c r="BL622" i="1"/>
  <c r="BK622" i="1"/>
  <c r="BJ622" i="1"/>
  <c r="BI622" i="1"/>
  <c r="BH622" i="1"/>
  <c r="BG622" i="1"/>
  <c r="BF622" i="1"/>
  <c r="BE622" i="1"/>
  <c r="BD622" i="1"/>
  <c r="AT622" i="1"/>
  <c r="AR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J622" i="1"/>
  <c r="H622" i="1"/>
  <c r="BO621" i="1"/>
  <c r="BN621" i="1"/>
  <c r="BL621" i="1"/>
  <c r="BK621" i="1"/>
  <c r="BJ621" i="1"/>
  <c r="BI621" i="1"/>
  <c r="BH621" i="1"/>
  <c r="BG621" i="1"/>
  <c r="BF621" i="1"/>
  <c r="BE621" i="1"/>
  <c r="BD621" i="1"/>
  <c r="AT621" i="1"/>
  <c r="AR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J621" i="1"/>
  <c r="H621" i="1"/>
  <c r="BO620" i="1"/>
  <c r="BN620" i="1"/>
  <c r="BL620" i="1"/>
  <c r="BK620" i="1"/>
  <c r="BJ620" i="1"/>
  <c r="BI620" i="1"/>
  <c r="BH620" i="1"/>
  <c r="BG620" i="1"/>
  <c r="BF620" i="1"/>
  <c r="BE620" i="1"/>
  <c r="BD620" i="1"/>
  <c r="AT620" i="1"/>
  <c r="AR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J620" i="1"/>
  <c r="H620" i="1"/>
  <c r="BO619" i="1"/>
  <c r="BN619" i="1"/>
  <c r="BL619" i="1"/>
  <c r="BK619" i="1"/>
  <c r="BJ619" i="1"/>
  <c r="BI619" i="1"/>
  <c r="BH619" i="1"/>
  <c r="BG619" i="1"/>
  <c r="BF619" i="1"/>
  <c r="BE619" i="1"/>
  <c r="BD619" i="1"/>
  <c r="AT619" i="1"/>
  <c r="AR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J619" i="1"/>
  <c r="H619" i="1"/>
  <c r="BO618" i="1"/>
  <c r="BN618" i="1"/>
  <c r="BL618" i="1"/>
  <c r="BK618" i="1"/>
  <c r="BJ618" i="1"/>
  <c r="BI618" i="1"/>
  <c r="BH618" i="1"/>
  <c r="BG618" i="1"/>
  <c r="BF618" i="1"/>
  <c r="BE618" i="1"/>
  <c r="BD618" i="1"/>
  <c r="AT618" i="1"/>
  <c r="AR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J618" i="1"/>
  <c r="H618" i="1"/>
  <c r="BO617" i="1"/>
  <c r="BN617" i="1"/>
  <c r="BL617" i="1"/>
  <c r="BK617" i="1"/>
  <c r="BJ617" i="1"/>
  <c r="BI617" i="1"/>
  <c r="BH617" i="1"/>
  <c r="BG617" i="1"/>
  <c r="BF617" i="1"/>
  <c r="BE617" i="1"/>
  <c r="BD617" i="1"/>
  <c r="AT617" i="1"/>
  <c r="AR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J617" i="1"/>
  <c r="H617" i="1"/>
  <c r="BO616" i="1"/>
  <c r="BN616" i="1"/>
  <c r="BL616" i="1"/>
  <c r="BK616" i="1"/>
  <c r="BJ616" i="1"/>
  <c r="BI616" i="1"/>
  <c r="BH616" i="1"/>
  <c r="BG616" i="1"/>
  <c r="BF616" i="1"/>
  <c r="BE616" i="1"/>
  <c r="BD616" i="1"/>
  <c r="AT616" i="1"/>
  <c r="AR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J616" i="1"/>
  <c r="H616" i="1"/>
  <c r="BO615" i="1"/>
  <c r="BN615" i="1"/>
  <c r="BL615" i="1"/>
  <c r="BK615" i="1"/>
  <c r="BJ615" i="1"/>
  <c r="BI615" i="1"/>
  <c r="BH615" i="1"/>
  <c r="BG615" i="1"/>
  <c r="BF615" i="1"/>
  <c r="BE615" i="1"/>
  <c r="BD615" i="1"/>
  <c r="AT615" i="1"/>
  <c r="AR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J615" i="1"/>
  <c r="H615" i="1"/>
  <c r="BO614" i="1"/>
  <c r="BN614" i="1"/>
  <c r="BL614" i="1"/>
  <c r="BK614" i="1"/>
  <c r="BJ614" i="1"/>
  <c r="BI614" i="1"/>
  <c r="BH614" i="1"/>
  <c r="BG614" i="1"/>
  <c r="BF614" i="1"/>
  <c r="BE614" i="1"/>
  <c r="BD614" i="1"/>
  <c r="AT614" i="1"/>
  <c r="AR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J614" i="1"/>
  <c r="H614" i="1"/>
  <c r="BO613" i="1"/>
  <c r="BN613" i="1"/>
  <c r="BL613" i="1"/>
  <c r="BK613" i="1"/>
  <c r="BJ613" i="1"/>
  <c r="BI613" i="1"/>
  <c r="BH613" i="1"/>
  <c r="BG613" i="1"/>
  <c r="BF613" i="1"/>
  <c r="BE613" i="1"/>
  <c r="BD613" i="1"/>
  <c r="AT613" i="1"/>
  <c r="AR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J613" i="1"/>
  <c r="H613" i="1"/>
  <c r="BO612" i="1"/>
  <c r="BN612" i="1"/>
  <c r="BL612" i="1"/>
  <c r="BK612" i="1"/>
  <c r="BJ612" i="1"/>
  <c r="BI612" i="1"/>
  <c r="BH612" i="1"/>
  <c r="BG612" i="1"/>
  <c r="BF612" i="1"/>
  <c r="BE612" i="1"/>
  <c r="BD612" i="1"/>
  <c r="AT612" i="1"/>
  <c r="AR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J612" i="1"/>
  <c r="H612" i="1"/>
  <c r="BO611" i="1"/>
  <c r="BN611" i="1"/>
  <c r="BL611" i="1"/>
  <c r="BK611" i="1"/>
  <c r="BJ611" i="1"/>
  <c r="BI611" i="1"/>
  <c r="BH611" i="1"/>
  <c r="BG611" i="1"/>
  <c r="BF611" i="1"/>
  <c r="BE611" i="1"/>
  <c r="BD611" i="1"/>
  <c r="AT611" i="1"/>
  <c r="AR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J611" i="1"/>
  <c r="H611" i="1"/>
  <c r="BO610" i="1"/>
  <c r="BN610" i="1"/>
  <c r="BL610" i="1"/>
  <c r="BK610" i="1"/>
  <c r="BJ610" i="1"/>
  <c r="BI610" i="1"/>
  <c r="BH610" i="1"/>
  <c r="BG610" i="1"/>
  <c r="BF610" i="1"/>
  <c r="BE610" i="1"/>
  <c r="BD610" i="1"/>
  <c r="AT610" i="1"/>
  <c r="AR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J610" i="1"/>
  <c r="H610" i="1"/>
  <c r="BO609" i="1"/>
  <c r="BN609" i="1"/>
  <c r="BL609" i="1"/>
  <c r="BK609" i="1"/>
  <c r="BJ609" i="1"/>
  <c r="BI609" i="1"/>
  <c r="BH609" i="1"/>
  <c r="BG609" i="1"/>
  <c r="BF609" i="1"/>
  <c r="BE609" i="1"/>
  <c r="BD609" i="1"/>
  <c r="AT609" i="1"/>
  <c r="AR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J609" i="1"/>
  <c r="H609" i="1"/>
  <c r="BO608" i="1"/>
  <c r="BN608" i="1"/>
  <c r="BL608" i="1"/>
  <c r="BK608" i="1"/>
  <c r="BJ608" i="1"/>
  <c r="BI608" i="1"/>
  <c r="BH608" i="1"/>
  <c r="BG608" i="1"/>
  <c r="BF608" i="1"/>
  <c r="BE608" i="1"/>
  <c r="BD608" i="1"/>
  <c r="AT608" i="1"/>
  <c r="AR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J608" i="1"/>
  <c r="H608" i="1"/>
  <c r="BO607" i="1"/>
  <c r="BN607" i="1"/>
  <c r="BL607" i="1"/>
  <c r="BK607" i="1"/>
  <c r="BJ607" i="1"/>
  <c r="BI607" i="1"/>
  <c r="BH607" i="1"/>
  <c r="BG607" i="1"/>
  <c r="BF607" i="1"/>
  <c r="BE607" i="1"/>
  <c r="BD607" i="1"/>
  <c r="AT607" i="1"/>
  <c r="AR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J607" i="1"/>
  <c r="H607" i="1"/>
  <c r="BO606" i="1"/>
  <c r="BN606" i="1"/>
  <c r="BL606" i="1"/>
  <c r="BK606" i="1"/>
  <c r="BJ606" i="1"/>
  <c r="BI606" i="1"/>
  <c r="BH606" i="1"/>
  <c r="BG606" i="1"/>
  <c r="BF606" i="1"/>
  <c r="BE606" i="1"/>
  <c r="BD606" i="1"/>
  <c r="AT606" i="1"/>
  <c r="AR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J606" i="1"/>
  <c r="H606" i="1"/>
  <c r="BO605" i="1"/>
  <c r="BN605" i="1"/>
  <c r="BL605" i="1"/>
  <c r="BK605" i="1"/>
  <c r="BJ605" i="1"/>
  <c r="BI605" i="1"/>
  <c r="BH605" i="1"/>
  <c r="BG605" i="1"/>
  <c r="BF605" i="1"/>
  <c r="BE605" i="1"/>
  <c r="BD605" i="1"/>
  <c r="AT605" i="1"/>
  <c r="AR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J605" i="1"/>
  <c r="H605" i="1"/>
  <c r="BO604" i="1"/>
  <c r="BN604" i="1"/>
  <c r="BL604" i="1"/>
  <c r="BK604" i="1"/>
  <c r="BJ604" i="1"/>
  <c r="BI604" i="1"/>
  <c r="BH604" i="1"/>
  <c r="BG604" i="1"/>
  <c r="BF604" i="1"/>
  <c r="BE604" i="1"/>
  <c r="BD604" i="1"/>
  <c r="AT604" i="1"/>
  <c r="AR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J604" i="1"/>
  <c r="H604" i="1"/>
  <c r="BO603" i="1"/>
  <c r="BN603" i="1"/>
  <c r="BL603" i="1"/>
  <c r="BK603" i="1"/>
  <c r="BJ603" i="1"/>
  <c r="BI603" i="1"/>
  <c r="BH603" i="1"/>
  <c r="BG603" i="1"/>
  <c r="BF603" i="1"/>
  <c r="BE603" i="1"/>
  <c r="BD603" i="1"/>
  <c r="AT603" i="1"/>
  <c r="AR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J603" i="1"/>
  <c r="H603" i="1"/>
  <c r="BO602" i="1"/>
  <c r="BN602" i="1"/>
  <c r="BL602" i="1"/>
  <c r="BK602" i="1"/>
  <c r="BJ602" i="1"/>
  <c r="BI602" i="1"/>
  <c r="BH602" i="1"/>
  <c r="BG602" i="1"/>
  <c r="BF602" i="1"/>
  <c r="BE602" i="1"/>
  <c r="BD602" i="1"/>
  <c r="AT602" i="1"/>
  <c r="AR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J602" i="1"/>
  <c r="H602" i="1"/>
  <c r="BO601" i="1"/>
  <c r="BN601" i="1"/>
  <c r="BL601" i="1"/>
  <c r="BK601" i="1"/>
  <c r="BJ601" i="1"/>
  <c r="BI601" i="1"/>
  <c r="BH601" i="1"/>
  <c r="BG601" i="1"/>
  <c r="BF601" i="1"/>
  <c r="BE601" i="1"/>
  <c r="BD601" i="1"/>
  <c r="AT601" i="1"/>
  <c r="AR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J601" i="1"/>
  <c r="H601" i="1"/>
  <c r="BO600" i="1"/>
  <c r="BN600" i="1"/>
  <c r="BL600" i="1"/>
  <c r="BK600" i="1"/>
  <c r="BJ600" i="1"/>
  <c r="BI600" i="1"/>
  <c r="BH600" i="1"/>
  <c r="BG600" i="1"/>
  <c r="BF600" i="1"/>
  <c r="BE600" i="1"/>
  <c r="BD600" i="1"/>
  <c r="AT600" i="1"/>
  <c r="AR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J600" i="1"/>
  <c r="H600" i="1"/>
  <c r="BO599" i="1"/>
  <c r="BN599" i="1"/>
  <c r="BL599" i="1"/>
  <c r="BK599" i="1"/>
  <c r="BJ599" i="1"/>
  <c r="BI599" i="1"/>
  <c r="BH599" i="1"/>
  <c r="BG599" i="1"/>
  <c r="BF599" i="1"/>
  <c r="BE599" i="1"/>
  <c r="BD599" i="1"/>
  <c r="AT599" i="1"/>
  <c r="AR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J599" i="1"/>
  <c r="H599" i="1"/>
  <c r="BO598" i="1"/>
  <c r="BN598" i="1"/>
  <c r="BL598" i="1"/>
  <c r="BK598" i="1"/>
  <c r="BJ598" i="1"/>
  <c r="BI598" i="1"/>
  <c r="BH598" i="1"/>
  <c r="BG598" i="1"/>
  <c r="BF598" i="1"/>
  <c r="BE598" i="1"/>
  <c r="BD598" i="1"/>
  <c r="AT598" i="1"/>
  <c r="AR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J598" i="1"/>
  <c r="H598" i="1"/>
  <c r="BO597" i="1"/>
  <c r="BN597" i="1"/>
  <c r="BL597" i="1"/>
  <c r="BK597" i="1"/>
  <c r="BJ597" i="1"/>
  <c r="BI597" i="1"/>
  <c r="BH597" i="1"/>
  <c r="BG597" i="1"/>
  <c r="BF597" i="1"/>
  <c r="BE597" i="1"/>
  <c r="BD597" i="1"/>
  <c r="AT597" i="1"/>
  <c r="AR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J597" i="1"/>
  <c r="H597" i="1"/>
  <c r="BO596" i="1"/>
  <c r="BN596" i="1"/>
  <c r="BL596" i="1"/>
  <c r="BK596" i="1"/>
  <c r="BJ596" i="1"/>
  <c r="BI596" i="1"/>
  <c r="BH596" i="1"/>
  <c r="BG596" i="1"/>
  <c r="BF596" i="1"/>
  <c r="BE596" i="1"/>
  <c r="BD596" i="1"/>
  <c r="AT596" i="1"/>
  <c r="AR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J596" i="1"/>
  <c r="H596" i="1"/>
  <c r="BO595" i="1"/>
  <c r="BN595" i="1"/>
  <c r="BL595" i="1"/>
  <c r="BK595" i="1"/>
  <c r="BJ595" i="1"/>
  <c r="BI595" i="1"/>
  <c r="BH595" i="1"/>
  <c r="BG595" i="1"/>
  <c r="BF595" i="1"/>
  <c r="BE595" i="1"/>
  <c r="BD595" i="1"/>
  <c r="AT595" i="1"/>
  <c r="AR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J595" i="1"/>
  <c r="H595" i="1"/>
  <c r="BO594" i="1"/>
  <c r="BN594" i="1"/>
  <c r="BL594" i="1"/>
  <c r="BK594" i="1"/>
  <c r="BJ594" i="1"/>
  <c r="BI594" i="1"/>
  <c r="BH594" i="1"/>
  <c r="BG594" i="1"/>
  <c r="BF594" i="1"/>
  <c r="BE594" i="1"/>
  <c r="BD594" i="1"/>
  <c r="AT594" i="1"/>
  <c r="AR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J594" i="1"/>
  <c r="H594" i="1"/>
  <c r="BO593" i="1"/>
  <c r="BN593" i="1"/>
  <c r="BL593" i="1"/>
  <c r="BK593" i="1"/>
  <c r="BJ593" i="1"/>
  <c r="BI593" i="1"/>
  <c r="BH593" i="1"/>
  <c r="BG593" i="1"/>
  <c r="BF593" i="1"/>
  <c r="BE593" i="1"/>
  <c r="BD593" i="1"/>
  <c r="AT593" i="1"/>
  <c r="AR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J593" i="1"/>
  <c r="H593" i="1"/>
  <c r="BO592" i="1"/>
  <c r="BN592" i="1"/>
  <c r="BL592" i="1"/>
  <c r="BK592" i="1"/>
  <c r="BJ592" i="1"/>
  <c r="BI592" i="1"/>
  <c r="BH592" i="1"/>
  <c r="BG592" i="1"/>
  <c r="BF592" i="1"/>
  <c r="BE592" i="1"/>
  <c r="BD592" i="1"/>
  <c r="AT592" i="1"/>
  <c r="AR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J592" i="1"/>
  <c r="H592" i="1"/>
  <c r="BO591" i="1"/>
  <c r="BN591" i="1"/>
  <c r="BL591" i="1"/>
  <c r="BK591" i="1"/>
  <c r="BJ591" i="1"/>
  <c r="BI591" i="1"/>
  <c r="BH591" i="1"/>
  <c r="BG591" i="1"/>
  <c r="BF591" i="1"/>
  <c r="BE591" i="1"/>
  <c r="BD591" i="1"/>
  <c r="AT591" i="1"/>
  <c r="AR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J591" i="1"/>
  <c r="H591" i="1"/>
  <c r="BO590" i="1"/>
  <c r="BN590" i="1"/>
  <c r="BL590" i="1"/>
  <c r="BK590" i="1"/>
  <c r="BJ590" i="1"/>
  <c r="BI590" i="1"/>
  <c r="BH590" i="1"/>
  <c r="BG590" i="1"/>
  <c r="BF590" i="1"/>
  <c r="BE590" i="1"/>
  <c r="BD590" i="1"/>
  <c r="AT590" i="1"/>
  <c r="AR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J590" i="1"/>
  <c r="H590" i="1"/>
  <c r="BO589" i="1"/>
  <c r="BN589" i="1"/>
  <c r="BL589" i="1"/>
  <c r="BK589" i="1"/>
  <c r="BJ589" i="1"/>
  <c r="BI589" i="1"/>
  <c r="BH589" i="1"/>
  <c r="BG589" i="1"/>
  <c r="BF589" i="1"/>
  <c r="BE589" i="1"/>
  <c r="BD589" i="1"/>
  <c r="AT589" i="1"/>
  <c r="AR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J589" i="1"/>
  <c r="H589" i="1"/>
  <c r="BO588" i="1"/>
  <c r="BN588" i="1"/>
  <c r="BL588" i="1"/>
  <c r="BK588" i="1"/>
  <c r="BJ588" i="1"/>
  <c r="BI588" i="1"/>
  <c r="BH588" i="1"/>
  <c r="BG588" i="1"/>
  <c r="BF588" i="1"/>
  <c r="BE588" i="1"/>
  <c r="BD588" i="1"/>
  <c r="AT588" i="1"/>
  <c r="AR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J588" i="1"/>
  <c r="H588" i="1"/>
  <c r="BO587" i="1"/>
  <c r="BN587" i="1"/>
  <c r="BL587" i="1"/>
  <c r="BK587" i="1"/>
  <c r="BJ587" i="1"/>
  <c r="BI587" i="1"/>
  <c r="BH587" i="1"/>
  <c r="BG587" i="1"/>
  <c r="BF587" i="1"/>
  <c r="BE587" i="1"/>
  <c r="BD587" i="1"/>
  <c r="AT587" i="1"/>
  <c r="AR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J587" i="1"/>
  <c r="H587" i="1"/>
  <c r="BO586" i="1"/>
  <c r="BN586" i="1"/>
  <c r="BL586" i="1"/>
  <c r="BK586" i="1"/>
  <c r="BJ586" i="1"/>
  <c r="BI586" i="1"/>
  <c r="BH586" i="1"/>
  <c r="BG586" i="1"/>
  <c r="BF586" i="1"/>
  <c r="BE586" i="1"/>
  <c r="BD586" i="1"/>
  <c r="AT586" i="1"/>
  <c r="AR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J586" i="1"/>
  <c r="H586" i="1"/>
  <c r="BO585" i="1"/>
  <c r="BN585" i="1"/>
  <c r="BL585" i="1"/>
  <c r="BK585" i="1"/>
  <c r="BJ585" i="1"/>
  <c r="BI585" i="1"/>
  <c r="BH585" i="1"/>
  <c r="BG585" i="1"/>
  <c r="BF585" i="1"/>
  <c r="BE585" i="1"/>
  <c r="BD585" i="1"/>
  <c r="AT585" i="1"/>
  <c r="AR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J585" i="1"/>
  <c r="H585" i="1"/>
  <c r="BO584" i="1"/>
  <c r="BN584" i="1"/>
  <c r="BL584" i="1"/>
  <c r="BK584" i="1"/>
  <c r="BJ584" i="1"/>
  <c r="BI584" i="1"/>
  <c r="BH584" i="1"/>
  <c r="BG584" i="1"/>
  <c r="BF584" i="1"/>
  <c r="BE584" i="1"/>
  <c r="BD584" i="1"/>
  <c r="AT584" i="1"/>
  <c r="AR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J584" i="1"/>
  <c r="H584" i="1"/>
  <c r="BO583" i="1"/>
  <c r="BN583" i="1"/>
  <c r="BL583" i="1"/>
  <c r="BK583" i="1"/>
  <c r="BJ583" i="1"/>
  <c r="BI583" i="1"/>
  <c r="BH583" i="1"/>
  <c r="BG583" i="1"/>
  <c r="BF583" i="1"/>
  <c r="BE583" i="1"/>
  <c r="BD583" i="1"/>
  <c r="AT583" i="1"/>
  <c r="AR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J583" i="1"/>
  <c r="H583" i="1"/>
  <c r="BO582" i="1"/>
  <c r="BN582" i="1"/>
  <c r="BL582" i="1"/>
  <c r="BK582" i="1"/>
  <c r="BJ582" i="1"/>
  <c r="BI582" i="1"/>
  <c r="BH582" i="1"/>
  <c r="BG582" i="1"/>
  <c r="BF582" i="1"/>
  <c r="BE582" i="1"/>
  <c r="BD582" i="1"/>
  <c r="AT582" i="1"/>
  <c r="AR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J582" i="1"/>
  <c r="H582" i="1"/>
  <c r="BO581" i="1"/>
  <c r="BN581" i="1"/>
  <c r="BL581" i="1"/>
  <c r="BK581" i="1"/>
  <c r="BJ581" i="1"/>
  <c r="BI581" i="1"/>
  <c r="BH581" i="1"/>
  <c r="BG581" i="1"/>
  <c r="BF581" i="1"/>
  <c r="BE581" i="1"/>
  <c r="BD581" i="1"/>
  <c r="AT581" i="1"/>
  <c r="AR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J581" i="1"/>
  <c r="H581" i="1"/>
  <c r="BO580" i="1"/>
  <c r="BN580" i="1"/>
  <c r="BL580" i="1"/>
  <c r="BK580" i="1"/>
  <c r="BJ580" i="1"/>
  <c r="BI580" i="1"/>
  <c r="BH580" i="1"/>
  <c r="BG580" i="1"/>
  <c r="BF580" i="1"/>
  <c r="BE580" i="1"/>
  <c r="BD580" i="1"/>
  <c r="AT580" i="1"/>
  <c r="AR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J580" i="1"/>
  <c r="H580" i="1"/>
  <c r="BO579" i="1"/>
  <c r="BN579" i="1"/>
  <c r="BL579" i="1"/>
  <c r="BK579" i="1"/>
  <c r="BJ579" i="1"/>
  <c r="BI579" i="1"/>
  <c r="BH579" i="1"/>
  <c r="BG579" i="1"/>
  <c r="BF579" i="1"/>
  <c r="BE579" i="1"/>
  <c r="BD579" i="1"/>
  <c r="AT579" i="1"/>
  <c r="AR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J579" i="1"/>
  <c r="H579" i="1"/>
  <c r="BO578" i="1"/>
  <c r="BN578" i="1"/>
  <c r="BL578" i="1"/>
  <c r="BK578" i="1"/>
  <c r="BJ578" i="1"/>
  <c r="BI578" i="1"/>
  <c r="BH578" i="1"/>
  <c r="BG578" i="1"/>
  <c r="BF578" i="1"/>
  <c r="BE578" i="1"/>
  <c r="BD578" i="1"/>
  <c r="AT578" i="1"/>
  <c r="AR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J578" i="1"/>
  <c r="H578" i="1"/>
  <c r="BO577" i="1"/>
  <c r="BN577" i="1"/>
  <c r="BL577" i="1"/>
  <c r="BK577" i="1"/>
  <c r="BJ577" i="1"/>
  <c r="BI577" i="1"/>
  <c r="BH577" i="1"/>
  <c r="BG577" i="1"/>
  <c r="BF577" i="1"/>
  <c r="BE577" i="1"/>
  <c r="BD577" i="1"/>
  <c r="AT577" i="1"/>
  <c r="AR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J577" i="1"/>
  <c r="H577" i="1"/>
  <c r="BO576" i="1"/>
  <c r="BN576" i="1"/>
  <c r="BL576" i="1"/>
  <c r="BK576" i="1"/>
  <c r="BJ576" i="1"/>
  <c r="BI576" i="1"/>
  <c r="BH576" i="1"/>
  <c r="BG576" i="1"/>
  <c r="BF576" i="1"/>
  <c r="BE576" i="1"/>
  <c r="BD576" i="1"/>
  <c r="AT576" i="1"/>
  <c r="AR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J576" i="1"/>
  <c r="H576" i="1"/>
  <c r="BO575" i="1"/>
  <c r="BN575" i="1"/>
  <c r="BL575" i="1"/>
  <c r="BK575" i="1"/>
  <c r="BJ575" i="1"/>
  <c r="BI575" i="1"/>
  <c r="BH575" i="1"/>
  <c r="BG575" i="1"/>
  <c r="BF575" i="1"/>
  <c r="BE575" i="1"/>
  <c r="BD575" i="1"/>
  <c r="AT575" i="1"/>
  <c r="AR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J575" i="1"/>
  <c r="H575" i="1"/>
  <c r="BO574" i="1"/>
  <c r="BN574" i="1"/>
  <c r="BL574" i="1"/>
  <c r="BK574" i="1"/>
  <c r="BJ574" i="1"/>
  <c r="BI574" i="1"/>
  <c r="BH574" i="1"/>
  <c r="BG574" i="1"/>
  <c r="BF574" i="1"/>
  <c r="BE574" i="1"/>
  <c r="BD574" i="1"/>
  <c r="AT574" i="1"/>
  <c r="AR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J574" i="1"/>
  <c r="H574" i="1"/>
  <c r="BO573" i="1"/>
  <c r="BN573" i="1"/>
  <c r="BL573" i="1"/>
  <c r="BK573" i="1"/>
  <c r="BJ573" i="1"/>
  <c r="BI573" i="1"/>
  <c r="BH573" i="1"/>
  <c r="BG573" i="1"/>
  <c r="BF573" i="1"/>
  <c r="BE573" i="1"/>
  <c r="BD573" i="1"/>
  <c r="AT573" i="1"/>
  <c r="AR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J573" i="1"/>
  <c r="H573" i="1"/>
  <c r="BO572" i="1"/>
  <c r="BN572" i="1"/>
  <c r="BL572" i="1"/>
  <c r="BK572" i="1"/>
  <c r="BJ572" i="1"/>
  <c r="BI572" i="1"/>
  <c r="BH572" i="1"/>
  <c r="BG572" i="1"/>
  <c r="BF572" i="1"/>
  <c r="BE572" i="1"/>
  <c r="BD572" i="1"/>
  <c r="AT572" i="1"/>
  <c r="AR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J572" i="1"/>
  <c r="H572" i="1"/>
  <c r="BO571" i="1"/>
  <c r="BN571" i="1"/>
  <c r="BL571" i="1"/>
  <c r="BK571" i="1"/>
  <c r="BJ571" i="1"/>
  <c r="BI571" i="1"/>
  <c r="BH571" i="1"/>
  <c r="BG571" i="1"/>
  <c r="BF571" i="1"/>
  <c r="BE571" i="1"/>
  <c r="BD571" i="1"/>
  <c r="AT571" i="1"/>
  <c r="AR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J571" i="1"/>
  <c r="H571" i="1"/>
  <c r="BO570" i="1"/>
  <c r="BN570" i="1"/>
  <c r="BL570" i="1"/>
  <c r="BK570" i="1"/>
  <c r="BJ570" i="1"/>
  <c r="BI570" i="1"/>
  <c r="BH570" i="1"/>
  <c r="BG570" i="1"/>
  <c r="BF570" i="1"/>
  <c r="BE570" i="1"/>
  <c r="BD570" i="1"/>
  <c r="AT570" i="1"/>
  <c r="AR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J570" i="1"/>
  <c r="H570" i="1"/>
  <c r="BO569" i="1"/>
  <c r="BN569" i="1"/>
  <c r="BL569" i="1"/>
  <c r="BK569" i="1"/>
  <c r="BJ569" i="1"/>
  <c r="BI569" i="1"/>
  <c r="BH569" i="1"/>
  <c r="BG569" i="1"/>
  <c r="BF569" i="1"/>
  <c r="BE569" i="1"/>
  <c r="BD569" i="1"/>
  <c r="AT569" i="1"/>
  <c r="AR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J569" i="1"/>
  <c r="H569" i="1"/>
  <c r="BO568" i="1"/>
  <c r="BN568" i="1"/>
  <c r="BL568" i="1"/>
  <c r="BK568" i="1"/>
  <c r="BJ568" i="1"/>
  <c r="BI568" i="1"/>
  <c r="BH568" i="1"/>
  <c r="BG568" i="1"/>
  <c r="BF568" i="1"/>
  <c r="BE568" i="1"/>
  <c r="BD568" i="1"/>
  <c r="AT568" i="1"/>
  <c r="AR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J568" i="1"/>
  <c r="H568" i="1"/>
  <c r="BO567" i="1"/>
  <c r="BN567" i="1"/>
  <c r="BL567" i="1"/>
  <c r="BK567" i="1"/>
  <c r="BJ567" i="1"/>
  <c r="BI567" i="1"/>
  <c r="BH567" i="1"/>
  <c r="BG567" i="1"/>
  <c r="BF567" i="1"/>
  <c r="BE567" i="1"/>
  <c r="BD567" i="1"/>
  <c r="AT567" i="1"/>
  <c r="AR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J567" i="1"/>
  <c r="H567" i="1"/>
  <c r="BO566" i="1"/>
  <c r="BN566" i="1"/>
  <c r="BL566" i="1"/>
  <c r="BK566" i="1"/>
  <c r="BJ566" i="1"/>
  <c r="BI566" i="1"/>
  <c r="BH566" i="1"/>
  <c r="BG566" i="1"/>
  <c r="BF566" i="1"/>
  <c r="BE566" i="1"/>
  <c r="BD566" i="1"/>
  <c r="AT566" i="1"/>
  <c r="AR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J566" i="1"/>
  <c r="H566" i="1"/>
  <c r="BO565" i="1"/>
  <c r="BN565" i="1"/>
  <c r="BL565" i="1"/>
  <c r="BK565" i="1"/>
  <c r="BJ565" i="1"/>
  <c r="BI565" i="1"/>
  <c r="BH565" i="1"/>
  <c r="BG565" i="1"/>
  <c r="BF565" i="1"/>
  <c r="BE565" i="1"/>
  <c r="BD565" i="1"/>
  <c r="AT565" i="1"/>
  <c r="AR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J565" i="1"/>
  <c r="H565" i="1"/>
  <c r="BO564" i="1"/>
  <c r="BN564" i="1"/>
  <c r="BL564" i="1"/>
  <c r="BK564" i="1"/>
  <c r="BJ564" i="1"/>
  <c r="BI564" i="1"/>
  <c r="BH564" i="1"/>
  <c r="BG564" i="1"/>
  <c r="BF564" i="1"/>
  <c r="BE564" i="1"/>
  <c r="BD564" i="1"/>
  <c r="AT564" i="1"/>
  <c r="AR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J564" i="1"/>
  <c r="H564" i="1"/>
  <c r="BO563" i="1"/>
  <c r="BN563" i="1"/>
  <c r="BL563" i="1"/>
  <c r="BK563" i="1"/>
  <c r="BJ563" i="1"/>
  <c r="BI563" i="1"/>
  <c r="BH563" i="1"/>
  <c r="BG563" i="1"/>
  <c r="BF563" i="1"/>
  <c r="BE563" i="1"/>
  <c r="BD563" i="1"/>
  <c r="AT563" i="1"/>
  <c r="AR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J563" i="1"/>
  <c r="H563" i="1"/>
  <c r="BO562" i="1"/>
  <c r="BN562" i="1"/>
  <c r="BL562" i="1"/>
  <c r="BK562" i="1"/>
  <c r="BJ562" i="1"/>
  <c r="BI562" i="1"/>
  <c r="BH562" i="1"/>
  <c r="BG562" i="1"/>
  <c r="BF562" i="1"/>
  <c r="BE562" i="1"/>
  <c r="BD562" i="1"/>
  <c r="AT562" i="1"/>
  <c r="AR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J562" i="1"/>
  <c r="H562" i="1"/>
  <c r="BO561" i="1"/>
  <c r="BN561" i="1"/>
  <c r="BL561" i="1"/>
  <c r="BK561" i="1"/>
  <c r="BJ561" i="1"/>
  <c r="BI561" i="1"/>
  <c r="BH561" i="1"/>
  <c r="BG561" i="1"/>
  <c r="BF561" i="1"/>
  <c r="BE561" i="1"/>
  <c r="BD561" i="1"/>
  <c r="AT561" i="1"/>
  <c r="AR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J561" i="1"/>
  <c r="H561" i="1"/>
  <c r="BO560" i="1"/>
  <c r="BN560" i="1"/>
  <c r="BL560" i="1"/>
  <c r="BK560" i="1"/>
  <c r="BJ560" i="1"/>
  <c r="BI560" i="1"/>
  <c r="BH560" i="1"/>
  <c r="BG560" i="1"/>
  <c r="BF560" i="1"/>
  <c r="BE560" i="1"/>
  <c r="BD560" i="1"/>
  <c r="AT560" i="1"/>
  <c r="AR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J560" i="1"/>
  <c r="H560" i="1"/>
  <c r="BO559" i="1"/>
  <c r="BN559" i="1"/>
  <c r="BL559" i="1"/>
  <c r="BK559" i="1"/>
  <c r="BJ559" i="1"/>
  <c r="BI559" i="1"/>
  <c r="BH559" i="1"/>
  <c r="BG559" i="1"/>
  <c r="BF559" i="1"/>
  <c r="BE559" i="1"/>
  <c r="BD559" i="1"/>
  <c r="AT559" i="1"/>
  <c r="AR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J559" i="1"/>
  <c r="H559" i="1"/>
  <c r="BO558" i="1"/>
  <c r="BN558" i="1"/>
  <c r="BL558" i="1"/>
  <c r="BK558" i="1"/>
  <c r="BJ558" i="1"/>
  <c r="BI558" i="1"/>
  <c r="BH558" i="1"/>
  <c r="BG558" i="1"/>
  <c r="BF558" i="1"/>
  <c r="BE558" i="1"/>
  <c r="BD558" i="1"/>
  <c r="AT558" i="1"/>
  <c r="AR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J558" i="1"/>
  <c r="H558" i="1"/>
  <c r="BO557" i="1"/>
  <c r="BN557" i="1"/>
  <c r="BL557" i="1"/>
  <c r="BK557" i="1"/>
  <c r="BJ557" i="1"/>
  <c r="BI557" i="1"/>
  <c r="BH557" i="1"/>
  <c r="BG557" i="1"/>
  <c r="BF557" i="1"/>
  <c r="BE557" i="1"/>
  <c r="BD557" i="1"/>
  <c r="AT557" i="1"/>
  <c r="AR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J557" i="1"/>
  <c r="H557" i="1"/>
  <c r="BO556" i="1"/>
  <c r="BN556" i="1"/>
  <c r="BL556" i="1"/>
  <c r="BK556" i="1"/>
  <c r="BJ556" i="1"/>
  <c r="BI556" i="1"/>
  <c r="BH556" i="1"/>
  <c r="BG556" i="1"/>
  <c r="BF556" i="1"/>
  <c r="BE556" i="1"/>
  <c r="BD556" i="1"/>
  <c r="AT556" i="1"/>
  <c r="AR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J556" i="1"/>
  <c r="H556" i="1"/>
  <c r="BO555" i="1"/>
  <c r="BN555" i="1"/>
  <c r="BL555" i="1"/>
  <c r="BK555" i="1"/>
  <c r="BJ555" i="1"/>
  <c r="BI555" i="1"/>
  <c r="BH555" i="1"/>
  <c r="BG555" i="1"/>
  <c r="BF555" i="1"/>
  <c r="BE555" i="1"/>
  <c r="BD555" i="1"/>
  <c r="AT555" i="1"/>
  <c r="AR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J555" i="1"/>
  <c r="H555" i="1"/>
  <c r="BO554" i="1"/>
  <c r="BN554" i="1"/>
  <c r="BL554" i="1"/>
  <c r="BK554" i="1"/>
  <c r="BJ554" i="1"/>
  <c r="BI554" i="1"/>
  <c r="BH554" i="1"/>
  <c r="BG554" i="1"/>
  <c r="BF554" i="1"/>
  <c r="BE554" i="1"/>
  <c r="BD554" i="1"/>
  <c r="AT554" i="1"/>
  <c r="AR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J554" i="1"/>
  <c r="H554" i="1"/>
  <c r="BO553" i="1"/>
  <c r="BN553" i="1"/>
  <c r="BL553" i="1"/>
  <c r="BK553" i="1"/>
  <c r="BJ553" i="1"/>
  <c r="BI553" i="1"/>
  <c r="BH553" i="1"/>
  <c r="BG553" i="1"/>
  <c r="BF553" i="1"/>
  <c r="BE553" i="1"/>
  <c r="BD553" i="1"/>
  <c r="AT553" i="1"/>
  <c r="AR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J553" i="1"/>
  <c r="H553" i="1"/>
  <c r="BO552" i="1"/>
  <c r="BN552" i="1"/>
  <c r="BL552" i="1"/>
  <c r="BK552" i="1"/>
  <c r="BJ552" i="1"/>
  <c r="BI552" i="1"/>
  <c r="BH552" i="1"/>
  <c r="BG552" i="1"/>
  <c r="BF552" i="1"/>
  <c r="BE552" i="1"/>
  <c r="BD552" i="1"/>
  <c r="AT552" i="1"/>
  <c r="AR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J552" i="1"/>
  <c r="H552" i="1"/>
  <c r="BO551" i="1"/>
  <c r="BN551" i="1"/>
  <c r="BL551" i="1"/>
  <c r="BK551" i="1"/>
  <c r="BJ551" i="1"/>
  <c r="BI551" i="1"/>
  <c r="BH551" i="1"/>
  <c r="BG551" i="1"/>
  <c r="BF551" i="1"/>
  <c r="BE551" i="1"/>
  <c r="BD551" i="1"/>
  <c r="AT551" i="1"/>
  <c r="AR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J551" i="1"/>
  <c r="H551" i="1"/>
  <c r="BO550" i="1"/>
  <c r="BN550" i="1"/>
  <c r="BL550" i="1"/>
  <c r="BK550" i="1"/>
  <c r="BJ550" i="1"/>
  <c r="BI550" i="1"/>
  <c r="BH550" i="1"/>
  <c r="BG550" i="1"/>
  <c r="BF550" i="1"/>
  <c r="BE550" i="1"/>
  <c r="BD550" i="1"/>
  <c r="AT550" i="1"/>
  <c r="AR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J550" i="1"/>
  <c r="H550" i="1"/>
  <c r="BO549" i="1"/>
  <c r="BN549" i="1"/>
  <c r="BL549" i="1"/>
  <c r="BK549" i="1"/>
  <c r="BJ549" i="1"/>
  <c r="BI549" i="1"/>
  <c r="BH549" i="1"/>
  <c r="BG549" i="1"/>
  <c r="BF549" i="1"/>
  <c r="BE549" i="1"/>
  <c r="BD549" i="1"/>
  <c r="AT549" i="1"/>
  <c r="AR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J549" i="1"/>
  <c r="H549" i="1"/>
  <c r="BO548" i="1"/>
  <c r="BN548" i="1"/>
  <c r="BL548" i="1"/>
  <c r="BK548" i="1"/>
  <c r="BJ548" i="1"/>
  <c r="BI548" i="1"/>
  <c r="BH548" i="1"/>
  <c r="BG548" i="1"/>
  <c r="BF548" i="1"/>
  <c r="BE548" i="1"/>
  <c r="BD548" i="1"/>
  <c r="AT548" i="1"/>
  <c r="AR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J548" i="1"/>
  <c r="H548" i="1"/>
  <c r="BO547" i="1"/>
  <c r="BN547" i="1"/>
  <c r="BL547" i="1"/>
  <c r="BK547" i="1"/>
  <c r="BJ547" i="1"/>
  <c r="BI547" i="1"/>
  <c r="BH547" i="1"/>
  <c r="BG547" i="1"/>
  <c r="BF547" i="1"/>
  <c r="BE547" i="1"/>
  <c r="BD547" i="1"/>
  <c r="AT547" i="1"/>
  <c r="AR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J547" i="1"/>
  <c r="H547" i="1"/>
  <c r="BO546" i="1"/>
  <c r="BN546" i="1"/>
  <c r="BL546" i="1"/>
  <c r="BK546" i="1"/>
  <c r="BJ546" i="1"/>
  <c r="BI546" i="1"/>
  <c r="BH546" i="1"/>
  <c r="BG546" i="1"/>
  <c r="BF546" i="1"/>
  <c r="BE546" i="1"/>
  <c r="BD546" i="1"/>
  <c r="AT546" i="1"/>
  <c r="AR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J546" i="1"/>
  <c r="H546" i="1"/>
  <c r="BO545" i="1"/>
  <c r="BN545" i="1"/>
  <c r="BL545" i="1"/>
  <c r="BK545" i="1"/>
  <c r="BJ545" i="1"/>
  <c r="BI545" i="1"/>
  <c r="BH545" i="1"/>
  <c r="BG545" i="1"/>
  <c r="BF545" i="1"/>
  <c r="BE545" i="1"/>
  <c r="BD545" i="1"/>
  <c r="AT545" i="1"/>
  <c r="AR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J545" i="1"/>
  <c r="H545" i="1"/>
  <c r="BO544" i="1"/>
  <c r="BN544" i="1"/>
  <c r="BL544" i="1"/>
  <c r="BK544" i="1"/>
  <c r="BJ544" i="1"/>
  <c r="BI544" i="1"/>
  <c r="BH544" i="1"/>
  <c r="BG544" i="1"/>
  <c r="BF544" i="1"/>
  <c r="BE544" i="1"/>
  <c r="BD544" i="1"/>
  <c r="AT544" i="1"/>
  <c r="AR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J544" i="1"/>
  <c r="H544" i="1"/>
  <c r="BO543" i="1"/>
  <c r="BN543" i="1"/>
  <c r="BL543" i="1"/>
  <c r="BK543" i="1"/>
  <c r="BJ543" i="1"/>
  <c r="BI543" i="1"/>
  <c r="BH543" i="1"/>
  <c r="BG543" i="1"/>
  <c r="BF543" i="1"/>
  <c r="BE543" i="1"/>
  <c r="BD543" i="1"/>
  <c r="AT543" i="1"/>
  <c r="AR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J543" i="1"/>
  <c r="H543" i="1"/>
  <c r="BO542" i="1"/>
  <c r="BN542" i="1"/>
  <c r="BL542" i="1"/>
  <c r="BK542" i="1"/>
  <c r="BJ542" i="1"/>
  <c r="BI542" i="1"/>
  <c r="BH542" i="1"/>
  <c r="BG542" i="1"/>
  <c r="BF542" i="1"/>
  <c r="BE542" i="1"/>
  <c r="BD542" i="1"/>
  <c r="AT542" i="1"/>
  <c r="AR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J542" i="1"/>
  <c r="H542" i="1"/>
  <c r="BO541" i="1"/>
  <c r="BN541" i="1"/>
  <c r="BL541" i="1"/>
  <c r="BK541" i="1"/>
  <c r="BJ541" i="1"/>
  <c r="BI541" i="1"/>
  <c r="BH541" i="1"/>
  <c r="BG541" i="1"/>
  <c r="BF541" i="1"/>
  <c r="BE541" i="1"/>
  <c r="BD541" i="1"/>
  <c r="AT541" i="1"/>
  <c r="AR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J541" i="1"/>
  <c r="H541" i="1"/>
  <c r="BO540" i="1"/>
  <c r="BN540" i="1"/>
  <c r="BL540" i="1"/>
  <c r="BK540" i="1"/>
  <c r="BJ540" i="1"/>
  <c r="BI540" i="1"/>
  <c r="BH540" i="1"/>
  <c r="BG540" i="1"/>
  <c r="BF540" i="1"/>
  <c r="BE540" i="1"/>
  <c r="BD540" i="1"/>
  <c r="AT540" i="1"/>
  <c r="AR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J540" i="1"/>
  <c r="H540" i="1"/>
  <c r="BO539" i="1"/>
  <c r="BN539" i="1"/>
  <c r="BL539" i="1"/>
  <c r="BK539" i="1"/>
  <c r="BJ539" i="1"/>
  <c r="BI539" i="1"/>
  <c r="BH539" i="1"/>
  <c r="BG539" i="1"/>
  <c r="BF539" i="1"/>
  <c r="BE539" i="1"/>
  <c r="BD539" i="1"/>
  <c r="AT539" i="1"/>
  <c r="AR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J539" i="1"/>
  <c r="H539" i="1"/>
  <c r="BO538" i="1"/>
  <c r="BN538" i="1"/>
  <c r="BL538" i="1"/>
  <c r="BK538" i="1"/>
  <c r="BJ538" i="1"/>
  <c r="BI538" i="1"/>
  <c r="BH538" i="1"/>
  <c r="BG538" i="1"/>
  <c r="BF538" i="1"/>
  <c r="BE538" i="1"/>
  <c r="BD538" i="1"/>
  <c r="AT538" i="1"/>
  <c r="AR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J538" i="1"/>
  <c r="H538" i="1"/>
  <c r="BO537" i="1"/>
  <c r="BN537" i="1"/>
  <c r="BL537" i="1"/>
  <c r="BK537" i="1"/>
  <c r="BJ537" i="1"/>
  <c r="BI537" i="1"/>
  <c r="BH537" i="1"/>
  <c r="BG537" i="1"/>
  <c r="BF537" i="1"/>
  <c r="BE537" i="1"/>
  <c r="BD537" i="1"/>
  <c r="AT537" i="1"/>
  <c r="AR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J537" i="1"/>
  <c r="H537" i="1"/>
  <c r="BO536" i="1"/>
  <c r="BN536" i="1"/>
  <c r="BL536" i="1"/>
  <c r="BK536" i="1"/>
  <c r="BJ536" i="1"/>
  <c r="BI536" i="1"/>
  <c r="BH536" i="1"/>
  <c r="BG536" i="1"/>
  <c r="BF536" i="1"/>
  <c r="BE536" i="1"/>
  <c r="BD536" i="1"/>
  <c r="AT536" i="1"/>
  <c r="AR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J536" i="1"/>
  <c r="H536" i="1"/>
  <c r="BO535" i="1"/>
  <c r="BN535" i="1"/>
  <c r="BL535" i="1"/>
  <c r="BK535" i="1"/>
  <c r="BJ535" i="1"/>
  <c r="BI535" i="1"/>
  <c r="BH535" i="1"/>
  <c r="BG535" i="1"/>
  <c r="BF535" i="1"/>
  <c r="BE535" i="1"/>
  <c r="BD535" i="1"/>
  <c r="AT535" i="1"/>
  <c r="AR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J535" i="1"/>
  <c r="H535" i="1"/>
  <c r="BO534" i="1"/>
  <c r="BN534" i="1"/>
  <c r="BL534" i="1"/>
  <c r="BK534" i="1"/>
  <c r="BJ534" i="1"/>
  <c r="BI534" i="1"/>
  <c r="BH534" i="1"/>
  <c r="BG534" i="1"/>
  <c r="BF534" i="1"/>
  <c r="BE534" i="1"/>
  <c r="BD534" i="1"/>
  <c r="AT534" i="1"/>
  <c r="AR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J534" i="1"/>
  <c r="H534" i="1"/>
  <c r="BO533" i="1"/>
  <c r="BN533" i="1"/>
  <c r="BL533" i="1"/>
  <c r="BK533" i="1"/>
  <c r="BJ533" i="1"/>
  <c r="BI533" i="1"/>
  <c r="BH533" i="1"/>
  <c r="BG533" i="1"/>
  <c r="BF533" i="1"/>
  <c r="BE533" i="1"/>
  <c r="BD533" i="1"/>
  <c r="AT533" i="1"/>
  <c r="AR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J533" i="1"/>
  <c r="H533" i="1"/>
  <c r="BO532" i="1"/>
  <c r="BN532" i="1"/>
  <c r="BL532" i="1"/>
  <c r="BK532" i="1"/>
  <c r="BJ532" i="1"/>
  <c r="BI532" i="1"/>
  <c r="BH532" i="1"/>
  <c r="BG532" i="1"/>
  <c r="BF532" i="1"/>
  <c r="BE532" i="1"/>
  <c r="BD532" i="1"/>
  <c r="AT532" i="1"/>
  <c r="AR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J532" i="1"/>
  <c r="H532" i="1"/>
  <c r="BO531" i="1"/>
  <c r="BN531" i="1"/>
  <c r="BL531" i="1"/>
  <c r="BK531" i="1"/>
  <c r="BJ531" i="1"/>
  <c r="BI531" i="1"/>
  <c r="BH531" i="1"/>
  <c r="BG531" i="1"/>
  <c r="BF531" i="1"/>
  <c r="BE531" i="1"/>
  <c r="BD531" i="1"/>
  <c r="AT531" i="1"/>
  <c r="AR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J531" i="1"/>
  <c r="H531" i="1"/>
  <c r="BO530" i="1"/>
  <c r="BN530" i="1"/>
  <c r="BL530" i="1"/>
  <c r="BK530" i="1"/>
  <c r="BJ530" i="1"/>
  <c r="BI530" i="1"/>
  <c r="BH530" i="1"/>
  <c r="BG530" i="1"/>
  <c r="BF530" i="1"/>
  <c r="BE530" i="1"/>
  <c r="BD530" i="1"/>
  <c r="AT530" i="1"/>
  <c r="AR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J530" i="1"/>
  <c r="H530" i="1"/>
  <c r="BO529" i="1"/>
  <c r="BN529" i="1"/>
  <c r="BL529" i="1"/>
  <c r="BK529" i="1"/>
  <c r="BJ529" i="1"/>
  <c r="BI529" i="1"/>
  <c r="BH529" i="1"/>
  <c r="BG529" i="1"/>
  <c r="BF529" i="1"/>
  <c r="BE529" i="1"/>
  <c r="BD529" i="1"/>
  <c r="AT529" i="1"/>
  <c r="AR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J529" i="1"/>
  <c r="H529" i="1"/>
  <c r="BO528" i="1"/>
  <c r="BN528" i="1"/>
  <c r="BL528" i="1"/>
  <c r="BK528" i="1"/>
  <c r="BJ528" i="1"/>
  <c r="BI528" i="1"/>
  <c r="BH528" i="1"/>
  <c r="BG528" i="1"/>
  <c r="BF528" i="1"/>
  <c r="BE528" i="1"/>
  <c r="BD528" i="1"/>
  <c r="AT528" i="1"/>
  <c r="AR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J528" i="1"/>
  <c r="H528" i="1"/>
  <c r="BO527" i="1"/>
  <c r="BN527" i="1"/>
  <c r="BL527" i="1"/>
  <c r="BK527" i="1"/>
  <c r="BJ527" i="1"/>
  <c r="BI527" i="1"/>
  <c r="BH527" i="1"/>
  <c r="BG527" i="1"/>
  <c r="BF527" i="1"/>
  <c r="BE527" i="1"/>
  <c r="BD527" i="1"/>
  <c r="AT527" i="1"/>
  <c r="AR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J527" i="1"/>
  <c r="H527" i="1"/>
  <c r="BO526" i="1"/>
  <c r="BN526" i="1"/>
  <c r="BL526" i="1"/>
  <c r="BK526" i="1"/>
  <c r="BJ526" i="1"/>
  <c r="BI526" i="1"/>
  <c r="BH526" i="1"/>
  <c r="BG526" i="1"/>
  <c r="BF526" i="1"/>
  <c r="BE526" i="1"/>
  <c r="BD526" i="1"/>
  <c r="AT526" i="1"/>
  <c r="AR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J526" i="1"/>
  <c r="H526" i="1"/>
  <c r="BO525" i="1"/>
  <c r="BN525" i="1"/>
  <c r="BL525" i="1"/>
  <c r="BK525" i="1"/>
  <c r="BJ525" i="1"/>
  <c r="BI525" i="1"/>
  <c r="BH525" i="1"/>
  <c r="BG525" i="1"/>
  <c r="BF525" i="1"/>
  <c r="BE525" i="1"/>
  <c r="BD525" i="1"/>
  <c r="AT525" i="1"/>
  <c r="AR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J525" i="1"/>
  <c r="H525" i="1"/>
  <c r="BO524" i="1"/>
  <c r="BN524" i="1"/>
  <c r="BL524" i="1"/>
  <c r="BK524" i="1"/>
  <c r="BJ524" i="1"/>
  <c r="BI524" i="1"/>
  <c r="BH524" i="1"/>
  <c r="BG524" i="1"/>
  <c r="BF524" i="1"/>
  <c r="BE524" i="1"/>
  <c r="BD524" i="1"/>
  <c r="AT524" i="1"/>
  <c r="AR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J524" i="1"/>
  <c r="H524" i="1"/>
  <c r="BO523" i="1"/>
  <c r="BN523" i="1"/>
  <c r="BL523" i="1"/>
  <c r="BK523" i="1"/>
  <c r="BJ523" i="1"/>
  <c r="BI523" i="1"/>
  <c r="BH523" i="1"/>
  <c r="BG523" i="1"/>
  <c r="BF523" i="1"/>
  <c r="BE523" i="1"/>
  <c r="BD523" i="1"/>
  <c r="AT523" i="1"/>
  <c r="AR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J523" i="1"/>
  <c r="H523" i="1"/>
  <c r="BO522" i="1"/>
  <c r="BN522" i="1"/>
  <c r="BL522" i="1"/>
  <c r="BK522" i="1"/>
  <c r="BJ522" i="1"/>
  <c r="BI522" i="1"/>
  <c r="BH522" i="1"/>
  <c r="BG522" i="1"/>
  <c r="BF522" i="1"/>
  <c r="BE522" i="1"/>
  <c r="BD522" i="1"/>
  <c r="AT522" i="1"/>
  <c r="AR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J522" i="1"/>
  <c r="H522" i="1"/>
  <c r="BO521" i="1"/>
  <c r="BN521" i="1"/>
  <c r="BL521" i="1"/>
  <c r="BK521" i="1"/>
  <c r="BJ521" i="1"/>
  <c r="BI521" i="1"/>
  <c r="BH521" i="1"/>
  <c r="BG521" i="1"/>
  <c r="BF521" i="1"/>
  <c r="BE521" i="1"/>
  <c r="BD521" i="1"/>
  <c r="AT521" i="1"/>
  <c r="AR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J521" i="1"/>
  <c r="H521" i="1"/>
  <c r="BO520" i="1"/>
  <c r="BN520" i="1"/>
  <c r="BL520" i="1"/>
  <c r="BK520" i="1"/>
  <c r="BJ520" i="1"/>
  <c r="BI520" i="1"/>
  <c r="BH520" i="1"/>
  <c r="BG520" i="1"/>
  <c r="BF520" i="1"/>
  <c r="BE520" i="1"/>
  <c r="BD520" i="1"/>
  <c r="AT520" i="1"/>
  <c r="AR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J520" i="1"/>
  <c r="H520" i="1"/>
  <c r="BO519" i="1"/>
  <c r="BN519" i="1"/>
  <c r="BL519" i="1"/>
  <c r="BK519" i="1"/>
  <c r="BJ519" i="1"/>
  <c r="BI519" i="1"/>
  <c r="BH519" i="1"/>
  <c r="BG519" i="1"/>
  <c r="BF519" i="1"/>
  <c r="BE519" i="1"/>
  <c r="BD519" i="1"/>
  <c r="AT519" i="1"/>
  <c r="AR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J519" i="1"/>
  <c r="H519" i="1"/>
  <c r="BO518" i="1"/>
  <c r="BN518" i="1"/>
  <c r="BL518" i="1"/>
  <c r="BK518" i="1"/>
  <c r="BJ518" i="1"/>
  <c r="BI518" i="1"/>
  <c r="BH518" i="1"/>
  <c r="BG518" i="1"/>
  <c r="BF518" i="1"/>
  <c r="BE518" i="1"/>
  <c r="BD518" i="1"/>
  <c r="AT518" i="1"/>
  <c r="AR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J518" i="1"/>
  <c r="H518" i="1"/>
  <c r="BO517" i="1"/>
  <c r="BN517" i="1"/>
  <c r="BL517" i="1"/>
  <c r="BK517" i="1"/>
  <c r="BJ517" i="1"/>
  <c r="BI517" i="1"/>
  <c r="BH517" i="1"/>
  <c r="BG517" i="1"/>
  <c r="BF517" i="1"/>
  <c r="BE517" i="1"/>
  <c r="BD517" i="1"/>
  <c r="AT517" i="1"/>
  <c r="AR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J517" i="1"/>
  <c r="H517" i="1"/>
  <c r="BO516" i="1"/>
  <c r="BN516" i="1"/>
  <c r="BL516" i="1"/>
  <c r="BK516" i="1"/>
  <c r="BJ516" i="1"/>
  <c r="BI516" i="1"/>
  <c r="BH516" i="1"/>
  <c r="BG516" i="1"/>
  <c r="BF516" i="1"/>
  <c r="BE516" i="1"/>
  <c r="BD516" i="1"/>
  <c r="AT516" i="1"/>
  <c r="AR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J516" i="1"/>
  <c r="H516" i="1"/>
  <c r="BO515" i="1"/>
  <c r="BN515" i="1"/>
  <c r="BL515" i="1"/>
  <c r="BK515" i="1"/>
  <c r="BJ515" i="1"/>
  <c r="BI515" i="1"/>
  <c r="BH515" i="1"/>
  <c r="BG515" i="1"/>
  <c r="BF515" i="1"/>
  <c r="BE515" i="1"/>
  <c r="BD515" i="1"/>
  <c r="AT515" i="1"/>
  <c r="AR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J515" i="1"/>
  <c r="H515" i="1"/>
  <c r="BO514" i="1"/>
  <c r="BN514" i="1"/>
  <c r="BL514" i="1"/>
  <c r="BK514" i="1"/>
  <c r="BJ514" i="1"/>
  <c r="BI514" i="1"/>
  <c r="BH514" i="1"/>
  <c r="BG514" i="1"/>
  <c r="BF514" i="1"/>
  <c r="BE514" i="1"/>
  <c r="BD514" i="1"/>
  <c r="AT514" i="1"/>
  <c r="AR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J514" i="1"/>
  <c r="H514" i="1"/>
  <c r="BO513" i="1"/>
  <c r="BN513" i="1"/>
  <c r="BL513" i="1"/>
  <c r="BK513" i="1"/>
  <c r="BJ513" i="1"/>
  <c r="BI513" i="1"/>
  <c r="BH513" i="1"/>
  <c r="BG513" i="1"/>
  <c r="BF513" i="1"/>
  <c r="BE513" i="1"/>
  <c r="BD513" i="1"/>
  <c r="AT513" i="1"/>
  <c r="AR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J513" i="1"/>
  <c r="H513" i="1"/>
  <c r="BO512" i="1"/>
  <c r="BN512" i="1"/>
  <c r="BL512" i="1"/>
  <c r="BK512" i="1"/>
  <c r="BJ512" i="1"/>
  <c r="BI512" i="1"/>
  <c r="BH512" i="1"/>
  <c r="BG512" i="1"/>
  <c r="BF512" i="1"/>
  <c r="BE512" i="1"/>
  <c r="BD512" i="1"/>
  <c r="AT512" i="1"/>
  <c r="AR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J512" i="1"/>
  <c r="H512" i="1"/>
  <c r="BO511" i="1"/>
  <c r="BN511" i="1"/>
  <c r="BL511" i="1"/>
  <c r="BK511" i="1"/>
  <c r="BJ511" i="1"/>
  <c r="BI511" i="1"/>
  <c r="BH511" i="1"/>
  <c r="BG511" i="1"/>
  <c r="BF511" i="1"/>
  <c r="BE511" i="1"/>
  <c r="BD511" i="1"/>
  <c r="AT511" i="1"/>
  <c r="AR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J511" i="1"/>
  <c r="H511" i="1"/>
  <c r="BO510" i="1"/>
  <c r="BN510" i="1"/>
  <c r="BL510" i="1"/>
  <c r="BK510" i="1"/>
  <c r="BJ510" i="1"/>
  <c r="BI510" i="1"/>
  <c r="BH510" i="1"/>
  <c r="BG510" i="1"/>
  <c r="BF510" i="1"/>
  <c r="BE510" i="1"/>
  <c r="BD510" i="1"/>
  <c r="AT510" i="1"/>
  <c r="AR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J510" i="1"/>
  <c r="H510" i="1"/>
  <c r="BO509" i="1"/>
  <c r="BN509" i="1"/>
  <c r="BL509" i="1"/>
  <c r="BK509" i="1"/>
  <c r="BJ509" i="1"/>
  <c r="BI509" i="1"/>
  <c r="BH509" i="1"/>
  <c r="BG509" i="1"/>
  <c r="BF509" i="1"/>
  <c r="BE509" i="1"/>
  <c r="BD509" i="1"/>
  <c r="AT509" i="1"/>
  <c r="AR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J509" i="1"/>
  <c r="H509" i="1"/>
  <c r="BO508" i="1"/>
  <c r="BN508" i="1"/>
  <c r="BL508" i="1"/>
  <c r="BK508" i="1"/>
  <c r="BJ508" i="1"/>
  <c r="BI508" i="1"/>
  <c r="BH508" i="1"/>
  <c r="BG508" i="1"/>
  <c r="BF508" i="1"/>
  <c r="BE508" i="1"/>
  <c r="BD508" i="1"/>
  <c r="AT508" i="1"/>
  <c r="AR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J508" i="1"/>
  <c r="H508" i="1"/>
  <c r="BO507" i="1"/>
  <c r="BN507" i="1"/>
  <c r="BL507" i="1"/>
  <c r="BK507" i="1"/>
  <c r="BJ507" i="1"/>
  <c r="BI507" i="1"/>
  <c r="BH507" i="1"/>
  <c r="BG507" i="1"/>
  <c r="BF507" i="1"/>
  <c r="BE507" i="1"/>
  <c r="BD507" i="1"/>
  <c r="AT507" i="1"/>
  <c r="AR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J507" i="1"/>
  <c r="H507" i="1"/>
  <c r="BO506" i="1"/>
  <c r="BN506" i="1"/>
  <c r="BL506" i="1"/>
  <c r="BK506" i="1"/>
  <c r="BJ506" i="1"/>
  <c r="BI506" i="1"/>
  <c r="BH506" i="1"/>
  <c r="BG506" i="1"/>
  <c r="BF506" i="1"/>
  <c r="BE506" i="1"/>
  <c r="BD506" i="1"/>
  <c r="AT506" i="1"/>
  <c r="AR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J506" i="1"/>
  <c r="H506" i="1"/>
  <c r="BO505" i="1"/>
  <c r="BN505" i="1"/>
  <c r="BL505" i="1"/>
  <c r="BK505" i="1"/>
  <c r="BJ505" i="1"/>
  <c r="BI505" i="1"/>
  <c r="BH505" i="1"/>
  <c r="BG505" i="1"/>
  <c r="BF505" i="1"/>
  <c r="BE505" i="1"/>
  <c r="BD505" i="1"/>
  <c r="AT505" i="1"/>
  <c r="AR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J505" i="1"/>
  <c r="H505" i="1"/>
  <c r="BO504" i="1"/>
  <c r="BN504" i="1"/>
  <c r="BL504" i="1"/>
  <c r="BK504" i="1"/>
  <c r="BJ504" i="1"/>
  <c r="BI504" i="1"/>
  <c r="BH504" i="1"/>
  <c r="BG504" i="1"/>
  <c r="BF504" i="1"/>
  <c r="BE504" i="1"/>
  <c r="BD504" i="1"/>
  <c r="AT504" i="1"/>
  <c r="AR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J504" i="1"/>
  <c r="H504" i="1"/>
  <c r="BO503" i="1"/>
  <c r="BN503" i="1"/>
  <c r="BL503" i="1"/>
  <c r="BK503" i="1"/>
  <c r="BJ503" i="1"/>
  <c r="BI503" i="1"/>
  <c r="BH503" i="1"/>
  <c r="BG503" i="1"/>
  <c r="BF503" i="1"/>
  <c r="BE503" i="1"/>
  <c r="BD503" i="1"/>
  <c r="AT503" i="1"/>
  <c r="AR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J503" i="1"/>
  <c r="H503" i="1"/>
  <c r="BO502" i="1"/>
  <c r="BN502" i="1"/>
  <c r="BL502" i="1"/>
  <c r="BK502" i="1"/>
  <c r="BJ502" i="1"/>
  <c r="BI502" i="1"/>
  <c r="BH502" i="1"/>
  <c r="BG502" i="1"/>
  <c r="BF502" i="1"/>
  <c r="BE502" i="1"/>
  <c r="BD502" i="1"/>
  <c r="AT502" i="1"/>
  <c r="AR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J502" i="1"/>
  <c r="H502" i="1"/>
  <c r="BO501" i="1"/>
  <c r="BN501" i="1"/>
  <c r="BL501" i="1"/>
  <c r="BK501" i="1"/>
  <c r="BJ501" i="1"/>
  <c r="BI501" i="1"/>
  <c r="BH501" i="1"/>
  <c r="BG501" i="1"/>
  <c r="BF501" i="1"/>
  <c r="BE501" i="1"/>
  <c r="BD501" i="1"/>
  <c r="AT501" i="1"/>
  <c r="AR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J501" i="1"/>
  <c r="H501" i="1"/>
  <c r="BO500" i="1"/>
  <c r="BN500" i="1"/>
  <c r="BL500" i="1"/>
  <c r="BK500" i="1"/>
  <c r="BJ500" i="1"/>
  <c r="BI500" i="1"/>
  <c r="BH500" i="1"/>
  <c r="BG500" i="1"/>
  <c r="BF500" i="1"/>
  <c r="BE500" i="1"/>
  <c r="BD500" i="1"/>
  <c r="AT500" i="1"/>
  <c r="AR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J500" i="1"/>
  <c r="H500" i="1"/>
  <c r="BO499" i="1"/>
  <c r="BN499" i="1"/>
  <c r="BL499" i="1"/>
  <c r="BK499" i="1"/>
  <c r="BJ499" i="1"/>
  <c r="BI499" i="1"/>
  <c r="BH499" i="1"/>
  <c r="BG499" i="1"/>
  <c r="BF499" i="1"/>
  <c r="BE499" i="1"/>
  <c r="BD499" i="1"/>
  <c r="AT499" i="1"/>
  <c r="AR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J499" i="1"/>
  <c r="H499" i="1"/>
  <c r="BO498" i="1"/>
  <c r="BN498" i="1"/>
  <c r="BL498" i="1"/>
  <c r="BK498" i="1"/>
  <c r="BJ498" i="1"/>
  <c r="BI498" i="1"/>
  <c r="BH498" i="1"/>
  <c r="BG498" i="1"/>
  <c r="BF498" i="1"/>
  <c r="BE498" i="1"/>
  <c r="BD498" i="1"/>
  <c r="AT498" i="1"/>
  <c r="AR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J498" i="1"/>
  <c r="H498" i="1"/>
  <c r="BO497" i="1"/>
  <c r="BN497" i="1"/>
  <c r="BL497" i="1"/>
  <c r="BK497" i="1"/>
  <c r="BJ497" i="1"/>
  <c r="BI497" i="1"/>
  <c r="BH497" i="1"/>
  <c r="BG497" i="1"/>
  <c r="BF497" i="1"/>
  <c r="BE497" i="1"/>
  <c r="BD497" i="1"/>
  <c r="AT497" i="1"/>
  <c r="AR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J497" i="1"/>
  <c r="H497" i="1"/>
  <c r="BO496" i="1"/>
  <c r="BN496" i="1"/>
  <c r="BL496" i="1"/>
  <c r="BK496" i="1"/>
  <c r="BJ496" i="1"/>
  <c r="BI496" i="1"/>
  <c r="BH496" i="1"/>
  <c r="BG496" i="1"/>
  <c r="BF496" i="1"/>
  <c r="BE496" i="1"/>
  <c r="BD496" i="1"/>
  <c r="AT496" i="1"/>
  <c r="AR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J496" i="1"/>
  <c r="H496" i="1"/>
  <c r="BO495" i="1"/>
  <c r="BN495" i="1"/>
  <c r="BL495" i="1"/>
  <c r="BK495" i="1"/>
  <c r="BJ495" i="1"/>
  <c r="BI495" i="1"/>
  <c r="BH495" i="1"/>
  <c r="BG495" i="1"/>
  <c r="BF495" i="1"/>
  <c r="BE495" i="1"/>
  <c r="BD495" i="1"/>
  <c r="AT495" i="1"/>
  <c r="AR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J495" i="1"/>
  <c r="H495" i="1"/>
  <c r="BO494" i="1"/>
  <c r="BN494" i="1"/>
  <c r="BL494" i="1"/>
  <c r="BK494" i="1"/>
  <c r="BJ494" i="1"/>
  <c r="BI494" i="1"/>
  <c r="BH494" i="1"/>
  <c r="BG494" i="1"/>
  <c r="BF494" i="1"/>
  <c r="BE494" i="1"/>
  <c r="BD494" i="1"/>
  <c r="AT494" i="1"/>
  <c r="AR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J494" i="1"/>
  <c r="H494" i="1"/>
  <c r="BO493" i="1"/>
  <c r="BN493" i="1"/>
  <c r="BL493" i="1"/>
  <c r="BK493" i="1"/>
  <c r="BJ493" i="1"/>
  <c r="BI493" i="1"/>
  <c r="BH493" i="1"/>
  <c r="BG493" i="1"/>
  <c r="BF493" i="1"/>
  <c r="BE493" i="1"/>
  <c r="BD493" i="1"/>
  <c r="AT493" i="1"/>
  <c r="AR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J493" i="1"/>
  <c r="H493" i="1"/>
  <c r="BO492" i="1"/>
  <c r="BN492" i="1"/>
  <c r="BL492" i="1"/>
  <c r="BK492" i="1"/>
  <c r="BJ492" i="1"/>
  <c r="BI492" i="1"/>
  <c r="BH492" i="1"/>
  <c r="BG492" i="1"/>
  <c r="BF492" i="1"/>
  <c r="BE492" i="1"/>
  <c r="BD492" i="1"/>
  <c r="AT492" i="1"/>
  <c r="AR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J492" i="1"/>
  <c r="H492" i="1"/>
  <c r="BO491" i="1"/>
  <c r="BN491" i="1"/>
  <c r="BL491" i="1"/>
  <c r="BK491" i="1"/>
  <c r="BJ491" i="1"/>
  <c r="BI491" i="1"/>
  <c r="BH491" i="1"/>
  <c r="BG491" i="1"/>
  <c r="BF491" i="1"/>
  <c r="BE491" i="1"/>
  <c r="BD491" i="1"/>
  <c r="AT491" i="1"/>
  <c r="AR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J491" i="1"/>
  <c r="H491" i="1"/>
  <c r="BO490" i="1"/>
  <c r="BN490" i="1"/>
  <c r="BL490" i="1"/>
  <c r="BK490" i="1"/>
  <c r="BJ490" i="1"/>
  <c r="BI490" i="1"/>
  <c r="BH490" i="1"/>
  <c r="BG490" i="1"/>
  <c r="BF490" i="1"/>
  <c r="BE490" i="1"/>
  <c r="BD490" i="1"/>
  <c r="AT490" i="1"/>
  <c r="AR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J490" i="1"/>
  <c r="H490" i="1"/>
  <c r="BO489" i="1"/>
  <c r="BN489" i="1"/>
  <c r="BL489" i="1"/>
  <c r="BK489" i="1"/>
  <c r="BJ489" i="1"/>
  <c r="BI489" i="1"/>
  <c r="BH489" i="1"/>
  <c r="BG489" i="1"/>
  <c r="BF489" i="1"/>
  <c r="BE489" i="1"/>
  <c r="BD489" i="1"/>
  <c r="AT489" i="1"/>
  <c r="AR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J489" i="1"/>
  <c r="H489" i="1"/>
  <c r="BO488" i="1"/>
  <c r="BN488" i="1"/>
  <c r="BL488" i="1"/>
  <c r="BK488" i="1"/>
  <c r="BJ488" i="1"/>
  <c r="BI488" i="1"/>
  <c r="BH488" i="1"/>
  <c r="BG488" i="1"/>
  <c r="BF488" i="1"/>
  <c r="BE488" i="1"/>
  <c r="BD488" i="1"/>
  <c r="AT488" i="1"/>
  <c r="AR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J488" i="1"/>
  <c r="H488" i="1"/>
  <c r="BO487" i="1"/>
  <c r="BN487" i="1"/>
  <c r="BL487" i="1"/>
  <c r="BK487" i="1"/>
  <c r="BJ487" i="1"/>
  <c r="BI487" i="1"/>
  <c r="BH487" i="1"/>
  <c r="BG487" i="1"/>
  <c r="BF487" i="1"/>
  <c r="BE487" i="1"/>
  <c r="BD487" i="1"/>
  <c r="AT487" i="1"/>
  <c r="AR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J487" i="1"/>
  <c r="H487" i="1"/>
  <c r="BO486" i="1"/>
  <c r="BN486" i="1"/>
  <c r="BL486" i="1"/>
  <c r="BK486" i="1"/>
  <c r="BJ486" i="1"/>
  <c r="BI486" i="1"/>
  <c r="BH486" i="1"/>
  <c r="BG486" i="1"/>
  <c r="BF486" i="1"/>
  <c r="BE486" i="1"/>
  <c r="BD486" i="1"/>
  <c r="AT486" i="1"/>
  <c r="AR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J486" i="1"/>
  <c r="H486" i="1"/>
  <c r="BO485" i="1"/>
  <c r="BN485" i="1"/>
  <c r="BL485" i="1"/>
  <c r="BK485" i="1"/>
  <c r="BJ485" i="1"/>
  <c r="BI485" i="1"/>
  <c r="BH485" i="1"/>
  <c r="BG485" i="1"/>
  <c r="BF485" i="1"/>
  <c r="BE485" i="1"/>
  <c r="BD485" i="1"/>
  <c r="AT485" i="1"/>
  <c r="AR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J485" i="1"/>
  <c r="H485" i="1"/>
  <c r="BO484" i="1"/>
  <c r="BN484" i="1"/>
  <c r="BL484" i="1"/>
  <c r="BK484" i="1"/>
  <c r="BJ484" i="1"/>
  <c r="BI484" i="1"/>
  <c r="BH484" i="1"/>
  <c r="BG484" i="1"/>
  <c r="BF484" i="1"/>
  <c r="BE484" i="1"/>
  <c r="BD484" i="1"/>
  <c r="AT484" i="1"/>
  <c r="AR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J484" i="1"/>
  <c r="H484" i="1"/>
  <c r="BO483" i="1"/>
  <c r="BN483" i="1"/>
  <c r="BL483" i="1"/>
  <c r="BK483" i="1"/>
  <c r="BJ483" i="1"/>
  <c r="BI483" i="1"/>
  <c r="BH483" i="1"/>
  <c r="BG483" i="1"/>
  <c r="BF483" i="1"/>
  <c r="BE483" i="1"/>
  <c r="BD483" i="1"/>
  <c r="AT483" i="1"/>
  <c r="AR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J483" i="1"/>
  <c r="H483" i="1"/>
  <c r="BO482" i="1"/>
  <c r="BN482" i="1"/>
  <c r="BL482" i="1"/>
  <c r="BK482" i="1"/>
  <c r="BJ482" i="1"/>
  <c r="BI482" i="1"/>
  <c r="BH482" i="1"/>
  <c r="BG482" i="1"/>
  <c r="BF482" i="1"/>
  <c r="BE482" i="1"/>
  <c r="BD482" i="1"/>
  <c r="AT482" i="1"/>
  <c r="AR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J482" i="1"/>
  <c r="H482" i="1"/>
  <c r="BO481" i="1"/>
  <c r="BN481" i="1"/>
  <c r="BL481" i="1"/>
  <c r="BK481" i="1"/>
  <c r="BJ481" i="1"/>
  <c r="BI481" i="1"/>
  <c r="BH481" i="1"/>
  <c r="BG481" i="1"/>
  <c r="BF481" i="1"/>
  <c r="BE481" i="1"/>
  <c r="BD481" i="1"/>
  <c r="AT481" i="1"/>
  <c r="AR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J481" i="1"/>
  <c r="H481" i="1"/>
  <c r="BO480" i="1"/>
  <c r="BN480" i="1"/>
  <c r="BL480" i="1"/>
  <c r="BK480" i="1"/>
  <c r="BJ480" i="1"/>
  <c r="BI480" i="1"/>
  <c r="BH480" i="1"/>
  <c r="BG480" i="1"/>
  <c r="BF480" i="1"/>
  <c r="BE480" i="1"/>
  <c r="BD480" i="1"/>
  <c r="AT480" i="1"/>
  <c r="AR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J480" i="1"/>
  <c r="H480" i="1"/>
  <c r="BO479" i="1"/>
  <c r="BN479" i="1"/>
  <c r="BL479" i="1"/>
  <c r="BK479" i="1"/>
  <c r="BJ479" i="1"/>
  <c r="BI479" i="1"/>
  <c r="BH479" i="1"/>
  <c r="BG479" i="1"/>
  <c r="BF479" i="1"/>
  <c r="BE479" i="1"/>
  <c r="BD479" i="1"/>
  <c r="AT479" i="1"/>
  <c r="AR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J479" i="1"/>
  <c r="H479" i="1"/>
  <c r="BO478" i="1"/>
  <c r="BN478" i="1"/>
  <c r="BL478" i="1"/>
  <c r="BK478" i="1"/>
  <c r="BJ478" i="1"/>
  <c r="BI478" i="1"/>
  <c r="BH478" i="1"/>
  <c r="BG478" i="1"/>
  <c r="BF478" i="1"/>
  <c r="BE478" i="1"/>
  <c r="BD478" i="1"/>
  <c r="AT478" i="1"/>
  <c r="AR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J478" i="1"/>
  <c r="H478" i="1"/>
  <c r="BO477" i="1"/>
  <c r="BN477" i="1"/>
  <c r="BL477" i="1"/>
  <c r="BK477" i="1"/>
  <c r="BJ477" i="1"/>
  <c r="BI477" i="1"/>
  <c r="BH477" i="1"/>
  <c r="BG477" i="1"/>
  <c r="BF477" i="1"/>
  <c r="BE477" i="1"/>
  <c r="BD477" i="1"/>
  <c r="AT477" i="1"/>
  <c r="AR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J477" i="1"/>
  <c r="H477" i="1"/>
  <c r="BO476" i="1"/>
  <c r="BN476" i="1"/>
  <c r="BL476" i="1"/>
  <c r="BK476" i="1"/>
  <c r="BJ476" i="1"/>
  <c r="BI476" i="1"/>
  <c r="BH476" i="1"/>
  <c r="BG476" i="1"/>
  <c r="BF476" i="1"/>
  <c r="BE476" i="1"/>
  <c r="BD476" i="1"/>
  <c r="AT476" i="1"/>
  <c r="AR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J476" i="1"/>
  <c r="H476" i="1"/>
  <c r="BO475" i="1"/>
  <c r="BN475" i="1"/>
  <c r="BL475" i="1"/>
  <c r="BK475" i="1"/>
  <c r="BJ475" i="1"/>
  <c r="BI475" i="1"/>
  <c r="BH475" i="1"/>
  <c r="BG475" i="1"/>
  <c r="BF475" i="1"/>
  <c r="BE475" i="1"/>
  <c r="BD475" i="1"/>
  <c r="AT475" i="1"/>
  <c r="AR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J475" i="1"/>
  <c r="H475" i="1"/>
  <c r="BO474" i="1"/>
  <c r="BN474" i="1"/>
  <c r="BL474" i="1"/>
  <c r="BK474" i="1"/>
  <c r="BJ474" i="1"/>
  <c r="BI474" i="1"/>
  <c r="BH474" i="1"/>
  <c r="BG474" i="1"/>
  <c r="BF474" i="1"/>
  <c r="BE474" i="1"/>
  <c r="BD474" i="1"/>
  <c r="AT474" i="1"/>
  <c r="AR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J474" i="1"/>
  <c r="H474" i="1"/>
  <c r="BO473" i="1"/>
  <c r="BN473" i="1"/>
  <c r="BL473" i="1"/>
  <c r="BK473" i="1"/>
  <c r="BJ473" i="1"/>
  <c r="BI473" i="1"/>
  <c r="BH473" i="1"/>
  <c r="BG473" i="1"/>
  <c r="BF473" i="1"/>
  <c r="BE473" i="1"/>
  <c r="BD473" i="1"/>
  <c r="AT473" i="1"/>
  <c r="AR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J473" i="1"/>
  <c r="H473" i="1"/>
  <c r="BO472" i="1"/>
  <c r="BN472" i="1"/>
  <c r="BL472" i="1"/>
  <c r="BK472" i="1"/>
  <c r="BJ472" i="1"/>
  <c r="BI472" i="1"/>
  <c r="BH472" i="1"/>
  <c r="BG472" i="1"/>
  <c r="BF472" i="1"/>
  <c r="BE472" i="1"/>
  <c r="BD472" i="1"/>
  <c r="AT472" i="1"/>
  <c r="AR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J472" i="1"/>
  <c r="H472" i="1"/>
  <c r="BO471" i="1"/>
  <c r="BN471" i="1"/>
  <c r="BL471" i="1"/>
  <c r="BK471" i="1"/>
  <c r="BJ471" i="1"/>
  <c r="BI471" i="1"/>
  <c r="BH471" i="1"/>
  <c r="BG471" i="1"/>
  <c r="BF471" i="1"/>
  <c r="BE471" i="1"/>
  <c r="BD471" i="1"/>
  <c r="AT471" i="1"/>
  <c r="AR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J471" i="1"/>
  <c r="H471" i="1"/>
  <c r="BO470" i="1"/>
  <c r="BN470" i="1"/>
  <c r="BL470" i="1"/>
  <c r="BK470" i="1"/>
  <c r="BJ470" i="1"/>
  <c r="BI470" i="1"/>
  <c r="BH470" i="1"/>
  <c r="BG470" i="1"/>
  <c r="BF470" i="1"/>
  <c r="BE470" i="1"/>
  <c r="BD470" i="1"/>
  <c r="AT470" i="1"/>
  <c r="AR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J470" i="1"/>
  <c r="H470" i="1"/>
  <c r="BO469" i="1"/>
  <c r="BN469" i="1"/>
  <c r="BL469" i="1"/>
  <c r="BK469" i="1"/>
  <c r="BJ469" i="1"/>
  <c r="BI469" i="1"/>
  <c r="BH469" i="1"/>
  <c r="BG469" i="1"/>
  <c r="BF469" i="1"/>
  <c r="BE469" i="1"/>
  <c r="BD469" i="1"/>
  <c r="AT469" i="1"/>
  <c r="AR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J469" i="1"/>
  <c r="H469" i="1"/>
  <c r="BO468" i="1"/>
  <c r="BN468" i="1"/>
  <c r="BL468" i="1"/>
  <c r="BK468" i="1"/>
  <c r="BJ468" i="1"/>
  <c r="BI468" i="1"/>
  <c r="BH468" i="1"/>
  <c r="BG468" i="1"/>
  <c r="BF468" i="1"/>
  <c r="BE468" i="1"/>
  <c r="BD468" i="1"/>
  <c r="AT468" i="1"/>
  <c r="AR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J468" i="1"/>
  <c r="H468" i="1"/>
  <c r="BO467" i="1"/>
  <c r="BN467" i="1"/>
  <c r="BL467" i="1"/>
  <c r="BK467" i="1"/>
  <c r="BJ467" i="1"/>
  <c r="BI467" i="1"/>
  <c r="BH467" i="1"/>
  <c r="BG467" i="1"/>
  <c r="BF467" i="1"/>
  <c r="BE467" i="1"/>
  <c r="BD467" i="1"/>
  <c r="AT467" i="1"/>
  <c r="AR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J467" i="1"/>
  <c r="H467" i="1"/>
  <c r="BO466" i="1"/>
  <c r="BN466" i="1"/>
  <c r="BL466" i="1"/>
  <c r="BK466" i="1"/>
  <c r="BJ466" i="1"/>
  <c r="BI466" i="1"/>
  <c r="BH466" i="1"/>
  <c r="BG466" i="1"/>
  <c r="BF466" i="1"/>
  <c r="BE466" i="1"/>
  <c r="BD466" i="1"/>
  <c r="AT466" i="1"/>
  <c r="AR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J466" i="1"/>
  <c r="H466" i="1"/>
  <c r="BO465" i="1"/>
  <c r="BN465" i="1"/>
  <c r="BL465" i="1"/>
  <c r="BK465" i="1"/>
  <c r="BJ465" i="1"/>
  <c r="BI465" i="1"/>
  <c r="BH465" i="1"/>
  <c r="BG465" i="1"/>
  <c r="BF465" i="1"/>
  <c r="BE465" i="1"/>
  <c r="BD465" i="1"/>
  <c r="AT465" i="1"/>
  <c r="AR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J465" i="1"/>
  <c r="H465" i="1"/>
  <c r="BO464" i="1"/>
  <c r="BN464" i="1"/>
  <c r="BL464" i="1"/>
  <c r="BK464" i="1"/>
  <c r="BJ464" i="1"/>
  <c r="BI464" i="1"/>
  <c r="BH464" i="1"/>
  <c r="BG464" i="1"/>
  <c r="BF464" i="1"/>
  <c r="BE464" i="1"/>
  <c r="BD464" i="1"/>
  <c r="AT464" i="1"/>
  <c r="AR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J464" i="1"/>
  <c r="H464" i="1"/>
  <c r="BO463" i="1"/>
  <c r="BN463" i="1"/>
  <c r="BL463" i="1"/>
  <c r="BK463" i="1"/>
  <c r="BJ463" i="1"/>
  <c r="BI463" i="1"/>
  <c r="BH463" i="1"/>
  <c r="BG463" i="1"/>
  <c r="BF463" i="1"/>
  <c r="BE463" i="1"/>
  <c r="BD463" i="1"/>
  <c r="AT463" i="1"/>
  <c r="AR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J463" i="1"/>
  <c r="H463" i="1"/>
  <c r="BO462" i="1"/>
  <c r="BN462" i="1"/>
  <c r="BL462" i="1"/>
  <c r="BK462" i="1"/>
  <c r="BJ462" i="1"/>
  <c r="BI462" i="1"/>
  <c r="BH462" i="1"/>
  <c r="BG462" i="1"/>
  <c r="BF462" i="1"/>
  <c r="BE462" i="1"/>
  <c r="BD462" i="1"/>
  <c r="AT462" i="1"/>
  <c r="AR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J462" i="1"/>
  <c r="H462" i="1"/>
  <c r="BO461" i="1"/>
  <c r="BN461" i="1"/>
  <c r="BL461" i="1"/>
  <c r="BK461" i="1"/>
  <c r="BJ461" i="1"/>
  <c r="BI461" i="1"/>
  <c r="BH461" i="1"/>
  <c r="BG461" i="1"/>
  <c r="BF461" i="1"/>
  <c r="BE461" i="1"/>
  <c r="BD461" i="1"/>
  <c r="AT461" i="1"/>
  <c r="AR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J461" i="1"/>
  <c r="H461" i="1"/>
  <c r="BO460" i="1"/>
  <c r="BN460" i="1"/>
  <c r="BL460" i="1"/>
  <c r="BK460" i="1"/>
  <c r="BJ460" i="1"/>
  <c r="BI460" i="1"/>
  <c r="BH460" i="1"/>
  <c r="BG460" i="1"/>
  <c r="BF460" i="1"/>
  <c r="BE460" i="1"/>
  <c r="BD460" i="1"/>
  <c r="AT460" i="1"/>
  <c r="AR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J460" i="1"/>
  <c r="H460" i="1"/>
  <c r="BO459" i="1"/>
  <c r="BN459" i="1"/>
  <c r="BL459" i="1"/>
  <c r="BK459" i="1"/>
  <c r="BJ459" i="1"/>
  <c r="BI459" i="1"/>
  <c r="BH459" i="1"/>
  <c r="BG459" i="1"/>
  <c r="BF459" i="1"/>
  <c r="BE459" i="1"/>
  <c r="BD459" i="1"/>
  <c r="AT459" i="1"/>
  <c r="AR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J459" i="1"/>
  <c r="H459" i="1"/>
  <c r="BO458" i="1"/>
  <c r="BN458" i="1"/>
  <c r="BL458" i="1"/>
  <c r="BK458" i="1"/>
  <c r="BJ458" i="1"/>
  <c r="BI458" i="1"/>
  <c r="BH458" i="1"/>
  <c r="BG458" i="1"/>
  <c r="BF458" i="1"/>
  <c r="BE458" i="1"/>
  <c r="BD458" i="1"/>
  <c r="AT458" i="1"/>
  <c r="AR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J458" i="1"/>
  <c r="H458" i="1"/>
  <c r="BO457" i="1"/>
  <c r="BN457" i="1"/>
  <c r="BL457" i="1"/>
  <c r="BK457" i="1"/>
  <c r="BJ457" i="1"/>
  <c r="BI457" i="1"/>
  <c r="BH457" i="1"/>
  <c r="BG457" i="1"/>
  <c r="BF457" i="1"/>
  <c r="BE457" i="1"/>
  <c r="BD457" i="1"/>
  <c r="AT457" i="1"/>
  <c r="AR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J457" i="1"/>
  <c r="H457" i="1"/>
  <c r="BO456" i="1"/>
  <c r="BN456" i="1"/>
  <c r="BL456" i="1"/>
  <c r="BK456" i="1"/>
  <c r="BJ456" i="1"/>
  <c r="BI456" i="1"/>
  <c r="BH456" i="1"/>
  <c r="BG456" i="1"/>
  <c r="BF456" i="1"/>
  <c r="BE456" i="1"/>
  <c r="BD456" i="1"/>
  <c r="AT456" i="1"/>
  <c r="AR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J456" i="1"/>
  <c r="H456" i="1"/>
  <c r="BO455" i="1"/>
  <c r="BN455" i="1"/>
  <c r="BL455" i="1"/>
  <c r="BK455" i="1"/>
  <c r="BJ455" i="1"/>
  <c r="BI455" i="1"/>
  <c r="BH455" i="1"/>
  <c r="BG455" i="1"/>
  <c r="BF455" i="1"/>
  <c r="BE455" i="1"/>
  <c r="BD455" i="1"/>
  <c r="AT455" i="1"/>
  <c r="AR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J455" i="1"/>
  <c r="H455" i="1"/>
  <c r="BO454" i="1"/>
  <c r="BN454" i="1"/>
  <c r="BL454" i="1"/>
  <c r="BK454" i="1"/>
  <c r="BJ454" i="1"/>
  <c r="BI454" i="1"/>
  <c r="BH454" i="1"/>
  <c r="BG454" i="1"/>
  <c r="BF454" i="1"/>
  <c r="BE454" i="1"/>
  <c r="BD454" i="1"/>
  <c r="AT454" i="1"/>
  <c r="AR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J454" i="1"/>
  <c r="H454" i="1"/>
  <c r="BO453" i="1"/>
  <c r="BN453" i="1"/>
  <c r="BL453" i="1"/>
  <c r="BK453" i="1"/>
  <c r="BJ453" i="1"/>
  <c r="BI453" i="1"/>
  <c r="BH453" i="1"/>
  <c r="BG453" i="1"/>
  <c r="BF453" i="1"/>
  <c r="BE453" i="1"/>
  <c r="BD453" i="1"/>
  <c r="AT453" i="1"/>
  <c r="AR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J453" i="1"/>
  <c r="H453" i="1"/>
  <c r="BO452" i="1"/>
  <c r="BN452" i="1"/>
  <c r="BL452" i="1"/>
  <c r="BK452" i="1"/>
  <c r="BJ452" i="1"/>
  <c r="BI452" i="1"/>
  <c r="BH452" i="1"/>
  <c r="BG452" i="1"/>
  <c r="BF452" i="1"/>
  <c r="BE452" i="1"/>
  <c r="BD452" i="1"/>
  <c r="AT452" i="1"/>
  <c r="AR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J452" i="1"/>
  <c r="H452" i="1"/>
  <c r="BO451" i="1"/>
  <c r="BN451" i="1"/>
  <c r="BL451" i="1"/>
  <c r="BK451" i="1"/>
  <c r="BJ451" i="1"/>
  <c r="BI451" i="1"/>
  <c r="BH451" i="1"/>
  <c r="BG451" i="1"/>
  <c r="BF451" i="1"/>
  <c r="BE451" i="1"/>
  <c r="BD451" i="1"/>
  <c r="AT451" i="1"/>
  <c r="AR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J451" i="1"/>
  <c r="H451" i="1"/>
  <c r="BO450" i="1"/>
  <c r="BN450" i="1"/>
  <c r="BL450" i="1"/>
  <c r="BK450" i="1"/>
  <c r="BJ450" i="1"/>
  <c r="BI450" i="1"/>
  <c r="BH450" i="1"/>
  <c r="BG450" i="1"/>
  <c r="BF450" i="1"/>
  <c r="BE450" i="1"/>
  <c r="BD450" i="1"/>
  <c r="AT450" i="1"/>
  <c r="AR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J450" i="1"/>
  <c r="H450" i="1"/>
  <c r="BO449" i="1"/>
  <c r="BN449" i="1"/>
  <c r="BL449" i="1"/>
  <c r="BK449" i="1"/>
  <c r="BJ449" i="1"/>
  <c r="BI449" i="1"/>
  <c r="BH449" i="1"/>
  <c r="BG449" i="1"/>
  <c r="BF449" i="1"/>
  <c r="BE449" i="1"/>
  <c r="BD449" i="1"/>
  <c r="AT449" i="1"/>
  <c r="AR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J449" i="1"/>
  <c r="H449" i="1"/>
  <c r="BO448" i="1"/>
  <c r="BN448" i="1"/>
  <c r="BL448" i="1"/>
  <c r="BK448" i="1"/>
  <c r="BJ448" i="1"/>
  <c r="BI448" i="1"/>
  <c r="BH448" i="1"/>
  <c r="BG448" i="1"/>
  <c r="BF448" i="1"/>
  <c r="BE448" i="1"/>
  <c r="BD448" i="1"/>
  <c r="AT448" i="1"/>
  <c r="AR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J448" i="1"/>
  <c r="H448" i="1"/>
  <c r="BO447" i="1"/>
  <c r="BN447" i="1"/>
  <c r="BL447" i="1"/>
  <c r="BK447" i="1"/>
  <c r="BJ447" i="1"/>
  <c r="BI447" i="1"/>
  <c r="BH447" i="1"/>
  <c r="BG447" i="1"/>
  <c r="BF447" i="1"/>
  <c r="BE447" i="1"/>
  <c r="BD447" i="1"/>
  <c r="AT447" i="1"/>
  <c r="AR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J447" i="1"/>
  <c r="H447" i="1"/>
  <c r="BO446" i="1"/>
  <c r="BN446" i="1"/>
  <c r="BL446" i="1"/>
  <c r="BK446" i="1"/>
  <c r="BJ446" i="1"/>
  <c r="BI446" i="1"/>
  <c r="BH446" i="1"/>
  <c r="BG446" i="1"/>
  <c r="BF446" i="1"/>
  <c r="BE446" i="1"/>
  <c r="BD446" i="1"/>
  <c r="AT446" i="1"/>
  <c r="AR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J446" i="1"/>
  <c r="H446" i="1"/>
  <c r="BO445" i="1"/>
  <c r="BN445" i="1"/>
  <c r="BL445" i="1"/>
  <c r="BK445" i="1"/>
  <c r="BJ445" i="1"/>
  <c r="BI445" i="1"/>
  <c r="BH445" i="1"/>
  <c r="BG445" i="1"/>
  <c r="BF445" i="1"/>
  <c r="BE445" i="1"/>
  <c r="BD445" i="1"/>
  <c r="AT445" i="1"/>
  <c r="AR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J445" i="1"/>
  <c r="H445" i="1"/>
  <c r="BO444" i="1"/>
  <c r="BN444" i="1"/>
  <c r="BL444" i="1"/>
  <c r="BK444" i="1"/>
  <c r="BJ444" i="1"/>
  <c r="BI444" i="1"/>
  <c r="BH444" i="1"/>
  <c r="BG444" i="1"/>
  <c r="BF444" i="1"/>
  <c r="BE444" i="1"/>
  <c r="BD444" i="1"/>
  <c r="AT444" i="1"/>
  <c r="AR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J444" i="1"/>
  <c r="H444" i="1"/>
  <c r="BO443" i="1"/>
  <c r="BN443" i="1"/>
  <c r="BL443" i="1"/>
  <c r="BK443" i="1"/>
  <c r="BJ443" i="1"/>
  <c r="BI443" i="1"/>
  <c r="BH443" i="1"/>
  <c r="BG443" i="1"/>
  <c r="BF443" i="1"/>
  <c r="BE443" i="1"/>
  <c r="BD443" i="1"/>
  <c r="AT443" i="1"/>
  <c r="AR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J443" i="1"/>
  <c r="H443" i="1"/>
  <c r="BO442" i="1"/>
  <c r="BN442" i="1"/>
  <c r="BL442" i="1"/>
  <c r="BK442" i="1"/>
  <c r="BJ442" i="1"/>
  <c r="BI442" i="1"/>
  <c r="BH442" i="1"/>
  <c r="BG442" i="1"/>
  <c r="BF442" i="1"/>
  <c r="BE442" i="1"/>
  <c r="BD442" i="1"/>
  <c r="AT442" i="1"/>
  <c r="AR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J442" i="1"/>
  <c r="H442" i="1"/>
  <c r="BO441" i="1"/>
  <c r="BN441" i="1"/>
  <c r="BL441" i="1"/>
  <c r="BK441" i="1"/>
  <c r="BJ441" i="1"/>
  <c r="BI441" i="1"/>
  <c r="BH441" i="1"/>
  <c r="BG441" i="1"/>
  <c r="BF441" i="1"/>
  <c r="BE441" i="1"/>
  <c r="BD441" i="1"/>
  <c r="AT441" i="1"/>
  <c r="AR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J441" i="1"/>
  <c r="H441" i="1"/>
  <c r="BO440" i="1"/>
  <c r="BN440" i="1"/>
  <c r="BL440" i="1"/>
  <c r="BK440" i="1"/>
  <c r="BJ440" i="1"/>
  <c r="BI440" i="1"/>
  <c r="BH440" i="1"/>
  <c r="BG440" i="1"/>
  <c r="BF440" i="1"/>
  <c r="BE440" i="1"/>
  <c r="BD440" i="1"/>
  <c r="AT440" i="1"/>
  <c r="AR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J440" i="1"/>
  <c r="H440" i="1"/>
  <c r="BO439" i="1"/>
  <c r="BN439" i="1"/>
  <c r="BL439" i="1"/>
  <c r="BK439" i="1"/>
  <c r="BJ439" i="1"/>
  <c r="BI439" i="1"/>
  <c r="BH439" i="1"/>
  <c r="BG439" i="1"/>
  <c r="BF439" i="1"/>
  <c r="BE439" i="1"/>
  <c r="BD439" i="1"/>
  <c r="AT439" i="1"/>
  <c r="AR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J439" i="1"/>
  <c r="H439" i="1"/>
  <c r="BO438" i="1"/>
  <c r="BN438" i="1"/>
  <c r="BL438" i="1"/>
  <c r="BK438" i="1"/>
  <c r="BJ438" i="1"/>
  <c r="BI438" i="1"/>
  <c r="BH438" i="1"/>
  <c r="BG438" i="1"/>
  <c r="BF438" i="1"/>
  <c r="BE438" i="1"/>
  <c r="BD438" i="1"/>
  <c r="AT438" i="1"/>
  <c r="AR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J438" i="1"/>
  <c r="H438" i="1"/>
  <c r="BO437" i="1"/>
  <c r="BN437" i="1"/>
  <c r="BL437" i="1"/>
  <c r="BK437" i="1"/>
  <c r="BJ437" i="1"/>
  <c r="BI437" i="1"/>
  <c r="BH437" i="1"/>
  <c r="BG437" i="1"/>
  <c r="BF437" i="1"/>
  <c r="BE437" i="1"/>
  <c r="BD437" i="1"/>
  <c r="AT437" i="1"/>
  <c r="AR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J437" i="1"/>
  <c r="H437" i="1"/>
  <c r="BO436" i="1"/>
  <c r="BN436" i="1"/>
  <c r="BL436" i="1"/>
  <c r="BK436" i="1"/>
  <c r="BJ436" i="1"/>
  <c r="BI436" i="1"/>
  <c r="BH436" i="1"/>
  <c r="BG436" i="1"/>
  <c r="BF436" i="1"/>
  <c r="BE436" i="1"/>
  <c r="BD436" i="1"/>
  <c r="AT436" i="1"/>
  <c r="AR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J436" i="1"/>
  <c r="H436" i="1"/>
  <c r="BO435" i="1"/>
  <c r="BN435" i="1"/>
  <c r="BL435" i="1"/>
  <c r="BK435" i="1"/>
  <c r="BJ435" i="1"/>
  <c r="BI435" i="1"/>
  <c r="BH435" i="1"/>
  <c r="BG435" i="1"/>
  <c r="BF435" i="1"/>
  <c r="BE435" i="1"/>
  <c r="BD435" i="1"/>
  <c r="AT435" i="1"/>
  <c r="AR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J435" i="1"/>
  <c r="H435" i="1"/>
  <c r="BO434" i="1"/>
  <c r="BN434" i="1"/>
  <c r="BL434" i="1"/>
  <c r="BK434" i="1"/>
  <c r="BJ434" i="1"/>
  <c r="BI434" i="1"/>
  <c r="BH434" i="1"/>
  <c r="BG434" i="1"/>
  <c r="BF434" i="1"/>
  <c r="BE434" i="1"/>
  <c r="BD434" i="1"/>
  <c r="AT434" i="1"/>
  <c r="AR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J434" i="1"/>
  <c r="H434" i="1"/>
  <c r="BO433" i="1"/>
  <c r="BN433" i="1"/>
  <c r="BL433" i="1"/>
  <c r="BK433" i="1"/>
  <c r="BJ433" i="1"/>
  <c r="BI433" i="1"/>
  <c r="BH433" i="1"/>
  <c r="BG433" i="1"/>
  <c r="BF433" i="1"/>
  <c r="BE433" i="1"/>
  <c r="BD433" i="1"/>
  <c r="AT433" i="1"/>
  <c r="AR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J433" i="1"/>
  <c r="H433" i="1"/>
  <c r="BO432" i="1"/>
  <c r="BN432" i="1"/>
  <c r="BL432" i="1"/>
  <c r="BK432" i="1"/>
  <c r="BJ432" i="1"/>
  <c r="BI432" i="1"/>
  <c r="BH432" i="1"/>
  <c r="BG432" i="1"/>
  <c r="BF432" i="1"/>
  <c r="BE432" i="1"/>
  <c r="BD432" i="1"/>
  <c r="AT432" i="1"/>
  <c r="AR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J432" i="1"/>
  <c r="H432" i="1"/>
  <c r="BO431" i="1"/>
  <c r="BN431" i="1"/>
  <c r="BL431" i="1"/>
  <c r="BK431" i="1"/>
  <c r="BJ431" i="1"/>
  <c r="BI431" i="1"/>
  <c r="BH431" i="1"/>
  <c r="BG431" i="1"/>
  <c r="BF431" i="1"/>
  <c r="BE431" i="1"/>
  <c r="BD431" i="1"/>
  <c r="AT431" i="1"/>
  <c r="AR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J431" i="1"/>
  <c r="H431" i="1"/>
  <c r="BO430" i="1"/>
  <c r="BN430" i="1"/>
  <c r="BL430" i="1"/>
  <c r="BK430" i="1"/>
  <c r="BJ430" i="1"/>
  <c r="BI430" i="1"/>
  <c r="BH430" i="1"/>
  <c r="BG430" i="1"/>
  <c r="BF430" i="1"/>
  <c r="BE430" i="1"/>
  <c r="BD430" i="1"/>
  <c r="AT430" i="1"/>
  <c r="AR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J430" i="1"/>
  <c r="H430" i="1"/>
  <c r="BO429" i="1"/>
  <c r="BN429" i="1"/>
  <c r="BL429" i="1"/>
  <c r="BK429" i="1"/>
  <c r="BJ429" i="1"/>
  <c r="BI429" i="1"/>
  <c r="BH429" i="1"/>
  <c r="BG429" i="1"/>
  <c r="BF429" i="1"/>
  <c r="BE429" i="1"/>
  <c r="BD429" i="1"/>
  <c r="AT429" i="1"/>
  <c r="AR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J429" i="1"/>
  <c r="H429" i="1"/>
  <c r="BO428" i="1"/>
  <c r="BN428" i="1"/>
  <c r="BL428" i="1"/>
  <c r="BK428" i="1"/>
  <c r="BJ428" i="1"/>
  <c r="BI428" i="1"/>
  <c r="BH428" i="1"/>
  <c r="BG428" i="1"/>
  <c r="BF428" i="1"/>
  <c r="BE428" i="1"/>
  <c r="BD428" i="1"/>
  <c r="AT428" i="1"/>
  <c r="AR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J428" i="1"/>
  <c r="H428" i="1"/>
  <c r="BO427" i="1"/>
  <c r="BN427" i="1"/>
  <c r="BL427" i="1"/>
  <c r="BK427" i="1"/>
  <c r="BJ427" i="1"/>
  <c r="BI427" i="1"/>
  <c r="BH427" i="1"/>
  <c r="BG427" i="1"/>
  <c r="BF427" i="1"/>
  <c r="BE427" i="1"/>
  <c r="BD427" i="1"/>
  <c r="AT427" i="1"/>
  <c r="AR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J427" i="1"/>
  <c r="H427" i="1"/>
  <c r="BO426" i="1"/>
  <c r="BN426" i="1"/>
  <c r="BL426" i="1"/>
  <c r="BK426" i="1"/>
  <c r="BJ426" i="1"/>
  <c r="BI426" i="1"/>
  <c r="BH426" i="1"/>
  <c r="BG426" i="1"/>
  <c r="BF426" i="1"/>
  <c r="BE426" i="1"/>
  <c r="BD426" i="1"/>
  <c r="AT426" i="1"/>
  <c r="AR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J426" i="1"/>
  <c r="H426" i="1"/>
  <c r="BO425" i="1"/>
  <c r="BN425" i="1"/>
  <c r="BL425" i="1"/>
  <c r="BK425" i="1"/>
  <c r="BJ425" i="1"/>
  <c r="BI425" i="1"/>
  <c r="BH425" i="1"/>
  <c r="BG425" i="1"/>
  <c r="BF425" i="1"/>
  <c r="BE425" i="1"/>
  <c r="BD425" i="1"/>
  <c r="AT425" i="1"/>
  <c r="AR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J425" i="1"/>
  <c r="H425" i="1"/>
  <c r="BO424" i="1"/>
  <c r="BN424" i="1"/>
  <c r="BL424" i="1"/>
  <c r="BK424" i="1"/>
  <c r="BJ424" i="1"/>
  <c r="BI424" i="1"/>
  <c r="BH424" i="1"/>
  <c r="BG424" i="1"/>
  <c r="BF424" i="1"/>
  <c r="BE424" i="1"/>
  <c r="BD424" i="1"/>
  <c r="AT424" i="1"/>
  <c r="AR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J424" i="1"/>
  <c r="H424" i="1"/>
  <c r="BO423" i="1"/>
  <c r="BN423" i="1"/>
  <c r="BL423" i="1"/>
  <c r="BK423" i="1"/>
  <c r="BJ423" i="1"/>
  <c r="BI423" i="1"/>
  <c r="BH423" i="1"/>
  <c r="BG423" i="1"/>
  <c r="BF423" i="1"/>
  <c r="BE423" i="1"/>
  <c r="BD423" i="1"/>
  <c r="AT423" i="1"/>
  <c r="AR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J423" i="1"/>
  <c r="H423" i="1"/>
  <c r="BO422" i="1"/>
  <c r="BN422" i="1"/>
  <c r="BL422" i="1"/>
  <c r="BK422" i="1"/>
  <c r="BJ422" i="1"/>
  <c r="BI422" i="1"/>
  <c r="BH422" i="1"/>
  <c r="BG422" i="1"/>
  <c r="BF422" i="1"/>
  <c r="BE422" i="1"/>
  <c r="BD422" i="1"/>
  <c r="AT422" i="1"/>
  <c r="AR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J422" i="1"/>
  <c r="H422" i="1"/>
  <c r="BO421" i="1"/>
  <c r="BN421" i="1"/>
  <c r="BL421" i="1"/>
  <c r="BK421" i="1"/>
  <c r="BJ421" i="1"/>
  <c r="BI421" i="1"/>
  <c r="BH421" i="1"/>
  <c r="BG421" i="1"/>
  <c r="BF421" i="1"/>
  <c r="BE421" i="1"/>
  <c r="BD421" i="1"/>
  <c r="AT421" i="1"/>
  <c r="AR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J421" i="1"/>
  <c r="H421" i="1"/>
  <c r="BO420" i="1"/>
  <c r="BN420" i="1"/>
  <c r="BL420" i="1"/>
  <c r="BK420" i="1"/>
  <c r="BJ420" i="1"/>
  <c r="BI420" i="1"/>
  <c r="BH420" i="1"/>
  <c r="BG420" i="1"/>
  <c r="BF420" i="1"/>
  <c r="BE420" i="1"/>
  <c r="BD420" i="1"/>
  <c r="AT420" i="1"/>
  <c r="AR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J420" i="1"/>
  <c r="H420" i="1"/>
  <c r="BO419" i="1"/>
  <c r="BN419" i="1"/>
  <c r="BL419" i="1"/>
  <c r="BK419" i="1"/>
  <c r="BJ419" i="1"/>
  <c r="BI419" i="1"/>
  <c r="BH419" i="1"/>
  <c r="BG419" i="1"/>
  <c r="BF419" i="1"/>
  <c r="BE419" i="1"/>
  <c r="BD419" i="1"/>
  <c r="AT419" i="1"/>
  <c r="AR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J419" i="1"/>
  <c r="H419" i="1"/>
  <c r="BO418" i="1"/>
  <c r="BN418" i="1"/>
  <c r="BL418" i="1"/>
  <c r="BK418" i="1"/>
  <c r="BJ418" i="1"/>
  <c r="BI418" i="1"/>
  <c r="BH418" i="1"/>
  <c r="BG418" i="1"/>
  <c r="BF418" i="1"/>
  <c r="BE418" i="1"/>
  <c r="BD418" i="1"/>
  <c r="AT418" i="1"/>
  <c r="AR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J418" i="1"/>
  <c r="H418" i="1"/>
  <c r="BO417" i="1"/>
  <c r="BN417" i="1"/>
  <c r="BL417" i="1"/>
  <c r="BK417" i="1"/>
  <c r="BJ417" i="1"/>
  <c r="BI417" i="1"/>
  <c r="BH417" i="1"/>
  <c r="BG417" i="1"/>
  <c r="BF417" i="1"/>
  <c r="BE417" i="1"/>
  <c r="BD417" i="1"/>
  <c r="AT417" i="1"/>
  <c r="AR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J417" i="1"/>
  <c r="H417" i="1"/>
  <c r="BO416" i="1"/>
  <c r="BN416" i="1"/>
  <c r="BL416" i="1"/>
  <c r="BK416" i="1"/>
  <c r="BJ416" i="1"/>
  <c r="BI416" i="1"/>
  <c r="BH416" i="1"/>
  <c r="BG416" i="1"/>
  <c r="BF416" i="1"/>
  <c r="BE416" i="1"/>
  <c r="BD416" i="1"/>
  <c r="AT416" i="1"/>
  <c r="AR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J416" i="1"/>
  <c r="H416" i="1"/>
  <c r="BO415" i="1"/>
  <c r="BN415" i="1"/>
  <c r="BL415" i="1"/>
  <c r="BK415" i="1"/>
  <c r="BJ415" i="1"/>
  <c r="BI415" i="1"/>
  <c r="BH415" i="1"/>
  <c r="BG415" i="1"/>
  <c r="BF415" i="1"/>
  <c r="BE415" i="1"/>
  <c r="BD415" i="1"/>
  <c r="AT415" i="1"/>
  <c r="AR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J415" i="1"/>
  <c r="H415" i="1"/>
  <c r="BO414" i="1"/>
  <c r="BN414" i="1"/>
  <c r="BL414" i="1"/>
  <c r="BK414" i="1"/>
  <c r="BJ414" i="1"/>
  <c r="BI414" i="1"/>
  <c r="BH414" i="1"/>
  <c r="BG414" i="1"/>
  <c r="BF414" i="1"/>
  <c r="BE414" i="1"/>
  <c r="BD414" i="1"/>
  <c r="AT414" i="1"/>
  <c r="AR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J414" i="1"/>
  <c r="H414" i="1"/>
  <c r="BO413" i="1"/>
  <c r="BN413" i="1"/>
  <c r="BL413" i="1"/>
  <c r="BK413" i="1"/>
  <c r="BJ413" i="1"/>
  <c r="BI413" i="1"/>
  <c r="BH413" i="1"/>
  <c r="BG413" i="1"/>
  <c r="BF413" i="1"/>
  <c r="BE413" i="1"/>
  <c r="BD413" i="1"/>
  <c r="AT413" i="1"/>
  <c r="AR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J413" i="1"/>
  <c r="H413" i="1"/>
  <c r="BO412" i="1"/>
  <c r="BN412" i="1"/>
  <c r="BL412" i="1"/>
  <c r="BK412" i="1"/>
  <c r="BJ412" i="1"/>
  <c r="BI412" i="1"/>
  <c r="BH412" i="1"/>
  <c r="BG412" i="1"/>
  <c r="BF412" i="1"/>
  <c r="BE412" i="1"/>
  <c r="BD412" i="1"/>
  <c r="AT412" i="1"/>
  <c r="AR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J412" i="1"/>
  <c r="H412" i="1"/>
  <c r="BO411" i="1"/>
  <c r="BN411" i="1"/>
  <c r="BL411" i="1"/>
  <c r="BK411" i="1"/>
  <c r="BJ411" i="1"/>
  <c r="BI411" i="1"/>
  <c r="BH411" i="1"/>
  <c r="BG411" i="1"/>
  <c r="BF411" i="1"/>
  <c r="BE411" i="1"/>
  <c r="BD411" i="1"/>
  <c r="AT411" i="1"/>
  <c r="AR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J411" i="1"/>
  <c r="H411" i="1"/>
  <c r="BO410" i="1"/>
  <c r="BN410" i="1"/>
  <c r="BL410" i="1"/>
  <c r="BK410" i="1"/>
  <c r="BJ410" i="1"/>
  <c r="BI410" i="1"/>
  <c r="BH410" i="1"/>
  <c r="BG410" i="1"/>
  <c r="BF410" i="1"/>
  <c r="BE410" i="1"/>
  <c r="BD410" i="1"/>
  <c r="AT410" i="1"/>
  <c r="AR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J410" i="1"/>
  <c r="H410" i="1"/>
  <c r="BO409" i="1"/>
  <c r="BN409" i="1"/>
  <c r="BL409" i="1"/>
  <c r="BK409" i="1"/>
  <c r="BJ409" i="1"/>
  <c r="BI409" i="1"/>
  <c r="BH409" i="1"/>
  <c r="BG409" i="1"/>
  <c r="BF409" i="1"/>
  <c r="BE409" i="1"/>
  <c r="BD409" i="1"/>
  <c r="AT409" i="1"/>
  <c r="AR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J409" i="1"/>
  <c r="H409" i="1"/>
  <c r="BO408" i="1"/>
  <c r="BN408" i="1"/>
  <c r="BL408" i="1"/>
  <c r="BK408" i="1"/>
  <c r="BJ408" i="1"/>
  <c r="BI408" i="1"/>
  <c r="BH408" i="1"/>
  <c r="BG408" i="1"/>
  <c r="BF408" i="1"/>
  <c r="BE408" i="1"/>
  <c r="BD408" i="1"/>
  <c r="AT408" i="1"/>
  <c r="AR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J408" i="1"/>
  <c r="H408" i="1"/>
  <c r="BO407" i="1"/>
  <c r="BN407" i="1"/>
  <c r="BL407" i="1"/>
  <c r="BK407" i="1"/>
  <c r="BJ407" i="1"/>
  <c r="BI407" i="1"/>
  <c r="BH407" i="1"/>
  <c r="BG407" i="1"/>
  <c r="BF407" i="1"/>
  <c r="BE407" i="1"/>
  <c r="BD407" i="1"/>
  <c r="AT407" i="1"/>
  <c r="AR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J407" i="1"/>
  <c r="H407" i="1"/>
  <c r="BO406" i="1"/>
  <c r="BN406" i="1"/>
  <c r="BL406" i="1"/>
  <c r="BK406" i="1"/>
  <c r="BJ406" i="1"/>
  <c r="BI406" i="1"/>
  <c r="BH406" i="1"/>
  <c r="BG406" i="1"/>
  <c r="BF406" i="1"/>
  <c r="BE406" i="1"/>
  <c r="BD406" i="1"/>
  <c r="AT406" i="1"/>
  <c r="AR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J406" i="1"/>
  <c r="H406" i="1"/>
  <c r="BO405" i="1"/>
  <c r="BN405" i="1"/>
  <c r="BL405" i="1"/>
  <c r="BK405" i="1"/>
  <c r="BJ405" i="1"/>
  <c r="BI405" i="1"/>
  <c r="BH405" i="1"/>
  <c r="BG405" i="1"/>
  <c r="BF405" i="1"/>
  <c r="BE405" i="1"/>
  <c r="BD405" i="1"/>
  <c r="AT405" i="1"/>
  <c r="AR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J405" i="1"/>
  <c r="H405" i="1"/>
  <c r="BO404" i="1"/>
  <c r="BN404" i="1"/>
  <c r="BL404" i="1"/>
  <c r="BK404" i="1"/>
  <c r="BJ404" i="1"/>
  <c r="BI404" i="1"/>
  <c r="BH404" i="1"/>
  <c r="BG404" i="1"/>
  <c r="BF404" i="1"/>
  <c r="BE404" i="1"/>
  <c r="BD404" i="1"/>
  <c r="AT404" i="1"/>
  <c r="AR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J404" i="1"/>
  <c r="H404" i="1"/>
  <c r="BO403" i="1"/>
  <c r="BN403" i="1"/>
  <c r="BL403" i="1"/>
  <c r="BK403" i="1"/>
  <c r="BJ403" i="1"/>
  <c r="BI403" i="1"/>
  <c r="BH403" i="1"/>
  <c r="BG403" i="1"/>
  <c r="BF403" i="1"/>
  <c r="BE403" i="1"/>
  <c r="BD403" i="1"/>
  <c r="AT403" i="1"/>
  <c r="AR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J403" i="1"/>
  <c r="H403" i="1"/>
  <c r="BO402" i="1"/>
  <c r="BN402" i="1"/>
  <c r="BL402" i="1"/>
  <c r="BK402" i="1"/>
  <c r="BJ402" i="1"/>
  <c r="BI402" i="1"/>
  <c r="BH402" i="1"/>
  <c r="BG402" i="1"/>
  <c r="BF402" i="1"/>
  <c r="BE402" i="1"/>
  <c r="BD402" i="1"/>
  <c r="AT402" i="1"/>
  <c r="AR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J402" i="1"/>
  <c r="H402" i="1"/>
  <c r="BO401" i="1"/>
  <c r="BN401" i="1"/>
  <c r="BL401" i="1"/>
  <c r="BK401" i="1"/>
  <c r="BJ401" i="1"/>
  <c r="BI401" i="1"/>
  <c r="BH401" i="1"/>
  <c r="BG401" i="1"/>
  <c r="BF401" i="1"/>
  <c r="BE401" i="1"/>
  <c r="BD401" i="1"/>
  <c r="AT401" i="1"/>
  <c r="AR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J401" i="1"/>
  <c r="H401" i="1"/>
  <c r="BO400" i="1"/>
  <c r="BN400" i="1"/>
  <c r="BL400" i="1"/>
  <c r="BK400" i="1"/>
  <c r="BJ400" i="1"/>
  <c r="BI400" i="1"/>
  <c r="BH400" i="1"/>
  <c r="BG400" i="1"/>
  <c r="BF400" i="1"/>
  <c r="BE400" i="1"/>
  <c r="BD400" i="1"/>
  <c r="AT400" i="1"/>
  <c r="AR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J400" i="1"/>
  <c r="H400" i="1"/>
  <c r="BO399" i="1"/>
  <c r="BN399" i="1"/>
  <c r="BL399" i="1"/>
  <c r="BK399" i="1"/>
  <c r="BJ399" i="1"/>
  <c r="BI399" i="1"/>
  <c r="BH399" i="1"/>
  <c r="BG399" i="1"/>
  <c r="BF399" i="1"/>
  <c r="BE399" i="1"/>
  <c r="BD399" i="1"/>
  <c r="AT399" i="1"/>
  <c r="AR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J399" i="1"/>
  <c r="H399" i="1"/>
  <c r="BO398" i="1"/>
  <c r="BN398" i="1"/>
  <c r="BL398" i="1"/>
  <c r="BK398" i="1"/>
  <c r="BJ398" i="1"/>
  <c r="BI398" i="1"/>
  <c r="BH398" i="1"/>
  <c r="BG398" i="1"/>
  <c r="BF398" i="1"/>
  <c r="BE398" i="1"/>
  <c r="BD398" i="1"/>
  <c r="AT398" i="1"/>
  <c r="AR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J398" i="1"/>
  <c r="H398" i="1"/>
  <c r="BO397" i="1"/>
  <c r="BN397" i="1"/>
  <c r="BL397" i="1"/>
  <c r="BK397" i="1"/>
  <c r="BJ397" i="1"/>
  <c r="BI397" i="1"/>
  <c r="BH397" i="1"/>
  <c r="BG397" i="1"/>
  <c r="BF397" i="1"/>
  <c r="BE397" i="1"/>
  <c r="BD397" i="1"/>
  <c r="AT397" i="1"/>
  <c r="AR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J397" i="1"/>
  <c r="H397" i="1"/>
  <c r="BO396" i="1"/>
  <c r="BN396" i="1"/>
  <c r="BL396" i="1"/>
  <c r="BK396" i="1"/>
  <c r="BJ396" i="1"/>
  <c r="BI396" i="1"/>
  <c r="BH396" i="1"/>
  <c r="BG396" i="1"/>
  <c r="BF396" i="1"/>
  <c r="BE396" i="1"/>
  <c r="BD396" i="1"/>
  <c r="AT396" i="1"/>
  <c r="AR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J396" i="1"/>
  <c r="H396" i="1"/>
  <c r="BO395" i="1"/>
  <c r="BN395" i="1"/>
  <c r="BL395" i="1"/>
  <c r="BK395" i="1"/>
  <c r="BJ395" i="1"/>
  <c r="BI395" i="1"/>
  <c r="BH395" i="1"/>
  <c r="BG395" i="1"/>
  <c r="BF395" i="1"/>
  <c r="BE395" i="1"/>
  <c r="BD395" i="1"/>
  <c r="AT395" i="1"/>
  <c r="AR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J395" i="1"/>
  <c r="H395" i="1"/>
  <c r="BO394" i="1"/>
  <c r="BN394" i="1"/>
  <c r="BL394" i="1"/>
  <c r="BK394" i="1"/>
  <c r="BJ394" i="1"/>
  <c r="BI394" i="1"/>
  <c r="BH394" i="1"/>
  <c r="BG394" i="1"/>
  <c r="BF394" i="1"/>
  <c r="BE394" i="1"/>
  <c r="BD394" i="1"/>
  <c r="AT394" i="1"/>
  <c r="AR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J394" i="1"/>
  <c r="H394" i="1"/>
  <c r="BO393" i="1"/>
  <c r="BN393" i="1"/>
  <c r="BL393" i="1"/>
  <c r="BK393" i="1"/>
  <c r="BJ393" i="1"/>
  <c r="BI393" i="1"/>
  <c r="BH393" i="1"/>
  <c r="BG393" i="1"/>
  <c r="BF393" i="1"/>
  <c r="BE393" i="1"/>
  <c r="BD393" i="1"/>
  <c r="AT393" i="1"/>
  <c r="AR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J393" i="1"/>
  <c r="H393" i="1"/>
  <c r="BO392" i="1"/>
  <c r="BN392" i="1"/>
  <c r="BL392" i="1"/>
  <c r="BK392" i="1"/>
  <c r="BJ392" i="1"/>
  <c r="BI392" i="1"/>
  <c r="BH392" i="1"/>
  <c r="BG392" i="1"/>
  <c r="BF392" i="1"/>
  <c r="BE392" i="1"/>
  <c r="BD392" i="1"/>
  <c r="AT392" i="1"/>
  <c r="AR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J392" i="1"/>
  <c r="H392" i="1"/>
  <c r="BO391" i="1"/>
  <c r="BN391" i="1"/>
  <c r="BL391" i="1"/>
  <c r="BK391" i="1"/>
  <c r="BJ391" i="1"/>
  <c r="BI391" i="1"/>
  <c r="BH391" i="1"/>
  <c r="BG391" i="1"/>
  <c r="BF391" i="1"/>
  <c r="BE391" i="1"/>
  <c r="BD391" i="1"/>
  <c r="AT391" i="1"/>
  <c r="AR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J391" i="1"/>
  <c r="H391" i="1"/>
  <c r="BO390" i="1"/>
  <c r="BN390" i="1"/>
  <c r="BL390" i="1"/>
  <c r="BK390" i="1"/>
  <c r="BJ390" i="1"/>
  <c r="BI390" i="1"/>
  <c r="BH390" i="1"/>
  <c r="BG390" i="1"/>
  <c r="BF390" i="1"/>
  <c r="BE390" i="1"/>
  <c r="BD390" i="1"/>
  <c r="AT390" i="1"/>
  <c r="AR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J390" i="1"/>
  <c r="H390" i="1"/>
  <c r="BO389" i="1"/>
  <c r="BN389" i="1"/>
  <c r="BL389" i="1"/>
  <c r="BK389" i="1"/>
  <c r="BJ389" i="1"/>
  <c r="BI389" i="1"/>
  <c r="BH389" i="1"/>
  <c r="BG389" i="1"/>
  <c r="BF389" i="1"/>
  <c r="BE389" i="1"/>
  <c r="BD389" i="1"/>
  <c r="AT389" i="1"/>
  <c r="AR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J389" i="1"/>
  <c r="H389" i="1"/>
  <c r="BO388" i="1"/>
  <c r="BN388" i="1"/>
  <c r="BL388" i="1"/>
  <c r="BK388" i="1"/>
  <c r="BJ388" i="1"/>
  <c r="BI388" i="1"/>
  <c r="BH388" i="1"/>
  <c r="BG388" i="1"/>
  <c r="BF388" i="1"/>
  <c r="BE388" i="1"/>
  <c r="BD388" i="1"/>
  <c r="AT388" i="1"/>
  <c r="AR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J388" i="1"/>
  <c r="H388" i="1"/>
  <c r="BO387" i="1"/>
  <c r="BN387" i="1"/>
  <c r="BL387" i="1"/>
  <c r="BK387" i="1"/>
  <c r="BJ387" i="1"/>
  <c r="BI387" i="1"/>
  <c r="BH387" i="1"/>
  <c r="BG387" i="1"/>
  <c r="BF387" i="1"/>
  <c r="BE387" i="1"/>
  <c r="BD387" i="1"/>
  <c r="AT387" i="1"/>
  <c r="AR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J387" i="1"/>
  <c r="H387" i="1"/>
  <c r="BO386" i="1"/>
  <c r="BN386" i="1"/>
  <c r="BL386" i="1"/>
  <c r="BK386" i="1"/>
  <c r="BJ386" i="1"/>
  <c r="BI386" i="1"/>
  <c r="BH386" i="1"/>
  <c r="BG386" i="1"/>
  <c r="BF386" i="1"/>
  <c r="BE386" i="1"/>
  <c r="BD386" i="1"/>
  <c r="AT386" i="1"/>
  <c r="AR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J386" i="1"/>
  <c r="H386" i="1"/>
  <c r="BO385" i="1"/>
  <c r="BN385" i="1"/>
  <c r="BL385" i="1"/>
  <c r="BK385" i="1"/>
  <c r="BJ385" i="1"/>
  <c r="BI385" i="1"/>
  <c r="BH385" i="1"/>
  <c r="BG385" i="1"/>
  <c r="BF385" i="1"/>
  <c r="BE385" i="1"/>
  <c r="BD385" i="1"/>
  <c r="AT385" i="1"/>
  <c r="AR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J385" i="1"/>
  <c r="H385" i="1"/>
  <c r="BO384" i="1"/>
  <c r="BN384" i="1"/>
  <c r="BL384" i="1"/>
  <c r="BK384" i="1"/>
  <c r="BJ384" i="1"/>
  <c r="BI384" i="1"/>
  <c r="BH384" i="1"/>
  <c r="BG384" i="1"/>
  <c r="BF384" i="1"/>
  <c r="BE384" i="1"/>
  <c r="BD384" i="1"/>
  <c r="AT384" i="1"/>
  <c r="AR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J384" i="1"/>
  <c r="H384" i="1"/>
  <c r="BO383" i="1"/>
  <c r="BN383" i="1"/>
  <c r="BL383" i="1"/>
  <c r="BK383" i="1"/>
  <c r="BJ383" i="1"/>
  <c r="BI383" i="1"/>
  <c r="BH383" i="1"/>
  <c r="BG383" i="1"/>
  <c r="BF383" i="1"/>
  <c r="BE383" i="1"/>
  <c r="BD383" i="1"/>
  <c r="AT383" i="1"/>
  <c r="AR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J383" i="1"/>
  <c r="H383" i="1"/>
  <c r="BO382" i="1"/>
  <c r="BN382" i="1"/>
  <c r="BL382" i="1"/>
  <c r="BK382" i="1"/>
  <c r="BJ382" i="1"/>
  <c r="BI382" i="1"/>
  <c r="BH382" i="1"/>
  <c r="BG382" i="1"/>
  <c r="BF382" i="1"/>
  <c r="BE382" i="1"/>
  <c r="BD382" i="1"/>
  <c r="AT382" i="1"/>
  <c r="AR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J382" i="1"/>
  <c r="H382" i="1"/>
  <c r="BO381" i="1"/>
  <c r="BN381" i="1"/>
  <c r="BL381" i="1"/>
  <c r="BK381" i="1"/>
  <c r="BJ381" i="1"/>
  <c r="BI381" i="1"/>
  <c r="BH381" i="1"/>
  <c r="BG381" i="1"/>
  <c r="BF381" i="1"/>
  <c r="BE381" i="1"/>
  <c r="BD381" i="1"/>
  <c r="AT381" i="1"/>
  <c r="AR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J381" i="1"/>
  <c r="H381" i="1"/>
  <c r="BO380" i="1"/>
  <c r="BN380" i="1"/>
  <c r="BL380" i="1"/>
  <c r="BK380" i="1"/>
  <c r="BJ380" i="1"/>
  <c r="BI380" i="1"/>
  <c r="BH380" i="1"/>
  <c r="BG380" i="1"/>
  <c r="BF380" i="1"/>
  <c r="BE380" i="1"/>
  <c r="BD380" i="1"/>
  <c r="AT380" i="1"/>
  <c r="AR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J380" i="1"/>
  <c r="H380" i="1"/>
  <c r="BO379" i="1"/>
  <c r="BN379" i="1"/>
  <c r="BL379" i="1"/>
  <c r="BK379" i="1"/>
  <c r="BJ379" i="1"/>
  <c r="BI379" i="1"/>
  <c r="BH379" i="1"/>
  <c r="BG379" i="1"/>
  <c r="BF379" i="1"/>
  <c r="BE379" i="1"/>
  <c r="BD379" i="1"/>
  <c r="AT379" i="1"/>
  <c r="AR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J379" i="1"/>
  <c r="H379" i="1"/>
  <c r="BO378" i="1"/>
  <c r="BN378" i="1"/>
  <c r="BL378" i="1"/>
  <c r="BK378" i="1"/>
  <c r="BJ378" i="1"/>
  <c r="BI378" i="1"/>
  <c r="BH378" i="1"/>
  <c r="BG378" i="1"/>
  <c r="BF378" i="1"/>
  <c r="BE378" i="1"/>
  <c r="BD378" i="1"/>
  <c r="AT378" i="1"/>
  <c r="AR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J378" i="1"/>
  <c r="H378" i="1"/>
  <c r="BO377" i="1"/>
  <c r="BN377" i="1"/>
  <c r="BL377" i="1"/>
  <c r="BK377" i="1"/>
  <c r="BJ377" i="1"/>
  <c r="BI377" i="1"/>
  <c r="BH377" i="1"/>
  <c r="BG377" i="1"/>
  <c r="BF377" i="1"/>
  <c r="BE377" i="1"/>
  <c r="BD377" i="1"/>
  <c r="AT377" i="1"/>
  <c r="AR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J377" i="1"/>
  <c r="H377" i="1"/>
  <c r="BO376" i="1"/>
  <c r="BN376" i="1"/>
  <c r="BL376" i="1"/>
  <c r="BK376" i="1"/>
  <c r="BJ376" i="1"/>
  <c r="BI376" i="1"/>
  <c r="BH376" i="1"/>
  <c r="BG376" i="1"/>
  <c r="BF376" i="1"/>
  <c r="BE376" i="1"/>
  <c r="BD376" i="1"/>
  <c r="AT376" i="1"/>
  <c r="AR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J376" i="1"/>
  <c r="H376" i="1"/>
  <c r="BO375" i="1"/>
  <c r="BN375" i="1"/>
  <c r="BL375" i="1"/>
  <c r="BK375" i="1"/>
  <c r="BJ375" i="1"/>
  <c r="BI375" i="1"/>
  <c r="BH375" i="1"/>
  <c r="BG375" i="1"/>
  <c r="BF375" i="1"/>
  <c r="BE375" i="1"/>
  <c r="BD375" i="1"/>
  <c r="AT375" i="1"/>
  <c r="AR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J375" i="1"/>
  <c r="H375" i="1"/>
  <c r="BO374" i="1"/>
  <c r="BN374" i="1"/>
  <c r="BL374" i="1"/>
  <c r="BK374" i="1"/>
  <c r="BJ374" i="1"/>
  <c r="BI374" i="1"/>
  <c r="BH374" i="1"/>
  <c r="BG374" i="1"/>
  <c r="BF374" i="1"/>
  <c r="BE374" i="1"/>
  <c r="BD374" i="1"/>
  <c r="AT374" i="1"/>
  <c r="AR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J374" i="1"/>
  <c r="H374" i="1"/>
  <c r="BO373" i="1"/>
  <c r="BN373" i="1"/>
  <c r="BL373" i="1"/>
  <c r="BK373" i="1"/>
  <c r="BJ373" i="1"/>
  <c r="BI373" i="1"/>
  <c r="BH373" i="1"/>
  <c r="BG373" i="1"/>
  <c r="BF373" i="1"/>
  <c r="BE373" i="1"/>
  <c r="BD373" i="1"/>
  <c r="AT373" i="1"/>
  <c r="AR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J373" i="1"/>
  <c r="H373" i="1"/>
  <c r="BO372" i="1"/>
  <c r="BN372" i="1"/>
  <c r="BL372" i="1"/>
  <c r="BK372" i="1"/>
  <c r="BJ372" i="1"/>
  <c r="BI372" i="1"/>
  <c r="BH372" i="1"/>
  <c r="BG372" i="1"/>
  <c r="BF372" i="1"/>
  <c r="BE372" i="1"/>
  <c r="BD372" i="1"/>
  <c r="AT372" i="1"/>
  <c r="AR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J372" i="1"/>
  <c r="H372" i="1"/>
  <c r="BO371" i="1"/>
  <c r="BN371" i="1"/>
  <c r="BL371" i="1"/>
  <c r="BK371" i="1"/>
  <c r="BJ371" i="1"/>
  <c r="BI371" i="1"/>
  <c r="BH371" i="1"/>
  <c r="BG371" i="1"/>
  <c r="BF371" i="1"/>
  <c r="BE371" i="1"/>
  <c r="BD371" i="1"/>
  <c r="AT371" i="1"/>
  <c r="AR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J371" i="1"/>
  <c r="H371" i="1"/>
  <c r="BO370" i="1"/>
  <c r="BN370" i="1"/>
  <c r="BL370" i="1"/>
  <c r="BK370" i="1"/>
  <c r="BJ370" i="1"/>
  <c r="BI370" i="1"/>
  <c r="BH370" i="1"/>
  <c r="BG370" i="1"/>
  <c r="BF370" i="1"/>
  <c r="BE370" i="1"/>
  <c r="BD370" i="1"/>
  <c r="AT370" i="1"/>
  <c r="AR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J370" i="1"/>
  <c r="H370" i="1"/>
  <c r="BO369" i="1"/>
  <c r="BN369" i="1"/>
  <c r="BL369" i="1"/>
  <c r="BK369" i="1"/>
  <c r="BJ369" i="1"/>
  <c r="BI369" i="1"/>
  <c r="BH369" i="1"/>
  <c r="BG369" i="1"/>
  <c r="BF369" i="1"/>
  <c r="BE369" i="1"/>
  <c r="BD369" i="1"/>
  <c r="AT369" i="1"/>
  <c r="AR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J369" i="1"/>
  <c r="H369" i="1"/>
  <c r="BO368" i="1"/>
  <c r="BN368" i="1"/>
  <c r="BL368" i="1"/>
  <c r="BK368" i="1"/>
  <c r="BJ368" i="1"/>
  <c r="BI368" i="1"/>
  <c r="BH368" i="1"/>
  <c r="BG368" i="1"/>
  <c r="BF368" i="1"/>
  <c r="BE368" i="1"/>
  <c r="BD368" i="1"/>
  <c r="AT368" i="1"/>
  <c r="AR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J368" i="1"/>
  <c r="H368" i="1"/>
  <c r="BO367" i="1"/>
  <c r="BN367" i="1"/>
  <c r="BL367" i="1"/>
  <c r="BK367" i="1"/>
  <c r="BJ367" i="1"/>
  <c r="BI367" i="1"/>
  <c r="BH367" i="1"/>
  <c r="BG367" i="1"/>
  <c r="BF367" i="1"/>
  <c r="BE367" i="1"/>
  <c r="BD367" i="1"/>
  <c r="AT367" i="1"/>
  <c r="AR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J367" i="1"/>
  <c r="H367" i="1"/>
  <c r="BO366" i="1"/>
  <c r="BN366" i="1"/>
  <c r="BL366" i="1"/>
  <c r="BK366" i="1"/>
  <c r="BJ366" i="1"/>
  <c r="BI366" i="1"/>
  <c r="BH366" i="1"/>
  <c r="BG366" i="1"/>
  <c r="BF366" i="1"/>
  <c r="BE366" i="1"/>
  <c r="BD366" i="1"/>
  <c r="AT366" i="1"/>
  <c r="AR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J366" i="1"/>
  <c r="H366" i="1"/>
  <c r="BO365" i="1"/>
  <c r="BN365" i="1"/>
  <c r="BL365" i="1"/>
  <c r="BK365" i="1"/>
  <c r="BJ365" i="1"/>
  <c r="BI365" i="1"/>
  <c r="BH365" i="1"/>
  <c r="BG365" i="1"/>
  <c r="BF365" i="1"/>
  <c r="BE365" i="1"/>
  <c r="BD365" i="1"/>
  <c r="AT365" i="1"/>
  <c r="AR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J365" i="1"/>
  <c r="H365" i="1"/>
  <c r="BO364" i="1"/>
  <c r="BN364" i="1"/>
  <c r="BL364" i="1"/>
  <c r="BK364" i="1"/>
  <c r="BJ364" i="1"/>
  <c r="BI364" i="1"/>
  <c r="BH364" i="1"/>
  <c r="BG364" i="1"/>
  <c r="BF364" i="1"/>
  <c r="BE364" i="1"/>
  <c r="BD364" i="1"/>
  <c r="AT364" i="1"/>
  <c r="AR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J364" i="1"/>
  <c r="H364" i="1"/>
  <c r="BO363" i="1"/>
  <c r="BN363" i="1"/>
  <c r="BL363" i="1"/>
  <c r="BK363" i="1"/>
  <c r="BJ363" i="1"/>
  <c r="BI363" i="1"/>
  <c r="BH363" i="1"/>
  <c r="BG363" i="1"/>
  <c r="BF363" i="1"/>
  <c r="BE363" i="1"/>
  <c r="BD363" i="1"/>
  <c r="AT363" i="1"/>
  <c r="AR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J363" i="1"/>
  <c r="H363" i="1"/>
  <c r="BO362" i="1"/>
  <c r="BN362" i="1"/>
  <c r="BL362" i="1"/>
  <c r="BK362" i="1"/>
  <c r="BJ362" i="1"/>
  <c r="BI362" i="1"/>
  <c r="BH362" i="1"/>
  <c r="BG362" i="1"/>
  <c r="BF362" i="1"/>
  <c r="BE362" i="1"/>
  <c r="BD362" i="1"/>
  <c r="AT362" i="1"/>
  <c r="AR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J362" i="1"/>
  <c r="H362" i="1"/>
  <c r="BO361" i="1"/>
  <c r="BN361" i="1"/>
  <c r="BL361" i="1"/>
  <c r="BK361" i="1"/>
  <c r="BJ361" i="1"/>
  <c r="BI361" i="1"/>
  <c r="BH361" i="1"/>
  <c r="BG361" i="1"/>
  <c r="BF361" i="1"/>
  <c r="BE361" i="1"/>
  <c r="BD361" i="1"/>
  <c r="AT361" i="1"/>
  <c r="AR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J361" i="1"/>
  <c r="H361" i="1"/>
  <c r="BO360" i="1"/>
  <c r="BN360" i="1"/>
  <c r="BL360" i="1"/>
  <c r="BK360" i="1"/>
  <c r="BJ360" i="1"/>
  <c r="BI360" i="1"/>
  <c r="BH360" i="1"/>
  <c r="BG360" i="1"/>
  <c r="BF360" i="1"/>
  <c r="BE360" i="1"/>
  <c r="BD360" i="1"/>
  <c r="AT360" i="1"/>
  <c r="AR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J360" i="1"/>
  <c r="H360" i="1"/>
  <c r="BO359" i="1"/>
  <c r="BN359" i="1"/>
  <c r="BL359" i="1"/>
  <c r="BK359" i="1"/>
  <c r="BJ359" i="1"/>
  <c r="BI359" i="1"/>
  <c r="BH359" i="1"/>
  <c r="BG359" i="1"/>
  <c r="BF359" i="1"/>
  <c r="BE359" i="1"/>
  <c r="BD359" i="1"/>
  <c r="AT359" i="1"/>
  <c r="AR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J359" i="1"/>
  <c r="H359" i="1"/>
  <c r="BO358" i="1"/>
  <c r="BN358" i="1"/>
  <c r="BL358" i="1"/>
  <c r="BK358" i="1"/>
  <c r="BJ358" i="1"/>
  <c r="BI358" i="1"/>
  <c r="BH358" i="1"/>
  <c r="BG358" i="1"/>
  <c r="BF358" i="1"/>
  <c r="BE358" i="1"/>
  <c r="BD358" i="1"/>
  <c r="AT358" i="1"/>
  <c r="AR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J358" i="1"/>
  <c r="H358" i="1"/>
  <c r="BO357" i="1"/>
  <c r="BN357" i="1"/>
  <c r="BL357" i="1"/>
  <c r="BK357" i="1"/>
  <c r="BJ357" i="1"/>
  <c r="BI357" i="1"/>
  <c r="BH357" i="1"/>
  <c r="BG357" i="1"/>
  <c r="BF357" i="1"/>
  <c r="BE357" i="1"/>
  <c r="BD357" i="1"/>
  <c r="AT357" i="1"/>
  <c r="AR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J357" i="1"/>
  <c r="H357" i="1"/>
  <c r="BO356" i="1"/>
  <c r="BN356" i="1"/>
  <c r="BL356" i="1"/>
  <c r="BK356" i="1"/>
  <c r="BJ356" i="1"/>
  <c r="BI356" i="1"/>
  <c r="BH356" i="1"/>
  <c r="BG356" i="1"/>
  <c r="BF356" i="1"/>
  <c r="BE356" i="1"/>
  <c r="BD356" i="1"/>
  <c r="AT356" i="1"/>
  <c r="AR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J356" i="1"/>
  <c r="H356" i="1"/>
  <c r="BO355" i="1"/>
  <c r="BN355" i="1"/>
  <c r="BL355" i="1"/>
  <c r="BK355" i="1"/>
  <c r="BJ355" i="1"/>
  <c r="BI355" i="1"/>
  <c r="BH355" i="1"/>
  <c r="BG355" i="1"/>
  <c r="BF355" i="1"/>
  <c r="BE355" i="1"/>
  <c r="BD355" i="1"/>
  <c r="AT355" i="1"/>
  <c r="AR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J355" i="1"/>
  <c r="H355" i="1"/>
  <c r="BO354" i="1"/>
  <c r="BN354" i="1"/>
  <c r="BL354" i="1"/>
  <c r="BK354" i="1"/>
  <c r="BJ354" i="1"/>
  <c r="BI354" i="1"/>
  <c r="BH354" i="1"/>
  <c r="BG354" i="1"/>
  <c r="BF354" i="1"/>
  <c r="BE354" i="1"/>
  <c r="BD354" i="1"/>
  <c r="AT354" i="1"/>
  <c r="AR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J354" i="1"/>
  <c r="H354" i="1"/>
  <c r="BO353" i="1"/>
  <c r="BN353" i="1"/>
  <c r="BL353" i="1"/>
  <c r="BK353" i="1"/>
  <c r="BJ353" i="1"/>
  <c r="BI353" i="1"/>
  <c r="BH353" i="1"/>
  <c r="BG353" i="1"/>
  <c r="BF353" i="1"/>
  <c r="BE353" i="1"/>
  <c r="BD353" i="1"/>
  <c r="AT353" i="1"/>
  <c r="AR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J353" i="1"/>
  <c r="H353" i="1"/>
  <c r="BO352" i="1"/>
  <c r="BN352" i="1"/>
  <c r="BL352" i="1"/>
  <c r="BK352" i="1"/>
  <c r="BJ352" i="1"/>
  <c r="BI352" i="1"/>
  <c r="BH352" i="1"/>
  <c r="BG352" i="1"/>
  <c r="BF352" i="1"/>
  <c r="BE352" i="1"/>
  <c r="BD352" i="1"/>
  <c r="AT352" i="1"/>
  <c r="AR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J352" i="1"/>
  <c r="H352" i="1"/>
  <c r="BO351" i="1"/>
  <c r="BN351" i="1"/>
  <c r="BL351" i="1"/>
  <c r="BK351" i="1"/>
  <c r="BJ351" i="1"/>
  <c r="BI351" i="1"/>
  <c r="BH351" i="1"/>
  <c r="BG351" i="1"/>
  <c r="BF351" i="1"/>
  <c r="BE351" i="1"/>
  <c r="BD351" i="1"/>
  <c r="AT351" i="1"/>
  <c r="AR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J351" i="1"/>
  <c r="H351" i="1"/>
  <c r="BO350" i="1"/>
  <c r="BN350" i="1"/>
  <c r="BL350" i="1"/>
  <c r="BK350" i="1"/>
  <c r="BJ350" i="1"/>
  <c r="BI350" i="1"/>
  <c r="BH350" i="1"/>
  <c r="BG350" i="1"/>
  <c r="BF350" i="1"/>
  <c r="BE350" i="1"/>
  <c r="BD350" i="1"/>
  <c r="AT350" i="1"/>
  <c r="AR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J350" i="1"/>
  <c r="H350" i="1"/>
  <c r="BO349" i="1"/>
  <c r="BN349" i="1"/>
  <c r="BL349" i="1"/>
  <c r="BK349" i="1"/>
  <c r="BJ349" i="1"/>
  <c r="BI349" i="1"/>
  <c r="BH349" i="1"/>
  <c r="BG349" i="1"/>
  <c r="BF349" i="1"/>
  <c r="BE349" i="1"/>
  <c r="BD349" i="1"/>
  <c r="AT349" i="1"/>
  <c r="AR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J349" i="1"/>
  <c r="H349" i="1"/>
  <c r="BO348" i="1"/>
  <c r="BN348" i="1"/>
  <c r="BL348" i="1"/>
  <c r="BK348" i="1"/>
  <c r="BJ348" i="1"/>
  <c r="BI348" i="1"/>
  <c r="BH348" i="1"/>
  <c r="BG348" i="1"/>
  <c r="BF348" i="1"/>
  <c r="BE348" i="1"/>
  <c r="BD348" i="1"/>
  <c r="AT348" i="1"/>
  <c r="AR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J348" i="1"/>
  <c r="H348" i="1"/>
  <c r="BO347" i="1"/>
  <c r="BN347" i="1"/>
  <c r="BL347" i="1"/>
  <c r="BK347" i="1"/>
  <c r="BJ347" i="1"/>
  <c r="BI347" i="1"/>
  <c r="BH347" i="1"/>
  <c r="BG347" i="1"/>
  <c r="BF347" i="1"/>
  <c r="BE347" i="1"/>
  <c r="BD347" i="1"/>
  <c r="AT347" i="1"/>
  <c r="AR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J347" i="1"/>
  <c r="H347" i="1"/>
  <c r="BO346" i="1"/>
  <c r="BN346" i="1"/>
  <c r="BL346" i="1"/>
  <c r="BK346" i="1"/>
  <c r="BJ346" i="1"/>
  <c r="BI346" i="1"/>
  <c r="BH346" i="1"/>
  <c r="BG346" i="1"/>
  <c r="BF346" i="1"/>
  <c r="BE346" i="1"/>
  <c r="BD346" i="1"/>
  <c r="AT346" i="1"/>
  <c r="AR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J346" i="1"/>
  <c r="H346" i="1"/>
  <c r="BO345" i="1"/>
  <c r="BN345" i="1"/>
  <c r="BL345" i="1"/>
  <c r="BK345" i="1"/>
  <c r="BJ345" i="1"/>
  <c r="BI345" i="1"/>
  <c r="BH345" i="1"/>
  <c r="BG345" i="1"/>
  <c r="BF345" i="1"/>
  <c r="BE345" i="1"/>
  <c r="BD345" i="1"/>
  <c r="AT345" i="1"/>
  <c r="AR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J345" i="1"/>
  <c r="H345" i="1"/>
  <c r="BO344" i="1"/>
  <c r="BN344" i="1"/>
  <c r="BL344" i="1"/>
  <c r="BK344" i="1"/>
  <c r="BJ344" i="1"/>
  <c r="BI344" i="1"/>
  <c r="BH344" i="1"/>
  <c r="BG344" i="1"/>
  <c r="BF344" i="1"/>
  <c r="BE344" i="1"/>
  <c r="BD344" i="1"/>
  <c r="AT344" i="1"/>
  <c r="AR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J344" i="1"/>
  <c r="H344" i="1"/>
  <c r="BO343" i="1"/>
  <c r="BN343" i="1"/>
  <c r="BL343" i="1"/>
  <c r="BK343" i="1"/>
  <c r="BJ343" i="1"/>
  <c r="BI343" i="1"/>
  <c r="BH343" i="1"/>
  <c r="BG343" i="1"/>
  <c r="BF343" i="1"/>
  <c r="BE343" i="1"/>
  <c r="BD343" i="1"/>
  <c r="AT343" i="1"/>
  <c r="AR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J343" i="1"/>
  <c r="H343" i="1"/>
  <c r="BO342" i="1"/>
  <c r="BN342" i="1"/>
  <c r="BL342" i="1"/>
  <c r="BK342" i="1"/>
  <c r="BJ342" i="1"/>
  <c r="BI342" i="1"/>
  <c r="BH342" i="1"/>
  <c r="BG342" i="1"/>
  <c r="BF342" i="1"/>
  <c r="BE342" i="1"/>
  <c r="BD342" i="1"/>
  <c r="AT342" i="1"/>
  <c r="AR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J342" i="1"/>
  <c r="H342" i="1"/>
  <c r="BO341" i="1"/>
  <c r="BN341" i="1"/>
  <c r="BL341" i="1"/>
  <c r="BK341" i="1"/>
  <c r="BJ341" i="1"/>
  <c r="BI341" i="1"/>
  <c r="BH341" i="1"/>
  <c r="BG341" i="1"/>
  <c r="BF341" i="1"/>
  <c r="BE341" i="1"/>
  <c r="BD341" i="1"/>
  <c r="AT341" i="1"/>
  <c r="AR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J341" i="1"/>
  <c r="H341" i="1"/>
  <c r="BO340" i="1"/>
  <c r="BN340" i="1"/>
  <c r="BL340" i="1"/>
  <c r="BK340" i="1"/>
  <c r="BJ340" i="1"/>
  <c r="BI340" i="1"/>
  <c r="BH340" i="1"/>
  <c r="BG340" i="1"/>
  <c r="BF340" i="1"/>
  <c r="BE340" i="1"/>
  <c r="BD340" i="1"/>
  <c r="AT340" i="1"/>
  <c r="AR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J340" i="1"/>
  <c r="H340" i="1"/>
  <c r="BO339" i="1"/>
  <c r="BN339" i="1"/>
  <c r="BL339" i="1"/>
  <c r="BK339" i="1"/>
  <c r="BJ339" i="1"/>
  <c r="BI339" i="1"/>
  <c r="BH339" i="1"/>
  <c r="BG339" i="1"/>
  <c r="BF339" i="1"/>
  <c r="BE339" i="1"/>
  <c r="BD339" i="1"/>
  <c r="AT339" i="1"/>
  <c r="AR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J339" i="1"/>
  <c r="H339" i="1"/>
  <c r="BO338" i="1"/>
  <c r="BN338" i="1"/>
  <c r="BL338" i="1"/>
  <c r="BK338" i="1"/>
  <c r="BJ338" i="1"/>
  <c r="BI338" i="1"/>
  <c r="BH338" i="1"/>
  <c r="BG338" i="1"/>
  <c r="BF338" i="1"/>
  <c r="BE338" i="1"/>
  <c r="BD338" i="1"/>
  <c r="AT338" i="1"/>
  <c r="AR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J338" i="1"/>
  <c r="H338" i="1"/>
  <c r="BO337" i="1"/>
  <c r="BN337" i="1"/>
  <c r="BL337" i="1"/>
  <c r="BK337" i="1"/>
  <c r="BJ337" i="1"/>
  <c r="BI337" i="1"/>
  <c r="BH337" i="1"/>
  <c r="BG337" i="1"/>
  <c r="BF337" i="1"/>
  <c r="BE337" i="1"/>
  <c r="BD337" i="1"/>
  <c r="AT337" i="1"/>
  <c r="AR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J337" i="1"/>
  <c r="H337" i="1"/>
  <c r="BO336" i="1"/>
  <c r="BN336" i="1"/>
  <c r="BL336" i="1"/>
  <c r="BK336" i="1"/>
  <c r="BJ336" i="1"/>
  <c r="BI336" i="1"/>
  <c r="BH336" i="1"/>
  <c r="BG336" i="1"/>
  <c r="BF336" i="1"/>
  <c r="BE336" i="1"/>
  <c r="BD336" i="1"/>
  <c r="AT336" i="1"/>
  <c r="AR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J336" i="1"/>
  <c r="H336" i="1"/>
  <c r="BO335" i="1"/>
  <c r="BN335" i="1"/>
  <c r="BL335" i="1"/>
  <c r="BK335" i="1"/>
  <c r="BJ335" i="1"/>
  <c r="BI335" i="1"/>
  <c r="BH335" i="1"/>
  <c r="BG335" i="1"/>
  <c r="BF335" i="1"/>
  <c r="BE335" i="1"/>
  <c r="BD335" i="1"/>
  <c r="AT335" i="1"/>
  <c r="AR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J335" i="1"/>
  <c r="H335" i="1"/>
  <c r="BO334" i="1"/>
  <c r="BN334" i="1"/>
  <c r="BL334" i="1"/>
  <c r="BK334" i="1"/>
  <c r="BJ334" i="1"/>
  <c r="BI334" i="1"/>
  <c r="BH334" i="1"/>
  <c r="BG334" i="1"/>
  <c r="BF334" i="1"/>
  <c r="BE334" i="1"/>
  <c r="BD334" i="1"/>
  <c r="AT334" i="1"/>
  <c r="AR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J334" i="1"/>
  <c r="H334" i="1"/>
  <c r="BO333" i="1"/>
  <c r="BN333" i="1"/>
  <c r="BL333" i="1"/>
  <c r="BK333" i="1"/>
  <c r="BJ333" i="1"/>
  <c r="BI333" i="1"/>
  <c r="BH333" i="1"/>
  <c r="BG333" i="1"/>
  <c r="BF333" i="1"/>
  <c r="BE333" i="1"/>
  <c r="BD333" i="1"/>
  <c r="AT333" i="1"/>
  <c r="AR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J333" i="1"/>
  <c r="H333" i="1"/>
  <c r="BO332" i="1"/>
  <c r="BN332" i="1"/>
  <c r="BL332" i="1"/>
  <c r="BK332" i="1"/>
  <c r="BJ332" i="1"/>
  <c r="BI332" i="1"/>
  <c r="BH332" i="1"/>
  <c r="BG332" i="1"/>
  <c r="BF332" i="1"/>
  <c r="BE332" i="1"/>
  <c r="BD332" i="1"/>
  <c r="AT332" i="1"/>
  <c r="AR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J332" i="1"/>
  <c r="H332" i="1"/>
  <c r="BO331" i="1"/>
  <c r="BN331" i="1"/>
  <c r="BL331" i="1"/>
  <c r="BK331" i="1"/>
  <c r="BJ331" i="1"/>
  <c r="BI331" i="1"/>
  <c r="BH331" i="1"/>
  <c r="BG331" i="1"/>
  <c r="BF331" i="1"/>
  <c r="BE331" i="1"/>
  <c r="BD331" i="1"/>
  <c r="AT331" i="1"/>
  <c r="AR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J331" i="1"/>
  <c r="H331" i="1"/>
  <c r="BO330" i="1"/>
  <c r="BN330" i="1"/>
  <c r="BL330" i="1"/>
  <c r="BK330" i="1"/>
  <c r="BJ330" i="1"/>
  <c r="BI330" i="1"/>
  <c r="BH330" i="1"/>
  <c r="BG330" i="1"/>
  <c r="BF330" i="1"/>
  <c r="BE330" i="1"/>
  <c r="BD330" i="1"/>
  <c r="AT330" i="1"/>
  <c r="AR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J330" i="1"/>
  <c r="H330" i="1"/>
  <c r="BO329" i="1"/>
  <c r="BN329" i="1"/>
  <c r="BL329" i="1"/>
  <c r="BK329" i="1"/>
  <c r="BJ329" i="1"/>
  <c r="BI329" i="1"/>
  <c r="BH329" i="1"/>
  <c r="BG329" i="1"/>
  <c r="BF329" i="1"/>
  <c r="BE329" i="1"/>
  <c r="BD329" i="1"/>
  <c r="AT329" i="1"/>
  <c r="AR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J329" i="1"/>
  <c r="H329" i="1"/>
  <c r="BO328" i="1"/>
  <c r="BN328" i="1"/>
  <c r="BL328" i="1"/>
  <c r="BK328" i="1"/>
  <c r="BJ328" i="1"/>
  <c r="BI328" i="1"/>
  <c r="BH328" i="1"/>
  <c r="BG328" i="1"/>
  <c r="BF328" i="1"/>
  <c r="BE328" i="1"/>
  <c r="BD328" i="1"/>
  <c r="AT328" i="1"/>
  <c r="AR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J328" i="1"/>
  <c r="H328" i="1"/>
  <c r="BO327" i="1"/>
  <c r="BN327" i="1"/>
  <c r="BL327" i="1"/>
  <c r="BK327" i="1"/>
  <c r="BJ327" i="1"/>
  <c r="BI327" i="1"/>
  <c r="BH327" i="1"/>
  <c r="BG327" i="1"/>
  <c r="BF327" i="1"/>
  <c r="BE327" i="1"/>
  <c r="BD327" i="1"/>
  <c r="AT327" i="1"/>
  <c r="AR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J327" i="1"/>
  <c r="H327" i="1"/>
  <c r="BO326" i="1"/>
  <c r="BN326" i="1"/>
  <c r="BL326" i="1"/>
  <c r="BK326" i="1"/>
  <c r="BJ326" i="1"/>
  <c r="BI326" i="1"/>
  <c r="BH326" i="1"/>
  <c r="BG326" i="1"/>
  <c r="BF326" i="1"/>
  <c r="BE326" i="1"/>
  <c r="BD326" i="1"/>
  <c r="AT326" i="1"/>
  <c r="AR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J326" i="1"/>
  <c r="H326" i="1"/>
  <c r="BO325" i="1"/>
  <c r="BN325" i="1"/>
  <c r="BL325" i="1"/>
  <c r="BK325" i="1"/>
  <c r="BJ325" i="1"/>
  <c r="BI325" i="1"/>
  <c r="BH325" i="1"/>
  <c r="BG325" i="1"/>
  <c r="BF325" i="1"/>
  <c r="BE325" i="1"/>
  <c r="BD325" i="1"/>
  <c r="AT325" i="1"/>
  <c r="AR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J325" i="1"/>
  <c r="H325" i="1"/>
  <c r="BO324" i="1"/>
  <c r="BN324" i="1"/>
  <c r="BL324" i="1"/>
  <c r="BK324" i="1"/>
  <c r="BJ324" i="1"/>
  <c r="BI324" i="1"/>
  <c r="BH324" i="1"/>
  <c r="BG324" i="1"/>
  <c r="BF324" i="1"/>
  <c r="BE324" i="1"/>
  <c r="BD324" i="1"/>
  <c r="AT324" i="1"/>
  <c r="AR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J324" i="1"/>
  <c r="H324" i="1"/>
  <c r="BO323" i="1"/>
  <c r="BN323" i="1"/>
  <c r="BL323" i="1"/>
  <c r="BK323" i="1"/>
  <c r="BJ323" i="1"/>
  <c r="BI323" i="1"/>
  <c r="BH323" i="1"/>
  <c r="BG323" i="1"/>
  <c r="BF323" i="1"/>
  <c r="BE323" i="1"/>
  <c r="BD323" i="1"/>
  <c r="AT323" i="1"/>
  <c r="AR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J323" i="1"/>
  <c r="H323" i="1"/>
  <c r="BO322" i="1"/>
  <c r="BN322" i="1"/>
  <c r="BL322" i="1"/>
  <c r="BK322" i="1"/>
  <c r="BJ322" i="1"/>
  <c r="BI322" i="1"/>
  <c r="BH322" i="1"/>
  <c r="BG322" i="1"/>
  <c r="BF322" i="1"/>
  <c r="BE322" i="1"/>
  <c r="BD322" i="1"/>
  <c r="AT322" i="1"/>
  <c r="AR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J322" i="1"/>
  <c r="H322" i="1"/>
  <c r="BO321" i="1"/>
  <c r="BN321" i="1"/>
  <c r="BL321" i="1"/>
  <c r="BK321" i="1"/>
  <c r="BJ321" i="1"/>
  <c r="BI321" i="1"/>
  <c r="BH321" i="1"/>
  <c r="BG321" i="1"/>
  <c r="BF321" i="1"/>
  <c r="BE321" i="1"/>
  <c r="BD321" i="1"/>
  <c r="AT321" i="1"/>
  <c r="AR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J321" i="1"/>
  <c r="H321" i="1"/>
  <c r="BO320" i="1"/>
  <c r="BN320" i="1"/>
  <c r="BL320" i="1"/>
  <c r="BK320" i="1"/>
  <c r="BJ320" i="1"/>
  <c r="BI320" i="1"/>
  <c r="BH320" i="1"/>
  <c r="BG320" i="1"/>
  <c r="BF320" i="1"/>
  <c r="BE320" i="1"/>
  <c r="BD320" i="1"/>
  <c r="AT320" i="1"/>
  <c r="AR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J320" i="1"/>
  <c r="H320" i="1"/>
  <c r="BO319" i="1"/>
  <c r="BN319" i="1"/>
  <c r="BL319" i="1"/>
  <c r="BK319" i="1"/>
  <c r="BJ319" i="1"/>
  <c r="BI319" i="1"/>
  <c r="BH319" i="1"/>
  <c r="BG319" i="1"/>
  <c r="BF319" i="1"/>
  <c r="BE319" i="1"/>
  <c r="BD319" i="1"/>
  <c r="AT319" i="1"/>
  <c r="AR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J319" i="1"/>
  <c r="H319" i="1"/>
  <c r="BO318" i="1"/>
  <c r="BN318" i="1"/>
  <c r="BL318" i="1"/>
  <c r="BK318" i="1"/>
  <c r="BJ318" i="1"/>
  <c r="BI318" i="1"/>
  <c r="BH318" i="1"/>
  <c r="BG318" i="1"/>
  <c r="BF318" i="1"/>
  <c r="BE318" i="1"/>
  <c r="BD318" i="1"/>
  <c r="AT318" i="1"/>
  <c r="AR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J318" i="1"/>
  <c r="H318" i="1"/>
  <c r="BO317" i="1"/>
  <c r="BN317" i="1"/>
  <c r="BL317" i="1"/>
  <c r="BK317" i="1"/>
  <c r="BJ317" i="1"/>
  <c r="BI317" i="1"/>
  <c r="BH317" i="1"/>
  <c r="BG317" i="1"/>
  <c r="BF317" i="1"/>
  <c r="BE317" i="1"/>
  <c r="BD317" i="1"/>
  <c r="AT317" i="1"/>
  <c r="AR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J317" i="1"/>
  <c r="H317" i="1"/>
  <c r="BO316" i="1"/>
  <c r="BN316" i="1"/>
  <c r="BL316" i="1"/>
  <c r="BK316" i="1"/>
  <c r="BJ316" i="1"/>
  <c r="BI316" i="1"/>
  <c r="BH316" i="1"/>
  <c r="BG316" i="1"/>
  <c r="BF316" i="1"/>
  <c r="BE316" i="1"/>
  <c r="BD316" i="1"/>
  <c r="AT316" i="1"/>
  <c r="AR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J316" i="1"/>
  <c r="H316" i="1"/>
  <c r="BO315" i="1"/>
  <c r="BN315" i="1"/>
  <c r="BL315" i="1"/>
  <c r="BK315" i="1"/>
  <c r="BJ315" i="1"/>
  <c r="BI315" i="1"/>
  <c r="BH315" i="1"/>
  <c r="BG315" i="1"/>
  <c r="BF315" i="1"/>
  <c r="BE315" i="1"/>
  <c r="BD315" i="1"/>
  <c r="AT315" i="1"/>
  <c r="AR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J315" i="1"/>
  <c r="H315" i="1"/>
  <c r="BO314" i="1"/>
  <c r="BN314" i="1"/>
  <c r="BL314" i="1"/>
  <c r="BK314" i="1"/>
  <c r="BJ314" i="1"/>
  <c r="BI314" i="1"/>
  <c r="BH314" i="1"/>
  <c r="BG314" i="1"/>
  <c r="BF314" i="1"/>
  <c r="BE314" i="1"/>
  <c r="BD314" i="1"/>
  <c r="AT314" i="1"/>
  <c r="AR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J314" i="1"/>
  <c r="H314" i="1"/>
  <c r="BO313" i="1"/>
  <c r="BN313" i="1"/>
  <c r="BL313" i="1"/>
  <c r="BK313" i="1"/>
  <c r="BJ313" i="1"/>
  <c r="BI313" i="1"/>
  <c r="BH313" i="1"/>
  <c r="BG313" i="1"/>
  <c r="BF313" i="1"/>
  <c r="BE313" i="1"/>
  <c r="BD313" i="1"/>
  <c r="AT313" i="1"/>
  <c r="AR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J313" i="1"/>
  <c r="H313" i="1"/>
  <c r="BO312" i="1"/>
  <c r="BN312" i="1"/>
  <c r="BL312" i="1"/>
  <c r="BK312" i="1"/>
  <c r="BJ312" i="1"/>
  <c r="BI312" i="1"/>
  <c r="BH312" i="1"/>
  <c r="BG312" i="1"/>
  <c r="BF312" i="1"/>
  <c r="BE312" i="1"/>
  <c r="BD312" i="1"/>
  <c r="AT312" i="1"/>
  <c r="AR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J312" i="1"/>
  <c r="H312" i="1"/>
  <c r="BO311" i="1"/>
  <c r="BN311" i="1"/>
  <c r="BL311" i="1"/>
  <c r="BK311" i="1"/>
  <c r="BJ311" i="1"/>
  <c r="BI311" i="1"/>
  <c r="BH311" i="1"/>
  <c r="BG311" i="1"/>
  <c r="BF311" i="1"/>
  <c r="BE311" i="1"/>
  <c r="BD311" i="1"/>
  <c r="AT311" i="1"/>
  <c r="AR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J311" i="1"/>
  <c r="H311" i="1"/>
  <c r="BO310" i="1"/>
  <c r="BN310" i="1"/>
  <c r="BL310" i="1"/>
  <c r="BK310" i="1"/>
  <c r="BJ310" i="1"/>
  <c r="BI310" i="1"/>
  <c r="BH310" i="1"/>
  <c r="BG310" i="1"/>
  <c r="BF310" i="1"/>
  <c r="BE310" i="1"/>
  <c r="BD310" i="1"/>
  <c r="AT310" i="1"/>
  <c r="AR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J310" i="1"/>
  <c r="H310" i="1"/>
  <c r="BO309" i="1"/>
  <c r="BN309" i="1"/>
  <c r="BL309" i="1"/>
  <c r="BK309" i="1"/>
  <c r="BJ309" i="1"/>
  <c r="BI309" i="1"/>
  <c r="BH309" i="1"/>
  <c r="BG309" i="1"/>
  <c r="BF309" i="1"/>
  <c r="BE309" i="1"/>
  <c r="BD309" i="1"/>
  <c r="AT309" i="1"/>
  <c r="AR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J309" i="1"/>
  <c r="H309" i="1"/>
  <c r="BO308" i="1"/>
  <c r="BN308" i="1"/>
  <c r="BL308" i="1"/>
  <c r="BK308" i="1"/>
  <c r="BJ308" i="1"/>
  <c r="BI308" i="1"/>
  <c r="BH308" i="1"/>
  <c r="BG308" i="1"/>
  <c r="BF308" i="1"/>
  <c r="BE308" i="1"/>
  <c r="BD308" i="1"/>
  <c r="AT308" i="1"/>
  <c r="AR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J308" i="1"/>
  <c r="H308" i="1"/>
  <c r="BO307" i="1"/>
  <c r="BN307" i="1"/>
  <c r="BL307" i="1"/>
  <c r="BK307" i="1"/>
  <c r="BJ307" i="1"/>
  <c r="BI307" i="1"/>
  <c r="BH307" i="1"/>
  <c r="BG307" i="1"/>
  <c r="BF307" i="1"/>
  <c r="BE307" i="1"/>
  <c r="BD307" i="1"/>
  <c r="AT307" i="1"/>
  <c r="AR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J307" i="1"/>
  <c r="H307" i="1"/>
  <c r="BO306" i="1"/>
  <c r="BN306" i="1"/>
  <c r="BL306" i="1"/>
  <c r="BK306" i="1"/>
  <c r="BJ306" i="1"/>
  <c r="BI306" i="1"/>
  <c r="BH306" i="1"/>
  <c r="BG306" i="1"/>
  <c r="BF306" i="1"/>
  <c r="BE306" i="1"/>
  <c r="BD306" i="1"/>
  <c r="AT306" i="1"/>
  <c r="AR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J306" i="1"/>
  <c r="H306" i="1"/>
  <c r="BO305" i="1"/>
  <c r="BN305" i="1"/>
  <c r="BL305" i="1"/>
  <c r="BK305" i="1"/>
  <c r="BJ305" i="1"/>
  <c r="BI305" i="1"/>
  <c r="BH305" i="1"/>
  <c r="BG305" i="1"/>
  <c r="BF305" i="1"/>
  <c r="BE305" i="1"/>
  <c r="BD305" i="1"/>
  <c r="AT305" i="1"/>
  <c r="AR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J305" i="1"/>
  <c r="H305" i="1"/>
  <c r="BO304" i="1"/>
  <c r="BN304" i="1"/>
  <c r="BL304" i="1"/>
  <c r="BK304" i="1"/>
  <c r="BJ304" i="1"/>
  <c r="BI304" i="1"/>
  <c r="BH304" i="1"/>
  <c r="BG304" i="1"/>
  <c r="BF304" i="1"/>
  <c r="BE304" i="1"/>
  <c r="BD304" i="1"/>
  <c r="AT304" i="1"/>
  <c r="AR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J304" i="1"/>
  <c r="H304" i="1"/>
  <c r="BO303" i="1"/>
  <c r="BN303" i="1"/>
  <c r="BL303" i="1"/>
  <c r="BK303" i="1"/>
  <c r="BJ303" i="1"/>
  <c r="BI303" i="1"/>
  <c r="BH303" i="1"/>
  <c r="BG303" i="1"/>
  <c r="BF303" i="1"/>
  <c r="BE303" i="1"/>
  <c r="BD303" i="1"/>
  <c r="AT303" i="1"/>
  <c r="AR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J303" i="1"/>
  <c r="H303" i="1"/>
  <c r="BO302" i="1"/>
  <c r="BN302" i="1"/>
  <c r="BL302" i="1"/>
  <c r="BK302" i="1"/>
  <c r="BJ302" i="1"/>
  <c r="BI302" i="1"/>
  <c r="BH302" i="1"/>
  <c r="BG302" i="1"/>
  <c r="BF302" i="1"/>
  <c r="BE302" i="1"/>
  <c r="BD302" i="1"/>
  <c r="AT302" i="1"/>
  <c r="AR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J302" i="1"/>
  <c r="H302" i="1"/>
  <c r="BO301" i="1"/>
  <c r="BN301" i="1"/>
  <c r="BL301" i="1"/>
  <c r="BK301" i="1"/>
  <c r="BJ301" i="1"/>
  <c r="BI301" i="1"/>
  <c r="BH301" i="1"/>
  <c r="BG301" i="1"/>
  <c r="BF301" i="1"/>
  <c r="BE301" i="1"/>
  <c r="BD301" i="1"/>
  <c r="AT301" i="1"/>
  <c r="AR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J301" i="1"/>
  <c r="H301" i="1"/>
  <c r="BO300" i="1"/>
  <c r="BN300" i="1"/>
  <c r="BL300" i="1"/>
  <c r="BK300" i="1"/>
  <c r="BJ300" i="1"/>
  <c r="BI300" i="1"/>
  <c r="BH300" i="1"/>
  <c r="BG300" i="1"/>
  <c r="BF300" i="1"/>
  <c r="BE300" i="1"/>
  <c r="BD300" i="1"/>
  <c r="AT300" i="1"/>
  <c r="AR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J300" i="1"/>
  <c r="H300" i="1"/>
  <c r="BO299" i="1"/>
  <c r="BN299" i="1"/>
  <c r="BL299" i="1"/>
  <c r="BK299" i="1"/>
  <c r="BJ299" i="1"/>
  <c r="BI299" i="1"/>
  <c r="BH299" i="1"/>
  <c r="BG299" i="1"/>
  <c r="BF299" i="1"/>
  <c r="BE299" i="1"/>
  <c r="BD299" i="1"/>
  <c r="AT299" i="1"/>
  <c r="AR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J299" i="1"/>
  <c r="H299" i="1"/>
  <c r="BO298" i="1"/>
  <c r="BN298" i="1"/>
  <c r="BL298" i="1"/>
  <c r="BK298" i="1"/>
  <c r="BJ298" i="1"/>
  <c r="BI298" i="1"/>
  <c r="BH298" i="1"/>
  <c r="BG298" i="1"/>
  <c r="BF298" i="1"/>
  <c r="BE298" i="1"/>
  <c r="BD298" i="1"/>
  <c r="AT298" i="1"/>
  <c r="AR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J298" i="1"/>
  <c r="H298" i="1"/>
  <c r="BO297" i="1"/>
  <c r="BN297" i="1"/>
  <c r="BL297" i="1"/>
  <c r="BK297" i="1"/>
  <c r="BJ297" i="1"/>
  <c r="BI297" i="1"/>
  <c r="BH297" i="1"/>
  <c r="BG297" i="1"/>
  <c r="BF297" i="1"/>
  <c r="BE297" i="1"/>
  <c r="BD297" i="1"/>
  <c r="AT297" i="1"/>
  <c r="AR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J297" i="1"/>
  <c r="H297" i="1"/>
  <c r="BO296" i="1"/>
  <c r="BN296" i="1"/>
  <c r="BL296" i="1"/>
  <c r="BK296" i="1"/>
  <c r="BJ296" i="1"/>
  <c r="BI296" i="1"/>
  <c r="BH296" i="1"/>
  <c r="BG296" i="1"/>
  <c r="BF296" i="1"/>
  <c r="BE296" i="1"/>
  <c r="BD296" i="1"/>
  <c r="AT296" i="1"/>
  <c r="AR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J296" i="1"/>
  <c r="H296" i="1"/>
  <c r="BO295" i="1"/>
  <c r="BN295" i="1"/>
  <c r="BL295" i="1"/>
  <c r="BK295" i="1"/>
  <c r="BJ295" i="1"/>
  <c r="BI295" i="1"/>
  <c r="BH295" i="1"/>
  <c r="BG295" i="1"/>
  <c r="BF295" i="1"/>
  <c r="BE295" i="1"/>
  <c r="BD295" i="1"/>
  <c r="AT295" i="1"/>
  <c r="AR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J295" i="1"/>
  <c r="H295" i="1"/>
  <c r="BO294" i="1"/>
  <c r="BN294" i="1"/>
  <c r="BL294" i="1"/>
  <c r="BK294" i="1"/>
  <c r="BJ294" i="1"/>
  <c r="BI294" i="1"/>
  <c r="BH294" i="1"/>
  <c r="BG294" i="1"/>
  <c r="BF294" i="1"/>
  <c r="BE294" i="1"/>
  <c r="BD294" i="1"/>
  <c r="AT294" i="1"/>
  <c r="AR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J294" i="1"/>
  <c r="H294" i="1"/>
  <c r="BO293" i="1"/>
  <c r="BN293" i="1"/>
  <c r="BL293" i="1"/>
  <c r="BK293" i="1"/>
  <c r="BJ293" i="1"/>
  <c r="BI293" i="1"/>
  <c r="BH293" i="1"/>
  <c r="BG293" i="1"/>
  <c r="BF293" i="1"/>
  <c r="BE293" i="1"/>
  <c r="BD293" i="1"/>
  <c r="AT293" i="1"/>
  <c r="AR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J293" i="1"/>
  <c r="H293" i="1"/>
  <c r="BO292" i="1"/>
  <c r="BN292" i="1"/>
  <c r="BL292" i="1"/>
  <c r="BK292" i="1"/>
  <c r="BJ292" i="1"/>
  <c r="BI292" i="1"/>
  <c r="BH292" i="1"/>
  <c r="BG292" i="1"/>
  <c r="BF292" i="1"/>
  <c r="BE292" i="1"/>
  <c r="BD292" i="1"/>
  <c r="AT292" i="1"/>
  <c r="AR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J292" i="1"/>
  <c r="H292" i="1"/>
  <c r="BO291" i="1"/>
  <c r="BN291" i="1"/>
  <c r="BL291" i="1"/>
  <c r="BK291" i="1"/>
  <c r="BJ291" i="1"/>
  <c r="BI291" i="1"/>
  <c r="BH291" i="1"/>
  <c r="BG291" i="1"/>
  <c r="BF291" i="1"/>
  <c r="BE291" i="1"/>
  <c r="BD291" i="1"/>
  <c r="AT291" i="1"/>
  <c r="AR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J291" i="1"/>
  <c r="H291" i="1"/>
  <c r="BO290" i="1"/>
  <c r="BN290" i="1"/>
  <c r="BL290" i="1"/>
  <c r="BK290" i="1"/>
  <c r="BJ290" i="1"/>
  <c r="BI290" i="1"/>
  <c r="BH290" i="1"/>
  <c r="BG290" i="1"/>
  <c r="BF290" i="1"/>
  <c r="BE290" i="1"/>
  <c r="BD290" i="1"/>
  <c r="AT290" i="1"/>
  <c r="AR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J290" i="1"/>
  <c r="H290" i="1"/>
  <c r="BO289" i="1"/>
  <c r="BN289" i="1"/>
  <c r="BL289" i="1"/>
  <c r="BK289" i="1"/>
  <c r="BJ289" i="1"/>
  <c r="BI289" i="1"/>
  <c r="BH289" i="1"/>
  <c r="BG289" i="1"/>
  <c r="BF289" i="1"/>
  <c r="BE289" i="1"/>
  <c r="BD289" i="1"/>
  <c r="AT289" i="1"/>
  <c r="AR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J289" i="1"/>
  <c r="H289" i="1"/>
  <c r="BO288" i="1"/>
  <c r="BN288" i="1"/>
  <c r="BL288" i="1"/>
  <c r="BK288" i="1"/>
  <c r="BJ288" i="1"/>
  <c r="BI288" i="1"/>
  <c r="BH288" i="1"/>
  <c r="BG288" i="1"/>
  <c r="BF288" i="1"/>
  <c r="BE288" i="1"/>
  <c r="BD288" i="1"/>
  <c r="AT288" i="1"/>
  <c r="AR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J288" i="1"/>
  <c r="H288" i="1"/>
  <c r="BO287" i="1"/>
  <c r="BN287" i="1"/>
  <c r="BL287" i="1"/>
  <c r="BK287" i="1"/>
  <c r="BJ287" i="1"/>
  <c r="BI287" i="1"/>
  <c r="BH287" i="1"/>
  <c r="BG287" i="1"/>
  <c r="BF287" i="1"/>
  <c r="BE287" i="1"/>
  <c r="BD287" i="1"/>
  <c r="AT287" i="1"/>
  <c r="AR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J287" i="1"/>
  <c r="H287" i="1"/>
  <c r="BO286" i="1"/>
  <c r="BN286" i="1"/>
  <c r="BL286" i="1"/>
  <c r="BK286" i="1"/>
  <c r="BJ286" i="1"/>
  <c r="BI286" i="1"/>
  <c r="BH286" i="1"/>
  <c r="BG286" i="1"/>
  <c r="BF286" i="1"/>
  <c r="BE286" i="1"/>
  <c r="BD286" i="1"/>
  <c r="AT286" i="1"/>
  <c r="AR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J286" i="1"/>
  <c r="H286" i="1"/>
  <c r="BO285" i="1"/>
  <c r="BN285" i="1"/>
  <c r="BL285" i="1"/>
  <c r="BK285" i="1"/>
  <c r="BJ285" i="1"/>
  <c r="BI285" i="1"/>
  <c r="BH285" i="1"/>
  <c r="BG285" i="1"/>
  <c r="BF285" i="1"/>
  <c r="BE285" i="1"/>
  <c r="BD285" i="1"/>
  <c r="AT285" i="1"/>
  <c r="AR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J285" i="1"/>
  <c r="H285" i="1"/>
  <c r="BO284" i="1"/>
  <c r="BN284" i="1"/>
  <c r="BL284" i="1"/>
  <c r="BK284" i="1"/>
  <c r="BJ284" i="1"/>
  <c r="BI284" i="1"/>
  <c r="BH284" i="1"/>
  <c r="BG284" i="1"/>
  <c r="BF284" i="1"/>
  <c r="BE284" i="1"/>
  <c r="BD284" i="1"/>
  <c r="AT284" i="1"/>
  <c r="AR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J284" i="1"/>
  <c r="H284" i="1"/>
  <c r="BO283" i="1"/>
  <c r="BN283" i="1"/>
  <c r="BL283" i="1"/>
  <c r="BK283" i="1"/>
  <c r="BJ283" i="1"/>
  <c r="BI283" i="1"/>
  <c r="BH283" i="1"/>
  <c r="BG283" i="1"/>
  <c r="BF283" i="1"/>
  <c r="BE283" i="1"/>
  <c r="BD283" i="1"/>
  <c r="AT283" i="1"/>
  <c r="AR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J283" i="1"/>
  <c r="H283" i="1"/>
  <c r="BO282" i="1"/>
  <c r="BN282" i="1"/>
  <c r="BL282" i="1"/>
  <c r="BK282" i="1"/>
  <c r="BJ282" i="1"/>
  <c r="BI282" i="1"/>
  <c r="BH282" i="1"/>
  <c r="BG282" i="1"/>
  <c r="BF282" i="1"/>
  <c r="BE282" i="1"/>
  <c r="BD282" i="1"/>
  <c r="AT282" i="1"/>
  <c r="AR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J282" i="1"/>
  <c r="H282" i="1"/>
  <c r="BO281" i="1"/>
  <c r="BN281" i="1"/>
  <c r="BL281" i="1"/>
  <c r="BK281" i="1"/>
  <c r="BJ281" i="1"/>
  <c r="BI281" i="1"/>
  <c r="BH281" i="1"/>
  <c r="BG281" i="1"/>
  <c r="BF281" i="1"/>
  <c r="BE281" i="1"/>
  <c r="BD281" i="1"/>
  <c r="AT281" i="1"/>
  <c r="AR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J281" i="1"/>
  <c r="H281" i="1"/>
  <c r="BO280" i="1"/>
  <c r="BN280" i="1"/>
  <c r="BL280" i="1"/>
  <c r="BK280" i="1"/>
  <c r="BJ280" i="1"/>
  <c r="BI280" i="1"/>
  <c r="BH280" i="1"/>
  <c r="BG280" i="1"/>
  <c r="BF280" i="1"/>
  <c r="BE280" i="1"/>
  <c r="BD280" i="1"/>
  <c r="AT280" i="1"/>
  <c r="AR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J280" i="1"/>
  <c r="H280" i="1"/>
  <c r="BO279" i="1"/>
  <c r="BN279" i="1"/>
  <c r="BL279" i="1"/>
  <c r="BK279" i="1"/>
  <c r="BJ279" i="1"/>
  <c r="BI279" i="1"/>
  <c r="BH279" i="1"/>
  <c r="BG279" i="1"/>
  <c r="BF279" i="1"/>
  <c r="BE279" i="1"/>
  <c r="BD279" i="1"/>
  <c r="AT279" i="1"/>
  <c r="AR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J279" i="1"/>
  <c r="H279" i="1"/>
  <c r="BO278" i="1"/>
  <c r="BN278" i="1"/>
  <c r="BL278" i="1"/>
  <c r="BK278" i="1"/>
  <c r="BJ278" i="1"/>
  <c r="BI278" i="1"/>
  <c r="BH278" i="1"/>
  <c r="BG278" i="1"/>
  <c r="BF278" i="1"/>
  <c r="BE278" i="1"/>
  <c r="BD278" i="1"/>
  <c r="AT278" i="1"/>
  <c r="AR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J278" i="1"/>
  <c r="H278" i="1"/>
  <c r="BO277" i="1"/>
  <c r="BN277" i="1"/>
  <c r="BL277" i="1"/>
  <c r="BK277" i="1"/>
  <c r="BJ277" i="1"/>
  <c r="BI277" i="1"/>
  <c r="BH277" i="1"/>
  <c r="BG277" i="1"/>
  <c r="BF277" i="1"/>
  <c r="BE277" i="1"/>
  <c r="BD277" i="1"/>
  <c r="AT277" i="1"/>
  <c r="AR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J277" i="1"/>
  <c r="H277" i="1"/>
  <c r="BO276" i="1"/>
  <c r="BN276" i="1"/>
  <c r="BL276" i="1"/>
  <c r="BK276" i="1"/>
  <c r="BJ276" i="1"/>
  <c r="BI276" i="1"/>
  <c r="BH276" i="1"/>
  <c r="BG276" i="1"/>
  <c r="BF276" i="1"/>
  <c r="BE276" i="1"/>
  <c r="BD276" i="1"/>
  <c r="AT276" i="1"/>
  <c r="AR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J276" i="1"/>
  <c r="H276" i="1"/>
  <c r="BO275" i="1"/>
  <c r="BN275" i="1"/>
  <c r="BL275" i="1"/>
  <c r="BK275" i="1"/>
  <c r="BJ275" i="1"/>
  <c r="BI275" i="1"/>
  <c r="BH275" i="1"/>
  <c r="BG275" i="1"/>
  <c r="BF275" i="1"/>
  <c r="BE275" i="1"/>
  <c r="BD275" i="1"/>
  <c r="AT275" i="1"/>
  <c r="AR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J275" i="1"/>
  <c r="H275" i="1"/>
  <c r="BO274" i="1"/>
  <c r="BN274" i="1"/>
  <c r="BL274" i="1"/>
  <c r="BK274" i="1"/>
  <c r="BJ274" i="1"/>
  <c r="BI274" i="1"/>
  <c r="BH274" i="1"/>
  <c r="BG274" i="1"/>
  <c r="BF274" i="1"/>
  <c r="BE274" i="1"/>
  <c r="BD274" i="1"/>
  <c r="AT274" i="1"/>
  <c r="AR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J274" i="1"/>
  <c r="H274" i="1"/>
  <c r="BO273" i="1"/>
  <c r="BN273" i="1"/>
  <c r="BL273" i="1"/>
  <c r="BK273" i="1"/>
  <c r="BJ273" i="1"/>
  <c r="BI273" i="1"/>
  <c r="BH273" i="1"/>
  <c r="BG273" i="1"/>
  <c r="BF273" i="1"/>
  <c r="BE273" i="1"/>
  <c r="BD273" i="1"/>
  <c r="AT273" i="1"/>
  <c r="AR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J273" i="1"/>
  <c r="H273" i="1"/>
  <c r="BO272" i="1"/>
  <c r="BN272" i="1"/>
  <c r="BL272" i="1"/>
  <c r="BK272" i="1"/>
  <c r="BJ272" i="1"/>
  <c r="BI272" i="1"/>
  <c r="BH272" i="1"/>
  <c r="BG272" i="1"/>
  <c r="BF272" i="1"/>
  <c r="BE272" i="1"/>
  <c r="BD272" i="1"/>
  <c r="AT272" i="1"/>
  <c r="AR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J272" i="1"/>
  <c r="H272" i="1"/>
  <c r="BO271" i="1"/>
  <c r="BN271" i="1"/>
  <c r="BL271" i="1"/>
  <c r="BK271" i="1"/>
  <c r="BJ271" i="1"/>
  <c r="BI271" i="1"/>
  <c r="BH271" i="1"/>
  <c r="BG271" i="1"/>
  <c r="BF271" i="1"/>
  <c r="BE271" i="1"/>
  <c r="BD271" i="1"/>
  <c r="AT271" i="1"/>
  <c r="AR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J271" i="1"/>
  <c r="H271" i="1"/>
  <c r="BO270" i="1"/>
  <c r="BN270" i="1"/>
  <c r="BL270" i="1"/>
  <c r="BK270" i="1"/>
  <c r="BJ270" i="1"/>
  <c r="BI270" i="1"/>
  <c r="BH270" i="1"/>
  <c r="BG270" i="1"/>
  <c r="BF270" i="1"/>
  <c r="BE270" i="1"/>
  <c r="BD270" i="1"/>
  <c r="AT270" i="1"/>
  <c r="AR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J270" i="1"/>
  <c r="H270" i="1"/>
  <c r="BO269" i="1"/>
  <c r="BN269" i="1"/>
  <c r="BL269" i="1"/>
  <c r="BK269" i="1"/>
  <c r="BJ269" i="1"/>
  <c r="BI269" i="1"/>
  <c r="BH269" i="1"/>
  <c r="BG269" i="1"/>
  <c r="BF269" i="1"/>
  <c r="BE269" i="1"/>
  <c r="BD269" i="1"/>
  <c r="AT269" i="1"/>
  <c r="AR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J269" i="1"/>
  <c r="H269" i="1"/>
  <c r="BO268" i="1"/>
  <c r="BN268" i="1"/>
  <c r="BL268" i="1"/>
  <c r="BK268" i="1"/>
  <c r="BJ268" i="1"/>
  <c r="BI268" i="1"/>
  <c r="BH268" i="1"/>
  <c r="BG268" i="1"/>
  <c r="BF268" i="1"/>
  <c r="BE268" i="1"/>
  <c r="BD268" i="1"/>
  <c r="AT268" i="1"/>
  <c r="AR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J268" i="1"/>
  <c r="H268" i="1"/>
  <c r="BO267" i="1"/>
  <c r="BN267" i="1"/>
  <c r="BL267" i="1"/>
  <c r="BK267" i="1"/>
  <c r="BJ267" i="1"/>
  <c r="BI267" i="1"/>
  <c r="BH267" i="1"/>
  <c r="BG267" i="1"/>
  <c r="BF267" i="1"/>
  <c r="BE267" i="1"/>
  <c r="BD267" i="1"/>
  <c r="AT267" i="1"/>
  <c r="AR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J267" i="1"/>
  <c r="H267" i="1"/>
  <c r="BO266" i="1"/>
  <c r="BN266" i="1"/>
  <c r="BL266" i="1"/>
  <c r="BK266" i="1"/>
  <c r="BJ266" i="1"/>
  <c r="BI266" i="1"/>
  <c r="BH266" i="1"/>
  <c r="BG266" i="1"/>
  <c r="BF266" i="1"/>
  <c r="BE266" i="1"/>
  <c r="BD266" i="1"/>
  <c r="AT266" i="1"/>
  <c r="AR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J266" i="1"/>
  <c r="H266" i="1"/>
  <c r="BO265" i="1"/>
  <c r="BN265" i="1"/>
  <c r="BL265" i="1"/>
  <c r="BK265" i="1"/>
  <c r="BJ265" i="1"/>
  <c r="BI265" i="1"/>
  <c r="BH265" i="1"/>
  <c r="BG265" i="1"/>
  <c r="BF265" i="1"/>
  <c r="BE265" i="1"/>
  <c r="BD265" i="1"/>
  <c r="AT265" i="1"/>
  <c r="AR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J265" i="1"/>
  <c r="H265" i="1"/>
  <c r="BO264" i="1"/>
  <c r="BN264" i="1"/>
  <c r="BL264" i="1"/>
  <c r="BK264" i="1"/>
  <c r="BJ264" i="1"/>
  <c r="BI264" i="1"/>
  <c r="BH264" i="1"/>
  <c r="BG264" i="1"/>
  <c r="BF264" i="1"/>
  <c r="BE264" i="1"/>
  <c r="BD264" i="1"/>
  <c r="AT264" i="1"/>
  <c r="AR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J264" i="1"/>
  <c r="H264" i="1"/>
  <c r="BO263" i="1"/>
  <c r="BN263" i="1"/>
  <c r="BL263" i="1"/>
  <c r="BK263" i="1"/>
  <c r="BJ263" i="1"/>
  <c r="BI263" i="1"/>
  <c r="BH263" i="1"/>
  <c r="BG263" i="1"/>
  <c r="BF263" i="1"/>
  <c r="BE263" i="1"/>
  <c r="BD263" i="1"/>
  <c r="AT263" i="1"/>
  <c r="AR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J263" i="1"/>
  <c r="H263" i="1"/>
  <c r="BO262" i="1"/>
  <c r="BN262" i="1"/>
  <c r="BL262" i="1"/>
  <c r="BK262" i="1"/>
  <c r="BJ262" i="1"/>
  <c r="BI262" i="1"/>
  <c r="BH262" i="1"/>
  <c r="BG262" i="1"/>
  <c r="BF262" i="1"/>
  <c r="BE262" i="1"/>
  <c r="BD262" i="1"/>
  <c r="AT262" i="1"/>
  <c r="AR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J262" i="1"/>
  <c r="H262" i="1"/>
  <c r="BO261" i="1"/>
  <c r="BN261" i="1"/>
  <c r="BL261" i="1"/>
  <c r="BK261" i="1"/>
  <c r="BJ261" i="1"/>
  <c r="BI261" i="1"/>
  <c r="BH261" i="1"/>
  <c r="BG261" i="1"/>
  <c r="BF261" i="1"/>
  <c r="BE261" i="1"/>
  <c r="BD261" i="1"/>
  <c r="AT261" i="1"/>
  <c r="AR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J261" i="1"/>
  <c r="H261" i="1"/>
  <c r="BO260" i="1"/>
  <c r="BN260" i="1"/>
  <c r="BL260" i="1"/>
  <c r="BK260" i="1"/>
  <c r="BJ260" i="1"/>
  <c r="BI260" i="1"/>
  <c r="BH260" i="1"/>
  <c r="BG260" i="1"/>
  <c r="BF260" i="1"/>
  <c r="BE260" i="1"/>
  <c r="BD260" i="1"/>
  <c r="AT260" i="1"/>
  <c r="AR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J260" i="1"/>
  <c r="H260" i="1"/>
  <c r="BO259" i="1"/>
  <c r="BN259" i="1"/>
  <c r="BL259" i="1"/>
  <c r="BK259" i="1"/>
  <c r="BJ259" i="1"/>
  <c r="BI259" i="1"/>
  <c r="BH259" i="1"/>
  <c r="BG259" i="1"/>
  <c r="BF259" i="1"/>
  <c r="BE259" i="1"/>
  <c r="BD259" i="1"/>
  <c r="AT259" i="1"/>
  <c r="AR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J259" i="1"/>
  <c r="H259" i="1"/>
  <c r="BO258" i="1"/>
  <c r="BN258" i="1"/>
  <c r="BL258" i="1"/>
  <c r="BK258" i="1"/>
  <c r="BJ258" i="1"/>
  <c r="BI258" i="1"/>
  <c r="BH258" i="1"/>
  <c r="BG258" i="1"/>
  <c r="BF258" i="1"/>
  <c r="BE258" i="1"/>
  <c r="BD258" i="1"/>
  <c r="AT258" i="1"/>
  <c r="AR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J258" i="1"/>
  <c r="H258" i="1"/>
  <c r="BO257" i="1"/>
  <c r="BN257" i="1"/>
  <c r="BL257" i="1"/>
  <c r="BK257" i="1"/>
  <c r="BJ257" i="1"/>
  <c r="BI257" i="1"/>
  <c r="BH257" i="1"/>
  <c r="BG257" i="1"/>
  <c r="BF257" i="1"/>
  <c r="BE257" i="1"/>
  <c r="BD257" i="1"/>
  <c r="AT257" i="1"/>
  <c r="AR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J257" i="1"/>
  <c r="H257" i="1"/>
  <c r="BO256" i="1"/>
  <c r="BN256" i="1"/>
  <c r="BL256" i="1"/>
  <c r="BK256" i="1"/>
  <c r="BJ256" i="1"/>
  <c r="BI256" i="1"/>
  <c r="BH256" i="1"/>
  <c r="BG256" i="1"/>
  <c r="BF256" i="1"/>
  <c r="BE256" i="1"/>
  <c r="BD256" i="1"/>
  <c r="AT256" i="1"/>
  <c r="AR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J256" i="1"/>
  <c r="H256" i="1"/>
  <c r="BO255" i="1"/>
  <c r="BN255" i="1"/>
  <c r="BL255" i="1"/>
  <c r="BK255" i="1"/>
  <c r="BJ255" i="1"/>
  <c r="BI255" i="1"/>
  <c r="BH255" i="1"/>
  <c r="BG255" i="1"/>
  <c r="BF255" i="1"/>
  <c r="BE255" i="1"/>
  <c r="BD255" i="1"/>
  <c r="AT255" i="1"/>
  <c r="AR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J255" i="1"/>
  <c r="H255" i="1"/>
  <c r="BO254" i="1"/>
  <c r="BN254" i="1"/>
  <c r="BL254" i="1"/>
  <c r="BK254" i="1"/>
  <c r="BJ254" i="1"/>
  <c r="BI254" i="1"/>
  <c r="BH254" i="1"/>
  <c r="BG254" i="1"/>
  <c r="BF254" i="1"/>
  <c r="BE254" i="1"/>
  <c r="BD254" i="1"/>
  <c r="AT254" i="1"/>
  <c r="AR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J254" i="1"/>
  <c r="H254" i="1"/>
  <c r="BO253" i="1"/>
  <c r="BN253" i="1"/>
  <c r="BL253" i="1"/>
  <c r="BK253" i="1"/>
  <c r="BJ253" i="1"/>
  <c r="BI253" i="1"/>
  <c r="BH253" i="1"/>
  <c r="BG253" i="1"/>
  <c r="BF253" i="1"/>
  <c r="BE253" i="1"/>
  <c r="BD253" i="1"/>
  <c r="AT253" i="1"/>
  <c r="AR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J253" i="1"/>
  <c r="H253" i="1"/>
  <c r="BO252" i="1"/>
  <c r="BN252" i="1"/>
  <c r="BL252" i="1"/>
  <c r="BK252" i="1"/>
  <c r="BJ252" i="1"/>
  <c r="BI252" i="1"/>
  <c r="BH252" i="1"/>
  <c r="BG252" i="1"/>
  <c r="BF252" i="1"/>
  <c r="BE252" i="1"/>
  <c r="BD252" i="1"/>
  <c r="AT252" i="1"/>
  <c r="AR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J252" i="1"/>
  <c r="H252" i="1"/>
  <c r="BO251" i="1"/>
  <c r="BN251" i="1"/>
  <c r="BL251" i="1"/>
  <c r="BK251" i="1"/>
  <c r="BJ251" i="1"/>
  <c r="BI251" i="1"/>
  <c r="BH251" i="1"/>
  <c r="BG251" i="1"/>
  <c r="BF251" i="1"/>
  <c r="BE251" i="1"/>
  <c r="BD251" i="1"/>
  <c r="AT251" i="1"/>
  <c r="AR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J251" i="1"/>
  <c r="H251" i="1"/>
  <c r="BO250" i="1"/>
  <c r="BN250" i="1"/>
  <c r="BL250" i="1"/>
  <c r="BK250" i="1"/>
  <c r="BJ250" i="1"/>
  <c r="BI250" i="1"/>
  <c r="BH250" i="1"/>
  <c r="BG250" i="1"/>
  <c r="BF250" i="1"/>
  <c r="BE250" i="1"/>
  <c r="BD250" i="1"/>
  <c r="AT250" i="1"/>
  <c r="AR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J250" i="1"/>
  <c r="H250" i="1"/>
  <c r="BO249" i="1"/>
  <c r="BN249" i="1"/>
  <c r="BL249" i="1"/>
  <c r="BK249" i="1"/>
  <c r="BJ249" i="1"/>
  <c r="BI249" i="1"/>
  <c r="BH249" i="1"/>
  <c r="BG249" i="1"/>
  <c r="BF249" i="1"/>
  <c r="BE249" i="1"/>
  <c r="BD249" i="1"/>
  <c r="AT249" i="1"/>
  <c r="AR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J249" i="1"/>
  <c r="H249" i="1"/>
  <c r="BO248" i="1"/>
  <c r="BN248" i="1"/>
  <c r="BL248" i="1"/>
  <c r="BK248" i="1"/>
  <c r="BJ248" i="1"/>
  <c r="BI248" i="1"/>
  <c r="BH248" i="1"/>
  <c r="BG248" i="1"/>
  <c r="BF248" i="1"/>
  <c r="BE248" i="1"/>
  <c r="BD248" i="1"/>
  <c r="AT248" i="1"/>
  <c r="AR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J248" i="1"/>
  <c r="H248" i="1"/>
  <c r="BO247" i="1"/>
  <c r="BN247" i="1"/>
  <c r="BL247" i="1"/>
  <c r="BK247" i="1"/>
  <c r="BJ247" i="1"/>
  <c r="BI247" i="1"/>
  <c r="BH247" i="1"/>
  <c r="BG247" i="1"/>
  <c r="BF247" i="1"/>
  <c r="BE247" i="1"/>
  <c r="BD247" i="1"/>
  <c r="AT247" i="1"/>
  <c r="AR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J247" i="1"/>
  <c r="H247" i="1"/>
  <c r="BO246" i="1"/>
  <c r="BN246" i="1"/>
  <c r="BL246" i="1"/>
  <c r="BK246" i="1"/>
  <c r="BJ246" i="1"/>
  <c r="BI246" i="1"/>
  <c r="BH246" i="1"/>
  <c r="BG246" i="1"/>
  <c r="BF246" i="1"/>
  <c r="BE246" i="1"/>
  <c r="BD246" i="1"/>
  <c r="AT246" i="1"/>
  <c r="AR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J246" i="1"/>
  <c r="H246" i="1"/>
  <c r="BO245" i="1"/>
  <c r="BN245" i="1"/>
  <c r="BL245" i="1"/>
  <c r="BK245" i="1"/>
  <c r="BJ245" i="1"/>
  <c r="BI245" i="1"/>
  <c r="BH245" i="1"/>
  <c r="BG245" i="1"/>
  <c r="BF245" i="1"/>
  <c r="BE245" i="1"/>
  <c r="BD245" i="1"/>
  <c r="AT245" i="1"/>
  <c r="AR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J245" i="1"/>
  <c r="H245" i="1"/>
  <c r="BO244" i="1"/>
  <c r="BN244" i="1"/>
  <c r="BL244" i="1"/>
  <c r="BK244" i="1"/>
  <c r="BJ244" i="1"/>
  <c r="BI244" i="1"/>
  <c r="BH244" i="1"/>
  <c r="BG244" i="1"/>
  <c r="BF244" i="1"/>
  <c r="BE244" i="1"/>
  <c r="BD244" i="1"/>
  <c r="AT244" i="1"/>
  <c r="AR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J244" i="1"/>
  <c r="H244" i="1"/>
  <c r="BO243" i="1"/>
  <c r="BN243" i="1"/>
  <c r="BL243" i="1"/>
  <c r="BK243" i="1"/>
  <c r="BJ243" i="1"/>
  <c r="BI243" i="1"/>
  <c r="BH243" i="1"/>
  <c r="BG243" i="1"/>
  <c r="BF243" i="1"/>
  <c r="BE243" i="1"/>
  <c r="BD243" i="1"/>
  <c r="AT243" i="1"/>
  <c r="AR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J243" i="1"/>
  <c r="H243" i="1"/>
  <c r="BO242" i="1"/>
  <c r="BN242" i="1"/>
  <c r="BL242" i="1"/>
  <c r="BK242" i="1"/>
  <c r="BJ242" i="1"/>
  <c r="BI242" i="1"/>
  <c r="BH242" i="1"/>
  <c r="BG242" i="1"/>
  <c r="BF242" i="1"/>
  <c r="BE242" i="1"/>
  <c r="BD242" i="1"/>
  <c r="AT242" i="1"/>
  <c r="AR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J242" i="1"/>
  <c r="H242" i="1"/>
  <c r="BO241" i="1"/>
  <c r="BN241" i="1"/>
  <c r="BL241" i="1"/>
  <c r="BK241" i="1"/>
  <c r="BJ241" i="1"/>
  <c r="BI241" i="1"/>
  <c r="BH241" i="1"/>
  <c r="BG241" i="1"/>
  <c r="BF241" i="1"/>
  <c r="BE241" i="1"/>
  <c r="BD241" i="1"/>
  <c r="AT241" i="1"/>
  <c r="AR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J241" i="1"/>
  <c r="H241" i="1"/>
  <c r="BO240" i="1"/>
  <c r="BN240" i="1"/>
  <c r="BL240" i="1"/>
  <c r="BK240" i="1"/>
  <c r="BJ240" i="1"/>
  <c r="BI240" i="1"/>
  <c r="BH240" i="1"/>
  <c r="BG240" i="1"/>
  <c r="BF240" i="1"/>
  <c r="BE240" i="1"/>
  <c r="BD240" i="1"/>
  <c r="AT240" i="1"/>
  <c r="AR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J240" i="1"/>
  <c r="H240" i="1"/>
  <c r="BO239" i="1"/>
  <c r="BN239" i="1"/>
  <c r="BL239" i="1"/>
  <c r="BK239" i="1"/>
  <c r="BJ239" i="1"/>
  <c r="BI239" i="1"/>
  <c r="BH239" i="1"/>
  <c r="BG239" i="1"/>
  <c r="BF239" i="1"/>
  <c r="BE239" i="1"/>
  <c r="BD239" i="1"/>
  <c r="AT239" i="1"/>
  <c r="AR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J239" i="1"/>
  <c r="H239" i="1"/>
  <c r="BO238" i="1"/>
  <c r="BN238" i="1"/>
  <c r="BL238" i="1"/>
  <c r="BK238" i="1"/>
  <c r="BJ238" i="1"/>
  <c r="BI238" i="1"/>
  <c r="BH238" i="1"/>
  <c r="BG238" i="1"/>
  <c r="BF238" i="1"/>
  <c r="BE238" i="1"/>
  <c r="BD238" i="1"/>
  <c r="AT238" i="1"/>
  <c r="AR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J238" i="1"/>
  <c r="H238" i="1"/>
  <c r="BO237" i="1"/>
  <c r="BN237" i="1"/>
  <c r="BL237" i="1"/>
  <c r="BK237" i="1"/>
  <c r="BJ237" i="1"/>
  <c r="BI237" i="1"/>
  <c r="BH237" i="1"/>
  <c r="BG237" i="1"/>
  <c r="BF237" i="1"/>
  <c r="BE237" i="1"/>
  <c r="BD237" i="1"/>
  <c r="AT237" i="1"/>
  <c r="AR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J237" i="1"/>
  <c r="H237" i="1"/>
  <c r="BO236" i="1"/>
  <c r="BN236" i="1"/>
  <c r="BL236" i="1"/>
  <c r="BK236" i="1"/>
  <c r="BJ236" i="1"/>
  <c r="BI236" i="1"/>
  <c r="BH236" i="1"/>
  <c r="BG236" i="1"/>
  <c r="BF236" i="1"/>
  <c r="BE236" i="1"/>
  <c r="BD236" i="1"/>
  <c r="AT236" i="1"/>
  <c r="AR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J236" i="1"/>
  <c r="H236" i="1"/>
  <c r="BO235" i="1"/>
  <c r="BN235" i="1"/>
  <c r="BL235" i="1"/>
  <c r="BK235" i="1"/>
  <c r="BJ235" i="1"/>
  <c r="BI235" i="1"/>
  <c r="BH235" i="1"/>
  <c r="BG235" i="1"/>
  <c r="BF235" i="1"/>
  <c r="BE235" i="1"/>
  <c r="BD235" i="1"/>
  <c r="AT235" i="1"/>
  <c r="AR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J235" i="1"/>
  <c r="H235" i="1"/>
  <c r="BO234" i="1"/>
  <c r="BN234" i="1"/>
  <c r="BL234" i="1"/>
  <c r="BK234" i="1"/>
  <c r="BJ234" i="1"/>
  <c r="BI234" i="1"/>
  <c r="BH234" i="1"/>
  <c r="BG234" i="1"/>
  <c r="BF234" i="1"/>
  <c r="BE234" i="1"/>
  <c r="BD234" i="1"/>
  <c r="AT234" i="1"/>
  <c r="AR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J234" i="1"/>
  <c r="H234" i="1"/>
  <c r="BO233" i="1"/>
  <c r="BN233" i="1"/>
  <c r="BL233" i="1"/>
  <c r="BK233" i="1"/>
  <c r="BJ233" i="1"/>
  <c r="BI233" i="1"/>
  <c r="BH233" i="1"/>
  <c r="BG233" i="1"/>
  <c r="BF233" i="1"/>
  <c r="BE233" i="1"/>
  <c r="BD233" i="1"/>
  <c r="AT233" i="1"/>
  <c r="AR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J233" i="1"/>
  <c r="H233" i="1"/>
  <c r="BO232" i="1"/>
  <c r="BN232" i="1"/>
  <c r="BL232" i="1"/>
  <c r="BK232" i="1"/>
  <c r="BJ232" i="1"/>
  <c r="BI232" i="1"/>
  <c r="BH232" i="1"/>
  <c r="BG232" i="1"/>
  <c r="BF232" i="1"/>
  <c r="BE232" i="1"/>
  <c r="BD232" i="1"/>
  <c r="AT232" i="1"/>
  <c r="AR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J232" i="1"/>
  <c r="H232" i="1"/>
  <c r="BO231" i="1"/>
  <c r="BN231" i="1"/>
  <c r="BL231" i="1"/>
  <c r="BK231" i="1"/>
  <c r="BJ231" i="1"/>
  <c r="BI231" i="1"/>
  <c r="BH231" i="1"/>
  <c r="BG231" i="1"/>
  <c r="BF231" i="1"/>
  <c r="BE231" i="1"/>
  <c r="BD231" i="1"/>
  <c r="AT231" i="1"/>
  <c r="AR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J231" i="1"/>
  <c r="H231" i="1"/>
  <c r="BO230" i="1"/>
  <c r="BN230" i="1"/>
  <c r="BL230" i="1"/>
  <c r="BK230" i="1"/>
  <c r="BJ230" i="1"/>
  <c r="BI230" i="1"/>
  <c r="BH230" i="1"/>
  <c r="BG230" i="1"/>
  <c r="BF230" i="1"/>
  <c r="BE230" i="1"/>
  <c r="BD230" i="1"/>
  <c r="AT230" i="1"/>
  <c r="AR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J230" i="1"/>
  <c r="H230" i="1"/>
  <c r="BO229" i="1"/>
  <c r="BN229" i="1"/>
  <c r="BL229" i="1"/>
  <c r="BK229" i="1"/>
  <c r="BJ229" i="1"/>
  <c r="BI229" i="1"/>
  <c r="BH229" i="1"/>
  <c r="BG229" i="1"/>
  <c r="BF229" i="1"/>
  <c r="BE229" i="1"/>
  <c r="BD229" i="1"/>
  <c r="AT229" i="1"/>
  <c r="AR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J229" i="1"/>
  <c r="H229" i="1"/>
  <c r="BO228" i="1"/>
  <c r="BN228" i="1"/>
  <c r="BL228" i="1"/>
  <c r="BK228" i="1"/>
  <c r="BJ228" i="1"/>
  <c r="BI228" i="1"/>
  <c r="BH228" i="1"/>
  <c r="BG228" i="1"/>
  <c r="BF228" i="1"/>
  <c r="BE228" i="1"/>
  <c r="BD228" i="1"/>
  <c r="AT228" i="1"/>
  <c r="AR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J228" i="1"/>
  <c r="H228" i="1"/>
  <c r="BO227" i="1"/>
  <c r="BN227" i="1"/>
  <c r="BL227" i="1"/>
  <c r="BK227" i="1"/>
  <c r="BJ227" i="1"/>
  <c r="BI227" i="1"/>
  <c r="BH227" i="1"/>
  <c r="BG227" i="1"/>
  <c r="BF227" i="1"/>
  <c r="BE227" i="1"/>
  <c r="BD227" i="1"/>
  <c r="AT227" i="1"/>
  <c r="AR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J227" i="1"/>
  <c r="H227" i="1"/>
  <c r="BO226" i="1"/>
  <c r="BN226" i="1"/>
  <c r="BL226" i="1"/>
  <c r="BK226" i="1"/>
  <c r="BJ226" i="1"/>
  <c r="BI226" i="1"/>
  <c r="BH226" i="1"/>
  <c r="BG226" i="1"/>
  <c r="BF226" i="1"/>
  <c r="BE226" i="1"/>
  <c r="BD226" i="1"/>
  <c r="AT226" i="1"/>
  <c r="AR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J226" i="1"/>
  <c r="H226" i="1"/>
  <c r="BO225" i="1"/>
  <c r="BN225" i="1"/>
  <c r="BL225" i="1"/>
  <c r="BK225" i="1"/>
  <c r="BJ225" i="1"/>
  <c r="BI225" i="1"/>
  <c r="BH225" i="1"/>
  <c r="BG225" i="1"/>
  <c r="BF225" i="1"/>
  <c r="BE225" i="1"/>
  <c r="BD225" i="1"/>
  <c r="AT225" i="1"/>
  <c r="AR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J225" i="1"/>
  <c r="H225" i="1"/>
  <c r="BO224" i="1"/>
  <c r="BN224" i="1"/>
  <c r="BL224" i="1"/>
  <c r="BK224" i="1"/>
  <c r="BJ224" i="1"/>
  <c r="BI224" i="1"/>
  <c r="BH224" i="1"/>
  <c r="BG224" i="1"/>
  <c r="BF224" i="1"/>
  <c r="BE224" i="1"/>
  <c r="BD224" i="1"/>
  <c r="AT224" i="1"/>
  <c r="AR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J224" i="1"/>
  <c r="H224" i="1"/>
  <c r="BO223" i="1"/>
  <c r="BN223" i="1"/>
  <c r="BL223" i="1"/>
  <c r="BK223" i="1"/>
  <c r="BJ223" i="1"/>
  <c r="BI223" i="1"/>
  <c r="BH223" i="1"/>
  <c r="BG223" i="1"/>
  <c r="BF223" i="1"/>
  <c r="BE223" i="1"/>
  <c r="BD223" i="1"/>
  <c r="AT223" i="1"/>
  <c r="AR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J223" i="1"/>
  <c r="H223" i="1"/>
  <c r="BO222" i="1"/>
  <c r="BN222" i="1"/>
  <c r="BL222" i="1"/>
  <c r="BK222" i="1"/>
  <c r="BJ222" i="1"/>
  <c r="BI222" i="1"/>
  <c r="BH222" i="1"/>
  <c r="BG222" i="1"/>
  <c r="BF222" i="1"/>
  <c r="BE222" i="1"/>
  <c r="BD222" i="1"/>
  <c r="AT222" i="1"/>
  <c r="AR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J222" i="1"/>
  <c r="H222" i="1"/>
  <c r="BO221" i="1"/>
  <c r="BN221" i="1"/>
  <c r="BL221" i="1"/>
  <c r="BK221" i="1"/>
  <c r="BJ221" i="1"/>
  <c r="BI221" i="1"/>
  <c r="BH221" i="1"/>
  <c r="BG221" i="1"/>
  <c r="BF221" i="1"/>
  <c r="BE221" i="1"/>
  <c r="BD221" i="1"/>
  <c r="AT221" i="1"/>
  <c r="AR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BO220" i="1"/>
  <c r="BN220" i="1"/>
  <c r="BL220" i="1"/>
  <c r="BK220" i="1"/>
  <c r="BJ220" i="1"/>
  <c r="BI220" i="1"/>
  <c r="BH220" i="1"/>
  <c r="BG220" i="1"/>
  <c r="BF220" i="1"/>
  <c r="BE220" i="1"/>
  <c r="BD220" i="1"/>
  <c r="AT220" i="1"/>
  <c r="AR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BO219" i="1"/>
  <c r="BN219" i="1"/>
  <c r="BL219" i="1"/>
  <c r="BK219" i="1"/>
  <c r="BJ219" i="1"/>
  <c r="BI219" i="1"/>
  <c r="BH219" i="1"/>
  <c r="BG219" i="1"/>
  <c r="BF219" i="1"/>
  <c r="BE219" i="1"/>
  <c r="BD219" i="1"/>
  <c r="AT219" i="1"/>
  <c r="AR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BO218" i="1"/>
  <c r="BN218" i="1"/>
  <c r="BL218" i="1"/>
  <c r="BK218" i="1"/>
  <c r="BJ218" i="1"/>
  <c r="BI218" i="1"/>
  <c r="BH218" i="1"/>
  <c r="BG218" i="1"/>
  <c r="BF218" i="1"/>
  <c r="BE218" i="1"/>
  <c r="BD218" i="1"/>
  <c r="AT218" i="1"/>
  <c r="AR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BO217" i="1"/>
  <c r="BN217" i="1"/>
  <c r="BL217" i="1"/>
  <c r="BK217" i="1"/>
  <c r="BJ217" i="1"/>
  <c r="BI217" i="1"/>
  <c r="BH217" i="1"/>
  <c r="BG217" i="1"/>
  <c r="BF217" i="1"/>
  <c r="BE217" i="1"/>
  <c r="BD217" i="1"/>
  <c r="AT217" i="1"/>
  <c r="AR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BO216" i="1"/>
  <c r="BN216" i="1"/>
  <c r="BL216" i="1"/>
  <c r="BK216" i="1"/>
  <c r="BJ216" i="1"/>
  <c r="BI216" i="1"/>
  <c r="BH216" i="1"/>
  <c r="BG216" i="1"/>
  <c r="BF216" i="1"/>
  <c r="BE216" i="1"/>
  <c r="BD216" i="1"/>
  <c r="AT216" i="1"/>
  <c r="AR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BO215" i="1"/>
  <c r="BN215" i="1"/>
  <c r="BL215" i="1"/>
  <c r="BK215" i="1"/>
  <c r="BJ215" i="1"/>
  <c r="BI215" i="1"/>
  <c r="BH215" i="1"/>
  <c r="BG215" i="1"/>
  <c r="BF215" i="1"/>
  <c r="BE215" i="1"/>
  <c r="BD215" i="1"/>
  <c r="AT215" i="1"/>
  <c r="AR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BO214" i="1"/>
  <c r="BN214" i="1"/>
  <c r="BL214" i="1"/>
  <c r="BK214" i="1"/>
  <c r="BJ214" i="1"/>
  <c r="BI214" i="1"/>
  <c r="BH214" i="1"/>
  <c r="BG214" i="1"/>
  <c r="BF214" i="1"/>
  <c r="BE214" i="1"/>
  <c r="BD214" i="1"/>
  <c r="AT214" i="1"/>
  <c r="AR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BO213" i="1"/>
  <c r="BN213" i="1"/>
  <c r="BL213" i="1"/>
  <c r="BK213" i="1"/>
  <c r="BJ213" i="1"/>
  <c r="BI213" i="1"/>
  <c r="BH213" i="1"/>
  <c r="BG213" i="1"/>
  <c r="BF213" i="1"/>
  <c r="BE213" i="1"/>
  <c r="BD213" i="1"/>
  <c r="AT213" i="1"/>
  <c r="AR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BO212" i="1"/>
  <c r="BN212" i="1"/>
  <c r="BL212" i="1"/>
  <c r="BK212" i="1"/>
  <c r="BJ212" i="1"/>
  <c r="BI212" i="1"/>
  <c r="BH212" i="1"/>
  <c r="BG212" i="1"/>
  <c r="BF212" i="1"/>
  <c r="BE212" i="1"/>
  <c r="BD212" i="1"/>
  <c r="AT212" i="1"/>
  <c r="AR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BO211" i="1"/>
  <c r="BN211" i="1"/>
  <c r="BL211" i="1"/>
  <c r="BK211" i="1"/>
  <c r="BJ211" i="1"/>
  <c r="BI211" i="1"/>
  <c r="BH211" i="1"/>
  <c r="BG211" i="1"/>
  <c r="BF211" i="1"/>
  <c r="BE211" i="1"/>
  <c r="BD211" i="1"/>
  <c r="AT211" i="1"/>
  <c r="AR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BO210" i="1"/>
  <c r="BN210" i="1"/>
  <c r="BL210" i="1"/>
  <c r="BK210" i="1"/>
  <c r="BJ210" i="1"/>
  <c r="BI210" i="1"/>
  <c r="BH210" i="1"/>
  <c r="BG210" i="1"/>
  <c r="BF210" i="1"/>
  <c r="BE210" i="1"/>
  <c r="BD210" i="1"/>
  <c r="AT210" i="1"/>
  <c r="AR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CB209" i="1"/>
  <c r="CA209" i="1"/>
  <c r="BZ209" i="1"/>
  <c r="BO209" i="1"/>
  <c r="BN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CB208" i="1"/>
  <c r="CA208" i="1"/>
  <c r="BZ208" i="1"/>
  <c r="BO208" i="1"/>
  <c r="BN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CB207" i="1"/>
  <c r="CA207" i="1"/>
  <c r="BZ207" i="1"/>
  <c r="BO207" i="1"/>
  <c r="BN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CB206" i="1"/>
  <c r="CA206" i="1"/>
  <c r="BZ206" i="1"/>
  <c r="BO206" i="1"/>
  <c r="BN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CB205" i="1"/>
  <c r="CA205" i="1"/>
  <c r="BZ205" i="1"/>
  <c r="BO205" i="1"/>
  <c r="BN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CB204" i="1"/>
  <c r="CA204" i="1"/>
  <c r="BZ204" i="1"/>
  <c r="BO204" i="1"/>
  <c r="BN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CB203" i="1"/>
  <c r="CA203" i="1"/>
  <c r="BZ203" i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CB202" i="1"/>
  <c r="CA202" i="1"/>
  <c r="BZ202" i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CB201" i="1"/>
  <c r="CA201" i="1"/>
  <c r="BZ201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CB200" i="1"/>
  <c r="CA200" i="1"/>
  <c r="BZ200" i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CB199" i="1"/>
  <c r="CA199" i="1"/>
  <c r="BZ199" i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CB198" i="1"/>
  <c r="CA198" i="1"/>
  <c r="BZ198" i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CB197" i="1"/>
  <c r="CA197" i="1"/>
  <c r="BZ197" i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CB196" i="1"/>
  <c r="CA196" i="1"/>
  <c r="BZ196" i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CB195" i="1"/>
  <c r="CA195" i="1"/>
  <c r="BZ195" i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B194" i="1"/>
  <c r="CA194" i="1"/>
  <c r="BZ194" i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CB184" i="1"/>
  <c r="CA184" i="1"/>
  <c r="BZ184" i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CB183" i="1"/>
  <c r="CA183" i="1"/>
  <c r="BZ183" i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CB173" i="1"/>
  <c r="CA173" i="1"/>
  <c r="BZ173" i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CB165" i="1"/>
  <c r="CA165" i="1"/>
  <c r="BZ165" i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CB159" i="1"/>
  <c r="CA159" i="1"/>
  <c r="BZ159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CB157" i="1"/>
  <c r="CA157" i="1"/>
  <c r="BZ157" i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CB152" i="1"/>
  <c r="CA152" i="1"/>
  <c r="BZ152" i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E145" i="1"/>
  <c r="CD145" i="1"/>
  <c r="CC145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CB142" i="1"/>
  <c r="CA142" i="1"/>
  <c r="BZ142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CB139" i="1"/>
  <c r="CA139" i="1"/>
  <c r="BZ139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CB138" i="1"/>
  <c r="CA138" i="1"/>
  <c r="BZ138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CA126" i="1"/>
  <c r="BZ126" i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/>
  <c r="BO110" i="1"/>
  <c r="BN110" i="1"/>
  <c r="BL110" i="1"/>
  <c r="BK110" i="1"/>
  <c r="BJ110" i="1"/>
  <c r="BI110" i="1"/>
  <c r="BH110" i="1"/>
  <c r="BG110" i="1"/>
  <c r="BF110" i="1"/>
  <c r="BE110" i="1"/>
  <c r="BD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BO109" i="1"/>
  <c r="BN109" i="1"/>
  <c r="BL109" i="1"/>
  <c r="BK109" i="1"/>
  <c r="BJ109" i="1"/>
  <c r="BI109" i="1"/>
  <c r="BH109" i="1"/>
  <c r="BG109" i="1"/>
  <c r="BF109" i="1"/>
  <c r="BE109" i="1"/>
  <c r="BD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/>
  <c r="BO104" i="1"/>
  <c r="BN104" i="1"/>
  <c r="BL104" i="1"/>
  <c r="BK104" i="1"/>
  <c r="BJ104" i="1"/>
  <c r="BI104" i="1"/>
  <c r="BH104" i="1"/>
  <c r="BG104" i="1"/>
  <c r="BF104" i="1"/>
  <c r="BE104" i="1"/>
  <c r="BD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CB101" i="1"/>
  <c r="CA101" i="1"/>
  <c r="BZ101" i="1"/>
  <c r="BO101" i="1"/>
  <c r="BN101" i="1"/>
  <c r="BL101" i="1"/>
  <c r="BK101" i="1"/>
  <c r="BJ101" i="1"/>
  <c r="BI101" i="1"/>
  <c r="BH101" i="1"/>
  <c r="BG101" i="1"/>
  <c r="BF101" i="1"/>
  <c r="BE101" i="1"/>
  <c r="BD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B99" i="1"/>
  <c r="CA99" i="1"/>
  <c r="BZ99" i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/>
  <c r="BO92" i="1"/>
  <c r="BN92" i="1"/>
  <c r="BL92" i="1"/>
  <c r="BK92" i="1"/>
  <c r="BJ92" i="1"/>
  <c r="BI92" i="1"/>
  <c r="BH92" i="1"/>
  <c r="BG92" i="1"/>
  <c r="BF92" i="1"/>
  <c r="BE92" i="1"/>
  <c r="BD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CB85" i="1"/>
  <c r="CA85" i="1"/>
  <c r="BZ85" i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CB83" i="1"/>
  <c r="CA83" i="1"/>
  <c r="BZ83" i="1"/>
  <c r="BO83" i="1"/>
  <c r="BN83" i="1"/>
  <c r="BL83" i="1"/>
  <c r="BK83" i="1"/>
  <c r="BJ83" i="1"/>
  <c r="BI83" i="1"/>
  <c r="BH83" i="1"/>
  <c r="BG83" i="1"/>
  <c r="BF83" i="1"/>
  <c r="BE83" i="1"/>
  <c r="BD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Z81" i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H77" i="1"/>
  <c r="CB76" i="1"/>
  <c r="CA76" i="1"/>
  <c r="BZ76" i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H76" i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CB72" i="1"/>
  <c r="CA72" i="1"/>
  <c r="BZ72" i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Z71" i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/>
  <c r="BO69" i="1"/>
  <c r="BN69" i="1"/>
  <c r="BL69" i="1"/>
  <c r="BK69" i="1"/>
  <c r="BJ69" i="1"/>
  <c r="BI69" i="1"/>
  <c r="BH69" i="1"/>
  <c r="BG69" i="1"/>
  <c r="BF69" i="1"/>
  <c r="BE69" i="1"/>
  <c r="BD69" i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CB68" i="1"/>
  <c r="CA68" i="1"/>
  <c r="BZ68" i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E62" i="1"/>
  <c r="CD62" i="1"/>
  <c r="CC62" i="1"/>
  <c r="CB62" i="1"/>
  <c r="CA62" i="1"/>
  <c r="BZ62" i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CB58" i="1"/>
  <c r="CA58" i="1"/>
  <c r="BZ58" i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Z52" i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CB50" i="1"/>
  <c r="CA50" i="1"/>
  <c r="BZ50" i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Z49" i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CA47" i="1"/>
  <c r="BZ47" i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/>
  <c r="BO45" i="1"/>
  <c r="BN45" i="1"/>
  <c r="BL45" i="1"/>
  <c r="BK45" i="1"/>
  <c r="BJ45" i="1"/>
  <c r="BI45" i="1"/>
  <c r="BH45" i="1"/>
  <c r="BG45" i="1"/>
  <c r="BF45" i="1"/>
  <c r="BE45" i="1"/>
  <c r="BD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CB38" i="1"/>
  <c r="CA38" i="1"/>
  <c r="BZ38" i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CA27" i="1"/>
  <c r="BZ27" i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/>
  <c r="BO25" i="1"/>
  <c r="BN25" i="1"/>
  <c r="BL25" i="1"/>
  <c r="BK25" i="1"/>
  <c r="BJ25" i="1"/>
  <c r="BI25" i="1"/>
  <c r="BH25" i="1"/>
  <c r="BG25" i="1"/>
  <c r="BF25" i="1"/>
  <c r="BE25" i="1"/>
  <c r="BD25" i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CB24" i="1"/>
  <c r="CA24" i="1"/>
  <c r="BZ24" i="1"/>
  <c r="BO24" i="1"/>
  <c r="BN24" i="1"/>
  <c r="BL24" i="1"/>
  <c r="BK24" i="1"/>
  <c r="BJ24" i="1"/>
  <c r="BI24" i="1"/>
  <c r="BH24" i="1"/>
  <c r="BG24" i="1"/>
  <c r="BF24" i="1"/>
  <c r="BE24" i="1"/>
  <c r="BD24" i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CB10" i="1"/>
  <c r="CA10" i="1"/>
  <c r="BZ10" i="1"/>
  <c r="BO10" i="1"/>
  <c r="BN10" i="1"/>
  <c r="BL10" i="1"/>
  <c r="BK10" i="1"/>
  <c r="BJ10" i="1"/>
  <c r="BI10" i="1"/>
  <c r="BH10" i="1"/>
  <c r="BG10" i="1"/>
  <c r="BF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CB9" i="1"/>
  <c r="CA9" i="1"/>
  <c r="BZ9" i="1"/>
  <c r="BO9" i="1"/>
  <c r="BN9" i="1"/>
  <c r="BL9" i="1"/>
  <c r="BK9" i="1"/>
  <c r="BJ9" i="1"/>
  <c r="BI9" i="1"/>
  <c r="BH9" i="1"/>
  <c r="BG9" i="1"/>
  <c r="BF9" i="1"/>
  <c r="BE9" i="1"/>
  <c r="BD9" i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CB8" i="1"/>
  <c r="CA8" i="1"/>
  <c r="BZ8" i="1"/>
  <c r="BO8" i="1"/>
  <c r="BN8" i="1"/>
  <c r="BL8" i="1"/>
  <c r="BK8" i="1"/>
  <c r="BJ8" i="1"/>
  <c r="BI8" i="1"/>
  <c r="BH8" i="1"/>
  <c r="BG8" i="1"/>
  <c r="BF8" i="1"/>
  <c r="BE8" i="1"/>
  <c r="BD8" i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CB7" i="1"/>
  <c r="CA7" i="1"/>
  <c r="BZ7" i="1"/>
  <c r="BO7" i="1"/>
  <c r="BN7" i="1"/>
  <c r="BL7" i="1"/>
  <c r="BK7" i="1"/>
  <c r="BJ7" i="1"/>
  <c r="BI7" i="1"/>
  <c r="BH7" i="1"/>
  <c r="BG7" i="1"/>
  <c r="BF7" i="1"/>
  <c r="BE7" i="1"/>
  <c r="BD7" i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CB6" i="1"/>
  <c r="CA6" i="1"/>
  <c r="BZ6" i="1"/>
  <c r="BO6" i="1"/>
  <c r="BN6" i="1"/>
  <c r="BL6" i="1"/>
  <c r="BK6" i="1"/>
  <c r="BJ6" i="1"/>
  <c r="BI6" i="1"/>
  <c r="BH6" i="1"/>
  <c r="BG6" i="1"/>
  <c r="BF6" i="1"/>
  <c r="BE6" i="1"/>
  <c r="BD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H6" i="1"/>
  <c r="BO5" i="1"/>
  <c r="BH5" i="1"/>
  <c r="BG5" i="1"/>
  <c r="BE5" i="1"/>
  <c r="BD5" i="1"/>
  <c r="AT5" i="1"/>
  <c r="AR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H5" i="1"/>
  <c r="BO4" i="1"/>
  <c r="BH4" i="1"/>
  <c r="BG4" i="1"/>
  <c r="BE4" i="1"/>
  <c r="BD4" i="1"/>
  <c r="AT4" i="1"/>
  <c r="AR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H4" i="1"/>
  <c r="BO3" i="1"/>
  <c r="BH3" i="1"/>
  <c r="BG3" i="1"/>
  <c r="BE3" i="1"/>
  <c r="BD3" i="1"/>
  <c r="AT3" i="1"/>
  <c r="AR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H3" i="1"/>
  <c r="BO2" i="1"/>
  <c r="BH2" i="1"/>
  <c r="BG2" i="1"/>
  <c r="BE2" i="1"/>
  <c r="BD2" i="1"/>
  <c r="AT2" i="1"/>
  <c r="AR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H2" i="1"/>
  <c r="BM1105" i="1" l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087" i="1"/>
  <c r="BM1088" i="1"/>
  <c r="BM1089" i="1"/>
  <c r="BM1090" i="1"/>
  <c r="BM1091" i="1"/>
  <c r="BM1092" i="1"/>
  <c r="BM1093" i="1"/>
  <c r="BM1094" i="1"/>
  <c r="BM1095" i="1"/>
  <c r="BM1096" i="1"/>
  <c r="BM1097" i="1"/>
  <c r="BM1098" i="1"/>
  <c r="BM1099" i="1"/>
  <c r="BM1100" i="1"/>
  <c r="BM1101" i="1"/>
  <c r="BM1102" i="1"/>
  <c r="BM1103" i="1"/>
  <c r="BM1104" i="1"/>
  <c r="BM1071" i="1"/>
  <c r="BM1072" i="1"/>
  <c r="BM1073" i="1"/>
  <c r="BM1074" i="1"/>
  <c r="BM1075" i="1"/>
  <c r="BM1076" i="1"/>
  <c r="BM1077" i="1"/>
  <c r="BM1078" i="1"/>
  <c r="BM1079" i="1"/>
  <c r="BM1080" i="1"/>
  <c r="BM1081" i="1"/>
  <c r="BM1082" i="1"/>
  <c r="BM1083" i="1"/>
  <c r="BM1084" i="1"/>
  <c r="BM1085" i="1"/>
  <c r="BM1086" i="1"/>
  <c r="BM1058" i="1"/>
  <c r="BM1059" i="1"/>
  <c r="BM1062" i="1"/>
  <c r="BM1063" i="1"/>
  <c r="BM1064" i="1"/>
  <c r="BM1060" i="1"/>
  <c r="BM1061" i="1"/>
  <c r="BM1065" i="1"/>
  <c r="BM1066" i="1"/>
  <c r="BM1067" i="1"/>
  <c r="BM1068" i="1"/>
  <c r="BM1069" i="1"/>
  <c r="BM1070" i="1"/>
  <c r="BM1043" i="1"/>
  <c r="BM1045" i="1"/>
  <c r="BM1047" i="1"/>
  <c r="BM1049" i="1"/>
  <c r="BM1050" i="1"/>
  <c r="BM1051" i="1"/>
  <c r="BM1053" i="1"/>
  <c r="BM1055" i="1"/>
  <c r="BM1040" i="1"/>
  <c r="BM1041" i="1"/>
  <c r="BM1042" i="1"/>
  <c r="BM1044" i="1"/>
  <c r="BM1046" i="1"/>
  <c r="BM1048" i="1"/>
  <c r="BM1052" i="1"/>
  <c r="BM1054" i="1"/>
  <c r="BM1056" i="1"/>
  <c r="BM1057" i="1"/>
  <c r="BM1028" i="1"/>
  <c r="BM1029" i="1"/>
  <c r="BM1031" i="1"/>
  <c r="BM1033" i="1"/>
  <c r="BM1035" i="1"/>
  <c r="BM1036" i="1"/>
  <c r="BM1027" i="1"/>
  <c r="BM1030" i="1"/>
  <c r="BM1032" i="1"/>
  <c r="BM1034" i="1"/>
  <c r="BM1037" i="1"/>
  <c r="BM1038" i="1"/>
  <c r="BM1039" i="1"/>
  <c r="BM1026" i="1"/>
  <c r="BM1010" i="1"/>
  <c r="BM1011" i="1"/>
  <c r="BM1012" i="1"/>
  <c r="BM1013" i="1"/>
  <c r="BM1014" i="1"/>
  <c r="BM1015" i="1"/>
  <c r="BM1016" i="1"/>
  <c r="BM1017" i="1"/>
  <c r="BM1018" i="1"/>
  <c r="BM1019" i="1"/>
  <c r="BM1020" i="1"/>
  <c r="BM1021" i="1"/>
  <c r="BM1022" i="1"/>
  <c r="BM1023" i="1"/>
  <c r="BM1024" i="1"/>
  <c r="BM1025" i="1"/>
  <c r="BM994" i="1"/>
  <c r="BM995" i="1"/>
  <c r="BM996" i="1"/>
  <c r="BM997" i="1"/>
  <c r="BM998" i="1"/>
  <c r="BM999" i="1"/>
  <c r="BM1000" i="1"/>
  <c r="BM1001" i="1"/>
  <c r="BM1002" i="1"/>
  <c r="BM1003" i="1"/>
  <c r="BM1004" i="1"/>
  <c r="BM1005" i="1"/>
  <c r="BM1006" i="1"/>
  <c r="BM1007" i="1"/>
  <c r="BM1008" i="1"/>
  <c r="BM1009" i="1"/>
  <c r="BM977" i="1"/>
  <c r="BM978" i="1"/>
  <c r="BM979" i="1"/>
  <c r="BM980" i="1"/>
  <c r="BM981" i="1"/>
  <c r="BM982" i="1"/>
  <c r="BM983" i="1"/>
  <c r="BM984" i="1"/>
  <c r="BM985" i="1"/>
  <c r="BM986" i="1"/>
  <c r="BM987" i="1"/>
  <c r="BM988" i="1"/>
  <c r="BM989" i="1"/>
  <c r="BM990" i="1"/>
  <c r="BM991" i="1"/>
  <c r="BM992" i="1"/>
  <c r="BM993" i="1"/>
  <c r="BM961" i="1"/>
  <c r="BM962" i="1"/>
  <c r="BM963" i="1"/>
  <c r="BM964" i="1"/>
  <c r="BM965" i="1"/>
  <c r="BM966" i="1"/>
  <c r="BM967" i="1"/>
  <c r="BM968" i="1"/>
  <c r="BM969" i="1"/>
  <c r="BM970" i="1"/>
  <c r="BM971" i="1"/>
  <c r="BM972" i="1"/>
  <c r="BM973" i="1"/>
  <c r="BM974" i="1"/>
  <c r="BM975" i="1"/>
  <c r="BM976" i="1"/>
  <c r="BM950" i="1"/>
  <c r="BM954" i="1"/>
  <c r="BM948" i="1"/>
  <c r="BM951" i="1"/>
  <c r="BM952" i="1"/>
  <c r="BM953" i="1"/>
  <c r="BM955" i="1"/>
  <c r="BM956" i="1"/>
  <c r="BM958" i="1"/>
  <c r="BM959" i="1"/>
  <c r="BM960" i="1"/>
  <c r="BM949" i="1"/>
  <c r="BM957" i="1"/>
  <c r="BM938" i="1"/>
  <c r="BM947" i="1"/>
  <c r="BM934" i="1"/>
  <c r="BM941" i="1"/>
  <c r="BM944" i="1"/>
  <c r="BM945" i="1"/>
  <c r="BM935" i="1"/>
  <c r="BM936" i="1"/>
  <c r="BM937" i="1"/>
  <c r="BM940" i="1"/>
  <c r="BM939" i="1"/>
  <c r="BM942" i="1"/>
  <c r="BM943" i="1"/>
  <c r="BM946" i="1"/>
  <c r="BM933" i="1"/>
  <c r="BM927" i="1"/>
  <c r="BM928" i="1"/>
  <c r="BM929" i="1"/>
  <c r="BM930" i="1"/>
  <c r="BM921" i="1"/>
  <c r="BM922" i="1"/>
  <c r="BM923" i="1"/>
  <c r="BM924" i="1"/>
  <c r="BM925" i="1"/>
  <c r="BM926" i="1"/>
  <c r="BM931" i="1"/>
  <c r="BM932" i="1"/>
  <c r="BM905" i="1"/>
  <c r="BM906" i="1"/>
  <c r="BM907" i="1"/>
  <c r="BM908" i="1"/>
  <c r="BM909" i="1"/>
  <c r="BM910" i="1"/>
  <c r="BM911" i="1"/>
  <c r="BM912" i="1"/>
  <c r="BM913" i="1"/>
  <c r="BM914" i="1"/>
  <c r="BM915" i="1"/>
  <c r="BM916" i="1"/>
  <c r="BM917" i="1"/>
  <c r="BM918" i="1"/>
  <c r="BM919" i="1"/>
  <c r="BM920" i="1"/>
  <c r="BM892" i="1"/>
  <c r="BM893" i="1"/>
  <c r="BM894" i="1"/>
  <c r="BM895" i="1"/>
  <c r="BM896" i="1"/>
  <c r="BM897" i="1"/>
  <c r="BM898" i="1"/>
  <c r="BM899" i="1"/>
  <c r="BM900" i="1"/>
  <c r="BM901" i="1"/>
  <c r="BM902" i="1"/>
  <c r="BM903" i="1"/>
  <c r="BM904" i="1"/>
  <c r="BM879" i="1"/>
  <c r="BM880" i="1"/>
  <c r="BM881" i="1"/>
  <c r="BM882" i="1"/>
  <c r="BM883" i="1"/>
  <c r="BM884" i="1"/>
  <c r="BM885" i="1"/>
  <c r="BM886" i="1"/>
  <c r="BM887" i="1"/>
  <c r="BM888" i="1"/>
  <c r="BM889" i="1"/>
  <c r="BM890" i="1"/>
  <c r="BM891" i="1"/>
  <c r="BM865" i="1"/>
  <c r="BM866" i="1"/>
  <c r="BM867" i="1"/>
  <c r="BM868" i="1"/>
  <c r="BM869" i="1"/>
  <c r="BM870" i="1"/>
  <c r="BM871" i="1"/>
  <c r="BM872" i="1"/>
  <c r="BM873" i="1"/>
  <c r="BM874" i="1"/>
  <c r="BM875" i="1"/>
  <c r="BM876" i="1"/>
  <c r="BM877" i="1"/>
  <c r="BM878" i="1"/>
  <c r="BM850" i="1"/>
  <c r="BM851" i="1"/>
  <c r="BM852" i="1"/>
  <c r="BM853" i="1"/>
  <c r="BM854" i="1"/>
  <c r="BM855" i="1"/>
  <c r="BM856" i="1"/>
  <c r="BM857" i="1"/>
  <c r="BM858" i="1"/>
  <c r="BM859" i="1"/>
  <c r="BM860" i="1"/>
  <c r="BM861" i="1"/>
  <c r="BM862" i="1"/>
  <c r="BM863" i="1"/>
  <c r="BM864" i="1"/>
  <c r="BM837" i="1"/>
  <c r="BM842" i="1"/>
  <c r="BM846" i="1"/>
  <c r="BM836" i="1"/>
  <c r="BM843" i="1"/>
  <c r="BM835" i="1"/>
  <c r="BM841" i="1"/>
  <c r="BM844" i="1"/>
  <c r="BM847" i="1"/>
  <c r="BM840" i="1"/>
  <c r="BM848" i="1"/>
  <c r="BM849" i="1"/>
  <c r="BM838" i="1"/>
  <c r="BM839" i="1"/>
  <c r="BM845" i="1"/>
  <c r="BM829" i="1"/>
  <c r="BM828" i="1"/>
  <c r="BM834" i="1"/>
  <c r="BM816" i="1"/>
  <c r="BM817" i="1"/>
  <c r="BM818" i="1"/>
  <c r="BM819" i="1"/>
  <c r="BM820" i="1"/>
  <c r="BM821" i="1"/>
  <c r="BM822" i="1"/>
  <c r="BM823" i="1"/>
  <c r="BM824" i="1"/>
  <c r="BM825" i="1"/>
  <c r="BM826" i="1"/>
  <c r="BM827" i="1"/>
  <c r="BM831" i="1"/>
  <c r="BM832" i="1"/>
  <c r="BM833" i="1"/>
  <c r="BM830" i="1"/>
  <c r="BM800" i="1"/>
  <c r="BM801" i="1"/>
  <c r="BM802" i="1"/>
  <c r="BM803" i="1"/>
  <c r="BM804" i="1"/>
  <c r="BM805" i="1"/>
  <c r="BM806" i="1"/>
  <c r="BM807" i="1"/>
  <c r="BM808" i="1"/>
  <c r="BM809" i="1"/>
  <c r="BM810" i="1"/>
  <c r="BM811" i="1"/>
  <c r="BM812" i="1"/>
  <c r="BM813" i="1"/>
  <c r="BM814" i="1"/>
  <c r="BM815" i="1"/>
  <c r="BM784" i="1"/>
  <c r="BM785" i="1"/>
  <c r="BM786" i="1"/>
  <c r="BM787" i="1"/>
  <c r="BM788" i="1"/>
  <c r="BM789" i="1"/>
  <c r="BM790" i="1"/>
  <c r="BM791" i="1"/>
  <c r="BM792" i="1"/>
  <c r="BM793" i="1"/>
  <c r="BM794" i="1"/>
  <c r="BM795" i="1"/>
  <c r="BM796" i="1"/>
  <c r="BM797" i="1"/>
  <c r="BM798" i="1"/>
  <c r="BM799" i="1"/>
  <c r="BM770" i="1"/>
  <c r="BM771" i="1"/>
  <c r="BM772" i="1"/>
  <c r="BM773" i="1"/>
  <c r="BM774" i="1"/>
  <c r="BM775" i="1"/>
  <c r="BM776" i="1"/>
  <c r="BM777" i="1"/>
  <c r="BM778" i="1"/>
  <c r="BM779" i="1"/>
  <c r="BM780" i="1"/>
  <c r="BM781" i="1"/>
  <c r="BM782" i="1"/>
  <c r="BM783" i="1"/>
  <c r="BM754" i="1"/>
  <c r="BM755" i="1"/>
  <c r="BM756" i="1"/>
  <c r="BM757" i="1"/>
  <c r="BM758" i="1"/>
  <c r="BM759" i="1"/>
  <c r="BM760" i="1"/>
  <c r="BM761" i="1"/>
  <c r="BM762" i="1"/>
  <c r="BM763" i="1"/>
  <c r="BM764" i="1"/>
  <c r="BM765" i="1"/>
  <c r="BM766" i="1"/>
  <c r="BM767" i="1"/>
  <c r="BM768" i="1"/>
  <c r="BM769" i="1"/>
  <c r="BM741" i="1"/>
  <c r="BM743" i="1"/>
  <c r="BM744" i="1"/>
  <c r="BM745" i="1"/>
  <c r="BM746" i="1"/>
  <c r="BM747" i="1"/>
  <c r="BM748" i="1"/>
  <c r="BM749" i="1"/>
  <c r="BM750" i="1"/>
  <c r="BM751" i="1"/>
  <c r="BM752" i="1"/>
  <c r="BM753" i="1"/>
  <c r="BM742" i="1"/>
  <c r="BM731" i="1"/>
  <c r="BM737" i="1"/>
  <c r="BM736" i="1"/>
  <c r="BM739" i="1"/>
  <c r="BM725" i="1"/>
  <c r="BM726" i="1"/>
  <c r="BM727" i="1"/>
  <c r="BM729" i="1"/>
  <c r="BM734" i="1"/>
  <c r="BM738" i="1"/>
  <c r="BM732" i="1"/>
  <c r="BM730" i="1"/>
  <c r="BM735" i="1"/>
  <c r="BM740" i="1"/>
  <c r="BM728" i="1"/>
  <c r="BM733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37" i="1"/>
  <c r="BM640" i="1"/>
  <c r="BM642" i="1"/>
  <c r="BM641" i="1"/>
  <c r="BM643" i="1"/>
  <c r="BM644" i="1"/>
  <c r="BM645" i="1"/>
  <c r="BM646" i="1"/>
  <c r="BM647" i="1"/>
  <c r="BM648" i="1"/>
  <c r="BM633" i="1"/>
  <c r="BM634" i="1"/>
  <c r="BM639" i="1"/>
  <c r="BM636" i="1"/>
  <c r="BM635" i="1"/>
  <c r="BM638" i="1"/>
  <c r="BM631" i="1"/>
  <c r="BM629" i="1"/>
  <c r="BM619" i="1"/>
  <c r="BM620" i="1"/>
  <c r="BM621" i="1"/>
  <c r="BM622" i="1"/>
  <c r="BM623" i="1"/>
  <c r="BM624" i="1"/>
  <c r="BM625" i="1"/>
  <c r="BM626" i="1"/>
  <c r="BM627" i="1"/>
  <c r="BM628" i="1"/>
  <c r="BM630" i="1"/>
  <c r="BM632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49" i="1"/>
  <c r="BM553" i="1"/>
  <c r="BM556" i="1"/>
  <c r="BM558" i="1"/>
  <c r="BM559" i="1"/>
  <c r="BM560" i="1"/>
  <c r="BM554" i="1"/>
  <c r="BM557" i="1"/>
  <c r="BM551" i="1"/>
  <c r="BM548" i="1"/>
  <c r="BM550" i="1"/>
  <c r="BM552" i="1"/>
  <c r="BM555" i="1"/>
  <c r="BM535" i="1"/>
  <c r="BM540" i="1"/>
  <c r="BM547" i="1"/>
  <c r="BM534" i="1"/>
  <c r="BM532" i="1"/>
  <c r="BM539" i="1"/>
  <c r="BM544" i="1"/>
  <c r="BM546" i="1"/>
  <c r="BM537" i="1"/>
  <c r="BM545" i="1"/>
  <c r="BM533" i="1"/>
  <c r="BM538" i="1"/>
  <c r="BM542" i="1"/>
  <c r="BM541" i="1"/>
  <c r="BM536" i="1"/>
  <c r="BM543" i="1"/>
  <c r="BM530" i="1"/>
  <c r="BM531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21" i="1"/>
  <c r="BM422" i="1"/>
  <c r="BM423" i="1"/>
  <c r="BM424" i="1"/>
  <c r="BM425" i="1"/>
  <c r="BM426" i="1"/>
  <c r="BM427" i="1"/>
  <c r="BM428" i="1"/>
  <c r="BM429" i="1"/>
  <c r="BM431" i="1"/>
  <c r="BM432" i="1"/>
  <c r="BM433" i="1"/>
  <c r="BM434" i="1"/>
  <c r="BM435" i="1"/>
  <c r="BM436" i="1"/>
  <c r="BM430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59" i="1"/>
  <c r="BM360" i="1"/>
  <c r="BM361" i="1"/>
  <c r="BM362" i="1"/>
  <c r="BM363" i="1"/>
  <c r="BM364" i="1"/>
  <c r="BM365" i="1"/>
  <c r="BM366" i="1"/>
  <c r="BM367" i="1"/>
  <c r="BM368" i="1"/>
  <c r="BM369" i="1"/>
  <c r="BM370" i="1"/>
  <c r="BM371" i="1"/>
  <c r="BM372" i="1"/>
  <c r="BM373" i="1"/>
  <c r="BM374" i="1"/>
  <c r="BM375" i="1"/>
  <c r="BM376" i="1"/>
  <c r="BM345" i="1"/>
  <c r="BM346" i="1"/>
  <c r="BM347" i="1"/>
  <c r="BM348" i="1"/>
  <c r="BM349" i="1"/>
  <c r="BM350" i="1"/>
  <c r="BM351" i="1"/>
  <c r="BM352" i="1"/>
  <c r="BM353" i="1"/>
  <c r="BM354" i="1"/>
  <c r="BM355" i="1"/>
  <c r="BM356" i="1"/>
  <c r="BM357" i="1"/>
  <c r="BM358" i="1"/>
  <c r="BM335" i="1"/>
  <c r="BM341" i="1"/>
  <c r="BM336" i="1"/>
  <c r="BM329" i="1"/>
  <c r="BM342" i="1"/>
  <c r="BM343" i="1"/>
  <c r="BM344" i="1"/>
  <c r="BM331" i="1"/>
  <c r="BM333" i="1"/>
  <c r="BM338" i="1"/>
  <c r="BM340" i="1"/>
  <c r="BM337" i="1"/>
  <c r="BM339" i="1"/>
  <c r="BM330" i="1"/>
  <c r="BM332" i="1"/>
  <c r="BM334" i="1"/>
  <c r="BM314" i="1"/>
  <c r="BM315" i="1"/>
  <c r="BM316" i="1"/>
  <c r="BM317" i="1"/>
  <c r="BM318" i="1"/>
  <c r="BM319" i="1"/>
  <c r="BM320" i="1"/>
  <c r="BM321" i="1"/>
  <c r="BM322" i="1"/>
  <c r="BM323" i="1"/>
  <c r="BM324" i="1"/>
  <c r="BM325" i="1"/>
  <c r="BM326" i="1"/>
  <c r="BM327" i="1"/>
  <c r="BM328" i="1"/>
  <c r="BM300" i="1"/>
  <c r="BM301" i="1"/>
  <c r="BM302" i="1"/>
  <c r="BM303" i="1"/>
  <c r="BM304" i="1"/>
  <c r="BM305" i="1"/>
  <c r="BM306" i="1"/>
  <c r="BM307" i="1"/>
  <c r="BM308" i="1"/>
  <c r="BM309" i="1"/>
  <c r="BM310" i="1"/>
  <c r="BM311" i="1"/>
  <c r="BM312" i="1"/>
  <c r="BM313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69" i="1"/>
  <c r="BM259" i="1"/>
  <c r="BM268" i="1"/>
  <c r="BM263" i="1"/>
  <c r="BM265" i="1"/>
  <c r="BM267" i="1"/>
  <c r="BM260" i="1"/>
  <c r="BM270" i="1"/>
  <c r="BM261" i="1"/>
  <c r="BM262" i="1"/>
  <c r="BM264" i="1"/>
  <c r="BM266" i="1"/>
  <c r="BM245" i="1"/>
  <c r="BM248" i="1"/>
  <c r="BM253" i="1"/>
  <c r="BM254" i="1"/>
  <c r="BM258" i="1"/>
  <c r="BM256" i="1"/>
  <c r="BM249" i="1"/>
  <c r="BM250" i="1"/>
  <c r="BM251" i="1"/>
  <c r="BM246" i="1"/>
  <c r="BM255" i="1"/>
  <c r="BM257" i="1"/>
  <c r="BM247" i="1"/>
  <c r="BM252" i="1"/>
  <c r="BM233" i="1"/>
  <c r="BM239" i="1"/>
  <c r="BM241" i="1"/>
  <c r="BM231" i="1"/>
  <c r="BM228" i="1"/>
  <c r="BM229" i="1"/>
  <c r="BM230" i="1"/>
  <c r="BM232" i="1"/>
  <c r="BM236" i="1"/>
  <c r="BM244" i="1"/>
  <c r="BM234" i="1"/>
  <c r="BM235" i="1"/>
  <c r="BM240" i="1"/>
  <c r="BM242" i="1"/>
  <c r="BM238" i="1"/>
  <c r="BM237" i="1"/>
  <c r="BM243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CE209" i="1"/>
  <c r="CD209" i="1"/>
  <c r="CC209" i="1" s="1"/>
  <c r="CE208" i="1"/>
  <c r="CD208" i="1"/>
  <c r="CC208" i="1" s="1"/>
  <c r="CE207" i="1"/>
  <c r="CD207" i="1"/>
  <c r="CC207" i="1" s="1"/>
  <c r="CE206" i="1"/>
  <c r="CD206" i="1"/>
  <c r="CC206" i="1" s="1"/>
  <c r="CE205" i="1"/>
  <c r="CD205" i="1"/>
  <c r="CC205" i="1" s="1"/>
  <c r="CE204" i="1"/>
  <c r="CD204" i="1"/>
  <c r="CC204" i="1" s="1"/>
  <c r="CE203" i="1"/>
  <c r="CD203" i="1"/>
  <c r="CC203" i="1" s="1"/>
  <c r="CE202" i="1"/>
  <c r="CD202" i="1"/>
  <c r="CC202" i="1" s="1"/>
  <c r="CE201" i="1"/>
  <c r="CD201" i="1"/>
  <c r="CC201" i="1" s="1"/>
  <c r="CE200" i="1"/>
  <c r="CD200" i="1"/>
  <c r="CC200" i="1" s="1"/>
  <c r="CE199" i="1"/>
  <c r="CD199" i="1"/>
  <c r="CC199" i="1" s="1"/>
  <c r="CE198" i="1"/>
  <c r="CD198" i="1"/>
  <c r="CC198" i="1" s="1"/>
  <c r="CE197" i="1"/>
  <c r="CD197" i="1"/>
  <c r="CC197" i="1" s="1"/>
  <c r="CE196" i="1"/>
  <c r="CD196" i="1"/>
  <c r="CC196" i="1" s="1"/>
  <c r="CE195" i="1"/>
  <c r="CD195" i="1"/>
  <c r="CC195" i="1" s="1"/>
  <c r="CE194" i="1"/>
  <c r="CD194" i="1"/>
  <c r="CC194" i="1" s="1"/>
  <c r="CE193" i="1"/>
  <c r="CD193" i="1"/>
  <c r="CC193" i="1" s="1"/>
  <c r="CE192" i="1"/>
  <c r="CD192" i="1"/>
  <c r="CC192" i="1" s="1"/>
  <c r="CE191" i="1"/>
  <c r="CD191" i="1"/>
  <c r="CC191" i="1" s="1"/>
  <c r="CE190" i="1"/>
  <c r="CD190" i="1"/>
  <c r="CC190" i="1" s="1"/>
  <c r="CE189" i="1"/>
  <c r="CD189" i="1"/>
  <c r="CC189" i="1" s="1"/>
  <c r="CE188" i="1"/>
  <c r="CD188" i="1"/>
  <c r="CC188" i="1" s="1"/>
  <c r="CE187" i="1"/>
  <c r="CD187" i="1"/>
  <c r="CC187" i="1" s="1"/>
  <c r="CE186" i="1"/>
  <c r="CD186" i="1"/>
  <c r="CC186" i="1" s="1"/>
  <c r="CE185" i="1"/>
  <c r="CD185" i="1"/>
  <c r="CC185" i="1" s="1"/>
  <c r="CE184" i="1"/>
  <c r="CD184" i="1"/>
  <c r="CC184" i="1" s="1"/>
  <c r="CE183" i="1"/>
  <c r="CD183" i="1"/>
  <c r="CC183" i="1" s="1"/>
  <c r="CE182" i="1"/>
  <c r="CD182" i="1"/>
  <c r="CC182" i="1" s="1"/>
  <c r="CE181" i="1"/>
  <c r="CD181" i="1"/>
  <c r="CC181" i="1" s="1"/>
  <c r="CE180" i="1"/>
  <c r="CD180" i="1"/>
  <c r="CC180" i="1" s="1"/>
  <c r="CE179" i="1"/>
  <c r="CD179" i="1"/>
  <c r="CC179" i="1" s="1"/>
  <c r="CE178" i="1"/>
  <c r="CD178" i="1"/>
  <c r="CC178" i="1" s="1"/>
  <c r="CE177" i="1"/>
  <c r="CD177" i="1"/>
  <c r="CC177" i="1" s="1"/>
  <c r="CE176" i="1"/>
  <c r="CD176" i="1"/>
  <c r="CC176" i="1" s="1"/>
  <c r="CE175" i="1"/>
  <c r="CD175" i="1"/>
  <c r="CC175" i="1" s="1"/>
  <c r="CE174" i="1"/>
  <c r="CD174" i="1"/>
  <c r="CC174" i="1" s="1"/>
  <c r="CE173" i="1"/>
  <c r="CD173" i="1"/>
  <c r="CC173" i="1" s="1"/>
  <c r="CE172" i="1"/>
  <c r="CD172" i="1"/>
  <c r="CC172" i="1" s="1"/>
  <c r="CE171" i="1"/>
  <c r="CD171" i="1"/>
  <c r="CC171" i="1" s="1"/>
  <c r="CE170" i="1"/>
  <c r="CD170" i="1"/>
  <c r="CC170" i="1" s="1"/>
  <c r="CE169" i="1"/>
  <c r="CD169" i="1"/>
  <c r="CC169" i="1" s="1"/>
  <c r="CE168" i="1"/>
  <c r="CD168" i="1"/>
  <c r="CC168" i="1" s="1"/>
  <c r="CE167" i="1"/>
  <c r="CD167" i="1"/>
  <c r="CC167" i="1" s="1"/>
  <c r="CE166" i="1"/>
  <c r="CD166" i="1"/>
  <c r="CE165" i="1"/>
  <c r="CD165" i="1"/>
  <c r="CC165" i="1" s="1"/>
  <c r="CE164" i="1"/>
  <c r="CD164" i="1"/>
  <c r="CC164" i="1" s="1"/>
  <c r="CE163" i="1"/>
  <c r="CD163" i="1"/>
  <c r="CC163" i="1" s="1"/>
  <c r="CE162" i="1"/>
  <c r="CD162" i="1"/>
  <c r="CC162" i="1" s="1"/>
  <c r="CE161" i="1"/>
  <c r="CD161" i="1"/>
  <c r="CC161" i="1" s="1"/>
  <c r="CE160" i="1"/>
  <c r="CD160" i="1"/>
  <c r="CC160" i="1" s="1"/>
  <c r="CE159" i="1"/>
  <c r="CD159" i="1"/>
  <c r="CC159" i="1" s="1"/>
  <c r="CE158" i="1"/>
  <c r="CD158" i="1"/>
  <c r="CC158" i="1" s="1"/>
  <c r="CE157" i="1"/>
  <c r="CD157" i="1"/>
  <c r="CC157" i="1" s="1"/>
  <c r="CE156" i="1"/>
  <c r="CD156" i="1"/>
  <c r="CC156" i="1" s="1"/>
  <c r="CE155" i="1"/>
  <c r="CD155" i="1"/>
  <c r="CC155" i="1" s="1"/>
  <c r="CE154" i="1"/>
  <c r="CD154" i="1"/>
  <c r="CC154" i="1" s="1"/>
  <c r="CE153" i="1"/>
  <c r="CD153" i="1"/>
  <c r="CC153" i="1" s="1"/>
  <c r="CE152" i="1"/>
  <c r="CD152" i="1"/>
  <c r="CE151" i="1"/>
  <c r="CD151" i="1"/>
  <c r="CC151" i="1" s="1"/>
  <c r="CE150" i="1"/>
  <c r="CD150" i="1"/>
  <c r="CC150" i="1" s="1"/>
  <c r="CE148" i="1"/>
  <c r="CD148" i="1"/>
  <c r="CC148" i="1" s="1"/>
  <c r="CE147" i="1"/>
  <c r="CD147" i="1"/>
  <c r="CC147" i="1" s="1"/>
  <c r="CE146" i="1"/>
  <c r="CD146" i="1"/>
  <c r="CC146" i="1" s="1"/>
  <c r="CE144" i="1"/>
  <c r="CD144" i="1"/>
  <c r="CC144" i="1" s="1"/>
  <c r="CE143" i="1"/>
  <c r="CD143" i="1"/>
  <c r="CC143" i="1" s="1"/>
  <c r="CE142" i="1"/>
  <c r="CD142" i="1"/>
  <c r="CC142" i="1" s="1"/>
  <c r="CE141" i="1"/>
  <c r="CD141" i="1"/>
  <c r="CC141" i="1" s="1"/>
  <c r="CE140" i="1"/>
  <c r="CD140" i="1"/>
  <c r="CC140" i="1" s="1"/>
  <c r="CE139" i="1"/>
  <c r="CD139" i="1"/>
  <c r="CC139" i="1" s="1"/>
  <c r="CE138" i="1"/>
  <c r="CD138" i="1"/>
  <c r="CC138" i="1" s="1"/>
  <c r="CE137" i="1"/>
  <c r="CD137" i="1"/>
  <c r="CC137" i="1" s="1"/>
  <c r="CE136" i="1"/>
  <c r="CD136" i="1"/>
  <c r="CC136" i="1" s="1"/>
  <c r="CE134" i="1"/>
  <c r="CD134" i="1"/>
  <c r="CC134" i="1" s="1"/>
  <c r="CE133" i="1"/>
  <c r="CD133" i="1"/>
  <c r="CC133" i="1" s="1"/>
  <c r="CE132" i="1"/>
  <c r="CD132" i="1"/>
  <c r="CC132" i="1" s="1"/>
  <c r="CE131" i="1"/>
  <c r="CD131" i="1"/>
  <c r="CC131" i="1" s="1"/>
  <c r="CE130" i="1"/>
  <c r="CD130" i="1"/>
  <c r="CC130" i="1" s="1"/>
  <c r="CE129" i="1"/>
  <c r="CD129" i="1"/>
  <c r="CC129" i="1" s="1"/>
  <c r="CE128" i="1"/>
  <c r="CD128" i="1"/>
  <c r="CC128" i="1" s="1"/>
  <c r="CE127" i="1"/>
  <c r="CD127" i="1"/>
  <c r="CC127" i="1" s="1"/>
  <c r="CE126" i="1"/>
  <c r="CD126" i="1"/>
  <c r="CC126" i="1" s="1"/>
  <c r="CE125" i="1"/>
  <c r="CD125" i="1"/>
  <c r="CC125" i="1" s="1"/>
  <c r="CE124" i="1"/>
  <c r="CD124" i="1"/>
  <c r="CC124" i="1" s="1"/>
  <c r="CE123" i="1"/>
  <c r="CD123" i="1"/>
  <c r="CC123" i="1" s="1"/>
  <c r="CE122" i="1"/>
  <c r="CD122" i="1"/>
  <c r="CC122" i="1" s="1"/>
  <c r="CE121" i="1"/>
  <c r="CD121" i="1"/>
  <c r="CC121" i="1" s="1"/>
  <c r="CE120" i="1"/>
  <c r="CD120" i="1"/>
  <c r="CC120" i="1" s="1"/>
  <c r="CE119" i="1"/>
  <c r="CD119" i="1"/>
  <c r="CC119" i="1" s="1"/>
  <c r="CE118" i="1"/>
  <c r="CD118" i="1"/>
  <c r="CC118" i="1" s="1"/>
  <c r="CE117" i="1"/>
  <c r="CD117" i="1"/>
  <c r="CC117" i="1" s="1"/>
  <c r="CE116" i="1"/>
  <c r="CD116" i="1"/>
  <c r="CC116" i="1" s="1"/>
  <c r="CE115" i="1"/>
  <c r="CD115" i="1"/>
  <c r="CC115" i="1" s="1"/>
  <c r="CE114" i="1"/>
  <c r="CD114" i="1"/>
  <c r="CC114" i="1" s="1"/>
  <c r="CE113" i="1"/>
  <c r="CD113" i="1"/>
  <c r="CC113" i="1" s="1"/>
  <c r="CE112" i="1"/>
  <c r="CD112" i="1"/>
  <c r="CC112" i="1" s="1"/>
  <c r="CE111" i="1"/>
  <c r="CD111" i="1"/>
  <c r="CC111" i="1" s="1"/>
  <c r="CE110" i="1"/>
  <c r="CD110" i="1"/>
  <c r="CC110" i="1" s="1"/>
  <c r="CE108" i="1"/>
  <c r="CD108" i="1"/>
  <c r="CC108" i="1" s="1"/>
  <c r="CE107" i="1"/>
  <c r="CD107" i="1"/>
  <c r="CC107" i="1" s="1"/>
  <c r="CE106" i="1"/>
  <c r="CD106" i="1"/>
  <c r="CC106" i="1" s="1"/>
  <c r="CE105" i="1"/>
  <c r="CD105" i="1"/>
  <c r="CC105" i="1" s="1"/>
  <c r="CE104" i="1"/>
  <c r="CD104" i="1"/>
  <c r="CC104" i="1" s="1"/>
  <c r="CE103" i="1"/>
  <c r="CD103" i="1"/>
  <c r="CC103" i="1" s="1"/>
  <c r="CE102" i="1"/>
  <c r="CD102" i="1"/>
  <c r="CC102" i="1" s="1"/>
  <c r="CE101" i="1"/>
  <c r="CD101" i="1"/>
  <c r="CC101" i="1" s="1"/>
  <c r="CE100" i="1"/>
  <c r="CD100" i="1"/>
  <c r="CC100" i="1" s="1"/>
  <c r="CE99" i="1"/>
  <c r="CD99" i="1"/>
  <c r="CC99" i="1" s="1"/>
  <c r="CE98" i="1"/>
  <c r="CD98" i="1"/>
  <c r="CC98" i="1" s="1"/>
  <c r="CE97" i="1"/>
  <c r="CD97" i="1"/>
  <c r="CC97" i="1" s="1"/>
  <c r="CE95" i="1"/>
  <c r="CD95" i="1"/>
  <c r="CC95" i="1" s="1"/>
  <c r="CE94" i="1"/>
  <c r="CD94" i="1"/>
  <c r="CE93" i="1"/>
  <c r="CD93" i="1"/>
  <c r="CC93" i="1" s="1"/>
  <c r="CE92" i="1"/>
  <c r="CD92" i="1"/>
  <c r="CC92" i="1" s="1"/>
  <c r="CE91" i="1"/>
  <c r="CD91" i="1"/>
  <c r="CC91" i="1" s="1"/>
  <c r="CE90" i="1"/>
  <c r="CD90" i="1"/>
  <c r="CC90" i="1" s="1"/>
  <c r="CE89" i="1"/>
  <c r="CD89" i="1"/>
  <c r="CC89" i="1" s="1"/>
  <c r="CE87" i="1"/>
  <c r="CD87" i="1"/>
  <c r="CC87" i="1" s="1"/>
  <c r="CE86" i="1"/>
  <c r="CD86" i="1"/>
  <c r="CC86" i="1" s="1"/>
  <c r="CE85" i="1"/>
  <c r="CD85" i="1"/>
  <c r="CC85" i="1" s="1"/>
  <c r="CE84" i="1"/>
  <c r="CD84" i="1"/>
  <c r="CC84" i="1" s="1"/>
  <c r="CE83" i="1"/>
  <c r="CD83" i="1"/>
  <c r="CC83" i="1" s="1"/>
  <c r="CE82" i="1"/>
  <c r="CD82" i="1"/>
  <c r="CC82" i="1" s="1"/>
  <c r="CE81" i="1"/>
  <c r="CD81" i="1"/>
  <c r="CC81" i="1" s="1"/>
  <c r="CE80" i="1"/>
  <c r="CD80" i="1"/>
  <c r="CC80" i="1" s="1"/>
  <c r="CE79" i="1"/>
  <c r="CD79" i="1"/>
  <c r="CC79" i="1" s="1"/>
  <c r="CE78" i="1"/>
  <c r="CD78" i="1"/>
  <c r="CC78" i="1" s="1"/>
  <c r="CE77" i="1"/>
  <c r="CD77" i="1"/>
  <c r="CC77" i="1" s="1"/>
  <c r="CE76" i="1"/>
  <c r="CD76" i="1"/>
  <c r="CC76" i="1" s="1"/>
  <c r="CE74" i="1"/>
  <c r="CD74" i="1"/>
  <c r="CC74" i="1" s="1"/>
  <c r="CE73" i="1"/>
  <c r="CD73" i="1"/>
  <c r="CC73" i="1" s="1"/>
  <c r="CE72" i="1"/>
  <c r="CD72" i="1"/>
  <c r="CC72" i="1" s="1"/>
  <c r="CE71" i="1"/>
  <c r="CD71" i="1"/>
  <c r="CC71" i="1" s="1"/>
  <c r="CE70" i="1"/>
  <c r="CD70" i="1"/>
  <c r="CC70" i="1" s="1"/>
  <c r="CE69" i="1"/>
  <c r="CD69" i="1"/>
  <c r="CC69" i="1" s="1"/>
  <c r="CE68" i="1"/>
  <c r="CD68" i="1"/>
  <c r="CC68" i="1" s="1"/>
  <c r="CE67" i="1"/>
  <c r="CD67" i="1"/>
  <c r="CC67" i="1" s="1"/>
  <c r="CE66" i="1"/>
  <c r="CD66" i="1"/>
  <c r="CC66" i="1" s="1"/>
  <c r="CE65" i="1"/>
  <c r="CD65" i="1"/>
  <c r="CC65" i="1" s="1"/>
  <c r="CE64" i="1"/>
  <c r="CD64" i="1"/>
  <c r="CC64" i="1" s="1"/>
  <c r="CE63" i="1"/>
  <c r="CD63" i="1"/>
  <c r="CC63" i="1" s="1"/>
  <c r="CE61" i="1"/>
  <c r="CD61" i="1"/>
  <c r="CC61" i="1" s="1"/>
  <c r="CE60" i="1"/>
  <c r="CD60" i="1"/>
  <c r="CC60" i="1" s="1"/>
  <c r="CE59" i="1"/>
  <c r="CD59" i="1"/>
  <c r="CC59" i="1" s="1"/>
  <c r="CE58" i="1"/>
  <c r="CD58" i="1"/>
  <c r="CC58" i="1" s="1"/>
  <c r="CE57" i="1"/>
  <c r="CD57" i="1"/>
  <c r="CC57" i="1" s="1"/>
  <c r="CE56" i="1"/>
  <c r="CD56" i="1"/>
  <c r="CC56" i="1" s="1"/>
  <c r="CE55" i="1"/>
  <c r="CD55" i="1"/>
  <c r="CC55" i="1" s="1"/>
  <c r="CE54" i="1"/>
  <c r="CD54" i="1"/>
  <c r="CC54" i="1" s="1"/>
  <c r="CE53" i="1"/>
  <c r="CD53" i="1"/>
  <c r="CC53" i="1" s="1"/>
  <c r="CE52" i="1"/>
  <c r="CD52" i="1"/>
  <c r="CC52" i="1" s="1"/>
  <c r="CE51" i="1"/>
  <c r="CD51" i="1"/>
  <c r="CC51" i="1" s="1"/>
  <c r="CE50" i="1"/>
  <c r="CD50" i="1"/>
  <c r="CC50" i="1" s="1"/>
  <c r="CE49" i="1"/>
  <c r="CD49" i="1"/>
  <c r="CC49" i="1" s="1"/>
  <c r="CE48" i="1"/>
  <c r="CD48" i="1"/>
  <c r="CC48" i="1" s="1"/>
  <c r="CE47" i="1"/>
  <c r="CD47" i="1"/>
  <c r="CC47" i="1" s="1"/>
  <c r="CE46" i="1"/>
  <c r="CD46" i="1"/>
  <c r="CC46" i="1" s="1"/>
  <c r="CE45" i="1"/>
  <c r="CD45" i="1"/>
  <c r="CC45" i="1" s="1"/>
  <c r="CE44" i="1"/>
  <c r="CD44" i="1"/>
  <c r="CC44" i="1" s="1"/>
  <c r="CE43" i="1"/>
  <c r="CD43" i="1"/>
  <c r="CC43" i="1" s="1"/>
  <c r="CE42" i="1"/>
  <c r="CD42" i="1"/>
  <c r="CC42" i="1" s="1"/>
  <c r="CE41" i="1"/>
  <c r="CD41" i="1"/>
  <c r="CC41" i="1" s="1"/>
  <c r="CE40" i="1"/>
  <c r="CD40" i="1"/>
  <c r="CC40" i="1" s="1"/>
  <c r="CE39" i="1"/>
  <c r="CD39" i="1"/>
  <c r="CC39" i="1" s="1"/>
  <c r="CE38" i="1"/>
  <c r="CD38" i="1"/>
  <c r="CC38" i="1" s="1"/>
  <c r="CE37" i="1"/>
  <c r="CD37" i="1"/>
  <c r="CC37" i="1" s="1"/>
  <c r="CE36" i="1"/>
  <c r="CD36" i="1"/>
  <c r="CC36" i="1" s="1"/>
  <c r="CE35" i="1"/>
  <c r="CD35" i="1"/>
  <c r="CC35" i="1" s="1"/>
  <c r="CE34" i="1"/>
  <c r="CD34" i="1"/>
  <c r="CC34" i="1" s="1"/>
  <c r="CE32" i="1"/>
  <c r="CD32" i="1"/>
  <c r="CC32" i="1" s="1"/>
  <c r="CE31" i="1"/>
  <c r="CD31" i="1"/>
  <c r="CC31" i="1" s="1"/>
  <c r="CE30" i="1"/>
  <c r="CD30" i="1"/>
  <c r="CC30" i="1" s="1"/>
  <c r="CE29" i="1"/>
  <c r="CD29" i="1"/>
  <c r="CC29" i="1" s="1"/>
  <c r="CE28" i="1"/>
  <c r="CD28" i="1"/>
  <c r="CC28" i="1" s="1"/>
  <c r="CE27" i="1"/>
  <c r="CD27" i="1"/>
  <c r="CC27" i="1" s="1"/>
  <c r="CE26" i="1"/>
  <c r="CD26" i="1"/>
  <c r="CC26" i="1" s="1"/>
  <c r="CE25" i="1"/>
  <c r="CD25" i="1"/>
  <c r="CC25" i="1" s="1"/>
  <c r="CE24" i="1"/>
  <c r="CD24" i="1"/>
  <c r="CC24" i="1" s="1"/>
  <c r="CE22" i="1"/>
  <c r="CD22" i="1"/>
  <c r="CC22" i="1" s="1"/>
  <c r="CE21" i="1"/>
  <c r="CD21" i="1"/>
  <c r="CC21" i="1" s="1"/>
  <c r="CE20" i="1"/>
  <c r="CD20" i="1"/>
  <c r="CC20" i="1" s="1"/>
  <c r="CE19" i="1"/>
  <c r="CD19" i="1"/>
  <c r="CC19" i="1" s="1"/>
  <c r="CE18" i="1"/>
  <c r="CD18" i="1"/>
  <c r="CC18" i="1" s="1"/>
  <c r="CE17" i="1"/>
  <c r="CD17" i="1"/>
  <c r="CC17" i="1" s="1"/>
  <c r="CE16" i="1"/>
  <c r="CD16" i="1"/>
  <c r="CC16" i="1" s="1"/>
  <c r="CE15" i="1"/>
  <c r="CD15" i="1"/>
  <c r="CC15" i="1" s="1"/>
  <c r="CE14" i="1"/>
  <c r="CD14" i="1"/>
  <c r="CC14" i="1" s="1"/>
  <c r="CE13" i="1"/>
  <c r="CD13" i="1"/>
  <c r="CC13" i="1" s="1"/>
  <c r="CE12" i="1"/>
  <c r="CD12" i="1"/>
  <c r="CC12" i="1" s="1"/>
  <c r="CE11" i="1"/>
  <c r="CD11" i="1"/>
  <c r="CC11" i="1" s="1"/>
  <c r="CE10" i="1"/>
  <c r="CD10" i="1"/>
  <c r="CC10" i="1" s="1"/>
  <c r="CE9" i="1"/>
  <c r="CD9" i="1"/>
  <c r="CC9" i="1" s="1"/>
  <c r="CE8" i="1"/>
  <c r="CD8" i="1"/>
  <c r="CC8" i="1" s="1"/>
  <c r="CE7" i="1"/>
  <c r="CD7" i="1"/>
  <c r="CC7" i="1" s="1"/>
  <c r="CE6" i="1"/>
  <c r="CD6" i="1"/>
  <c r="CC6" i="1" s="1"/>
  <c r="CC166" i="1" l="1"/>
  <c r="CC94" i="1"/>
  <c r="CC152" i="1"/>
</calcChain>
</file>

<file path=xl/sharedStrings.xml><?xml version="1.0" encoding="utf-8"?>
<sst xmlns="http://schemas.openxmlformats.org/spreadsheetml/2006/main" count="7156" uniqueCount="348">
  <si>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</si>
  <si>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</si>
  <si>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</si>
  <si>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</si>
  <si>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</si>
  <si>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</si>
  <si>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</si>
  <si>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</si>
  <si>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</si>
  <si>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</si>
  <si>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</si>
  <si>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FGA</t>
  </si>
  <si>
    <t>평균 FG 성공</t>
  </si>
  <si>
    <t>평균 FG 시도</t>
  </si>
  <si>
    <t>FG%</t>
  </si>
  <si>
    <t>2P</t>
  </si>
  <si>
    <t>2PA</t>
  </si>
  <si>
    <t>평균 2p 성공</t>
  </si>
  <si>
    <t>평균 2p 시도</t>
  </si>
  <si>
    <t>2P%</t>
  </si>
  <si>
    <t>3P</t>
  </si>
  <si>
    <t>3PA</t>
  </si>
  <si>
    <t>평균 3p 성공</t>
  </si>
  <si>
    <t>평균 3p 시도</t>
  </si>
  <si>
    <t>3P%</t>
  </si>
  <si>
    <t>FT</t>
  </si>
  <si>
    <t>FTA</t>
  </si>
  <si>
    <t>평균 FT 성공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</si>
  <si>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</si>
  <si>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</si>
  <si>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</si>
  <si>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</si>
  <si>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</si>
  <si>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</si>
  <si>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</si>
  <si>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</si>
  <si>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</si>
  <si>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</si>
  <si>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</si>
  <si>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</si>
  <si>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</si>
  <si>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</si>
  <si>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</si>
  <si>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</si>
  <si>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</si>
  <si>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</si>
  <si>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</si>
  <si>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</si>
  <si>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</si>
  <si>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</si>
  <si>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</si>
  <si>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</si>
  <si>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</si>
  <si>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</si>
  <si>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</si>
  <si>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</si>
  <si>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</si>
  <si>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</si>
  <si>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</si>
  <si>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</si>
  <si>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</si>
  <si>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</si>
  <si>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</si>
  <si>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</si>
  <si>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</si>
  <si>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</si>
  <si>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TOV%</t>
  </si>
  <si>
    <t>%SAST</t>
  </si>
  <si>
    <t>SAST</t>
  </si>
  <si>
    <t>SAST PTS</t>
  </si>
  <si>
    <t>DFL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</si>
  <si>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</si>
  <si>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</si>
  <si>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</si>
  <si>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</si>
  <si>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</si>
  <si>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</si>
  <si>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</si>
  <si>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</si>
  <si>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</si>
  <si>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</si>
  <si>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</si>
  <si>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</si>
  <si>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</si>
  <si>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</si>
  <si>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2023-24</t>
  </si>
  <si>
    <t>SK to 삼성</t>
  </si>
  <si>
    <t>홍경기</t>
  </si>
  <si>
    <t>Total</t>
  </si>
  <si>
    <t>국내</t>
  </si>
  <si>
    <t>G</t>
  </si>
  <si>
    <t>삼성 to SK</t>
  </si>
  <si>
    <t>박민우</t>
  </si>
  <si>
    <t>F</t>
  </si>
  <si>
    <t>정관장 to 가스공사</t>
  </si>
  <si>
    <t>듀반 맥스웰</t>
  </si>
  <si>
    <t>외국인</t>
  </si>
  <si>
    <t>정관장 to 소노</t>
  </si>
  <si>
    <t>조은후</t>
  </si>
  <si>
    <t>고양 소노</t>
  </si>
  <si>
    <t>김강선</t>
  </si>
  <si>
    <t>김민욱</t>
  </si>
  <si>
    <t>C</t>
  </si>
  <si>
    <t>김지후</t>
  </si>
  <si>
    <t>김진용</t>
  </si>
  <si>
    <t>김진유</t>
  </si>
  <si>
    <t>다후안 서머스</t>
  </si>
  <si>
    <t>디욘테 데이비스</t>
  </si>
  <si>
    <t>민기남</t>
  </si>
  <si>
    <t>박종하</t>
  </si>
  <si>
    <t>백지웅</t>
  </si>
  <si>
    <t>안정욱</t>
  </si>
  <si>
    <t>알렉스 카바노</t>
  </si>
  <si>
    <t>아시아쿼터</t>
  </si>
  <si>
    <t>이정현1</t>
  </si>
  <si>
    <t>이진석</t>
  </si>
  <si>
    <t>재로드 존스</t>
  </si>
  <si>
    <t>전성현</t>
  </si>
  <si>
    <t>조쉬 토랄바</t>
  </si>
  <si>
    <t>최현민</t>
  </si>
  <si>
    <t>치나누 오누아쿠</t>
  </si>
  <si>
    <t>한호빈</t>
  </si>
  <si>
    <t>함준후</t>
  </si>
  <si>
    <t>대구 가스공사</t>
  </si>
  <si>
    <t>김낙현</t>
  </si>
  <si>
    <t>김동량</t>
  </si>
  <si>
    <t>김진모</t>
  </si>
  <si>
    <t>김태호</t>
  </si>
  <si>
    <t>박봉진</t>
  </si>
  <si>
    <t>박지훈</t>
  </si>
  <si>
    <t>샘조세프 벨란겔</t>
  </si>
  <si>
    <t>신승민</t>
  </si>
  <si>
    <t>신주영</t>
  </si>
  <si>
    <t>안세영</t>
  </si>
  <si>
    <t>앤드류 니콜슨</t>
  </si>
  <si>
    <t>앤쏘니 모스</t>
  </si>
  <si>
    <t>양재혁</t>
  </si>
  <si>
    <t>양준우</t>
  </si>
  <si>
    <t>염유성</t>
  </si>
  <si>
    <t>이대헌</t>
  </si>
  <si>
    <t>이도헌</t>
  </si>
  <si>
    <t>이원대</t>
  </si>
  <si>
    <t>조상열</t>
  </si>
  <si>
    <t>차바위</t>
  </si>
  <si>
    <t>최주영</t>
  </si>
  <si>
    <t>부산 KCC</t>
  </si>
  <si>
    <t>곽정훈</t>
  </si>
  <si>
    <t>김동현</t>
  </si>
  <si>
    <t>라건아</t>
  </si>
  <si>
    <t>서정현</t>
  </si>
  <si>
    <t>송교창</t>
  </si>
  <si>
    <t>송동훈</t>
  </si>
  <si>
    <t>알리제 드숀 존슨</t>
  </si>
  <si>
    <t>여준형</t>
  </si>
  <si>
    <t>이근휘</t>
  </si>
  <si>
    <t>이승현</t>
  </si>
  <si>
    <t>이주영</t>
  </si>
  <si>
    <t>이진욱</t>
  </si>
  <si>
    <t>이호현</t>
  </si>
  <si>
    <t>전준범</t>
  </si>
  <si>
    <t>정창영</t>
  </si>
  <si>
    <t>최준용</t>
  </si>
  <si>
    <t>캘빈 제프리 에피스톨라</t>
  </si>
  <si>
    <t>허웅</t>
  </si>
  <si>
    <t>서울 SK</t>
  </si>
  <si>
    <t>고메즈 델 리아노</t>
  </si>
  <si>
    <t>김건우1</t>
  </si>
  <si>
    <t>김선형</t>
  </si>
  <si>
    <t>김형빈</t>
  </si>
  <si>
    <t>리온 윌리엄스</t>
  </si>
  <si>
    <t>문가온</t>
  </si>
  <si>
    <t>선상혁</t>
  </si>
  <si>
    <t>송창용</t>
  </si>
  <si>
    <t>안영준</t>
  </si>
  <si>
    <t>양우섭</t>
  </si>
  <si>
    <t>오세근</t>
  </si>
  <si>
    <t>오재현</t>
  </si>
  <si>
    <t>이경도</t>
  </si>
  <si>
    <t>자밀 워니</t>
  </si>
  <si>
    <t>전성환</t>
  </si>
  <si>
    <t>최부경</t>
  </si>
  <si>
    <t>최원혁</t>
  </si>
  <si>
    <t>허일영</t>
  </si>
  <si>
    <t>서울 삼성</t>
  </si>
  <si>
    <t>김광철</t>
  </si>
  <si>
    <t>김근현</t>
  </si>
  <si>
    <t>김무성</t>
  </si>
  <si>
    <t>김승원</t>
  </si>
  <si>
    <t>김시래</t>
  </si>
  <si>
    <t>김진영</t>
  </si>
  <si>
    <t>김한솔</t>
  </si>
  <si>
    <t>신동혁</t>
  </si>
  <si>
    <t>아반 나바</t>
  </si>
  <si>
    <t>윤성원</t>
  </si>
  <si>
    <t>이동엽</t>
  </si>
  <si>
    <t>이스마엘 레인</t>
  </si>
  <si>
    <t>이원석</t>
  </si>
  <si>
    <t>이정현</t>
  </si>
  <si>
    <t>조우성</t>
  </si>
  <si>
    <t>조준희</t>
  </si>
  <si>
    <t>차민석</t>
  </si>
  <si>
    <t>최승욱1</t>
  </si>
  <si>
    <t>코피 코번</t>
  </si>
  <si>
    <t>수원 KT</t>
  </si>
  <si>
    <t>김준환</t>
  </si>
  <si>
    <t>마이클 에릭</t>
  </si>
  <si>
    <t>문성곤</t>
  </si>
  <si>
    <t>문정현</t>
  </si>
  <si>
    <t>박선웅</t>
  </si>
  <si>
    <t>박준영</t>
  </si>
  <si>
    <t>박찬호</t>
  </si>
  <si>
    <t>숀 데이브 일데폰소</t>
  </si>
  <si>
    <t>이두원</t>
  </si>
  <si>
    <t>이윤기</t>
  </si>
  <si>
    <t>이현석</t>
  </si>
  <si>
    <t>이호준</t>
  </si>
  <si>
    <t>정성우</t>
  </si>
  <si>
    <t>최성모</t>
  </si>
  <si>
    <t>최진광</t>
  </si>
  <si>
    <t>최창진</t>
  </si>
  <si>
    <t>패리스 배스</t>
  </si>
  <si>
    <t>하윤기</t>
  </si>
  <si>
    <t>한희원</t>
  </si>
  <si>
    <t>허훈</t>
  </si>
  <si>
    <t>안양 정관장</t>
  </si>
  <si>
    <t>고찬혁</t>
  </si>
  <si>
    <t>김경원</t>
  </si>
  <si>
    <t>김상규</t>
  </si>
  <si>
    <t>김철욱</t>
  </si>
  <si>
    <t>나성호</t>
  </si>
  <si>
    <t>대릴 먼로</t>
  </si>
  <si>
    <t>렌즈 아반도</t>
  </si>
  <si>
    <t>로버트 카터</t>
  </si>
  <si>
    <t>박지훈1</t>
  </si>
  <si>
    <t>배병준</t>
  </si>
  <si>
    <t>오마리 스펠맨</t>
  </si>
  <si>
    <t>유진</t>
  </si>
  <si>
    <t>이우정</t>
  </si>
  <si>
    <t>이종현</t>
  </si>
  <si>
    <t>자밀 윌슨</t>
  </si>
  <si>
    <t>장태빈</t>
  </si>
  <si>
    <t>정준원</t>
  </si>
  <si>
    <t>정효근</t>
  </si>
  <si>
    <t>최성원</t>
  </si>
  <si>
    <t>표승빈</t>
  </si>
  <si>
    <t>울산 모비스</t>
  </si>
  <si>
    <t>게이지 프림</t>
  </si>
  <si>
    <t>김국찬</t>
  </si>
  <si>
    <t>김준일</t>
  </si>
  <si>
    <t>김지완</t>
  </si>
  <si>
    <t>김태완</t>
  </si>
  <si>
    <t>김현민</t>
  </si>
  <si>
    <t>김현수</t>
  </si>
  <si>
    <t>미구엘 안드레 옥존</t>
  </si>
  <si>
    <t>박무빈</t>
  </si>
  <si>
    <t>박준은</t>
  </si>
  <si>
    <t>서명진</t>
  </si>
  <si>
    <t>신민석</t>
  </si>
  <si>
    <t>이우석</t>
  </si>
  <si>
    <t>장재석</t>
  </si>
  <si>
    <t>최진수</t>
  </si>
  <si>
    <t>케베 알루마</t>
  </si>
  <si>
    <t>함지훈</t>
  </si>
  <si>
    <t>원주 DB</t>
  </si>
  <si>
    <t>강상재</t>
  </si>
  <si>
    <t>개리슨 브룩스</t>
  </si>
  <si>
    <t>김영현</t>
  </si>
  <si>
    <t>김종규</t>
  </si>
  <si>
    <t>김현호</t>
  </si>
  <si>
    <t>김형준</t>
  </si>
  <si>
    <t>김훈</t>
  </si>
  <si>
    <t>두경민</t>
  </si>
  <si>
    <t>디드릭 로슨</t>
  </si>
  <si>
    <t>박승재</t>
  </si>
  <si>
    <t>박인웅</t>
  </si>
  <si>
    <t>박찬희</t>
  </si>
  <si>
    <t>서민수</t>
  </si>
  <si>
    <t>유현준</t>
  </si>
  <si>
    <t>이선 알바노</t>
  </si>
  <si>
    <t>이용우</t>
  </si>
  <si>
    <t>이윤수</t>
  </si>
  <si>
    <t>이준희</t>
  </si>
  <si>
    <t>인승찬</t>
  </si>
  <si>
    <t>제프 위디</t>
  </si>
  <si>
    <t>최승빈</t>
  </si>
  <si>
    <t>최승욱</t>
  </si>
  <si>
    <t>창원 LG</t>
  </si>
  <si>
    <t>김준형</t>
  </si>
  <si>
    <t>단테 커닝햄</t>
  </si>
  <si>
    <t>박인태</t>
  </si>
  <si>
    <t>박정현</t>
  </si>
  <si>
    <t>아셈 마레이</t>
  </si>
  <si>
    <t>양준석</t>
  </si>
  <si>
    <t>양홍석</t>
  </si>
  <si>
    <t>유기상</t>
  </si>
  <si>
    <t>윤원상</t>
  </si>
  <si>
    <t>이관희</t>
  </si>
  <si>
    <t>이승우</t>
  </si>
  <si>
    <t>이재도</t>
  </si>
  <si>
    <t>임동섭</t>
  </si>
  <si>
    <t>저스틴 구탕</t>
  </si>
  <si>
    <t>정인덕</t>
  </si>
  <si>
    <t>정희재</t>
  </si>
  <si>
    <t>조쉬 이바라</t>
  </si>
  <si>
    <t>한상혁</t>
  </si>
  <si>
    <t>후안 텔로</t>
  </si>
  <si>
    <t>1R</t>
  </si>
  <si>
    <t>2R</t>
  </si>
  <si>
    <t>조재우</t>
  </si>
  <si>
    <t>3R</t>
  </si>
  <si>
    <t>김건우</t>
  </si>
  <si>
    <t>4R</t>
  </si>
  <si>
    <t>5R</t>
  </si>
  <si>
    <t>6R</t>
  </si>
  <si>
    <t>팀</t>
  </si>
  <si>
    <t>PTS</t>
  </si>
  <si>
    <t>2PM</t>
  </si>
  <si>
    <t>3PM</t>
  </si>
  <si>
    <t>FGM</t>
  </si>
  <si>
    <t>FTM</t>
  </si>
  <si>
    <t>OREB</t>
  </si>
  <si>
    <t>DREB</t>
  </si>
  <si>
    <t>REB</t>
  </si>
  <si>
    <t>AST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</si>
  <si>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</si>
  <si>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</si>
  <si>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</si>
  <si>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</si>
  <si>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</si>
  <si>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</si>
  <si>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</si>
  <si>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</si>
  <si>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</si>
  <si>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</si>
  <si>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</si>
  <si>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</si>
  <si>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Team Stats</t>
  </si>
  <si>
    <t>Opponent Stats</t>
  </si>
  <si>
    <t>Team_
Possestion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</si>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</sst>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0.000_);[Red]\(0.000\)"/>
    <numFmt numFmtId="181" formatCode="#,##0.000_);[Red]\(#,##0.000\)"/>
    <numFmt numFmtId="182" formatCode="0.000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10"/>
      <color rgb="FF222222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9" fontId="2" fillId="0" borderId="0">
      <alignment vertical="center"/>
    </xf>
    <xf numFmtId="41" fontId="2" fillId="0" borderId="0">
      <alignment vertical="center"/>
    </xf>
    <xf numFmtId="0" fontId="5" fillId="0" borderId="0">
      <alignment vertical="center"/>
    </xf>
    <xf numFmtId="9" fontId="2" fillId="0" borderId="0">
      <alignment vertical="center"/>
    </xf>
    <xf numFmtId="41" fontId="2" fillId="0" borderId="0">
      <alignment vertical="center"/>
    </xf>
  </cellStyleXfs>
  <cellXfs count="7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1" fontId="0" fillId="0" borderId="0" xfId="2" applyFont="1">
      <alignment vertical="center"/>
    </xf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0" fontId="8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 wrapText="1"/>
    </xf>
    <xf numFmtId="49" fontId="9" fillId="5" borderId="4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78" fontId="7" fillId="0" borderId="6" xfId="0" applyNumberFormat="1" applyFont="1" applyBorder="1" applyAlignment="1">
      <alignment horizontal="center" vertical="center"/>
    </xf>
    <xf numFmtId="180" fontId="7" fillId="0" borderId="6" xfId="0" applyNumberFormat="1" applyFont="1" applyBorder="1" applyAlignment="1">
      <alignment horizontal="center" vertical="center"/>
    </xf>
    <xf numFmtId="38" fontId="7" fillId="0" borderId="0" xfId="0" applyNumberFormat="1" applyFont="1" applyAlignment="1">
      <alignment horizontal="center" vertical="center"/>
    </xf>
    <xf numFmtId="10" fontId="7" fillId="0" borderId="0" xfId="4" applyNumberFormat="1" applyFont="1" applyAlignment="1">
      <alignment horizontal="center" vertical="center"/>
    </xf>
    <xf numFmtId="41" fontId="7" fillId="0" borderId="0" xfId="5" applyFont="1">
      <alignment vertical="center"/>
    </xf>
    <xf numFmtId="38" fontId="7" fillId="0" borderId="2" xfId="0" applyNumberFormat="1" applyFont="1" applyBorder="1" applyAlignment="1">
      <alignment horizontal="center" vertical="center"/>
    </xf>
    <xf numFmtId="181" fontId="7" fillId="0" borderId="0" xfId="0" applyNumberFormat="1" applyFont="1" applyAlignment="1">
      <alignment horizontal="center" vertical="center"/>
    </xf>
    <xf numFmtId="38" fontId="7" fillId="0" borderId="3" xfId="0" applyNumberFormat="1" applyFont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82" fontId="13" fillId="0" borderId="11" xfId="0" applyNumberFormat="1" applyFont="1" applyBorder="1" applyAlignment="1">
      <alignment horizontal="center" vertical="center"/>
    </xf>
    <xf numFmtId="182" fontId="14" fillId="5" borderId="9" xfId="0" applyNumberFormat="1" applyFont="1" applyFill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182" fontId="13" fillId="0" borderId="0" xfId="0" applyNumberFormat="1" applyFont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82" fontId="13" fillId="0" borderId="14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0" fontId="15" fillId="7" borderId="15" xfId="0" applyFont="1" applyFill="1" applyBorder="1" applyAlignment="1">
      <alignment horizontal="center" vertical="center" wrapText="1"/>
    </xf>
    <xf numFmtId="0" fontId="16" fillId="0" borderId="0" xfId="0" applyFont="1">
      <alignment vertical="center"/>
    </xf>
    <xf numFmtId="0" fontId="16" fillId="0" borderId="16" xfId="0" applyFont="1" applyBorder="1">
      <alignment vertical="center"/>
    </xf>
    <xf numFmtId="0" fontId="16" fillId="0" borderId="17" xfId="0" applyFont="1" applyBorder="1">
      <alignment vertical="center"/>
    </xf>
    <xf numFmtId="0" fontId="16" fillId="0" borderId="18" xfId="0" applyFont="1" applyBorder="1">
      <alignment vertical="center"/>
    </xf>
    <xf numFmtId="180" fontId="7" fillId="0" borderId="0" xfId="4" applyNumberFormat="1" applyFont="1" applyAlignment="1">
      <alignment horizontal="center" vertical="center"/>
    </xf>
    <xf numFmtId="180" fontId="7" fillId="7" borderId="0" xfId="0" applyNumberFormat="1" applyFont="1" applyFill="1" applyAlignment="1">
      <alignment horizontal="center" vertical="center"/>
    </xf>
    <xf numFmtId="179" fontId="7" fillId="7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4" fillId="5" borderId="8" xfId="0" applyFont="1" applyFill="1" applyBorder="1" applyAlignment="1">
      <alignment horizontal="center" vertical="center" wrapText="1"/>
    </xf>
    <xf numFmtId="0" fontId="0" fillId="0" borderId="9" xfId="0" applyBorder="1" applyAlignment="1"/>
    <xf numFmtId="0" fontId="16" fillId="0" borderId="0" xfId="0" applyFont="1">
      <alignment vertical="center"/>
    </xf>
  </cellXfs>
  <cellStyles count="6">
    <cellStyle name="백분율" xfId="1" builtinId="5"/>
    <cellStyle name="백분율 2" xfId="4" xr:uid="{00000000-0005-0000-0000-000004000000}"/>
    <cellStyle name="쉼표 [0]" xfId="2" builtinId="6"/>
    <cellStyle name="쉼표 [0] 2" xfId="5" xr:uid="{00000000-0005-0000-0000-000005000000}"/>
    <cellStyle name="표준" xfId="0" builtinId="0"/>
    <cellStyle name="표준 2 8" xfId="3" xr:uid="{00000000-0005-0000-0000-000003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18"/>
  <sheetViews>
    <sheetView tabSelected="1" zoomScale="70" zoomScaleNormal="70" workbookViewId="0">
      <pane xSplit="3" ySplit="1" topLeftCell="BF1094" activePane="bottomRight" state="frozen"/>
      <selection pane="topRight" activeCell="E1" sqref="E1"/>
      <selection pane="bottomLeft" activeCell="A2" sqref="A2"/>
      <selection pane="bottomRight" activeCell="BW217" sqref="BW217"/>
    </sheetView>
  </sheetViews>
  <sheetFormatPr defaultRowHeight="17.399999999999999" x14ac:dyDescent="0.4"/>
  <cols>
    <col min="1" max="1" width="12" style="49" bestFit="1" customWidth="1"/>
    <col min="2" max="2" width="16.3984375" style="49" bestFit="1" customWidth="1"/>
    <col min="3" max="3" width="22.69921875" style="49" bestFit="1" customWidth="1"/>
    <col min="4" max="4" width="22.69921875" style="49" customWidth="1"/>
    <col min="5" max="5" width="15.19921875" style="49" bestFit="1" customWidth="1"/>
    <col min="6" max="6" width="7.09765625" style="49" bestFit="1" customWidth="1"/>
    <col min="7" max="7" width="17.3984375" style="1" bestFit="1" customWidth="1"/>
    <col min="8" max="8" width="10" style="1" bestFit="1" customWidth="1"/>
    <col min="9" max="9" width="14.09765625" style="49" bestFit="1" customWidth="1"/>
    <col min="10" max="10" width="9.59765625" style="1" bestFit="1" customWidth="1"/>
    <col min="11" max="11" width="8.5" style="49" bestFit="1" customWidth="1"/>
    <col min="12" max="13" width="16.8984375" style="49" bestFit="1" customWidth="1"/>
    <col min="14" max="14" width="10" style="49" bestFit="1" customWidth="1"/>
    <col min="15" max="15" width="9.59765625" style="49" bestFit="1" customWidth="1"/>
    <col min="16" max="16" width="8.5" style="49" bestFit="1" customWidth="1"/>
    <col min="17" max="18" width="16.8984375" style="49" bestFit="1" customWidth="1"/>
    <col min="19" max="19" width="10" style="49" bestFit="1" customWidth="1"/>
    <col min="20" max="20" width="9.59765625" style="49" bestFit="1" customWidth="1"/>
    <col min="21" max="21" width="8.5" style="49" bestFit="1" customWidth="1"/>
    <col min="22" max="23" width="16.8984375" style="49" bestFit="1" customWidth="1"/>
    <col min="24" max="24" width="10" style="49" bestFit="1" customWidth="1"/>
    <col min="25" max="25" width="9.3984375" style="49" bestFit="1" customWidth="1"/>
    <col min="26" max="26" width="8.19921875" style="49" bestFit="1" customWidth="1"/>
    <col min="27" max="28" width="16.59765625" style="49" bestFit="1" customWidth="1"/>
    <col min="29" max="29" width="9.59765625" style="49" bestFit="1" customWidth="1"/>
    <col min="30" max="30" width="13.5" style="49" bestFit="1" customWidth="1"/>
    <col min="31" max="32" width="17.8984375" style="49" bestFit="1" customWidth="1"/>
    <col min="33" max="33" width="22.59765625" style="49" bestFit="1" customWidth="1"/>
    <col min="34" max="34" width="17.8984375" style="49" bestFit="1" customWidth="1"/>
    <col min="35" max="35" width="22.59765625" style="49" bestFit="1" customWidth="1"/>
    <col min="36" max="36" width="13.5" style="49" bestFit="1" customWidth="1"/>
    <col min="37" max="37" width="17.8984375" style="49" bestFit="1" customWidth="1"/>
    <col min="38" max="38" width="10" style="49" bestFit="1" customWidth="1"/>
    <col min="39" max="39" width="14.09765625" style="49" bestFit="1" customWidth="1"/>
    <col min="40" max="40" width="10" style="49" bestFit="1" customWidth="1"/>
    <col min="41" max="41" width="14.09765625" style="49" bestFit="1" customWidth="1"/>
    <col min="42" max="42" width="11.69921875" style="49" bestFit="1" customWidth="1"/>
    <col min="43" max="43" width="16" style="49" bestFit="1" customWidth="1"/>
    <col min="44" max="44" width="10" style="49" bestFit="1" customWidth="1"/>
    <col min="45" max="45" width="14.09765625" style="49" bestFit="1" customWidth="1"/>
    <col min="46" max="46" width="9.09765625" style="49" bestFit="1" customWidth="1"/>
    <col min="47" max="47" width="11.8984375" style="49" bestFit="1" customWidth="1"/>
    <col min="48" max="48" width="17.5" style="49" bestFit="1" customWidth="1"/>
    <col min="49" max="49" width="17.69921875" style="49" bestFit="1" customWidth="1"/>
    <col min="50" max="50" width="19.8984375" style="49" bestFit="1" customWidth="1"/>
    <col min="51" max="51" width="20.09765625" style="49" bestFit="1" customWidth="1"/>
    <col min="52" max="52" width="9.3984375" style="49" bestFit="1" customWidth="1"/>
    <col min="53" max="53" width="9.09765625" style="49" bestFit="1" customWidth="1"/>
    <col min="54" max="54" width="11.8984375" style="49" bestFit="1" customWidth="1"/>
    <col min="55" max="55" width="9.8984375" style="49" bestFit="1" customWidth="1"/>
    <col min="56" max="56" width="10.8984375" style="49" bestFit="1" customWidth="1"/>
    <col min="57" max="57" width="11.19921875" style="49" bestFit="1" customWidth="1"/>
    <col min="58" max="58" width="10.19921875" style="49" bestFit="1" customWidth="1"/>
    <col min="59" max="59" width="8.69921875" style="49" bestFit="1" customWidth="1"/>
    <col min="60" max="61" width="11.19921875" style="49" bestFit="1" customWidth="1"/>
    <col min="62" max="62" width="10.8984375" style="49" bestFit="1" customWidth="1"/>
    <col min="63" max="63" width="11" style="49" bestFit="1" customWidth="1"/>
    <col min="64" max="64" width="10.69921875" style="49" bestFit="1" customWidth="1"/>
    <col min="65" max="65" width="10" style="49" bestFit="1" customWidth="1"/>
    <col min="66" max="66" width="11.19921875" style="49" bestFit="1" customWidth="1"/>
    <col min="67" max="67" width="11" style="49" bestFit="1" customWidth="1"/>
    <col min="68" max="71" width="11" style="49" customWidth="1"/>
    <col min="72" max="72" width="10" style="8" bestFit="1" customWidth="1"/>
    <col min="74" max="74" width="16.59765625" style="49" bestFit="1" customWidth="1"/>
    <col min="75" max="75" width="10.8984375" style="49" bestFit="1" customWidth="1"/>
    <col min="76" max="77" width="15.69921875" style="49" bestFit="1" customWidth="1"/>
    <col min="78" max="78" width="17.59765625" style="49" bestFit="1" customWidth="1"/>
    <col min="79" max="80" width="22.5" style="49" bestFit="1" customWidth="1"/>
    <col min="81" max="83" width="20.59765625" style="49" bestFit="1" customWidth="1"/>
    <col min="84" max="84" width="7" style="49" customWidth="1"/>
    <col min="85" max="85" width="5.69921875" style="49" customWidth="1"/>
  </cols>
  <sheetData>
    <row r="1" spans="1:85" ht="18" customHeight="1" thickBot="1" x14ac:dyDescent="0.45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11" t="s">
        <v>9</v>
      </c>
      <c r="K1" s="12" t="s">
        <v>10</v>
      </c>
      <c r="L1" s="12" t="s">
        <v>11</v>
      </c>
      <c r="M1" s="11" t="s">
        <v>12</v>
      </c>
      <c r="N1" s="11" t="s">
        <v>13</v>
      </c>
      <c r="O1" s="11" t="s">
        <v>14</v>
      </c>
      <c r="P1" s="14" t="s">
        <v>15</v>
      </c>
      <c r="Q1" s="14" t="s">
        <v>16</v>
      </c>
      <c r="R1" s="11" t="s">
        <v>17</v>
      </c>
      <c r="S1" s="11" t="s">
        <v>18</v>
      </c>
      <c r="T1" s="11" t="s">
        <v>19</v>
      </c>
      <c r="U1" s="14" t="s">
        <v>20</v>
      </c>
      <c r="V1" s="14" t="s">
        <v>21</v>
      </c>
      <c r="W1" s="11" t="s">
        <v>22</v>
      </c>
      <c r="X1" s="11" t="s">
        <v>23</v>
      </c>
      <c r="Y1" s="11" t="s">
        <v>24</v>
      </c>
      <c r="Z1" s="14" t="s">
        <v>25</v>
      </c>
      <c r="AA1" s="14" t="s">
        <v>26</v>
      </c>
      <c r="AB1" s="11" t="s">
        <v>27</v>
      </c>
      <c r="AC1" s="11" t="s">
        <v>28</v>
      </c>
      <c r="AD1" s="11" t="s">
        <v>29</v>
      </c>
      <c r="AE1" s="14" t="s">
        <v>30</v>
      </c>
      <c r="AF1" s="11" t="s">
        <v>31</v>
      </c>
      <c r="AG1" s="14" t="s">
        <v>32</v>
      </c>
      <c r="AH1" s="11" t="s">
        <v>33</v>
      </c>
      <c r="AI1" s="14" t="s">
        <v>34</v>
      </c>
      <c r="AJ1" s="11" t="s">
        <v>35</v>
      </c>
      <c r="AK1" s="14" t="s">
        <v>36</v>
      </c>
      <c r="AL1" s="11" t="s">
        <v>37</v>
      </c>
      <c r="AM1" s="14" t="s">
        <v>38</v>
      </c>
      <c r="AN1" s="11" t="s">
        <v>39</v>
      </c>
      <c r="AO1" s="14" t="s">
        <v>40</v>
      </c>
      <c r="AP1" s="11" t="s">
        <v>41</v>
      </c>
      <c r="AQ1" s="14" t="s">
        <v>42</v>
      </c>
      <c r="AR1" s="11" t="s">
        <v>43</v>
      </c>
      <c r="AS1" s="14" t="s">
        <v>44</v>
      </c>
      <c r="AT1" s="11" t="s">
        <v>45</v>
      </c>
      <c r="AU1" s="11" t="s">
        <v>46</v>
      </c>
      <c r="AV1" s="11" t="s">
        <v>47</v>
      </c>
      <c r="AW1" s="11" t="s">
        <v>48</v>
      </c>
      <c r="AX1" s="11" t="s">
        <v>49</v>
      </c>
      <c r="AY1" s="11" t="s">
        <v>50</v>
      </c>
      <c r="AZ1" s="11" t="s">
        <v>51</v>
      </c>
      <c r="BA1" s="11" t="s">
        <v>52</v>
      </c>
      <c r="BB1" s="11" t="s">
        <v>53</v>
      </c>
      <c r="BC1" s="11" t="s">
        <v>54</v>
      </c>
      <c r="BD1" s="47" t="s">
        <v>55</v>
      </c>
      <c r="BE1" s="47" t="s">
        <v>56</v>
      </c>
      <c r="BF1" s="47" t="s">
        <v>57</v>
      </c>
      <c r="BG1" s="47" t="s">
        <v>58</v>
      </c>
      <c r="BH1" s="47" t="s">
        <v>59</v>
      </c>
      <c r="BI1" s="47" t="s">
        <v>60</v>
      </c>
      <c r="BJ1" s="47" t="s">
        <v>61</v>
      </c>
      <c r="BK1" s="47" t="s">
        <v>62</v>
      </c>
      <c r="BL1" s="47" t="s">
        <v>63</v>
      </c>
      <c r="BM1" s="47" t="s">
        <v>64</v>
      </c>
      <c r="BN1" s="47" t="s">
        <v>65</v>
      </c>
      <c r="BO1" s="47" t="s">
        <v>66</v>
      </c>
      <c r="BP1" s="14" t="s">
        <v>67</v>
      </c>
      <c r="BQ1" s="23" t="s">
        <v>68</v>
      </c>
      <c r="BR1" s="23" t="s">
        <v>69</v>
      </c>
      <c r="BS1" s="23" t="s">
        <v>70</v>
      </c>
      <c r="BT1" s="11" t="s">
        <v>71</v>
      </c>
      <c r="BU1" s="11" t="s">
        <v>72</v>
      </c>
      <c r="BV1" s="11" t="s">
        <v>73</v>
      </c>
      <c r="BW1" s="29" t="s">
        <v>74</v>
      </c>
      <c r="BX1" s="29" t="s">
        <v>75</v>
      </c>
      <c r="BY1" s="29" t="s">
        <v>76</v>
      </c>
      <c r="BZ1" s="29" t="s">
        <v>77</v>
      </c>
      <c r="CA1" s="29" t="s">
        <v>78</v>
      </c>
      <c r="CB1" s="29" t="s">
        <v>79</v>
      </c>
      <c r="CC1" s="29" t="s">
        <v>80</v>
      </c>
      <c r="CD1" s="29" t="s">
        <v>81</v>
      </c>
      <c r="CE1" s="29" t="s">
        <v>82</v>
      </c>
      <c r="CF1" s="29" t="s">
        <v>83</v>
      </c>
      <c r="CG1" s="29" t="s">
        <v>84</v>
      </c>
    </row>
    <row r="2" spans="1:85" ht="18" customHeight="1" thickTop="1" x14ac:dyDescent="0.4">
      <c r="A2" s="11" t="s">
        <v>85</v>
      </c>
      <c r="B2" s="22" t="s">
        <v>86</v>
      </c>
      <c r="C2" s="23" t="s">
        <v>87</v>
      </c>
      <c r="D2" s="46" t="s">
        <v>88</v>
      </c>
      <c r="E2" s="10">
        <v>34</v>
      </c>
      <c r="F2" s="10">
        <v>15</v>
      </c>
      <c r="G2" s="10">
        <v>38</v>
      </c>
      <c r="H2" s="16">
        <f t="shared" ref="H2:H65" si="0">(F2*60+G2)*E2</f>
        <v>31892</v>
      </c>
      <c r="I2" s="37">
        <v>174</v>
      </c>
      <c r="J2" s="17">
        <f t="shared" ref="J2:J65" si="1">I2/$E2</f>
        <v>5.117647058823529</v>
      </c>
      <c r="K2" s="15">
        <v>63</v>
      </c>
      <c r="L2" s="15">
        <v>153</v>
      </c>
      <c r="M2" s="17">
        <f t="shared" ref="M2:M65" si="2">K2/$E2</f>
        <v>1.8529411764705883</v>
      </c>
      <c r="N2" s="17">
        <f t="shared" ref="N2:N65" si="3">L2/$E2</f>
        <v>4.5</v>
      </c>
      <c r="O2" s="18">
        <f t="shared" ref="O2:O65" si="4">K2/L2</f>
        <v>0.41176470588235292</v>
      </c>
      <c r="P2" s="37">
        <v>29</v>
      </c>
      <c r="Q2" s="37">
        <v>60</v>
      </c>
      <c r="R2" s="17">
        <f t="shared" ref="R2:R65" si="5">P2/$E2</f>
        <v>0.8529411764705882</v>
      </c>
      <c r="S2" s="17">
        <f t="shared" ref="S2:S65" si="6">Q2/$E2</f>
        <v>1.7647058823529411</v>
      </c>
      <c r="T2" s="18">
        <f t="shared" ref="T2:T65" si="7">P2/Q2</f>
        <v>0.48333333333333334</v>
      </c>
      <c r="U2" s="37">
        <v>34</v>
      </c>
      <c r="V2" s="37">
        <v>93</v>
      </c>
      <c r="W2" s="17">
        <f t="shared" ref="W2:W65" si="8">U2/$E2</f>
        <v>1</v>
      </c>
      <c r="X2" s="17">
        <f t="shared" ref="X2:X65" si="9">V2/$E2</f>
        <v>2.7352941176470589</v>
      </c>
      <c r="Y2" s="18">
        <f t="shared" ref="Y2:Y65" si="10">U2/V2</f>
        <v>0.36559139784946237</v>
      </c>
      <c r="Z2" s="37">
        <v>14</v>
      </c>
      <c r="AA2" s="37">
        <v>18</v>
      </c>
      <c r="AB2" s="17">
        <f t="shared" ref="AB2:AB65" si="11">Z2/$E2</f>
        <v>0.41176470588235292</v>
      </c>
      <c r="AC2" s="17">
        <f t="shared" ref="AC2:AC65" si="12">AA2/$E2</f>
        <v>0.52941176470588236</v>
      </c>
      <c r="AD2" s="18">
        <f t="shared" ref="AD2:AD65" si="13">Z2/AA2</f>
        <v>0.77777777777777779</v>
      </c>
      <c r="AE2" s="37">
        <v>43</v>
      </c>
      <c r="AF2" s="17">
        <f t="shared" ref="AF2:AF65" si="14">AE2/$E2</f>
        <v>1.2647058823529411</v>
      </c>
      <c r="AG2" s="37">
        <v>12</v>
      </c>
      <c r="AH2" s="17">
        <f t="shared" ref="AH2:AH65" si="15">AG2/$E2</f>
        <v>0.35294117647058826</v>
      </c>
      <c r="AI2" s="37">
        <v>31</v>
      </c>
      <c r="AJ2" s="17">
        <f t="shared" ref="AJ2:AJ65" si="16">AI2/$E2</f>
        <v>0.91176470588235292</v>
      </c>
      <c r="AK2" s="37">
        <v>46</v>
      </c>
      <c r="AL2" s="17">
        <f t="shared" ref="AL2:AL65" si="17">AK2/$E2</f>
        <v>1.3529411764705883</v>
      </c>
      <c r="AM2" s="37">
        <v>12</v>
      </c>
      <c r="AN2" s="17">
        <f t="shared" ref="AN2:AN65" si="18">AM2/$E2</f>
        <v>0.35294117647058826</v>
      </c>
      <c r="AO2" s="37">
        <v>1</v>
      </c>
      <c r="AP2" s="17">
        <v>2.9411764705882349E-2</v>
      </c>
      <c r="AQ2" s="42">
        <v>27</v>
      </c>
      <c r="AR2" s="17">
        <f t="shared" ref="AR2:AR65" si="19">AQ2/$E2</f>
        <v>0.79411764705882348</v>
      </c>
      <c r="AS2" s="37">
        <v>64</v>
      </c>
      <c r="AT2" s="17">
        <f t="shared" ref="AT2:AT65" si="20">AS2/$E2</f>
        <v>1.8823529411764706</v>
      </c>
      <c r="AU2" s="41">
        <v>-5.2055598210982879E-2</v>
      </c>
      <c r="AV2" s="19">
        <v>-3.9171454099943218E-3</v>
      </c>
      <c r="AW2" s="19">
        <v>0.1116277966682224</v>
      </c>
      <c r="AX2" s="19">
        <v>-0.1636833948792053</v>
      </c>
      <c r="AY2" s="19">
        <v>103.7045745173569</v>
      </c>
      <c r="AZ2" s="19">
        <v>122.2423852196569</v>
      </c>
      <c r="BA2" s="19">
        <v>3.5593393277924061</v>
      </c>
      <c r="BB2" s="19">
        <v>4.5588235294117636</v>
      </c>
      <c r="BC2" s="19">
        <v>11.66363579356619</v>
      </c>
      <c r="BD2" s="65">
        <f t="shared" ref="BD2:BD65" si="21">IFERROR((I2/(2*(L2+(0.44*AA2))))*100,"")</f>
        <v>54.064131245339311</v>
      </c>
      <c r="BE2" s="65">
        <f t="shared" ref="BE2:BE65" si="22">IFERROR(((P2+(1.5*U2))/L2)*100,"")</f>
        <v>52.287581699346411</v>
      </c>
      <c r="BF2" s="19">
        <v>8.4533727329565505</v>
      </c>
      <c r="BG2" s="38">
        <f t="shared" ref="BG2:BG65" si="23">IFERROR(V2/L2,"")</f>
        <v>0.60784313725490191</v>
      </c>
      <c r="BH2" s="38">
        <f t="shared" ref="BH2:BH65" si="24">IFERROR(AA2/L2,"")</f>
        <v>0.11764705882352941</v>
      </c>
      <c r="BI2" s="19">
        <v>0.60049730872983853</v>
      </c>
      <c r="BJ2" s="19">
        <v>3.2145281924169709</v>
      </c>
      <c r="BK2" s="19">
        <v>2.1789064298604641</v>
      </c>
      <c r="BL2" s="19">
        <v>6.9483402996494918</v>
      </c>
      <c r="BM2" s="19">
        <v>1.22278066317976</v>
      </c>
      <c r="BN2" s="19">
        <v>9.1842062470664745E-2</v>
      </c>
      <c r="BO2" s="67">
        <f t="shared" ref="BO2:BO65" si="25">IFERROR(100*AQ2/(L2+0.44*AA2+AQ2),"")</f>
        <v>14.367816091954024</v>
      </c>
      <c r="BP2" s="19"/>
      <c r="BQ2" s="19"/>
      <c r="BR2" s="19"/>
      <c r="BS2" s="19"/>
      <c r="BT2" s="20" t="s">
        <v>89</v>
      </c>
      <c r="BU2" s="39">
        <v>400000</v>
      </c>
      <c r="BV2" s="30" t="s">
        <v>90</v>
      </c>
      <c r="BW2" s="30">
        <v>314.63</v>
      </c>
      <c r="BX2" s="30">
        <v>442.43</v>
      </c>
      <c r="BY2" s="30">
        <v>127.8</v>
      </c>
      <c r="BZ2" s="35">
        <v>9.2538235294117648</v>
      </c>
      <c r="CA2" s="35">
        <v>13.01264705882353</v>
      </c>
      <c r="CB2" s="35">
        <v>3.7588235294117651</v>
      </c>
      <c r="CC2" s="36">
        <v>23.675675675675681</v>
      </c>
      <c r="CD2" s="36">
        <v>33.292531510628962</v>
      </c>
      <c r="CE2" s="36">
        <v>9.6168558349532827</v>
      </c>
      <c r="CF2" s="43">
        <v>12</v>
      </c>
      <c r="CG2" s="43">
        <v>22</v>
      </c>
    </row>
    <row r="3" spans="1:85" x14ac:dyDescent="0.4">
      <c r="A3" s="11" t="s">
        <v>85</v>
      </c>
      <c r="B3" s="22" t="s">
        <v>91</v>
      </c>
      <c r="C3" s="23" t="s">
        <v>92</v>
      </c>
      <c r="D3" s="46" t="s">
        <v>88</v>
      </c>
      <c r="E3" s="10">
        <v>6</v>
      </c>
      <c r="F3" s="10">
        <v>5</v>
      </c>
      <c r="G3" s="10">
        <v>44</v>
      </c>
      <c r="H3" s="16">
        <f t="shared" si="0"/>
        <v>2064</v>
      </c>
      <c r="I3" s="37">
        <v>11</v>
      </c>
      <c r="J3" s="17">
        <f t="shared" si="1"/>
        <v>1.8333333333333333</v>
      </c>
      <c r="K3" s="15">
        <v>3</v>
      </c>
      <c r="L3" s="15">
        <v>10</v>
      </c>
      <c r="M3" s="17">
        <f t="shared" si="2"/>
        <v>0.5</v>
      </c>
      <c r="N3" s="17">
        <f t="shared" si="3"/>
        <v>1.6666666666666667</v>
      </c>
      <c r="O3" s="18">
        <f t="shared" si="4"/>
        <v>0.3</v>
      </c>
      <c r="P3" s="37">
        <v>0</v>
      </c>
      <c r="Q3" s="37">
        <v>1</v>
      </c>
      <c r="R3" s="17">
        <f t="shared" si="5"/>
        <v>0</v>
      </c>
      <c r="S3" s="17">
        <f t="shared" si="6"/>
        <v>0.16666666666666666</v>
      </c>
      <c r="T3" s="18">
        <f t="shared" si="7"/>
        <v>0</v>
      </c>
      <c r="U3" s="37">
        <v>3</v>
      </c>
      <c r="V3" s="37">
        <v>9</v>
      </c>
      <c r="W3" s="17">
        <f t="shared" si="8"/>
        <v>0.5</v>
      </c>
      <c r="X3" s="17">
        <f t="shared" si="9"/>
        <v>1.5</v>
      </c>
      <c r="Y3" s="18">
        <f t="shared" si="10"/>
        <v>0.33333333333333331</v>
      </c>
      <c r="Z3" s="37">
        <v>2</v>
      </c>
      <c r="AA3" s="37">
        <v>2</v>
      </c>
      <c r="AB3" s="17">
        <f t="shared" si="11"/>
        <v>0.33333333333333331</v>
      </c>
      <c r="AC3" s="17">
        <f t="shared" si="12"/>
        <v>0.33333333333333331</v>
      </c>
      <c r="AD3" s="18">
        <f t="shared" si="13"/>
        <v>1</v>
      </c>
      <c r="AE3" s="37">
        <v>4</v>
      </c>
      <c r="AF3" s="17">
        <f t="shared" si="14"/>
        <v>0.66666666666666663</v>
      </c>
      <c r="AG3" s="37">
        <v>1</v>
      </c>
      <c r="AH3" s="17">
        <f t="shared" si="15"/>
        <v>0.16666666666666666</v>
      </c>
      <c r="AI3" s="37">
        <v>3</v>
      </c>
      <c r="AJ3" s="17">
        <f t="shared" si="16"/>
        <v>0.5</v>
      </c>
      <c r="AK3" s="37">
        <v>0</v>
      </c>
      <c r="AL3" s="17">
        <f t="shared" si="17"/>
        <v>0</v>
      </c>
      <c r="AM3" s="37">
        <v>0</v>
      </c>
      <c r="AN3" s="17">
        <f t="shared" si="18"/>
        <v>0</v>
      </c>
      <c r="AO3" s="40">
        <v>0</v>
      </c>
      <c r="AP3" s="17">
        <v>0</v>
      </c>
      <c r="AQ3" s="40">
        <v>1</v>
      </c>
      <c r="AR3" s="17">
        <f t="shared" si="19"/>
        <v>0.16666666666666666</v>
      </c>
      <c r="AS3" s="37">
        <v>5</v>
      </c>
      <c r="AT3" s="17">
        <f t="shared" si="20"/>
        <v>0.83333333333333337</v>
      </c>
      <c r="AU3" s="41">
        <v>-1.8516350324423989E-2</v>
      </c>
      <c r="AV3" s="19">
        <v>-2.1561979999329239E-2</v>
      </c>
      <c r="AW3" s="19">
        <v>-9.165881464172021E-3</v>
      </c>
      <c r="AX3" s="19">
        <v>-9.3504688602519676E-3</v>
      </c>
      <c r="AY3" s="19">
        <v>85.355683465725804</v>
      </c>
      <c r="AZ3" s="19">
        <v>121.7992956615246</v>
      </c>
      <c r="BA3" s="19">
        <v>0.13140961859410341</v>
      </c>
      <c r="BB3" s="19">
        <v>1.166666666666667</v>
      </c>
      <c r="BC3" s="19">
        <v>8.1513828238719075</v>
      </c>
      <c r="BD3" s="65">
        <f t="shared" si="21"/>
        <v>50.55147058823529</v>
      </c>
      <c r="BE3" s="65">
        <f t="shared" si="22"/>
        <v>45</v>
      </c>
      <c r="BF3" s="19">
        <v>0.86861161547734367</v>
      </c>
      <c r="BG3" s="38">
        <f t="shared" si="23"/>
        <v>0.9</v>
      </c>
      <c r="BH3" s="38">
        <f t="shared" si="24"/>
        <v>0.2</v>
      </c>
      <c r="BI3" s="19">
        <v>8.343562889083804E-2</v>
      </c>
      <c r="BJ3" s="19">
        <v>0.51591088348608316</v>
      </c>
      <c r="BK3" s="19">
        <v>0.33639485566362759</v>
      </c>
      <c r="BL3" s="19">
        <v>0</v>
      </c>
      <c r="BM3" s="19">
        <v>0</v>
      </c>
      <c r="BN3" s="19">
        <v>0</v>
      </c>
      <c r="BO3" s="67">
        <f t="shared" si="25"/>
        <v>8.4175084175084169</v>
      </c>
      <c r="BP3" s="19"/>
      <c r="BQ3" s="19"/>
      <c r="BR3" s="19"/>
      <c r="BS3" s="19"/>
      <c r="BT3" s="20" t="s">
        <v>89</v>
      </c>
      <c r="BU3" s="39">
        <v>19500</v>
      </c>
      <c r="BV3" s="31" t="s">
        <v>93</v>
      </c>
      <c r="BW3" s="31">
        <v>16.18</v>
      </c>
      <c r="BX3" s="31">
        <v>24.08</v>
      </c>
      <c r="BY3" s="31">
        <v>7.9</v>
      </c>
      <c r="BZ3" s="35">
        <v>2.6966666666666672</v>
      </c>
      <c r="CA3" s="35">
        <v>4.0133333333333328</v>
      </c>
      <c r="CB3" s="35">
        <v>1.3166666666666671</v>
      </c>
      <c r="CC3" s="36">
        <v>18.84133915574964</v>
      </c>
      <c r="CD3" s="36">
        <v>28.04075691411936</v>
      </c>
      <c r="CE3" s="36">
        <v>9.199417758369723</v>
      </c>
      <c r="CF3" s="43">
        <v>1</v>
      </c>
      <c r="CG3" s="43">
        <v>5</v>
      </c>
    </row>
    <row r="4" spans="1:85" x14ac:dyDescent="0.4">
      <c r="A4" s="11" t="s">
        <v>85</v>
      </c>
      <c r="B4" s="22" t="s">
        <v>94</v>
      </c>
      <c r="C4" s="23" t="s">
        <v>95</v>
      </c>
      <c r="D4" s="46" t="s">
        <v>88</v>
      </c>
      <c r="E4" s="10">
        <v>53</v>
      </c>
      <c r="F4" s="10">
        <v>16</v>
      </c>
      <c r="G4" s="10">
        <v>21</v>
      </c>
      <c r="H4" s="16">
        <f t="shared" si="0"/>
        <v>51993</v>
      </c>
      <c r="I4" s="37">
        <v>470</v>
      </c>
      <c r="J4" s="17">
        <f t="shared" si="1"/>
        <v>8.8679245283018862</v>
      </c>
      <c r="K4" s="15">
        <v>208</v>
      </c>
      <c r="L4" s="15">
        <v>365</v>
      </c>
      <c r="M4" s="17">
        <f t="shared" si="2"/>
        <v>3.9245283018867925</v>
      </c>
      <c r="N4" s="17">
        <f t="shared" si="3"/>
        <v>6.8867924528301883</v>
      </c>
      <c r="O4" s="18">
        <f t="shared" si="4"/>
        <v>0.56986301369863013</v>
      </c>
      <c r="P4" s="37">
        <v>207</v>
      </c>
      <c r="Q4" s="37">
        <v>350</v>
      </c>
      <c r="R4" s="17">
        <f t="shared" si="5"/>
        <v>3.9056603773584904</v>
      </c>
      <c r="S4" s="17">
        <f t="shared" si="6"/>
        <v>6.6037735849056602</v>
      </c>
      <c r="T4" s="18">
        <f t="shared" si="7"/>
        <v>0.59142857142857141</v>
      </c>
      <c r="U4" s="37">
        <v>1</v>
      </c>
      <c r="V4" s="37">
        <v>15</v>
      </c>
      <c r="W4" s="17">
        <f t="shared" si="8"/>
        <v>1.8867924528301886E-2</v>
      </c>
      <c r="X4" s="17">
        <f t="shared" si="9"/>
        <v>0.28301886792452829</v>
      </c>
      <c r="Y4" s="18">
        <f t="shared" si="10"/>
        <v>6.6666666666666666E-2</v>
      </c>
      <c r="Z4" s="37">
        <v>53</v>
      </c>
      <c r="AA4" s="37">
        <v>98</v>
      </c>
      <c r="AB4" s="17">
        <f t="shared" si="11"/>
        <v>1</v>
      </c>
      <c r="AC4" s="17">
        <f t="shared" si="12"/>
        <v>1.8490566037735849</v>
      </c>
      <c r="AD4" s="18">
        <f t="shared" si="13"/>
        <v>0.54081632653061229</v>
      </c>
      <c r="AE4" s="37">
        <v>246</v>
      </c>
      <c r="AF4" s="17">
        <f t="shared" si="14"/>
        <v>4.6415094339622645</v>
      </c>
      <c r="AG4" s="37">
        <v>77</v>
      </c>
      <c r="AH4" s="17">
        <f t="shared" si="15"/>
        <v>1.4528301886792452</v>
      </c>
      <c r="AI4" s="37">
        <v>169</v>
      </c>
      <c r="AJ4" s="17">
        <f t="shared" si="16"/>
        <v>3.1886792452830188</v>
      </c>
      <c r="AK4" s="37">
        <v>70</v>
      </c>
      <c r="AL4" s="17">
        <f t="shared" si="17"/>
        <v>1.320754716981132</v>
      </c>
      <c r="AM4" s="37">
        <v>47</v>
      </c>
      <c r="AN4" s="17">
        <f t="shared" si="18"/>
        <v>0.8867924528301887</v>
      </c>
      <c r="AO4" s="37">
        <v>68</v>
      </c>
      <c r="AP4" s="17">
        <v>1.283018867924528</v>
      </c>
      <c r="AQ4" s="40">
        <v>73</v>
      </c>
      <c r="AR4" s="17">
        <f t="shared" si="19"/>
        <v>1.3773584905660377</v>
      </c>
      <c r="AS4" s="37">
        <v>109</v>
      </c>
      <c r="AT4" s="17">
        <f t="shared" si="20"/>
        <v>2.0566037735849059</v>
      </c>
      <c r="AU4" s="41">
        <v>1.830776185767232</v>
      </c>
      <c r="AV4" s="19">
        <v>8.4534752791453088E-2</v>
      </c>
      <c r="AW4" s="19">
        <v>0.73915075916213013</v>
      </c>
      <c r="AX4" s="19">
        <v>1.091625426605102</v>
      </c>
      <c r="AY4" s="19">
        <v>108.0732951017138</v>
      </c>
      <c r="AZ4" s="19">
        <v>107.01015208638491</v>
      </c>
      <c r="BA4" s="19">
        <v>11.10324819937609</v>
      </c>
      <c r="BB4" s="19">
        <v>11.811320754716981</v>
      </c>
      <c r="BC4" s="19">
        <v>28.905092637127961</v>
      </c>
      <c r="BD4" s="65">
        <f t="shared" si="21"/>
        <v>57.581103596981279</v>
      </c>
      <c r="BE4" s="65">
        <f t="shared" si="22"/>
        <v>57.12328767123288</v>
      </c>
      <c r="BF4" s="19">
        <v>17.07676595262906</v>
      </c>
      <c r="BG4" s="38">
        <f t="shared" si="23"/>
        <v>4.1095890410958902E-2</v>
      </c>
      <c r="BH4" s="38">
        <f t="shared" si="24"/>
        <v>0.26849315068493151</v>
      </c>
      <c r="BI4" s="19">
        <v>3.2736570711815971</v>
      </c>
      <c r="BJ4" s="19">
        <v>14.231511162031371</v>
      </c>
      <c r="BK4" s="19">
        <v>10.04765758138806</v>
      </c>
      <c r="BL4" s="19">
        <v>8.422318675520879</v>
      </c>
      <c r="BM4" s="19">
        <v>3.040482309430407</v>
      </c>
      <c r="BN4" s="19">
        <v>4.6640155063741604</v>
      </c>
      <c r="BO4" s="67">
        <f t="shared" si="25"/>
        <v>15.172929830395743</v>
      </c>
      <c r="BP4" s="19"/>
      <c r="BQ4" s="19"/>
      <c r="BR4" s="19"/>
      <c r="BS4" s="19"/>
      <c r="BT4" s="20" t="s">
        <v>96</v>
      </c>
      <c r="BU4" s="39">
        <v>47000</v>
      </c>
      <c r="BV4" s="30" t="s">
        <v>93</v>
      </c>
      <c r="BW4" s="30">
        <v>901.95</v>
      </c>
      <c r="BX4" s="30">
        <v>1203.05</v>
      </c>
      <c r="BY4" s="30">
        <v>301.10000000000002</v>
      </c>
      <c r="BZ4" s="35">
        <v>17.01792452830189</v>
      </c>
      <c r="CA4" s="35">
        <v>22.699056603773581</v>
      </c>
      <c r="CB4" s="35">
        <v>5.681132075471699</v>
      </c>
      <c r="CC4" s="36">
        <v>41.646882274852338</v>
      </c>
      <c r="CD4" s="36">
        <v>55.54995478769456</v>
      </c>
      <c r="CE4" s="36">
        <v>13.90307251284222</v>
      </c>
      <c r="CF4" s="31">
        <v>28</v>
      </c>
      <c r="CG4" s="31">
        <v>25</v>
      </c>
    </row>
    <row r="5" spans="1:85" x14ac:dyDescent="0.4">
      <c r="A5" s="11" t="s">
        <v>85</v>
      </c>
      <c r="B5" s="22" t="s">
        <v>97</v>
      </c>
      <c r="C5" s="23" t="s">
        <v>98</v>
      </c>
      <c r="D5" s="46" t="s">
        <v>88</v>
      </c>
      <c r="E5" s="10">
        <v>9</v>
      </c>
      <c r="F5" s="10">
        <v>2</v>
      </c>
      <c r="G5" s="10">
        <v>35</v>
      </c>
      <c r="H5" s="16">
        <f t="shared" si="0"/>
        <v>1395</v>
      </c>
      <c r="I5" s="37">
        <v>3</v>
      </c>
      <c r="J5" s="17">
        <f t="shared" si="1"/>
        <v>0.33333333333333331</v>
      </c>
      <c r="K5" s="15">
        <v>1</v>
      </c>
      <c r="L5" s="15">
        <v>5</v>
      </c>
      <c r="M5" s="17">
        <f t="shared" si="2"/>
        <v>0.1111111111111111</v>
      </c>
      <c r="N5" s="17">
        <f t="shared" si="3"/>
        <v>0.55555555555555558</v>
      </c>
      <c r="O5" s="18">
        <f t="shared" si="4"/>
        <v>0.2</v>
      </c>
      <c r="P5" s="37">
        <v>0</v>
      </c>
      <c r="Q5" s="37">
        <v>2</v>
      </c>
      <c r="R5" s="17">
        <f t="shared" si="5"/>
        <v>0</v>
      </c>
      <c r="S5" s="17">
        <f t="shared" si="6"/>
        <v>0.22222222222222221</v>
      </c>
      <c r="T5" s="18">
        <f t="shared" si="7"/>
        <v>0</v>
      </c>
      <c r="U5" s="37">
        <v>1</v>
      </c>
      <c r="V5" s="37">
        <v>3</v>
      </c>
      <c r="W5" s="17">
        <f t="shared" si="8"/>
        <v>0.1111111111111111</v>
      </c>
      <c r="X5" s="17">
        <f t="shared" si="9"/>
        <v>0.33333333333333331</v>
      </c>
      <c r="Y5" s="18">
        <f t="shared" si="10"/>
        <v>0.33333333333333331</v>
      </c>
      <c r="Z5" s="37">
        <v>0</v>
      </c>
      <c r="AA5" s="37">
        <v>0</v>
      </c>
      <c r="AB5" s="17">
        <f t="shared" si="11"/>
        <v>0</v>
      </c>
      <c r="AC5" s="17">
        <f t="shared" si="12"/>
        <v>0</v>
      </c>
      <c r="AD5" s="18" t="e">
        <f t="shared" si="13"/>
        <v>#DIV/0!</v>
      </c>
      <c r="AE5" s="37">
        <v>1</v>
      </c>
      <c r="AF5" s="17">
        <f t="shared" si="14"/>
        <v>0.1111111111111111</v>
      </c>
      <c r="AG5" s="37">
        <v>0</v>
      </c>
      <c r="AH5" s="17">
        <f t="shared" si="15"/>
        <v>0</v>
      </c>
      <c r="AI5" s="37">
        <v>1</v>
      </c>
      <c r="AJ5" s="17">
        <f t="shared" si="16"/>
        <v>0.1111111111111111</v>
      </c>
      <c r="AK5" s="37">
        <v>3</v>
      </c>
      <c r="AL5" s="17">
        <f t="shared" si="17"/>
        <v>0.33333333333333331</v>
      </c>
      <c r="AM5" s="37">
        <v>1</v>
      </c>
      <c r="AN5" s="17">
        <f t="shared" si="18"/>
        <v>0.1111111111111111</v>
      </c>
      <c r="AO5" s="37">
        <v>0</v>
      </c>
      <c r="AP5" s="17">
        <v>0</v>
      </c>
      <c r="AQ5" s="40">
        <v>2</v>
      </c>
      <c r="AR5" s="17">
        <f t="shared" si="19"/>
        <v>0.22222222222222221</v>
      </c>
      <c r="AS5" s="37">
        <v>5</v>
      </c>
      <c r="AT5" s="17">
        <f t="shared" si="20"/>
        <v>0.55555555555555558</v>
      </c>
      <c r="AU5" s="41">
        <v>-7.4233469297172644E-2</v>
      </c>
      <c r="AV5" s="19">
        <v>-0.12789686023920629</v>
      </c>
      <c r="AW5" s="19">
        <v>-7.2098426237344582E-2</v>
      </c>
      <c r="AX5" s="19">
        <v>-2.135043059828064E-3</v>
      </c>
      <c r="AY5" s="19">
        <v>74.911197151081794</v>
      </c>
      <c r="AZ5" s="19">
        <v>120.46259287394371</v>
      </c>
      <c r="BA5" s="19">
        <v>-0.7392736905704036</v>
      </c>
      <c r="BB5" s="19">
        <v>0.22222222222222221</v>
      </c>
      <c r="BC5" s="19">
        <v>3.445800430725054</v>
      </c>
      <c r="BD5" s="65">
        <f t="shared" si="21"/>
        <v>30</v>
      </c>
      <c r="BE5" s="65">
        <f t="shared" si="22"/>
        <v>30</v>
      </c>
      <c r="BF5" s="19">
        <v>2.1092186830020969</v>
      </c>
      <c r="BG5" s="38">
        <f t="shared" si="23"/>
        <v>0.6</v>
      </c>
      <c r="BH5" s="38">
        <f t="shared" si="24"/>
        <v>0</v>
      </c>
      <c r="BI5" s="19">
        <v>0</v>
      </c>
      <c r="BJ5" s="19">
        <v>0.69612129913637455</v>
      </c>
      <c r="BK5" s="19">
        <v>0.3503609995653334</v>
      </c>
      <c r="BL5" s="19">
        <v>1.8881039766640459</v>
      </c>
      <c r="BM5" s="19">
        <v>2.3735618001392211</v>
      </c>
      <c r="BN5" s="19">
        <v>0</v>
      </c>
      <c r="BO5" s="67">
        <f t="shared" si="25"/>
        <v>28.571428571428573</v>
      </c>
      <c r="BP5" s="19"/>
      <c r="BQ5" s="19"/>
      <c r="BR5" s="19"/>
      <c r="BS5" s="19"/>
      <c r="BT5" s="20" t="s">
        <v>89</v>
      </c>
      <c r="BU5" s="39">
        <v>180000</v>
      </c>
      <c r="BV5" s="11" t="s">
        <v>90</v>
      </c>
      <c r="BW5" s="30">
        <v>8.49</v>
      </c>
      <c r="BX5" s="30">
        <v>15.29</v>
      </c>
      <c r="BY5" s="30">
        <v>6.8</v>
      </c>
      <c r="BZ5" s="35">
        <v>0.94333333333333336</v>
      </c>
      <c r="CA5" s="35">
        <v>1.6988888888888889</v>
      </c>
      <c r="CB5" s="35">
        <v>0.75555555555555554</v>
      </c>
      <c r="CC5" s="36">
        <v>14.62742282842785</v>
      </c>
      <c r="CD5" s="36">
        <v>26.34314429289304</v>
      </c>
      <c r="CE5" s="36">
        <v>11.715721464465179</v>
      </c>
      <c r="CF5" s="31">
        <v>3</v>
      </c>
      <c r="CG5" s="31">
        <v>6</v>
      </c>
    </row>
    <row r="6" spans="1:85" x14ac:dyDescent="0.4">
      <c r="A6" s="11" t="s">
        <v>85</v>
      </c>
      <c r="B6" s="11" t="s">
        <v>99</v>
      </c>
      <c r="C6" s="11" t="s">
        <v>100</v>
      </c>
      <c r="D6" s="46" t="s">
        <v>88</v>
      </c>
      <c r="E6" s="10">
        <v>46</v>
      </c>
      <c r="F6" s="10">
        <v>19</v>
      </c>
      <c r="G6" s="10">
        <v>20</v>
      </c>
      <c r="H6" s="16">
        <f t="shared" si="0"/>
        <v>53360</v>
      </c>
      <c r="I6" s="16">
        <v>202</v>
      </c>
      <c r="J6" s="17">
        <f t="shared" si="1"/>
        <v>4.3913043478260869</v>
      </c>
      <c r="K6" s="15">
        <v>69</v>
      </c>
      <c r="L6" s="15">
        <v>201</v>
      </c>
      <c r="M6" s="17">
        <f t="shared" si="2"/>
        <v>1.5</v>
      </c>
      <c r="N6" s="17">
        <f t="shared" si="3"/>
        <v>4.3695652173913047</v>
      </c>
      <c r="O6" s="18">
        <f t="shared" si="4"/>
        <v>0.34328358208955223</v>
      </c>
      <c r="P6" s="16">
        <v>31</v>
      </c>
      <c r="Q6" s="15">
        <v>49</v>
      </c>
      <c r="R6" s="17">
        <f t="shared" si="5"/>
        <v>0.67391304347826086</v>
      </c>
      <c r="S6" s="17">
        <f t="shared" si="6"/>
        <v>1.0652173913043479</v>
      </c>
      <c r="T6" s="18">
        <f t="shared" si="7"/>
        <v>0.63265306122448983</v>
      </c>
      <c r="U6" s="15">
        <v>38</v>
      </c>
      <c r="V6" s="15">
        <v>152</v>
      </c>
      <c r="W6" s="17">
        <f t="shared" si="8"/>
        <v>0.82608695652173914</v>
      </c>
      <c r="X6" s="17">
        <f t="shared" si="9"/>
        <v>3.3043478260869565</v>
      </c>
      <c r="Y6" s="18">
        <f t="shared" si="10"/>
        <v>0.25</v>
      </c>
      <c r="Z6" s="9">
        <v>26</v>
      </c>
      <c r="AA6" s="9">
        <v>28</v>
      </c>
      <c r="AB6" s="17">
        <f t="shared" si="11"/>
        <v>0.56521739130434778</v>
      </c>
      <c r="AC6" s="17">
        <f t="shared" si="12"/>
        <v>0.60869565217391308</v>
      </c>
      <c r="AD6" s="18">
        <f t="shared" si="13"/>
        <v>0.9285714285714286</v>
      </c>
      <c r="AE6" s="15">
        <v>85</v>
      </c>
      <c r="AF6" s="17">
        <f t="shared" si="14"/>
        <v>1.8478260869565217</v>
      </c>
      <c r="AG6" s="15">
        <v>28</v>
      </c>
      <c r="AH6" s="17">
        <f t="shared" si="15"/>
        <v>0.60869565217391308</v>
      </c>
      <c r="AI6" s="15">
        <v>57</v>
      </c>
      <c r="AJ6" s="17">
        <f t="shared" si="16"/>
        <v>1.2391304347826086</v>
      </c>
      <c r="AK6" s="15">
        <v>41</v>
      </c>
      <c r="AL6" s="17">
        <f t="shared" si="17"/>
        <v>0.89130434782608692</v>
      </c>
      <c r="AM6" s="15">
        <v>44</v>
      </c>
      <c r="AN6" s="17">
        <f t="shared" si="18"/>
        <v>0.95652173913043481</v>
      </c>
      <c r="AO6" s="7">
        <v>1</v>
      </c>
      <c r="AP6" s="17">
        <f t="shared" ref="AP6:AP69" si="26">AO6/$E6</f>
        <v>2.1739130434782608E-2</v>
      </c>
      <c r="AQ6" s="2">
        <v>28</v>
      </c>
      <c r="AR6" s="17">
        <f t="shared" si="19"/>
        <v>0.60869565217391308</v>
      </c>
      <c r="AS6" s="15">
        <v>99</v>
      </c>
      <c r="AT6" s="17">
        <f t="shared" si="20"/>
        <v>2.152173913043478</v>
      </c>
      <c r="AU6" s="19">
        <v>-0.19548833861512821</v>
      </c>
      <c r="AV6" s="19">
        <v>-8.792578948206663E-3</v>
      </c>
      <c r="AW6" s="19">
        <v>-0.26764745870420492</v>
      </c>
      <c r="AX6" s="19">
        <v>7.2159120089076767E-2</v>
      </c>
      <c r="AY6" s="19">
        <v>97.529176899548418</v>
      </c>
      <c r="AZ6" s="19">
        <v>118.8424997477662</v>
      </c>
      <c r="BA6" s="19">
        <v>3.8801874905107931</v>
      </c>
      <c r="BB6" s="19">
        <v>4.5869565217391308</v>
      </c>
      <c r="BC6" s="19">
        <v>9.4902548725637175</v>
      </c>
      <c r="BD6" s="65">
        <f t="shared" si="21"/>
        <v>47.346709169323084</v>
      </c>
      <c r="BE6" s="65">
        <f t="shared" si="22"/>
        <v>43.781094527363187</v>
      </c>
      <c r="BF6" s="66">
        <f>IFERROR(100*((L6+0.44*AA6+AQ6)*2400)/((SUMIFS(팀공격력!Q:Q,팀공격력!A:A,B6,팀공격력!B:B,D6)+0.44*SUMIFS(팀공격력!T:T,팀공격력!A:A,B6,팀공격력!B:B,D6)+SUMIFS(팀공격력!AK:AK,팀공격력!A:A,B6,팀공격력!B:B,D6))*(F6*60+G6)),"")</f>
        <v>10.914906666361114</v>
      </c>
      <c r="BG6" s="38">
        <f t="shared" si="23"/>
        <v>0.75621890547263682</v>
      </c>
      <c r="BH6" s="38">
        <f t="shared" si="24"/>
        <v>0.13930348258706468</v>
      </c>
      <c r="BI6" s="67">
        <f>IFERROR(((AG6*(12000/5))/((F6*60+G6)*(SUMIFS(팀공격력!X:X,팀공격력!A:A,B6,팀공격력!B:B,D6)+SUMIFS(팀수비력!X:X,팀수비력!A:A,B6,팀수비력!B:B,D6))))*100,"")</f>
        <v>1.4725733218799852</v>
      </c>
      <c r="BJ6" s="67">
        <f>IFERROR(((AI6*(12000/5))/((F6*60+G6)*(SUMIFS(팀공격력!V:V,팀공격력!A:A,B6,팀공격력!B:B,D6)+SUMIFS(팀수비력!W:W,팀수비력!A:A,B6,팀수비력!B:B,D6))))*100,"")</f>
        <v>5.9561128526645764</v>
      </c>
      <c r="BK6" s="67">
        <f>IFERROR(((AE6*(12000/5))/((F6*60+G6)*(SUMIFS(팀공격력!X:X,팀공격력!A:A,B6,팀공격력!B:B,D6)+SUMIFS(팀수비력!X:X,팀수비력!A:A,B6,팀수비력!B:B,D6))))*100,"")</f>
        <v>4.4703118699928126</v>
      </c>
      <c r="BL6" s="67">
        <f>IFERROR(100*AK6/(((((F6*60+G6)/(12000/5))*SUMIFS(팀공격력!P:P,팀공격력!A:A,B6,팀공격력!B:B,D6))-K6)),"")</f>
        <v>5.9854014598540148</v>
      </c>
      <c r="BM6" s="67">
        <f>IFERROR(100*((AM6/E6*(2400))/((F6*60+G6)*SUMIFS(팀공격력!AR:AR,팀공격력!A:A,B6,팀공격력!B:B,D6))),"")</f>
        <v>2.7263933630834538</v>
      </c>
      <c r="BN6" s="67">
        <f>IFERROR((AO6*40)/(((F6*60+G6)/60)*(SUMIFS(팀수비력!Q:Q,팀수비력!A:A,B6,팀수비력!B:B,D6)-SUMIFS(팀수비력!N:N,팀수비력!A:A,B6,팀수비력!B:B,D6)))*100,"")</f>
        <v>9.4001159347631952E-2</v>
      </c>
      <c r="BO6" s="67">
        <f t="shared" si="25"/>
        <v>11.602850986242334</v>
      </c>
      <c r="BP6" s="19"/>
      <c r="BQ6" s="19"/>
      <c r="BR6" s="19"/>
      <c r="BS6" s="19"/>
      <c r="BT6" s="20" t="s">
        <v>89</v>
      </c>
      <c r="BU6" s="21"/>
      <c r="BV6" s="11" t="s">
        <v>90</v>
      </c>
      <c r="BW6" s="31">
        <v>479.04</v>
      </c>
      <c r="BX6" s="31">
        <v>643.24</v>
      </c>
      <c r="BY6" s="31">
        <v>164.2</v>
      </c>
      <c r="BZ6" s="35">
        <f t="shared" ref="BZ6:BZ22" si="27">CA6-CB6</f>
        <v>10.413913043478262</v>
      </c>
      <c r="CA6" s="35">
        <f t="shared" ref="CA6:CA22" si="28">BX6/$E6</f>
        <v>13.983478260869566</v>
      </c>
      <c r="CB6" s="35">
        <f t="shared" ref="CB6:CB22" si="29">BY6/$E6</f>
        <v>3.5695652173913039</v>
      </c>
      <c r="CC6" s="36">
        <f t="shared" ref="CC6:CC22" si="30">CD6-CE6</f>
        <v>21.546026986506746</v>
      </c>
      <c r="CD6" s="36">
        <f t="shared" ref="CD6:CD22" si="31">BX6*2400/$H6</f>
        <v>28.931334332833583</v>
      </c>
      <c r="CE6" s="36">
        <f t="shared" ref="CE6:CE22" si="32">BY6*2400/$H6</f>
        <v>7.3853073463268366</v>
      </c>
      <c r="CF6" s="30">
        <v>14</v>
      </c>
      <c r="CG6" s="30">
        <v>32</v>
      </c>
    </row>
    <row r="7" spans="1:85" x14ac:dyDescent="0.4">
      <c r="A7" s="11" t="s">
        <v>85</v>
      </c>
      <c r="B7" s="11" t="s">
        <v>99</v>
      </c>
      <c r="C7" s="11" t="s">
        <v>101</v>
      </c>
      <c r="D7" s="46" t="s">
        <v>88</v>
      </c>
      <c r="E7" s="10">
        <v>47</v>
      </c>
      <c r="F7" s="10">
        <v>23</v>
      </c>
      <c r="G7" s="10">
        <v>34</v>
      </c>
      <c r="H7" s="16">
        <f t="shared" si="0"/>
        <v>66458</v>
      </c>
      <c r="I7" s="16">
        <v>381</v>
      </c>
      <c r="J7" s="17">
        <f t="shared" si="1"/>
        <v>8.1063829787234045</v>
      </c>
      <c r="K7" s="15">
        <v>143</v>
      </c>
      <c r="L7" s="15">
        <v>322</v>
      </c>
      <c r="M7" s="17">
        <f t="shared" si="2"/>
        <v>3.0425531914893615</v>
      </c>
      <c r="N7" s="17">
        <f t="shared" si="3"/>
        <v>6.8510638297872344</v>
      </c>
      <c r="O7" s="18">
        <f t="shared" si="4"/>
        <v>0.44409937888198758</v>
      </c>
      <c r="P7" s="16">
        <v>69</v>
      </c>
      <c r="Q7" s="15">
        <v>115</v>
      </c>
      <c r="R7" s="17">
        <f t="shared" si="5"/>
        <v>1.4680851063829787</v>
      </c>
      <c r="S7" s="17">
        <f t="shared" si="6"/>
        <v>2.4468085106382977</v>
      </c>
      <c r="T7" s="18">
        <f t="shared" si="7"/>
        <v>0.6</v>
      </c>
      <c r="U7" s="15">
        <v>74</v>
      </c>
      <c r="V7" s="15">
        <v>207</v>
      </c>
      <c r="W7" s="17">
        <f t="shared" si="8"/>
        <v>1.574468085106383</v>
      </c>
      <c r="X7" s="17">
        <f t="shared" si="9"/>
        <v>4.4042553191489358</v>
      </c>
      <c r="Y7" s="18">
        <f t="shared" si="10"/>
        <v>0.35748792270531399</v>
      </c>
      <c r="Z7" s="9">
        <v>21</v>
      </c>
      <c r="AA7" s="9">
        <v>35</v>
      </c>
      <c r="AB7" s="17">
        <f t="shared" si="11"/>
        <v>0.44680851063829785</v>
      </c>
      <c r="AC7" s="17">
        <f t="shared" si="12"/>
        <v>0.74468085106382975</v>
      </c>
      <c r="AD7" s="18">
        <f t="shared" si="13"/>
        <v>0.6</v>
      </c>
      <c r="AE7" s="15">
        <v>171</v>
      </c>
      <c r="AF7" s="17">
        <f t="shared" si="14"/>
        <v>3.6382978723404253</v>
      </c>
      <c r="AG7" s="15">
        <v>59</v>
      </c>
      <c r="AH7" s="17">
        <f t="shared" si="15"/>
        <v>1.2553191489361701</v>
      </c>
      <c r="AI7" s="15">
        <v>112</v>
      </c>
      <c r="AJ7" s="17">
        <f t="shared" si="16"/>
        <v>2.3829787234042552</v>
      </c>
      <c r="AK7" s="15">
        <v>45</v>
      </c>
      <c r="AL7" s="17">
        <f t="shared" si="17"/>
        <v>0.95744680851063835</v>
      </c>
      <c r="AM7" s="15">
        <v>25</v>
      </c>
      <c r="AN7" s="17">
        <f t="shared" si="18"/>
        <v>0.53191489361702127</v>
      </c>
      <c r="AO7" s="7">
        <v>17</v>
      </c>
      <c r="AP7" s="17">
        <f t="shared" si="26"/>
        <v>0.36170212765957449</v>
      </c>
      <c r="AQ7" s="6">
        <v>35</v>
      </c>
      <c r="AR7" s="17">
        <f t="shared" si="19"/>
        <v>0.74468085106382975</v>
      </c>
      <c r="AS7" s="15">
        <v>110</v>
      </c>
      <c r="AT7" s="17">
        <f t="shared" si="20"/>
        <v>2.3404255319148937</v>
      </c>
      <c r="AU7" s="19">
        <v>0.83369095457879405</v>
      </c>
      <c r="AV7" s="19">
        <v>3.010710961794074E-2</v>
      </c>
      <c r="AW7" s="19">
        <v>0.85187507307447163</v>
      </c>
      <c r="AX7" s="19">
        <v>-1.818411849567763E-2</v>
      </c>
      <c r="AY7" s="19">
        <v>111.050113055677</v>
      </c>
      <c r="AZ7" s="19">
        <v>119.7566559721493</v>
      </c>
      <c r="BA7" s="19">
        <v>7.6780063013955289</v>
      </c>
      <c r="BB7" s="19">
        <v>8.7446808510638299</v>
      </c>
      <c r="BC7" s="19">
        <v>14.8424568900659</v>
      </c>
      <c r="BD7" s="65">
        <f t="shared" si="21"/>
        <v>56.461173681090692</v>
      </c>
      <c r="BE7" s="65">
        <f t="shared" si="22"/>
        <v>55.900621118012417</v>
      </c>
      <c r="BF7" s="66">
        <f>IFERROR(100*((L7+0.44*AA7+AQ7)*2400)/((SUMIFS(팀공격력!Q:Q,팀공격력!A:A,B7,팀공격력!B:B,D7)+0.44*SUMIFS(팀공격력!T:T,팀공격력!A:A,B7,팀공격력!B:B,D7)+SUMIFS(팀공격력!AK:AK,팀공격력!A:A,B7,팀공격력!B:B,D7))*(F7*60+G7)),"")</f>
        <v>13.817992792825866</v>
      </c>
      <c r="BG7" s="38">
        <f t="shared" si="23"/>
        <v>0.6428571428571429</v>
      </c>
      <c r="BH7" s="38">
        <f t="shared" si="24"/>
        <v>0.10869565217391304</v>
      </c>
      <c r="BI7" s="67">
        <f>IFERROR(((AG7*(12000/5))/((F7*60+G7)*(SUMIFS(팀공격력!X:X,팀공격력!A:A,B7,팀공격력!B:B,D7)+SUMIFS(팀수비력!X:X,팀수비력!A:A,B7,팀수비력!B:B,D7))))*100,"")</f>
        <v>2.5455374355795661</v>
      </c>
      <c r="BJ7" s="67">
        <f>IFERROR(((AI7*(12000/5))/((F7*60+G7)*(SUMIFS(팀공격력!V:V,팀공격력!A:A,B7,팀공격력!B:B,D7)+SUMIFS(팀수비력!W:W,팀수비력!A:A,B7,팀수비력!B:B,D7))))*100,"")</f>
        <v>9.6009600960096009</v>
      </c>
      <c r="BK7" s="67">
        <f>IFERROR(((AE7*(12000/5))/((F7*60+G7)*(SUMIFS(팀공격력!X:X,팀공격력!A:A,B7,팀공격력!B:B,D7)+SUMIFS(팀수비력!X:X,팀수비력!A:A,B7,팀수비력!B:B,D7))))*100,"")</f>
        <v>7.3777440929509472</v>
      </c>
      <c r="BL7" s="67">
        <f>IFERROR(100*AK7/(((((F7*60+G7)/(12000/5))*SUMIFS(팀공격력!P:P,팀공격력!A:A,B7,팀공격력!B:B,D7))-K7)),"")</f>
        <v>5.798221878623889</v>
      </c>
      <c r="BM7" s="67">
        <f>IFERROR(100*((AM7/E7*(2400))/((F7*60+G7)*SUMIFS(팀공격력!AR:AR,팀공격력!A:A,B7,팀공격력!B:B,D7))),"")</f>
        <v>1.2437823842103035</v>
      </c>
      <c r="BN7" s="67">
        <f>IFERROR((AO7*40)/(((F7*60+G7)/60)*(SUMIFS(팀수비력!Q:Q,팀수비력!A:A,B7,팀수비력!B:B,D7)-SUMIFS(팀수비력!N:N,팀수비력!A:A,B7,팀수비력!B:B,D7)))*100,"")</f>
        <v>1.310963834749153</v>
      </c>
      <c r="BO7" s="67">
        <f t="shared" si="25"/>
        <v>9.3984962406015047</v>
      </c>
      <c r="BP7" s="19"/>
      <c r="BQ7" s="19"/>
      <c r="BR7" s="19"/>
      <c r="BS7" s="19"/>
      <c r="BT7" s="20" t="s">
        <v>89</v>
      </c>
      <c r="BU7" s="21">
        <v>55000</v>
      </c>
      <c r="BV7" s="11" t="s">
        <v>102</v>
      </c>
      <c r="BW7" s="30">
        <v>752.05</v>
      </c>
      <c r="BX7" s="30">
        <v>981.45</v>
      </c>
      <c r="BY7" s="30">
        <v>229.4</v>
      </c>
      <c r="BZ7" s="35">
        <f t="shared" si="27"/>
        <v>16.001063829787235</v>
      </c>
      <c r="CA7" s="35">
        <f t="shared" si="28"/>
        <v>20.881914893617022</v>
      </c>
      <c r="CB7" s="35">
        <f t="shared" si="29"/>
        <v>4.8808510638297875</v>
      </c>
      <c r="CC7" s="36">
        <f t="shared" si="30"/>
        <v>27.158807066116946</v>
      </c>
      <c r="CD7" s="36">
        <f t="shared" si="31"/>
        <v>35.443137018869059</v>
      </c>
      <c r="CE7" s="36">
        <f t="shared" si="32"/>
        <v>8.2843299527521133</v>
      </c>
      <c r="CF7" s="31">
        <v>16</v>
      </c>
      <c r="CG7" s="31">
        <v>31</v>
      </c>
    </row>
    <row r="8" spans="1:85" x14ac:dyDescent="0.4">
      <c r="A8" s="11" t="s">
        <v>85</v>
      </c>
      <c r="B8" s="11" t="s">
        <v>99</v>
      </c>
      <c r="C8" s="11" t="s">
        <v>103</v>
      </c>
      <c r="D8" s="46" t="s">
        <v>88</v>
      </c>
      <c r="E8" s="15">
        <v>27</v>
      </c>
      <c r="F8" s="15">
        <v>13</v>
      </c>
      <c r="G8" s="15">
        <v>25</v>
      </c>
      <c r="H8" s="16">
        <f t="shared" si="0"/>
        <v>21735</v>
      </c>
      <c r="I8" s="16">
        <v>131</v>
      </c>
      <c r="J8" s="17">
        <f t="shared" si="1"/>
        <v>4.8518518518518521</v>
      </c>
      <c r="K8" s="15">
        <v>46</v>
      </c>
      <c r="L8" s="15">
        <v>132</v>
      </c>
      <c r="M8" s="17">
        <f t="shared" si="2"/>
        <v>1.7037037037037037</v>
      </c>
      <c r="N8" s="17">
        <f t="shared" si="3"/>
        <v>4.8888888888888893</v>
      </c>
      <c r="O8" s="18">
        <f t="shared" si="4"/>
        <v>0.34848484848484851</v>
      </c>
      <c r="P8" s="16">
        <v>15</v>
      </c>
      <c r="Q8" s="15">
        <v>33</v>
      </c>
      <c r="R8" s="17">
        <f t="shared" si="5"/>
        <v>0.55555555555555558</v>
      </c>
      <c r="S8" s="17">
        <f t="shared" si="6"/>
        <v>1.2222222222222223</v>
      </c>
      <c r="T8" s="18">
        <f t="shared" si="7"/>
        <v>0.45454545454545453</v>
      </c>
      <c r="U8" s="15">
        <v>31</v>
      </c>
      <c r="V8" s="15">
        <v>99</v>
      </c>
      <c r="W8" s="17">
        <f t="shared" si="8"/>
        <v>1.1481481481481481</v>
      </c>
      <c r="X8" s="17">
        <f t="shared" si="9"/>
        <v>3.6666666666666665</v>
      </c>
      <c r="Y8" s="18">
        <f t="shared" si="10"/>
        <v>0.31313131313131315</v>
      </c>
      <c r="Z8" s="15">
        <v>8</v>
      </c>
      <c r="AA8" s="15">
        <v>18</v>
      </c>
      <c r="AB8" s="17">
        <f t="shared" si="11"/>
        <v>0.29629629629629628</v>
      </c>
      <c r="AC8" s="17">
        <f t="shared" si="12"/>
        <v>0.66666666666666663</v>
      </c>
      <c r="AD8" s="18">
        <f t="shared" si="13"/>
        <v>0.44444444444444442</v>
      </c>
      <c r="AE8" s="15">
        <v>38</v>
      </c>
      <c r="AF8" s="17">
        <f t="shared" si="14"/>
        <v>1.4074074074074074</v>
      </c>
      <c r="AG8" s="15">
        <v>13</v>
      </c>
      <c r="AH8" s="17">
        <f t="shared" si="15"/>
        <v>0.48148148148148145</v>
      </c>
      <c r="AI8" s="15">
        <v>25</v>
      </c>
      <c r="AJ8" s="17">
        <f t="shared" si="16"/>
        <v>0.92592592592592593</v>
      </c>
      <c r="AK8" s="15">
        <v>7</v>
      </c>
      <c r="AL8" s="17">
        <f t="shared" si="17"/>
        <v>0.25925925925925924</v>
      </c>
      <c r="AM8" s="15">
        <v>8</v>
      </c>
      <c r="AN8" s="17">
        <f t="shared" si="18"/>
        <v>0.29629629629629628</v>
      </c>
      <c r="AO8" s="15">
        <v>0</v>
      </c>
      <c r="AP8" s="17">
        <f t="shared" si="26"/>
        <v>0</v>
      </c>
      <c r="AQ8" s="4">
        <v>9</v>
      </c>
      <c r="AR8" s="17">
        <f t="shared" si="19"/>
        <v>0.33333333333333331</v>
      </c>
      <c r="AS8" s="15">
        <v>28</v>
      </c>
      <c r="AT8" s="17">
        <f t="shared" si="20"/>
        <v>1.037037037037037</v>
      </c>
      <c r="AU8" s="19">
        <v>-0.35244401317396368</v>
      </c>
      <c r="AV8" s="19">
        <v>-3.8917213324937333E-2</v>
      </c>
      <c r="AW8" s="19">
        <v>-0.25449442271549427</v>
      </c>
      <c r="AX8" s="19">
        <v>-9.7949590458469446E-2</v>
      </c>
      <c r="AY8" s="19">
        <v>94.716180202758395</v>
      </c>
      <c r="AZ8" s="19">
        <v>122.1365616411065</v>
      </c>
      <c r="BA8" s="19">
        <v>2.769878490946998</v>
      </c>
      <c r="BB8" s="19">
        <v>2.925925925925926</v>
      </c>
      <c r="BC8" s="19">
        <v>8.7232574189095917</v>
      </c>
      <c r="BD8" s="65">
        <f t="shared" si="21"/>
        <v>46.812464265294459</v>
      </c>
      <c r="BE8" s="65">
        <f t="shared" si="22"/>
        <v>46.590909090909086</v>
      </c>
      <c r="BF8" s="66">
        <f>IFERROR(100*((L8+0.44*AA8+AQ8)*2400)/((SUMIFS(팀공격력!Q:Q,팀공격력!A:A,B8,팀공격력!B:B,D8)+0.44*SUMIFS(팀공격력!T:T,팀공격력!A:A,B8,팀공격력!B:B,D8)+SUMIFS(팀공격력!AK:AK,팀공격력!A:A,B8,팀공격력!B:B,D8))*(F8*60+G8)),"")</f>
        <v>9.7060348460033801</v>
      </c>
      <c r="BG8" s="38">
        <f t="shared" si="23"/>
        <v>0.75</v>
      </c>
      <c r="BH8" s="38">
        <f t="shared" si="24"/>
        <v>0.13636363636363635</v>
      </c>
      <c r="BI8" s="67">
        <f>IFERROR(((AG8*(12000/5))/((F8*60+G8)*(SUMIFS(팀공격력!X:X,팀공격력!A:A,B8,팀공격력!B:B,D8)+SUMIFS(팀수비력!X:X,팀수비력!A:A,B8,팀수비력!B:B,D8))))*100,"")</f>
        <v>0.98519989769077987</v>
      </c>
      <c r="BJ8" s="67">
        <f>IFERROR(((AI8*(12000/5))/((F8*60+G8)*(SUMIFS(팀공격력!V:V,팀공격력!A:A,B8,팀공격력!B:B,D8)+SUMIFS(팀수비력!W:W,팀수비력!A:A,B8,팀수비력!B:B,D8))))*100,"")</f>
        <v>3.7643515904385474</v>
      </c>
      <c r="BK8" s="67">
        <f>IFERROR(((AE8*(12000/5))/((F8*60+G8)*(SUMIFS(팀공격력!X:X,팀공격력!A:A,B8,팀공격력!B:B,D8)+SUMIFS(팀수비력!X:X,팀수비력!A:A,B8,팀수비력!B:B,D8))))*100,"")</f>
        <v>2.8798150855576643</v>
      </c>
      <c r="BL8" s="67">
        <f>IFERROR(100*AK8/(((((F8*60+G8)/(12000/5))*SUMIFS(팀공격력!P:P,팀공격력!A:A,B8,팀공격력!B:B,D8))-K8)),"")</f>
        <v>1.4667365112624411</v>
      </c>
      <c r="BM8" s="67">
        <f>IFERROR(100*((AM8/E8*(2400))/((F8*60+G8)*SUMIFS(팀공격력!AR:AR,팀공격력!A:A,B8,팀공격력!B:B,D8))),"")</f>
        <v>1.2169759696688047</v>
      </c>
      <c r="BN8" s="67">
        <f>IFERROR((AO8*40)/(((F8*60+G8)/60)*(SUMIFS(팀수비력!Q:Q,팀수비력!A:A,B8,팀수비력!B:B,D8)-SUMIFS(팀수비력!N:N,팀수비력!A:A,B8,팀수비력!B:B,D8)))*100,"")</f>
        <v>0</v>
      </c>
      <c r="BO8" s="67">
        <f t="shared" si="25"/>
        <v>6.0435132957292508</v>
      </c>
      <c r="BP8" s="19"/>
      <c r="BQ8" s="19"/>
      <c r="BR8" s="19"/>
      <c r="BS8" s="19"/>
      <c r="BT8" s="20" t="s">
        <v>89</v>
      </c>
      <c r="BU8" s="21">
        <v>40000</v>
      </c>
      <c r="BV8" s="11" t="s">
        <v>90</v>
      </c>
      <c r="BW8" s="30">
        <v>185.33</v>
      </c>
      <c r="BX8" s="30">
        <v>286.02999999999997</v>
      </c>
      <c r="BY8" s="30">
        <v>100.7</v>
      </c>
      <c r="BZ8" s="35">
        <f t="shared" si="27"/>
        <v>6.8640740740740736</v>
      </c>
      <c r="CA8" s="35">
        <f t="shared" si="28"/>
        <v>10.593703703703703</v>
      </c>
      <c r="CB8" s="35">
        <f t="shared" si="29"/>
        <v>3.7296296296296299</v>
      </c>
      <c r="CC8" s="36">
        <f t="shared" si="30"/>
        <v>20.464320220841955</v>
      </c>
      <c r="CD8" s="36">
        <f t="shared" si="31"/>
        <v>31.583712905452032</v>
      </c>
      <c r="CE8" s="36">
        <f t="shared" si="32"/>
        <v>11.119392684610077</v>
      </c>
      <c r="CF8" s="30">
        <v>11</v>
      </c>
      <c r="CG8" s="30">
        <v>16</v>
      </c>
    </row>
    <row r="9" spans="1:85" x14ac:dyDescent="0.4">
      <c r="A9" s="11" t="s">
        <v>85</v>
      </c>
      <c r="B9" s="11" t="s">
        <v>99</v>
      </c>
      <c r="C9" s="11" t="s">
        <v>104</v>
      </c>
      <c r="D9" s="46" t="s">
        <v>88</v>
      </c>
      <c r="E9" s="15">
        <v>5</v>
      </c>
      <c r="F9" s="15">
        <v>3</v>
      </c>
      <c r="G9" s="15">
        <v>39</v>
      </c>
      <c r="H9" s="16">
        <f t="shared" si="0"/>
        <v>1095</v>
      </c>
      <c r="I9" s="16">
        <v>4</v>
      </c>
      <c r="J9" s="17">
        <f t="shared" si="1"/>
        <v>0.8</v>
      </c>
      <c r="K9" s="15">
        <v>2</v>
      </c>
      <c r="L9" s="15">
        <v>6</v>
      </c>
      <c r="M9" s="17">
        <f t="shared" si="2"/>
        <v>0.4</v>
      </c>
      <c r="N9" s="17">
        <f t="shared" si="3"/>
        <v>1.2</v>
      </c>
      <c r="O9" s="18">
        <f t="shared" si="4"/>
        <v>0.33333333333333331</v>
      </c>
      <c r="P9" s="16">
        <v>2</v>
      </c>
      <c r="Q9" s="15">
        <v>6</v>
      </c>
      <c r="R9" s="17">
        <f t="shared" si="5"/>
        <v>0.4</v>
      </c>
      <c r="S9" s="17">
        <f t="shared" si="6"/>
        <v>1.2</v>
      </c>
      <c r="T9" s="18">
        <f t="shared" si="7"/>
        <v>0.33333333333333331</v>
      </c>
      <c r="U9" s="15">
        <v>0</v>
      </c>
      <c r="V9" s="15">
        <v>0</v>
      </c>
      <c r="W9" s="17">
        <f t="shared" si="8"/>
        <v>0</v>
      </c>
      <c r="X9" s="17">
        <f t="shared" si="9"/>
        <v>0</v>
      </c>
      <c r="Y9" s="18" t="e">
        <f t="shared" si="10"/>
        <v>#DIV/0!</v>
      </c>
      <c r="Z9" s="15">
        <v>0</v>
      </c>
      <c r="AA9" s="15">
        <v>0</v>
      </c>
      <c r="AB9" s="17">
        <f t="shared" si="11"/>
        <v>0</v>
      </c>
      <c r="AC9" s="17">
        <f t="shared" si="12"/>
        <v>0</v>
      </c>
      <c r="AD9" s="18" t="e">
        <f t="shared" si="13"/>
        <v>#DIV/0!</v>
      </c>
      <c r="AE9" s="15">
        <v>1</v>
      </c>
      <c r="AF9" s="17">
        <f t="shared" si="14"/>
        <v>0.2</v>
      </c>
      <c r="AG9" s="15">
        <v>1</v>
      </c>
      <c r="AH9" s="17">
        <f t="shared" si="15"/>
        <v>0.2</v>
      </c>
      <c r="AI9" s="15">
        <v>0</v>
      </c>
      <c r="AJ9" s="17">
        <f t="shared" si="16"/>
        <v>0</v>
      </c>
      <c r="AK9" s="15">
        <v>1</v>
      </c>
      <c r="AL9" s="17">
        <f t="shared" si="17"/>
        <v>0.2</v>
      </c>
      <c r="AM9" s="15">
        <v>2</v>
      </c>
      <c r="AN9" s="17">
        <f t="shared" si="18"/>
        <v>0.4</v>
      </c>
      <c r="AO9" s="15">
        <v>1</v>
      </c>
      <c r="AP9" s="17">
        <f t="shared" si="26"/>
        <v>0.2</v>
      </c>
      <c r="AQ9" s="4">
        <v>1</v>
      </c>
      <c r="AR9" s="17">
        <f t="shared" si="19"/>
        <v>0.2</v>
      </c>
      <c r="AS9" s="15">
        <v>7</v>
      </c>
      <c r="AT9" s="17">
        <f t="shared" si="20"/>
        <v>1.4</v>
      </c>
      <c r="AU9" s="19">
        <v>-3.6034067942942179E-2</v>
      </c>
      <c r="AV9" s="19">
        <v>-7.8978779053023945E-2</v>
      </c>
      <c r="AW9" s="19">
        <v>-5.2828687438519643E-2</v>
      </c>
      <c r="AX9" s="19">
        <v>1.6794619495577461E-2</v>
      </c>
      <c r="AY9" s="19">
        <v>72.644479026579191</v>
      </c>
      <c r="AZ9" s="19">
        <v>110.9794715227866</v>
      </c>
      <c r="BA9" s="19">
        <v>-0.12778457358566661</v>
      </c>
      <c r="BB9" s="19">
        <v>0.8</v>
      </c>
      <c r="BC9" s="19">
        <v>8.7671232876712324</v>
      </c>
      <c r="BD9" s="65">
        <f t="shared" si="21"/>
        <v>33.333333333333329</v>
      </c>
      <c r="BE9" s="65">
        <f t="shared" si="22"/>
        <v>33.333333333333329</v>
      </c>
      <c r="BF9" s="66">
        <f>IFERROR(100*((L9+0.44*AA9+AQ9)*2400)/((SUMIFS(팀공격력!Q:Q,팀공격력!A:A,B9,팀공격력!B:B,D9)+0.44*SUMIFS(팀공격력!T:T,팀공격력!A:A,B9,팀공격력!B:B,D9)+SUMIFS(팀공격력!AK:AK,팀공격력!A:A,B9,팀공격력!B:B,D9))*(F9*60+G9)),"")</f>
        <v>1.6770214756974433</v>
      </c>
      <c r="BG9" s="38">
        <f t="shared" si="23"/>
        <v>0</v>
      </c>
      <c r="BH9" s="38">
        <f t="shared" si="24"/>
        <v>0</v>
      </c>
      <c r="BI9" s="67">
        <f>IFERROR(((AG9*(12000/5))/((F9*60+G9)*(SUMIFS(팀공격력!X:X,팀공격력!A:A,B9,팀공격력!B:B,D9)+SUMIFS(팀수비력!X:X,팀수비력!A:A,B9,팀수비력!B:B,D9))))*100,"")</f>
        <v>0.27856899109275651</v>
      </c>
      <c r="BJ9" s="67">
        <f>IFERROR(((AI9*(12000/5))/((F9*60+G9)*(SUMIFS(팀공격력!V:V,팀공격력!A:A,B9,팀공격력!B:B,D9)+SUMIFS(팀수비력!W:W,팀수비력!A:A,B9,팀수비력!B:B,D9))))*100,"")</f>
        <v>0</v>
      </c>
      <c r="BK9" s="67">
        <f>IFERROR(((AE9*(12000/5))/((F9*60+G9)*(SUMIFS(팀공격력!X:X,팀공격력!A:A,B9,팀공격력!B:B,D9)+SUMIFS(팀수비력!X:X,팀수비력!A:A,B9,팀수비력!B:B,D9))))*100,"")</f>
        <v>0.27856899109275651</v>
      </c>
      <c r="BL9" s="67">
        <f>IFERROR(100*AK9/(((((F9*60+G9)/(12000/5))*SUMIFS(팀공격력!P:P,팀공격력!A:A,B9,팀공격력!B:B,D9))-K9)),"")</f>
        <v>0.71250445315283228</v>
      </c>
      <c r="BM9" s="67">
        <f>IFERROR(100*((AM9/E9*(2400))/((F9*60+G9)*SUMIFS(팀공격력!AR:AR,팀공격력!A:A,B9,팀공격력!B:B,D9))),"")</f>
        <v>6.0390348631852682</v>
      </c>
      <c r="BN9" s="67">
        <f>IFERROR((AO9*40)/(((F9*60+G9)/60)*(SUMIFS(팀수비력!Q:Q,팀수비력!A:A,B9,팀수비력!B:B,D9)-SUMIFS(팀수비력!N:N,팀수비력!A:A,B9,팀수비력!B:B,D9)))*100,"")</f>
        <v>0.49790568421576742</v>
      </c>
      <c r="BO9" s="67">
        <f t="shared" si="25"/>
        <v>14.285714285714286</v>
      </c>
      <c r="BP9" s="19"/>
      <c r="BQ9" s="19"/>
      <c r="BR9" s="19"/>
      <c r="BS9" s="19"/>
      <c r="BT9" s="20" t="s">
        <v>89</v>
      </c>
      <c r="BU9" s="21">
        <v>225000</v>
      </c>
      <c r="BV9" s="11" t="s">
        <v>102</v>
      </c>
      <c r="BW9" s="31">
        <v>9.07</v>
      </c>
      <c r="BX9" s="31">
        <v>14.57</v>
      </c>
      <c r="BY9" s="31">
        <v>5.5</v>
      </c>
      <c r="BZ9" s="35">
        <f t="shared" si="27"/>
        <v>1.8140000000000001</v>
      </c>
      <c r="CA9" s="35">
        <f t="shared" si="28"/>
        <v>2.9140000000000001</v>
      </c>
      <c r="CB9" s="35">
        <f t="shared" si="29"/>
        <v>1.1000000000000001</v>
      </c>
      <c r="CC9" s="36">
        <f t="shared" si="30"/>
        <v>19.87945205479452</v>
      </c>
      <c r="CD9" s="36">
        <f t="shared" si="31"/>
        <v>31.934246575342467</v>
      </c>
      <c r="CE9" s="36">
        <f t="shared" si="32"/>
        <v>12.054794520547945</v>
      </c>
      <c r="CF9" s="31">
        <v>2</v>
      </c>
      <c r="CG9" s="31">
        <v>3</v>
      </c>
    </row>
    <row r="10" spans="1:85" x14ac:dyDescent="0.4">
      <c r="A10" s="11" t="s">
        <v>85</v>
      </c>
      <c r="B10" s="11" t="s">
        <v>99</v>
      </c>
      <c r="C10" s="11" t="s">
        <v>105</v>
      </c>
      <c r="D10" s="46" t="s">
        <v>88</v>
      </c>
      <c r="E10" s="15">
        <v>33</v>
      </c>
      <c r="F10" s="15">
        <v>13</v>
      </c>
      <c r="G10" s="15">
        <v>50</v>
      </c>
      <c r="H10" s="16">
        <f t="shared" si="0"/>
        <v>27390</v>
      </c>
      <c r="I10" s="16">
        <v>82</v>
      </c>
      <c r="J10" s="17">
        <f t="shared" si="1"/>
        <v>2.4848484848484849</v>
      </c>
      <c r="K10" s="15">
        <v>34</v>
      </c>
      <c r="L10" s="15">
        <v>79</v>
      </c>
      <c r="M10" s="17">
        <f t="shared" si="2"/>
        <v>1.0303030303030303</v>
      </c>
      <c r="N10" s="17">
        <f t="shared" si="3"/>
        <v>2.393939393939394</v>
      </c>
      <c r="O10" s="18">
        <f t="shared" si="4"/>
        <v>0.43037974683544306</v>
      </c>
      <c r="P10" s="16">
        <v>27</v>
      </c>
      <c r="Q10" s="15">
        <v>43</v>
      </c>
      <c r="R10" s="17">
        <f t="shared" si="5"/>
        <v>0.81818181818181823</v>
      </c>
      <c r="S10" s="17">
        <f t="shared" si="6"/>
        <v>1.303030303030303</v>
      </c>
      <c r="T10" s="18">
        <f t="shared" si="7"/>
        <v>0.62790697674418605</v>
      </c>
      <c r="U10" s="15">
        <v>7</v>
      </c>
      <c r="V10" s="15">
        <v>36</v>
      </c>
      <c r="W10" s="17">
        <f t="shared" si="8"/>
        <v>0.21212121212121213</v>
      </c>
      <c r="X10" s="17">
        <f t="shared" si="9"/>
        <v>1.0909090909090908</v>
      </c>
      <c r="Y10" s="18">
        <f t="shared" si="10"/>
        <v>0.19444444444444445</v>
      </c>
      <c r="Z10" s="15">
        <v>7</v>
      </c>
      <c r="AA10" s="15">
        <v>9</v>
      </c>
      <c r="AB10" s="17">
        <f t="shared" si="11"/>
        <v>0.21212121212121213</v>
      </c>
      <c r="AC10" s="17">
        <f t="shared" si="12"/>
        <v>0.27272727272727271</v>
      </c>
      <c r="AD10" s="18">
        <f t="shared" si="13"/>
        <v>0.77777777777777779</v>
      </c>
      <c r="AE10" s="15">
        <v>142</v>
      </c>
      <c r="AF10" s="17">
        <f t="shared" si="14"/>
        <v>4.3030303030303028</v>
      </c>
      <c r="AG10" s="15">
        <v>63</v>
      </c>
      <c r="AH10" s="17">
        <f t="shared" si="15"/>
        <v>1.9090909090909092</v>
      </c>
      <c r="AI10" s="15">
        <v>79</v>
      </c>
      <c r="AJ10" s="17">
        <f t="shared" si="16"/>
        <v>2.393939393939394</v>
      </c>
      <c r="AK10" s="15">
        <v>31</v>
      </c>
      <c r="AL10" s="17">
        <f t="shared" si="17"/>
        <v>0.93939393939393945</v>
      </c>
      <c r="AM10" s="15">
        <v>16</v>
      </c>
      <c r="AN10" s="17">
        <f t="shared" si="18"/>
        <v>0.48484848484848486</v>
      </c>
      <c r="AO10" s="15">
        <v>2</v>
      </c>
      <c r="AP10" s="17">
        <f t="shared" si="26"/>
        <v>6.0606060606060608E-2</v>
      </c>
      <c r="AQ10" s="4">
        <v>12</v>
      </c>
      <c r="AR10" s="17">
        <f t="shared" si="19"/>
        <v>0.36363636363636365</v>
      </c>
      <c r="AS10" s="15">
        <v>74</v>
      </c>
      <c r="AT10" s="17">
        <f t="shared" si="20"/>
        <v>2.2424242424242422</v>
      </c>
      <c r="AU10" s="19">
        <v>0.75923614281708152</v>
      </c>
      <c r="AV10" s="19">
        <v>6.6526715690434307E-2</v>
      </c>
      <c r="AW10" s="19">
        <v>0.54676021884971926</v>
      </c>
      <c r="AX10" s="19">
        <v>0.2124759239673622</v>
      </c>
      <c r="AY10" s="19">
        <v>120.37057818866001</v>
      </c>
      <c r="AZ10" s="19">
        <v>115.24130168295559</v>
      </c>
      <c r="BA10" s="19">
        <v>5.1469400185670988</v>
      </c>
      <c r="BB10" s="19">
        <v>6.4848484848484844</v>
      </c>
      <c r="BC10" s="19">
        <v>18.751369112814899</v>
      </c>
      <c r="BD10" s="65">
        <f t="shared" si="21"/>
        <v>49.421407907425269</v>
      </c>
      <c r="BE10" s="65">
        <f t="shared" si="22"/>
        <v>47.468354430379748</v>
      </c>
      <c r="BF10" s="66">
        <f>IFERROR(100*((L10+0.44*AA10+AQ10)*2400)/((SUMIFS(팀공격력!Q:Q,팀공격력!A:A,B10,팀공격력!B:B,D10)+0.44*SUMIFS(팀공격력!T:T,팀공격력!A:A,B10,팀공격력!B:B,D10)+SUMIFS(팀공격력!AK:AK,팀공격력!A:A,B10,팀공격력!B:B,D10))*(F10*60+G10)),"")</f>
        <v>6.0027093104575204</v>
      </c>
      <c r="BG10" s="38">
        <f t="shared" si="23"/>
        <v>0.45569620253164556</v>
      </c>
      <c r="BH10" s="38">
        <f t="shared" si="24"/>
        <v>0.11392405063291139</v>
      </c>
      <c r="BI10" s="67">
        <f>IFERROR(((AG10*(12000/5))/((F10*60+G10)*(SUMIFS(팀공격력!X:X,팀공격력!A:A,B10,팀공격력!B:B,D10)+SUMIFS(팀수비력!X:X,팀수비력!A:A,B10,팀수비력!B:B,D10))))*100,"")</f>
        <v>4.6306221326587487</v>
      </c>
      <c r="BJ10" s="67">
        <f>IFERROR(((AI10*(12000/5))/((F10*60+G10)*(SUMIFS(팀공격력!V:V,팀공격력!A:A,B10,팀공격력!B:B,D10)+SUMIFS(팀수비력!W:W,팀수비력!A:A,B10,팀수비력!B:B,D10))))*100,"")</f>
        <v>11.537057320189851</v>
      </c>
      <c r="BK10" s="67">
        <f>IFERROR(((AE10*(12000/5))/((F10*60+G10)*(SUMIFS(팀공격력!X:X,팀공격력!A:A,B10,팀공격력!B:B,D10)+SUMIFS(팀수비력!X:X,팀수비력!A:A,B10,팀수비력!B:B,D10))))*100,"")</f>
        <v>10.437275283135593</v>
      </c>
      <c r="BL10" s="67">
        <f>IFERROR(100*AK10/(((((F10*60+G10)/(12000/5))*SUMIFS(팀공격력!P:P,팀공격력!A:A,B10,팀공격력!B:B,D10))-K10)),"")</f>
        <v>6.132542037586548</v>
      </c>
      <c r="BM10" s="67">
        <f>IFERROR(100*((AM10/E10*(2400))/((F10*60+G10)*SUMIFS(팀공격력!AR:AR,팀공격력!A:A,B10,팀공격력!B:B,D10))),"")</f>
        <v>1.9314328368566249</v>
      </c>
      <c r="BN10" s="67">
        <f>IFERROR((AO10*40)/(((F10*60+G10)/60)*(SUMIFS(팀수비력!Q:Q,팀수비력!A:A,B10,팀수비력!B:B,D10)-SUMIFS(팀수비력!N:N,팀수비력!A:A,B10,팀수비력!B:B,D10)))*100,"")</f>
        <v>0.26275022853795915</v>
      </c>
      <c r="BO10" s="67">
        <f t="shared" si="25"/>
        <v>12.636899747262007</v>
      </c>
      <c r="BP10" s="19"/>
      <c r="BQ10" s="19"/>
      <c r="BR10" s="19"/>
      <c r="BS10" s="19"/>
      <c r="BT10" s="20" t="s">
        <v>89</v>
      </c>
      <c r="BU10" s="21"/>
      <c r="BV10" s="11" t="s">
        <v>90</v>
      </c>
      <c r="BW10" s="31">
        <v>387.37</v>
      </c>
      <c r="BX10" s="31">
        <v>449.07</v>
      </c>
      <c r="BY10" s="31">
        <v>61.7</v>
      </c>
      <c r="BZ10" s="35">
        <f t="shared" si="27"/>
        <v>11.738484848484848</v>
      </c>
      <c r="CA10" s="35">
        <f t="shared" si="28"/>
        <v>13.608181818181817</v>
      </c>
      <c r="CB10" s="35">
        <f t="shared" si="29"/>
        <v>1.8696969696969699</v>
      </c>
      <c r="CC10" s="36">
        <f t="shared" si="30"/>
        <v>33.942606790799566</v>
      </c>
      <c r="CD10" s="36">
        <f t="shared" si="31"/>
        <v>39.348959474260681</v>
      </c>
      <c r="CE10" s="36">
        <f t="shared" si="32"/>
        <v>5.4063526834611171</v>
      </c>
      <c r="CF10" s="31">
        <v>9</v>
      </c>
      <c r="CG10" s="31">
        <v>24</v>
      </c>
    </row>
    <row r="11" spans="1:85" x14ac:dyDescent="0.4">
      <c r="A11" s="11" t="s">
        <v>85</v>
      </c>
      <c r="B11" s="11" t="s">
        <v>99</v>
      </c>
      <c r="C11" s="11" t="s">
        <v>106</v>
      </c>
      <c r="D11" s="46" t="s">
        <v>88</v>
      </c>
      <c r="E11" s="15">
        <v>16</v>
      </c>
      <c r="F11" s="15">
        <v>12</v>
      </c>
      <c r="G11" s="15">
        <v>28</v>
      </c>
      <c r="H11" s="16">
        <f t="shared" si="0"/>
        <v>11968</v>
      </c>
      <c r="I11" s="16">
        <v>107</v>
      </c>
      <c r="J11" s="17">
        <f t="shared" si="1"/>
        <v>6.6875</v>
      </c>
      <c r="K11" s="15">
        <v>41</v>
      </c>
      <c r="L11" s="15">
        <v>119</v>
      </c>
      <c r="M11" s="17">
        <f t="shared" si="2"/>
        <v>2.5625</v>
      </c>
      <c r="N11" s="17">
        <f t="shared" si="3"/>
        <v>7.4375</v>
      </c>
      <c r="O11" s="18">
        <f t="shared" si="4"/>
        <v>0.34453781512605042</v>
      </c>
      <c r="P11" s="16">
        <v>23</v>
      </c>
      <c r="Q11" s="15">
        <v>60</v>
      </c>
      <c r="R11" s="17">
        <f t="shared" si="5"/>
        <v>1.4375</v>
      </c>
      <c r="S11" s="17">
        <f t="shared" si="6"/>
        <v>3.75</v>
      </c>
      <c r="T11" s="18">
        <f t="shared" si="7"/>
        <v>0.38333333333333336</v>
      </c>
      <c r="U11" s="15">
        <v>18</v>
      </c>
      <c r="V11" s="15">
        <v>59</v>
      </c>
      <c r="W11" s="17">
        <f t="shared" si="8"/>
        <v>1.125</v>
      </c>
      <c r="X11" s="17">
        <f t="shared" si="9"/>
        <v>3.6875</v>
      </c>
      <c r="Y11" s="18">
        <f t="shared" si="10"/>
        <v>0.30508474576271188</v>
      </c>
      <c r="Z11" s="15">
        <v>7</v>
      </c>
      <c r="AA11" s="15">
        <v>14</v>
      </c>
      <c r="AB11" s="17">
        <f t="shared" si="11"/>
        <v>0.4375</v>
      </c>
      <c r="AC11" s="17">
        <f t="shared" si="12"/>
        <v>0.875</v>
      </c>
      <c r="AD11" s="18">
        <f t="shared" si="13"/>
        <v>0.5</v>
      </c>
      <c r="AE11" s="15">
        <v>34</v>
      </c>
      <c r="AF11" s="17">
        <f t="shared" si="14"/>
        <v>2.125</v>
      </c>
      <c r="AG11" s="15">
        <v>7</v>
      </c>
      <c r="AH11" s="17">
        <f t="shared" si="15"/>
        <v>0.4375</v>
      </c>
      <c r="AI11" s="15">
        <v>27</v>
      </c>
      <c r="AJ11" s="17">
        <f t="shared" si="16"/>
        <v>1.6875</v>
      </c>
      <c r="AK11" s="15">
        <v>8</v>
      </c>
      <c r="AL11" s="17">
        <f t="shared" si="17"/>
        <v>0.5</v>
      </c>
      <c r="AM11" s="15">
        <v>5</v>
      </c>
      <c r="AN11" s="17">
        <f t="shared" si="18"/>
        <v>0.3125</v>
      </c>
      <c r="AO11" s="15">
        <v>2</v>
      </c>
      <c r="AP11" s="17">
        <f t="shared" si="26"/>
        <v>0.125</v>
      </c>
      <c r="AQ11" s="4">
        <v>20</v>
      </c>
      <c r="AR11" s="17">
        <f t="shared" si="19"/>
        <v>1.25</v>
      </c>
      <c r="AS11" s="15">
        <v>20</v>
      </c>
      <c r="AT11" s="17">
        <f t="shared" si="20"/>
        <v>1.25</v>
      </c>
      <c r="AU11" s="19">
        <v>-0.80426842105112439</v>
      </c>
      <c r="AV11" s="19">
        <v>-0.1612837742749581</v>
      </c>
      <c r="AW11" s="19">
        <v>-0.83586032450006886</v>
      </c>
      <c r="AX11" s="19">
        <v>3.1591903448944469E-2</v>
      </c>
      <c r="AY11" s="19">
        <v>78.00955657991085</v>
      </c>
      <c r="AZ11" s="19">
        <v>118.11868062317249</v>
      </c>
      <c r="BA11" s="19">
        <v>1.273997951292027</v>
      </c>
      <c r="BB11" s="19">
        <v>3.1875</v>
      </c>
      <c r="BC11" s="19">
        <v>10.22727272727273</v>
      </c>
      <c r="BD11" s="65">
        <f t="shared" si="21"/>
        <v>42.745286033876638</v>
      </c>
      <c r="BE11" s="65">
        <f t="shared" si="22"/>
        <v>42.016806722689076</v>
      </c>
      <c r="BF11" s="66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10.181928913919165</v>
      </c>
      <c r="BG11" s="38">
        <f t="shared" si="23"/>
        <v>0.49579831932773111</v>
      </c>
      <c r="BH11" s="38">
        <f t="shared" si="24"/>
        <v>0.11764705882352941</v>
      </c>
      <c r="BI11" s="67">
        <f>IFERROR(((AG11*(12000/5))/((F11*60+G11)*(SUMIFS(팀공격력!X:X,팀공격력!A:A,B11,팀공격력!B:B,D11)+SUMIFS(팀수비력!X:X,팀수비력!A:A,B11,팀수비력!B:B,D11))))*100,"")</f>
        <v>0.57091746436523494</v>
      </c>
      <c r="BJ11" s="67">
        <f>IFERROR(((AI11*(12000/5))/((F11*60+G11)*(SUMIFS(팀공격력!V:V,팀공격력!A:A,B11,팀공격력!B:B,D11)+SUMIFS(팀수비력!W:W,팀수비력!A:A,B11,팀수비력!B:B,D11))))*100,"")</f>
        <v>4.3753038405444826</v>
      </c>
      <c r="BK11" s="67">
        <f>IFERROR(((AE11*(12000/5))/((F11*60+G11)*(SUMIFS(팀공격력!X:X,팀공격력!A:A,B11,팀공격력!B:B,D11)+SUMIFS(팀수비력!X:X,팀수비력!A:A,B11,팀수비력!B:B,D11))))*100,"")</f>
        <v>2.7730276840597123</v>
      </c>
      <c r="BL11" s="67">
        <f>IFERROR(100*AK11/(((((F11*60+G11)/(12000/5))*SUMIFS(팀공격력!P:P,팀공격력!A:A,B11,팀공격력!B:B,D11))-K11)),"")</f>
        <v>1.7969451931716083</v>
      </c>
      <c r="BM11" s="67">
        <f>IFERROR(100*((AM11/E11*(2400))/((F11*60+G11)*SUMIFS(팀공격력!AR:AR,팀공격력!A:A,B11,팀공격력!B:B,D11))),"")</f>
        <v>1.3813383972234017</v>
      </c>
      <c r="BN11" s="67">
        <f>IFERROR((AO11*40)/(((F11*60+G11)/60)*(SUMIFS(팀수비력!Q:Q,팀수비력!A:A,B11,팀수비력!B:B,D11)-SUMIFS(팀수비력!N:N,팀수비력!A:A,B11,팀수비력!B:B,D11)))*100,"")</f>
        <v>0.29155439797661248</v>
      </c>
      <c r="BO11" s="67">
        <f t="shared" si="25"/>
        <v>13.777900248002204</v>
      </c>
      <c r="BP11" s="19"/>
      <c r="BQ11" s="19"/>
      <c r="BR11" s="19"/>
      <c r="BS11" s="19"/>
      <c r="BT11" s="20" t="s">
        <v>96</v>
      </c>
      <c r="BU11" s="21">
        <v>70000</v>
      </c>
      <c r="BV11" s="11" t="s">
        <v>93</v>
      </c>
      <c r="BW11" s="30">
        <v>103.89</v>
      </c>
      <c r="BX11" s="30">
        <v>213.39</v>
      </c>
      <c r="BY11" s="30">
        <v>109.5</v>
      </c>
      <c r="BZ11" s="35">
        <f t="shared" si="27"/>
        <v>6.4931249999999991</v>
      </c>
      <c r="CA11" s="35">
        <f t="shared" si="28"/>
        <v>13.336874999999999</v>
      </c>
      <c r="CB11" s="35">
        <f t="shared" si="29"/>
        <v>6.84375</v>
      </c>
      <c r="CC11" s="36">
        <f t="shared" si="30"/>
        <v>20.833556149732619</v>
      </c>
      <c r="CD11" s="36">
        <f t="shared" si="31"/>
        <v>42.792112299465238</v>
      </c>
      <c r="CE11" s="36">
        <f t="shared" si="32"/>
        <v>21.958556149732619</v>
      </c>
      <c r="CF11" s="31">
        <v>5</v>
      </c>
      <c r="CG11" s="31">
        <v>11</v>
      </c>
    </row>
    <row r="12" spans="1:85" x14ac:dyDescent="0.4">
      <c r="A12" s="11" t="s">
        <v>85</v>
      </c>
      <c r="B12" s="11" t="s">
        <v>99</v>
      </c>
      <c r="C12" s="11" t="s">
        <v>107</v>
      </c>
      <c r="D12" s="46" t="s">
        <v>88</v>
      </c>
      <c r="E12" s="15">
        <v>22</v>
      </c>
      <c r="F12" s="15">
        <v>12</v>
      </c>
      <c r="G12" s="15">
        <v>40</v>
      </c>
      <c r="H12" s="16">
        <f t="shared" si="0"/>
        <v>16720</v>
      </c>
      <c r="I12" s="16">
        <v>144</v>
      </c>
      <c r="J12" s="17">
        <f t="shared" si="1"/>
        <v>6.5454545454545459</v>
      </c>
      <c r="K12" s="15">
        <v>61</v>
      </c>
      <c r="L12" s="15">
        <v>116</v>
      </c>
      <c r="M12" s="17">
        <f t="shared" si="2"/>
        <v>2.7727272727272729</v>
      </c>
      <c r="N12" s="17">
        <f t="shared" si="3"/>
        <v>5.2727272727272725</v>
      </c>
      <c r="O12" s="18">
        <f t="shared" si="4"/>
        <v>0.52586206896551724</v>
      </c>
      <c r="P12" s="16">
        <v>55</v>
      </c>
      <c r="Q12" s="15">
        <v>83</v>
      </c>
      <c r="R12" s="17">
        <f t="shared" si="5"/>
        <v>2.5</v>
      </c>
      <c r="S12" s="17">
        <f t="shared" si="6"/>
        <v>3.7727272727272729</v>
      </c>
      <c r="T12" s="18">
        <f t="shared" si="7"/>
        <v>0.66265060240963858</v>
      </c>
      <c r="U12" s="15">
        <v>6</v>
      </c>
      <c r="V12" s="15">
        <v>33</v>
      </c>
      <c r="W12" s="17">
        <f t="shared" si="8"/>
        <v>0.27272727272727271</v>
      </c>
      <c r="X12" s="17">
        <f t="shared" si="9"/>
        <v>1.5</v>
      </c>
      <c r="Y12" s="18">
        <f t="shared" si="10"/>
        <v>0.18181818181818182</v>
      </c>
      <c r="Z12" s="15">
        <v>16</v>
      </c>
      <c r="AA12" s="15">
        <v>23</v>
      </c>
      <c r="AB12" s="17">
        <f t="shared" si="11"/>
        <v>0.72727272727272729</v>
      </c>
      <c r="AC12" s="17">
        <f t="shared" si="12"/>
        <v>1.0454545454545454</v>
      </c>
      <c r="AD12" s="18">
        <f t="shared" si="13"/>
        <v>0.69565217391304346</v>
      </c>
      <c r="AE12" s="15">
        <v>103</v>
      </c>
      <c r="AF12" s="17">
        <f t="shared" si="14"/>
        <v>4.6818181818181817</v>
      </c>
      <c r="AG12" s="15">
        <v>28</v>
      </c>
      <c r="AH12" s="17">
        <f t="shared" si="15"/>
        <v>1.2727272727272727</v>
      </c>
      <c r="AI12" s="15">
        <v>75</v>
      </c>
      <c r="AJ12" s="17">
        <f t="shared" si="16"/>
        <v>3.4090909090909092</v>
      </c>
      <c r="AK12" s="15">
        <v>7</v>
      </c>
      <c r="AL12" s="17">
        <f t="shared" si="17"/>
        <v>0.31818181818181818</v>
      </c>
      <c r="AM12" s="15">
        <v>7</v>
      </c>
      <c r="AN12" s="17">
        <f t="shared" si="18"/>
        <v>0.31818181818181818</v>
      </c>
      <c r="AO12" s="15">
        <v>28</v>
      </c>
      <c r="AP12" s="17">
        <f t="shared" si="26"/>
        <v>1.2727272727272727</v>
      </c>
      <c r="AQ12" s="4">
        <v>17</v>
      </c>
      <c r="AR12" s="17">
        <f t="shared" si="19"/>
        <v>0.77272727272727271</v>
      </c>
      <c r="AS12" s="15">
        <v>27</v>
      </c>
      <c r="AT12" s="17">
        <f t="shared" si="20"/>
        <v>1.2272727272727273</v>
      </c>
      <c r="AU12" s="19">
        <v>0.53033592138754471</v>
      </c>
      <c r="AV12" s="19">
        <v>7.6124773404910709E-2</v>
      </c>
      <c r="AW12" s="19">
        <v>0.16737879225993749</v>
      </c>
      <c r="AX12" s="19">
        <v>0.36295712912760719</v>
      </c>
      <c r="AY12" s="19">
        <v>106.6276562592317</v>
      </c>
      <c r="AZ12" s="19">
        <v>107.39778836953199</v>
      </c>
      <c r="BA12" s="19">
        <v>7.3321661568086638</v>
      </c>
      <c r="BB12" s="19">
        <v>9.545454545454545</v>
      </c>
      <c r="BC12" s="19">
        <v>30.14354066985646</v>
      </c>
      <c r="BD12" s="65">
        <f t="shared" si="21"/>
        <v>57.088487155090384</v>
      </c>
      <c r="BE12" s="65">
        <f t="shared" si="22"/>
        <v>55.172413793103445</v>
      </c>
      <c r="BF12" s="66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9.8803296388718351</v>
      </c>
      <c r="BG12" s="38">
        <f t="shared" si="23"/>
        <v>0.28448275862068967</v>
      </c>
      <c r="BH12" s="38">
        <f t="shared" si="24"/>
        <v>0.19827586206896552</v>
      </c>
      <c r="BI12" s="67">
        <f>IFERROR(((AG12*(12000/5))/((F12*60+G12)*(SUMIFS(팀공격력!X:X,팀공격력!A:A,B12,팀공격력!B:B,D12)+SUMIFS(팀수비력!X:X,팀수비력!A:A,B12,팀수비력!B:B,D12))))*100,"")</f>
        <v>2.2476119123431353</v>
      </c>
      <c r="BJ12" s="67">
        <f>IFERROR(((AI12*(12000/5))/((F12*60+G12)*(SUMIFS(팀공격력!V:V,팀공격력!A:A,B12,팀공격력!B:B,D12)+SUMIFS(팀수비력!W:W,팀수비력!A:A,B12,팀수비력!B:B,D12))))*100,"")</f>
        <v>11.961722488038278</v>
      </c>
      <c r="BK12" s="67">
        <f>IFERROR(((AE12*(12000/5))/((F12*60+G12)*(SUMIFS(팀공격력!X:X,팀공격력!A:A,B12,팀공격력!B:B,D12)+SUMIFS(팀수비력!X:X,팀수비력!A:A,B12,팀수비력!B:B,D12))))*100,"")</f>
        <v>8.2680009632622475</v>
      </c>
      <c r="BL12" s="67">
        <f>IFERROR(100*AK12/(((((F12*60+G12)/(12000/5))*SUMIFS(팀공격력!P:P,팀공격력!A:A,B12,팀공격력!B:B,D12))-K12)),"")</f>
        <v>1.6166281755196306</v>
      </c>
      <c r="BM12" s="67">
        <f>IFERROR(100*((AM12/E12*(2400))/((F12*60+G12)*SUMIFS(팀공격력!AR:AR,팀공격력!A:A,B12,팀공격력!B:B,D12))),"")</f>
        <v>1.3842464780596613</v>
      </c>
      <c r="BN12" s="67">
        <f>IFERROR((AO12*40)/(((F12*60+G12)/60)*(SUMIFS(팀수비력!Q:Q,팀수비력!A:A,B12,팀수비력!B:B,D12)-SUMIFS(팀수비력!N:N,팀수비력!A:A,B12,팀수비력!B:B,D12)))*100,"")</f>
        <v>4.0173127047514283</v>
      </c>
      <c r="BO12" s="67">
        <f t="shared" si="25"/>
        <v>11.878144214645053</v>
      </c>
      <c r="BP12" s="19"/>
      <c r="BQ12" s="19"/>
      <c r="BR12" s="19"/>
      <c r="BS12" s="19"/>
      <c r="BT12" s="20" t="s">
        <v>96</v>
      </c>
      <c r="BU12" s="21">
        <v>70000</v>
      </c>
      <c r="BV12" s="11" t="s">
        <v>102</v>
      </c>
      <c r="BW12" s="30">
        <v>292.75</v>
      </c>
      <c r="BX12" s="30">
        <v>376.15</v>
      </c>
      <c r="BY12" s="30">
        <v>83.4</v>
      </c>
      <c r="BZ12" s="35">
        <f t="shared" si="27"/>
        <v>13.306818181818182</v>
      </c>
      <c r="CA12" s="35">
        <f t="shared" si="28"/>
        <v>17.097727272727273</v>
      </c>
      <c r="CB12" s="35">
        <f t="shared" si="29"/>
        <v>3.790909090909091</v>
      </c>
      <c r="CC12" s="36">
        <f t="shared" si="30"/>
        <v>42.02153110047847</v>
      </c>
      <c r="CD12" s="36">
        <f t="shared" si="31"/>
        <v>53.992822966507177</v>
      </c>
      <c r="CE12" s="36">
        <f t="shared" si="32"/>
        <v>11.971291866028707</v>
      </c>
      <c r="CF12" s="30">
        <v>8</v>
      </c>
      <c r="CG12" s="30">
        <v>14</v>
      </c>
    </row>
    <row r="13" spans="1:85" x14ac:dyDescent="0.4">
      <c r="A13" s="11" t="s">
        <v>85</v>
      </c>
      <c r="B13" s="11" t="s">
        <v>99</v>
      </c>
      <c r="C13" s="11" t="s">
        <v>108</v>
      </c>
      <c r="D13" s="46" t="s">
        <v>88</v>
      </c>
      <c r="E13" s="15">
        <v>22</v>
      </c>
      <c r="F13" s="15">
        <v>4</v>
      </c>
      <c r="G13" s="15">
        <v>42</v>
      </c>
      <c r="H13" s="16">
        <f t="shared" si="0"/>
        <v>6204</v>
      </c>
      <c r="I13" s="16">
        <v>20</v>
      </c>
      <c r="J13" s="17">
        <f t="shared" si="1"/>
        <v>0.90909090909090906</v>
      </c>
      <c r="K13" s="15">
        <v>7</v>
      </c>
      <c r="L13" s="15">
        <v>31</v>
      </c>
      <c r="M13" s="17">
        <f t="shared" si="2"/>
        <v>0.31818181818181818</v>
      </c>
      <c r="N13" s="17">
        <f t="shared" si="3"/>
        <v>1.4090909090909092</v>
      </c>
      <c r="O13" s="18">
        <f t="shared" si="4"/>
        <v>0.22580645161290322</v>
      </c>
      <c r="P13" s="16">
        <v>1</v>
      </c>
      <c r="Q13" s="15">
        <v>7</v>
      </c>
      <c r="R13" s="17">
        <f t="shared" si="5"/>
        <v>4.5454545454545456E-2</v>
      </c>
      <c r="S13" s="17">
        <f t="shared" si="6"/>
        <v>0.31818181818181818</v>
      </c>
      <c r="T13" s="18">
        <f t="shared" si="7"/>
        <v>0.14285714285714285</v>
      </c>
      <c r="U13" s="15">
        <v>6</v>
      </c>
      <c r="V13" s="15">
        <v>24</v>
      </c>
      <c r="W13" s="17">
        <f t="shared" si="8"/>
        <v>0.27272727272727271</v>
      </c>
      <c r="X13" s="17">
        <f t="shared" si="9"/>
        <v>1.0909090909090908</v>
      </c>
      <c r="Y13" s="18">
        <f t="shared" si="10"/>
        <v>0.25</v>
      </c>
      <c r="Z13" s="15">
        <v>0</v>
      </c>
      <c r="AA13" s="15">
        <v>0</v>
      </c>
      <c r="AB13" s="17">
        <f t="shared" si="11"/>
        <v>0</v>
      </c>
      <c r="AC13" s="17">
        <f t="shared" si="12"/>
        <v>0</v>
      </c>
      <c r="AD13" s="18" t="e">
        <f t="shared" si="13"/>
        <v>#DIV/0!</v>
      </c>
      <c r="AE13" s="15">
        <v>3</v>
      </c>
      <c r="AF13" s="17">
        <f t="shared" si="14"/>
        <v>0.13636363636363635</v>
      </c>
      <c r="AG13" s="15">
        <v>1</v>
      </c>
      <c r="AH13" s="17">
        <f t="shared" si="15"/>
        <v>4.5454545454545456E-2</v>
      </c>
      <c r="AI13" s="15">
        <v>2</v>
      </c>
      <c r="AJ13" s="17">
        <f t="shared" si="16"/>
        <v>9.0909090909090912E-2</v>
      </c>
      <c r="AK13" s="15">
        <v>10</v>
      </c>
      <c r="AL13" s="17">
        <f t="shared" si="17"/>
        <v>0.45454545454545453</v>
      </c>
      <c r="AM13" s="15">
        <v>5</v>
      </c>
      <c r="AN13" s="17">
        <f t="shared" si="18"/>
        <v>0.22727272727272727</v>
      </c>
      <c r="AO13" s="15">
        <v>0</v>
      </c>
      <c r="AP13" s="17">
        <f t="shared" si="26"/>
        <v>0</v>
      </c>
      <c r="AQ13" s="4">
        <v>4</v>
      </c>
      <c r="AR13" s="17">
        <f t="shared" si="19"/>
        <v>0.18181818181818182</v>
      </c>
      <c r="AS13" s="15">
        <v>15</v>
      </c>
      <c r="AT13" s="17">
        <f t="shared" si="20"/>
        <v>0.68181818181818177</v>
      </c>
      <c r="AU13" s="19">
        <v>-0.2491799387978271</v>
      </c>
      <c r="AV13" s="19">
        <v>-9.6394560463376036E-2</v>
      </c>
      <c r="AW13" s="19">
        <v>-0.23352731559443141</v>
      </c>
      <c r="AX13" s="19">
        <v>-1.5652623203395648E-2</v>
      </c>
      <c r="AY13" s="19">
        <v>75.749576165759962</v>
      </c>
      <c r="AZ13" s="19">
        <v>121.0213364082405</v>
      </c>
      <c r="BA13" s="19">
        <v>-9.8834028229129178E-2</v>
      </c>
      <c r="BB13" s="19">
        <v>0.45454545454545447</v>
      </c>
      <c r="BC13" s="19">
        <v>3.8684719535783358</v>
      </c>
      <c r="BD13" s="65">
        <f t="shared" si="21"/>
        <v>32.258064516129032</v>
      </c>
      <c r="BE13" s="65">
        <f t="shared" si="22"/>
        <v>32.258064516129032</v>
      </c>
      <c r="BF13" s="66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6.511838708825179</v>
      </c>
      <c r="BG13" s="38">
        <f t="shared" si="23"/>
        <v>0.77419354838709675</v>
      </c>
      <c r="BH13" s="38">
        <f t="shared" si="24"/>
        <v>0</v>
      </c>
      <c r="BI13" s="67">
        <f>IFERROR(((AG13*(12000/5))/((F13*60+G13)*(SUMIFS(팀공격력!X:X,팀공격력!A:A,B13,팀공격력!B:B,D13)+SUMIFS(팀수비력!X:X,팀수비력!A:A,B13,팀수비력!B:B,D13))))*100,"")</f>
        <v>0.21633549308267261</v>
      </c>
      <c r="BJ13" s="67">
        <f>IFERROR(((AI13*(12000/5))/((F13*60+G13)*(SUMIFS(팀공격력!V:V,팀공격력!A:A,B13,팀공격력!B:B,D13)+SUMIFS(팀수비력!W:W,팀수비력!A:A,B13,팀수비력!B:B,D13))))*100,"")</f>
        <v>0.85966043412851922</v>
      </c>
      <c r="BK13" s="67">
        <f>IFERROR(((AE13*(12000/5))/((F13*60+G13)*(SUMIFS(팀공격력!X:X,팀공격력!A:A,B13,팀공격력!B:B,D13)+SUMIFS(팀수비력!X:X,팀수비력!A:A,B13,팀수비력!B:B,D13))))*100,"")</f>
        <v>0.6490064792480178</v>
      </c>
      <c r="BL13" s="67">
        <f>IFERROR(100*AK13/(((((F13*60+G13)/(12000/5))*SUMIFS(팀공격력!P:P,팀공격력!A:A,B13,팀공격력!B:B,D13))-K13)),"")</f>
        <v>5.6721497447532618</v>
      </c>
      <c r="BM13" s="67">
        <f>IFERROR(100*((AM13/E13*(2400))/((F13*60+G13)*SUMIFS(팀공격력!AR:AR,팀공격력!A:A,B13,팀공격력!B:B,D13))),"")</f>
        <v>2.6647095322323775</v>
      </c>
      <c r="BN13" s="67">
        <f>IFERROR((AO13*40)/(((F13*60+G13)/60)*(SUMIFS(팀수비력!Q:Q,팀수비력!A:A,B13,팀수비력!B:B,D13)-SUMIFS(팀수비력!N:N,팀수비력!A:A,B13,팀수비력!B:B,D13)))*100,"")</f>
        <v>0</v>
      </c>
      <c r="BO13" s="67">
        <f t="shared" si="25"/>
        <v>11.428571428571429</v>
      </c>
      <c r="BP13" s="19"/>
      <c r="BQ13" s="19"/>
      <c r="BR13" s="19"/>
      <c r="BS13" s="19"/>
      <c r="BT13" s="20" t="s">
        <v>89</v>
      </c>
      <c r="BU13" s="21">
        <v>75000</v>
      </c>
      <c r="BV13" s="11" t="s">
        <v>90</v>
      </c>
      <c r="BW13" s="31">
        <v>47.16</v>
      </c>
      <c r="BX13" s="31">
        <v>75.36</v>
      </c>
      <c r="BY13" s="31">
        <v>28.2</v>
      </c>
      <c r="BZ13" s="35">
        <f t="shared" si="27"/>
        <v>2.1436363636363636</v>
      </c>
      <c r="CA13" s="35">
        <f t="shared" si="28"/>
        <v>3.4254545454545453</v>
      </c>
      <c r="CB13" s="35">
        <f t="shared" si="29"/>
        <v>1.2818181818181817</v>
      </c>
      <c r="CC13" s="36">
        <f t="shared" si="30"/>
        <v>18.243713733075438</v>
      </c>
      <c r="CD13" s="36">
        <f t="shared" si="31"/>
        <v>29.152804642166345</v>
      </c>
      <c r="CE13" s="36">
        <f t="shared" si="32"/>
        <v>10.909090909090908</v>
      </c>
      <c r="CF13" s="31">
        <v>9</v>
      </c>
      <c r="CG13" s="31">
        <v>13</v>
      </c>
    </row>
    <row r="14" spans="1:85" x14ac:dyDescent="0.4">
      <c r="A14" s="11" t="s">
        <v>85</v>
      </c>
      <c r="B14" s="11" t="s">
        <v>99</v>
      </c>
      <c r="C14" s="11" t="s">
        <v>109</v>
      </c>
      <c r="D14" s="46" t="s">
        <v>88</v>
      </c>
      <c r="E14" s="15">
        <v>22</v>
      </c>
      <c r="F14" s="15">
        <v>14</v>
      </c>
      <c r="G14" s="15">
        <v>56</v>
      </c>
      <c r="H14" s="16">
        <f t="shared" si="0"/>
        <v>19712</v>
      </c>
      <c r="I14" s="16">
        <v>105</v>
      </c>
      <c r="J14" s="17">
        <f t="shared" si="1"/>
        <v>4.7727272727272725</v>
      </c>
      <c r="K14" s="15">
        <v>38</v>
      </c>
      <c r="L14" s="15">
        <v>98</v>
      </c>
      <c r="M14" s="17">
        <f t="shared" si="2"/>
        <v>1.7272727272727273</v>
      </c>
      <c r="N14" s="17">
        <f t="shared" si="3"/>
        <v>4.4545454545454541</v>
      </c>
      <c r="O14" s="18">
        <f t="shared" si="4"/>
        <v>0.38775510204081631</v>
      </c>
      <c r="P14" s="16">
        <v>19</v>
      </c>
      <c r="Q14" s="15">
        <v>32</v>
      </c>
      <c r="R14" s="17">
        <f t="shared" si="5"/>
        <v>0.86363636363636365</v>
      </c>
      <c r="S14" s="17">
        <f t="shared" si="6"/>
        <v>1.4545454545454546</v>
      </c>
      <c r="T14" s="18">
        <f t="shared" si="7"/>
        <v>0.59375</v>
      </c>
      <c r="U14" s="15">
        <v>19</v>
      </c>
      <c r="V14" s="15">
        <v>66</v>
      </c>
      <c r="W14" s="17">
        <f t="shared" si="8"/>
        <v>0.86363636363636365</v>
      </c>
      <c r="X14" s="17">
        <f t="shared" si="9"/>
        <v>3</v>
      </c>
      <c r="Y14" s="18">
        <f t="shared" si="10"/>
        <v>0.2878787878787879</v>
      </c>
      <c r="Z14" s="15">
        <v>10</v>
      </c>
      <c r="AA14" s="15">
        <v>15</v>
      </c>
      <c r="AB14" s="17">
        <f t="shared" si="11"/>
        <v>0.45454545454545453</v>
      </c>
      <c r="AC14" s="17">
        <f t="shared" si="12"/>
        <v>0.68181818181818177</v>
      </c>
      <c r="AD14" s="18">
        <f t="shared" si="13"/>
        <v>0.66666666666666663</v>
      </c>
      <c r="AE14" s="15">
        <v>17</v>
      </c>
      <c r="AF14" s="17">
        <f t="shared" si="14"/>
        <v>0.77272727272727271</v>
      </c>
      <c r="AG14" s="15">
        <v>8</v>
      </c>
      <c r="AH14" s="17">
        <f t="shared" si="15"/>
        <v>0.36363636363636365</v>
      </c>
      <c r="AI14" s="15">
        <v>9</v>
      </c>
      <c r="AJ14" s="17">
        <f t="shared" si="16"/>
        <v>0.40909090909090912</v>
      </c>
      <c r="AK14" s="15">
        <v>14</v>
      </c>
      <c r="AL14" s="17">
        <f t="shared" si="17"/>
        <v>0.63636363636363635</v>
      </c>
      <c r="AM14" s="15">
        <v>14</v>
      </c>
      <c r="AN14" s="17">
        <f t="shared" si="18"/>
        <v>0.63636363636363635</v>
      </c>
      <c r="AO14" s="15">
        <v>0</v>
      </c>
      <c r="AP14" s="17">
        <f t="shared" si="26"/>
        <v>0</v>
      </c>
      <c r="AQ14" s="4">
        <v>9</v>
      </c>
      <c r="AR14" s="17">
        <f t="shared" si="19"/>
        <v>0.40909090909090912</v>
      </c>
      <c r="AS14" s="15">
        <v>39</v>
      </c>
      <c r="AT14" s="17">
        <f t="shared" si="20"/>
        <v>1.7727272727272727</v>
      </c>
      <c r="AU14" s="19">
        <v>-7.5296073622083848E-2</v>
      </c>
      <c r="AV14" s="19">
        <v>-9.1675414312602076E-3</v>
      </c>
      <c r="AW14" s="19">
        <v>-1.1285636795648261E-2</v>
      </c>
      <c r="AX14" s="19">
        <v>-6.4010436826435591E-2</v>
      </c>
      <c r="AY14" s="19">
        <v>101.4770188038775</v>
      </c>
      <c r="AZ14" s="19">
        <v>121.42856150333471</v>
      </c>
      <c r="BA14" s="19">
        <v>2.171318198705416</v>
      </c>
      <c r="BB14" s="19">
        <v>3.454545454545455</v>
      </c>
      <c r="BC14" s="19">
        <v>9.2532467532467528</v>
      </c>
      <c r="BD14" s="65">
        <f t="shared" si="21"/>
        <v>50.191204588910132</v>
      </c>
      <c r="BE14" s="65">
        <f t="shared" si="22"/>
        <v>48.469387755102041</v>
      </c>
      <c r="BF14" s="66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6.6520425830662111</v>
      </c>
      <c r="BG14" s="38">
        <f t="shared" si="23"/>
        <v>0.67346938775510201</v>
      </c>
      <c r="BH14" s="38">
        <f t="shared" si="24"/>
        <v>0.15306122448979592</v>
      </c>
      <c r="BI14" s="67">
        <f>IFERROR(((AG14*(12000/5))/((F14*60+G14)*(SUMIFS(팀공격력!X:X,팀공격력!A:A,B14,팀공격력!B:B,D14)+SUMIFS(팀수비력!X:X,팀수비력!A:A,B14,팀수비력!B:B,D14))))*100,"")</f>
        <v>0.54470186651172925</v>
      </c>
      <c r="BJ14" s="67">
        <f>IFERROR(((AI14*(12000/5))/((F14*60+G14)*(SUMIFS(팀공격력!V:V,팀공격력!A:A,B14,팀공격력!B:B,D14)+SUMIFS(팀수비력!W:W,팀수비력!A:A,B14,팀수비력!B:B,D14))))*100,"")</f>
        <v>1.2175324675324677</v>
      </c>
      <c r="BK14" s="67">
        <f>IFERROR(((AE14*(12000/5))/((F14*60+G14)*(SUMIFS(팀공격력!X:X,팀공격력!A:A,B14,팀공격력!B:B,D14)+SUMIFS(팀수비력!X:X,팀수비력!A:A,B14,팀수비력!B:B,D14))))*100,"")</f>
        <v>1.1574914663374247</v>
      </c>
      <c r="BL14" s="67">
        <f>IFERROR(100*AK14/(((((F14*60+G14)/(12000/5))*SUMIFS(팀공격력!P:P,팀공격력!A:A,B14,팀공격력!B:B,D14))-K14)),"")</f>
        <v>2.571638501102131</v>
      </c>
      <c r="BM14" s="67">
        <f>IFERROR(100*((AM14/E14*(2400))/((F14*60+G14)*SUMIFS(팀공격력!AR:AR,팀공격력!A:A,B14,팀공격력!B:B,D14))),"")</f>
        <v>2.3482752752797826</v>
      </c>
      <c r="BN14" s="67">
        <f>IFERROR((AO14*40)/(((F14*60+G14)/60)*(SUMIFS(팀수비력!Q:Q,팀수비력!A:A,B14,팀수비력!B:B,D14)-SUMIFS(팀수비력!N:N,팀수비력!A:A,B14,팀수비력!B:B,D14)))*100,"")</f>
        <v>0</v>
      </c>
      <c r="BO14" s="67">
        <f t="shared" si="25"/>
        <v>7.922535211267606</v>
      </c>
      <c r="BP14" s="19"/>
      <c r="BQ14" s="19"/>
      <c r="BR14" s="19"/>
      <c r="BS14" s="19"/>
      <c r="BT14" s="20" t="s">
        <v>89</v>
      </c>
      <c r="BU14" s="21"/>
      <c r="BV14" s="11" t="s">
        <v>90</v>
      </c>
      <c r="BW14" s="31">
        <v>171.85</v>
      </c>
      <c r="BX14" s="31">
        <v>244.65</v>
      </c>
      <c r="BY14" s="31">
        <v>72.8</v>
      </c>
      <c r="BZ14" s="35">
        <f t="shared" si="27"/>
        <v>7.8113636363636374</v>
      </c>
      <c r="CA14" s="35">
        <f t="shared" si="28"/>
        <v>11.120454545454546</v>
      </c>
      <c r="CB14" s="35">
        <f t="shared" si="29"/>
        <v>3.3090909090909091</v>
      </c>
      <c r="CC14" s="36">
        <f t="shared" si="30"/>
        <v>20.923295454545453</v>
      </c>
      <c r="CD14" s="36">
        <f t="shared" si="31"/>
        <v>29.786931818181817</v>
      </c>
      <c r="CE14" s="36">
        <f t="shared" si="32"/>
        <v>8.8636363636363633</v>
      </c>
      <c r="CF14" s="30">
        <v>9</v>
      </c>
      <c r="CG14" s="30">
        <v>13</v>
      </c>
    </row>
    <row r="15" spans="1:85" x14ac:dyDescent="0.4">
      <c r="A15" s="11" t="s">
        <v>85</v>
      </c>
      <c r="B15" s="11" t="s">
        <v>99</v>
      </c>
      <c r="C15" s="11" t="s">
        <v>110</v>
      </c>
      <c r="D15" s="46" t="s">
        <v>88</v>
      </c>
      <c r="E15" s="15">
        <v>38</v>
      </c>
      <c r="F15" s="15">
        <v>8</v>
      </c>
      <c r="G15" s="15">
        <v>34</v>
      </c>
      <c r="H15" s="16">
        <f t="shared" si="0"/>
        <v>19532</v>
      </c>
      <c r="I15" s="16">
        <v>60</v>
      </c>
      <c r="J15" s="17">
        <f t="shared" si="1"/>
        <v>1.5789473684210527</v>
      </c>
      <c r="K15" s="15">
        <v>21</v>
      </c>
      <c r="L15" s="15">
        <v>76</v>
      </c>
      <c r="M15" s="17">
        <f t="shared" si="2"/>
        <v>0.55263157894736847</v>
      </c>
      <c r="N15" s="17">
        <f t="shared" si="3"/>
        <v>2</v>
      </c>
      <c r="O15" s="18">
        <f t="shared" si="4"/>
        <v>0.27631578947368424</v>
      </c>
      <c r="P15" s="16">
        <v>4</v>
      </c>
      <c r="Q15" s="15">
        <v>6</v>
      </c>
      <c r="R15" s="17">
        <f t="shared" si="5"/>
        <v>0.10526315789473684</v>
      </c>
      <c r="S15" s="17">
        <f t="shared" si="6"/>
        <v>0.15789473684210525</v>
      </c>
      <c r="T15" s="18">
        <f t="shared" si="7"/>
        <v>0.66666666666666663</v>
      </c>
      <c r="U15" s="15">
        <v>17</v>
      </c>
      <c r="V15" s="15">
        <v>70</v>
      </c>
      <c r="W15" s="17">
        <f t="shared" si="8"/>
        <v>0.44736842105263158</v>
      </c>
      <c r="X15" s="17">
        <f t="shared" si="9"/>
        <v>1.8421052631578947</v>
      </c>
      <c r="Y15" s="18">
        <f t="shared" si="10"/>
        <v>0.24285714285714285</v>
      </c>
      <c r="Z15" s="15">
        <v>1</v>
      </c>
      <c r="AA15" s="15">
        <v>4</v>
      </c>
      <c r="AB15" s="17">
        <f t="shared" si="11"/>
        <v>2.6315789473684209E-2</v>
      </c>
      <c r="AC15" s="17">
        <f t="shared" si="12"/>
        <v>0.10526315789473684</v>
      </c>
      <c r="AD15" s="18">
        <f t="shared" si="13"/>
        <v>0.25</v>
      </c>
      <c r="AE15" s="15">
        <v>26</v>
      </c>
      <c r="AF15" s="17">
        <f t="shared" si="14"/>
        <v>0.68421052631578949</v>
      </c>
      <c r="AG15" s="15">
        <v>15</v>
      </c>
      <c r="AH15" s="17">
        <f t="shared" si="15"/>
        <v>0.39473684210526316</v>
      </c>
      <c r="AI15" s="15">
        <v>11</v>
      </c>
      <c r="AJ15" s="17">
        <f t="shared" si="16"/>
        <v>0.28947368421052633</v>
      </c>
      <c r="AK15" s="15">
        <v>7</v>
      </c>
      <c r="AL15" s="17">
        <f t="shared" si="17"/>
        <v>0.18421052631578946</v>
      </c>
      <c r="AM15" s="15">
        <v>4</v>
      </c>
      <c r="AN15" s="17">
        <f t="shared" si="18"/>
        <v>0.10526315789473684</v>
      </c>
      <c r="AO15" s="15">
        <v>0</v>
      </c>
      <c r="AP15" s="17">
        <f t="shared" si="26"/>
        <v>0</v>
      </c>
      <c r="AQ15" s="4">
        <v>9</v>
      </c>
      <c r="AR15" s="17">
        <f t="shared" si="19"/>
        <v>0.23684210526315788</v>
      </c>
      <c r="AS15" s="15">
        <v>43</v>
      </c>
      <c r="AT15" s="17">
        <f t="shared" si="20"/>
        <v>1.131578947368421</v>
      </c>
      <c r="AU15" s="19">
        <v>-0.59697127279326412</v>
      </c>
      <c r="AV15" s="19">
        <v>-7.3353013245127677E-2</v>
      </c>
      <c r="AW15" s="19">
        <v>-0.41560470368667529</v>
      </c>
      <c r="AX15" s="19">
        <v>-0.1813665691065888</v>
      </c>
      <c r="AY15" s="19">
        <v>82.86292872184174</v>
      </c>
      <c r="AZ15" s="19">
        <v>124.8235361946556</v>
      </c>
      <c r="BA15" s="19">
        <v>-0.20928958704558609</v>
      </c>
      <c r="BB15" s="19">
        <v>0.78947368421052633</v>
      </c>
      <c r="BC15" s="19">
        <v>3.6862584476756091</v>
      </c>
      <c r="BD15" s="65">
        <f t="shared" si="21"/>
        <v>38.580246913580247</v>
      </c>
      <c r="BE15" s="65">
        <f t="shared" si="22"/>
        <v>38.815789473684212</v>
      </c>
      <c r="BF15" s="66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8.8560716864093187</v>
      </c>
      <c r="BG15" s="38">
        <f t="shared" si="23"/>
        <v>0.92105263157894735</v>
      </c>
      <c r="BH15" s="38">
        <f t="shared" si="24"/>
        <v>5.2631578947368418E-2</v>
      </c>
      <c r="BI15" s="67">
        <f>IFERROR(((AG15*(12000/5))/((F15*60+G15)*(SUMIFS(팀공격력!X:X,팀공격력!A:A,B15,팀공격력!B:B,D15)+SUMIFS(팀수비력!X:X,팀수비력!A:A,B15,팀수비력!B:B,D15))))*100,"")</f>
        <v>1.7803485131122669</v>
      </c>
      <c r="BJ15" s="67">
        <f>IFERROR(((AI15*(12000/5))/((F15*60+G15)*(SUMIFS(팀공격력!V:V,팀공격력!A:A,B15,팀공격력!B:B,D15)+SUMIFS(팀수비력!W:W,팀수비력!A:A,B15,팀수비력!B:B,D15))))*100,"")</f>
        <v>2.5940337224383918</v>
      </c>
      <c r="BK15" s="67">
        <f>IFERROR(((AE15*(12000/5))/((F15*60+G15)*(SUMIFS(팀공격력!X:X,팀공격력!A:A,B15,팀공격력!B:B,D15)+SUMIFS(팀수비력!X:X,팀수비력!A:A,B15,팀수비력!B:B,D15))))*100,"")</f>
        <v>3.085937422727929</v>
      </c>
      <c r="BL15" s="67">
        <f>IFERROR(100*AK15/(((((F15*60+G15)/(12000/5))*SUMIFS(팀공격력!P:P,팀공격력!A:A,B15,팀공격력!B:B,D15))-K15)),"")</f>
        <v>2.2357074417119129</v>
      </c>
      <c r="BM15" s="67">
        <f>IFERROR(100*((AM15/E15*(2400))/((F15*60+G15)*SUMIFS(팀공격력!AR:AR,팀공격력!A:A,B15,팀공격력!B:B,D15))),"")</f>
        <v>0.67711889977348638</v>
      </c>
      <c r="BN15" s="67">
        <f>IFERROR((AO15*40)/(((F15*60+G15)/60)*(SUMIFS(팀수비력!Q:Q,팀수비력!A:A,B15,팀수비력!B:B,D15)-SUMIFS(팀수비력!N:N,팀수비력!A:A,B15,팀수비력!B:B,D15)))*100,"")</f>
        <v>0</v>
      </c>
      <c r="BO15" s="67">
        <f t="shared" si="25"/>
        <v>10.373443983402488</v>
      </c>
      <c r="BP15" s="19"/>
      <c r="BQ15" s="19"/>
      <c r="BR15" s="19"/>
      <c r="BS15" s="19"/>
      <c r="BT15" s="20" t="s">
        <v>89</v>
      </c>
      <c r="BU15" s="21">
        <v>113750</v>
      </c>
      <c r="BV15" s="11" t="s">
        <v>90</v>
      </c>
      <c r="BW15" s="30">
        <v>126.75</v>
      </c>
      <c r="BX15" s="30">
        <v>192.35</v>
      </c>
      <c r="BY15" s="30">
        <v>65.599999999999994</v>
      </c>
      <c r="BZ15" s="35">
        <f t="shared" si="27"/>
        <v>3.3355263157894735</v>
      </c>
      <c r="CA15" s="35">
        <f t="shared" si="28"/>
        <v>5.0618421052631577</v>
      </c>
      <c r="CB15" s="35">
        <f t="shared" si="29"/>
        <v>1.726315789473684</v>
      </c>
      <c r="CC15" s="36">
        <f t="shared" si="30"/>
        <v>15.57444194142945</v>
      </c>
      <c r="CD15" s="36">
        <f t="shared" si="31"/>
        <v>23.635060413680115</v>
      </c>
      <c r="CE15" s="36">
        <f t="shared" si="32"/>
        <v>8.0606184722506651</v>
      </c>
      <c r="CF15" s="30">
        <v>13</v>
      </c>
      <c r="CG15" s="30">
        <v>25</v>
      </c>
    </row>
    <row r="16" spans="1:85" x14ac:dyDescent="0.4">
      <c r="A16" s="11" t="s">
        <v>85</v>
      </c>
      <c r="B16" s="11" t="s">
        <v>99</v>
      </c>
      <c r="C16" s="11" t="s">
        <v>111</v>
      </c>
      <c r="D16" s="46" t="s">
        <v>88</v>
      </c>
      <c r="E16" s="15">
        <v>27</v>
      </c>
      <c r="F16" s="15">
        <v>6</v>
      </c>
      <c r="G16" s="15">
        <v>41</v>
      </c>
      <c r="H16" s="16">
        <f t="shared" si="0"/>
        <v>10827</v>
      </c>
      <c r="I16" s="16">
        <v>33</v>
      </c>
      <c r="J16" s="17">
        <f t="shared" si="1"/>
        <v>1.2222222222222223</v>
      </c>
      <c r="K16" s="15">
        <v>11</v>
      </c>
      <c r="L16" s="15">
        <v>28</v>
      </c>
      <c r="M16" s="17">
        <f t="shared" si="2"/>
        <v>0.40740740740740738</v>
      </c>
      <c r="N16" s="17">
        <f t="shared" si="3"/>
        <v>1.037037037037037</v>
      </c>
      <c r="O16" s="18">
        <f t="shared" si="4"/>
        <v>0.39285714285714285</v>
      </c>
      <c r="P16" s="16">
        <v>3</v>
      </c>
      <c r="Q16" s="15">
        <v>6</v>
      </c>
      <c r="R16" s="17">
        <f t="shared" si="5"/>
        <v>0.1111111111111111</v>
      </c>
      <c r="S16" s="17">
        <f t="shared" si="6"/>
        <v>0.22222222222222221</v>
      </c>
      <c r="T16" s="18">
        <f t="shared" si="7"/>
        <v>0.5</v>
      </c>
      <c r="U16" s="15">
        <v>8</v>
      </c>
      <c r="V16" s="15">
        <v>22</v>
      </c>
      <c r="W16" s="17">
        <f t="shared" si="8"/>
        <v>0.29629629629629628</v>
      </c>
      <c r="X16" s="17">
        <f t="shared" si="9"/>
        <v>0.81481481481481477</v>
      </c>
      <c r="Y16" s="18">
        <f t="shared" si="10"/>
        <v>0.36363636363636365</v>
      </c>
      <c r="Z16" s="15">
        <v>3</v>
      </c>
      <c r="AA16" s="15">
        <v>3</v>
      </c>
      <c r="AB16" s="17">
        <f t="shared" si="11"/>
        <v>0.1111111111111111</v>
      </c>
      <c r="AC16" s="17">
        <f t="shared" si="12"/>
        <v>0.1111111111111111</v>
      </c>
      <c r="AD16" s="18">
        <f t="shared" si="13"/>
        <v>1</v>
      </c>
      <c r="AE16" s="15">
        <v>11</v>
      </c>
      <c r="AF16" s="17">
        <f t="shared" si="14"/>
        <v>0.40740740740740738</v>
      </c>
      <c r="AG16" s="15">
        <v>3</v>
      </c>
      <c r="AH16" s="17">
        <f t="shared" si="15"/>
        <v>0.1111111111111111</v>
      </c>
      <c r="AI16" s="15">
        <v>8</v>
      </c>
      <c r="AJ16" s="17">
        <f t="shared" si="16"/>
        <v>0.29629629629629628</v>
      </c>
      <c r="AK16" s="15">
        <v>2</v>
      </c>
      <c r="AL16" s="17">
        <f t="shared" si="17"/>
        <v>7.407407407407407E-2</v>
      </c>
      <c r="AM16" s="15">
        <v>2</v>
      </c>
      <c r="AN16" s="17">
        <f t="shared" si="18"/>
        <v>7.407407407407407E-2</v>
      </c>
      <c r="AO16" s="15">
        <v>0</v>
      </c>
      <c r="AP16" s="17">
        <f t="shared" si="26"/>
        <v>0</v>
      </c>
      <c r="AQ16" s="4">
        <v>4</v>
      </c>
      <c r="AR16" s="17">
        <f t="shared" si="19"/>
        <v>0.14814814814814814</v>
      </c>
      <c r="AS16" s="15">
        <v>32</v>
      </c>
      <c r="AT16" s="17">
        <f t="shared" si="20"/>
        <v>1.1851851851851851</v>
      </c>
      <c r="AU16" s="19">
        <v>-7.2976925813781846E-2</v>
      </c>
      <c r="AV16" s="19">
        <v>-1.617665299280285E-2</v>
      </c>
      <c r="AW16" s="19">
        <v>1.847577800120289E-2</v>
      </c>
      <c r="AX16" s="19">
        <v>-9.1452703814984729E-2</v>
      </c>
      <c r="AY16" s="19">
        <v>104.1702049758328</v>
      </c>
      <c r="AZ16" s="19">
        <v>124.3518832770924</v>
      </c>
      <c r="BA16" s="19">
        <v>4.8360079397988621E-2</v>
      </c>
      <c r="BB16" s="19">
        <v>1</v>
      </c>
      <c r="BC16" s="19">
        <v>5.9850374064837908</v>
      </c>
      <c r="BD16" s="65">
        <f t="shared" si="21"/>
        <v>56.275579809004093</v>
      </c>
      <c r="BE16" s="65">
        <f t="shared" si="22"/>
        <v>53.571428571428569</v>
      </c>
      <c r="BF16" s="66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4.3595867010624509</v>
      </c>
      <c r="BG16" s="38">
        <f t="shared" si="23"/>
        <v>0.7857142857142857</v>
      </c>
      <c r="BH16" s="38">
        <f t="shared" si="24"/>
        <v>0.10714285714285714</v>
      </c>
      <c r="BI16" s="67">
        <f>IFERROR(((AG16*(12000/5))/((F16*60+G16)*(SUMIFS(팀공격력!X:X,팀공격력!A:A,B16,팀공격력!B:B,D16)+SUMIFS(팀수비력!X:X,팀수비력!A:A,B16,팀수비력!B:B,D16))))*100,"")</f>
        <v>0.45640854650359358</v>
      </c>
      <c r="BJ16" s="67">
        <f>IFERROR(((AI16*(12000/5))/((F16*60+G16)*(SUMIFS(팀공격력!V:V,팀공격력!A:A,B16,팀공격력!B:B,D16)+SUMIFS(팀수비력!W:W,팀수비력!A:A,B16,팀수비력!B:B,D16))))*100,"")</f>
        <v>2.4181969319126426</v>
      </c>
      <c r="BK16" s="67">
        <f>IFERROR(((AE16*(12000/5))/((F16*60+G16)*(SUMIFS(팀공격력!X:X,팀공격력!A:A,B16,팀공격력!B:B,D16)+SUMIFS(팀수비력!X:X,팀수비력!A:A,B16,팀수비력!B:B,D16))))*100,"")</f>
        <v>1.6734980038465099</v>
      </c>
      <c r="BL16" s="67">
        <f>IFERROR(100*AK16/(((((F16*60+G16)/(12000/5))*SUMIFS(팀공격력!P:P,팀공격력!A:A,B16,팀공격력!B:B,D16))-K16)),"")</f>
        <v>0.80112157019827768</v>
      </c>
      <c r="BM16" s="67">
        <f>IFERROR(100*((AM16/E16*(2400))/((F16*60+G16)*SUMIFS(팀공격력!AR:AR,팀공격력!A:A,B16,팀공격력!B:B,D16))),"")</f>
        <v>0.61076412442854611</v>
      </c>
      <c r="BN16" s="67">
        <f>IFERROR((AO16*40)/(((F16*60+G16)/60)*(SUMIFS(팀수비력!Q:Q,팀수비력!A:A,B16,팀수비력!B:B,D16)-SUMIFS(팀수비력!N:N,팀수비력!A:A,B16,팀수비력!B:B,D16)))*100,"")</f>
        <v>0</v>
      </c>
      <c r="BO16" s="67">
        <f t="shared" si="25"/>
        <v>12.004801920768307</v>
      </c>
      <c r="BP16" s="19"/>
      <c r="BQ16" s="19"/>
      <c r="BR16" s="19"/>
      <c r="BS16" s="19"/>
      <c r="BT16" s="20" t="s">
        <v>89</v>
      </c>
      <c r="BU16" s="21">
        <v>90000</v>
      </c>
      <c r="BV16" s="11" t="s">
        <v>93</v>
      </c>
      <c r="BW16" s="31">
        <v>75.5</v>
      </c>
      <c r="BX16" s="31">
        <v>97.1</v>
      </c>
      <c r="BY16" s="31">
        <v>21.6</v>
      </c>
      <c r="BZ16" s="35">
        <f t="shared" si="27"/>
        <v>2.7962962962962958</v>
      </c>
      <c r="CA16" s="35">
        <f t="shared" si="28"/>
        <v>3.5962962962962961</v>
      </c>
      <c r="CB16" s="35">
        <f t="shared" si="29"/>
        <v>0.8</v>
      </c>
      <c r="CC16" s="36">
        <f t="shared" si="30"/>
        <v>16.735937932945415</v>
      </c>
      <c r="CD16" s="36">
        <f t="shared" si="31"/>
        <v>21.523967858132448</v>
      </c>
      <c r="CE16" s="36">
        <f t="shared" si="32"/>
        <v>4.7880299251870326</v>
      </c>
      <c r="CF16" s="30">
        <v>7</v>
      </c>
      <c r="CG16" s="30">
        <v>20</v>
      </c>
    </row>
    <row r="17" spans="1:85" x14ac:dyDescent="0.4">
      <c r="A17" s="11" t="s">
        <v>85</v>
      </c>
      <c r="B17" s="11" t="s">
        <v>99</v>
      </c>
      <c r="C17" s="11" t="s">
        <v>112</v>
      </c>
      <c r="D17" s="46" t="s">
        <v>88</v>
      </c>
      <c r="E17" s="15">
        <v>11</v>
      </c>
      <c r="F17" s="15">
        <v>9</v>
      </c>
      <c r="G17" s="15">
        <v>27</v>
      </c>
      <c r="H17" s="16">
        <f t="shared" si="0"/>
        <v>6237</v>
      </c>
      <c r="I17" s="16">
        <v>44</v>
      </c>
      <c r="J17" s="17">
        <f t="shared" si="1"/>
        <v>4</v>
      </c>
      <c r="K17" s="15">
        <v>16</v>
      </c>
      <c r="L17" s="15">
        <v>51</v>
      </c>
      <c r="M17" s="17">
        <f t="shared" si="2"/>
        <v>1.4545454545454546</v>
      </c>
      <c r="N17" s="17">
        <f t="shared" si="3"/>
        <v>4.6363636363636367</v>
      </c>
      <c r="O17" s="18">
        <f t="shared" si="4"/>
        <v>0.31372549019607843</v>
      </c>
      <c r="P17" s="16">
        <v>12</v>
      </c>
      <c r="Q17" s="15">
        <v>37</v>
      </c>
      <c r="R17" s="17">
        <f t="shared" si="5"/>
        <v>1.0909090909090908</v>
      </c>
      <c r="S17" s="17">
        <f t="shared" si="6"/>
        <v>3.3636363636363638</v>
      </c>
      <c r="T17" s="18">
        <f t="shared" si="7"/>
        <v>0.32432432432432434</v>
      </c>
      <c r="U17" s="15">
        <v>4</v>
      </c>
      <c r="V17" s="15">
        <v>14</v>
      </c>
      <c r="W17" s="17">
        <f t="shared" si="8"/>
        <v>0.36363636363636365</v>
      </c>
      <c r="X17" s="17">
        <f t="shared" si="9"/>
        <v>1.2727272727272727</v>
      </c>
      <c r="Y17" s="18">
        <f t="shared" si="10"/>
        <v>0.2857142857142857</v>
      </c>
      <c r="Z17" s="15">
        <v>8</v>
      </c>
      <c r="AA17" s="15">
        <v>9</v>
      </c>
      <c r="AB17" s="17">
        <f t="shared" si="11"/>
        <v>0.72727272727272729</v>
      </c>
      <c r="AC17" s="17">
        <f t="shared" si="12"/>
        <v>0.81818181818181823</v>
      </c>
      <c r="AD17" s="18">
        <f t="shared" si="13"/>
        <v>0.88888888888888884</v>
      </c>
      <c r="AE17" s="15">
        <v>8</v>
      </c>
      <c r="AF17" s="17">
        <f t="shared" si="14"/>
        <v>0.72727272727272729</v>
      </c>
      <c r="AG17" s="15">
        <v>2</v>
      </c>
      <c r="AH17" s="17">
        <f t="shared" si="15"/>
        <v>0.18181818181818182</v>
      </c>
      <c r="AI17" s="15">
        <v>6</v>
      </c>
      <c r="AJ17" s="17">
        <f t="shared" si="16"/>
        <v>0.54545454545454541</v>
      </c>
      <c r="AK17" s="15">
        <v>14</v>
      </c>
      <c r="AL17" s="17">
        <f t="shared" si="17"/>
        <v>1.2727272727272727</v>
      </c>
      <c r="AM17" s="15">
        <v>2</v>
      </c>
      <c r="AN17" s="17">
        <f t="shared" si="18"/>
        <v>0.18181818181818182</v>
      </c>
      <c r="AO17" s="15">
        <v>0</v>
      </c>
      <c r="AP17" s="17">
        <f t="shared" si="26"/>
        <v>0</v>
      </c>
      <c r="AQ17" s="4">
        <v>9</v>
      </c>
      <c r="AR17" s="17">
        <f t="shared" si="19"/>
        <v>0.81818181818181823</v>
      </c>
      <c r="AS17" s="15">
        <v>10</v>
      </c>
      <c r="AT17" s="17">
        <f t="shared" si="20"/>
        <v>0.90909090909090906</v>
      </c>
      <c r="AU17" s="19">
        <v>-0.33704411889376529</v>
      </c>
      <c r="AV17" s="19">
        <v>-0.1296947066450275</v>
      </c>
      <c r="AW17" s="19">
        <v>-0.29982755404052519</v>
      </c>
      <c r="AX17" s="19">
        <v>-3.7216564853240069E-2</v>
      </c>
      <c r="AY17" s="19">
        <v>83.538479694449236</v>
      </c>
      <c r="AZ17" s="19">
        <v>122.9577231804342</v>
      </c>
      <c r="BA17" s="19">
        <v>0.64553384855571161</v>
      </c>
      <c r="BB17" s="19">
        <v>2.0909090909090908</v>
      </c>
      <c r="BC17" s="19">
        <v>8.8504088504088489</v>
      </c>
      <c r="BD17" s="65">
        <f t="shared" si="21"/>
        <v>40.02911208151383</v>
      </c>
      <c r="BE17" s="65">
        <f t="shared" si="22"/>
        <v>35.294117647058826</v>
      </c>
      <c r="BF17" s="66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5.9184787843910946</v>
      </c>
      <c r="BG17" s="38">
        <f t="shared" si="23"/>
        <v>0.27450980392156865</v>
      </c>
      <c r="BH17" s="38">
        <f t="shared" si="24"/>
        <v>0.17647058823529413</v>
      </c>
      <c r="BI17" s="67">
        <f>IFERROR(((AG17*(12000/5))/((F17*60+G17)*(SUMIFS(팀공격력!X:X,팀공격력!A:A,B17,팀공격력!B:B,D17)+SUMIFS(팀수비력!X:X,팀수비력!A:A,B17,팀수비력!B:B,D17))))*100,"")</f>
        <v>0.21519086084413994</v>
      </c>
      <c r="BJ17" s="67">
        <f>IFERROR(((AI17*(12000/5))/((F17*60+G17)*(SUMIFS(팀공격력!V:V,팀공격력!A:A,B17,팀공격력!B:B,D17)+SUMIFS(팀수비력!W:W,팀수비력!A:A,B17,팀수비력!B:B,D17))))*100,"")</f>
        <v>1.282667949334616</v>
      </c>
      <c r="BK17" s="67">
        <f>IFERROR(((AE17*(12000/5))/((F17*60+G17)*(SUMIFS(팀공격력!X:X,팀공격력!A:A,B17,팀공격력!B:B,D17)+SUMIFS(팀수비력!X:X,팀수비력!A:A,B17,팀수비력!B:B,D17))))*100,"")</f>
        <v>0.86076344337655974</v>
      </c>
      <c r="BL17" s="67">
        <f>IFERROR(100*AK17/(((((F17*60+G17)/(12000/5))*SUMIFS(팀공격력!P:P,팀공격력!A:A,B17,팀공격력!B:B,D17))-K17)),"")</f>
        <v>3.9710679336264363</v>
      </c>
      <c r="BM17" s="67">
        <f>IFERROR(100*((AM17/E17*(2400))/((F17*60+G17)*SUMIFS(팀공격력!AR:AR,팀공격력!A:A,B17,팀공격력!B:B,D17))),"")</f>
        <v>1.0602442159993375</v>
      </c>
      <c r="BN17" s="67">
        <f>IFERROR((AO17*40)/(((F17*60+G17)/60)*(SUMIFS(팀수비력!Q:Q,팀수비력!A:A,B17,팀수비력!B:B,D17)-SUMIFS(팀수비력!N:N,팀수비력!A:A,B17,팀수비력!B:B,D17)))*100,"")</f>
        <v>0</v>
      </c>
      <c r="BO17" s="67">
        <f t="shared" si="25"/>
        <v>14.071294559099437</v>
      </c>
      <c r="BP17" s="19"/>
      <c r="BQ17" s="19"/>
      <c r="BR17" s="19"/>
      <c r="BS17" s="19"/>
      <c r="BT17" s="20" t="s">
        <v>113</v>
      </c>
      <c r="BU17" s="21">
        <v>50000</v>
      </c>
      <c r="BV17" s="11" t="s">
        <v>90</v>
      </c>
      <c r="BW17" s="30">
        <v>53.69</v>
      </c>
      <c r="BX17" s="30">
        <v>101.99</v>
      </c>
      <c r="BY17" s="30">
        <v>48.3</v>
      </c>
      <c r="BZ17" s="35">
        <f t="shared" si="27"/>
        <v>4.8809090909090909</v>
      </c>
      <c r="CA17" s="35">
        <f t="shared" si="28"/>
        <v>9.2718181818181815</v>
      </c>
      <c r="CB17" s="35">
        <f t="shared" si="29"/>
        <v>4.3909090909090907</v>
      </c>
      <c r="CC17" s="36">
        <f t="shared" si="30"/>
        <v>20.659932659932661</v>
      </c>
      <c r="CD17" s="36">
        <f t="shared" si="31"/>
        <v>39.245791245791246</v>
      </c>
      <c r="CE17" s="36">
        <f t="shared" si="32"/>
        <v>18.585858585858585</v>
      </c>
      <c r="CF17" s="30">
        <v>2</v>
      </c>
      <c r="CG17" s="30">
        <v>9</v>
      </c>
    </row>
    <row r="18" spans="1:85" x14ac:dyDescent="0.4">
      <c r="A18" s="11" t="s">
        <v>85</v>
      </c>
      <c r="B18" s="11" t="s">
        <v>99</v>
      </c>
      <c r="C18" s="11" t="s">
        <v>114</v>
      </c>
      <c r="D18" s="46" t="s">
        <v>88</v>
      </c>
      <c r="E18" s="15">
        <v>44</v>
      </c>
      <c r="F18" s="15">
        <v>36</v>
      </c>
      <c r="G18" s="15">
        <v>43</v>
      </c>
      <c r="H18" s="16">
        <f t="shared" si="0"/>
        <v>96932</v>
      </c>
      <c r="I18" s="16">
        <v>1003</v>
      </c>
      <c r="J18" s="17">
        <f t="shared" si="1"/>
        <v>22.795454545454547</v>
      </c>
      <c r="K18" s="15">
        <v>339</v>
      </c>
      <c r="L18" s="15">
        <v>731</v>
      </c>
      <c r="M18" s="17">
        <f t="shared" si="2"/>
        <v>7.7045454545454541</v>
      </c>
      <c r="N18" s="17">
        <f t="shared" si="3"/>
        <v>16.613636363636363</v>
      </c>
      <c r="O18" s="18">
        <f t="shared" si="4"/>
        <v>0.4637482900136799</v>
      </c>
      <c r="P18" s="16">
        <v>210</v>
      </c>
      <c r="Q18" s="15">
        <v>384</v>
      </c>
      <c r="R18" s="17">
        <f t="shared" si="5"/>
        <v>4.7727272727272725</v>
      </c>
      <c r="S18" s="17">
        <f t="shared" si="6"/>
        <v>8.7272727272727266</v>
      </c>
      <c r="T18" s="18">
        <f t="shared" si="7"/>
        <v>0.546875</v>
      </c>
      <c r="U18" s="15">
        <v>129</v>
      </c>
      <c r="V18" s="15">
        <v>347</v>
      </c>
      <c r="W18" s="17">
        <f t="shared" si="8"/>
        <v>2.9318181818181817</v>
      </c>
      <c r="X18" s="17">
        <f t="shared" si="9"/>
        <v>7.8863636363636367</v>
      </c>
      <c r="Y18" s="18">
        <f t="shared" si="10"/>
        <v>0.37175792507204614</v>
      </c>
      <c r="Z18" s="15">
        <v>196</v>
      </c>
      <c r="AA18" s="15">
        <v>228</v>
      </c>
      <c r="AB18" s="17">
        <f t="shared" si="11"/>
        <v>4.4545454545454541</v>
      </c>
      <c r="AC18" s="17">
        <f t="shared" si="12"/>
        <v>5.1818181818181817</v>
      </c>
      <c r="AD18" s="18">
        <f t="shared" si="13"/>
        <v>0.85964912280701755</v>
      </c>
      <c r="AE18" s="15">
        <v>149</v>
      </c>
      <c r="AF18" s="17">
        <f t="shared" si="14"/>
        <v>3.3863636363636362</v>
      </c>
      <c r="AG18" s="15">
        <v>29</v>
      </c>
      <c r="AH18" s="17">
        <f t="shared" si="15"/>
        <v>0.65909090909090906</v>
      </c>
      <c r="AI18" s="15">
        <v>120</v>
      </c>
      <c r="AJ18" s="17">
        <f t="shared" si="16"/>
        <v>2.7272727272727271</v>
      </c>
      <c r="AK18" s="15">
        <v>291</v>
      </c>
      <c r="AL18" s="17">
        <f t="shared" si="17"/>
        <v>6.6136363636363633</v>
      </c>
      <c r="AM18" s="15">
        <v>87</v>
      </c>
      <c r="AN18" s="17">
        <f t="shared" si="18"/>
        <v>1.9772727272727273</v>
      </c>
      <c r="AO18" s="15">
        <v>6</v>
      </c>
      <c r="AP18" s="17">
        <f t="shared" si="26"/>
        <v>0.13636363636363635</v>
      </c>
      <c r="AQ18" s="4">
        <v>112</v>
      </c>
      <c r="AR18" s="17">
        <f t="shared" si="19"/>
        <v>2.5454545454545454</v>
      </c>
      <c r="AS18" s="15">
        <v>112</v>
      </c>
      <c r="AT18" s="17">
        <f t="shared" si="20"/>
        <v>2.5454545454545454</v>
      </c>
      <c r="AU18" s="19">
        <v>4.7864494768321411</v>
      </c>
      <c r="AV18" s="19">
        <v>0.118510695584504</v>
      </c>
      <c r="AW18" s="19">
        <v>4.479330776172131</v>
      </c>
      <c r="AX18" s="19">
        <v>0.30711870066001051</v>
      </c>
      <c r="AY18" s="19">
        <v>120.1492274657935</v>
      </c>
      <c r="AZ18" s="19">
        <v>117.8214282178137</v>
      </c>
      <c r="BA18" s="19">
        <v>14.4592211156576</v>
      </c>
      <c r="BB18" s="19">
        <v>22.72727272727273</v>
      </c>
      <c r="BC18" s="19">
        <v>24.75962530433706</v>
      </c>
      <c r="BD18" s="65">
        <f t="shared" si="21"/>
        <v>60.325747004763507</v>
      </c>
      <c r="BE18" s="65">
        <f t="shared" si="22"/>
        <v>55.198358413132695</v>
      </c>
      <c r="BF18" s="66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22.466180517581599</v>
      </c>
      <c r="BG18" s="38">
        <f t="shared" si="23"/>
        <v>0.47469220246238031</v>
      </c>
      <c r="BH18" s="38">
        <f t="shared" si="24"/>
        <v>0.31190150478796169</v>
      </c>
      <c r="BI18" s="67">
        <f>IFERROR(((AG18*(12000/5))/((F18*60+G18)*(SUMIFS(팀공격력!X:X,팀공격력!A:A,B18,팀공격력!B:B,D18)+SUMIFS(팀수비력!X:X,팀수비력!A:A,B18,팀수비력!B:B,D18))))*100,"")</f>
        <v>0.80308291531098353</v>
      </c>
      <c r="BJ18" s="67">
        <f>IFERROR(((AI18*(12000/5))/((F18*60+G18)*(SUMIFS(팀공격력!V:V,팀공격력!A:A,B18,팀공격력!B:B,D18)+SUMIFS(팀수비력!W:W,팀수비력!A:A,B18,팀수비력!B:B,D18))))*100,"")</f>
        <v>6.6025667478232162</v>
      </c>
      <c r="BK18" s="67">
        <f>IFERROR(((AE18*(12000/5))/((F18*60+G18)*(SUMIFS(팀공격력!X:X,팀공격력!A:A,B18,팀공격력!B:B,D18)+SUMIFS(팀수비력!X:X,팀수비력!A:A,B18,팀수비력!B:B,D18))))*100,"")</f>
        <v>4.1261846338391912</v>
      </c>
      <c r="BL18" s="67">
        <f>IFERROR(100*AK18/(((((F18*60+G18)/(12000/5))*SUMIFS(팀공격력!P:P,팀공격력!A:A,B18,팀공격력!B:B,D18))-K18)),"")</f>
        <v>26.625188709456058</v>
      </c>
      <c r="BM18" s="67">
        <f>IFERROR(100*((AM18/E18*(2400))/((F18*60+G18)*SUMIFS(팀공격력!AR:AR,팀공격력!A:A,B18,팀공격력!B:B,D18))),"")</f>
        <v>2.9675889089327812</v>
      </c>
      <c r="BN18" s="67">
        <f>IFERROR((AO18*40)/(((F18*60+G18)/60)*(SUMIFS(팀수비력!Q:Q,팀수비력!A:A,B18,팀수비력!B:B,D18)-SUMIFS(팀수비력!N:N,팀수비력!A:A,B18,팀수비력!B:B,D18)))*100,"")</f>
        <v>0.29698051250999474</v>
      </c>
      <c r="BO18" s="67">
        <f t="shared" si="25"/>
        <v>11.872959335114277</v>
      </c>
      <c r="BP18" s="19"/>
      <c r="BQ18" s="19"/>
      <c r="BR18" s="19"/>
      <c r="BS18" s="19"/>
      <c r="BT18" s="20" t="s">
        <v>89</v>
      </c>
      <c r="BU18" s="21">
        <v>40000</v>
      </c>
      <c r="BV18" s="11" t="s">
        <v>90</v>
      </c>
      <c r="BW18" s="30">
        <v>1573.62</v>
      </c>
      <c r="BX18" s="30">
        <v>2137.42</v>
      </c>
      <c r="BY18" s="30">
        <v>563.79999999999995</v>
      </c>
      <c r="BZ18" s="35">
        <f t="shared" si="27"/>
        <v>35.76409090909091</v>
      </c>
      <c r="CA18" s="35">
        <f t="shared" si="28"/>
        <v>48.577727272727273</v>
      </c>
      <c r="CB18" s="35">
        <f t="shared" si="29"/>
        <v>12.813636363636363</v>
      </c>
      <c r="CC18" s="36">
        <f t="shared" si="30"/>
        <v>38.962241571410885</v>
      </c>
      <c r="CD18" s="36">
        <f t="shared" si="31"/>
        <v>52.921718317996124</v>
      </c>
      <c r="CE18" s="36">
        <f t="shared" si="32"/>
        <v>13.959476746585235</v>
      </c>
      <c r="CF18" s="30">
        <v>18</v>
      </c>
      <c r="CG18" s="30">
        <v>26</v>
      </c>
    </row>
    <row r="19" spans="1:85" x14ac:dyDescent="0.4">
      <c r="A19" s="11" t="s">
        <v>85</v>
      </c>
      <c r="B19" s="11" t="s">
        <v>99</v>
      </c>
      <c r="C19" s="11" t="s">
        <v>115</v>
      </c>
      <c r="D19" s="46" t="s">
        <v>88</v>
      </c>
      <c r="E19" s="15">
        <v>9</v>
      </c>
      <c r="F19" s="15">
        <v>2</v>
      </c>
      <c r="G19" s="15">
        <v>55</v>
      </c>
      <c r="H19" s="16">
        <f t="shared" si="0"/>
        <v>1575</v>
      </c>
      <c r="I19" s="16">
        <v>1</v>
      </c>
      <c r="J19" s="17">
        <f t="shared" si="1"/>
        <v>0.1111111111111111</v>
      </c>
      <c r="K19" s="15">
        <v>0</v>
      </c>
      <c r="L19" s="15">
        <v>2</v>
      </c>
      <c r="M19" s="17">
        <f t="shared" si="2"/>
        <v>0</v>
      </c>
      <c r="N19" s="17">
        <f t="shared" si="3"/>
        <v>0.22222222222222221</v>
      </c>
      <c r="O19" s="18">
        <f t="shared" si="4"/>
        <v>0</v>
      </c>
      <c r="P19" s="16">
        <v>0</v>
      </c>
      <c r="Q19" s="15">
        <v>1</v>
      </c>
      <c r="R19" s="17">
        <f t="shared" si="5"/>
        <v>0</v>
      </c>
      <c r="S19" s="17">
        <f t="shared" si="6"/>
        <v>0.1111111111111111</v>
      </c>
      <c r="T19" s="18">
        <f t="shared" si="7"/>
        <v>0</v>
      </c>
      <c r="U19" s="15">
        <v>0</v>
      </c>
      <c r="V19" s="15">
        <v>1</v>
      </c>
      <c r="W19" s="17">
        <f t="shared" si="8"/>
        <v>0</v>
      </c>
      <c r="X19" s="17">
        <f t="shared" si="9"/>
        <v>0.1111111111111111</v>
      </c>
      <c r="Y19" s="18">
        <f t="shared" si="10"/>
        <v>0</v>
      </c>
      <c r="Z19" s="15">
        <v>1</v>
      </c>
      <c r="AA19" s="15">
        <v>2</v>
      </c>
      <c r="AB19" s="17">
        <f t="shared" si="11"/>
        <v>0.1111111111111111</v>
      </c>
      <c r="AC19" s="17">
        <f t="shared" si="12"/>
        <v>0.22222222222222221</v>
      </c>
      <c r="AD19" s="18">
        <f t="shared" si="13"/>
        <v>0.5</v>
      </c>
      <c r="AE19" s="15">
        <v>4</v>
      </c>
      <c r="AF19" s="17">
        <f t="shared" si="14"/>
        <v>0.44444444444444442</v>
      </c>
      <c r="AG19" s="15">
        <v>3</v>
      </c>
      <c r="AH19" s="17">
        <f t="shared" si="15"/>
        <v>0.33333333333333331</v>
      </c>
      <c r="AI19" s="15">
        <v>1</v>
      </c>
      <c r="AJ19" s="17">
        <f t="shared" si="16"/>
        <v>0.1111111111111111</v>
      </c>
      <c r="AK19" s="15">
        <v>2</v>
      </c>
      <c r="AL19" s="17">
        <f t="shared" si="17"/>
        <v>0.22222222222222221</v>
      </c>
      <c r="AM19" s="15">
        <v>0</v>
      </c>
      <c r="AN19" s="17">
        <f t="shared" si="18"/>
        <v>0</v>
      </c>
      <c r="AO19" s="15">
        <v>0</v>
      </c>
      <c r="AP19" s="17">
        <f t="shared" si="26"/>
        <v>0</v>
      </c>
      <c r="AQ19" s="4">
        <v>4</v>
      </c>
      <c r="AR19" s="17">
        <f t="shared" si="19"/>
        <v>0.44444444444444442</v>
      </c>
      <c r="AS19" s="15">
        <v>2</v>
      </c>
      <c r="AT19" s="17">
        <f t="shared" si="20"/>
        <v>0.22222222222222221</v>
      </c>
      <c r="AU19" s="19">
        <v>-0.13215327431370569</v>
      </c>
      <c r="AV19" s="19">
        <v>-0.2013764180018372</v>
      </c>
      <c r="AW19" s="19">
        <v>-0.1134070714323557</v>
      </c>
      <c r="AX19" s="19">
        <v>-1.8746202881350021E-2</v>
      </c>
      <c r="AY19" s="19">
        <v>50.722082995056603</v>
      </c>
      <c r="AZ19" s="19">
        <v>126.294764988682</v>
      </c>
      <c r="BA19" s="19">
        <v>-0.77105518782559102</v>
      </c>
      <c r="BB19" s="19">
        <v>0</v>
      </c>
      <c r="BC19" s="19">
        <v>0</v>
      </c>
      <c r="BD19" s="65">
        <f t="shared" si="21"/>
        <v>17.361111111111111</v>
      </c>
      <c r="BE19" s="65">
        <f t="shared" si="22"/>
        <v>0</v>
      </c>
      <c r="BF19" s="66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2.0626953451941645</v>
      </c>
      <c r="BG19" s="38">
        <f t="shared" si="23"/>
        <v>0.5</v>
      </c>
      <c r="BH19" s="38">
        <f t="shared" si="24"/>
        <v>1</v>
      </c>
      <c r="BI19" s="67">
        <f>IFERROR(((AG19*(12000/5))/((F19*60+G19)*(SUMIFS(팀공격력!X:X,팀공격력!A:A,B19,팀공격력!B:B,D19)+SUMIFS(팀수비력!X:X,팀수비력!A:A,B19,팀수비력!B:B,D19))))*100,"")</f>
        <v>1.0458275837025202</v>
      </c>
      <c r="BJ19" s="67">
        <f>IFERROR(((AI19*(12000/5))/((F19*60+G19)*(SUMIFS(팀공격력!V:V,팀공격력!A:A,B19,팀공격력!B:B,D19)+SUMIFS(팀수비력!W:W,팀수비력!A:A,B19,팀수비력!B:B,D19))))*100,"")</f>
        <v>0.69264069264069261</v>
      </c>
      <c r="BK19" s="67">
        <f>IFERROR(((AE19*(12000/5))/((F19*60+G19)*(SUMIFS(팀공격력!X:X,팀공격력!A:A,B19,팀공격력!B:B,D19)+SUMIFS(팀수비력!X:X,팀수비력!A:A,B19,팀수비력!B:B,D19))))*100,"")</f>
        <v>1.3944367782700269</v>
      </c>
      <c r="BL19" s="67">
        <f>IFERROR(100*AK19/(((((F19*60+G19)/(12000/5))*SUMIFS(팀공격력!P:P,팀공격력!A:A,B19,팀공격력!B:B,D19))-K19)),"")</f>
        <v>1.758241758241758</v>
      </c>
      <c r="BM19" s="67">
        <f>IFERROR(100*((AM19/E19*(2400))/((F19*60+G19)*SUMIFS(팀공격력!AR:AR,팀공격력!A:A,B19,팀공격력!B:B,D19))),"")</f>
        <v>0</v>
      </c>
      <c r="BN19" s="67">
        <f>IFERROR((AO19*40)/(((F19*60+G19)/60)*(SUMIFS(팀수비력!Q:Q,팀수비력!A:A,B19,팀수비력!B:B,D19)-SUMIFS(팀수비력!N:N,팀수비력!A:A,B19,팀수비력!B:B,D19)))*100,"")</f>
        <v>0</v>
      </c>
      <c r="BO19" s="67">
        <f t="shared" si="25"/>
        <v>58.139534883720934</v>
      </c>
      <c r="BP19" s="19"/>
      <c r="BQ19" s="19"/>
      <c r="BR19" s="19"/>
      <c r="BS19" s="19"/>
      <c r="BT19" s="20" t="s">
        <v>89</v>
      </c>
      <c r="BU19" s="21">
        <v>200000</v>
      </c>
      <c r="BV19" s="11" t="s">
        <v>93</v>
      </c>
      <c r="BW19" s="30">
        <v>8.8800000000000008</v>
      </c>
      <c r="BX19" s="30">
        <v>17.579999999999998</v>
      </c>
      <c r="BY19" s="30">
        <v>8.6999999999999993</v>
      </c>
      <c r="BZ19" s="35">
        <f t="shared" si="27"/>
        <v>0.98666666666666658</v>
      </c>
      <c r="CA19" s="35">
        <f t="shared" si="28"/>
        <v>1.9533333333333331</v>
      </c>
      <c r="CB19" s="35">
        <f t="shared" si="29"/>
        <v>0.96666666666666656</v>
      </c>
      <c r="CC19" s="36">
        <f t="shared" si="30"/>
        <v>13.531428571428565</v>
      </c>
      <c r="CD19" s="36">
        <f t="shared" si="31"/>
        <v>26.788571428571423</v>
      </c>
      <c r="CE19" s="36">
        <f t="shared" si="32"/>
        <v>13.257142857142858</v>
      </c>
      <c r="CF19" s="30">
        <v>6</v>
      </c>
      <c r="CG19" s="30">
        <v>3</v>
      </c>
    </row>
    <row r="20" spans="1:85" x14ac:dyDescent="0.4">
      <c r="A20" s="11" t="s">
        <v>85</v>
      </c>
      <c r="B20" s="11" t="s">
        <v>99</v>
      </c>
      <c r="C20" s="11" t="s">
        <v>116</v>
      </c>
      <c r="D20" s="46" t="s">
        <v>88</v>
      </c>
      <c r="E20" s="15">
        <v>9</v>
      </c>
      <c r="F20" s="15">
        <v>23</v>
      </c>
      <c r="G20" s="15">
        <v>28</v>
      </c>
      <c r="H20" s="16">
        <f t="shared" si="0"/>
        <v>12672</v>
      </c>
      <c r="I20" s="16">
        <v>134</v>
      </c>
      <c r="J20" s="17">
        <f t="shared" si="1"/>
        <v>14.888888888888889</v>
      </c>
      <c r="K20" s="15">
        <v>52</v>
      </c>
      <c r="L20" s="15">
        <v>129</v>
      </c>
      <c r="M20" s="17">
        <f t="shared" si="2"/>
        <v>5.7777777777777777</v>
      </c>
      <c r="N20" s="17">
        <f t="shared" si="3"/>
        <v>14.333333333333334</v>
      </c>
      <c r="O20" s="18">
        <f t="shared" si="4"/>
        <v>0.40310077519379844</v>
      </c>
      <c r="P20" s="16">
        <v>37</v>
      </c>
      <c r="Q20" s="15">
        <v>72</v>
      </c>
      <c r="R20" s="17">
        <f t="shared" si="5"/>
        <v>4.1111111111111107</v>
      </c>
      <c r="S20" s="17">
        <f t="shared" si="6"/>
        <v>8</v>
      </c>
      <c r="T20" s="18">
        <f t="shared" si="7"/>
        <v>0.51388888888888884</v>
      </c>
      <c r="U20" s="15">
        <v>15</v>
      </c>
      <c r="V20" s="15">
        <v>57</v>
      </c>
      <c r="W20" s="17">
        <f t="shared" si="8"/>
        <v>1.6666666666666667</v>
      </c>
      <c r="X20" s="17">
        <f t="shared" si="9"/>
        <v>6.333333333333333</v>
      </c>
      <c r="Y20" s="18">
        <f t="shared" si="10"/>
        <v>0.26315789473684209</v>
      </c>
      <c r="Z20" s="15">
        <v>15</v>
      </c>
      <c r="AA20" s="15">
        <v>21</v>
      </c>
      <c r="AB20" s="17">
        <f t="shared" si="11"/>
        <v>1.6666666666666667</v>
      </c>
      <c r="AC20" s="17">
        <f t="shared" si="12"/>
        <v>2.3333333333333335</v>
      </c>
      <c r="AD20" s="18">
        <f t="shared" si="13"/>
        <v>0.7142857142857143</v>
      </c>
      <c r="AE20" s="15">
        <v>54</v>
      </c>
      <c r="AF20" s="17">
        <f t="shared" si="14"/>
        <v>6</v>
      </c>
      <c r="AG20" s="15">
        <v>11</v>
      </c>
      <c r="AH20" s="17">
        <f t="shared" si="15"/>
        <v>1.2222222222222223</v>
      </c>
      <c r="AI20" s="15">
        <v>43</v>
      </c>
      <c r="AJ20" s="17">
        <f t="shared" si="16"/>
        <v>4.7777777777777777</v>
      </c>
      <c r="AK20" s="15">
        <v>16</v>
      </c>
      <c r="AL20" s="17">
        <f t="shared" si="17"/>
        <v>1.7777777777777777</v>
      </c>
      <c r="AM20" s="15">
        <v>8</v>
      </c>
      <c r="AN20" s="17">
        <f t="shared" si="18"/>
        <v>0.88888888888888884</v>
      </c>
      <c r="AO20" s="15">
        <v>2</v>
      </c>
      <c r="AP20" s="17">
        <f t="shared" si="26"/>
        <v>0.22222222222222221</v>
      </c>
      <c r="AQ20" s="4">
        <v>13</v>
      </c>
      <c r="AR20" s="17">
        <f t="shared" si="19"/>
        <v>1.4444444444444444</v>
      </c>
      <c r="AS20" s="15">
        <v>17</v>
      </c>
      <c r="AT20" s="17">
        <f t="shared" si="20"/>
        <v>1.8888888888888888</v>
      </c>
      <c r="AU20" s="19">
        <v>-5.6771313247187823E-2</v>
      </c>
      <c r="AV20" s="19">
        <v>-1.0752142660452241E-2</v>
      </c>
      <c r="AW20" s="19">
        <v>-0.19538856977508001</v>
      </c>
      <c r="AX20" s="19">
        <v>0.13861725652789211</v>
      </c>
      <c r="AY20" s="19">
        <v>96.557676258461797</v>
      </c>
      <c r="AZ20" s="19">
        <v>113.4525798919931</v>
      </c>
      <c r="BA20" s="19">
        <v>2.300050475448348</v>
      </c>
      <c r="BB20" s="19">
        <v>13.111111111111111</v>
      </c>
      <c r="BC20" s="19">
        <v>22.348484848484851</v>
      </c>
      <c r="BD20" s="65">
        <f t="shared" si="21"/>
        <v>48.466435185185183</v>
      </c>
      <c r="BE20" s="65">
        <f t="shared" si="22"/>
        <v>46.124031007751938</v>
      </c>
      <c r="BF20" s="66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5.635710980986345</v>
      </c>
      <c r="BG20" s="38">
        <f t="shared" si="23"/>
        <v>0.44186046511627908</v>
      </c>
      <c r="BH20" s="38">
        <f t="shared" si="24"/>
        <v>0.16279069767441862</v>
      </c>
      <c r="BI20" s="67">
        <f>IFERROR(((AG20*(12000/5))/((F20*60+G20)*(SUMIFS(팀공격력!X:X,팀공격력!A:A,B20,팀공격력!B:B,D20)+SUMIFS(팀수비력!X:X,팀수비력!A:A,B20,팀수비력!B:B,D20))))*100,"")</f>
        <v>0.47661413319776308</v>
      </c>
      <c r="BJ20" s="67">
        <f>IFERROR(((AI20*(12000/5))/((F20*60+G20)*(SUMIFS(팀공격력!V:V,팀공격력!A:A,B20,팀공격력!B:B,D20)+SUMIFS(팀수비력!W:W,팀수비력!A:A,B20,팀수비력!B:B,D20))))*100,"")</f>
        <v>3.7017906336088156</v>
      </c>
      <c r="BK20" s="67">
        <f>IFERROR(((AE20*(12000/5))/((F20*60+G20)*(SUMIFS(팀공격력!X:X,팀공격력!A:A,B20,팀공격력!B:B,D20)+SUMIFS(팀수비력!X:X,팀수비력!A:A,B20,팀수비력!B:B,D20))))*100,"")</f>
        <v>2.3397421084253822</v>
      </c>
      <c r="BL20" s="67">
        <f>IFERROR(100*AK20/(((((F20*60+G20)/(12000/5))*SUMIFS(팀공격력!P:P,팀공격력!A:A,B20,팀공격력!B:B,D20))-K20)),"")</f>
        <v>1.8535681186283595</v>
      </c>
      <c r="BM20" s="67">
        <f>IFERROR(100*((AM20/E20*(2400))/((F20*60+G20)*SUMIFS(팀공격력!AR:AR,팀공격력!A:A,B20,팀공격력!B:B,D20))),"")</f>
        <v>2.0873558002486958</v>
      </c>
      <c r="BN20" s="67">
        <f>IFERROR((AO20*40)/(((F20*60+G20)/60)*(SUMIFS(팀수비력!Q:Q,팀수비력!A:A,B20,팀수비력!B:B,D20)-SUMIFS(팀수비력!N:N,팀수비력!A:A,B20,팀수비력!B:B,D20)))*100,"")</f>
        <v>0.15488827392507537</v>
      </c>
      <c r="BO20" s="67">
        <f t="shared" si="25"/>
        <v>8.5956096270827818</v>
      </c>
      <c r="BP20" s="19"/>
      <c r="BQ20" s="19"/>
      <c r="BR20" s="19"/>
      <c r="BS20" s="19"/>
      <c r="BT20" s="20" t="s">
        <v>96</v>
      </c>
      <c r="BU20" s="21">
        <v>150000</v>
      </c>
      <c r="BV20" s="11" t="s">
        <v>93</v>
      </c>
      <c r="BW20" s="30">
        <v>183.19</v>
      </c>
      <c r="BX20" s="30">
        <v>280.29000000000002</v>
      </c>
      <c r="BY20" s="30">
        <v>97.1</v>
      </c>
      <c r="BZ20" s="35">
        <f t="shared" si="27"/>
        <v>20.354444444444447</v>
      </c>
      <c r="CA20" s="35">
        <f t="shared" si="28"/>
        <v>31.143333333333334</v>
      </c>
      <c r="CB20" s="35">
        <f t="shared" si="29"/>
        <v>10.788888888888888</v>
      </c>
      <c r="CC20" s="36">
        <f t="shared" si="30"/>
        <v>34.695075757575758</v>
      </c>
      <c r="CD20" s="36">
        <f t="shared" si="31"/>
        <v>53.085227272727273</v>
      </c>
      <c r="CE20" s="36">
        <f t="shared" si="32"/>
        <v>18.390151515151516</v>
      </c>
      <c r="CF20" s="31">
        <v>4</v>
      </c>
      <c r="CG20" s="31">
        <v>5</v>
      </c>
    </row>
    <row r="21" spans="1:85" x14ac:dyDescent="0.4">
      <c r="A21" s="11" t="s">
        <v>85</v>
      </c>
      <c r="B21" s="11" t="s">
        <v>99</v>
      </c>
      <c r="C21" s="11" t="s">
        <v>117</v>
      </c>
      <c r="D21" s="46" t="s">
        <v>88</v>
      </c>
      <c r="E21" s="15">
        <v>30</v>
      </c>
      <c r="F21" s="15">
        <v>29</v>
      </c>
      <c r="G21" s="15">
        <v>28</v>
      </c>
      <c r="H21" s="16">
        <f t="shared" si="0"/>
        <v>53040</v>
      </c>
      <c r="I21" s="16">
        <v>355</v>
      </c>
      <c r="J21" s="17">
        <f t="shared" si="1"/>
        <v>11.833333333333334</v>
      </c>
      <c r="K21" s="15">
        <v>118</v>
      </c>
      <c r="L21" s="15">
        <v>336</v>
      </c>
      <c r="M21" s="17">
        <f t="shared" si="2"/>
        <v>3.9333333333333331</v>
      </c>
      <c r="N21" s="17">
        <f t="shared" si="3"/>
        <v>11.2</v>
      </c>
      <c r="O21" s="18">
        <f t="shared" si="4"/>
        <v>0.35119047619047616</v>
      </c>
      <c r="P21" s="16">
        <v>42</v>
      </c>
      <c r="Q21" s="15">
        <v>105</v>
      </c>
      <c r="R21" s="17">
        <f t="shared" si="5"/>
        <v>1.4</v>
      </c>
      <c r="S21" s="17">
        <f t="shared" si="6"/>
        <v>3.5</v>
      </c>
      <c r="T21" s="18">
        <f t="shared" si="7"/>
        <v>0.4</v>
      </c>
      <c r="U21" s="15">
        <v>76</v>
      </c>
      <c r="V21" s="15">
        <v>231</v>
      </c>
      <c r="W21" s="17">
        <f t="shared" si="8"/>
        <v>2.5333333333333332</v>
      </c>
      <c r="X21" s="17">
        <f t="shared" si="9"/>
        <v>7.7</v>
      </c>
      <c r="Y21" s="18">
        <f t="shared" si="10"/>
        <v>0.32900432900432902</v>
      </c>
      <c r="Z21" s="15">
        <v>43</v>
      </c>
      <c r="AA21" s="15">
        <v>55</v>
      </c>
      <c r="AB21" s="17">
        <f t="shared" si="11"/>
        <v>1.4333333333333333</v>
      </c>
      <c r="AC21" s="17">
        <f t="shared" si="12"/>
        <v>1.8333333333333333</v>
      </c>
      <c r="AD21" s="18">
        <f t="shared" si="13"/>
        <v>0.78181818181818186</v>
      </c>
      <c r="AE21" s="15">
        <v>48</v>
      </c>
      <c r="AF21" s="17">
        <f t="shared" si="14"/>
        <v>1.6</v>
      </c>
      <c r="AG21" s="15">
        <v>12</v>
      </c>
      <c r="AH21" s="17">
        <f t="shared" si="15"/>
        <v>0.4</v>
      </c>
      <c r="AI21" s="15">
        <v>36</v>
      </c>
      <c r="AJ21" s="17">
        <f t="shared" si="16"/>
        <v>1.2</v>
      </c>
      <c r="AK21" s="15">
        <v>28</v>
      </c>
      <c r="AL21" s="17">
        <f t="shared" si="17"/>
        <v>0.93333333333333335</v>
      </c>
      <c r="AM21" s="15">
        <v>14</v>
      </c>
      <c r="AN21" s="17">
        <f t="shared" si="18"/>
        <v>0.46666666666666667</v>
      </c>
      <c r="AO21" s="15">
        <v>0</v>
      </c>
      <c r="AP21" s="17">
        <f t="shared" si="26"/>
        <v>0</v>
      </c>
      <c r="AQ21" s="4">
        <v>31</v>
      </c>
      <c r="AR21" s="17">
        <f t="shared" si="19"/>
        <v>1.0333333333333334</v>
      </c>
      <c r="AS21" s="15">
        <v>42</v>
      </c>
      <c r="AT21" s="17">
        <f t="shared" si="20"/>
        <v>1.4</v>
      </c>
      <c r="AU21" s="19">
        <v>-0.91650055803444486</v>
      </c>
      <c r="AV21" s="19">
        <v>-4.1470613485721487E-2</v>
      </c>
      <c r="AW21" s="19">
        <v>-0.47279813832973622</v>
      </c>
      <c r="AX21" s="19">
        <v>-0.44370241970470869</v>
      </c>
      <c r="AY21" s="19">
        <v>96.788329620957356</v>
      </c>
      <c r="AZ21" s="19">
        <v>124.3061756810834</v>
      </c>
      <c r="BA21" s="19">
        <v>3.291094744549667</v>
      </c>
      <c r="BB21" s="19">
        <v>6.1333333333333337</v>
      </c>
      <c r="BC21" s="19">
        <v>8.3257918552036205</v>
      </c>
      <c r="BD21" s="65">
        <f t="shared" si="21"/>
        <v>49.278178789561352</v>
      </c>
      <c r="BE21" s="65">
        <f t="shared" si="22"/>
        <v>46.428571428571431</v>
      </c>
      <c r="BF21" s="66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11.609173035159335</v>
      </c>
      <c r="BG21" s="38">
        <f t="shared" si="23"/>
        <v>0.6875</v>
      </c>
      <c r="BH21" s="38">
        <f t="shared" si="24"/>
        <v>0.16369047619047619</v>
      </c>
      <c r="BI21" s="67">
        <f>IFERROR(((AG21*(12000/5))/((F21*60+G21)*(SUMIFS(팀공격력!X:X,팀공격력!A:A,B21,팀공격력!B:B,D21)+SUMIFS(팀수비력!X:X,팀수비력!A:A,B21,팀수비력!B:B,D21))))*100,"")</f>
        <v>0.41407200712203851</v>
      </c>
      <c r="BJ21" s="67">
        <f>IFERROR(((AI21*(12000/5))/((F21*60+G21)*(SUMIFS(팀공격력!V:V,팀공격력!A:A,B21,팀공격력!B:B,D21)+SUMIFS(팀수비력!W:W,팀수비력!A:A,B21,팀수비력!B:B,D21))))*100,"")</f>
        <v>2.4681201151789387</v>
      </c>
      <c r="BK21" s="67">
        <f>IFERROR(((AE21*(12000/5))/((F21*60+G21)*(SUMIFS(팀공격력!X:X,팀공격력!A:A,B21,팀공격력!B:B,D21)+SUMIFS(팀수비력!X:X,팀수비력!A:A,B21,팀수비력!B:B,D21))))*100,"")</f>
        <v>1.656288028488154</v>
      </c>
      <c r="BL21" s="67">
        <f>IFERROR(100*AK21/(((((F21*60+G21)/(12000/5))*SUMIFS(팀공격력!P:P,팀공격력!A:A,B21,팀공격력!B:B,D21))-K21)),"")</f>
        <v>2.7152831652443754</v>
      </c>
      <c r="BM21" s="67">
        <f>IFERROR(100*((AM21/E21*(2400))/((F21*60+G21)*SUMIFS(팀공격력!AR:AR,팀공격력!A:A,B21,팀공격력!B:B,D21))),"")</f>
        <v>0.87272251557909275</v>
      </c>
      <c r="BN21" s="67">
        <f>IFERROR((AO21*40)/(((F21*60+G21)/60)*(SUMIFS(팀수비력!Q:Q,팀수비력!A:A,B21,팀수비력!B:B,D21)-SUMIFS(팀수비력!N:N,팀수비력!A:A,B21,팀수비력!B:B,D21)))*100,"")</f>
        <v>0</v>
      </c>
      <c r="BO21" s="67">
        <f t="shared" si="25"/>
        <v>7.924335378323109</v>
      </c>
      <c r="BP21" s="19"/>
      <c r="BQ21" s="19"/>
      <c r="BR21" s="19"/>
      <c r="BS21" s="19"/>
      <c r="BT21" s="20" t="s">
        <v>89</v>
      </c>
      <c r="BU21" s="21">
        <v>800000</v>
      </c>
      <c r="BV21" s="11" t="s">
        <v>93</v>
      </c>
      <c r="BW21" s="30">
        <v>427.35</v>
      </c>
      <c r="BX21" s="30">
        <v>685.95</v>
      </c>
      <c r="BY21" s="30">
        <v>258.60000000000002</v>
      </c>
      <c r="BZ21" s="35">
        <f t="shared" si="27"/>
        <v>14.245000000000001</v>
      </c>
      <c r="CA21" s="35">
        <f t="shared" si="28"/>
        <v>22.865000000000002</v>
      </c>
      <c r="CB21" s="35">
        <f t="shared" si="29"/>
        <v>8.620000000000001</v>
      </c>
      <c r="CC21" s="36">
        <f t="shared" si="30"/>
        <v>19.337104072398191</v>
      </c>
      <c r="CD21" s="36">
        <f t="shared" si="31"/>
        <v>31.03846153846154</v>
      </c>
      <c r="CE21" s="36">
        <f t="shared" si="32"/>
        <v>11.701357466063348</v>
      </c>
      <c r="CF21" s="31">
        <v>11</v>
      </c>
      <c r="CG21" s="31">
        <v>19</v>
      </c>
    </row>
    <row r="22" spans="1:85" x14ac:dyDescent="0.4">
      <c r="A22" s="11" t="s">
        <v>85</v>
      </c>
      <c r="B22" s="11" t="s">
        <v>99</v>
      </c>
      <c r="C22" s="11" t="s">
        <v>118</v>
      </c>
      <c r="D22" s="46" t="s">
        <v>88</v>
      </c>
      <c r="E22" s="15">
        <v>11</v>
      </c>
      <c r="F22" s="15">
        <v>9</v>
      </c>
      <c r="G22" s="15">
        <v>0</v>
      </c>
      <c r="H22" s="16">
        <f t="shared" si="0"/>
        <v>5940</v>
      </c>
      <c r="I22" s="16">
        <v>42</v>
      </c>
      <c r="J22" s="17">
        <f t="shared" si="1"/>
        <v>3.8181818181818183</v>
      </c>
      <c r="K22" s="15">
        <v>16</v>
      </c>
      <c r="L22" s="15">
        <v>49</v>
      </c>
      <c r="M22" s="17">
        <f t="shared" si="2"/>
        <v>1.4545454545454546</v>
      </c>
      <c r="N22" s="17">
        <f t="shared" si="3"/>
        <v>4.4545454545454541</v>
      </c>
      <c r="O22" s="18">
        <f t="shared" si="4"/>
        <v>0.32653061224489793</v>
      </c>
      <c r="P22" s="16">
        <v>9</v>
      </c>
      <c r="Q22" s="15">
        <v>21</v>
      </c>
      <c r="R22" s="17">
        <f t="shared" si="5"/>
        <v>0.81818181818181823</v>
      </c>
      <c r="S22" s="17">
        <f t="shared" si="6"/>
        <v>1.9090909090909092</v>
      </c>
      <c r="T22" s="18">
        <f t="shared" si="7"/>
        <v>0.42857142857142855</v>
      </c>
      <c r="U22" s="15">
        <v>7</v>
      </c>
      <c r="V22" s="15">
        <v>28</v>
      </c>
      <c r="W22" s="17">
        <f t="shared" si="8"/>
        <v>0.63636363636363635</v>
      </c>
      <c r="X22" s="17">
        <f t="shared" si="9"/>
        <v>2.5454545454545454</v>
      </c>
      <c r="Y22" s="18">
        <f t="shared" si="10"/>
        <v>0.25</v>
      </c>
      <c r="Z22" s="15">
        <v>3</v>
      </c>
      <c r="AA22" s="15">
        <v>4</v>
      </c>
      <c r="AB22" s="17">
        <f t="shared" si="11"/>
        <v>0.27272727272727271</v>
      </c>
      <c r="AC22" s="17">
        <f t="shared" si="12"/>
        <v>0.36363636363636365</v>
      </c>
      <c r="AD22" s="18">
        <f t="shared" si="13"/>
        <v>0.75</v>
      </c>
      <c r="AE22" s="15">
        <v>8</v>
      </c>
      <c r="AF22" s="17">
        <f t="shared" si="14"/>
        <v>0.72727272727272729</v>
      </c>
      <c r="AG22" s="15">
        <v>1</v>
      </c>
      <c r="AH22" s="17">
        <f t="shared" si="15"/>
        <v>9.0909090909090912E-2</v>
      </c>
      <c r="AI22" s="15">
        <v>7</v>
      </c>
      <c r="AJ22" s="17">
        <f t="shared" si="16"/>
        <v>0.63636363636363635</v>
      </c>
      <c r="AK22" s="15">
        <v>8</v>
      </c>
      <c r="AL22" s="17">
        <f t="shared" si="17"/>
        <v>0.72727272727272729</v>
      </c>
      <c r="AM22" s="15">
        <v>5</v>
      </c>
      <c r="AN22" s="17">
        <f t="shared" si="18"/>
        <v>0.45454545454545453</v>
      </c>
      <c r="AO22" s="15">
        <v>0</v>
      </c>
      <c r="AP22" s="17">
        <f t="shared" si="26"/>
        <v>0</v>
      </c>
      <c r="AQ22" s="4">
        <v>2</v>
      </c>
      <c r="AR22" s="17">
        <f t="shared" si="19"/>
        <v>0.18181818181818182</v>
      </c>
      <c r="AS22" s="15">
        <v>19</v>
      </c>
      <c r="AT22" s="17">
        <f t="shared" si="20"/>
        <v>1.7272727272727273</v>
      </c>
      <c r="AU22" s="19">
        <v>-0.1221484066421971</v>
      </c>
      <c r="AV22" s="19">
        <v>-4.9352891572604883E-2</v>
      </c>
      <c r="AW22" s="19">
        <v>-0.13661360250588511</v>
      </c>
      <c r="AX22" s="19">
        <v>1.446519586368808E-2</v>
      </c>
      <c r="AY22" s="19">
        <v>91.108966670511109</v>
      </c>
      <c r="AZ22" s="19">
        <v>118.23364674218691</v>
      </c>
      <c r="BA22" s="19">
        <v>0.88624163972518721</v>
      </c>
      <c r="BB22" s="19">
        <v>2.454545454545455</v>
      </c>
      <c r="BC22" s="19">
        <v>10.90909090909091</v>
      </c>
      <c r="BD22" s="65">
        <f t="shared" si="21"/>
        <v>41.371158392434992</v>
      </c>
      <c r="BE22" s="65">
        <f t="shared" si="22"/>
        <v>39.795918367346935</v>
      </c>
      <c r="BF22" s="66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5.1262021216025309</v>
      </c>
      <c r="BG22" s="38">
        <f t="shared" si="23"/>
        <v>0.5714285714285714</v>
      </c>
      <c r="BH22" s="38">
        <f t="shared" si="24"/>
        <v>8.1632653061224483E-2</v>
      </c>
      <c r="BI22" s="67">
        <f>IFERROR(((AG22*(12000/5))/((F22*60+G22)*(SUMIFS(팀공격력!X:X,팀공격력!A:A,B22,팀공격력!B:B,D22)+SUMIFS(팀수비력!X:X,팀수비력!A:A,B22,팀수비력!B:B,D22))))*100,"")</f>
        <v>0.11297520194317348</v>
      </c>
      <c r="BJ22" s="67">
        <f>IFERROR(((AI22*(12000/5))/((F22*60+G22)*(SUMIFS(팀공격력!V:V,팀공격력!A:A,B22,팀공격력!B:B,D22)+SUMIFS(팀수비력!W:W,팀수비력!A:A,B22,팀수비력!B:B,D22))))*100,"")</f>
        <v>1.5712682379349048</v>
      </c>
      <c r="BK22" s="67">
        <f>IFERROR(((AE22*(12000/5))/((F22*60+G22)*(SUMIFS(팀공격력!X:X,팀공격력!A:A,B22,팀공격력!B:B,D22)+SUMIFS(팀수비력!X:X,팀수비력!A:A,B22,팀수비력!B:B,D22))))*100,"")</f>
        <v>0.90380161554538785</v>
      </c>
      <c r="BL22" s="67">
        <f>IFERROR(100*AK22/(((((F22*60+G22)/(12000/5))*SUMIFS(팀공격력!P:P,팀공격력!A:A,B22,팀공격력!B:B,D22))-K22)),"")</f>
        <v>2.3880597014925371</v>
      </c>
      <c r="BM22" s="67">
        <f>IFERROR(100*((AM22/E22*(2400))/((F22*60+G22)*SUMIFS(팀공격력!AR:AR,팀공격력!A:A,B22,팀공격력!B:B,D22))),"")</f>
        <v>2.7831410669982604</v>
      </c>
      <c r="BN22" s="67">
        <f>IFERROR((AO22*40)/(((F22*60+G22)/60)*(SUMIFS(팀수비력!Q:Q,팀수비력!A:A,B22,팀수비력!B:B,D22)-SUMIFS(팀수비력!N:N,팀수비력!A:A,B22,팀수비력!B:B,D22)))*100,"")</f>
        <v>0</v>
      </c>
      <c r="BO22" s="67">
        <f t="shared" si="25"/>
        <v>3.7907505686125855</v>
      </c>
      <c r="BP22" s="19"/>
      <c r="BQ22" s="19"/>
      <c r="BR22" s="19"/>
      <c r="BS22" s="19"/>
      <c r="BT22" s="20" t="s">
        <v>96</v>
      </c>
      <c r="BU22" s="21">
        <v>80000</v>
      </c>
      <c r="BV22" s="11" t="s">
        <v>90</v>
      </c>
      <c r="BW22" s="31">
        <v>57.54</v>
      </c>
      <c r="BX22" s="31">
        <v>92.24</v>
      </c>
      <c r="BY22" s="31">
        <v>34.700000000000003</v>
      </c>
      <c r="BZ22" s="35">
        <f t="shared" si="27"/>
        <v>5.2309090909090905</v>
      </c>
      <c r="CA22" s="35">
        <f t="shared" si="28"/>
        <v>8.3854545454545448</v>
      </c>
      <c r="CB22" s="35">
        <f t="shared" si="29"/>
        <v>3.1545454545454548</v>
      </c>
      <c r="CC22" s="36">
        <f t="shared" si="30"/>
        <v>23.24848484848485</v>
      </c>
      <c r="CD22" s="36">
        <f t="shared" si="31"/>
        <v>37.268686868686871</v>
      </c>
      <c r="CE22" s="36">
        <f t="shared" si="32"/>
        <v>14.020202020202021</v>
      </c>
      <c r="CF22" s="30">
        <v>6</v>
      </c>
      <c r="CG22" s="30">
        <v>5</v>
      </c>
    </row>
    <row r="23" spans="1:85" x14ac:dyDescent="0.4">
      <c r="A23" s="11" t="s">
        <v>85</v>
      </c>
      <c r="B23" s="11" t="s">
        <v>99</v>
      </c>
      <c r="C23" s="14" t="s">
        <v>98</v>
      </c>
      <c r="D23" s="46" t="s">
        <v>88</v>
      </c>
      <c r="E23" s="15">
        <v>8</v>
      </c>
      <c r="F23" s="15">
        <v>2</v>
      </c>
      <c r="G23" s="15">
        <v>37</v>
      </c>
      <c r="H23" s="16">
        <f t="shared" si="0"/>
        <v>1256</v>
      </c>
      <c r="I23" s="16">
        <v>3</v>
      </c>
      <c r="J23" s="17">
        <f t="shared" si="1"/>
        <v>0.375</v>
      </c>
      <c r="K23" s="15">
        <v>1</v>
      </c>
      <c r="L23" s="15">
        <v>5</v>
      </c>
      <c r="M23" s="17">
        <f t="shared" si="2"/>
        <v>0.125</v>
      </c>
      <c r="N23" s="17">
        <f t="shared" si="3"/>
        <v>0.625</v>
      </c>
      <c r="O23" s="18">
        <f t="shared" si="4"/>
        <v>0.2</v>
      </c>
      <c r="P23" s="16">
        <v>0</v>
      </c>
      <c r="Q23" s="15">
        <v>2</v>
      </c>
      <c r="R23" s="17">
        <f t="shared" si="5"/>
        <v>0</v>
      </c>
      <c r="S23" s="17">
        <f t="shared" si="6"/>
        <v>0.25</v>
      </c>
      <c r="T23" s="18">
        <f t="shared" si="7"/>
        <v>0</v>
      </c>
      <c r="U23" s="15">
        <v>1</v>
      </c>
      <c r="V23" s="15">
        <v>3</v>
      </c>
      <c r="W23" s="17">
        <f t="shared" si="8"/>
        <v>0.125</v>
      </c>
      <c r="X23" s="17">
        <f t="shared" si="9"/>
        <v>0.375</v>
      </c>
      <c r="Y23" s="18">
        <f t="shared" si="10"/>
        <v>0.33333333333333331</v>
      </c>
      <c r="Z23" s="15">
        <v>0</v>
      </c>
      <c r="AA23" s="15">
        <v>0</v>
      </c>
      <c r="AB23" s="17">
        <f t="shared" si="11"/>
        <v>0</v>
      </c>
      <c r="AC23" s="17">
        <f t="shared" si="12"/>
        <v>0</v>
      </c>
      <c r="AD23" s="18" t="e">
        <f t="shared" si="13"/>
        <v>#DIV/0!</v>
      </c>
      <c r="AE23" s="15">
        <v>1</v>
      </c>
      <c r="AF23" s="17">
        <f t="shared" si="14"/>
        <v>0.125</v>
      </c>
      <c r="AG23" s="15">
        <v>0</v>
      </c>
      <c r="AH23" s="17">
        <f t="shared" si="15"/>
        <v>0</v>
      </c>
      <c r="AI23" s="15">
        <v>1</v>
      </c>
      <c r="AJ23" s="17">
        <f t="shared" si="16"/>
        <v>0.125</v>
      </c>
      <c r="AK23" s="15">
        <v>2</v>
      </c>
      <c r="AL23" s="17">
        <f t="shared" si="17"/>
        <v>0.25</v>
      </c>
      <c r="AM23" s="15">
        <v>1</v>
      </c>
      <c r="AN23" s="17">
        <f t="shared" si="18"/>
        <v>0.125</v>
      </c>
      <c r="AO23" s="15">
        <v>0</v>
      </c>
      <c r="AP23" s="17">
        <f t="shared" si="26"/>
        <v>0</v>
      </c>
      <c r="AQ23" s="4">
        <v>2</v>
      </c>
      <c r="AR23" s="17">
        <f t="shared" si="19"/>
        <v>0.25</v>
      </c>
      <c r="AS23" s="15">
        <v>5</v>
      </c>
      <c r="AT23" s="17">
        <f t="shared" si="20"/>
        <v>0.625</v>
      </c>
      <c r="AU23" s="19">
        <v>-8.0734719423924989E-2</v>
      </c>
      <c r="AV23" s="19">
        <v>-0.1542701645043153</v>
      </c>
      <c r="AW23" s="19">
        <v>-8.0958217830638654E-2</v>
      </c>
      <c r="AX23" s="19">
        <v>2.2349840671367129E-4</v>
      </c>
      <c r="AY23" s="19">
        <v>58.146741438568128</v>
      </c>
      <c r="AZ23" s="19">
        <v>119.50277046152701</v>
      </c>
      <c r="BA23" s="19">
        <v>-0.84406593142205322</v>
      </c>
      <c r="BB23" s="19">
        <v>0.125</v>
      </c>
      <c r="BC23" s="19">
        <v>1.910828025477707</v>
      </c>
      <c r="BD23" s="65">
        <f t="shared" si="21"/>
        <v>30</v>
      </c>
      <c r="BE23" s="65">
        <f t="shared" si="22"/>
        <v>30</v>
      </c>
      <c r="BF23" s="66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2.3392847336161791</v>
      </c>
      <c r="BG23" s="38">
        <f t="shared" si="23"/>
        <v>0.6</v>
      </c>
      <c r="BH23" s="38">
        <f t="shared" si="24"/>
        <v>0</v>
      </c>
      <c r="BI23" s="67">
        <f>IFERROR(((AG23*(12000/5))/((F23*60+G23)*(SUMIFS(팀공격력!X:X,팀공격력!A:A,B23,팀공격력!B:B,D23)+SUMIFS(팀수비력!X:X,팀수비력!A:A,B23,팀수비력!B:B,D23))))*100,"")</f>
        <v>0</v>
      </c>
      <c r="BJ23" s="67">
        <f>IFERROR(((AI23*(12000/5))/((F23*60+G23)*(SUMIFS(팀공격력!V:V,팀공격력!A:A,B23,팀공격력!B:B,D23)+SUMIFS(팀수비력!W:W,팀수비력!A:A,B23,팀수비력!B:B,D23))))*100,"")</f>
        <v>0.77205172746574025</v>
      </c>
      <c r="BK23" s="67">
        <f>IFERROR(((AE23*(12000/5))/((F23*60+G23)*(SUMIFS(팀공격력!X:X,팀공격력!A:A,B23,팀공격력!B:B,D23)+SUMIFS(팀수비력!X:X,팀수비력!A:A,B23,팀수비력!B:B,D23))))*100,"")</f>
        <v>0.38857712770263486</v>
      </c>
      <c r="BL23" s="67">
        <f>IFERROR(100*AK23/(((((F23*60+G23)/(12000/5))*SUMIFS(팀공격력!P:P,팀공격력!A:A,B23,팀공격력!B:B,D23))-K23)),"")</f>
        <v>1.9792182088075212</v>
      </c>
      <c r="BM23" s="67">
        <f>IFERROR(100*((AM23/E23*(2400))/((F23*60+G23)*SUMIFS(팀공격력!AR:AR,팀공격력!A:A,B23,팀공격력!B:B,D23))),"")</f>
        <v>2.6324614550907119</v>
      </c>
      <c r="BN23" s="67">
        <f>IFERROR((AO23*40)/(((F23*60+G23)/60)*(SUMIFS(팀수비력!Q:Q,팀수비력!A:A,B23,팀수비력!B:B,D23)-SUMIFS(팀수비력!N:N,팀수비력!A:A,B23,팀수비력!B:B,D23)))*100,"")</f>
        <v>0</v>
      </c>
      <c r="BO23" s="67">
        <f t="shared" si="25"/>
        <v>28.571428571428573</v>
      </c>
      <c r="BP23" s="19"/>
      <c r="BQ23" s="19"/>
      <c r="BR23" s="19"/>
      <c r="BS23" s="19"/>
      <c r="BT23" s="20" t="s">
        <v>89</v>
      </c>
      <c r="BU23" s="21">
        <v>350000</v>
      </c>
      <c r="BV23" s="11" t="s">
        <v>90</v>
      </c>
      <c r="BZ23" s="35"/>
      <c r="CA23" s="35"/>
      <c r="CB23" s="35"/>
      <c r="CC23" s="36"/>
      <c r="CD23" s="36"/>
      <c r="CE23" s="36"/>
      <c r="CF23" s="44">
        <v>3</v>
      </c>
      <c r="CG23" s="44">
        <v>5</v>
      </c>
    </row>
    <row r="24" spans="1:85" x14ac:dyDescent="0.4">
      <c r="A24" s="11" t="s">
        <v>85</v>
      </c>
      <c r="B24" s="11" t="s">
        <v>99</v>
      </c>
      <c r="C24" s="11" t="s">
        <v>99</v>
      </c>
      <c r="D24" s="46" t="s">
        <v>88</v>
      </c>
      <c r="E24" s="15">
        <v>14</v>
      </c>
      <c r="F24" s="15">
        <v>5</v>
      </c>
      <c r="G24" s="15">
        <v>33</v>
      </c>
      <c r="H24" s="16">
        <f t="shared" si="0"/>
        <v>4662</v>
      </c>
      <c r="I24" s="16">
        <v>16</v>
      </c>
      <c r="J24" s="17">
        <f t="shared" si="1"/>
        <v>1.1428571428571428</v>
      </c>
      <c r="K24" s="15">
        <v>7</v>
      </c>
      <c r="L24" s="15">
        <v>18</v>
      </c>
      <c r="M24" s="17">
        <f t="shared" si="2"/>
        <v>0.5</v>
      </c>
      <c r="N24" s="17">
        <f t="shared" si="3"/>
        <v>1.2857142857142858</v>
      </c>
      <c r="O24" s="18">
        <f t="shared" si="4"/>
        <v>0.3888888888888889</v>
      </c>
      <c r="P24" s="16">
        <v>7</v>
      </c>
      <c r="Q24" s="15">
        <v>16</v>
      </c>
      <c r="R24" s="17">
        <f t="shared" si="5"/>
        <v>0.5</v>
      </c>
      <c r="S24" s="17">
        <f t="shared" si="6"/>
        <v>1.1428571428571428</v>
      </c>
      <c r="T24" s="18">
        <f t="shared" si="7"/>
        <v>0.4375</v>
      </c>
      <c r="U24" s="15">
        <v>0</v>
      </c>
      <c r="V24" s="15">
        <v>2</v>
      </c>
      <c r="W24" s="17">
        <f t="shared" si="8"/>
        <v>0</v>
      </c>
      <c r="X24" s="17">
        <f t="shared" si="9"/>
        <v>0.14285714285714285</v>
      </c>
      <c r="Y24" s="18">
        <f t="shared" si="10"/>
        <v>0</v>
      </c>
      <c r="Z24" s="15">
        <v>2</v>
      </c>
      <c r="AA24" s="15">
        <v>4</v>
      </c>
      <c r="AB24" s="17">
        <f t="shared" si="11"/>
        <v>0.14285714285714285</v>
      </c>
      <c r="AC24" s="17">
        <f t="shared" si="12"/>
        <v>0.2857142857142857</v>
      </c>
      <c r="AD24" s="18">
        <f t="shared" si="13"/>
        <v>0.5</v>
      </c>
      <c r="AE24" s="15">
        <v>9</v>
      </c>
      <c r="AF24" s="17">
        <f t="shared" si="14"/>
        <v>0.6428571428571429</v>
      </c>
      <c r="AG24" s="15">
        <v>8</v>
      </c>
      <c r="AH24" s="17">
        <f t="shared" si="15"/>
        <v>0.5714285714285714</v>
      </c>
      <c r="AI24" s="15">
        <v>1</v>
      </c>
      <c r="AJ24" s="17">
        <f t="shared" si="16"/>
        <v>7.1428571428571425E-2</v>
      </c>
      <c r="AK24" s="15">
        <v>2</v>
      </c>
      <c r="AL24" s="17">
        <f t="shared" si="17"/>
        <v>0.14285714285714285</v>
      </c>
      <c r="AM24" s="15">
        <v>1</v>
      </c>
      <c r="AN24" s="17">
        <f t="shared" si="18"/>
        <v>7.1428571428571425E-2</v>
      </c>
      <c r="AO24" s="15">
        <v>2</v>
      </c>
      <c r="AP24" s="17">
        <f t="shared" si="26"/>
        <v>0.14285714285714285</v>
      </c>
      <c r="AQ24" s="4">
        <v>4</v>
      </c>
      <c r="AR24" s="17">
        <f t="shared" si="19"/>
        <v>0.2857142857142857</v>
      </c>
      <c r="AS24" s="15">
        <v>19</v>
      </c>
      <c r="AT24" s="17">
        <f t="shared" si="20"/>
        <v>1.3571428571428572</v>
      </c>
      <c r="AU24" s="19">
        <v>-0.13732624069182189</v>
      </c>
      <c r="AV24" s="19">
        <v>-7.0695619403769311E-2</v>
      </c>
      <c r="AW24" s="19">
        <v>-9.984816603592267E-2</v>
      </c>
      <c r="AX24" s="19">
        <v>-3.7478074655899217E-2</v>
      </c>
      <c r="AY24" s="19">
        <v>86.474729070567292</v>
      </c>
      <c r="AZ24" s="19">
        <v>124.1226753326434</v>
      </c>
      <c r="BA24" s="19">
        <v>-0.211339894018476</v>
      </c>
      <c r="BB24" s="19">
        <v>0.9285714285714286</v>
      </c>
      <c r="BC24" s="19">
        <v>6.6924066924066921</v>
      </c>
      <c r="BD24" s="65">
        <f t="shared" si="21"/>
        <v>40.48582995951417</v>
      </c>
      <c r="BE24" s="65">
        <f t="shared" si="22"/>
        <v>38.888888888888893</v>
      </c>
      <c r="BF24" s="66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3.7435781327769657</v>
      </c>
      <c r="BG24" s="38">
        <f t="shared" si="23"/>
        <v>0.1111111111111111</v>
      </c>
      <c r="BH24" s="38">
        <f t="shared" si="24"/>
        <v>0.22222222222222221</v>
      </c>
      <c r="BI24" s="67">
        <f>IFERROR(((AG24*(12000/5))/((F24*60+G24)*(SUMIFS(팀공격력!X:X,팀공격력!A:A,B24,팀공격력!B:B,D24)+SUMIFS(팀수비력!X:X,팀수비력!A:A,B24,팀수비력!B:B,D24))))*100,"")</f>
        <v>1.4656242414249532</v>
      </c>
      <c r="BJ24" s="67">
        <f>IFERROR(((AI24*(12000/5))/((F24*60+G24)*(SUMIFS(팀공격력!V:V,팀공격력!A:A,B24,팀공격력!B:B,D24)+SUMIFS(팀수비력!W:W,팀수비력!A:A,B24,팀수비력!B:B,D24))))*100,"")</f>
        <v>0.36400036400036401</v>
      </c>
      <c r="BK24" s="67">
        <f>IFERROR(((AE24*(12000/5))/((F24*60+G24)*(SUMIFS(팀공격력!X:X,팀공격력!A:A,B24,팀공격력!B:B,D24)+SUMIFS(팀수비력!X:X,팀수비력!A:A,B24,팀수비력!B:B,D24))))*100,"")</f>
        <v>1.6488272716030723</v>
      </c>
      <c r="BL24" s="67">
        <f>IFERROR(100*AK24/(((((F24*60+G24)/(12000/5))*SUMIFS(팀공격력!P:P,팀공격력!A:A,B24,팀공격력!B:B,D24))-K24)),"")</f>
        <v>0.95488183337312005</v>
      </c>
      <c r="BM24" s="67">
        <f>IFERROR(100*((AM24/E24*(2400))/((F24*60+G24)*SUMIFS(팀공격력!AR:AR,팀공격력!A:A,B24,팀공격력!B:B,D24))),"")</f>
        <v>0.70921741475631361</v>
      </c>
      <c r="BN24" s="67">
        <f>IFERROR((AO24*40)/(((F24*60+G24)/60)*(SUMIFS(팀수비력!Q:Q,팀수비력!A:A,B24,팀수비력!B:B,D24)-SUMIFS(팀수비력!N:N,팀수비력!A:A,B24,팀수비력!B:B,D24)))*100,"")</f>
        <v>0.65490297203155001</v>
      </c>
      <c r="BO24" s="67">
        <f t="shared" si="25"/>
        <v>16.835016835016834</v>
      </c>
      <c r="BP24" s="19"/>
      <c r="BQ24" s="19"/>
      <c r="BR24" s="19"/>
      <c r="BS24" s="19"/>
      <c r="BT24" s="20" t="s">
        <v>89</v>
      </c>
      <c r="BU24" s="21">
        <v>150000</v>
      </c>
      <c r="BV24" s="11" t="s">
        <v>102</v>
      </c>
      <c r="BW24" s="31">
        <v>36.020000000000003</v>
      </c>
      <c r="BX24" s="31">
        <v>54.42</v>
      </c>
      <c r="BY24" s="31">
        <v>18.399999999999999</v>
      </c>
      <c r="BZ24" s="35">
        <f t="shared" ref="BZ24:BZ32" si="33">CA24-CB24</f>
        <v>2.572857142857143</v>
      </c>
      <c r="CA24" s="35">
        <f t="shared" ref="CA24:CA32" si="34">BX24/$E24</f>
        <v>3.8871428571428575</v>
      </c>
      <c r="CB24" s="35">
        <f t="shared" ref="CB24:CB32" si="35">BY24/$E24</f>
        <v>1.3142857142857143</v>
      </c>
      <c r="CC24" s="36">
        <f t="shared" ref="CC24:CC32" si="36">CD24-CE24</f>
        <v>18.543114543114541</v>
      </c>
      <c r="CD24" s="36">
        <f t="shared" ref="CD24:CD32" si="37">BX24*2400/$H24</f>
        <v>28.015444015444015</v>
      </c>
      <c r="CE24" s="36">
        <f t="shared" ref="CE24:CE32" si="38">BY24*2400/$H24</f>
        <v>9.4723294723294718</v>
      </c>
      <c r="CF24" s="31">
        <v>5</v>
      </c>
      <c r="CG24" s="31">
        <v>9</v>
      </c>
    </row>
    <row r="25" spans="1:85" x14ac:dyDescent="0.4">
      <c r="A25" s="11" t="s">
        <v>85</v>
      </c>
      <c r="B25" s="11" t="s">
        <v>99</v>
      </c>
      <c r="C25" s="11" t="s">
        <v>119</v>
      </c>
      <c r="D25" s="46" t="s">
        <v>88</v>
      </c>
      <c r="E25" s="15">
        <v>36</v>
      </c>
      <c r="F25" s="15">
        <v>18</v>
      </c>
      <c r="G25" s="15">
        <v>39</v>
      </c>
      <c r="H25" s="16">
        <f t="shared" si="0"/>
        <v>40284</v>
      </c>
      <c r="I25" s="16">
        <v>168</v>
      </c>
      <c r="J25" s="17">
        <f t="shared" si="1"/>
        <v>4.666666666666667</v>
      </c>
      <c r="K25" s="15">
        <v>60</v>
      </c>
      <c r="L25" s="15">
        <v>163</v>
      </c>
      <c r="M25" s="17">
        <f t="shared" si="2"/>
        <v>1.6666666666666667</v>
      </c>
      <c r="N25" s="17">
        <f t="shared" si="3"/>
        <v>4.5277777777777777</v>
      </c>
      <c r="O25" s="18">
        <f t="shared" si="4"/>
        <v>0.36809815950920244</v>
      </c>
      <c r="P25" s="16">
        <v>28</v>
      </c>
      <c r="Q25" s="15">
        <v>60</v>
      </c>
      <c r="R25" s="17">
        <f t="shared" si="5"/>
        <v>0.77777777777777779</v>
      </c>
      <c r="S25" s="17">
        <f t="shared" si="6"/>
        <v>1.6666666666666667</v>
      </c>
      <c r="T25" s="18">
        <f t="shared" si="7"/>
        <v>0.46666666666666667</v>
      </c>
      <c r="U25" s="15">
        <v>32</v>
      </c>
      <c r="V25" s="15">
        <v>103</v>
      </c>
      <c r="W25" s="17">
        <f t="shared" si="8"/>
        <v>0.88888888888888884</v>
      </c>
      <c r="X25" s="17">
        <f t="shared" si="9"/>
        <v>2.8611111111111112</v>
      </c>
      <c r="Y25" s="18">
        <f t="shared" si="10"/>
        <v>0.31067961165048541</v>
      </c>
      <c r="Z25" s="15">
        <v>16</v>
      </c>
      <c r="AA25" s="15">
        <v>27</v>
      </c>
      <c r="AB25" s="17">
        <f t="shared" si="11"/>
        <v>0.44444444444444442</v>
      </c>
      <c r="AC25" s="17">
        <f t="shared" si="12"/>
        <v>0.75</v>
      </c>
      <c r="AD25" s="18">
        <f t="shared" si="13"/>
        <v>0.59259259259259256</v>
      </c>
      <c r="AE25" s="15">
        <v>100</v>
      </c>
      <c r="AF25" s="17">
        <f t="shared" si="14"/>
        <v>2.7777777777777777</v>
      </c>
      <c r="AG25" s="15">
        <v>38</v>
      </c>
      <c r="AH25" s="17">
        <f t="shared" si="15"/>
        <v>1.0555555555555556</v>
      </c>
      <c r="AI25" s="15">
        <v>62</v>
      </c>
      <c r="AJ25" s="17">
        <f t="shared" si="16"/>
        <v>1.7222222222222223</v>
      </c>
      <c r="AK25" s="15">
        <v>38</v>
      </c>
      <c r="AL25" s="17">
        <f t="shared" si="17"/>
        <v>1.0555555555555556</v>
      </c>
      <c r="AM25" s="15">
        <v>12</v>
      </c>
      <c r="AN25" s="17">
        <f t="shared" si="18"/>
        <v>0.33333333333333331</v>
      </c>
      <c r="AO25" s="15">
        <v>2</v>
      </c>
      <c r="AP25" s="17">
        <f t="shared" si="26"/>
        <v>5.5555555555555552E-2</v>
      </c>
      <c r="AQ25" s="4">
        <v>16</v>
      </c>
      <c r="AR25" s="17">
        <f t="shared" si="19"/>
        <v>0.44444444444444442</v>
      </c>
      <c r="AS25" s="15">
        <v>83</v>
      </c>
      <c r="AT25" s="17">
        <f t="shared" si="20"/>
        <v>2.3055555555555554</v>
      </c>
      <c r="AU25" s="19">
        <v>5.4187999403060468E-2</v>
      </c>
      <c r="AV25" s="19">
        <v>3.2283586179958578E-3</v>
      </c>
      <c r="AW25" s="19">
        <v>0.174974810321324</v>
      </c>
      <c r="AX25" s="19">
        <v>-0.1207868109182635</v>
      </c>
      <c r="AY25" s="19">
        <v>105.3908129633398</v>
      </c>
      <c r="AZ25" s="19">
        <v>121.2886200696184</v>
      </c>
      <c r="BA25" s="19">
        <v>3.444871757708682</v>
      </c>
      <c r="BB25" s="19">
        <v>5.2777777777777777</v>
      </c>
      <c r="BC25" s="19">
        <v>11.31963062257968</v>
      </c>
      <c r="BD25" s="65">
        <f t="shared" si="21"/>
        <v>48.032936870997254</v>
      </c>
      <c r="BE25" s="65">
        <f t="shared" si="22"/>
        <v>46.625766871165638</v>
      </c>
      <c r="BF25" s="66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8.9498352077833552</v>
      </c>
      <c r="BG25" s="38">
        <f t="shared" si="23"/>
        <v>0.63190184049079756</v>
      </c>
      <c r="BH25" s="38">
        <f t="shared" si="24"/>
        <v>0.16564417177914109</v>
      </c>
      <c r="BI25" s="67">
        <f>IFERROR(((AG25*(12000/5))/((F25*60+G25)*(SUMIFS(팀공격력!X:X,팀공격력!A:A,B25,팀공격력!B:B,D25)+SUMIFS(팀수비력!X:X,팀수비력!A:A,B25,팀수비력!B:B,D25))))*100,"")</f>
        <v>2.0717168399230741</v>
      </c>
      <c r="BJ25" s="67">
        <f>IFERROR(((AI25*(12000/5))/((F25*60+G25)*(SUMIFS(팀공격력!V:V,팀공격력!A:A,B25,팀공격력!B:B,D25)+SUMIFS(팀수비력!W:W,팀수비력!A:A,B25,팀수비력!B:B,D25))))*100,"")</f>
        <v>6.7159530966501473</v>
      </c>
      <c r="BK25" s="67">
        <f>IFERROR(((AE25*(12000/5))/((F25*60+G25)*(SUMIFS(팀공격력!X:X,팀공격력!A:A,B25,팀공격력!B:B,D25)+SUMIFS(팀수비력!X:X,팀수비력!A:A,B25,팀수비력!B:B,D25))))*100,"")</f>
        <v>5.4518864208501947</v>
      </c>
      <c r="BL25" s="67">
        <f>IFERROR(100*AK25/(((((F25*60+G25)/(12000/5))*SUMIFS(팀공격력!P:P,팀공격력!A:A,B25,팀공격력!B:B,D25))-K25)),"")</f>
        <v>5.6941634824305085</v>
      </c>
      <c r="BM25" s="67">
        <f>IFERROR(100*((AM25/E25*(2400))/((F25*60+G25)*SUMIFS(팀공격력!AR:AR,팀공격력!A:A,B25,팀공격력!B:B,D25))),"")</f>
        <v>0.98491855454093968</v>
      </c>
      <c r="BN25" s="67">
        <f>IFERROR((AO25*40)/(((F25*60+G25)/60)*(SUMIFS(팀수비력!Q:Q,팀수비력!A:A,B25,팀수비력!B:B,D25)-SUMIFS(팀수비력!N:N,팀수비력!A:A,B25,팀수비력!B:B,D25)))*100,"")</f>
        <v>0.194890696770783</v>
      </c>
      <c r="BO25" s="67">
        <f t="shared" si="25"/>
        <v>8.3822296730930432</v>
      </c>
      <c r="BP25" s="19"/>
      <c r="BQ25" s="19"/>
      <c r="BR25" s="19"/>
      <c r="BS25" s="19"/>
      <c r="BT25" s="20" t="s">
        <v>89</v>
      </c>
      <c r="BU25" s="21">
        <v>500000</v>
      </c>
      <c r="BV25" s="11" t="s">
        <v>93</v>
      </c>
      <c r="BW25" s="30">
        <v>401.62</v>
      </c>
      <c r="BX25" s="30">
        <v>530.32000000000005</v>
      </c>
      <c r="BY25" s="30">
        <v>128.69999999999999</v>
      </c>
      <c r="BZ25" s="35">
        <f t="shared" si="33"/>
        <v>11.156111111111112</v>
      </c>
      <c r="CA25" s="35">
        <f t="shared" si="34"/>
        <v>14.731111111111112</v>
      </c>
      <c r="CB25" s="35">
        <f t="shared" si="35"/>
        <v>3.5749999999999997</v>
      </c>
      <c r="CC25" s="36">
        <f t="shared" si="36"/>
        <v>23.92731605600239</v>
      </c>
      <c r="CD25" s="36">
        <f t="shared" si="37"/>
        <v>31.594876377718208</v>
      </c>
      <c r="CE25" s="36">
        <f t="shared" si="38"/>
        <v>7.6675603217158175</v>
      </c>
      <c r="CF25" s="31">
        <v>14</v>
      </c>
      <c r="CG25" s="31">
        <v>22</v>
      </c>
    </row>
    <row r="26" spans="1:85" x14ac:dyDescent="0.4">
      <c r="A26" s="11" t="s">
        <v>85</v>
      </c>
      <c r="B26" s="11" t="s">
        <v>99</v>
      </c>
      <c r="C26" s="11" t="s">
        <v>120</v>
      </c>
      <c r="D26" s="46" t="s">
        <v>88</v>
      </c>
      <c r="E26" s="15">
        <v>44</v>
      </c>
      <c r="F26" s="15">
        <v>31</v>
      </c>
      <c r="G26" s="15">
        <v>31</v>
      </c>
      <c r="H26" s="16">
        <f t="shared" si="0"/>
        <v>83204</v>
      </c>
      <c r="I26" s="16">
        <v>832</v>
      </c>
      <c r="J26" s="17">
        <f t="shared" si="1"/>
        <v>18.90909090909091</v>
      </c>
      <c r="K26" s="15">
        <v>332</v>
      </c>
      <c r="L26" s="15">
        <v>616</v>
      </c>
      <c r="M26" s="17">
        <f t="shared" si="2"/>
        <v>7.5454545454545459</v>
      </c>
      <c r="N26" s="17">
        <f t="shared" si="3"/>
        <v>14</v>
      </c>
      <c r="O26" s="18">
        <f t="shared" si="4"/>
        <v>0.53896103896103897</v>
      </c>
      <c r="P26" s="16">
        <v>305</v>
      </c>
      <c r="Q26" s="15">
        <v>525</v>
      </c>
      <c r="R26" s="17">
        <f t="shared" si="5"/>
        <v>6.9318181818181817</v>
      </c>
      <c r="S26" s="17">
        <f t="shared" si="6"/>
        <v>11.931818181818182</v>
      </c>
      <c r="T26" s="18">
        <f t="shared" si="7"/>
        <v>0.580952380952381</v>
      </c>
      <c r="U26" s="15">
        <v>27</v>
      </c>
      <c r="V26" s="15">
        <v>91</v>
      </c>
      <c r="W26" s="17">
        <f t="shared" si="8"/>
        <v>0.61363636363636365</v>
      </c>
      <c r="X26" s="17">
        <f t="shared" si="9"/>
        <v>2.0681818181818183</v>
      </c>
      <c r="Y26" s="18">
        <f t="shared" si="10"/>
        <v>0.2967032967032967</v>
      </c>
      <c r="Z26" s="15">
        <v>141</v>
      </c>
      <c r="AA26" s="15">
        <v>197</v>
      </c>
      <c r="AB26" s="17">
        <f t="shared" si="11"/>
        <v>3.2045454545454546</v>
      </c>
      <c r="AC26" s="17">
        <f t="shared" si="12"/>
        <v>4.4772727272727275</v>
      </c>
      <c r="AD26" s="18">
        <f t="shared" si="13"/>
        <v>0.71573604060913709</v>
      </c>
      <c r="AE26" s="15">
        <v>547</v>
      </c>
      <c r="AF26" s="17">
        <f t="shared" si="14"/>
        <v>12.431818181818182</v>
      </c>
      <c r="AG26" s="15">
        <v>146</v>
      </c>
      <c r="AH26" s="17">
        <f t="shared" si="15"/>
        <v>3.3181818181818183</v>
      </c>
      <c r="AI26" s="15">
        <v>401</v>
      </c>
      <c r="AJ26" s="17">
        <f t="shared" si="16"/>
        <v>9.1136363636363633</v>
      </c>
      <c r="AK26" s="15">
        <v>175</v>
      </c>
      <c r="AL26" s="17">
        <f t="shared" si="17"/>
        <v>3.9772727272727271</v>
      </c>
      <c r="AM26" s="15">
        <v>61</v>
      </c>
      <c r="AN26" s="17">
        <f t="shared" si="18"/>
        <v>1.3863636363636365</v>
      </c>
      <c r="AO26" s="15">
        <v>43</v>
      </c>
      <c r="AP26" s="17">
        <f t="shared" si="26"/>
        <v>0.97727272727272729</v>
      </c>
      <c r="AQ26" s="4">
        <v>147</v>
      </c>
      <c r="AR26" s="17">
        <f t="shared" si="19"/>
        <v>3.3409090909090908</v>
      </c>
      <c r="AS26" s="15">
        <v>126</v>
      </c>
      <c r="AT26" s="17">
        <f t="shared" si="20"/>
        <v>2.8636363636363638</v>
      </c>
      <c r="AU26" s="19">
        <v>3.720844804611239</v>
      </c>
      <c r="AV26" s="19">
        <v>0.10732690172427981</v>
      </c>
      <c r="AW26" s="19">
        <v>1.947398716081219</v>
      </c>
      <c r="AX26" s="19">
        <v>1.7734460885300209</v>
      </c>
      <c r="AY26" s="19">
        <v>110.5022357417767</v>
      </c>
      <c r="AZ26" s="19">
        <v>107.6190452241172</v>
      </c>
      <c r="BA26" s="19">
        <v>16.38503032788616</v>
      </c>
      <c r="BB26" s="19">
        <v>26.61363636363636</v>
      </c>
      <c r="BC26" s="19">
        <v>33.777222248930343</v>
      </c>
      <c r="BD26" s="65">
        <f t="shared" si="21"/>
        <v>59.20191267717879</v>
      </c>
      <c r="BE26" s="65">
        <f t="shared" si="22"/>
        <v>56.087662337662337</v>
      </c>
      <c r="BF26" s="66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23.574829797995186</v>
      </c>
      <c r="BG26" s="38">
        <f t="shared" si="23"/>
        <v>0.14772727272727273</v>
      </c>
      <c r="BH26" s="38">
        <f t="shared" si="24"/>
        <v>0.31980519480519481</v>
      </c>
      <c r="BI26" s="67">
        <f>IFERROR(((AG26*(12000/5))/((F26*60+G26)*(SUMIFS(팀공격력!X:X,팀공격력!A:A,B26,팀공격력!B:B,D26)+SUMIFS(팀수비력!X:X,팀수비력!A:A,B26,팀수비력!B:B,D26))))*100,"")</f>
        <v>4.7101876896878885</v>
      </c>
      <c r="BJ26" s="67">
        <f>IFERROR(((AI26*(12000/5))/((F26*60+G26)*(SUMIFS(팀공격력!V:V,팀공격력!A:A,B26,팀공격력!B:B,D26)+SUMIFS(팀수비력!W:W,팀수비력!A:A,B26,팀수비력!B:B,D26))))*100,"")</f>
        <v>25.703892441068536</v>
      </c>
      <c r="BK26" s="67">
        <f>IFERROR(((AE26*(12000/5))/((F26*60+G26)*(SUMIFS(팀공격력!X:X,팀공격력!A:A,B26,팀공격력!B:B,D26)+SUMIFS(팀수비력!X:X,팀수비력!A:A,B26,팀수비력!B:B,D26))))*100,"")</f>
        <v>17.647073056570374</v>
      </c>
      <c r="BL26" s="67">
        <f>IFERROR(100*AK26/(((((F26*60+G26)/(12000/5))*SUMIFS(팀공격력!P:P,팀공격력!A:A,B26,팀공격력!B:B,D26))-K26)),"")</f>
        <v>19.506214122499024</v>
      </c>
      <c r="BM26" s="67">
        <f>IFERROR(100*((AM26/E26*(2400))/((F26*60+G26)*SUMIFS(팀공격력!AR:AR,팀공격력!A:A,B26,팀공격력!B:B,D26))),"")</f>
        <v>2.4240260906113886</v>
      </c>
      <c r="BN26" s="67">
        <f>IFERROR((AO26*40)/(((F26*60+G26)/60)*(SUMIFS(팀수비력!Q:Q,팀수비력!A:A,B26,팀수비력!B:B,D26)-SUMIFS(팀수비력!N:N,팀수비력!A:A,B26,팀수비력!B:B,D26)))*100,"")</f>
        <v>2.4795229128820107</v>
      </c>
      <c r="BO26" s="67">
        <f t="shared" si="25"/>
        <v>17.300630825722624</v>
      </c>
      <c r="BP26" s="19"/>
      <c r="BQ26" s="19"/>
      <c r="BR26" s="19"/>
      <c r="BS26" s="19"/>
      <c r="BT26" s="20" t="s">
        <v>96</v>
      </c>
      <c r="BU26" s="21">
        <v>450000</v>
      </c>
      <c r="BV26" s="11" t="s">
        <v>102</v>
      </c>
      <c r="BW26" s="30">
        <v>1628.32</v>
      </c>
      <c r="BX26" s="30">
        <v>2171.2199999999998</v>
      </c>
      <c r="BY26" s="30">
        <v>542.9</v>
      </c>
      <c r="BZ26" s="35">
        <f t="shared" si="33"/>
        <v>37.007272727272728</v>
      </c>
      <c r="CA26" s="35">
        <f t="shared" si="34"/>
        <v>49.345909090909089</v>
      </c>
      <c r="CB26" s="35">
        <f t="shared" si="35"/>
        <v>12.338636363636363</v>
      </c>
      <c r="CC26" s="36">
        <f t="shared" si="36"/>
        <v>46.968511129272613</v>
      </c>
      <c r="CD26" s="36">
        <f t="shared" si="37"/>
        <v>62.628335176193438</v>
      </c>
      <c r="CE26" s="36">
        <f t="shared" si="38"/>
        <v>15.659824046920821</v>
      </c>
      <c r="CF26" s="30">
        <v>16</v>
      </c>
      <c r="CG26" s="30">
        <v>28</v>
      </c>
    </row>
    <row r="27" spans="1:85" x14ac:dyDescent="0.4">
      <c r="A27" s="11" t="s">
        <v>85</v>
      </c>
      <c r="B27" s="11" t="s">
        <v>99</v>
      </c>
      <c r="C27" s="11" t="s">
        <v>121</v>
      </c>
      <c r="D27" s="46" t="s">
        <v>88</v>
      </c>
      <c r="E27" s="15">
        <v>43</v>
      </c>
      <c r="F27" s="15">
        <v>24</v>
      </c>
      <c r="G27" s="15">
        <v>15</v>
      </c>
      <c r="H27" s="16">
        <f t="shared" si="0"/>
        <v>62565</v>
      </c>
      <c r="I27" s="16">
        <v>310</v>
      </c>
      <c r="J27" s="17">
        <f t="shared" si="1"/>
        <v>7.2093023255813957</v>
      </c>
      <c r="K27" s="15">
        <v>109</v>
      </c>
      <c r="L27" s="15">
        <v>303</v>
      </c>
      <c r="M27" s="17">
        <f t="shared" si="2"/>
        <v>2.5348837209302326</v>
      </c>
      <c r="N27" s="17">
        <f t="shared" si="3"/>
        <v>7.0465116279069768</v>
      </c>
      <c r="O27" s="18">
        <f t="shared" si="4"/>
        <v>0.35973597359735976</v>
      </c>
      <c r="P27" s="16">
        <v>51</v>
      </c>
      <c r="Q27" s="15">
        <v>105</v>
      </c>
      <c r="R27" s="17">
        <f t="shared" si="5"/>
        <v>1.1860465116279071</v>
      </c>
      <c r="S27" s="17">
        <f t="shared" si="6"/>
        <v>2.441860465116279</v>
      </c>
      <c r="T27" s="18">
        <f t="shared" si="7"/>
        <v>0.48571428571428571</v>
      </c>
      <c r="U27" s="15">
        <v>58</v>
      </c>
      <c r="V27" s="15">
        <v>198</v>
      </c>
      <c r="W27" s="17">
        <f t="shared" si="8"/>
        <v>1.3488372093023255</v>
      </c>
      <c r="X27" s="17">
        <f t="shared" si="9"/>
        <v>4.6046511627906979</v>
      </c>
      <c r="Y27" s="18">
        <f t="shared" si="10"/>
        <v>0.29292929292929293</v>
      </c>
      <c r="Z27" s="15">
        <v>34</v>
      </c>
      <c r="AA27" s="15">
        <v>47</v>
      </c>
      <c r="AB27" s="17">
        <f t="shared" si="11"/>
        <v>0.79069767441860461</v>
      </c>
      <c r="AC27" s="17">
        <f t="shared" si="12"/>
        <v>1.0930232558139534</v>
      </c>
      <c r="AD27" s="18">
        <f t="shared" si="13"/>
        <v>0.72340425531914898</v>
      </c>
      <c r="AE27" s="15">
        <v>87</v>
      </c>
      <c r="AF27" s="17">
        <f t="shared" si="14"/>
        <v>2.0232558139534884</v>
      </c>
      <c r="AG27" s="15">
        <v>22</v>
      </c>
      <c r="AH27" s="17">
        <f t="shared" si="15"/>
        <v>0.51162790697674421</v>
      </c>
      <c r="AI27" s="15">
        <v>65</v>
      </c>
      <c r="AJ27" s="17">
        <f t="shared" si="16"/>
        <v>1.5116279069767442</v>
      </c>
      <c r="AK27" s="15">
        <v>157</v>
      </c>
      <c r="AL27" s="17">
        <f t="shared" si="17"/>
        <v>3.6511627906976742</v>
      </c>
      <c r="AM27" s="15">
        <v>40</v>
      </c>
      <c r="AN27" s="17">
        <f t="shared" si="18"/>
        <v>0.93023255813953487</v>
      </c>
      <c r="AO27" s="15">
        <v>0</v>
      </c>
      <c r="AP27" s="17">
        <f t="shared" si="26"/>
        <v>0</v>
      </c>
      <c r="AQ27" s="4">
        <v>44</v>
      </c>
      <c r="AR27" s="17">
        <f t="shared" si="19"/>
        <v>1.0232558139534884</v>
      </c>
      <c r="AS27" s="15">
        <v>91</v>
      </c>
      <c r="AT27" s="17">
        <f t="shared" si="20"/>
        <v>2.1162790697674421</v>
      </c>
      <c r="AU27" s="19">
        <v>0.2771928643759648</v>
      </c>
      <c r="AV27" s="19">
        <v>1.063314751861769E-2</v>
      </c>
      <c r="AW27" s="19">
        <v>0.36772619453372629</v>
      </c>
      <c r="AX27" s="19">
        <v>-9.0533330157761521E-2</v>
      </c>
      <c r="AY27" s="19">
        <v>105.5880611600211</v>
      </c>
      <c r="AZ27" s="19">
        <v>120.4163911063615</v>
      </c>
      <c r="BA27" s="19">
        <v>6.2088055429429199</v>
      </c>
      <c r="BB27" s="19">
        <v>7.9767441860465116</v>
      </c>
      <c r="BC27" s="19">
        <v>13.1575161831695</v>
      </c>
      <c r="BD27" s="65">
        <f t="shared" si="21"/>
        <v>47.88680177953534</v>
      </c>
      <c r="BE27" s="65">
        <f t="shared" si="22"/>
        <v>45.544554455445549</v>
      </c>
      <c r="BF27" s="66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13.25841817421615</v>
      </c>
      <c r="BG27" s="38">
        <f t="shared" si="23"/>
        <v>0.65346534653465349</v>
      </c>
      <c r="BH27" s="38">
        <f t="shared" si="24"/>
        <v>0.15511551155115511</v>
      </c>
      <c r="BI27" s="67">
        <f>IFERROR(((AG27*(12000/5))/((F27*60+G27)*(SUMIFS(팀공격력!X:X,팀공격력!A:A,B27,팀공격력!B:B,D27)+SUMIFS(팀수비력!X:X,팀수비력!A:A,B27,팀수비력!B:B,D27))))*100,"")</f>
        <v>0.92243670040199377</v>
      </c>
      <c r="BJ27" s="67">
        <f>IFERROR(((AI27*(12000/5))/((F27*60+G27)*(SUMIFS(팀공격력!V:V,팀공격력!A:A,B27,팀공격력!B:B,D27)+SUMIFS(팀수비력!W:W,팀수비력!A:A,B27,팀수비력!B:B,D27))))*100,"")</f>
        <v>5.4149744871394363</v>
      </c>
      <c r="BK27" s="67">
        <f>IFERROR(((AE27*(12000/5))/((F27*60+G27)*(SUMIFS(팀공격력!X:X,팀공격력!A:A,B27,팀공격력!B:B,D27)+SUMIFS(팀수비력!X:X,팀수비력!A:A,B27,팀수비력!B:B,D27))))*100,"")</f>
        <v>3.6478178606806111</v>
      </c>
      <c r="BL27" s="67">
        <f>IFERROR(100*AK27/(((((F27*60+G27)/(12000/5))*SUMIFS(팀공격력!P:P,팀공격력!A:A,B27,팀공격력!B:B,D27))-K27)),"")</f>
        <v>18.76307140723036</v>
      </c>
      <c r="BM27" s="67">
        <f>IFERROR(100*((AM27/E27*(2400))/((F27*60+G27)*SUMIFS(팀공격력!AR:AR,팀공격력!A:A,B27,팀공격력!B:B,D27))),"")</f>
        <v>2.1138793815033545</v>
      </c>
      <c r="BN27" s="67">
        <f>IFERROR((AO27*40)/(((F27*60+G27)/60)*(SUMIFS(팀수비력!Q:Q,팀수비력!A:A,B27,팀수비력!B:B,D27)-SUMIFS(팀수비력!N:N,팀수비력!A:A,B27,팀수비력!B:B,D27)))*100,"")</f>
        <v>0</v>
      </c>
      <c r="BO27" s="67">
        <f t="shared" si="25"/>
        <v>11.966927763272411</v>
      </c>
      <c r="BP27" s="19"/>
      <c r="BQ27" s="19"/>
      <c r="BR27" s="19"/>
      <c r="BS27" s="19"/>
      <c r="BT27" s="20" t="s">
        <v>89</v>
      </c>
      <c r="BU27" s="20">
        <v>370000</v>
      </c>
      <c r="BV27" s="11" t="s">
        <v>90</v>
      </c>
      <c r="BW27">
        <v>701.32</v>
      </c>
      <c r="BX27">
        <v>957.72</v>
      </c>
      <c r="BY27">
        <v>256.39999999999998</v>
      </c>
      <c r="BZ27" s="35">
        <f t="shared" si="33"/>
        <v>16.309767441860465</v>
      </c>
      <c r="CA27" s="35">
        <f t="shared" si="34"/>
        <v>22.272558139534883</v>
      </c>
      <c r="CB27" s="35">
        <f t="shared" si="35"/>
        <v>5.9627906976744178</v>
      </c>
      <c r="CC27" s="36">
        <f t="shared" si="36"/>
        <v>26.902709182450252</v>
      </c>
      <c r="CD27" s="36">
        <f t="shared" si="37"/>
        <v>36.738240230160635</v>
      </c>
      <c r="CE27" s="36">
        <f t="shared" si="38"/>
        <v>9.835531047710381</v>
      </c>
      <c r="CF27">
        <v>15</v>
      </c>
      <c r="CG27">
        <v>28</v>
      </c>
    </row>
    <row r="28" spans="1:85" x14ac:dyDescent="0.4">
      <c r="A28" s="11" t="s">
        <v>85</v>
      </c>
      <c r="B28" s="11" t="s">
        <v>99</v>
      </c>
      <c r="C28" s="11" t="s">
        <v>122</v>
      </c>
      <c r="D28" s="46" t="s">
        <v>88</v>
      </c>
      <c r="E28" s="15">
        <v>35</v>
      </c>
      <c r="F28" s="15">
        <v>13</v>
      </c>
      <c r="G28" s="15">
        <v>53</v>
      </c>
      <c r="H28" s="16">
        <f t="shared" si="0"/>
        <v>29155</v>
      </c>
      <c r="I28" s="16">
        <v>98</v>
      </c>
      <c r="J28" s="17">
        <f t="shared" si="1"/>
        <v>2.8</v>
      </c>
      <c r="K28" s="15">
        <v>37</v>
      </c>
      <c r="L28" s="15">
        <v>86</v>
      </c>
      <c r="M28" s="17">
        <f t="shared" si="2"/>
        <v>1.0571428571428572</v>
      </c>
      <c r="N28" s="17">
        <f t="shared" si="3"/>
        <v>2.4571428571428573</v>
      </c>
      <c r="O28" s="18">
        <f t="shared" si="4"/>
        <v>0.43023255813953487</v>
      </c>
      <c r="P28" s="16">
        <v>20</v>
      </c>
      <c r="Q28" s="15">
        <v>41</v>
      </c>
      <c r="R28" s="17">
        <f t="shared" si="5"/>
        <v>0.5714285714285714</v>
      </c>
      <c r="S28" s="17">
        <f t="shared" si="6"/>
        <v>1.1714285714285715</v>
      </c>
      <c r="T28" s="18">
        <f t="shared" si="7"/>
        <v>0.48780487804878048</v>
      </c>
      <c r="U28" s="15">
        <v>17</v>
      </c>
      <c r="V28" s="15">
        <v>45</v>
      </c>
      <c r="W28" s="17">
        <f t="shared" si="8"/>
        <v>0.48571428571428571</v>
      </c>
      <c r="X28" s="17">
        <f t="shared" si="9"/>
        <v>1.2857142857142858</v>
      </c>
      <c r="Y28" s="18">
        <f t="shared" si="10"/>
        <v>0.37777777777777777</v>
      </c>
      <c r="Z28" s="15">
        <v>7</v>
      </c>
      <c r="AA28" s="15">
        <v>10</v>
      </c>
      <c r="AB28" s="17">
        <f t="shared" si="11"/>
        <v>0.2</v>
      </c>
      <c r="AC28" s="17">
        <f t="shared" si="12"/>
        <v>0.2857142857142857</v>
      </c>
      <c r="AD28" s="18">
        <f t="shared" si="13"/>
        <v>0.7</v>
      </c>
      <c r="AE28" s="15">
        <v>55</v>
      </c>
      <c r="AF28" s="17">
        <f t="shared" si="14"/>
        <v>1.5714285714285714</v>
      </c>
      <c r="AG28" s="15">
        <v>22</v>
      </c>
      <c r="AH28" s="17">
        <f t="shared" si="15"/>
        <v>0.62857142857142856</v>
      </c>
      <c r="AI28" s="15">
        <v>33</v>
      </c>
      <c r="AJ28" s="17">
        <f t="shared" si="16"/>
        <v>0.94285714285714284</v>
      </c>
      <c r="AK28" s="15">
        <v>16</v>
      </c>
      <c r="AL28" s="17">
        <f t="shared" si="17"/>
        <v>0.45714285714285713</v>
      </c>
      <c r="AM28" s="15">
        <v>9</v>
      </c>
      <c r="AN28" s="17">
        <f t="shared" si="18"/>
        <v>0.25714285714285712</v>
      </c>
      <c r="AO28" s="15">
        <v>2</v>
      </c>
      <c r="AP28" s="17">
        <f t="shared" si="26"/>
        <v>5.7142857142857141E-2</v>
      </c>
      <c r="AQ28" s="4">
        <v>14</v>
      </c>
      <c r="AR28" s="17">
        <f t="shared" si="19"/>
        <v>0.4</v>
      </c>
      <c r="AS28" s="15">
        <v>60</v>
      </c>
      <c r="AT28" s="17">
        <f t="shared" si="20"/>
        <v>1.7142857142857142</v>
      </c>
      <c r="AU28" s="19">
        <v>-1.3749455711570409E-2</v>
      </c>
      <c r="AV28" s="19">
        <v>-1.131836518873915E-3</v>
      </c>
      <c r="AW28" s="19">
        <v>0.1255506424686734</v>
      </c>
      <c r="AX28" s="19">
        <v>-0.1393000981802438</v>
      </c>
      <c r="AY28" s="19">
        <v>106.4996008923106</v>
      </c>
      <c r="AZ28" s="19">
        <v>122.2891400241589</v>
      </c>
      <c r="BA28" s="19">
        <v>2.4432293920370012</v>
      </c>
      <c r="BB28" s="19">
        <v>3.2571428571428571</v>
      </c>
      <c r="BC28" s="19">
        <v>9.3843251586348817</v>
      </c>
      <c r="BD28" s="65">
        <f t="shared" si="21"/>
        <v>54.203539823008853</v>
      </c>
      <c r="BE28" s="65">
        <f t="shared" si="22"/>
        <v>52.906976744186053</v>
      </c>
      <c r="BF28" s="66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6.5756728197146401</v>
      </c>
      <c r="BG28" s="38">
        <f t="shared" si="23"/>
        <v>0.52325581395348841</v>
      </c>
      <c r="BH28" s="38">
        <f t="shared" si="24"/>
        <v>0.11627906976744186</v>
      </c>
      <c r="BI28" s="67">
        <f>IFERROR(((AG28*(12000/5))/((F28*60+G28)*(SUMIFS(팀공격력!X:X,팀공격력!A:A,B28,팀공격력!B:B,D28)+SUMIFS(팀수비력!X:X,팀수비력!A:A,B28,팀수비력!B:B,D28))))*100,"")</f>
        <v>1.6112189664884764</v>
      </c>
      <c r="BJ28" s="67">
        <f>IFERROR(((AI28*(12000/5))/((F28*60+G28)*(SUMIFS(팀공격력!V:V,팀공격력!A:A,B28,팀공격력!B:B,D28)+SUMIFS(팀수비력!W:W,팀수비력!A:A,B28,팀수비력!B:B,D28))))*100,"")</f>
        <v>4.8019207683073235</v>
      </c>
      <c r="BK28" s="67">
        <f>IFERROR(((AE28*(12000/5))/((F28*60+G28)*(SUMIFS(팀공격력!X:X,팀공격력!A:A,B28,팀공격력!B:B,D28)+SUMIFS(팀수비력!X:X,팀수비력!A:A,B28,팀수비력!B:B,D28))))*100,"")</f>
        <v>4.0280474162211908</v>
      </c>
      <c r="BL28" s="67">
        <f>IFERROR(100*AK28/(((((F28*60+G28)/(12000/5))*SUMIFS(팀공격력!P:P,팀공격력!A:A,B28,팀공격력!B:B,D28))-K28)),"")</f>
        <v>3.1717712359996031</v>
      </c>
      <c r="BM28" s="67">
        <f>IFERROR(100*((AM28/E28*(2400))/((F28*60+G28)*SUMIFS(팀공격력!AR:AR,팀공격력!A:A,B28,팀공격력!B:B,D28))),"")</f>
        <v>1.0206600681991223</v>
      </c>
      <c r="BN28" s="67">
        <f>IFERROR((AO28*40)/(((F28*60+G28)/60)*(SUMIFS(팀수비력!Q:Q,팀수비력!A:A,B28,팀수비력!B:B,D28)-SUMIFS(팀수비력!N:N,팀수비력!A:A,B28,팀수비력!B:B,D28)))*100,"")</f>
        <v>0.26180394920348876</v>
      </c>
      <c r="BO28" s="67">
        <f t="shared" si="25"/>
        <v>13.409961685823754</v>
      </c>
      <c r="BP28" s="19"/>
      <c r="BQ28" s="19"/>
      <c r="BR28" s="19"/>
      <c r="BS28" s="19"/>
      <c r="BT28" s="20" t="s">
        <v>89</v>
      </c>
      <c r="BU28" s="20"/>
      <c r="BV28" s="11" t="s">
        <v>93</v>
      </c>
      <c r="BW28" s="30">
        <v>253.91</v>
      </c>
      <c r="BX28" s="30">
        <v>323.51</v>
      </c>
      <c r="BY28" s="30">
        <v>69.599999999999994</v>
      </c>
      <c r="BZ28" s="35">
        <f t="shared" si="33"/>
        <v>7.2545714285714284</v>
      </c>
      <c r="CA28" s="35">
        <f t="shared" si="34"/>
        <v>9.2431428571428569</v>
      </c>
      <c r="CB28" s="35">
        <f t="shared" si="35"/>
        <v>1.9885714285714284</v>
      </c>
      <c r="CC28" s="36">
        <f t="shared" si="36"/>
        <v>20.901526324815638</v>
      </c>
      <c r="CD28" s="36">
        <f t="shared" si="37"/>
        <v>26.630903790087462</v>
      </c>
      <c r="CE28" s="36">
        <f t="shared" si="38"/>
        <v>5.7293774652718232</v>
      </c>
      <c r="CF28" s="30">
        <v>13</v>
      </c>
      <c r="CG28" s="30">
        <v>22</v>
      </c>
    </row>
    <row r="29" spans="1:85" x14ac:dyDescent="0.4">
      <c r="A29" s="11" t="s">
        <v>85</v>
      </c>
      <c r="B29" s="11" t="s">
        <v>123</v>
      </c>
      <c r="C29" s="11" t="s">
        <v>124</v>
      </c>
      <c r="D29" s="46" t="s">
        <v>88</v>
      </c>
      <c r="E29" s="15">
        <v>33</v>
      </c>
      <c r="F29" s="15">
        <v>22</v>
      </c>
      <c r="G29" s="15">
        <v>25</v>
      </c>
      <c r="H29" s="16">
        <f t="shared" si="0"/>
        <v>44385</v>
      </c>
      <c r="I29" s="16">
        <v>351</v>
      </c>
      <c r="J29" s="17">
        <f t="shared" si="1"/>
        <v>10.636363636363637</v>
      </c>
      <c r="K29" s="15">
        <v>123</v>
      </c>
      <c r="L29" s="15">
        <v>295</v>
      </c>
      <c r="M29" s="17">
        <f t="shared" si="2"/>
        <v>3.7272727272727271</v>
      </c>
      <c r="N29" s="17">
        <f t="shared" si="3"/>
        <v>8.9393939393939394</v>
      </c>
      <c r="O29" s="18">
        <f t="shared" si="4"/>
        <v>0.41694915254237286</v>
      </c>
      <c r="P29" s="16">
        <v>64</v>
      </c>
      <c r="Q29" s="15">
        <v>126</v>
      </c>
      <c r="R29" s="17">
        <f t="shared" si="5"/>
        <v>1.9393939393939394</v>
      </c>
      <c r="S29" s="17">
        <f t="shared" si="6"/>
        <v>3.8181818181818183</v>
      </c>
      <c r="T29" s="18">
        <f t="shared" si="7"/>
        <v>0.50793650793650791</v>
      </c>
      <c r="U29" s="15">
        <v>59</v>
      </c>
      <c r="V29" s="15">
        <v>169</v>
      </c>
      <c r="W29" s="17">
        <f t="shared" si="8"/>
        <v>1.7878787878787878</v>
      </c>
      <c r="X29" s="17">
        <f t="shared" si="9"/>
        <v>5.1212121212121211</v>
      </c>
      <c r="Y29" s="18">
        <f t="shared" si="10"/>
        <v>0.34911242603550297</v>
      </c>
      <c r="Z29" s="15">
        <v>46</v>
      </c>
      <c r="AA29" s="15">
        <v>56</v>
      </c>
      <c r="AB29" s="17">
        <f t="shared" si="11"/>
        <v>1.393939393939394</v>
      </c>
      <c r="AC29" s="17">
        <f t="shared" si="12"/>
        <v>1.696969696969697</v>
      </c>
      <c r="AD29" s="18">
        <f t="shared" si="13"/>
        <v>0.8214285714285714</v>
      </c>
      <c r="AE29" s="15">
        <v>70</v>
      </c>
      <c r="AF29" s="17">
        <f t="shared" si="14"/>
        <v>2.1212121212121211</v>
      </c>
      <c r="AG29" s="15">
        <v>20</v>
      </c>
      <c r="AH29" s="17">
        <f t="shared" si="15"/>
        <v>0.60606060606060608</v>
      </c>
      <c r="AI29" s="15">
        <v>50</v>
      </c>
      <c r="AJ29" s="17">
        <f t="shared" si="16"/>
        <v>1.5151515151515151</v>
      </c>
      <c r="AK29" s="15">
        <v>101</v>
      </c>
      <c r="AL29" s="17">
        <f t="shared" si="17"/>
        <v>3.0606060606060606</v>
      </c>
      <c r="AM29" s="15">
        <v>25</v>
      </c>
      <c r="AN29" s="17">
        <f t="shared" si="18"/>
        <v>0.75757575757575757</v>
      </c>
      <c r="AO29" s="15">
        <v>0</v>
      </c>
      <c r="AP29" s="17">
        <f t="shared" si="26"/>
        <v>0</v>
      </c>
      <c r="AQ29" s="4">
        <v>39</v>
      </c>
      <c r="AR29" s="17">
        <f t="shared" si="19"/>
        <v>1.1818181818181819</v>
      </c>
      <c r="AS29" s="15">
        <v>67</v>
      </c>
      <c r="AT29" s="17">
        <f t="shared" si="20"/>
        <v>2.0303030303030303</v>
      </c>
      <c r="AU29" s="19">
        <v>1.130039650774582</v>
      </c>
      <c r="AV29" s="19">
        <v>6.1103867564695193E-2</v>
      </c>
      <c r="AW29" s="19">
        <v>1.087447144444774</v>
      </c>
      <c r="AX29" s="19">
        <v>4.2592506329807503E-2</v>
      </c>
      <c r="AY29" s="19">
        <v>114.3030884094357</v>
      </c>
      <c r="AZ29" s="19">
        <v>119.0155035664672</v>
      </c>
      <c r="BA29" s="19">
        <v>6.9929633489175398</v>
      </c>
      <c r="BB29" s="19">
        <v>9.8787878787878789</v>
      </c>
      <c r="BC29" s="19">
        <v>17.627576884082458</v>
      </c>
      <c r="BD29" s="65">
        <f t="shared" si="21"/>
        <v>54.90551870854712</v>
      </c>
      <c r="BE29" s="65">
        <f t="shared" si="22"/>
        <v>51.694915254237287</v>
      </c>
      <c r="BF29" s="66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14.45240326009208</v>
      </c>
      <c r="BG29" s="38">
        <f t="shared" si="23"/>
        <v>0.57288135593220335</v>
      </c>
      <c r="BH29" s="38">
        <f t="shared" si="24"/>
        <v>0.18983050847457628</v>
      </c>
      <c r="BI29" s="67">
        <f>IFERROR(((AG29*(12000/5))/((F29*60+G29)*(SUMIFS(팀공격력!X:X,팀공격력!A:A,B29,팀공격력!B:B,D29)+SUMIFS(팀수비력!X:X,팀수비력!A:A,B29,팀수비력!B:B,D29))))*100,"")</f>
        <v>0.93915085110545871</v>
      </c>
      <c r="BJ29" s="67">
        <f>IFERROR(((AI29*(12000/5))/((F29*60+G29)*(SUMIFS(팀공격력!V:V,팀공격력!A:A,B29,팀공격력!B:B,D29)+SUMIFS(팀수비력!W:W,팀수비력!A:A,B29,팀수비력!B:B,D29))))*100,"")</f>
        <v>4.937428381572694</v>
      </c>
      <c r="BK29" s="67">
        <f>IFERROR(((AE29*(12000/5))/((F29*60+G29)*(SUMIFS(팀공격력!X:X,팀공격력!A:A,B29,팀공격력!B:B,D29)+SUMIFS(팀수비력!X:X,팀수비력!A:A,B29,팀수비력!B:B,D29))))*100,"")</f>
        <v>3.2870279788691059</v>
      </c>
      <c r="BL29" s="67">
        <f>IFERROR(100*AK29/(((((F29*60+G29)/(12000/5))*SUMIFS(팀공격력!P:P,팀공격력!A:A,B29,팀공격력!B:B,D29))-K29)),"")</f>
        <v>12.572059841760089</v>
      </c>
      <c r="BM29" s="67">
        <f>IFERROR(100*((AM29/E29*(2400))/((F29*60+G29)*SUMIFS(팀공격력!AR:AR,팀공격력!A:A,B29,팀공격력!B:B,D29))),"")</f>
        <v>1.9053138781119499</v>
      </c>
      <c r="BN29" s="67">
        <f>IFERROR((AO29*40)/(((F29*60+G29)/60)*(SUMIFS(팀수비력!Q:Q,팀수비력!A:A,B29,팀수비력!B:B,D29)-SUMIFS(팀수비력!N:N,팀수비력!A:A,B29,팀수비력!B:B,D29)))*100,"")</f>
        <v>0</v>
      </c>
      <c r="BO29" s="67">
        <f t="shared" si="25"/>
        <v>10.87441445460629</v>
      </c>
      <c r="BP29" s="19"/>
      <c r="BQ29" s="19"/>
      <c r="BR29" s="19"/>
      <c r="BS29" s="19"/>
      <c r="BT29" s="20" t="s">
        <v>89</v>
      </c>
      <c r="BU29" s="21">
        <v>40000</v>
      </c>
      <c r="BV29" s="30" t="s">
        <v>90</v>
      </c>
      <c r="BW29" s="30">
        <v>570.98</v>
      </c>
      <c r="BX29" s="30">
        <v>798.48</v>
      </c>
      <c r="BY29" s="30">
        <v>227.5</v>
      </c>
      <c r="BZ29" s="35">
        <f t="shared" si="33"/>
        <v>17.302424242424241</v>
      </c>
      <c r="CA29" s="35">
        <f t="shared" si="34"/>
        <v>24.196363636363635</v>
      </c>
      <c r="CB29" s="35">
        <f t="shared" si="35"/>
        <v>6.8939393939393936</v>
      </c>
      <c r="CC29" s="36">
        <f t="shared" si="36"/>
        <v>30.874214261574856</v>
      </c>
      <c r="CD29" s="36">
        <f t="shared" si="37"/>
        <v>43.175667455221358</v>
      </c>
      <c r="CE29" s="36">
        <f t="shared" si="38"/>
        <v>12.301453193646502</v>
      </c>
      <c r="CF29" s="31">
        <v>15</v>
      </c>
      <c r="CG29" s="31">
        <v>18</v>
      </c>
    </row>
    <row r="30" spans="1:85" x14ac:dyDescent="0.4">
      <c r="A30" s="11" t="s">
        <v>85</v>
      </c>
      <c r="B30" s="11" t="s">
        <v>123</v>
      </c>
      <c r="C30" s="11" t="s">
        <v>125</v>
      </c>
      <c r="D30" s="46" t="s">
        <v>88</v>
      </c>
      <c r="E30" s="15">
        <v>33</v>
      </c>
      <c r="F30" s="15">
        <v>8</v>
      </c>
      <c r="G30" s="15">
        <v>47</v>
      </c>
      <c r="H30" s="16">
        <f t="shared" si="0"/>
        <v>17391</v>
      </c>
      <c r="I30" s="16">
        <v>72</v>
      </c>
      <c r="J30" s="17">
        <f t="shared" si="1"/>
        <v>2.1818181818181817</v>
      </c>
      <c r="K30" s="15">
        <v>29</v>
      </c>
      <c r="L30" s="15">
        <v>54</v>
      </c>
      <c r="M30" s="17">
        <f t="shared" si="2"/>
        <v>0.87878787878787878</v>
      </c>
      <c r="N30" s="17">
        <f t="shared" si="3"/>
        <v>1.6363636363636365</v>
      </c>
      <c r="O30" s="18">
        <f t="shared" si="4"/>
        <v>0.53703703703703709</v>
      </c>
      <c r="P30" s="16">
        <v>25</v>
      </c>
      <c r="Q30" s="15">
        <v>47</v>
      </c>
      <c r="R30" s="17">
        <f t="shared" si="5"/>
        <v>0.75757575757575757</v>
      </c>
      <c r="S30" s="17">
        <f t="shared" si="6"/>
        <v>1.4242424242424243</v>
      </c>
      <c r="T30" s="18">
        <f t="shared" si="7"/>
        <v>0.53191489361702127</v>
      </c>
      <c r="U30" s="15">
        <v>4</v>
      </c>
      <c r="V30" s="15">
        <v>7</v>
      </c>
      <c r="W30" s="17">
        <f t="shared" si="8"/>
        <v>0.12121212121212122</v>
      </c>
      <c r="X30" s="17">
        <f t="shared" si="9"/>
        <v>0.21212121212121213</v>
      </c>
      <c r="Y30" s="18">
        <f t="shared" si="10"/>
        <v>0.5714285714285714</v>
      </c>
      <c r="Z30" s="15">
        <v>10</v>
      </c>
      <c r="AA30" s="15">
        <v>14</v>
      </c>
      <c r="AB30" s="17">
        <f t="shared" si="11"/>
        <v>0.30303030303030304</v>
      </c>
      <c r="AC30" s="17">
        <f t="shared" si="12"/>
        <v>0.42424242424242425</v>
      </c>
      <c r="AD30" s="18">
        <f t="shared" si="13"/>
        <v>0.7142857142857143</v>
      </c>
      <c r="AE30" s="15">
        <v>44</v>
      </c>
      <c r="AF30" s="17">
        <f t="shared" si="14"/>
        <v>1.3333333333333333</v>
      </c>
      <c r="AG30" s="15">
        <v>17</v>
      </c>
      <c r="AH30" s="17">
        <f t="shared" si="15"/>
        <v>0.51515151515151514</v>
      </c>
      <c r="AI30" s="15">
        <v>27</v>
      </c>
      <c r="AJ30" s="17">
        <f t="shared" si="16"/>
        <v>0.81818181818181823</v>
      </c>
      <c r="AK30" s="15">
        <v>20</v>
      </c>
      <c r="AL30" s="17">
        <f t="shared" si="17"/>
        <v>0.60606060606060608</v>
      </c>
      <c r="AM30" s="15">
        <v>7</v>
      </c>
      <c r="AN30" s="17">
        <f t="shared" si="18"/>
        <v>0.21212121212121213</v>
      </c>
      <c r="AO30" s="15">
        <v>1</v>
      </c>
      <c r="AP30" s="17">
        <f t="shared" si="26"/>
        <v>3.0303030303030304E-2</v>
      </c>
      <c r="AQ30" s="4">
        <v>14</v>
      </c>
      <c r="AR30" s="17">
        <f t="shared" si="19"/>
        <v>0.42424242424242425</v>
      </c>
      <c r="AS30" s="15">
        <v>36</v>
      </c>
      <c r="AT30" s="17">
        <f t="shared" si="20"/>
        <v>1.0909090909090908</v>
      </c>
      <c r="AU30" s="19">
        <v>0.27157776225579111</v>
      </c>
      <c r="AV30" s="19">
        <v>3.7478387063072771E-2</v>
      </c>
      <c r="AW30" s="19">
        <v>0.24865468020512291</v>
      </c>
      <c r="AX30" s="19">
        <v>2.2923082050668179E-2</v>
      </c>
      <c r="AY30" s="19">
        <v>114.6053209164663</v>
      </c>
      <c r="AZ30" s="19">
        <v>118.79609940124951</v>
      </c>
      <c r="BA30" s="19">
        <v>4.0050348964437488</v>
      </c>
      <c r="BB30" s="19">
        <v>3.060606060606061</v>
      </c>
      <c r="BC30" s="19">
        <v>13.93824391926859</v>
      </c>
      <c r="BD30" s="65">
        <f t="shared" si="21"/>
        <v>59.840425531914896</v>
      </c>
      <c r="BE30" s="65">
        <f t="shared" si="22"/>
        <v>57.407407407407405</v>
      </c>
      <c r="BF30" s="66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7.6271578655065486</v>
      </c>
      <c r="BG30" s="38">
        <f t="shared" si="23"/>
        <v>0.12962962962962962</v>
      </c>
      <c r="BH30" s="38">
        <f t="shared" si="24"/>
        <v>0.25925925925925924</v>
      </c>
      <c r="BI30" s="67">
        <f>IFERROR(((AG30*(12000/5))/((F30*60+G30)*(SUMIFS(팀공격력!X:X,팀공격력!A:A,B30,팀공격력!B:B,D30)+SUMIFS(팀수비력!X:X,팀수비력!A:A,B30,팀수비력!B:B,D30))))*100,"")</f>
        <v>2.037351443123939</v>
      </c>
      <c r="BJ30" s="67">
        <f>IFERROR(((AI30*(12000/5))/((F30*60+G30)*(SUMIFS(팀공격력!V:V,팀공격력!A:A,B30,팀공격력!B:B,D30)+SUMIFS(팀수비력!W:W,팀수비력!A:A,B30,팀수비력!B:B,D30))))*100,"")</f>
        <v>6.804656989632349</v>
      </c>
      <c r="BK30" s="67">
        <f>IFERROR(((AE30*(12000/5))/((F30*60+G30)*(SUMIFS(팀공격력!X:X,팀공격력!A:A,B30,팀공격력!B:B,D30)+SUMIFS(팀수비력!X:X,팀수비력!A:A,B30,팀수비력!B:B,D30))))*100,"")</f>
        <v>5.2731449116149003</v>
      </c>
      <c r="BL30" s="67">
        <f>IFERROR(100*AK30/(((((F30*60+G30)/(12000/5))*SUMIFS(팀공격력!P:P,팀공격력!A:A,B30,팀공격력!B:B,D30))-K30)),"")</f>
        <v>5.9885394326607457</v>
      </c>
      <c r="BM30" s="67">
        <f>IFERROR(100*((AM30/E30*(2400))/((F30*60+G30)*SUMIFS(팀공격력!AR:AR,팀공격력!A:A,B30,팀공격력!B:B,D30))),"")</f>
        <v>1.3615582665976476</v>
      </c>
      <c r="BN30" s="67">
        <f>IFERROR((AO30*40)/(((F30*60+G30)/60)*(SUMIFS(팀수비력!Q:Q,팀수비력!A:A,B30,팀수비력!B:B,D30)-SUMIFS(팀수비력!N:N,팀수비력!A:A,B30,팀수비력!B:B,D30)))*100,"")</f>
        <v>0.21025298690649524</v>
      </c>
      <c r="BO30" s="67">
        <f t="shared" si="25"/>
        <v>18.878101402373247</v>
      </c>
      <c r="BP30" s="19"/>
      <c r="BQ30" s="19"/>
      <c r="BR30" s="19"/>
      <c r="BS30" s="19"/>
      <c r="BT30" s="20" t="s">
        <v>89</v>
      </c>
      <c r="BU30" s="21">
        <v>40000</v>
      </c>
      <c r="BV30" s="31" t="s">
        <v>102</v>
      </c>
      <c r="BW30" s="31">
        <v>186.06</v>
      </c>
      <c r="BX30" s="31">
        <v>234.96</v>
      </c>
      <c r="BY30" s="31">
        <v>48.9</v>
      </c>
      <c r="BZ30" s="35">
        <f t="shared" si="33"/>
        <v>5.6381818181818186</v>
      </c>
      <c r="CA30" s="35">
        <f t="shared" si="34"/>
        <v>7.12</v>
      </c>
      <c r="CB30" s="35">
        <f t="shared" si="35"/>
        <v>1.4818181818181817</v>
      </c>
      <c r="CC30" s="36">
        <f t="shared" si="36"/>
        <v>25.676729342763494</v>
      </c>
      <c r="CD30" s="36">
        <f t="shared" si="37"/>
        <v>32.425047438330168</v>
      </c>
      <c r="CE30" s="36">
        <f t="shared" si="38"/>
        <v>6.7483180955666722</v>
      </c>
      <c r="CF30" s="30">
        <v>14</v>
      </c>
      <c r="CG30" s="30">
        <v>19</v>
      </c>
    </row>
    <row r="31" spans="1:85" x14ac:dyDescent="0.4">
      <c r="A31" s="11" t="s">
        <v>85</v>
      </c>
      <c r="B31" s="11" t="s">
        <v>123</v>
      </c>
      <c r="C31" s="11" t="s">
        <v>126</v>
      </c>
      <c r="D31" s="46" t="s">
        <v>88</v>
      </c>
      <c r="E31" s="15">
        <v>5</v>
      </c>
      <c r="F31" s="15">
        <v>2</v>
      </c>
      <c r="G31" s="15">
        <v>10</v>
      </c>
      <c r="H31" s="16">
        <f t="shared" si="0"/>
        <v>650</v>
      </c>
      <c r="I31" s="16">
        <v>3</v>
      </c>
      <c r="J31" s="17">
        <f t="shared" si="1"/>
        <v>0.6</v>
      </c>
      <c r="K31" s="15">
        <v>1</v>
      </c>
      <c r="L31" s="15">
        <v>3</v>
      </c>
      <c r="M31" s="17">
        <f t="shared" si="2"/>
        <v>0.2</v>
      </c>
      <c r="N31" s="17">
        <f t="shared" si="3"/>
        <v>0.6</v>
      </c>
      <c r="O31" s="18">
        <f t="shared" si="4"/>
        <v>0.33333333333333331</v>
      </c>
      <c r="P31" s="16">
        <v>0</v>
      </c>
      <c r="Q31" s="15">
        <v>0</v>
      </c>
      <c r="R31" s="17">
        <f t="shared" si="5"/>
        <v>0</v>
      </c>
      <c r="S31" s="17">
        <f t="shared" si="6"/>
        <v>0</v>
      </c>
      <c r="T31" s="18" t="e">
        <f t="shared" si="7"/>
        <v>#DIV/0!</v>
      </c>
      <c r="U31" s="15">
        <v>1</v>
      </c>
      <c r="V31" s="15">
        <v>3</v>
      </c>
      <c r="W31" s="17">
        <f t="shared" si="8"/>
        <v>0.2</v>
      </c>
      <c r="X31" s="17">
        <f t="shared" si="9"/>
        <v>0.6</v>
      </c>
      <c r="Y31" s="18">
        <f t="shared" si="10"/>
        <v>0.33333333333333331</v>
      </c>
      <c r="Z31" s="15">
        <v>0</v>
      </c>
      <c r="AA31" s="15">
        <v>0</v>
      </c>
      <c r="AB31" s="17">
        <f t="shared" si="11"/>
        <v>0</v>
      </c>
      <c r="AC31" s="17">
        <f t="shared" si="12"/>
        <v>0</v>
      </c>
      <c r="AD31" s="18" t="e">
        <f t="shared" si="13"/>
        <v>#DIV/0!</v>
      </c>
      <c r="AE31" s="15">
        <v>0</v>
      </c>
      <c r="AF31" s="17">
        <f t="shared" si="14"/>
        <v>0</v>
      </c>
      <c r="AG31" s="15">
        <v>0</v>
      </c>
      <c r="AH31" s="17">
        <f t="shared" si="15"/>
        <v>0</v>
      </c>
      <c r="AI31" s="15">
        <v>0</v>
      </c>
      <c r="AJ31" s="17">
        <f t="shared" si="16"/>
        <v>0</v>
      </c>
      <c r="AK31" s="15">
        <v>0</v>
      </c>
      <c r="AL31" s="17">
        <f t="shared" si="17"/>
        <v>0</v>
      </c>
      <c r="AM31" s="15">
        <v>1</v>
      </c>
      <c r="AN31" s="17">
        <f t="shared" si="18"/>
        <v>0.2</v>
      </c>
      <c r="AO31" s="15">
        <v>0</v>
      </c>
      <c r="AP31" s="17">
        <f t="shared" si="26"/>
        <v>0</v>
      </c>
      <c r="AQ31" s="4">
        <v>0</v>
      </c>
      <c r="AR31" s="17">
        <f t="shared" si="19"/>
        <v>0</v>
      </c>
      <c r="AS31" s="15">
        <v>1</v>
      </c>
      <c r="AT31" s="17">
        <f t="shared" si="20"/>
        <v>0.2</v>
      </c>
      <c r="AU31" s="19">
        <v>7.6666101389807253E-3</v>
      </c>
      <c r="AV31" s="19">
        <v>2.8307483590082679E-2</v>
      </c>
      <c r="AW31" s="19">
        <v>2.4760970813806509E-3</v>
      </c>
      <c r="AX31" s="19">
        <v>5.1905130576000739E-3</v>
      </c>
      <c r="AY31" s="19">
        <v>105.8656673874883</v>
      </c>
      <c r="AZ31" s="19">
        <v>114.7155027287335</v>
      </c>
      <c r="BA31" s="19">
        <v>0.5495424763816692</v>
      </c>
      <c r="BB31" s="19">
        <v>0.4</v>
      </c>
      <c r="BC31" s="19">
        <v>7.3846153846153841</v>
      </c>
      <c r="BD31" s="65">
        <f t="shared" si="21"/>
        <v>50</v>
      </c>
      <c r="BE31" s="65">
        <f t="shared" si="22"/>
        <v>50</v>
      </c>
      <c r="BF31" s="66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1.2507817385866167</v>
      </c>
      <c r="BG31" s="38">
        <f t="shared" si="23"/>
        <v>1</v>
      </c>
      <c r="BH31" s="38">
        <f t="shared" si="24"/>
        <v>0</v>
      </c>
      <c r="BI31" s="67">
        <f>IFERROR(((AG31*(12000/5))/((F31*60+G31)*(SUMIFS(팀공격력!X:X,팀공격력!A:A,B31,팀공격력!B:B,D31)+SUMIFS(팀수비력!X:X,팀수비력!A:A,B31,팀수비력!B:B,D31))))*100,"")</f>
        <v>0</v>
      </c>
      <c r="BJ31" s="67">
        <f>IFERROR(((AI31*(12000/5))/((F31*60+G31)*(SUMIFS(팀공격력!V:V,팀공격력!A:A,B31,팀공격력!B:B,D31)+SUMIFS(팀수비력!W:W,팀수비력!A:A,B31,팀수비력!B:B,D31))))*100,"")</f>
        <v>0</v>
      </c>
      <c r="BK31" s="67">
        <f>IFERROR(((AE31*(12000/5))/((F31*60+G31)*(SUMIFS(팀공격력!X:X,팀공격력!A:A,B31,팀공격력!B:B,D31)+SUMIFS(팀수비력!X:X,팀수비력!A:A,B31,팀수비력!B:B,D31))))*100,"")</f>
        <v>0</v>
      </c>
      <c r="BL31" s="67">
        <f>IFERROR(100*AK31/(((((F31*60+G31)/(12000/5))*SUMIFS(팀공격력!P:P,팀공격력!A:A,B31,팀공격력!B:B,D31))-K31)),"")</f>
        <v>0</v>
      </c>
      <c r="BM31" s="67">
        <f>IFERROR(100*((AM31/E31*(2400))/((F31*60+G31)*SUMIFS(팀공격력!AR:AR,팀공격력!A:A,B31,팀공격력!B:B,D31))),"")</f>
        <v>5.2041450141537782</v>
      </c>
      <c r="BN31" s="67">
        <f>IFERROR((AO31*40)/(((F31*60+G31)/60)*(SUMIFS(팀수비력!Q:Q,팀수비력!A:A,B31,팀수비력!B:B,D31)-SUMIFS(팀수비력!N:N,팀수비력!A:A,B31,팀수비력!B:B,D31)))*100,"")</f>
        <v>0</v>
      </c>
      <c r="BO31" s="67">
        <f t="shared" si="25"/>
        <v>0</v>
      </c>
      <c r="BP31" s="19"/>
      <c r="BQ31" s="19"/>
      <c r="BR31" s="19"/>
      <c r="BS31" s="19"/>
      <c r="BT31" s="20" t="s">
        <v>89</v>
      </c>
      <c r="BU31" s="21">
        <v>190000</v>
      </c>
      <c r="BV31" s="31" t="s">
        <v>93</v>
      </c>
      <c r="BW31" s="31">
        <v>4.91</v>
      </c>
      <c r="BX31" s="31">
        <v>6.71</v>
      </c>
      <c r="BY31" s="31">
        <v>1.8</v>
      </c>
      <c r="BZ31" s="35">
        <f t="shared" si="33"/>
        <v>0.9820000000000001</v>
      </c>
      <c r="CA31" s="35">
        <f t="shared" si="34"/>
        <v>1.3420000000000001</v>
      </c>
      <c r="CB31" s="35">
        <f t="shared" si="35"/>
        <v>0.36</v>
      </c>
      <c r="CC31" s="36">
        <f t="shared" si="36"/>
        <v>18.129230769230769</v>
      </c>
      <c r="CD31" s="36">
        <f t="shared" si="37"/>
        <v>24.775384615384617</v>
      </c>
      <c r="CE31" s="36">
        <f t="shared" si="38"/>
        <v>6.6461538461538465</v>
      </c>
      <c r="CF31" s="31">
        <v>1</v>
      </c>
      <c r="CG31" s="31">
        <v>4</v>
      </c>
    </row>
    <row r="32" spans="1:85" x14ac:dyDescent="0.4">
      <c r="A32" s="11" t="s">
        <v>85</v>
      </c>
      <c r="B32" s="11" t="s">
        <v>123</v>
      </c>
      <c r="C32" s="11" t="s">
        <v>127</v>
      </c>
      <c r="D32" s="46" t="s">
        <v>88</v>
      </c>
      <c r="E32" s="15">
        <v>2</v>
      </c>
      <c r="F32" s="15">
        <v>2</v>
      </c>
      <c r="G32" s="15">
        <v>11</v>
      </c>
      <c r="H32" s="16">
        <f t="shared" si="0"/>
        <v>262</v>
      </c>
      <c r="I32" s="16">
        <v>0</v>
      </c>
      <c r="J32" s="17">
        <f t="shared" si="1"/>
        <v>0</v>
      </c>
      <c r="K32" s="15">
        <v>0</v>
      </c>
      <c r="L32" s="15">
        <v>0</v>
      </c>
      <c r="M32" s="17">
        <f t="shared" si="2"/>
        <v>0</v>
      </c>
      <c r="N32" s="17">
        <f t="shared" si="3"/>
        <v>0</v>
      </c>
      <c r="O32" s="18" t="e">
        <f t="shared" si="4"/>
        <v>#DIV/0!</v>
      </c>
      <c r="P32" s="16">
        <v>0</v>
      </c>
      <c r="Q32" s="15">
        <v>0</v>
      </c>
      <c r="R32" s="17">
        <f t="shared" si="5"/>
        <v>0</v>
      </c>
      <c r="S32" s="17">
        <f t="shared" si="6"/>
        <v>0</v>
      </c>
      <c r="T32" s="18" t="e">
        <f t="shared" si="7"/>
        <v>#DIV/0!</v>
      </c>
      <c r="U32" s="15">
        <v>0</v>
      </c>
      <c r="V32" s="15">
        <v>0</v>
      </c>
      <c r="W32" s="17">
        <f t="shared" si="8"/>
        <v>0</v>
      </c>
      <c r="X32" s="17">
        <f t="shared" si="9"/>
        <v>0</v>
      </c>
      <c r="Y32" s="18" t="e">
        <f t="shared" si="10"/>
        <v>#DIV/0!</v>
      </c>
      <c r="Z32" s="15">
        <v>0</v>
      </c>
      <c r="AA32" s="15">
        <v>0</v>
      </c>
      <c r="AB32" s="17">
        <f t="shared" si="11"/>
        <v>0</v>
      </c>
      <c r="AC32" s="17">
        <f t="shared" si="12"/>
        <v>0</v>
      </c>
      <c r="AD32" s="18" t="e">
        <f t="shared" si="13"/>
        <v>#DIV/0!</v>
      </c>
      <c r="AE32" s="15">
        <v>0</v>
      </c>
      <c r="AF32" s="17">
        <f t="shared" si="14"/>
        <v>0</v>
      </c>
      <c r="AG32" s="15">
        <v>0</v>
      </c>
      <c r="AH32" s="17">
        <f t="shared" si="15"/>
        <v>0</v>
      </c>
      <c r="AI32" s="15">
        <v>0</v>
      </c>
      <c r="AJ32" s="17">
        <f t="shared" si="16"/>
        <v>0</v>
      </c>
      <c r="AK32" s="15">
        <v>0</v>
      </c>
      <c r="AL32" s="17">
        <f t="shared" si="17"/>
        <v>0</v>
      </c>
      <c r="AM32" s="15">
        <v>0</v>
      </c>
      <c r="AN32" s="17">
        <f t="shared" si="18"/>
        <v>0</v>
      </c>
      <c r="AO32" s="15">
        <v>0</v>
      </c>
      <c r="AP32" s="17">
        <f t="shared" si="26"/>
        <v>0</v>
      </c>
      <c r="AQ32" s="4">
        <v>0</v>
      </c>
      <c r="AR32" s="17">
        <f t="shared" si="19"/>
        <v>0</v>
      </c>
      <c r="AS32" s="15">
        <v>1</v>
      </c>
      <c r="AT32" s="17">
        <f t="shared" si="20"/>
        <v>0.5</v>
      </c>
      <c r="AU32" s="19">
        <v>-2.7357697550209532E-3</v>
      </c>
      <c r="AV32" s="19">
        <v>-2.5060486305535451E-2</v>
      </c>
      <c r="AW32" s="19">
        <v>0</v>
      </c>
      <c r="AX32" s="19">
        <v>-2.7357697550209532E-3</v>
      </c>
      <c r="AY32" s="19">
        <v>0</v>
      </c>
      <c r="AZ32" s="19">
        <v>125.9935647805647</v>
      </c>
      <c r="BA32" s="19">
        <v>-0.22403045995651011</v>
      </c>
      <c r="BB32" s="19">
        <v>0</v>
      </c>
      <c r="BC32" s="19">
        <v>0</v>
      </c>
      <c r="BD32" s="65" t="str">
        <f t="shared" si="21"/>
        <v/>
      </c>
      <c r="BE32" s="65" t="str">
        <f t="shared" si="22"/>
        <v/>
      </c>
      <c r="BF32" s="66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0</v>
      </c>
      <c r="BG32" s="38" t="str">
        <f t="shared" si="23"/>
        <v/>
      </c>
      <c r="BH32" s="38" t="str">
        <f t="shared" si="24"/>
        <v/>
      </c>
      <c r="BI32" s="67">
        <f>IFERROR(((AG32*(12000/5))/((F32*60+G32)*(SUMIFS(팀공격력!X:X,팀공격력!A:A,B32,팀공격력!B:B,D32)+SUMIFS(팀수비력!X:X,팀수비력!A:A,B32,팀수비력!B:B,D32))))*100,"")</f>
        <v>0</v>
      </c>
      <c r="BJ32" s="67">
        <f>IFERROR(((AI32*(12000/5))/((F32*60+G32)*(SUMIFS(팀공격력!V:V,팀공격력!A:A,B32,팀공격력!B:B,D32)+SUMIFS(팀수비력!W:W,팀수비력!A:A,B32,팀수비력!B:B,D32))))*100,"")</f>
        <v>0</v>
      </c>
      <c r="BK32" s="67">
        <f>IFERROR(((AE32*(12000/5))/((F32*60+G32)*(SUMIFS(팀공격력!X:X,팀공격력!A:A,B32,팀공격력!B:B,D32)+SUMIFS(팀수비력!X:X,팀수비력!A:A,B32,팀수비력!B:B,D32))))*100,"")</f>
        <v>0</v>
      </c>
      <c r="BL32" s="67">
        <f>IFERROR(100*AK32/(((((F32*60+G32)/(12000/5))*SUMIFS(팀공격력!P:P,팀공격력!A:A,B32,팀공격력!B:B,D32))-K32)),"")</f>
        <v>0</v>
      </c>
      <c r="BM32" s="67">
        <f>IFERROR(100*((AM32/E32*(2400))/((F32*60+G32)*SUMIFS(팀공격력!AR:AR,팀공격력!A:A,B32,팀공격력!B:B,D32))),"")</f>
        <v>0</v>
      </c>
      <c r="BN32" s="67">
        <f>IFERROR((AO32*40)/(((F32*60+G32)/60)*(SUMIFS(팀수비력!Q:Q,팀수비력!A:A,B32,팀수비력!B:B,D32)-SUMIFS(팀수비력!N:N,팀수비력!A:A,B32,팀수비력!B:B,D32)))*100,"")</f>
        <v>0</v>
      </c>
      <c r="BO32" s="67" t="str">
        <f t="shared" si="25"/>
        <v/>
      </c>
      <c r="BP32" s="19"/>
      <c r="BQ32" s="19"/>
      <c r="BR32" s="19"/>
      <c r="BS32" s="19"/>
      <c r="BT32" s="20" t="s">
        <v>89</v>
      </c>
      <c r="BU32" s="21">
        <v>40000</v>
      </c>
      <c r="BV32" s="31" t="s">
        <v>90</v>
      </c>
      <c r="BW32" s="31">
        <v>1.0900000000000001</v>
      </c>
      <c r="BX32" s="31">
        <v>1.0900000000000001</v>
      </c>
      <c r="BY32" s="31">
        <v>0</v>
      </c>
      <c r="BZ32" s="35">
        <f t="shared" si="33"/>
        <v>0.54500000000000004</v>
      </c>
      <c r="CA32" s="35">
        <f t="shared" si="34"/>
        <v>0.54500000000000004</v>
      </c>
      <c r="CB32" s="35">
        <f t="shared" si="35"/>
        <v>0</v>
      </c>
      <c r="CC32" s="36">
        <f t="shared" si="36"/>
        <v>9.9847328244274802</v>
      </c>
      <c r="CD32" s="36">
        <f t="shared" si="37"/>
        <v>9.9847328244274802</v>
      </c>
      <c r="CE32" s="36">
        <f t="shared" si="38"/>
        <v>0</v>
      </c>
      <c r="CF32" s="31">
        <v>1</v>
      </c>
      <c r="CG32" s="31">
        <v>1</v>
      </c>
    </row>
    <row r="33" spans="1:85" x14ac:dyDescent="0.4">
      <c r="A33" s="11" t="s">
        <v>85</v>
      </c>
      <c r="B33" s="11" t="s">
        <v>123</v>
      </c>
      <c r="C33" s="14" t="s">
        <v>95</v>
      </c>
      <c r="D33" s="46" t="s">
        <v>88</v>
      </c>
      <c r="E33" s="15">
        <v>40</v>
      </c>
      <c r="F33" s="15">
        <v>16</v>
      </c>
      <c r="G33" s="15">
        <v>44</v>
      </c>
      <c r="H33" s="16">
        <f t="shared" si="0"/>
        <v>40160</v>
      </c>
      <c r="I33" s="16">
        <v>367</v>
      </c>
      <c r="J33" s="17">
        <f t="shared" si="1"/>
        <v>9.1750000000000007</v>
      </c>
      <c r="K33" s="15">
        <v>164</v>
      </c>
      <c r="L33" s="15">
        <v>286</v>
      </c>
      <c r="M33" s="17">
        <f t="shared" si="2"/>
        <v>4.0999999999999996</v>
      </c>
      <c r="N33" s="17">
        <f t="shared" si="3"/>
        <v>7.15</v>
      </c>
      <c r="O33" s="18">
        <f t="shared" si="4"/>
        <v>0.57342657342657344</v>
      </c>
      <c r="P33" s="16">
        <v>163</v>
      </c>
      <c r="Q33" s="15">
        <v>275</v>
      </c>
      <c r="R33" s="17">
        <f t="shared" si="5"/>
        <v>4.0750000000000002</v>
      </c>
      <c r="S33" s="17">
        <f t="shared" si="6"/>
        <v>6.875</v>
      </c>
      <c r="T33" s="18">
        <f t="shared" si="7"/>
        <v>0.59272727272727277</v>
      </c>
      <c r="U33" s="15">
        <v>1</v>
      </c>
      <c r="V33" s="15">
        <v>11</v>
      </c>
      <c r="W33" s="17">
        <f t="shared" si="8"/>
        <v>2.5000000000000001E-2</v>
      </c>
      <c r="X33" s="17">
        <f t="shared" si="9"/>
        <v>0.27500000000000002</v>
      </c>
      <c r="Y33" s="18">
        <f t="shared" si="10"/>
        <v>9.0909090909090912E-2</v>
      </c>
      <c r="Z33" s="15">
        <v>38</v>
      </c>
      <c r="AA33" s="15">
        <v>75</v>
      </c>
      <c r="AB33" s="17">
        <f t="shared" si="11"/>
        <v>0.95</v>
      </c>
      <c r="AC33" s="17">
        <f t="shared" si="12"/>
        <v>1.875</v>
      </c>
      <c r="AD33" s="18">
        <f t="shared" si="13"/>
        <v>0.50666666666666671</v>
      </c>
      <c r="AE33" s="15">
        <v>189</v>
      </c>
      <c r="AF33" s="17">
        <f t="shared" si="14"/>
        <v>4.7249999999999996</v>
      </c>
      <c r="AG33" s="15">
        <v>63</v>
      </c>
      <c r="AH33" s="17">
        <f t="shared" si="15"/>
        <v>1.575</v>
      </c>
      <c r="AI33" s="15">
        <v>126</v>
      </c>
      <c r="AJ33" s="17">
        <f t="shared" si="16"/>
        <v>3.15</v>
      </c>
      <c r="AK33" s="15">
        <v>53</v>
      </c>
      <c r="AL33" s="17">
        <f t="shared" si="17"/>
        <v>1.325</v>
      </c>
      <c r="AM33" s="15">
        <v>36</v>
      </c>
      <c r="AN33" s="17">
        <f t="shared" si="18"/>
        <v>0.9</v>
      </c>
      <c r="AO33" s="15">
        <v>49</v>
      </c>
      <c r="AP33" s="17">
        <f t="shared" si="26"/>
        <v>1.2250000000000001</v>
      </c>
      <c r="AQ33" s="4">
        <v>57</v>
      </c>
      <c r="AR33" s="17">
        <f t="shared" si="19"/>
        <v>1.425</v>
      </c>
      <c r="AS33" s="15">
        <v>74</v>
      </c>
      <c r="AT33" s="17">
        <f t="shared" si="20"/>
        <v>1.85</v>
      </c>
      <c r="AU33" s="19">
        <v>1.4207234443906751</v>
      </c>
      <c r="AV33" s="19">
        <v>8.4903791497450712E-2</v>
      </c>
      <c r="AW33" s="19">
        <v>0.5956110282061059</v>
      </c>
      <c r="AX33" s="19">
        <v>0.82511241618456943</v>
      </c>
      <c r="AY33" s="19">
        <v>108.338207490909</v>
      </c>
      <c r="AZ33" s="19">
        <v>107.028257370226</v>
      </c>
      <c r="BA33" s="19">
        <v>13.16957894387498</v>
      </c>
      <c r="BB33" s="19">
        <v>11.95</v>
      </c>
      <c r="BC33" s="19">
        <v>28.56573705179283</v>
      </c>
      <c r="BD33" s="65">
        <f t="shared" si="21"/>
        <v>57.523510971786827</v>
      </c>
      <c r="BE33" s="65">
        <f t="shared" si="22"/>
        <v>57.51748251748252</v>
      </c>
      <c r="BF33" s="66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20.298210950236992</v>
      </c>
      <c r="BG33" s="38">
        <f t="shared" si="23"/>
        <v>3.8461538461538464E-2</v>
      </c>
      <c r="BH33" s="38">
        <f t="shared" si="24"/>
        <v>0.26223776223776224</v>
      </c>
      <c r="BI33" s="67">
        <f>IFERROR(((AG33*(12000/5))/((F33*60+G33)*(SUMIFS(팀공격력!X:X,팀공격력!A:A,B33,팀공격력!B:B,D33)+SUMIFS(팀수비력!X:X,팀수비력!A:A,B33,팀수비력!B:B,D33))))*100,"")</f>
        <v>3.963094988467184</v>
      </c>
      <c r="BJ33" s="67">
        <f>IFERROR(((AI33*(12000/5))/((F33*60+G33)*(SUMIFS(팀공격력!V:V,팀공격력!A:A,B33,팀공격력!B:B,D33)+SUMIFS(팀수비력!W:W,팀수비력!A:A,B33,팀수비력!B:B,D33))))*100,"")</f>
        <v>16.66824676942479</v>
      </c>
      <c r="BK33" s="67">
        <f>IFERROR(((AE33*(12000/5))/((F33*60+G33)*(SUMIFS(팀공격력!X:X,팀공격력!A:A,B33,팀공격력!B:B,D33)+SUMIFS(팀수비력!X:X,팀수비력!A:A,B33,팀수비력!B:B,D33))))*100,"")</f>
        <v>11.889284965401552</v>
      </c>
      <c r="BL33" s="67">
        <f>IFERROR(100*AK33/(((((F33*60+G33)/(12000/5))*SUMIFS(팀공격력!P:P,팀공격력!A:A,B33,팀공격력!B:B,D33))-K33)),"")</f>
        <v>10.047298129875546</v>
      </c>
      <c r="BM33" s="67">
        <f>IFERROR(100*((AM33/E33*(2400))/((F33*60+G33)*SUMIFS(팀공격력!AR:AR,팀공격력!A:A,B33,팀공격력!B:B,D33))),"")</f>
        <v>3.0322956506772512</v>
      </c>
      <c r="BN33" s="67">
        <f>IFERROR((AO33*40)/(((F33*60+G33)/60)*(SUMIFS(팀수비력!Q:Q,팀수비력!A:A,B33,팀수비력!B:B,D33)-SUMIFS(팀수비력!N:N,팀수비력!A:A,B33,팀수비력!B:B,D33)))*100,"")</f>
        <v>5.4077319530741299</v>
      </c>
      <c r="BO33" s="67">
        <f t="shared" si="25"/>
        <v>15.159574468085106</v>
      </c>
      <c r="BP33" s="19"/>
      <c r="BQ33" s="19"/>
      <c r="BR33" s="19"/>
      <c r="BS33" s="19"/>
      <c r="BT33" s="20" t="s">
        <v>96</v>
      </c>
      <c r="BU33" s="21">
        <v>48000</v>
      </c>
      <c r="BV33" s="30" t="s">
        <v>93</v>
      </c>
      <c r="BZ33" s="35"/>
      <c r="CA33" s="35"/>
      <c r="CB33" s="35"/>
      <c r="CC33" s="36"/>
      <c r="CD33" s="36"/>
      <c r="CE33" s="36"/>
      <c r="CF33" s="45">
        <v>19</v>
      </c>
      <c r="CG33" s="45">
        <v>21</v>
      </c>
    </row>
    <row r="34" spans="1:85" x14ac:dyDescent="0.4">
      <c r="A34" s="11" t="s">
        <v>85</v>
      </c>
      <c r="B34" s="11" t="s">
        <v>123</v>
      </c>
      <c r="C34" s="11" t="s">
        <v>128</v>
      </c>
      <c r="D34" s="46" t="s">
        <v>88</v>
      </c>
      <c r="E34" s="15">
        <v>35</v>
      </c>
      <c r="F34" s="15">
        <v>12</v>
      </c>
      <c r="G34" s="15">
        <v>39</v>
      </c>
      <c r="H34" s="16">
        <f t="shared" si="0"/>
        <v>26565</v>
      </c>
      <c r="I34" s="16">
        <v>76</v>
      </c>
      <c r="J34" s="17">
        <f t="shared" si="1"/>
        <v>2.1714285714285713</v>
      </c>
      <c r="K34" s="15">
        <v>27</v>
      </c>
      <c r="L34" s="15">
        <v>80</v>
      </c>
      <c r="M34" s="17">
        <f t="shared" si="2"/>
        <v>0.77142857142857146</v>
      </c>
      <c r="N34" s="17">
        <f t="shared" si="3"/>
        <v>2.2857142857142856</v>
      </c>
      <c r="O34" s="18">
        <f t="shared" si="4"/>
        <v>0.33750000000000002</v>
      </c>
      <c r="P34" s="16">
        <v>5</v>
      </c>
      <c r="Q34" s="15">
        <v>10</v>
      </c>
      <c r="R34" s="17">
        <f t="shared" si="5"/>
        <v>0.14285714285714285</v>
      </c>
      <c r="S34" s="17">
        <f t="shared" si="6"/>
        <v>0.2857142857142857</v>
      </c>
      <c r="T34" s="18">
        <f t="shared" si="7"/>
        <v>0.5</v>
      </c>
      <c r="U34" s="15">
        <v>22</v>
      </c>
      <c r="V34" s="15">
        <v>70</v>
      </c>
      <c r="W34" s="17">
        <f t="shared" si="8"/>
        <v>0.62857142857142856</v>
      </c>
      <c r="X34" s="17">
        <f t="shared" si="9"/>
        <v>2</v>
      </c>
      <c r="Y34" s="18">
        <f t="shared" si="10"/>
        <v>0.31428571428571428</v>
      </c>
      <c r="Z34" s="15">
        <v>0</v>
      </c>
      <c r="AA34" s="15">
        <v>0</v>
      </c>
      <c r="AB34" s="17">
        <f t="shared" si="11"/>
        <v>0</v>
      </c>
      <c r="AC34" s="17">
        <f t="shared" si="12"/>
        <v>0</v>
      </c>
      <c r="AD34" s="18" t="e">
        <f t="shared" si="13"/>
        <v>#DIV/0!</v>
      </c>
      <c r="AE34" s="15">
        <v>70</v>
      </c>
      <c r="AF34" s="17">
        <f t="shared" si="14"/>
        <v>2</v>
      </c>
      <c r="AG34" s="15">
        <v>28</v>
      </c>
      <c r="AH34" s="17">
        <f t="shared" si="15"/>
        <v>0.8</v>
      </c>
      <c r="AI34" s="15">
        <v>42</v>
      </c>
      <c r="AJ34" s="17">
        <f t="shared" si="16"/>
        <v>1.2</v>
      </c>
      <c r="AK34" s="15">
        <v>19</v>
      </c>
      <c r="AL34" s="17">
        <f t="shared" si="17"/>
        <v>0.54285714285714282</v>
      </c>
      <c r="AM34" s="15">
        <v>18</v>
      </c>
      <c r="AN34" s="17">
        <f t="shared" si="18"/>
        <v>0.51428571428571423</v>
      </c>
      <c r="AO34" s="15">
        <v>1</v>
      </c>
      <c r="AP34" s="17">
        <f t="shared" si="26"/>
        <v>2.8571428571428571E-2</v>
      </c>
      <c r="AQ34" s="4">
        <v>5</v>
      </c>
      <c r="AR34" s="17">
        <f t="shared" si="19"/>
        <v>0.14285714285714285</v>
      </c>
      <c r="AS34" s="15">
        <v>67</v>
      </c>
      <c r="AT34" s="17">
        <f t="shared" si="20"/>
        <v>1.9142857142857144</v>
      </c>
      <c r="AU34" s="19">
        <v>0.41912873563413178</v>
      </c>
      <c r="AV34" s="19">
        <v>3.7865950141988187E-2</v>
      </c>
      <c r="AW34" s="19">
        <v>0.29024772929319193</v>
      </c>
      <c r="AX34" s="19">
        <v>0.12888100634093991</v>
      </c>
      <c r="AY34" s="19">
        <v>115.17768425549281</v>
      </c>
      <c r="AZ34" s="19">
        <v>116.6335284701114</v>
      </c>
      <c r="BA34" s="19">
        <v>3.0075330204916839</v>
      </c>
      <c r="BB34" s="19">
        <v>3.6</v>
      </c>
      <c r="BC34" s="19">
        <v>11.38339920948617</v>
      </c>
      <c r="BD34" s="65">
        <f t="shared" si="21"/>
        <v>47.5</v>
      </c>
      <c r="BE34" s="65">
        <f t="shared" si="22"/>
        <v>47.5</v>
      </c>
      <c r="BF34" s="66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6.0698894208968444</v>
      </c>
      <c r="BG34" s="38">
        <f t="shared" si="23"/>
        <v>0.875</v>
      </c>
      <c r="BH34" s="38">
        <f t="shared" si="24"/>
        <v>0</v>
      </c>
      <c r="BI34" s="67">
        <f>IFERROR(((AG34*(12000/5))/((F34*60+G34)*(SUMIFS(팀공격력!X:X,팀공격력!A:A,B34,팀공격력!B:B,D34)+SUMIFS(팀수비력!X:X,팀수비력!A:A,B34,팀수비력!B:B,D34))))*100,"")</f>
        <v>2.3299355107135424</v>
      </c>
      <c r="BJ34" s="67">
        <f>IFERROR(((AI34*(12000/5))/((F34*60+G34)*(SUMIFS(팀공격력!V:V,팀공격력!A:A,B34,팀공격력!B:B,D34)+SUMIFS(팀수비력!W:W,팀수비력!A:A,B34,팀수비력!B:B,D34))))*100,"")</f>
        <v>7.3495475434793542</v>
      </c>
      <c r="BK34" s="67">
        <f>IFERROR(((AE34*(12000/5))/((F34*60+G34)*(SUMIFS(팀공격력!X:X,팀공격력!A:A,B34,팀공격력!B:B,D34)+SUMIFS(팀수비력!X:X,팀수비력!A:A,B34,팀수비력!B:B,D34))))*100,"")</f>
        <v>5.8248387767838565</v>
      </c>
      <c r="BL34" s="67">
        <f>IFERROR(100*AK34/(((((F34*60+G34)/(12000/5))*SUMIFS(팀공격력!P:P,팀공격력!A:A,B34,팀공격력!B:B,D34))-K34)),"")</f>
        <v>3.8324899334104883</v>
      </c>
      <c r="BM34" s="67">
        <f>IFERROR(100*((AM34/E34*(2400))/((F34*60+G34)*SUMIFS(팀공격력!AR:AR,팀공격력!A:A,B34,팀공격력!B:B,D34))),"")</f>
        <v>2.2920570926256052</v>
      </c>
      <c r="BN34" s="67">
        <f>IFERROR((AO34*40)/(((F34*60+G34)/60)*(SUMIFS(팀수비력!Q:Q,팀수비력!A:A,B34,팀수비력!B:B,D34)-SUMIFS(팀수비력!N:N,팀수비력!A:A,B34,팀수비력!B:B,D34)))*100,"")</f>
        <v>0.14598593425523448</v>
      </c>
      <c r="BO34" s="67">
        <f t="shared" si="25"/>
        <v>5.882352941176471</v>
      </c>
      <c r="BP34" s="19"/>
      <c r="BQ34" s="19"/>
      <c r="BR34" s="19"/>
      <c r="BS34" s="19"/>
      <c r="BT34" s="20" t="s">
        <v>89</v>
      </c>
      <c r="BU34" s="21">
        <v>40000</v>
      </c>
      <c r="BV34" s="30" t="s">
        <v>93</v>
      </c>
      <c r="BW34" s="30">
        <v>277.55</v>
      </c>
      <c r="BX34" s="30">
        <v>333.25</v>
      </c>
      <c r="BY34" s="30">
        <v>55.7</v>
      </c>
      <c r="BZ34" s="35">
        <f t="shared" ref="BZ34:BZ74" si="39">CA34-CB34</f>
        <v>7.9300000000000006</v>
      </c>
      <c r="CA34" s="35">
        <f t="shared" ref="CA34:CA74" si="40">BX34/$E34</f>
        <v>9.5214285714285722</v>
      </c>
      <c r="CB34" s="35">
        <f t="shared" ref="CB34:CB74" si="41">BY34/$E34</f>
        <v>1.5914285714285714</v>
      </c>
      <c r="CC34" s="36">
        <f t="shared" ref="CC34:CC74" si="42">CD34-CE34</f>
        <v>25.07509881422925</v>
      </c>
      <c r="CD34" s="36">
        <f t="shared" ref="CD34:CD74" si="43">BX34*2400/$H34</f>
        <v>30.107284020327498</v>
      </c>
      <c r="CE34" s="36">
        <f t="shared" ref="CE34:CE74" si="44">BY34*2400/$H34</f>
        <v>5.0321852060982497</v>
      </c>
      <c r="CF34" s="31">
        <v>11</v>
      </c>
      <c r="CG34" s="31">
        <v>24</v>
      </c>
    </row>
    <row r="35" spans="1:85" x14ac:dyDescent="0.4">
      <c r="A35" s="11" t="s">
        <v>85</v>
      </c>
      <c r="B35" s="11" t="s">
        <v>123</v>
      </c>
      <c r="C35" s="11" t="s">
        <v>129</v>
      </c>
      <c r="D35" s="46" t="s">
        <v>88</v>
      </c>
      <c r="E35" s="15">
        <v>39</v>
      </c>
      <c r="F35" s="15">
        <v>15</v>
      </c>
      <c r="G35" s="15">
        <v>48</v>
      </c>
      <c r="H35" s="16">
        <f t="shared" si="0"/>
        <v>36972</v>
      </c>
      <c r="I35" s="16">
        <v>149</v>
      </c>
      <c r="J35" s="17">
        <f t="shared" si="1"/>
        <v>3.8205128205128207</v>
      </c>
      <c r="K35" s="15">
        <v>56</v>
      </c>
      <c r="L35" s="15">
        <v>125</v>
      </c>
      <c r="M35" s="17">
        <f t="shared" si="2"/>
        <v>1.4358974358974359</v>
      </c>
      <c r="N35" s="17">
        <f t="shared" si="3"/>
        <v>3.2051282051282053</v>
      </c>
      <c r="O35" s="18">
        <f t="shared" si="4"/>
        <v>0.44800000000000001</v>
      </c>
      <c r="P35" s="16">
        <v>28</v>
      </c>
      <c r="Q35" s="15">
        <v>63</v>
      </c>
      <c r="R35" s="17">
        <f t="shared" si="5"/>
        <v>0.71794871794871795</v>
      </c>
      <c r="S35" s="17">
        <f t="shared" si="6"/>
        <v>1.6153846153846154</v>
      </c>
      <c r="T35" s="18">
        <f t="shared" si="7"/>
        <v>0.44444444444444442</v>
      </c>
      <c r="U35" s="15">
        <v>28</v>
      </c>
      <c r="V35" s="15">
        <v>62</v>
      </c>
      <c r="W35" s="17">
        <f t="shared" si="8"/>
        <v>0.71794871794871795</v>
      </c>
      <c r="X35" s="17">
        <f t="shared" si="9"/>
        <v>1.5897435897435896</v>
      </c>
      <c r="Y35" s="18">
        <f t="shared" si="10"/>
        <v>0.45161290322580644</v>
      </c>
      <c r="Z35" s="15">
        <v>9</v>
      </c>
      <c r="AA35" s="15">
        <v>18</v>
      </c>
      <c r="AB35" s="17">
        <f t="shared" si="11"/>
        <v>0.23076923076923078</v>
      </c>
      <c r="AC35" s="17">
        <f t="shared" si="12"/>
        <v>0.46153846153846156</v>
      </c>
      <c r="AD35" s="18">
        <f t="shared" si="13"/>
        <v>0.5</v>
      </c>
      <c r="AE35" s="15">
        <v>78</v>
      </c>
      <c r="AF35" s="17">
        <f t="shared" si="14"/>
        <v>2</v>
      </c>
      <c r="AG35" s="15">
        <v>21</v>
      </c>
      <c r="AH35" s="17">
        <f t="shared" si="15"/>
        <v>0.53846153846153844</v>
      </c>
      <c r="AI35" s="15">
        <v>57</v>
      </c>
      <c r="AJ35" s="17">
        <f t="shared" si="16"/>
        <v>1.4615384615384615</v>
      </c>
      <c r="AK35" s="15">
        <v>28</v>
      </c>
      <c r="AL35" s="17">
        <f t="shared" si="17"/>
        <v>0.71794871794871795</v>
      </c>
      <c r="AM35" s="15">
        <v>18</v>
      </c>
      <c r="AN35" s="17">
        <f t="shared" si="18"/>
        <v>0.46153846153846156</v>
      </c>
      <c r="AO35" s="15">
        <v>3</v>
      </c>
      <c r="AP35" s="17">
        <f t="shared" si="26"/>
        <v>7.6923076923076927E-2</v>
      </c>
      <c r="AQ35" s="4">
        <v>16</v>
      </c>
      <c r="AR35" s="17">
        <f t="shared" si="19"/>
        <v>0.41025641025641024</v>
      </c>
      <c r="AS35" s="15">
        <v>89</v>
      </c>
      <c r="AT35" s="17">
        <f t="shared" si="20"/>
        <v>2.2820512820512819</v>
      </c>
      <c r="AU35" s="19">
        <v>0.51987330162549983</v>
      </c>
      <c r="AV35" s="19">
        <v>3.3747049764719227E-2</v>
      </c>
      <c r="AW35" s="19">
        <v>0.42668210934620138</v>
      </c>
      <c r="AX35" s="19">
        <v>9.3191192279298493E-2</v>
      </c>
      <c r="AY35" s="19">
        <v>113.6877101552306</v>
      </c>
      <c r="AZ35" s="19">
        <v>118.0601394888488</v>
      </c>
      <c r="BA35" s="19">
        <v>3.7415397099853789</v>
      </c>
      <c r="BB35" s="19">
        <v>4.666666666666667</v>
      </c>
      <c r="BC35" s="19">
        <v>11.814345991561179</v>
      </c>
      <c r="BD35" s="65">
        <f t="shared" si="21"/>
        <v>56.048751128498353</v>
      </c>
      <c r="BE35" s="65">
        <f t="shared" si="22"/>
        <v>56.000000000000007</v>
      </c>
      <c r="BF35" s="66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8.5142876745223131</v>
      </c>
      <c r="BG35" s="38">
        <f t="shared" si="23"/>
        <v>0.496</v>
      </c>
      <c r="BH35" s="38">
        <f t="shared" si="24"/>
        <v>0.14399999999999999</v>
      </c>
      <c r="BI35" s="67">
        <f>IFERROR(((AG35*(12000/5))/((F35*60+G35)*(SUMIFS(팀공격력!X:X,팀공격력!A:A,B35,팀공격력!B:B,D35)+SUMIFS(팀수비력!X:X,팀수비력!A:A,B35,팀수비력!B:B,D35))))*100,"")</f>
        <v>1.3990672884743505</v>
      </c>
      <c r="BJ35" s="67">
        <f>IFERROR(((AI35*(12000/5))/((F35*60+G35)*(SUMIFS(팀공격력!V:V,팀공격력!A:A,B35,팀공격력!B:B,D35)+SUMIFS(팀수비력!W:W,팀수비력!A:A,B35,팀수비력!B:B,D35))))*100,"")</f>
        <v>7.9858216639930504</v>
      </c>
      <c r="BK35" s="67">
        <f>IFERROR(((AE35*(12000/5))/((F35*60+G35)*(SUMIFS(팀공격력!X:X,팀공격력!A:A,B35,팀공격력!B:B,D35)+SUMIFS(팀수비력!X:X,팀수비력!A:A,B35,팀수비력!B:B,D35))))*100,"")</f>
        <v>5.1965356429047302</v>
      </c>
      <c r="BL35" s="67">
        <f>IFERROR(100*AK35/(((((F35*60+G35)/(12000/5))*SUMIFS(팀공격력!P:P,팀공격력!A:A,B35,팀공격력!B:B,D35))-K35)),"")</f>
        <v>4.6906279578178527</v>
      </c>
      <c r="BM35" s="67">
        <f>IFERROR(100*((AM35/E35*(2400))/((F35*60+G35)*SUMIFS(팀공격력!AR:AR,팀공격력!A:A,B35,팀공격력!B:B,D35))),"")</f>
        <v>1.646881333592968</v>
      </c>
      <c r="BN35" s="67">
        <f>IFERROR((AO35*40)/(((F35*60+G35)/60)*(SUMIFS(팀수비력!Q:Q,팀수비력!A:A,B35,팀수비력!B:B,D35)-SUMIFS(팀수비력!N:N,팀수비력!A:A,B35,팀수비력!B:B,D35)))*100,"")</f>
        <v>0.35064343069532589</v>
      </c>
      <c r="BO35" s="67">
        <f t="shared" si="25"/>
        <v>10.744023636852003</v>
      </c>
      <c r="BP35" s="19"/>
      <c r="BQ35" s="19"/>
      <c r="BR35" s="19"/>
      <c r="BS35" s="19"/>
      <c r="BT35" s="20" t="s">
        <v>89</v>
      </c>
      <c r="BU35" s="21">
        <v>60000</v>
      </c>
      <c r="BV35" s="31" t="s">
        <v>93</v>
      </c>
      <c r="BW35" s="31">
        <v>360.68</v>
      </c>
      <c r="BX35" s="31">
        <v>457.48</v>
      </c>
      <c r="BY35" s="31">
        <v>96.8</v>
      </c>
      <c r="BZ35" s="35">
        <f t="shared" si="39"/>
        <v>9.2482051282051287</v>
      </c>
      <c r="CA35" s="35">
        <f t="shared" si="40"/>
        <v>11.730256410256411</v>
      </c>
      <c r="CB35" s="35">
        <f t="shared" si="41"/>
        <v>2.4820512820512821</v>
      </c>
      <c r="CC35" s="36">
        <f t="shared" si="42"/>
        <v>23.413177539759822</v>
      </c>
      <c r="CD35" s="36">
        <f t="shared" si="43"/>
        <v>29.696851671535217</v>
      </c>
      <c r="CE35" s="36">
        <f t="shared" si="44"/>
        <v>6.2836741317753972</v>
      </c>
      <c r="CF35" s="31">
        <v>18</v>
      </c>
      <c r="CG35" s="31">
        <v>21</v>
      </c>
    </row>
    <row r="36" spans="1:85" x14ac:dyDescent="0.4">
      <c r="A36" s="11" t="s">
        <v>85</v>
      </c>
      <c r="B36" s="11" t="s">
        <v>123</v>
      </c>
      <c r="C36" s="11" t="s">
        <v>130</v>
      </c>
      <c r="D36" s="46" t="s">
        <v>88</v>
      </c>
      <c r="E36" s="15">
        <v>52</v>
      </c>
      <c r="F36" s="15">
        <v>28</v>
      </c>
      <c r="G36" s="15">
        <v>52</v>
      </c>
      <c r="H36" s="16">
        <f t="shared" si="0"/>
        <v>90064</v>
      </c>
      <c r="I36" s="16">
        <v>657</v>
      </c>
      <c r="J36" s="17">
        <f t="shared" si="1"/>
        <v>12.634615384615385</v>
      </c>
      <c r="K36" s="15">
        <v>245</v>
      </c>
      <c r="L36" s="15">
        <v>519</v>
      </c>
      <c r="M36" s="17">
        <f t="shared" si="2"/>
        <v>4.7115384615384617</v>
      </c>
      <c r="N36" s="17">
        <f t="shared" si="3"/>
        <v>9.9807692307692299</v>
      </c>
      <c r="O36" s="18">
        <f t="shared" si="4"/>
        <v>0.47206165703275532</v>
      </c>
      <c r="P36" s="16">
        <v>173</v>
      </c>
      <c r="Q36" s="15">
        <v>309</v>
      </c>
      <c r="R36" s="17">
        <f t="shared" si="5"/>
        <v>3.3269230769230771</v>
      </c>
      <c r="S36" s="17">
        <f t="shared" si="6"/>
        <v>5.9423076923076925</v>
      </c>
      <c r="T36" s="18">
        <f t="shared" si="7"/>
        <v>0.55987055016181231</v>
      </c>
      <c r="U36" s="15">
        <v>72</v>
      </c>
      <c r="V36" s="15">
        <v>210</v>
      </c>
      <c r="W36" s="17">
        <f t="shared" si="8"/>
        <v>1.3846153846153846</v>
      </c>
      <c r="X36" s="17">
        <f t="shared" si="9"/>
        <v>4.0384615384615383</v>
      </c>
      <c r="Y36" s="18">
        <f t="shared" si="10"/>
        <v>0.34285714285714286</v>
      </c>
      <c r="Z36" s="15">
        <v>95</v>
      </c>
      <c r="AA36" s="15">
        <v>124</v>
      </c>
      <c r="AB36" s="17">
        <f t="shared" si="11"/>
        <v>1.8269230769230769</v>
      </c>
      <c r="AC36" s="17">
        <f t="shared" si="12"/>
        <v>2.3846153846153846</v>
      </c>
      <c r="AD36" s="18">
        <f t="shared" si="13"/>
        <v>0.7661290322580645</v>
      </c>
      <c r="AE36" s="15">
        <v>115</v>
      </c>
      <c r="AF36" s="17">
        <f t="shared" si="14"/>
        <v>2.2115384615384617</v>
      </c>
      <c r="AG36" s="15">
        <v>19</v>
      </c>
      <c r="AH36" s="17">
        <f t="shared" si="15"/>
        <v>0.36538461538461536</v>
      </c>
      <c r="AI36" s="15">
        <v>96</v>
      </c>
      <c r="AJ36" s="17">
        <f t="shared" si="16"/>
        <v>1.8461538461538463</v>
      </c>
      <c r="AK36" s="15">
        <v>195</v>
      </c>
      <c r="AL36" s="17">
        <f t="shared" si="17"/>
        <v>3.75</v>
      </c>
      <c r="AM36" s="15">
        <v>49</v>
      </c>
      <c r="AN36" s="17">
        <f t="shared" si="18"/>
        <v>0.94230769230769229</v>
      </c>
      <c r="AO36" s="15">
        <v>0</v>
      </c>
      <c r="AP36" s="17">
        <f t="shared" si="26"/>
        <v>0</v>
      </c>
      <c r="AQ36" s="4">
        <v>68</v>
      </c>
      <c r="AR36" s="17">
        <f t="shared" si="19"/>
        <v>1.3076923076923077</v>
      </c>
      <c r="AS36" s="15">
        <v>137</v>
      </c>
      <c r="AT36" s="17">
        <f t="shared" si="20"/>
        <v>2.6346153846153846</v>
      </c>
      <c r="AU36" s="19">
        <v>2.5515013742973052</v>
      </c>
      <c r="AV36" s="19">
        <v>6.799168700383651E-2</v>
      </c>
      <c r="AW36" s="19">
        <v>2.5105084624223388</v>
      </c>
      <c r="AX36" s="19">
        <v>4.0992911874965447E-2</v>
      </c>
      <c r="AY36" s="19">
        <v>117.8959394004582</v>
      </c>
      <c r="AZ36" s="19">
        <v>119.3242497674924</v>
      </c>
      <c r="BA36" s="19">
        <v>10.629116056291499</v>
      </c>
      <c r="BB36" s="19">
        <v>12.40384615384615</v>
      </c>
      <c r="BC36" s="19">
        <v>17.18777758038728</v>
      </c>
      <c r="BD36" s="65">
        <f t="shared" si="21"/>
        <v>57.273868470604647</v>
      </c>
      <c r="BE36" s="65">
        <f t="shared" si="22"/>
        <v>54.142581888246632</v>
      </c>
      <c r="BF36" s="66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20.076731945148548</v>
      </c>
      <c r="BG36" s="38">
        <f t="shared" si="23"/>
        <v>0.40462427745664742</v>
      </c>
      <c r="BH36" s="38">
        <f t="shared" si="24"/>
        <v>0.23892100192678228</v>
      </c>
      <c r="BI36" s="67">
        <f>IFERROR(((AG36*(12000/5))/((F36*60+G36)*(SUMIFS(팀공격력!X:X,팀공격력!A:A,B36,팀공격력!B:B,D36)+SUMIFS(팀수비력!X:X,팀수비력!A:A,B36,팀수비력!B:B,D36))))*100,"")</f>
        <v>0.69284064665127021</v>
      </c>
      <c r="BJ36" s="67">
        <f>IFERROR(((AI36*(12000/5))/((F36*60+G36)*(SUMIFS(팀공격력!V:V,팀공격력!A:A,B36,팀공격력!B:B,D36)+SUMIFS(팀수비력!W:W,팀수비력!A:A,B36,팀수비력!B:B,D36))))*100,"")</f>
        <v>7.3616715084141608</v>
      </c>
      <c r="BK36" s="67">
        <f>IFERROR(((AE36*(12000/5))/((F36*60+G36)*(SUMIFS(팀공격력!X:X,팀공격력!A:A,B36,팀공격력!B:B,D36)+SUMIFS(팀수비력!X:X,팀수비력!A:A,B36,팀수비력!B:B,D36))))*100,"")</f>
        <v>4.1935091770997932</v>
      </c>
      <c r="BL36" s="67">
        <f>IFERROR(100*AK36/(((((F36*60+G36)/(12000/5))*SUMIFS(팀공격력!P:P,팀공격력!A:A,B36,팀공격력!B:B,D36))-K36)),"")</f>
        <v>20.571464741036909</v>
      </c>
      <c r="BM36" s="67">
        <f>IFERROR(100*((AM36/E36*(2400))/((F36*60+G36)*SUMIFS(팀공격력!AR:AR,팀공격력!A:A,B36,팀공격력!B:B,D36))),"")</f>
        <v>1.8403803817374071</v>
      </c>
      <c r="BN36" s="67">
        <f>IFERROR((AO36*40)/(((F36*60+G36)/60)*(SUMIFS(팀수비력!Q:Q,팀수비력!A:A,B36,팀수비력!B:B,D36)-SUMIFS(팀수비력!N:N,팀수비력!A:A,B36,팀수비력!B:B,D36)))*100,"")</f>
        <v>0</v>
      </c>
      <c r="BO36" s="67">
        <f t="shared" si="25"/>
        <v>10.599164536442423</v>
      </c>
      <c r="BP36" s="19"/>
      <c r="BQ36" s="19"/>
      <c r="BR36" s="19"/>
      <c r="BS36" s="19"/>
      <c r="BT36" s="20" t="s">
        <v>113</v>
      </c>
      <c r="BU36" s="21">
        <v>130000</v>
      </c>
      <c r="BV36" s="31" t="s">
        <v>90</v>
      </c>
      <c r="BW36" s="31">
        <v>1145.82</v>
      </c>
      <c r="BX36" s="31">
        <v>1531.23</v>
      </c>
      <c r="BY36" s="31">
        <v>385.4</v>
      </c>
      <c r="BZ36" s="35">
        <f t="shared" si="39"/>
        <v>22.035192307692306</v>
      </c>
      <c r="CA36" s="35">
        <f t="shared" si="40"/>
        <v>29.446730769230768</v>
      </c>
      <c r="CB36" s="35">
        <f t="shared" si="41"/>
        <v>7.411538461538461</v>
      </c>
      <c r="CC36" s="36">
        <f t="shared" si="42"/>
        <v>30.533753775093267</v>
      </c>
      <c r="CD36" s="36">
        <f t="shared" si="43"/>
        <v>40.803783975839401</v>
      </c>
      <c r="CE36" s="36">
        <f t="shared" si="44"/>
        <v>10.270030200746136</v>
      </c>
      <c r="CF36" s="30">
        <v>21</v>
      </c>
      <c r="CG36" s="30">
        <v>31</v>
      </c>
    </row>
    <row r="37" spans="1:85" x14ac:dyDescent="0.4">
      <c r="A37" s="11" t="s">
        <v>85</v>
      </c>
      <c r="B37" s="11" t="s">
        <v>123</v>
      </c>
      <c r="C37" s="11" t="s">
        <v>131</v>
      </c>
      <c r="D37" s="46" t="s">
        <v>88</v>
      </c>
      <c r="E37" s="15">
        <v>53</v>
      </c>
      <c r="F37" s="15">
        <v>27</v>
      </c>
      <c r="G37" s="15">
        <v>5</v>
      </c>
      <c r="H37" s="16">
        <f t="shared" si="0"/>
        <v>86125</v>
      </c>
      <c r="I37" s="16">
        <v>463</v>
      </c>
      <c r="J37" s="17">
        <f t="shared" si="1"/>
        <v>8.7358490566037741</v>
      </c>
      <c r="K37" s="15">
        <v>163</v>
      </c>
      <c r="L37" s="15">
        <v>361</v>
      </c>
      <c r="M37" s="17">
        <f t="shared" si="2"/>
        <v>3.0754716981132075</v>
      </c>
      <c r="N37" s="17">
        <f t="shared" si="3"/>
        <v>6.8113207547169807</v>
      </c>
      <c r="O37" s="18">
        <f t="shared" si="4"/>
        <v>0.45152354570637121</v>
      </c>
      <c r="P37" s="16">
        <v>106</v>
      </c>
      <c r="Q37" s="15">
        <v>205</v>
      </c>
      <c r="R37" s="17">
        <f t="shared" si="5"/>
        <v>2</v>
      </c>
      <c r="S37" s="17">
        <f t="shared" si="6"/>
        <v>3.8679245283018866</v>
      </c>
      <c r="T37" s="18">
        <f t="shared" si="7"/>
        <v>0.51707317073170733</v>
      </c>
      <c r="U37" s="15">
        <v>57</v>
      </c>
      <c r="V37" s="15">
        <v>156</v>
      </c>
      <c r="W37" s="17">
        <f t="shared" si="8"/>
        <v>1.0754716981132075</v>
      </c>
      <c r="X37" s="17">
        <f t="shared" si="9"/>
        <v>2.9433962264150941</v>
      </c>
      <c r="Y37" s="18">
        <f t="shared" si="10"/>
        <v>0.36538461538461536</v>
      </c>
      <c r="Z37" s="15">
        <v>80</v>
      </c>
      <c r="AA37" s="15">
        <v>112</v>
      </c>
      <c r="AB37" s="17">
        <f t="shared" si="11"/>
        <v>1.5094339622641511</v>
      </c>
      <c r="AC37" s="17">
        <f t="shared" si="12"/>
        <v>2.1132075471698113</v>
      </c>
      <c r="AD37" s="18">
        <f t="shared" si="13"/>
        <v>0.7142857142857143</v>
      </c>
      <c r="AE37" s="15">
        <v>209</v>
      </c>
      <c r="AF37" s="17">
        <f t="shared" si="14"/>
        <v>3.9433962264150941</v>
      </c>
      <c r="AG37" s="15">
        <v>61</v>
      </c>
      <c r="AH37" s="17">
        <f t="shared" si="15"/>
        <v>1.1509433962264151</v>
      </c>
      <c r="AI37" s="15">
        <v>148</v>
      </c>
      <c r="AJ37" s="17">
        <f t="shared" si="16"/>
        <v>2.7924528301886791</v>
      </c>
      <c r="AK37" s="15">
        <v>84</v>
      </c>
      <c r="AL37" s="17">
        <f t="shared" si="17"/>
        <v>1.5849056603773586</v>
      </c>
      <c r="AM37" s="15">
        <v>36</v>
      </c>
      <c r="AN37" s="17">
        <f t="shared" si="18"/>
        <v>0.67924528301886788</v>
      </c>
      <c r="AO37" s="15">
        <v>12</v>
      </c>
      <c r="AP37" s="17">
        <f t="shared" si="26"/>
        <v>0.22641509433962265</v>
      </c>
      <c r="AQ37" s="4">
        <v>61</v>
      </c>
      <c r="AR37" s="17">
        <f t="shared" si="19"/>
        <v>1.1509433962264151</v>
      </c>
      <c r="AS37" s="15">
        <v>151</v>
      </c>
      <c r="AT37" s="17">
        <f t="shared" si="20"/>
        <v>2.8490566037735849</v>
      </c>
      <c r="AU37" s="19">
        <v>1.4075898432844831</v>
      </c>
      <c r="AV37" s="19">
        <v>3.9224564573384711E-2</v>
      </c>
      <c r="AW37" s="19">
        <v>1.1836406340320651</v>
      </c>
      <c r="AX37" s="19">
        <v>0.2239492092524174</v>
      </c>
      <c r="AY37" s="19">
        <v>112.1579439188318</v>
      </c>
      <c r="AZ37" s="19">
        <v>118.0113650593688</v>
      </c>
      <c r="BA37" s="19">
        <v>7.5439523468299816</v>
      </c>
      <c r="BB37" s="19">
        <v>9.6792452830188687</v>
      </c>
      <c r="BC37" s="19">
        <v>14.295500725689401</v>
      </c>
      <c r="BD37" s="65">
        <f t="shared" si="21"/>
        <v>56.424880569367261</v>
      </c>
      <c r="BE37" s="65">
        <f t="shared" si="22"/>
        <v>53.04709141274239</v>
      </c>
      <c r="BF37" s="66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15.719157806962684</v>
      </c>
      <c r="BG37" s="38">
        <f t="shared" si="23"/>
        <v>0.43213296398891965</v>
      </c>
      <c r="BH37" s="38">
        <f t="shared" si="24"/>
        <v>0.31024930747922436</v>
      </c>
      <c r="BI37" s="67">
        <f>IFERROR(((AG37*(12000/5))/((F37*60+G37)*(SUMIFS(팀공격력!X:X,팀공격력!A:A,B37,팀공격력!B:B,D37)+SUMIFS(팀수비력!X:X,팀수비력!A:A,B37,팀수비력!B:B,D37))))*100,"")</f>
        <v>2.3708502024291498</v>
      </c>
      <c r="BJ37" s="67">
        <f>IFERROR(((AI37*(12000/5))/((F37*60+G37)*(SUMIFS(팀공격력!V:V,팀공격력!A:A,B37,팀공격력!B:B,D37)+SUMIFS(팀수비력!W:W,팀수비력!A:A,B37,팀수비력!B:B,D37))))*100,"")</f>
        <v>12.096547613979821</v>
      </c>
      <c r="BK37" s="67">
        <f>IFERROR(((AE37*(12000/5))/((F37*60+G37)*(SUMIFS(팀공격력!X:X,팀공격력!A:A,B37,팀공격력!B:B,D37)+SUMIFS(팀수비력!X:X,팀수비력!A:A,B37,팀수비력!B:B,D37))))*100,"")</f>
        <v>8.1230769230769226</v>
      </c>
      <c r="BL37" s="67">
        <f>IFERROR(100*AK37/(((((F37*60+G37)/(12000/5))*SUMIFS(팀공격력!P:P,팀공격력!A:A,B37,팀공격력!B:B,D37))-K37)),"")</f>
        <v>8.7846008039478409</v>
      </c>
      <c r="BM37" s="67">
        <f>IFERROR(100*((AM37/E37*(2400))/((F37*60+G37)*SUMIFS(팀공격력!AR:AR,팀공격력!A:A,B37,팀공격력!B:B,D37))),"")</f>
        <v>1.4139563812040452</v>
      </c>
      <c r="BN37" s="67">
        <f>IFERROR((AO37*40)/(((F37*60+G37)/60)*(SUMIFS(팀수비력!Q:Q,팀수비력!A:A,B37,팀수비력!B:B,D37)-SUMIFS(팀수비력!N:N,팀수비력!A:A,B37,팀수비력!B:B,D37)))*100,"")</f>
        <v>0.81823993181333898</v>
      </c>
      <c r="BO37" s="67">
        <f t="shared" si="25"/>
        <v>12.943473094551011</v>
      </c>
      <c r="BP37" s="19"/>
      <c r="BQ37" s="19"/>
      <c r="BR37" s="19"/>
      <c r="BS37" s="19"/>
      <c r="BT37" s="20" t="s">
        <v>89</v>
      </c>
      <c r="BU37" s="21">
        <v>60000</v>
      </c>
      <c r="BV37" s="30" t="s">
        <v>93</v>
      </c>
      <c r="BW37" s="30">
        <v>966.17</v>
      </c>
      <c r="BX37" s="30">
        <v>1271.3699999999999</v>
      </c>
      <c r="BY37" s="30">
        <v>305.2</v>
      </c>
      <c r="BZ37" s="35">
        <f t="shared" si="39"/>
        <v>18.229622641509433</v>
      </c>
      <c r="CA37" s="35">
        <f t="shared" si="40"/>
        <v>23.988113207547169</v>
      </c>
      <c r="CB37" s="35">
        <f t="shared" si="41"/>
        <v>5.7584905660377359</v>
      </c>
      <c r="CC37" s="36">
        <f t="shared" si="42"/>
        <v>26.923750362844697</v>
      </c>
      <c r="CD37" s="36">
        <f t="shared" si="43"/>
        <v>35.42859796806966</v>
      </c>
      <c r="CE37" s="36">
        <f t="shared" si="44"/>
        <v>8.5048476052249633</v>
      </c>
      <c r="CF37" s="30">
        <v>21</v>
      </c>
      <c r="CG37" s="30">
        <v>32</v>
      </c>
    </row>
    <row r="38" spans="1:85" x14ac:dyDescent="0.4">
      <c r="A38" s="11" t="s">
        <v>85</v>
      </c>
      <c r="B38" s="11" t="s">
        <v>123</v>
      </c>
      <c r="C38" s="11" t="s">
        <v>132</v>
      </c>
      <c r="D38" s="46" t="s">
        <v>88</v>
      </c>
      <c r="E38" s="15">
        <v>23</v>
      </c>
      <c r="F38" s="15">
        <v>15</v>
      </c>
      <c r="G38" s="15">
        <v>38</v>
      </c>
      <c r="H38" s="16">
        <f t="shared" si="0"/>
        <v>21574</v>
      </c>
      <c r="I38" s="16">
        <v>99</v>
      </c>
      <c r="J38" s="17">
        <f t="shared" si="1"/>
        <v>4.3043478260869561</v>
      </c>
      <c r="K38" s="15">
        <v>37</v>
      </c>
      <c r="L38" s="15">
        <v>87</v>
      </c>
      <c r="M38" s="17">
        <f t="shared" si="2"/>
        <v>1.6086956521739131</v>
      </c>
      <c r="N38" s="17">
        <f t="shared" si="3"/>
        <v>3.7826086956521738</v>
      </c>
      <c r="O38" s="18">
        <f t="shared" si="4"/>
        <v>0.42528735632183906</v>
      </c>
      <c r="P38" s="16">
        <v>23</v>
      </c>
      <c r="Q38" s="15">
        <v>52</v>
      </c>
      <c r="R38" s="17">
        <f t="shared" si="5"/>
        <v>1</v>
      </c>
      <c r="S38" s="17">
        <f t="shared" si="6"/>
        <v>2.2608695652173911</v>
      </c>
      <c r="T38" s="18">
        <f t="shared" si="7"/>
        <v>0.44230769230769229</v>
      </c>
      <c r="U38" s="15">
        <v>14</v>
      </c>
      <c r="V38" s="15">
        <v>35</v>
      </c>
      <c r="W38" s="17">
        <f t="shared" si="8"/>
        <v>0.60869565217391308</v>
      </c>
      <c r="X38" s="17">
        <f t="shared" si="9"/>
        <v>1.5217391304347827</v>
      </c>
      <c r="Y38" s="18">
        <f t="shared" si="10"/>
        <v>0.4</v>
      </c>
      <c r="Z38" s="15">
        <v>11</v>
      </c>
      <c r="AA38" s="15">
        <v>22</v>
      </c>
      <c r="AB38" s="17">
        <f t="shared" si="11"/>
        <v>0.47826086956521741</v>
      </c>
      <c r="AC38" s="17">
        <f t="shared" si="12"/>
        <v>0.95652173913043481</v>
      </c>
      <c r="AD38" s="18">
        <f t="shared" si="13"/>
        <v>0.5</v>
      </c>
      <c r="AE38" s="15">
        <v>63</v>
      </c>
      <c r="AF38" s="17">
        <f t="shared" si="14"/>
        <v>2.7391304347826089</v>
      </c>
      <c r="AG38" s="15">
        <v>21</v>
      </c>
      <c r="AH38" s="17">
        <f t="shared" si="15"/>
        <v>0.91304347826086951</v>
      </c>
      <c r="AI38" s="15">
        <v>42</v>
      </c>
      <c r="AJ38" s="17">
        <f t="shared" si="16"/>
        <v>1.826086956521739</v>
      </c>
      <c r="AK38" s="15">
        <v>20</v>
      </c>
      <c r="AL38" s="17">
        <f t="shared" si="17"/>
        <v>0.86956521739130432</v>
      </c>
      <c r="AM38" s="15">
        <v>8</v>
      </c>
      <c r="AN38" s="17">
        <f t="shared" si="18"/>
        <v>0.34782608695652173</v>
      </c>
      <c r="AO38" s="15">
        <v>8</v>
      </c>
      <c r="AP38" s="17">
        <f t="shared" si="26"/>
        <v>0.34782608695652173</v>
      </c>
      <c r="AQ38" s="4">
        <v>20</v>
      </c>
      <c r="AR38" s="17">
        <f t="shared" si="19"/>
        <v>0.86956521739130432</v>
      </c>
      <c r="AS38" s="15">
        <v>54</v>
      </c>
      <c r="AT38" s="17">
        <f t="shared" si="20"/>
        <v>2.347826086956522</v>
      </c>
      <c r="AU38" s="19">
        <v>4.5688212141384819E-2</v>
      </c>
      <c r="AV38" s="19">
        <v>5.0825859432336879E-3</v>
      </c>
      <c r="AW38" s="19">
        <v>-5.0147221649852851E-2</v>
      </c>
      <c r="AX38" s="19">
        <v>9.583543379123767E-2</v>
      </c>
      <c r="AY38" s="19">
        <v>100.1720983175362</v>
      </c>
      <c r="AZ38" s="19">
        <v>116.8840703871783</v>
      </c>
      <c r="BA38" s="19">
        <v>2.2398600844319589</v>
      </c>
      <c r="BB38" s="19">
        <v>5.0869565217391308</v>
      </c>
      <c r="BC38" s="19">
        <v>13.015667006581999</v>
      </c>
      <c r="BD38" s="65">
        <f t="shared" si="21"/>
        <v>51.199834505585429</v>
      </c>
      <c r="BE38" s="65">
        <f t="shared" si="22"/>
        <v>50.574712643678168</v>
      </c>
      <c r="BF38" s="66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6.7421313871987332</v>
      </c>
      <c r="BG38" s="38">
        <f t="shared" si="23"/>
        <v>0.40229885057471265</v>
      </c>
      <c r="BH38" s="38">
        <f t="shared" si="24"/>
        <v>0.25287356321839083</v>
      </c>
      <c r="BI38" s="67">
        <f>IFERROR(((AG38*(12000/5))/((F38*60+G38)*(SUMIFS(팀공격력!X:X,팀공격력!A:A,B38,팀공격력!B:B,D38)+SUMIFS(팀수비력!X:X,팀수비력!A:A,B38,팀수비력!B:B,D38))))*100,"")</f>
        <v>1.4139827179890023</v>
      </c>
      <c r="BJ38" s="67">
        <f>IFERROR(((AI38*(12000/5))/((F38*60+G38)*(SUMIFS(팀공격력!V:V,팀공격력!A:A,B38,팀공격력!B:B,D38)+SUMIFS(팀수비력!W:W,팀수비력!A:A,B38,팀수비력!B:B,D38))))*100,"")</f>
        <v>5.9470219461629314</v>
      </c>
      <c r="BK38" s="67">
        <f>IFERROR(((AE38*(12000/5))/((F38*60+G38)*(SUMIFS(팀공격력!X:X,팀공격력!A:A,B38,팀공격력!B:B,D38)+SUMIFS(팀수비력!X:X,팀수비력!A:A,B38,팀수비력!B:B,D38))))*100,"")</f>
        <v>4.241948153967007</v>
      </c>
      <c r="BL38" s="67">
        <f>IFERROR(100*AK38/(((((F38*60+G38)/(12000/5))*SUMIFS(팀공격력!P:P,팀공격력!A:A,B38,팀공격력!B:B,D38))-K38)),"")</f>
        <v>3.2838161227162086</v>
      </c>
      <c r="BM38" s="67">
        <f>IFERROR(100*((AM38/E38*(2400))/((F38*60+G38)*SUMIFS(팀공격력!AR:AR,팀공격력!A:A,B38,팀공격력!B:B,D38))),"")</f>
        <v>1.2543596029294355</v>
      </c>
      <c r="BN38" s="67">
        <f>IFERROR((AO38*40)/(((F38*60+G38)/60)*(SUMIFS(팀수비력!Q:Q,팀수비력!A:A,B38,팀수비력!B:B,D38)-SUMIFS(팀수비력!N:N,팀수비력!A:A,B38,팀수비력!B:B,D38)))*100,"")</f>
        <v>0.94501768954987631</v>
      </c>
      <c r="BO38" s="67">
        <f t="shared" si="25"/>
        <v>17.140898183064792</v>
      </c>
      <c r="BP38" s="19"/>
      <c r="BQ38" s="19"/>
      <c r="BR38" s="19"/>
      <c r="BS38" s="19"/>
      <c r="BT38" s="20" t="s">
        <v>89</v>
      </c>
      <c r="BU38" s="21">
        <v>60000</v>
      </c>
      <c r="BV38" s="31" t="s">
        <v>102</v>
      </c>
      <c r="BW38" s="31">
        <v>221.72</v>
      </c>
      <c r="BX38" s="31">
        <v>308.42</v>
      </c>
      <c r="BY38" s="31">
        <v>86.7</v>
      </c>
      <c r="BZ38" s="35">
        <f t="shared" si="39"/>
        <v>9.64</v>
      </c>
      <c r="CA38" s="35">
        <f t="shared" si="40"/>
        <v>13.409565217391306</v>
      </c>
      <c r="CB38" s="35">
        <f t="shared" si="41"/>
        <v>3.7695652173913046</v>
      </c>
      <c r="CC38" s="36">
        <f t="shared" si="42"/>
        <v>24.665245202558637</v>
      </c>
      <c r="CD38" s="36">
        <f t="shared" si="43"/>
        <v>34.310188189487349</v>
      </c>
      <c r="CE38" s="36">
        <f t="shared" si="44"/>
        <v>9.6449429869287098</v>
      </c>
      <c r="CF38" s="31">
        <v>7</v>
      </c>
      <c r="CG38" s="31">
        <v>16</v>
      </c>
    </row>
    <row r="39" spans="1:85" x14ac:dyDescent="0.4">
      <c r="A39" s="11" t="s">
        <v>85</v>
      </c>
      <c r="B39" s="11" t="s">
        <v>123</v>
      </c>
      <c r="C39" s="11" t="s">
        <v>133</v>
      </c>
      <c r="D39" s="46" t="s">
        <v>88</v>
      </c>
      <c r="E39" s="10">
        <v>24</v>
      </c>
      <c r="F39" s="10">
        <v>9</v>
      </c>
      <c r="G39" s="10">
        <v>59</v>
      </c>
      <c r="H39" s="16">
        <f t="shared" si="0"/>
        <v>14376</v>
      </c>
      <c r="I39" s="16">
        <v>48</v>
      </c>
      <c r="J39" s="17">
        <f t="shared" si="1"/>
        <v>2</v>
      </c>
      <c r="K39" s="15">
        <v>17</v>
      </c>
      <c r="L39" s="15">
        <v>40</v>
      </c>
      <c r="M39" s="17">
        <f t="shared" si="2"/>
        <v>0.70833333333333337</v>
      </c>
      <c r="N39" s="17">
        <f t="shared" si="3"/>
        <v>1.6666666666666667</v>
      </c>
      <c r="O39" s="18">
        <f t="shared" si="4"/>
        <v>0.42499999999999999</v>
      </c>
      <c r="P39" s="16">
        <v>11</v>
      </c>
      <c r="Q39" s="15">
        <v>23</v>
      </c>
      <c r="R39" s="17">
        <f t="shared" si="5"/>
        <v>0.45833333333333331</v>
      </c>
      <c r="S39" s="17">
        <f t="shared" si="6"/>
        <v>0.95833333333333337</v>
      </c>
      <c r="T39" s="18">
        <f t="shared" si="7"/>
        <v>0.47826086956521741</v>
      </c>
      <c r="U39" s="15">
        <v>6</v>
      </c>
      <c r="V39" s="15">
        <v>17</v>
      </c>
      <c r="W39" s="17">
        <f t="shared" si="8"/>
        <v>0.25</v>
      </c>
      <c r="X39" s="17">
        <f t="shared" si="9"/>
        <v>0.70833333333333337</v>
      </c>
      <c r="Y39" s="18">
        <f t="shared" si="10"/>
        <v>0.35294117647058826</v>
      </c>
      <c r="Z39" s="9">
        <v>8</v>
      </c>
      <c r="AA39" s="9">
        <v>10</v>
      </c>
      <c r="AB39" s="17">
        <f t="shared" si="11"/>
        <v>0.33333333333333331</v>
      </c>
      <c r="AC39" s="17">
        <f t="shared" si="12"/>
        <v>0.41666666666666669</v>
      </c>
      <c r="AD39" s="18">
        <f t="shared" si="13"/>
        <v>0.8</v>
      </c>
      <c r="AE39" s="15">
        <v>20</v>
      </c>
      <c r="AF39" s="17">
        <f t="shared" si="14"/>
        <v>0.83333333333333337</v>
      </c>
      <c r="AG39" s="15">
        <v>3</v>
      </c>
      <c r="AH39" s="17">
        <f t="shared" si="15"/>
        <v>0.125</v>
      </c>
      <c r="AI39" s="15">
        <v>17</v>
      </c>
      <c r="AJ39" s="17">
        <f t="shared" si="16"/>
        <v>0.70833333333333337</v>
      </c>
      <c r="AK39" s="15">
        <v>17</v>
      </c>
      <c r="AL39" s="17">
        <f t="shared" si="17"/>
        <v>0.70833333333333337</v>
      </c>
      <c r="AM39" s="15">
        <v>11</v>
      </c>
      <c r="AN39" s="17">
        <f t="shared" si="18"/>
        <v>0.45833333333333331</v>
      </c>
      <c r="AO39" s="7">
        <v>1</v>
      </c>
      <c r="AP39" s="17">
        <f t="shared" si="26"/>
        <v>4.1666666666666664E-2</v>
      </c>
      <c r="AQ39" s="6">
        <v>8</v>
      </c>
      <c r="AR39" s="17">
        <f t="shared" si="19"/>
        <v>0.33333333333333331</v>
      </c>
      <c r="AS39" s="15">
        <v>46</v>
      </c>
      <c r="AT39" s="17">
        <f t="shared" si="20"/>
        <v>1.9166666666666667</v>
      </c>
      <c r="AU39" s="19">
        <v>0.15494370377801761</v>
      </c>
      <c r="AV39" s="19">
        <v>2.586706240033684E-2</v>
      </c>
      <c r="AW39" s="19">
        <v>9.0343025314537653E-2</v>
      </c>
      <c r="AX39" s="19">
        <v>6.4600678463479985E-2</v>
      </c>
      <c r="AY39" s="19">
        <v>108.77276329307379</v>
      </c>
      <c r="AZ39" s="19">
        <v>116.85256612993059</v>
      </c>
      <c r="BA39" s="19">
        <v>1.407902729230907</v>
      </c>
      <c r="BB39" s="19">
        <v>2.666666666666667</v>
      </c>
      <c r="BC39" s="19">
        <v>10.68447412353923</v>
      </c>
      <c r="BD39" s="65">
        <f t="shared" si="21"/>
        <v>54.054054054054056</v>
      </c>
      <c r="BE39" s="65">
        <f t="shared" si="22"/>
        <v>50</v>
      </c>
      <c r="BF39" s="66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4.7414163624107024</v>
      </c>
      <c r="BG39" s="38">
        <f t="shared" si="23"/>
        <v>0.42499999999999999</v>
      </c>
      <c r="BH39" s="38">
        <f t="shared" si="24"/>
        <v>0.25</v>
      </c>
      <c r="BI39" s="67">
        <f>IFERROR(((AG39*(12000/5))/((F39*60+G39)*(SUMIFS(팀공격력!X:X,팀공격력!A:A,B39,팀공격력!B:B,D39)+SUMIFS(팀수비력!X:X,팀수비력!A:A,B39,팀수비력!B:B,D39))))*100,"")</f>
        <v>0.31631666813109566</v>
      </c>
      <c r="BJ39" s="67">
        <f>IFERROR(((AI39*(12000/5))/((F39*60+G39)*(SUMIFS(팀공격력!V:V,팀공격력!A:A,B39,팀공격력!B:B,D39)+SUMIFS(팀수비력!W:W,팀수비력!A:A,B39,팀수비력!B:B,D39))))*100,"")</f>
        <v>3.7694257076681019</v>
      </c>
      <c r="BK39" s="67">
        <f>IFERROR(((AE39*(12000/5))/((F39*60+G39)*(SUMIFS(팀공격력!X:X,팀공격력!A:A,B39,팀공격력!B:B,D39)+SUMIFS(팀수비력!X:X,팀수비력!A:A,B39,팀수비력!B:B,D39))))*100,"")</f>
        <v>2.1087777875406379</v>
      </c>
      <c r="BL39" s="67">
        <f>IFERROR(100*AK39/(((((F39*60+G39)/(12000/5))*SUMIFS(팀공격력!P:P,팀공격력!A:A,B39,팀공격력!B:B,D39))-K39)),"")</f>
        <v>4.2976909391402724</v>
      </c>
      <c r="BM39" s="67">
        <f>IFERROR(100*((AM39/E39*(2400))/((F39*60+G39)*SUMIFS(팀공격력!AR:AR,팀공격력!A:A,B39,팀공격력!B:B,D39))),"")</f>
        <v>2.5883164198107615</v>
      </c>
      <c r="BN39" s="67">
        <f>IFERROR((AO39*40)/(((F39*60+G39)/60)*(SUMIFS(팀수비력!Q:Q,팀수비력!A:A,B39,팀수비력!B:B,D39)-SUMIFS(팀수비력!N:N,팀수비력!A:A,B39,팀수비력!B:B,D39)))*100,"")</f>
        <v>0.18498050767900334</v>
      </c>
      <c r="BO39" s="67">
        <f t="shared" si="25"/>
        <v>15.267175572519085</v>
      </c>
      <c r="BP39" s="19"/>
      <c r="BQ39" s="19"/>
      <c r="BR39" s="19"/>
      <c r="BS39" s="19"/>
      <c r="BT39" s="20" t="s">
        <v>89</v>
      </c>
      <c r="BU39" s="21"/>
      <c r="BV39" s="31" t="s">
        <v>90</v>
      </c>
      <c r="BW39" s="31">
        <v>132.94999999999999</v>
      </c>
      <c r="BX39" s="31">
        <v>168.45</v>
      </c>
      <c r="BY39" s="31">
        <v>35.5</v>
      </c>
      <c r="BZ39" s="35">
        <f t="shared" si="39"/>
        <v>5.5395833333333329</v>
      </c>
      <c r="CA39" s="35">
        <f t="shared" si="40"/>
        <v>7.0187499999999998</v>
      </c>
      <c r="CB39" s="35">
        <f t="shared" si="41"/>
        <v>1.4791666666666667</v>
      </c>
      <c r="CC39" s="36">
        <f t="shared" si="42"/>
        <v>22.195325542570949</v>
      </c>
      <c r="CD39" s="36">
        <f t="shared" si="43"/>
        <v>28.121869782971618</v>
      </c>
      <c r="CE39" s="36">
        <f t="shared" si="44"/>
        <v>5.9265442404006681</v>
      </c>
      <c r="CF39" s="31">
        <v>10</v>
      </c>
      <c r="CG39" s="31">
        <v>14</v>
      </c>
    </row>
    <row r="40" spans="1:85" x14ac:dyDescent="0.4">
      <c r="A40" s="11" t="s">
        <v>85</v>
      </c>
      <c r="B40" s="11" t="s">
        <v>123</v>
      </c>
      <c r="C40" s="11" t="s">
        <v>134</v>
      </c>
      <c r="D40" s="46" t="s">
        <v>88</v>
      </c>
      <c r="E40" s="15">
        <v>49</v>
      </c>
      <c r="F40" s="15">
        <v>25</v>
      </c>
      <c r="G40" s="15">
        <v>54</v>
      </c>
      <c r="H40" s="16">
        <f t="shared" si="0"/>
        <v>76146</v>
      </c>
      <c r="I40" s="16">
        <v>1129</v>
      </c>
      <c r="J40" s="17">
        <f t="shared" si="1"/>
        <v>23.040816326530614</v>
      </c>
      <c r="K40" s="15">
        <v>428</v>
      </c>
      <c r="L40" s="15">
        <v>856</v>
      </c>
      <c r="M40" s="17">
        <f t="shared" si="2"/>
        <v>8.7346938775510203</v>
      </c>
      <c r="N40" s="17">
        <f t="shared" si="3"/>
        <v>17.469387755102041</v>
      </c>
      <c r="O40" s="18">
        <f t="shared" si="4"/>
        <v>0.5</v>
      </c>
      <c r="P40" s="16">
        <v>312</v>
      </c>
      <c r="Q40" s="15">
        <v>573</v>
      </c>
      <c r="R40" s="17">
        <f t="shared" si="5"/>
        <v>6.3673469387755102</v>
      </c>
      <c r="S40" s="17">
        <f t="shared" si="6"/>
        <v>11.693877551020408</v>
      </c>
      <c r="T40" s="18">
        <f t="shared" si="7"/>
        <v>0.54450261780104714</v>
      </c>
      <c r="U40" s="15">
        <v>116</v>
      </c>
      <c r="V40" s="15">
        <v>283</v>
      </c>
      <c r="W40" s="17">
        <f t="shared" si="8"/>
        <v>2.3673469387755102</v>
      </c>
      <c r="X40" s="17">
        <f t="shared" si="9"/>
        <v>5.7755102040816331</v>
      </c>
      <c r="Y40" s="18">
        <f t="shared" si="10"/>
        <v>0.40989399293286222</v>
      </c>
      <c r="Z40" s="15">
        <v>157</v>
      </c>
      <c r="AA40" s="15">
        <v>193</v>
      </c>
      <c r="AB40" s="17">
        <f t="shared" si="11"/>
        <v>3.204081632653061</v>
      </c>
      <c r="AC40" s="17">
        <f t="shared" si="12"/>
        <v>3.9387755102040818</v>
      </c>
      <c r="AD40" s="18">
        <f t="shared" si="13"/>
        <v>0.81347150259067358</v>
      </c>
      <c r="AE40" s="15">
        <v>381</v>
      </c>
      <c r="AF40" s="17">
        <f t="shared" si="14"/>
        <v>7.7755102040816331</v>
      </c>
      <c r="AG40" s="15">
        <v>75</v>
      </c>
      <c r="AH40" s="17">
        <f t="shared" si="15"/>
        <v>1.5306122448979591</v>
      </c>
      <c r="AI40" s="15">
        <v>306</v>
      </c>
      <c r="AJ40" s="17">
        <f t="shared" si="16"/>
        <v>6.2448979591836737</v>
      </c>
      <c r="AK40" s="15">
        <v>40</v>
      </c>
      <c r="AL40" s="17">
        <f t="shared" si="17"/>
        <v>0.81632653061224492</v>
      </c>
      <c r="AM40" s="15">
        <v>29</v>
      </c>
      <c r="AN40" s="17">
        <f t="shared" si="18"/>
        <v>0.59183673469387754</v>
      </c>
      <c r="AO40" s="15">
        <v>21</v>
      </c>
      <c r="AP40" s="17">
        <f t="shared" si="26"/>
        <v>0.42857142857142855</v>
      </c>
      <c r="AQ40" s="4">
        <v>81</v>
      </c>
      <c r="AR40" s="17">
        <f t="shared" si="19"/>
        <v>1.653061224489796</v>
      </c>
      <c r="AS40" s="15">
        <v>80</v>
      </c>
      <c r="AT40" s="17">
        <f t="shared" si="20"/>
        <v>1.6326530612244898</v>
      </c>
      <c r="AU40" s="19">
        <v>4.1461138515600906</v>
      </c>
      <c r="AV40" s="19">
        <v>0.1306788701145723</v>
      </c>
      <c r="AW40" s="19">
        <v>3.1605374839133931</v>
      </c>
      <c r="AX40" s="19">
        <v>0.98557636764669898</v>
      </c>
      <c r="AY40" s="19">
        <v>115.8281219704093</v>
      </c>
      <c r="AZ40" s="19">
        <v>111.6811507391218</v>
      </c>
      <c r="BA40" s="19">
        <v>20.566934265269371</v>
      </c>
      <c r="BB40" s="19">
        <v>21.530612244897959</v>
      </c>
      <c r="BC40" s="19">
        <v>33.251910802931206</v>
      </c>
      <c r="BD40" s="65">
        <f t="shared" si="21"/>
        <v>59.994473494027126</v>
      </c>
      <c r="BE40" s="65">
        <f t="shared" si="22"/>
        <v>56.77570093457944</v>
      </c>
      <c r="BF40" s="66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35.642611252367352</v>
      </c>
      <c r="BG40" s="38">
        <f t="shared" si="23"/>
        <v>0.33060747663551404</v>
      </c>
      <c r="BH40" s="38">
        <f t="shared" si="24"/>
        <v>0.22546728971962618</v>
      </c>
      <c r="BI40" s="67">
        <f>IFERROR(((AG40*(12000/5))/((F40*60+G40)*(SUMIFS(팀공격력!X:X,팀공격력!A:A,B40,팀공격력!B:B,D40)+SUMIFS(팀수비력!X:X,팀수비력!A:A,B40,팀수비력!B:B,D40))))*100,"")</f>
        <v>3.0481609428977849</v>
      </c>
      <c r="BJ40" s="67">
        <f>IFERROR(((AI40*(12000/5))/((F40*60+G40)*(SUMIFS(팀공격력!V:V,팀공격력!A:A,B40,팀공격력!B:B,D40)+SUMIFS(팀수비력!W:W,팀수비력!A:A,B40,팀수비력!B:B,D40))))*100,"")</f>
        <v>26.153119678299536</v>
      </c>
      <c r="BK40" s="67">
        <f>IFERROR(((AE40*(12000/5))/((F40*60+G40)*(SUMIFS(팀공격력!X:X,팀공격력!A:A,B40,팀공격력!B:B,D40)+SUMIFS(팀수비력!X:X,팀수비력!A:A,B40,팀수비력!B:B,D40))))*100,"")</f>
        <v>15.484657589920747</v>
      </c>
      <c r="BL40" s="67">
        <f>IFERROR(100*AK40/(((((F40*60+G40)/(12000/5))*SUMIFS(팀공격력!P:P,팀공격력!A:A,B40,팀공격력!B:B,D40))-K40)),"")</f>
        <v>6.2274498203769957</v>
      </c>
      <c r="BM40" s="67">
        <f>IFERROR(100*((AM40/E40*(2400))/((F40*60+G40)*SUMIFS(팀공격력!AR:AR,팀공격력!A:A,B40,팀공격력!B:B,D40))),"")</f>
        <v>1.2882900417198369</v>
      </c>
      <c r="BN40" s="67">
        <f>IFERROR((AO40*40)/(((F40*60+G40)/60)*(SUMIFS(팀수비력!Q:Q,팀수비력!A:A,B40,팀수비력!B:B,D40)-SUMIFS(팀수비력!N:N,팀수비력!A:A,B40,팀수비력!B:B,D40)))*100,"")</f>
        <v>1.4973422175638245</v>
      </c>
      <c r="BO40" s="67">
        <f t="shared" si="25"/>
        <v>7.9262564584311885</v>
      </c>
      <c r="BP40" s="19"/>
      <c r="BQ40" s="19"/>
      <c r="BR40" s="19"/>
      <c r="BS40" s="19"/>
      <c r="BT40" s="20" t="s">
        <v>96</v>
      </c>
      <c r="BU40" s="21">
        <v>40000</v>
      </c>
      <c r="BV40" s="30" t="s">
        <v>93</v>
      </c>
      <c r="BW40" s="30">
        <v>1416.13</v>
      </c>
      <c r="BX40" s="30">
        <v>1977.73</v>
      </c>
      <c r="BY40" s="30">
        <v>561.6</v>
      </c>
      <c r="BZ40" s="35">
        <f t="shared" si="39"/>
        <v>28.900612244897964</v>
      </c>
      <c r="CA40" s="35">
        <f t="shared" si="40"/>
        <v>40.361836734693881</v>
      </c>
      <c r="CB40" s="35">
        <f t="shared" si="41"/>
        <v>11.461224489795919</v>
      </c>
      <c r="CC40" s="36">
        <f t="shared" si="42"/>
        <v>44.634150185170597</v>
      </c>
      <c r="CD40" s="36">
        <f t="shared" si="43"/>
        <v>62.334882987944212</v>
      </c>
      <c r="CE40" s="36">
        <f t="shared" si="44"/>
        <v>17.700732802773619</v>
      </c>
      <c r="CF40" s="30">
        <v>19</v>
      </c>
      <c r="CG40" s="30">
        <v>30</v>
      </c>
    </row>
    <row r="41" spans="1:85" x14ac:dyDescent="0.4">
      <c r="A41" s="11" t="s">
        <v>85</v>
      </c>
      <c r="B41" s="11" t="s">
        <v>123</v>
      </c>
      <c r="C41" s="11" t="s">
        <v>135</v>
      </c>
      <c r="D41" s="46" t="s">
        <v>88</v>
      </c>
      <c r="E41" s="15">
        <v>14</v>
      </c>
      <c r="F41" s="15">
        <v>14</v>
      </c>
      <c r="G41" s="15">
        <v>11</v>
      </c>
      <c r="H41" s="16">
        <f t="shared" si="0"/>
        <v>11914</v>
      </c>
      <c r="I41" s="16">
        <v>71</v>
      </c>
      <c r="J41" s="17">
        <f t="shared" si="1"/>
        <v>5.0714285714285712</v>
      </c>
      <c r="K41" s="15">
        <v>28</v>
      </c>
      <c r="L41" s="15">
        <v>69</v>
      </c>
      <c r="M41" s="17">
        <f t="shared" si="2"/>
        <v>2</v>
      </c>
      <c r="N41" s="17">
        <f t="shared" si="3"/>
        <v>4.9285714285714288</v>
      </c>
      <c r="O41" s="18">
        <f t="shared" si="4"/>
        <v>0.40579710144927539</v>
      </c>
      <c r="P41" s="16">
        <v>28</v>
      </c>
      <c r="Q41" s="15">
        <v>69</v>
      </c>
      <c r="R41" s="17">
        <f t="shared" si="5"/>
        <v>2</v>
      </c>
      <c r="S41" s="17">
        <f t="shared" si="6"/>
        <v>4.9285714285714288</v>
      </c>
      <c r="T41" s="18">
        <f t="shared" si="7"/>
        <v>0.40579710144927539</v>
      </c>
      <c r="U41" s="15">
        <v>0</v>
      </c>
      <c r="V41" s="15">
        <v>0</v>
      </c>
      <c r="W41" s="17">
        <f t="shared" si="8"/>
        <v>0</v>
      </c>
      <c r="X41" s="17">
        <f t="shared" si="9"/>
        <v>0</v>
      </c>
      <c r="Y41" s="18" t="e">
        <f t="shared" si="10"/>
        <v>#DIV/0!</v>
      </c>
      <c r="Z41" s="15">
        <v>15</v>
      </c>
      <c r="AA41" s="15">
        <v>25</v>
      </c>
      <c r="AB41" s="17">
        <f t="shared" si="11"/>
        <v>1.0714285714285714</v>
      </c>
      <c r="AC41" s="17">
        <f t="shared" si="12"/>
        <v>1.7857142857142858</v>
      </c>
      <c r="AD41" s="18">
        <f t="shared" si="13"/>
        <v>0.6</v>
      </c>
      <c r="AE41" s="15">
        <v>57</v>
      </c>
      <c r="AF41" s="17">
        <f t="shared" si="14"/>
        <v>4.0714285714285712</v>
      </c>
      <c r="AG41" s="15">
        <v>19</v>
      </c>
      <c r="AH41" s="17">
        <f t="shared" si="15"/>
        <v>1.3571428571428572</v>
      </c>
      <c r="AI41" s="15">
        <v>38</v>
      </c>
      <c r="AJ41" s="17">
        <f t="shared" si="16"/>
        <v>2.7142857142857144</v>
      </c>
      <c r="AK41" s="15">
        <v>7</v>
      </c>
      <c r="AL41" s="17">
        <f t="shared" si="17"/>
        <v>0.5</v>
      </c>
      <c r="AM41" s="15">
        <v>5</v>
      </c>
      <c r="AN41" s="17">
        <f t="shared" si="18"/>
        <v>0.35714285714285715</v>
      </c>
      <c r="AO41" s="15">
        <v>1</v>
      </c>
      <c r="AP41" s="17">
        <f t="shared" si="26"/>
        <v>7.1428571428571425E-2</v>
      </c>
      <c r="AQ41" s="4">
        <v>10</v>
      </c>
      <c r="AR41" s="17">
        <f t="shared" si="19"/>
        <v>0.7142857142857143</v>
      </c>
      <c r="AS41" s="15">
        <v>23</v>
      </c>
      <c r="AT41" s="17">
        <f t="shared" si="20"/>
        <v>1.6428571428571428</v>
      </c>
      <c r="AU41" s="19">
        <v>-3.6212580042847962E-2</v>
      </c>
      <c r="AV41" s="19">
        <v>-7.294795375426817E-3</v>
      </c>
      <c r="AW41" s="19">
        <v>-0.14268133150456541</v>
      </c>
      <c r="AX41" s="19">
        <v>0.1064687514617174</v>
      </c>
      <c r="AY41" s="19">
        <v>95.412086807850145</v>
      </c>
      <c r="AZ41" s="19">
        <v>114.133439418573</v>
      </c>
      <c r="BA41" s="19">
        <v>1.947264671438822</v>
      </c>
      <c r="BB41" s="19">
        <v>5.7142857142857144</v>
      </c>
      <c r="BC41" s="19">
        <v>16.115494376363941</v>
      </c>
      <c r="BD41" s="65">
        <f t="shared" si="21"/>
        <v>44.375</v>
      </c>
      <c r="BE41" s="65">
        <f t="shared" si="22"/>
        <v>40.579710144927539</v>
      </c>
      <c r="BF41" s="66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5.7321372273652234</v>
      </c>
      <c r="BG41" s="38">
        <f t="shared" si="23"/>
        <v>0</v>
      </c>
      <c r="BH41" s="38">
        <f t="shared" si="24"/>
        <v>0.36231884057971014</v>
      </c>
      <c r="BI41" s="67">
        <f>IFERROR(((AG41*(12000/5))/((F41*60+G41)*(SUMIFS(팀공격력!X:X,팀공격력!A:A,B41,팀공격력!B:B,D41)+SUMIFS(팀수비력!X:X,팀수비력!A:A,B41,팀수비력!B:B,D41))))*100,"")</f>
        <v>1.410105757931845</v>
      </c>
      <c r="BJ41" s="67">
        <f>IFERROR(((AI41*(12000/5))/((F41*60+G41)*(SUMIFS(팀공격력!V:V,팀공격력!A:A,B41,팀공격력!B:B,D41)+SUMIFS(팀수비력!W:W,팀수비력!A:A,B41,팀수비력!B:B,D41))))*100,"")</f>
        <v>5.9307159713790929</v>
      </c>
      <c r="BK41" s="67">
        <f>IFERROR(((AE41*(12000/5))/((F41*60+G41)*(SUMIFS(팀공격력!X:X,팀공격력!A:A,B41,팀공격력!B:B,D41)+SUMIFS(팀수비력!X:X,팀수비력!A:A,B41,팀수비력!B:B,D41))))*100,"")</f>
        <v>4.230317273795535</v>
      </c>
      <c r="BL41" s="67">
        <f>IFERROR(100*AK41/(((((F41*60+G41)/(12000/5))*SUMIFS(팀공격력!P:P,팀공격력!A:A,B41,팀공격력!B:B,D41))-K41)),"")</f>
        <v>1.2541965191567321</v>
      </c>
      <c r="BM41" s="67">
        <f>IFERROR(100*((AM41/E41*(2400))/((F41*60+G41)*SUMIFS(팀공격력!AR:AR,팀공격력!A:A,B41,팀공격력!B:B,D41))),"")</f>
        <v>1.4196299560181111</v>
      </c>
      <c r="BN41" s="67">
        <f>IFERROR((AO41*40)/(((F41*60+G41)/60)*(SUMIFS(팀수비력!Q:Q,팀수비력!A:A,B41,팀수비력!B:B,D41)-SUMIFS(팀수비력!N:N,팀수비력!A:A,B41,팀수비력!B:B,D41)))*100,"")</f>
        <v>0.13020367109250644</v>
      </c>
      <c r="BO41" s="67">
        <f t="shared" si="25"/>
        <v>11.111111111111111</v>
      </c>
      <c r="BP41" s="19"/>
      <c r="BQ41" s="19"/>
      <c r="BR41" s="19"/>
      <c r="BS41" s="19"/>
      <c r="BT41" s="20" t="s">
        <v>96</v>
      </c>
      <c r="BU41" s="21">
        <v>70000</v>
      </c>
      <c r="BV41" s="30" t="s">
        <v>93</v>
      </c>
      <c r="BW41" s="30">
        <v>141.16</v>
      </c>
      <c r="BX41" s="30">
        <v>205.16</v>
      </c>
      <c r="BY41" s="30">
        <v>64</v>
      </c>
      <c r="BZ41" s="35">
        <f t="shared" si="39"/>
        <v>10.082857142857144</v>
      </c>
      <c r="CA41" s="35">
        <f t="shared" si="40"/>
        <v>14.654285714285715</v>
      </c>
      <c r="CB41" s="35">
        <f t="shared" si="41"/>
        <v>4.5714285714285712</v>
      </c>
      <c r="CC41" s="36">
        <f t="shared" si="42"/>
        <v>28.435789827094176</v>
      </c>
      <c r="CD41" s="36">
        <f t="shared" si="43"/>
        <v>41.328185328185327</v>
      </c>
      <c r="CE41" s="36">
        <f t="shared" si="44"/>
        <v>12.892395501091153</v>
      </c>
      <c r="CF41" s="31">
        <v>2</v>
      </c>
      <c r="CG41" s="31">
        <v>12</v>
      </c>
    </row>
    <row r="42" spans="1:85" x14ac:dyDescent="0.4">
      <c r="A42" s="11" t="s">
        <v>85</v>
      </c>
      <c r="B42" s="11" t="s">
        <v>123</v>
      </c>
      <c r="C42" s="11" t="s">
        <v>136</v>
      </c>
      <c r="D42" s="46" t="s">
        <v>88</v>
      </c>
      <c r="E42" s="10">
        <v>16</v>
      </c>
      <c r="F42" s="10">
        <v>10</v>
      </c>
      <c r="G42" s="10">
        <v>24</v>
      </c>
      <c r="H42" s="16">
        <f t="shared" si="0"/>
        <v>9984</v>
      </c>
      <c r="I42" s="16">
        <v>18</v>
      </c>
      <c r="J42" s="17">
        <f t="shared" si="1"/>
        <v>1.125</v>
      </c>
      <c r="K42" s="15">
        <v>7</v>
      </c>
      <c r="L42" s="15">
        <v>26</v>
      </c>
      <c r="M42" s="17">
        <f t="shared" si="2"/>
        <v>0.4375</v>
      </c>
      <c r="N42" s="17">
        <f t="shared" si="3"/>
        <v>1.625</v>
      </c>
      <c r="O42" s="18">
        <f t="shared" si="4"/>
        <v>0.26923076923076922</v>
      </c>
      <c r="P42" s="16">
        <v>3</v>
      </c>
      <c r="Q42" s="15">
        <v>9</v>
      </c>
      <c r="R42" s="17">
        <f t="shared" si="5"/>
        <v>0.1875</v>
      </c>
      <c r="S42" s="17">
        <f t="shared" si="6"/>
        <v>0.5625</v>
      </c>
      <c r="T42" s="18">
        <f t="shared" si="7"/>
        <v>0.33333333333333331</v>
      </c>
      <c r="U42" s="15">
        <v>4</v>
      </c>
      <c r="V42" s="15">
        <v>17</v>
      </c>
      <c r="W42" s="17">
        <f t="shared" si="8"/>
        <v>0.25</v>
      </c>
      <c r="X42" s="17">
        <f t="shared" si="9"/>
        <v>1.0625</v>
      </c>
      <c r="Y42" s="18">
        <f t="shared" si="10"/>
        <v>0.23529411764705882</v>
      </c>
      <c r="Z42" s="9">
        <v>0</v>
      </c>
      <c r="AA42" s="9">
        <v>0</v>
      </c>
      <c r="AB42" s="17">
        <f t="shared" si="11"/>
        <v>0</v>
      </c>
      <c r="AC42" s="17">
        <f t="shared" si="12"/>
        <v>0</v>
      </c>
      <c r="AD42" s="18" t="e">
        <f t="shared" si="13"/>
        <v>#DIV/0!</v>
      </c>
      <c r="AE42" s="15">
        <v>22</v>
      </c>
      <c r="AF42" s="17">
        <f t="shared" si="14"/>
        <v>1.375</v>
      </c>
      <c r="AG42" s="15">
        <v>9</v>
      </c>
      <c r="AH42" s="17">
        <f t="shared" si="15"/>
        <v>0.5625</v>
      </c>
      <c r="AI42" s="15">
        <v>13</v>
      </c>
      <c r="AJ42" s="17">
        <f t="shared" si="16"/>
        <v>0.8125</v>
      </c>
      <c r="AK42" s="15">
        <v>2</v>
      </c>
      <c r="AL42" s="17">
        <f t="shared" si="17"/>
        <v>0.125</v>
      </c>
      <c r="AM42" s="15">
        <v>9</v>
      </c>
      <c r="AN42" s="17">
        <f t="shared" si="18"/>
        <v>0.5625</v>
      </c>
      <c r="AO42" s="7">
        <v>0</v>
      </c>
      <c r="AP42" s="17">
        <f t="shared" si="26"/>
        <v>0</v>
      </c>
      <c r="AQ42" s="6">
        <v>2</v>
      </c>
      <c r="AR42" s="17">
        <f t="shared" si="19"/>
        <v>0.125</v>
      </c>
      <c r="AS42" s="15">
        <v>24</v>
      </c>
      <c r="AT42" s="17">
        <f t="shared" si="20"/>
        <v>1.5</v>
      </c>
      <c r="AU42" s="19">
        <v>-3.075308836788292E-2</v>
      </c>
      <c r="AV42" s="19">
        <v>-7.3925693192026251E-3</v>
      </c>
      <c r="AW42" s="19">
        <v>-9.2096058818141271E-2</v>
      </c>
      <c r="AX42" s="19">
        <v>6.1342970450258348E-2</v>
      </c>
      <c r="AY42" s="19">
        <v>88.560883543935404</v>
      </c>
      <c r="AZ42" s="19">
        <v>115.84242127784729</v>
      </c>
      <c r="BA42" s="19">
        <v>0.53841304641257048</v>
      </c>
      <c r="BB42" s="19">
        <v>1.875</v>
      </c>
      <c r="BC42" s="19">
        <v>7.2115384615384617</v>
      </c>
      <c r="BD42" s="65">
        <f t="shared" si="21"/>
        <v>34.615384615384613</v>
      </c>
      <c r="BE42" s="65">
        <f t="shared" si="22"/>
        <v>34.615384615384613</v>
      </c>
      <c r="BF42" s="66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2.4320756028073101</v>
      </c>
      <c r="BG42" s="38">
        <f t="shared" si="23"/>
        <v>0.65384615384615385</v>
      </c>
      <c r="BH42" s="38">
        <f t="shared" si="24"/>
        <v>0</v>
      </c>
      <c r="BI42" s="67">
        <f>IFERROR(((AG42*(12000/5))/((F42*60+G42)*(SUMIFS(팀공격력!X:X,팀공격력!A:A,B42,팀공격력!B:B,D42)+SUMIFS(팀수비력!X:X,팀수비력!A:A,B42,팀수비력!B:B,D42))))*100,"")</f>
        <v>0.91093117408906876</v>
      </c>
      <c r="BJ42" s="67">
        <f>IFERROR(((AI42*(12000/5))/((F42*60+G42)*(SUMIFS(팀공격력!V:V,팀공격력!A:A,B42,팀공격력!B:B,D42)+SUMIFS(팀수비력!W:W,팀수비력!A:A,B42,팀수비력!B:B,D42))))*100,"")</f>
        <v>2.7670171555063643</v>
      </c>
      <c r="BK42" s="67">
        <f>IFERROR(((AE42*(12000/5))/((F42*60+G42)*(SUMIFS(팀공격력!X:X,팀공격력!A:A,B42,팀공격력!B:B,D42)+SUMIFS(팀수비력!X:X,팀수비력!A:A,B42,팀수비력!B:B,D42))))*100,"")</f>
        <v>2.2267206477732793</v>
      </c>
      <c r="BL42" s="67">
        <f>IFERROR(100*AK42/(((((F42*60+G42)/(12000/5))*SUMIFS(팀공격력!P:P,팀공격력!A:A,B42,팀공격력!B:B,D42))-K42)),"")</f>
        <v>0.47305927432707318</v>
      </c>
      <c r="BM42" s="67">
        <f>IFERROR(100*((AM42/E42*(2400))/((F42*60+G42)*SUMIFS(팀공격력!AR:AR,팀공격력!A:A,B42,팀공격력!B:B,D42))),"")</f>
        <v>3.0493037192307293</v>
      </c>
      <c r="BN42" s="67">
        <f>IFERROR((AO42*40)/(((F42*60+G42)/60)*(SUMIFS(팀수비력!Q:Q,팀수비력!A:A,B42,팀수비력!B:B,D42)-SUMIFS(팀수비력!N:N,팀수비력!A:A,B42,팀수비력!B:B,D42)))*100,"")</f>
        <v>0</v>
      </c>
      <c r="BO42" s="67">
        <f t="shared" si="25"/>
        <v>7.1428571428571432</v>
      </c>
      <c r="BP42" s="19"/>
      <c r="BQ42" s="19"/>
      <c r="BR42" s="19"/>
      <c r="BS42" s="19"/>
      <c r="BT42" s="20" t="s">
        <v>89</v>
      </c>
      <c r="BU42" s="21">
        <v>53000</v>
      </c>
      <c r="BV42" s="31" t="s">
        <v>93</v>
      </c>
      <c r="BW42" s="31">
        <v>80.37</v>
      </c>
      <c r="BX42" s="31">
        <v>101.07</v>
      </c>
      <c r="BY42" s="31">
        <v>20.7</v>
      </c>
      <c r="BZ42" s="35">
        <f t="shared" si="39"/>
        <v>5.0231249999999994</v>
      </c>
      <c r="CA42" s="35">
        <f t="shared" si="40"/>
        <v>6.3168749999999996</v>
      </c>
      <c r="CB42" s="35">
        <f t="shared" si="41"/>
        <v>1.29375</v>
      </c>
      <c r="CC42" s="36">
        <f t="shared" si="42"/>
        <v>19.319711538461533</v>
      </c>
      <c r="CD42" s="36">
        <f t="shared" si="43"/>
        <v>24.295673076923073</v>
      </c>
      <c r="CE42" s="36">
        <f t="shared" si="44"/>
        <v>4.9759615384615383</v>
      </c>
      <c r="CF42" s="30">
        <v>7</v>
      </c>
      <c r="CG42" s="30">
        <v>9</v>
      </c>
    </row>
    <row r="43" spans="1:85" x14ac:dyDescent="0.4">
      <c r="A43" s="11" t="s">
        <v>85</v>
      </c>
      <c r="B43" s="11" t="s">
        <v>123</v>
      </c>
      <c r="C43" s="11" t="s">
        <v>137</v>
      </c>
      <c r="D43" s="46" t="s">
        <v>88</v>
      </c>
      <c r="E43" s="15">
        <v>37</v>
      </c>
      <c r="F43" s="15">
        <v>8</v>
      </c>
      <c r="G43" s="15">
        <v>20</v>
      </c>
      <c r="H43" s="16">
        <f t="shared" si="0"/>
        <v>18500</v>
      </c>
      <c r="I43" s="16">
        <v>91</v>
      </c>
      <c r="J43" s="17">
        <f t="shared" si="1"/>
        <v>2.4594594594594597</v>
      </c>
      <c r="K43" s="15">
        <v>30</v>
      </c>
      <c r="L43" s="15">
        <v>87</v>
      </c>
      <c r="M43" s="17">
        <f t="shared" si="2"/>
        <v>0.81081081081081086</v>
      </c>
      <c r="N43" s="17">
        <f t="shared" si="3"/>
        <v>2.3513513513513513</v>
      </c>
      <c r="O43" s="18">
        <f t="shared" si="4"/>
        <v>0.34482758620689657</v>
      </c>
      <c r="P43" s="16">
        <v>11</v>
      </c>
      <c r="Q43" s="15">
        <v>33</v>
      </c>
      <c r="R43" s="17">
        <f t="shared" si="5"/>
        <v>0.29729729729729731</v>
      </c>
      <c r="S43" s="17">
        <f t="shared" si="6"/>
        <v>0.89189189189189189</v>
      </c>
      <c r="T43" s="18">
        <f t="shared" si="7"/>
        <v>0.33333333333333331</v>
      </c>
      <c r="U43" s="15">
        <v>19</v>
      </c>
      <c r="V43" s="15">
        <v>54</v>
      </c>
      <c r="W43" s="17">
        <f t="shared" si="8"/>
        <v>0.51351351351351349</v>
      </c>
      <c r="X43" s="17">
        <f t="shared" si="9"/>
        <v>1.4594594594594594</v>
      </c>
      <c r="Y43" s="18">
        <f t="shared" si="10"/>
        <v>0.35185185185185186</v>
      </c>
      <c r="Z43" s="15">
        <v>12</v>
      </c>
      <c r="AA43" s="15">
        <v>27</v>
      </c>
      <c r="AB43" s="17">
        <f t="shared" si="11"/>
        <v>0.32432432432432434</v>
      </c>
      <c r="AC43" s="17">
        <f t="shared" si="12"/>
        <v>0.72972972972972971</v>
      </c>
      <c r="AD43" s="18">
        <f t="shared" si="13"/>
        <v>0.44444444444444442</v>
      </c>
      <c r="AE43" s="15">
        <v>32</v>
      </c>
      <c r="AF43" s="17">
        <f t="shared" si="14"/>
        <v>0.86486486486486491</v>
      </c>
      <c r="AG43" s="15">
        <v>7</v>
      </c>
      <c r="AH43" s="17">
        <f t="shared" si="15"/>
        <v>0.1891891891891892</v>
      </c>
      <c r="AI43" s="15">
        <v>25</v>
      </c>
      <c r="AJ43" s="17">
        <f t="shared" si="16"/>
        <v>0.67567567567567566</v>
      </c>
      <c r="AK43" s="15">
        <v>34</v>
      </c>
      <c r="AL43" s="17">
        <f t="shared" si="17"/>
        <v>0.91891891891891897</v>
      </c>
      <c r="AM43" s="15">
        <v>9</v>
      </c>
      <c r="AN43" s="17">
        <f t="shared" si="18"/>
        <v>0.24324324324324326</v>
      </c>
      <c r="AO43" s="15">
        <v>0</v>
      </c>
      <c r="AP43" s="17">
        <f t="shared" si="26"/>
        <v>0</v>
      </c>
      <c r="AQ43" s="5">
        <v>21</v>
      </c>
      <c r="AR43" s="17">
        <f t="shared" si="19"/>
        <v>0.56756756756756754</v>
      </c>
      <c r="AS43" s="15">
        <v>37</v>
      </c>
      <c r="AT43" s="17">
        <f t="shared" si="20"/>
        <v>1</v>
      </c>
      <c r="AU43" s="19">
        <v>-0.24502940625785591</v>
      </c>
      <c r="AV43" s="19">
        <v>-3.1787598649667792E-2</v>
      </c>
      <c r="AW43" s="19">
        <v>-0.26607855358511401</v>
      </c>
      <c r="AX43" s="19">
        <v>2.1049147327258141E-2</v>
      </c>
      <c r="AY43" s="19">
        <v>92.992734946200642</v>
      </c>
      <c r="AZ43" s="19">
        <v>118.9064538069958</v>
      </c>
      <c r="BA43" s="19">
        <v>2.732502964913968</v>
      </c>
      <c r="BB43" s="19">
        <v>1.972972972972973</v>
      </c>
      <c r="BC43" s="19">
        <v>9.4702702702702712</v>
      </c>
      <c r="BD43" s="65">
        <f t="shared" si="21"/>
        <v>46.015372168284792</v>
      </c>
      <c r="BE43" s="65">
        <f t="shared" si="22"/>
        <v>45.402298850574709</v>
      </c>
      <c r="BF43" s="66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12.995121951219513</v>
      </c>
      <c r="BG43" s="38">
        <f t="shared" si="23"/>
        <v>0.62068965517241381</v>
      </c>
      <c r="BH43" s="38">
        <f t="shared" si="24"/>
        <v>0.31034482758620691</v>
      </c>
      <c r="BI43" s="67">
        <f>IFERROR(((AG43*(12000/5))/((F43*60+G43)*(SUMIFS(팀공격력!X:X,팀공격력!A:A,B43,팀공격력!B:B,D43)+SUMIFS(팀수비력!X:X,팀수비력!A:A,B43,팀수비력!B:B,D43))))*100,"")</f>
        <v>0.88421052631578945</v>
      </c>
      <c r="BJ43" s="67">
        <f>IFERROR(((AI43*(12000/5))/((F43*60+G43)*(SUMIFS(팀공격력!V:V,팀공격력!A:A,B43,팀공격력!B:B,D43)+SUMIFS(팀수비력!W:W,팀수비력!A:A,B43,팀수비력!B:B,D43))))*100,"")</f>
        <v>6.6408411732152741</v>
      </c>
      <c r="BK43" s="67">
        <f>IFERROR(((AE43*(12000/5))/((F43*60+G43)*(SUMIFS(팀공격력!X:X,팀공격력!A:A,B43,팀공격력!B:B,D43)+SUMIFS(팀수비력!X:X,팀수비력!A:A,B43,팀수비력!B:B,D43))))*100,"")</f>
        <v>4.0421052631578949</v>
      </c>
      <c r="BL43" s="67">
        <f>IFERROR(100*AK43/(((((F43*60+G43)/(12000/5))*SUMIFS(팀공격력!P:P,팀공격력!A:A,B43,팀공격력!B:B,D43))-K43)),"")</f>
        <v>10.815109343936381</v>
      </c>
      <c r="BM43" s="67">
        <f>IFERROR(100*((AM43/E43*(2400))/((F43*60+G43)*SUMIFS(팀공격력!AR:AR,팀공격력!A:A,B43,팀공격력!B:B,D43))),"")</f>
        <v>1.6456350450161952</v>
      </c>
      <c r="BN43" s="67">
        <f>IFERROR((AO43*40)/(((F43*60+G43)/60)*(SUMIFS(팀수비력!Q:Q,팀수비력!A:A,B43,팀수비력!B:B,D43)-SUMIFS(팀수비력!N:N,팀수비력!A:A,B43,팀수비력!B:B,D43)))*100,"")</f>
        <v>0</v>
      </c>
      <c r="BO43" s="67">
        <f t="shared" si="25"/>
        <v>17.517517517517518</v>
      </c>
      <c r="BP43" s="19"/>
      <c r="BQ43" s="19"/>
      <c r="BR43" s="19"/>
      <c r="BS43" s="19"/>
      <c r="BT43" s="20" t="s">
        <v>89</v>
      </c>
      <c r="BU43" s="21">
        <v>100000</v>
      </c>
      <c r="BV43" s="30" t="s">
        <v>90</v>
      </c>
      <c r="BW43" s="30">
        <v>172.61</v>
      </c>
      <c r="BX43" s="30">
        <v>269.61</v>
      </c>
      <c r="BY43" s="30">
        <v>97</v>
      </c>
      <c r="BZ43" s="35">
        <f t="shared" si="39"/>
        <v>4.6651351351351362</v>
      </c>
      <c r="CA43" s="35">
        <f t="shared" si="40"/>
        <v>7.2867567567567573</v>
      </c>
      <c r="CB43" s="35">
        <f t="shared" si="41"/>
        <v>2.6216216216216215</v>
      </c>
      <c r="CC43" s="36">
        <f t="shared" si="42"/>
        <v>22.392648648648649</v>
      </c>
      <c r="CD43" s="36">
        <f t="shared" si="43"/>
        <v>34.976432432432432</v>
      </c>
      <c r="CE43" s="36">
        <f t="shared" si="44"/>
        <v>12.583783783783783</v>
      </c>
      <c r="CF43" s="31">
        <v>13</v>
      </c>
      <c r="CG43" s="31">
        <v>24</v>
      </c>
    </row>
    <row r="44" spans="1:85" x14ac:dyDescent="0.4">
      <c r="A44" s="11" t="s">
        <v>85</v>
      </c>
      <c r="B44" s="11" t="s">
        <v>123</v>
      </c>
      <c r="C44" s="11" t="s">
        <v>138</v>
      </c>
      <c r="D44" s="46" t="s">
        <v>88</v>
      </c>
      <c r="E44" s="15">
        <v>12</v>
      </c>
      <c r="F44" s="15">
        <v>7</v>
      </c>
      <c r="G44" s="15">
        <v>27</v>
      </c>
      <c r="H44" s="16">
        <f t="shared" si="0"/>
        <v>5364</v>
      </c>
      <c r="I44" s="16">
        <v>22</v>
      </c>
      <c r="J44" s="17">
        <f t="shared" si="1"/>
        <v>1.8333333333333333</v>
      </c>
      <c r="K44" s="15">
        <v>9</v>
      </c>
      <c r="L44" s="15">
        <v>28</v>
      </c>
      <c r="M44" s="17">
        <f t="shared" si="2"/>
        <v>0.75</v>
      </c>
      <c r="N44" s="17">
        <f t="shared" si="3"/>
        <v>2.3333333333333335</v>
      </c>
      <c r="O44" s="18">
        <f t="shared" si="4"/>
        <v>0.32142857142857145</v>
      </c>
      <c r="P44" s="16">
        <v>5</v>
      </c>
      <c r="Q44" s="15">
        <v>8</v>
      </c>
      <c r="R44" s="17">
        <f t="shared" si="5"/>
        <v>0.41666666666666669</v>
      </c>
      <c r="S44" s="17">
        <f t="shared" si="6"/>
        <v>0.66666666666666663</v>
      </c>
      <c r="T44" s="18">
        <f t="shared" si="7"/>
        <v>0.625</v>
      </c>
      <c r="U44" s="15">
        <v>4</v>
      </c>
      <c r="V44" s="15">
        <v>20</v>
      </c>
      <c r="W44" s="17">
        <f t="shared" si="8"/>
        <v>0.33333333333333331</v>
      </c>
      <c r="X44" s="17">
        <f t="shared" si="9"/>
        <v>1.6666666666666667</v>
      </c>
      <c r="Y44" s="18">
        <f t="shared" si="10"/>
        <v>0.2</v>
      </c>
      <c r="Z44" s="15">
        <v>0</v>
      </c>
      <c r="AA44" s="15">
        <v>0</v>
      </c>
      <c r="AB44" s="17">
        <f t="shared" si="11"/>
        <v>0</v>
      </c>
      <c r="AC44" s="17">
        <f t="shared" si="12"/>
        <v>0</v>
      </c>
      <c r="AD44" s="18" t="e">
        <f t="shared" si="13"/>
        <v>#DIV/0!</v>
      </c>
      <c r="AE44" s="15">
        <v>6</v>
      </c>
      <c r="AF44" s="17">
        <f t="shared" si="14"/>
        <v>0.5</v>
      </c>
      <c r="AG44" s="15">
        <v>3</v>
      </c>
      <c r="AH44" s="17">
        <f t="shared" si="15"/>
        <v>0.25</v>
      </c>
      <c r="AI44" s="15">
        <v>3</v>
      </c>
      <c r="AJ44" s="17">
        <f t="shared" si="16"/>
        <v>0.25</v>
      </c>
      <c r="AK44" s="15">
        <v>2</v>
      </c>
      <c r="AL44" s="17">
        <f t="shared" si="17"/>
        <v>0.16666666666666666</v>
      </c>
      <c r="AM44" s="15">
        <v>4</v>
      </c>
      <c r="AN44" s="17">
        <f t="shared" si="18"/>
        <v>0.33333333333333331</v>
      </c>
      <c r="AO44" s="15">
        <v>0</v>
      </c>
      <c r="AP44" s="17">
        <f t="shared" si="26"/>
        <v>0</v>
      </c>
      <c r="AQ44" s="4">
        <v>4</v>
      </c>
      <c r="AR44" s="17">
        <f t="shared" si="19"/>
        <v>0.33333333333333331</v>
      </c>
      <c r="AS44" s="15">
        <v>9</v>
      </c>
      <c r="AT44" s="17">
        <f t="shared" si="20"/>
        <v>0.75</v>
      </c>
      <c r="AU44" s="19">
        <v>-0.16025991820589811</v>
      </c>
      <c r="AV44" s="19">
        <v>-7.1704661389663554E-2</v>
      </c>
      <c r="AW44" s="19">
        <v>-0.16414865592246991</v>
      </c>
      <c r="AX44" s="19">
        <v>3.8887377165717769E-3</v>
      </c>
      <c r="AY44" s="19">
        <v>79.628112739961537</v>
      </c>
      <c r="AZ44" s="19">
        <v>119.1591136497335</v>
      </c>
      <c r="BA44" s="19">
        <v>0.40011856319600131</v>
      </c>
      <c r="BB44" s="19">
        <v>0.91666666666666663</v>
      </c>
      <c r="BC44" s="19">
        <v>4.9217002237136462</v>
      </c>
      <c r="BD44" s="65">
        <f t="shared" si="21"/>
        <v>39.285714285714285</v>
      </c>
      <c r="BE44" s="65">
        <f t="shared" si="22"/>
        <v>39.285714285714285</v>
      </c>
      <c r="BF44" s="66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3.8801282867414804</v>
      </c>
      <c r="BG44" s="38">
        <f t="shared" si="23"/>
        <v>0.7142857142857143</v>
      </c>
      <c r="BH44" s="38">
        <f t="shared" si="24"/>
        <v>0</v>
      </c>
      <c r="BI44" s="67">
        <f>IFERROR(((AG44*(12000/5))/((F44*60+G44)*(SUMIFS(팀공격력!X:X,팀공격력!A:A,B44,팀공격력!B:B,D44)+SUMIFS(팀수비력!X:X,팀수비력!A:A,B44,팀수비력!B:B,D44))))*100,"")</f>
        <v>0.42387848816672558</v>
      </c>
      <c r="BJ44" s="67">
        <f>IFERROR(((AI44*(12000/5))/((F44*60+G44)*(SUMIFS(팀공격력!V:V,팀공격력!A:A,B44,팀공격력!B:B,D44)+SUMIFS(팀수비력!W:W,팀수비력!A:A,B44,팀수비력!B:B,D44))))*100,"")</f>
        <v>0.89138807694164757</v>
      </c>
      <c r="BK44" s="67">
        <f>IFERROR(((AE44*(12000/5))/((F44*60+G44)*(SUMIFS(팀공격력!X:X,팀공격력!A:A,B44,팀공격력!B:B,D44)+SUMIFS(팀수비력!X:X,팀수비력!A:A,B44,팀수비력!B:B,D44))))*100,"")</f>
        <v>0.84775697633345115</v>
      </c>
      <c r="BL44" s="67">
        <f>IFERROR(100*AK44/(((((F44*60+G44)/(12000/5))*SUMIFS(팀공격력!P:P,팀공격력!A:A,B44,팀공격력!B:B,D44))-K44)),"")</f>
        <v>0.66918447324725949</v>
      </c>
      <c r="BM44" s="67">
        <f>IFERROR(100*((AM44/E44*(2400))/((F44*60+G44)*SUMIFS(팀공격력!AR:AR,팀공격력!A:A,B44,팀공격력!B:B,D44))),"")</f>
        <v>2.5225162260998926</v>
      </c>
      <c r="BN44" s="67">
        <f>IFERROR((AO44*40)/(((F44*60+G44)/60)*(SUMIFS(팀수비력!Q:Q,팀수비력!A:A,B44,팀수비력!B:B,D44)-SUMIFS(팀수비력!N:N,팀수비력!A:A,B44,팀수비력!B:B,D44)))*100,"")</f>
        <v>0</v>
      </c>
      <c r="BO44" s="67">
        <f t="shared" si="25"/>
        <v>12.5</v>
      </c>
      <c r="BP44" s="19"/>
      <c r="BQ44" s="19"/>
      <c r="BR44" s="19"/>
      <c r="BS44" s="19"/>
      <c r="BT44" s="20" t="s">
        <v>89</v>
      </c>
      <c r="BU44" s="21">
        <v>55000</v>
      </c>
      <c r="BV44" s="30" t="s">
        <v>90</v>
      </c>
      <c r="BW44" s="30">
        <v>36.93</v>
      </c>
      <c r="BX44" s="30">
        <v>60.33</v>
      </c>
      <c r="BY44" s="30">
        <v>23.4</v>
      </c>
      <c r="BZ44" s="35">
        <f t="shared" si="39"/>
        <v>3.0774999999999997</v>
      </c>
      <c r="CA44" s="35">
        <f t="shared" si="40"/>
        <v>5.0274999999999999</v>
      </c>
      <c r="CB44" s="35">
        <f t="shared" si="41"/>
        <v>1.95</v>
      </c>
      <c r="CC44" s="36">
        <f t="shared" si="42"/>
        <v>16.523489932885909</v>
      </c>
      <c r="CD44" s="36">
        <f t="shared" si="43"/>
        <v>26.993288590604028</v>
      </c>
      <c r="CE44" s="36">
        <f t="shared" si="44"/>
        <v>10.469798657718121</v>
      </c>
      <c r="CF44" s="31">
        <v>2</v>
      </c>
      <c r="CG44" s="31">
        <v>10</v>
      </c>
    </row>
    <row r="45" spans="1:85" x14ac:dyDescent="0.4">
      <c r="A45" s="11" t="s">
        <v>85</v>
      </c>
      <c r="B45" s="11" t="s">
        <v>123</v>
      </c>
      <c r="C45" s="11" t="s">
        <v>139</v>
      </c>
      <c r="D45" s="46" t="s">
        <v>88</v>
      </c>
      <c r="E45" s="24">
        <v>39</v>
      </c>
      <c r="F45" s="24">
        <v>28</v>
      </c>
      <c r="G45" s="24">
        <v>50</v>
      </c>
      <c r="H45" s="16">
        <f t="shared" si="0"/>
        <v>67470</v>
      </c>
      <c r="I45" s="16">
        <v>445</v>
      </c>
      <c r="J45" s="17">
        <f t="shared" si="1"/>
        <v>11.410256410256411</v>
      </c>
      <c r="K45" s="15">
        <v>191</v>
      </c>
      <c r="L45" s="15">
        <v>373</v>
      </c>
      <c r="M45" s="17">
        <f t="shared" si="2"/>
        <v>4.8974358974358978</v>
      </c>
      <c r="N45" s="17">
        <f t="shared" si="3"/>
        <v>9.5641025641025639</v>
      </c>
      <c r="O45" s="18">
        <f t="shared" si="4"/>
        <v>0.51206434316353888</v>
      </c>
      <c r="P45" s="16">
        <v>172</v>
      </c>
      <c r="Q45" s="15">
        <v>307</v>
      </c>
      <c r="R45" s="17">
        <f t="shared" si="5"/>
        <v>4.4102564102564106</v>
      </c>
      <c r="S45" s="17">
        <f t="shared" si="6"/>
        <v>7.8717948717948714</v>
      </c>
      <c r="T45" s="18">
        <f t="shared" si="7"/>
        <v>0.56026058631921827</v>
      </c>
      <c r="U45" s="15">
        <v>19</v>
      </c>
      <c r="V45" s="15">
        <v>66</v>
      </c>
      <c r="W45" s="17">
        <f t="shared" si="8"/>
        <v>0.48717948717948717</v>
      </c>
      <c r="X45" s="17">
        <f t="shared" si="9"/>
        <v>1.6923076923076923</v>
      </c>
      <c r="Y45" s="18">
        <f t="shared" si="10"/>
        <v>0.2878787878787879</v>
      </c>
      <c r="Z45" s="15">
        <v>44</v>
      </c>
      <c r="AA45" s="15">
        <v>83</v>
      </c>
      <c r="AB45" s="17">
        <f t="shared" si="11"/>
        <v>1.1282051282051282</v>
      </c>
      <c r="AC45" s="17">
        <f t="shared" si="12"/>
        <v>2.1282051282051282</v>
      </c>
      <c r="AD45" s="18">
        <f t="shared" si="13"/>
        <v>0.53012048192771088</v>
      </c>
      <c r="AE45" s="15">
        <v>196</v>
      </c>
      <c r="AF45" s="17">
        <f t="shared" si="14"/>
        <v>5.0256410256410255</v>
      </c>
      <c r="AG45" s="15">
        <v>65</v>
      </c>
      <c r="AH45" s="17">
        <f t="shared" si="15"/>
        <v>1.6666666666666667</v>
      </c>
      <c r="AI45" s="15">
        <v>131</v>
      </c>
      <c r="AJ45" s="17">
        <f t="shared" si="16"/>
        <v>3.358974358974359</v>
      </c>
      <c r="AK45" s="15">
        <v>67</v>
      </c>
      <c r="AL45" s="17">
        <f t="shared" si="17"/>
        <v>1.7179487179487178</v>
      </c>
      <c r="AM45" s="15">
        <v>25</v>
      </c>
      <c r="AN45" s="17">
        <f t="shared" si="18"/>
        <v>0.64102564102564108</v>
      </c>
      <c r="AO45" s="15">
        <v>2</v>
      </c>
      <c r="AP45" s="17">
        <f t="shared" si="26"/>
        <v>5.128205128205128E-2</v>
      </c>
      <c r="AQ45" s="4">
        <v>43</v>
      </c>
      <c r="AR45" s="17">
        <f t="shared" si="19"/>
        <v>1.1025641025641026</v>
      </c>
      <c r="AS45" s="15">
        <v>83</v>
      </c>
      <c r="AT45" s="17">
        <f t="shared" si="20"/>
        <v>2.1282051282051282</v>
      </c>
      <c r="AU45" s="19">
        <v>1.17946456516936</v>
      </c>
      <c r="AV45" s="19">
        <v>4.1955164612516138E-2</v>
      </c>
      <c r="AW45" s="19">
        <v>1.0241960538418851</v>
      </c>
      <c r="AX45" s="19">
        <v>0.15526851132747499</v>
      </c>
      <c r="AY45" s="19">
        <v>111.2683880639006</v>
      </c>
      <c r="AZ45" s="19">
        <v>118.1943525545118</v>
      </c>
      <c r="BA45" s="19">
        <v>7.5417036851603374</v>
      </c>
      <c r="BB45" s="19">
        <v>12.07692307692308</v>
      </c>
      <c r="BC45" s="19">
        <v>16.754112939084042</v>
      </c>
      <c r="BD45" s="65">
        <f t="shared" si="21"/>
        <v>54.331900761867558</v>
      </c>
      <c r="BE45" s="65">
        <f t="shared" si="22"/>
        <v>53.753351206434317</v>
      </c>
      <c r="BF45" s="66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14.177357958550683</v>
      </c>
      <c r="BG45" s="38">
        <f t="shared" si="23"/>
        <v>0.17694369973190349</v>
      </c>
      <c r="BH45" s="38">
        <f t="shared" si="24"/>
        <v>0.22252010723860591</v>
      </c>
      <c r="BI45" s="67">
        <f>IFERROR(((AG45*(12000/5))/((F45*60+G45)*(SUMIFS(팀공격력!X:X,팀공격력!A:A,B45,팀공격력!B:B,D45)+SUMIFS(팀수비력!X:X,팀수비력!A:A,B45,팀수비력!B:B,D45))))*100,"")</f>
        <v>2.3729844843322181</v>
      </c>
      <c r="BJ45" s="67">
        <f>IFERROR(((AI45*(12000/5))/((F45*60+G45)*(SUMIFS(팀공격력!V:V,팀공격력!A:A,B45,팀공격력!B:B,D45)+SUMIFS(팀수비력!W:W,팀수비력!A:A,B45,팀수비력!B:B,D45))))*100,"")</f>
        <v>10.057227672730647</v>
      </c>
      <c r="BK45" s="67">
        <f>IFERROR(((AE45*(12000/5))/((F45*60+G45)*(SUMIFS(팀공격력!X:X,팀공격력!A:A,B45,팀공격력!B:B,D45)+SUMIFS(팀수비력!X:X,팀수비력!A:A,B45,팀수비력!B:B,D45))))*100,"")</f>
        <v>7.155460906601764</v>
      </c>
      <c r="BL45" s="67">
        <f>IFERROR(100*AK45/(((((F45*60+G45)/(12000/5))*SUMIFS(팀공격력!P:P,팀공격력!A:A,B45,팀공격력!B:B,D45))-K45)),"")</f>
        <v>6.6964006846320112</v>
      </c>
      <c r="BM45" s="67">
        <f>IFERROR(100*((AM45/E45*(2400))/((F45*60+G45)*SUMIFS(팀공격력!AR:AR,팀공격력!A:A,B45,팀공격력!B:B,D45))),"")</f>
        <v>1.2534067953164205</v>
      </c>
      <c r="BN45" s="67">
        <f>IFERROR((AO45*40)/(((F45*60+G45)/60)*(SUMIFS(팀수비력!Q:Q,팀수비력!A:A,B45,팀수비력!B:B,D45)-SUMIFS(팀수비력!N:N,팀수비력!A:A,B45,팀수비력!B:B,D45)))*100,"")</f>
        <v>0.12809632843898613</v>
      </c>
      <c r="BO45" s="67">
        <f t="shared" si="25"/>
        <v>9.5023424379032981</v>
      </c>
      <c r="BP45" s="19"/>
      <c r="BQ45" s="19"/>
      <c r="BR45" s="19"/>
      <c r="BS45" s="19"/>
      <c r="BT45" s="20" t="s">
        <v>89</v>
      </c>
      <c r="BU45" s="21">
        <v>35000</v>
      </c>
      <c r="BV45" s="31" t="s">
        <v>93</v>
      </c>
      <c r="BW45" s="31">
        <v>824.07</v>
      </c>
      <c r="BX45" s="31">
        <v>1097.07</v>
      </c>
      <c r="BY45" s="31">
        <v>273</v>
      </c>
      <c r="BZ45" s="35">
        <f t="shared" si="39"/>
        <v>21.13</v>
      </c>
      <c r="CA45" s="35">
        <f t="shared" si="40"/>
        <v>28.13</v>
      </c>
      <c r="CB45" s="35">
        <f t="shared" si="41"/>
        <v>7</v>
      </c>
      <c r="CC45" s="36">
        <f t="shared" si="42"/>
        <v>29.31329479768786</v>
      </c>
      <c r="CD45" s="36">
        <f t="shared" si="43"/>
        <v>39.024277456647397</v>
      </c>
      <c r="CE45" s="36">
        <f t="shared" si="44"/>
        <v>9.7109826589595372</v>
      </c>
      <c r="CF45" s="31">
        <v>14</v>
      </c>
      <c r="CG45" s="31">
        <v>25</v>
      </c>
    </row>
    <row r="46" spans="1:85" x14ac:dyDescent="0.4">
      <c r="A46" s="11" t="s">
        <v>85</v>
      </c>
      <c r="B46" s="11" t="s">
        <v>123</v>
      </c>
      <c r="C46" s="11" t="s">
        <v>140</v>
      </c>
      <c r="D46" s="46" t="s">
        <v>88</v>
      </c>
      <c r="E46" s="25">
        <v>12</v>
      </c>
      <c r="F46" s="25">
        <v>6</v>
      </c>
      <c r="G46" s="25">
        <v>25</v>
      </c>
      <c r="H46" s="16">
        <f t="shared" si="0"/>
        <v>4620</v>
      </c>
      <c r="I46" s="16">
        <v>33</v>
      </c>
      <c r="J46" s="17">
        <f t="shared" si="1"/>
        <v>2.75</v>
      </c>
      <c r="K46" s="15">
        <v>10</v>
      </c>
      <c r="L46" s="15">
        <v>24</v>
      </c>
      <c r="M46" s="17">
        <f t="shared" si="2"/>
        <v>0.83333333333333337</v>
      </c>
      <c r="N46" s="17">
        <f t="shared" si="3"/>
        <v>2</v>
      </c>
      <c r="O46" s="18">
        <f t="shared" si="4"/>
        <v>0.41666666666666669</v>
      </c>
      <c r="P46" s="16">
        <v>3</v>
      </c>
      <c r="Q46" s="15">
        <v>7</v>
      </c>
      <c r="R46" s="17">
        <f t="shared" si="5"/>
        <v>0.25</v>
      </c>
      <c r="S46" s="17">
        <f t="shared" si="6"/>
        <v>0.58333333333333337</v>
      </c>
      <c r="T46" s="18">
        <f t="shared" si="7"/>
        <v>0.42857142857142855</v>
      </c>
      <c r="U46" s="15">
        <v>7</v>
      </c>
      <c r="V46" s="15">
        <v>17</v>
      </c>
      <c r="W46" s="17">
        <f t="shared" si="8"/>
        <v>0.58333333333333337</v>
      </c>
      <c r="X46" s="17">
        <f t="shared" si="9"/>
        <v>1.4166666666666667</v>
      </c>
      <c r="Y46" s="18">
        <f t="shared" si="10"/>
        <v>0.41176470588235292</v>
      </c>
      <c r="Z46" s="15">
        <v>6</v>
      </c>
      <c r="AA46" s="15">
        <v>7</v>
      </c>
      <c r="AB46" s="17">
        <f t="shared" si="11"/>
        <v>0.5</v>
      </c>
      <c r="AC46" s="17">
        <f t="shared" si="12"/>
        <v>0.58333333333333337</v>
      </c>
      <c r="AD46" s="18">
        <f t="shared" si="13"/>
        <v>0.8571428571428571</v>
      </c>
      <c r="AE46" s="15">
        <v>8</v>
      </c>
      <c r="AF46" s="17">
        <f t="shared" si="14"/>
        <v>0.66666666666666663</v>
      </c>
      <c r="AG46" s="15">
        <v>1</v>
      </c>
      <c r="AH46" s="17">
        <f t="shared" si="15"/>
        <v>8.3333333333333329E-2</v>
      </c>
      <c r="AI46" s="15">
        <v>7</v>
      </c>
      <c r="AJ46" s="17">
        <f t="shared" si="16"/>
        <v>0.58333333333333337</v>
      </c>
      <c r="AK46" s="15">
        <v>3</v>
      </c>
      <c r="AL46" s="17">
        <f t="shared" si="17"/>
        <v>0.25</v>
      </c>
      <c r="AM46" s="15">
        <v>3</v>
      </c>
      <c r="AN46" s="17">
        <f t="shared" si="18"/>
        <v>0.25</v>
      </c>
      <c r="AO46" s="15">
        <v>0</v>
      </c>
      <c r="AP46" s="17">
        <f t="shared" si="26"/>
        <v>0</v>
      </c>
      <c r="AQ46" s="4">
        <v>2</v>
      </c>
      <c r="AR46" s="17">
        <f t="shared" si="19"/>
        <v>0.16666666666666666</v>
      </c>
      <c r="AS46" s="15">
        <v>13</v>
      </c>
      <c r="AT46" s="17">
        <f t="shared" si="20"/>
        <v>1.0833333333333333</v>
      </c>
      <c r="AU46" s="19">
        <v>0.1555655324379332</v>
      </c>
      <c r="AV46" s="19">
        <v>8.0813263604121152E-2</v>
      </c>
      <c r="AW46" s="19">
        <v>0.13669598255423551</v>
      </c>
      <c r="AX46" s="19">
        <v>1.886954988369767E-2</v>
      </c>
      <c r="AY46" s="19">
        <v>122.77714011453681</v>
      </c>
      <c r="AZ46" s="19">
        <v>117.1030884430111</v>
      </c>
      <c r="BA46" s="19">
        <v>1.841344064062683</v>
      </c>
      <c r="BB46" s="19">
        <v>2.5</v>
      </c>
      <c r="BC46" s="19">
        <v>15.584415584415581</v>
      </c>
      <c r="BD46" s="65">
        <f t="shared" si="21"/>
        <v>60.930576070901033</v>
      </c>
      <c r="BE46" s="65">
        <f t="shared" si="22"/>
        <v>56.25</v>
      </c>
      <c r="BF46" s="66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4.0939006792665333</v>
      </c>
      <c r="BG46" s="38">
        <f t="shared" si="23"/>
        <v>0.70833333333333337</v>
      </c>
      <c r="BH46" s="38">
        <f t="shared" si="24"/>
        <v>0.29166666666666669</v>
      </c>
      <c r="BI46" s="67">
        <f>IFERROR(((AG46*(12000/5))/((F46*60+G46)*(SUMIFS(팀공격력!X:X,팀공격력!A:A,B46,팀공격력!B:B,D46)+SUMIFS(팀수비력!X:X,팀수비력!A:A,B46,팀수비력!B:B,D46))))*100,"")</f>
        <v>0.16404647983595352</v>
      </c>
      <c r="BJ46" s="67">
        <f>IFERROR(((AI46*(12000/5))/((F46*60+G46)*(SUMIFS(팀공격력!V:V,팀공격력!A:A,B46,팀공격력!B:B,D46)+SUMIFS(팀수비력!W:W,팀수비력!A:A,B46,팀수비력!B:B,D46))))*100,"")</f>
        <v>2.4148513357146451</v>
      </c>
      <c r="BK46" s="67">
        <f>IFERROR(((AE46*(12000/5))/((F46*60+G46)*(SUMIFS(팀공격력!X:X,팀공격력!A:A,B46,팀공격력!B:B,D46)+SUMIFS(팀수비력!X:X,팀수비력!A:A,B46,팀수비력!B:B,D46))))*100,"")</f>
        <v>1.3123718386876282</v>
      </c>
      <c r="BL46" s="67">
        <f>IFERROR(100*AK46/(((((F46*60+G46)/(12000/5))*SUMIFS(팀공격력!P:P,팀공격력!A:A,B46,팀공격력!B:B,D46))-K46)),"")</f>
        <v>1.1756925563965022</v>
      </c>
      <c r="BM46" s="67">
        <f>IFERROR(100*((AM46/E46*(2400))/((F46*60+G46)*SUMIFS(팀공격력!AR:AR,팀공격력!A:A,B46,팀공격력!B:B,D46))),"")</f>
        <v>2.1965547137662051</v>
      </c>
      <c r="BN46" s="67">
        <f>IFERROR((AO46*40)/(((F46*60+G46)/60)*(SUMIFS(팀수비력!Q:Q,팀수비력!A:A,B46,팀수비력!B:B,D46)-SUMIFS(팀수비력!N:N,팀수비력!A:A,B46,팀수비력!B:B,D46)))*100,"")</f>
        <v>0</v>
      </c>
      <c r="BO46" s="67">
        <f t="shared" si="25"/>
        <v>6.8775790921595599</v>
      </c>
      <c r="BP46" s="19"/>
      <c r="BQ46" s="19"/>
      <c r="BR46" s="19"/>
      <c r="BS46" s="19"/>
      <c r="BT46" s="20" t="s">
        <v>89</v>
      </c>
      <c r="BU46" s="21">
        <v>32500</v>
      </c>
      <c r="BV46" s="31" t="s">
        <v>90</v>
      </c>
      <c r="BW46" s="31">
        <v>52.93</v>
      </c>
      <c r="BX46" s="31">
        <v>69.73</v>
      </c>
      <c r="BY46" s="31">
        <v>16.8</v>
      </c>
      <c r="BZ46" s="35">
        <f t="shared" si="39"/>
        <v>4.4108333333333336</v>
      </c>
      <c r="CA46" s="35">
        <f t="shared" si="40"/>
        <v>5.810833333333334</v>
      </c>
      <c r="CB46" s="35">
        <f t="shared" si="41"/>
        <v>1.4000000000000001</v>
      </c>
      <c r="CC46" s="36">
        <f t="shared" si="42"/>
        <v>27.496103896103897</v>
      </c>
      <c r="CD46" s="36">
        <f t="shared" si="43"/>
        <v>36.223376623376623</v>
      </c>
      <c r="CE46" s="36">
        <f t="shared" si="44"/>
        <v>8.7272727272727266</v>
      </c>
      <c r="CF46" s="31">
        <v>4</v>
      </c>
      <c r="CG46" s="31">
        <v>8</v>
      </c>
    </row>
    <row r="47" spans="1:85" x14ac:dyDescent="0.4">
      <c r="A47" s="11" t="s">
        <v>85</v>
      </c>
      <c r="B47" s="11" t="s">
        <v>123</v>
      </c>
      <c r="C47" s="11" t="s">
        <v>141</v>
      </c>
      <c r="D47" s="46" t="s">
        <v>88</v>
      </c>
      <c r="E47" s="25">
        <v>6</v>
      </c>
      <c r="F47" s="25">
        <v>8</v>
      </c>
      <c r="G47" s="25">
        <v>32</v>
      </c>
      <c r="H47" s="16">
        <f t="shared" si="0"/>
        <v>3072</v>
      </c>
      <c r="I47" s="16">
        <v>4</v>
      </c>
      <c r="J47" s="17">
        <f t="shared" si="1"/>
        <v>0.66666666666666663</v>
      </c>
      <c r="K47" s="15">
        <v>1</v>
      </c>
      <c r="L47" s="15">
        <v>13</v>
      </c>
      <c r="M47" s="17">
        <f t="shared" si="2"/>
        <v>0.16666666666666666</v>
      </c>
      <c r="N47" s="17">
        <f t="shared" si="3"/>
        <v>2.1666666666666665</v>
      </c>
      <c r="O47" s="18">
        <f t="shared" si="4"/>
        <v>7.6923076923076927E-2</v>
      </c>
      <c r="P47" s="16">
        <v>1</v>
      </c>
      <c r="Q47" s="15">
        <v>7</v>
      </c>
      <c r="R47" s="17">
        <f t="shared" si="5"/>
        <v>0.16666666666666666</v>
      </c>
      <c r="S47" s="17">
        <f t="shared" si="6"/>
        <v>1.1666666666666667</v>
      </c>
      <c r="T47" s="18">
        <f t="shared" si="7"/>
        <v>0.14285714285714285</v>
      </c>
      <c r="U47" s="15">
        <v>0</v>
      </c>
      <c r="V47" s="15">
        <v>6</v>
      </c>
      <c r="W47" s="17">
        <f t="shared" si="8"/>
        <v>0</v>
      </c>
      <c r="X47" s="17">
        <f t="shared" si="9"/>
        <v>1</v>
      </c>
      <c r="Y47" s="18">
        <f t="shared" si="10"/>
        <v>0</v>
      </c>
      <c r="Z47" s="15">
        <v>2</v>
      </c>
      <c r="AA47" s="15">
        <v>2</v>
      </c>
      <c r="AB47" s="17">
        <f t="shared" si="11"/>
        <v>0.33333333333333331</v>
      </c>
      <c r="AC47" s="17">
        <f t="shared" si="12"/>
        <v>0.33333333333333331</v>
      </c>
      <c r="AD47" s="18">
        <f t="shared" si="13"/>
        <v>1</v>
      </c>
      <c r="AE47" s="15">
        <v>5</v>
      </c>
      <c r="AF47" s="17">
        <f t="shared" si="14"/>
        <v>0.83333333333333337</v>
      </c>
      <c r="AG47" s="15">
        <v>1</v>
      </c>
      <c r="AH47" s="17">
        <f t="shared" si="15"/>
        <v>0.16666666666666666</v>
      </c>
      <c r="AI47" s="15">
        <v>4</v>
      </c>
      <c r="AJ47" s="17">
        <f t="shared" si="16"/>
        <v>0.66666666666666663</v>
      </c>
      <c r="AK47" s="15">
        <v>6</v>
      </c>
      <c r="AL47" s="17">
        <f t="shared" si="17"/>
        <v>1</v>
      </c>
      <c r="AM47" s="15">
        <v>1</v>
      </c>
      <c r="AN47" s="17">
        <f t="shared" si="18"/>
        <v>0.16666666666666666</v>
      </c>
      <c r="AO47" s="15">
        <v>0</v>
      </c>
      <c r="AP47" s="17">
        <f t="shared" si="26"/>
        <v>0</v>
      </c>
      <c r="AQ47" s="4">
        <v>3</v>
      </c>
      <c r="AR47" s="17">
        <f t="shared" si="19"/>
        <v>0.5</v>
      </c>
      <c r="AS47" s="15">
        <v>6</v>
      </c>
      <c r="AT47" s="17">
        <f t="shared" si="20"/>
        <v>1</v>
      </c>
      <c r="AU47" s="19">
        <v>-0.21783452493956609</v>
      </c>
      <c r="AV47" s="19">
        <v>-0.17018322260903601</v>
      </c>
      <c r="AW47" s="19">
        <v>-0.2145116587399179</v>
      </c>
      <c r="AX47" s="19">
        <v>-3.3228661996482561E-3</v>
      </c>
      <c r="AY47" s="19">
        <v>50.700915382766958</v>
      </c>
      <c r="AZ47" s="19">
        <v>120.2648283041577</v>
      </c>
      <c r="BA47" s="19">
        <v>-0.49335930458596611</v>
      </c>
      <c r="BB47" s="19">
        <v>0.16666666666666671</v>
      </c>
      <c r="BC47" s="19">
        <v>0.78125</v>
      </c>
      <c r="BD47" s="65">
        <f t="shared" si="21"/>
        <v>14.409221902017292</v>
      </c>
      <c r="BE47" s="65">
        <f t="shared" si="22"/>
        <v>7.6923076923076925</v>
      </c>
      <c r="BF47" s="66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1.7869241192411929</v>
      </c>
      <c r="BG47" s="38">
        <f t="shared" si="23"/>
        <v>0.46153846153846156</v>
      </c>
      <c r="BH47" s="38">
        <f t="shared" si="24"/>
        <v>0.15384615384615385</v>
      </c>
      <c r="BI47" s="67">
        <f>IFERROR(((AG47*(12000/5))/((F47*60+G47)*(SUMIFS(팀공격력!X:X,팀공격력!A:A,B47,팀공격력!B:B,D47)+SUMIFS(팀수비력!X:X,팀수비력!A:A,B47,팀수비력!B:B,D47))))*100,"")</f>
        <v>0.12335526315789473</v>
      </c>
      <c r="BJ47" s="67">
        <f>IFERROR(((AI47*(12000/5))/((F47*60+G47)*(SUMIFS(팀공격력!V:V,팀공격력!A:A,B47,팀공격력!B:B,D47)+SUMIFS(팀수비력!W:W,팀수비력!A:A,B47,팀수비력!B:B,D47))))*100,"")</f>
        <v>1.0376314333148866</v>
      </c>
      <c r="BK47" s="67">
        <f>IFERROR(((AE47*(12000/5))/((F47*60+G47)*(SUMIFS(팀공격력!X:X,팀공격력!A:A,B47,팀공격력!B:B,D47)+SUMIFS(팀수비력!X:X,팀수비력!A:A,B47,팀수비력!B:B,D47))))*100,"")</f>
        <v>0.61677631578947367</v>
      </c>
      <c r="BL47" s="67">
        <f>IFERROR(100*AK47/(((((F47*60+G47)/(12000/5))*SUMIFS(팀공격력!P:P,팀공격력!A:A,B47,팀공격력!B:B,D47))-K47)),"")</f>
        <v>1.7062905243999542</v>
      </c>
      <c r="BM47" s="67">
        <f>IFERROR(100*((AM47/E47*(2400))/((F47*60+G47)*SUMIFS(팀공격력!AR:AR,팀공격력!A:A,B47,팀공격력!B:B,D47))),"")</f>
        <v>1.1011374541666523</v>
      </c>
      <c r="BN47" s="67">
        <f>IFERROR((AO47*40)/(((F47*60+G47)/60)*(SUMIFS(팀수비력!Q:Q,팀수비력!A:A,B47,팀수비력!B:B,D47)-SUMIFS(팀수비력!N:N,팀수비력!A:A,B47,팀수비력!B:B,D47)))*100,"")</f>
        <v>0</v>
      </c>
      <c r="BO47" s="67">
        <f t="shared" si="25"/>
        <v>17.772511848341228</v>
      </c>
      <c r="BP47" s="19"/>
      <c r="BQ47" s="19"/>
      <c r="BR47" s="19"/>
      <c r="BS47" s="19"/>
      <c r="BT47" s="20" t="s">
        <v>89</v>
      </c>
      <c r="BU47" s="21"/>
      <c r="BV47" s="30" t="s">
        <v>90</v>
      </c>
      <c r="BW47" s="30">
        <v>17.899999999999999</v>
      </c>
      <c r="BX47" s="30">
        <v>33.799999999999997</v>
      </c>
      <c r="BY47" s="30">
        <v>15.9</v>
      </c>
      <c r="BZ47" s="35">
        <f t="shared" si="39"/>
        <v>2.9833333333333329</v>
      </c>
      <c r="CA47" s="35">
        <f t="shared" si="40"/>
        <v>5.6333333333333329</v>
      </c>
      <c r="CB47" s="35">
        <f t="shared" si="41"/>
        <v>2.65</v>
      </c>
      <c r="CC47" s="36">
        <f t="shared" si="42"/>
        <v>13.984375</v>
      </c>
      <c r="CD47" s="36">
        <f t="shared" si="43"/>
        <v>26.40625</v>
      </c>
      <c r="CE47" s="36">
        <f t="shared" si="44"/>
        <v>12.421875</v>
      </c>
      <c r="CF47" s="31">
        <v>0</v>
      </c>
      <c r="CG47" s="31">
        <v>6</v>
      </c>
    </row>
    <row r="48" spans="1:85" x14ac:dyDescent="0.4">
      <c r="A48" s="11" t="s">
        <v>85</v>
      </c>
      <c r="B48" s="11" t="s">
        <v>123</v>
      </c>
      <c r="C48" s="11" t="s">
        <v>142</v>
      </c>
      <c r="D48" s="46" t="s">
        <v>88</v>
      </c>
      <c r="E48" s="25">
        <v>29</v>
      </c>
      <c r="F48" s="25">
        <v>6</v>
      </c>
      <c r="G48" s="25">
        <v>47</v>
      </c>
      <c r="H48" s="16">
        <f t="shared" si="0"/>
        <v>11803</v>
      </c>
      <c r="I48" s="16">
        <v>40</v>
      </c>
      <c r="J48" s="17">
        <f t="shared" si="1"/>
        <v>1.3793103448275863</v>
      </c>
      <c r="K48" s="15">
        <v>11</v>
      </c>
      <c r="L48" s="15">
        <v>48</v>
      </c>
      <c r="M48" s="17">
        <f t="shared" si="2"/>
        <v>0.37931034482758619</v>
      </c>
      <c r="N48" s="17">
        <f t="shared" si="3"/>
        <v>1.6551724137931034</v>
      </c>
      <c r="O48" s="18">
        <f t="shared" si="4"/>
        <v>0.22916666666666666</v>
      </c>
      <c r="P48" s="16">
        <v>4</v>
      </c>
      <c r="Q48" s="15">
        <v>6</v>
      </c>
      <c r="R48" s="17">
        <f t="shared" si="5"/>
        <v>0.13793103448275862</v>
      </c>
      <c r="S48" s="17">
        <f t="shared" si="6"/>
        <v>0.20689655172413793</v>
      </c>
      <c r="T48" s="18">
        <f t="shared" si="7"/>
        <v>0.66666666666666663</v>
      </c>
      <c r="U48" s="15">
        <v>7</v>
      </c>
      <c r="V48" s="15">
        <v>42</v>
      </c>
      <c r="W48" s="17">
        <f t="shared" si="8"/>
        <v>0.2413793103448276</v>
      </c>
      <c r="X48" s="17">
        <f t="shared" si="9"/>
        <v>1.4482758620689655</v>
      </c>
      <c r="Y48" s="18">
        <f t="shared" si="10"/>
        <v>0.16666666666666666</v>
      </c>
      <c r="Z48" s="15">
        <v>11</v>
      </c>
      <c r="AA48" s="15">
        <v>13</v>
      </c>
      <c r="AB48" s="17">
        <f t="shared" si="11"/>
        <v>0.37931034482758619</v>
      </c>
      <c r="AC48" s="17">
        <f t="shared" si="12"/>
        <v>0.44827586206896552</v>
      </c>
      <c r="AD48" s="18">
        <f t="shared" si="13"/>
        <v>0.84615384615384615</v>
      </c>
      <c r="AE48" s="15">
        <v>12</v>
      </c>
      <c r="AF48" s="17">
        <f t="shared" si="14"/>
        <v>0.41379310344827586</v>
      </c>
      <c r="AG48" s="15">
        <v>7</v>
      </c>
      <c r="AH48" s="17">
        <f t="shared" si="15"/>
        <v>0.2413793103448276</v>
      </c>
      <c r="AI48" s="15">
        <v>5</v>
      </c>
      <c r="AJ48" s="17">
        <f t="shared" si="16"/>
        <v>0.17241379310344829</v>
      </c>
      <c r="AK48" s="15">
        <v>8</v>
      </c>
      <c r="AL48" s="17">
        <f t="shared" si="17"/>
        <v>0.27586206896551724</v>
      </c>
      <c r="AM48" s="15">
        <v>4</v>
      </c>
      <c r="AN48" s="17">
        <f t="shared" si="18"/>
        <v>0.13793103448275862</v>
      </c>
      <c r="AO48" s="15">
        <v>0</v>
      </c>
      <c r="AP48" s="17">
        <f t="shared" si="26"/>
        <v>0</v>
      </c>
      <c r="AQ48" s="4">
        <v>11</v>
      </c>
      <c r="AR48" s="17">
        <f t="shared" si="19"/>
        <v>0.37931034482758619</v>
      </c>
      <c r="AS48" s="15">
        <v>26</v>
      </c>
      <c r="AT48" s="17">
        <f t="shared" si="20"/>
        <v>0.89655172413793105</v>
      </c>
      <c r="AU48" s="19">
        <v>-0.4253077948608881</v>
      </c>
      <c r="AV48" s="19">
        <v>-8.6481293541144755E-2</v>
      </c>
      <c r="AW48" s="19">
        <v>-0.36897927263587249</v>
      </c>
      <c r="AX48" s="19">
        <v>-5.6328522225015533E-2</v>
      </c>
      <c r="AY48" s="19">
        <v>78.159445443165311</v>
      </c>
      <c r="AZ48" s="19">
        <v>122.523668128087</v>
      </c>
      <c r="BA48" s="19">
        <v>-0.63232346599753719</v>
      </c>
      <c r="BB48" s="19">
        <v>0.48275862068965519</v>
      </c>
      <c r="BC48" s="19">
        <v>2.8467338812166401</v>
      </c>
      <c r="BD48" s="65">
        <f t="shared" si="21"/>
        <v>37.230081906180196</v>
      </c>
      <c r="BE48" s="65">
        <f t="shared" si="22"/>
        <v>30.208333333333332</v>
      </c>
      <c r="BF48" s="66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8.6188183749159357</v>
      </c>
      <c r="BG48" s="38">
        <f t="shared" si="23"/>
        <v>0.875</v>
      </c>
      <c r="BH48" s="38">
        <f t="shared" si="24"/>
        <v>0.27083333333333331</v>
      </c>
      <c r="BI48" s="67">
        <f>IFERROR(((AG48*(12000/5))/((F48*60+G48)*(SUMIFS(팀공격력!X:X,팀공격력!A:A,B48,팀공격력!B:B,D48)+SUMIFS(팀수비력!X:X,팀수비력!A:A,B48,팀수비력!B:B,D48))))*100,"")</f>
        <v>1.0862537178326652</v>
      </c>
      <c r="BJ48" s="67">
        <f>IFERROR(((AI48*(12000/5))/((F48*60+G48)*(SUMIFS(팀공격력!V:V,팀공격력!A:A,B48,팀공격력!B:B,D48)+SUMIFS(팀수비력!W:W,팀수비력!A:A,B48,팀수비력!B:B,D48))))*100,"")</f>
        <v>1.6316563079153006</v>
      </c>
      <c r="BK48" s="67">
        <f>IFERROR(((AE48*(12000/5))/((F48*60+G48)*(SUMIFS(팀공격력!X:X,팀공격력!A:A,B48,팀공격력!B:B,D48)+SUMIFS(팀수비력!X:X,팀수비력!A:A,B48,팀수비력!B:B,D48))))*100,"")</f>
        <v>1.8621492305702831</v>
      </c>
      <c r="BL48" s="67">
        <f>IFERROR(100*AK48/(((((F48*60+G48)/(12000/5))*SUMIFS(팀공격력!P:P,팀공격력!A:A,B48,팀공격력!B:B,D48))-K48)),"")</f>
        <v>2.9704302946759675</v>
      </c>
      <c r="BM48" s="67">
        <f>IFERROR(100*((AM48/E48*(2400))/((F48*60+G48)*SUMIFS(팀공격력!AR:AR,팀공격력!A:A,B48,팀공격력!B:B,D48))),"")</f>
        <v>1.1463845663644687</v>
      </c>
      <c r="BN48" s="67">
        <f>IFERROR((AO48*40)/(((F48*60+G48)/60)*(SUMIFS(팀수비력!Q:Q,팀수비력!A:A,B48,팀수비력!B:B,D48)-SUMIFS(팀수비력!N:N,팀수비력!A:A,B48,팀수비력!B:B,D48)))*100,"")</f>
        <v>0</v>
      </c>
      <c r="BO48" s="67">
        <f t="shared" si="25"/>
        <v>16.996291718170582</v>
      </c>
      <c r="BP48" s="19"/>
      <c r="BQ48" s="19"/>
      <c r="BR48" s="19"/>
      <c r="BS48" s="19"/>
      <c r="BT48" s="20" t="s">
        <v>89</v>
      </c>
      <c r="BU48" s="21"/>
      <c r="BV48" s="30" t="s">
        <v>90</v>
      </c>
      <c r="BW48" s="30">
        <v>76.61</v>
      </c>
      <c r="BX48" s="30">
        <v>128.21</v>
      </c>
      <c r="BY48" s="30">
        <v>51.6</v>
      </c>
      <c r="BZ48" s="35">
        <f t="shared" si="39"/>
        <v>2.641724137931035</v>
      </c>
      <c r="CA48" s="35">
        <f t="shared" si="40"/>
        <v>4.4210344827586212</v>
      </c>
      <c r="CB48" s="35">
        <f t="shared" si="41"/>
        <v>1.7793103448275862</v>
      </c>
      <c r="CC48" s="36">
        <f t="shared" si="42"/>
        <v>15.577734474286197</v>
      </c>
      <c r="CD48" s="36">
        <f t="shared" si="43"/>
        <v>26.069982207913242</v>
      </c>
      <c r="CE48" s="36">
        <f t="shared" si="44"/>
        <v>10.492247733627044</v>
      </c>
      <c r="CF48" s="30">
        <v>12</v>
      </c>
      <c r="CG48" s="30">
        <v>17</v>
      </c>
    </row>
    <row r="49" spans="1:85" x14ac:dyDescent="0.4">
      <c r="A49" s="11" t="s">
        <v>85</v>
      </c>
      <c r="B49" s="11" t="s">
        <v>123</v>
      </c>
      <c r="C49" s="11" t="s">
        <v>143</v>
      </c>
      <c r="D49" s="46" t="s">
        <v>88</v>
      </c>
      <c r="E49" s="26">
        <v>45</v>
      </c>
      <c r="F49" s="26">
        <v>24</v>
      </c>
      <c r="G49" s="26">
        <v>21</v>
      </c>
      <c r="H49" s="16">
        <f t="shared" si="0"/>
        <v>65745</v>
      </c>
      <c r="I49" s="16">
        <v>228</v>
      </c>
      <c r="J49" s="17">
        <f t="shared" si="1"/>
        <v>5.0666666666666664</v>
      </c>
      <c r="K49" s="15">
        <v>75</v>
      </c>
      <c r="L49" s="15">
        <v>176</v>
      </c>
      <c r="M49" s="17">
        <f t="shared" si="2"/>
        <v>1.6666666666666667</v>
      </c>
      <c r="N49" s="17">
        <f t="shared" si="3"/>
        <v>3.911111111111111</v>
      </c>
      <c r="O49" s="18">
        <f t="shared" si="4"/>
        <v>0.42613636363636365</v>
      </c>
      <c r="P49" s="16">
        <v>31</v>
      </c>
      <c r="Q49" s="15">
        <v>57</v>
      </c>
      <c r="R49" s="17">
        <f t="shared" si="5"/>
        <v>0.68888888888888888</v>
      </c>
      <c r="S49" s="17">
        <f t="shared" si="6"/>
        <v>1.2666666666666666</v>
      </c>
      <c r="T49" s="18">
        <f t="shared" si="7"/>
        <v>0.54385964912280704</v>
      </c>
      <c r="U49" s="15">
        <v>44</v>
      </c>
      <c r="V49" s="15">
        <v>119</v>
      </c>
      <c r="W49" s="17">
        <f t="shared" si="8"/>
        <v>0.97777777777777775</v>
      </c>
      <c r="X49" s="17">
        <f t="shared" si="9"/>
        <v>2.6444444444444444</v>
      </c>
      <c r="Y49" s="18">
        <f t="shared" si="10"/>
        <v>0.36974789915966388</v>
      </c>
      <c r="Z49" s="9">
        <v>34</v>
      </c>
      <c r="AA49" s="9">
        <v>44</v>
      </c>
      <c r="AB49" s="17">
        <f t="shared" si="11"/>
        <v>0.75555555555555554</v>
      </c>
      <c r="AC49" s="17">
        <f t="shared" si="12"/>
        <v>0.97777777777777775</v>
      </c>
      <c r="AD49" s="18">
        <f t="shared" si="13"/>
        <v>0.77272727272727271</v>
      </c>
      <c r="AE49" s="15">
        <v>165</v>
      </c>
      <c r="AF49" s="17">
        <f t="shared" si="14"/>
        <v>3.6666666666666665</v>
      </c>
      <c r="AG49" s="15">
        <v>67</v>
      </c>
      <c r="AH49" s="17">
        <f t="shared" si="15"/>
        <v>1.4888888888888889</v>
      </c>
      <c r="AI49" s="15">
        <v>98</v>
      </c>
      <c r="AJ49" s="17">
        <f t="shared" si="16"/>
        <v>2.1777777777777776</v>
      </c>
      <c r="AK49" s="15">
        <v>84</v>
      </c>
      <c r="AL49" s="17">
        <f t="shared" si="17"/>
        <v>1.8666666666666667</v>
      </c>
      <c r="AM49" s="15">
        <v>25</v>
      </c>
      <c r="AN49" s="17">
        <f t="shared" si="18"/>
        <v>0.55555555555555558</v>
      </c>
      <c r="AO49" s="7">
        <v>7</v>
      </c>
      <c r="AP49" s="17">
        <f t="shared" si="26"/>
        <v>0.15555555555555556</v>
      </c>
      <c r="AQ49" s="6">
        <v>47</v>
      </c>
      <c r="AR49" s="17">
        <f t="shared" si="19"/>
        <v>1.0444444444444445</v>
      </c>
      <c r="AS49" s="15">
        <v>118</v>
      </c>
      <c r="AT49" s="17">
        <f t="shared" si="20"/>
        <v>2.6222222222222222</v>
      </c>
      <c r="AU49" s="19">
        <v>1.030488019836731</v>
      </c>
      <c r="AV49" s="19">
        <v>3.7617632483202601E-2</v>
      </c>
      <c r="AW49" s="19">
        <v>0.96766748940998804</v>
      </c>
      <c r="AX49" s="19">
        <v>6.2820530426743237E-2</v>
      </c>
      <c r="AY49" s="19">
        <v>116.561665368533</v>
      </c>
      <c r="AZ49" s="19">
        <v>119.0180109866926</v>
      </c>
      <c r="BA49" s="19">
        <v>5.1128510975810029</v>
      </c>
      <c r="BB49" s="19">
        <v>7.8</v>
      </c>
      <c r="BC49" s="19">
        <v>12.81314168377823</v>
      </c>
      <c r="BD49" s="65">
        <f t="shared" si="21"/>
        <v>58.353808353808347</v>
      </c>
      <c r="BE49" s="65">
        <f t="shared" si="22"/>
        <v>55.113636363636367</v>
      </c>
      <c r="BF49" s="66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8.9911316635411396</v>
      </c>
      <c r="BG49" s="38">
        <f t="shared" si="23"/>
        <v>0.67613636363636365</v>
      </c>
      <c r="BH49" s="38">
        <f t="shared" si="24"/>
        <v>0.25</v>
      </c>
      <c r="BI49" s="67">
        <f>IFERROR(((AG49*(12000/5))/((F49*60+G49)*(SUMIFS(팀공격력!X:X,팀공격력!A:A,B49,팀공격력!B:B,D49)+SUMIFS(팀수비력!X:X,팀수비력!A:A,B49,팀수비력!B:B,D49))))*100,"")</f>
        <v>2.8963579379660649</v>
      </c>
      <c r="BJ49" s="67">
        <f>IFERROR(((AI49*(12000/5))/((F49*60+G49)*(SUMIFS(팀공격력!V:V,팀공격력!A:A,B49,팀공격력!B:B,D49)+SUMIFS(팀수비력!W:W,팀수비력!A:A,B49,팀수비력!B:B,D49))))*100,"")</f>
        <v>8.9089997943202857</v>
      </c>
      <c r="BK49" s="67">
        <f>IFERROR(((AE49*(12000/5))/((F49*60+G49)*(SUMIFS(팀공격력!X:X,팀공격력!A:A,B49,팀공격력!B:B,D49)+SUMIFS(팀수비력!X:X,팀수비력!A:A,B49,팀수비력!B:B,D49))))*100,"")</f>
        <v>7.1328217875283695</v>
      </c>
      <c r="BL49" s="67">
        <f>IFERROR(100*AK49/(((((F49*60+G49)/(12000/5))*SUMIFS(팀공격력!P:P,팀공격력!A:A,B49,팀공격력!B:B,D49))-K49)),"")</f>
        <v>9.0200010469644063</v>
      </c>
      <c r="BM49" s="67">
        <f>IFERROR(100*((AM49/E49*(2400))/((F49*60+G49)*SUMIFS(팀공격력!AR:AR,팀공격력!A:A,B49,팀공격력!B:B,D49))),"")</f>
        <v>1.2862933528024776</v>
      </c>
      <c r="BN49" s="67">
        <f>IFERROR((AO49*40)/(((F49*60+G49)/60)*(SUMIFS(팀수비력!Q:Q,팀수비력!A:A,B49,팀수비력!B:B,D49)-SUMIFS(팀수비력!N:N,팀수비력!A:A,B49,팀수비력!B:B,D49)))*100,"")</f>
        <v>0.53088519418073987</v>
      </c>
      <c r="BO49" s="67">
        <f t="shared" si="25"/>
        <v>19.392639049348077</v>
      </c>
      <c r="BP49" s="19"/>
      <c r="BQ49" s="19"/>
      <c r="BR49" s="19"/>
      <c r="BS49" s="19"/>
      <c r="BT49" s="20" t="s">
        <v>89</v>
      </c>
      <c r="BU49" s="21"/>
      <c r="BV49" s="30" t="s">
        <v>93</v>
      </c>
      <c r="BW49" s="30">
        <v>695.47</v>
      </c>
      <c r="BX49" s="30">
        <v>867.47</v>
      </c>
      <c r="BY49" s="30">
        <v>172</v>
      </c>
      <c r="BZ49" s="35">
        <f t="shared" si="39"/>
        <v>15.454888888888888</v>
      </c>
      <c r="CA49" s="35">
        <f t="shared" si="40"/>
        <v>19.277111111111111</v>
      </c>
      <c r="CB49" s="35">
        <f t="shared" si="41"/>
        <v>3.8222222222222224</v>
      </c>
      <c r="CC49" s="36">
        <f t="shared" si="42"/>
        <v>25.387907825690167</v>
      </c>
      <c r="CD49" s="36">
        <f t="shared" si="43"/>
        <v>31.666712297513119</v>
      </c>
      <c r="CE49" s="36">
        <f t="shared" si="44"/>
        <v>6.2788044718229523</v>
      </c>
      <c r="CF49" s="30">
        <v>19</v>
      </c>
      <c r="CG49" s="30">
        <v>26</v>
      </c>
    </row>
    <row r="50" spans="1:85" x14ac:dyDescent="0.4">
      <c r="A50" s="11" t="s">
        <v>85</v>
      </c>
      <c r="B50" s="11" t="s">
        <v>123</v>
      </c>
      <c r="C50" s="11" t="s">
        <v>144</v>
      </c>
      <c r="D50" s="46" t="s">
        <v>88</v>
      </c>
      <c r="E50" s="25">
        <v>6</v>
      </c>
      <c r="F50" s="25">
        <v>2</v>
      </c>
      <c r="G50" s="25">
        <v>25</v>
      </c>
      <c r="H50" s="16">
        <f t="shared" si="0"/>
        <v>870</v>
      </c>
      <c r="I50" s="16">
        <v>2</v>
      </c>
      <c r="J50" s="17">
        <f t="shared" si="1"/>
        <v>0.33333333333333331</v>
      </c>
      <c r="K50" s="15">
        <v>1</v>
      </c>
      <c r="L50" s="15">
        <v>3</v>
      </c>
      <c r="M50" s="17">
        <f t="shared" si="2"/>
        <v>0.16666666666666666</v>
      </c>
      <c r="N50" s="17">
        <f t="shared" si="3"/>
        <v>0.5</v>
      </c>
      <c r="O50" s="18">
        <f t="shared" si="4"/>
        <v>0.33333333333333331</v>
      </c>
      <c r="P50" s="16">
        <v>1</v>
      </c>
      <c r="Q50" s="15">
        <v>3</v>
      </c>
      <c r="R50" s="17">
        <f t="shared" si="5"/>
        <v>0.16666666666666666</v>
      </c>
      <c r="S50" s="17">
        <f t="shared" si="6"/>
        <v>0.5</v>
      </c>
      <c r="T50" s="18">
        <f t="shared" si="7"/>
        <v>0.33333333333333331</v>
      </c>
      <c r="U50" s="15">
        <v>0</v>
      </c>
      <c r="V50" s="15">
        <v>0</v>
      </c>
      <c r="W50" s="17">
        <f t="shared" si="8"/>
        <v>0</v>
      </c>
      <c r="X50" s="17">
        <f t="shared" si="9"/>
        <v>0</v>
      </c>
      <c r="Y50" s="18" t="e">
        <f t="shared" si="10"/>
        <v>#DIV/0!</v>
      </c>
      <c r="Z50" s="15">
        <v>0</v>
      </c>
      <c r="AA50" s="15">
        <v>0</v>
      </c>
      <c r="AB50" s="17">
        <f t="shared" si="11"/>
        <v>0</v>
      </c>
      <c r="AC50" s="17">
        <f t="shared" si="12"/>
        <v>0</v>
      </c>
      <c r="AD50" s="18" t="e">
        <f t="shared" si="13"/>
        <v>#DIV/0!</v>
      </c>
      <c r="AE50" s="15">
        <v>6</v>
      </c>
      <c r="AF50" s="17">
        <f t="shared" si="14"/>
        <v>1</v>
      </c>
      <c r="AG50" s="15">
        <v>1</v>
      </c>
      <c r="AH50" s="17">
        <f t="shared" si="15"/>
        <v>0.16666666666666666</v>
      </c>
      <c r="AI50" s="15">
        <v>5</v>
      </c>
      <c r="AJ50" s="17">
        <f t="shared" si="16"/>
        <v>0.83333333333333337</v>
      </c>
      <c r="AK50" s="15">
        <v>0</v>
      </c>
      <c r="AL50" s="17">
        <f t="shared" si="17"/>
        <v>0</v>
      </c>
      <c r="AM50" s="15">
        <v>1</v>
      </c>
      <c r="AN50" s="17">
        <f t="shared" si="18"/>
        <v>0.16666666666666666</v>
      </c>
      <c r="AO50" s="15">
        <v>0</v>
      </c>
      <c r="AP50" s="17">
        <f t="shared" si="26"/>
        <v>0</v>
      </c>
      <c r="AQ50" s="4">
        <v>0</v>
      </c>
      <c r="AR50" s="17">
        <f t="shared" si="19"/>
        <v>0</v>
      </c>
      <c r="AS50" s="15">
        <v>1</v>
      </c>
      <c r="AT50" s="17">
        <f t="shared" si="20"/>
        <v>0.16666666666666666</v>
      </c>
      <c r="AU50" s="19">
        <v>1.6054440122512129E-2</v>
      </c>
      <c r="AV50" s="19">
        <v>4.4288110682792078E-2</v>
      </c>
      <c r="AW50" s="19">
        <v>-8.9319814714824124E-3</v>
      </c>
      <c r="AX50" s="19">
        <v>2.4986421593994539E-2</v>
      </c>
      <c r="AY50" s="19">
        <v>89.482936674962119</v>
      </c>
      <c r="AZ50" s="19">
        <v>102.02527343476279</v>
      </c>
      <c r="BA50" s="19">
        <v>0.93801123638753769</v>
      </c>
      <c r="BB50" s="19">
        <v>1.166666666666667</v>
      </c>
      <c r="BC50" s="19">
        <v>19.31034482758621</v>
      </c>
      <c r="BD50" s="65">
        <f t="shared" si="21"/>
        <v>33.333333333333329</v>
      </c>
      <c r="BE50" s="65">
        <f t="shared" si="22"/>
        <v>33.333333333333329</v>
      </c>
      <c r="BF50" s="66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1.1213905242500701</v>
      </c>
      <c r="BG50" s="38">
        <f t="shared" si="23"/>
        <v>0</v>
      </c>
      <c r="BH50" s="38">
        <f t="shared" si="24"/>
        <v>0</v>
      </c>
      <c r="BI50" s="67">
        <f>IFERROR(((AG50*(12000/5))/((F50*60+G50)*(SUMIFS(팀공격력!X:X,팀공격력!A:A,B50,팀공격력!B:B,D50)+SUMIFS(팀수비력!X:X,팀수비력!A:A,B50,팀수비력!B:B,D50))))*100,"")</f>
        <v>0.43557168784029043</v>
      </c>
      <c r="BJ50" s="67">
        <f>IFERROR(((AI50*(12000/5))/((F50*60+G50)*(SUMIFS(팀공격력!V:V,팀공격력!A:A,B50,팀공격력!B:B,D50)+SUMIFS(팀수비력!W:W,팀수비력!A:A,B50,팀수비력!B:B,D50))))*100,"")</f>
        <v>4.5798904642863958</v>
      </c>
      <c r="BK50" s="67">
        <f>IFERROR(((AE50*(12000/5))/((F50*60+G50)*(SUMIFS(팀공격력!X:X,팀공격력!A:A,B50,팀공격력!B:B,D50)+SUMIFS(팀수비력!X:X,팀수비력!A:A,B50,팀수비력!B:B,D50))))*100,"")</f>
        <v>2.6134301270417422</v>
      </c>
      <c r="BL50" s="67">
        <f>IFERROR(100*AK50/(((((F50*60+G50)/(12000/5))*SUMIFS(팀공격력!P:P,팀공격력!A:A,B50,팀공격력!B:B,D50))-K50)),"")</f>
        <v>0</v>
      </c>
      <c r="BM50" s="67">
        <f>IFERROR(100*((AM50/E50*(2400))/((F50*60+G50)*SUMIFS(팀공격력!AR:AR,팀공격력!A:A,B50,팀공격력!B:B,D50))),"")</f>
        <v>3.8881543209194893</v>
      </c>
      <c r="BN50" s="67">
        <f>IFERROR((AO50*40)/(((F50*60+G50)/60)*(SUMIFS(팀수비력!Q:Q,팀수비력!A:A,B50,팀수비력!B:B,D50)-SUMIFS(팀수비력!N:N,팀수비력!A:A,B50,팀수비력!B:B,D50)))*100,"")</f>
        <v>0</v>
      </c>
      <c r="BO50" s="67">
        <f t="shared" si="25"/>
        <v>0</v>
      </c>
      <c r="BP50" s="19"/>
      <c r="BQ50" s="19"/>
      <c r="BR50" s="19"/>
      <c r="BS50" s="19"/>
      <c r="BT50" s="20" t="s">
        <v>89</v>
      </c>
      <c r="BU50" s="21"/>
      <c r="BV50" s="30" t="s">
        <v>102</v>
      </c>
      <c r="BW50" s="30">
        <v>11.13</v>
      </c>
      <c r="BX50" s="30">
        <v>13.13</v>
      </c>
      <c r="BY50" s="30">
        <v>2</v>
      </c>
      <c r="BZ50" s="35">
        <f t="shared" si="39"/>
        <v>1.8550000000000002</v>
      </c>
      <c r="CA50" s="35">
        <f t="shared" si="40"/>
        <v>2.1883333333333335</v>
      </c>
      <c r="CB50" s="35">
        <f t="shared" si="41"/>
        <v>0.33333333333333331</v>
      </c>
      <c r="CC50" s="36">
        <f t="shared" si="42"/>
        <v>30.703448275862076</v>
      </c>
      <c r="CD50" s="36">
        <f t="shared" si="43"/>
        <v>36.220689655172421</v>
      </c>
      <c r="CE50" s="36">
        <f t="shared" si="44"/>
        <v>5.5172413793103452</v>
      </c>
      <c r="CF50" s="30">
        <v>0</v>
      </c>
      <c r="CG50" s="30">
        <v>6</v>
      </c>
    </row>
    <row r="51" spans="1:85" x14ac:dyDescent="0.4">
      <c r="A51" s="11" t="s">
        <v>85</v>
      </c>
      <c r="B51" s="11" t="s">
        <v>145</v>
      </c>
      <c r="C51" s="11" t="s">
        <v>146</v>
      </c>
      <c r="D51" s="46" t="s">
        <v>88</v>
      </c>
      <c r="E51" s="25">
        <v>20</v>
      </c>
      <c r="F51" s="25">
        <v>9</v>
      </c>
      <c r="G51" s="25">
        <v>25</v>
      </c>
      <c r="H51" s="16">
        <f t="shared" si="0"/>
        <v>11300</v>
      </c>
      <c r="I51" s="16">
        <v>95</v>
      </c>
      <c r="J51" s="17">
        <f t="shared" si="1"/>
        <v>4.75</v>
      </c>
      <c r="K51" s="15">
        <v>32</v>
      </c>
      <c r="L51" s="15">
        <v>64</v>
      </c>
      <c r="M51" s="17">
        <f t="shared" si="2"/>
        <v>1.6</v>
      </c>
      <c r="N51" s="17">
        <f t="shared" si="3"/>
        <v>3.2</v>
      </c>
      <c r="O51" s="18">
        <f t="shared" si="4"/>
        <v>0.5</v>
      </c>
      <c r="P51" s="16">
        <v>12</v>
      </c>
      <c r="Q51" s="15">
        <v>21</v>
      </c>
      <c r="R51" s="17">
        <f t="shared" si="5"/>
        <v>0.6</v>
      </c>
      <c r="S51" s="17">
        <f t="shared" si="6"/>
        <v>1.05</v>
      </c>
      <c r="T51" s="18">
        <f t="shared" si="7"/>
        <v>0.5714285714285714</v>
      </c>
      <c r="U51" s="15">
        <v>20</v>
      </c>
      <c r="V51" s="15">
        <v>43</v>
      </c>
      <c r="W51" s="17">
        <f t="shared" si="8"/>
        <v>1</v>
      </c>
      <c r="X51" s="17">
        <f t="shared" si="9"/>
        <v>2.15</v>
      </c>
      <c r="Y51" s="18">
        <f t="shared" si="10"/>
        <v>0.46511627906976744</v>
      </c>
      <c r="Z51" s="15">
        <v>11</v>
      </c>
      <c r="AA51" s="15">
        <v>13</v>
      </c>
      <c r="AB51" s="17">
        <f t="shared" si="11"/>
        <v>0.55000000000000004</v>
      </c>
      <c r="AC51" s="17">
        <f t="shared" si="12"/>
        <v>0.65</v>
      </c>
      <c r="AD51" s="18">
        <f t="shared" si="13"/>
        <v>0.84615384615384615</v>
      </c>
      <c r="AE51" s="15">
        <v>49</v>
      </c>
      <c r="AF51" s="17">
        <f t="shared" si="14"/>
        <v>2.4500000000000002</v>
      </c>
      <c r="AG51" s="15">
        <v>16</v>
      </c>
      <c r="AH51" s="17">
        <f t="shared" si="15"/>
        <v>0.8</v>
      </c>
      <c r="AI51" s="15">
        <v>33</v>
      </c>
      <c r="AJ51" s="17">
        <f t="shared" si="16"/>
        <v>1.65</v>
      </c>
      <c r="AK51" s="15">
        <v>2</v>
      </c>
      <c r="AL51" s="17">
        <f t="shared" si="17"/>
        <v>0.1</v>
      </c>
      <c r="AM51" s="15">
        <v>2</v>
      </c>
      <c r="AN51" s="17">
        <f t="shared" si="18"/>
        <v>0.1</v>
      </c>
      <c r="AO51" s="15">
        <v>0</v>
      </c>
      <c r="AP51" s="17">
        <f t="shared" si="26"/>
        <v>0</v>
      </c>
      <c r="AQ51" s="4">
        <v>7</v>
      </c>
      <c r="AR51" s="17">
        <f t="shared" si="19"/>
        <v>0.35</v>
      </c>
      <c r="AS51" s="15">
        <v>28</v>
      </c>
      <c r="AT51" s="17">
        <f t="shared" si="20"/>
        <v>1.4</v>
      </c>
      <c r="AU51" s="19">
        <v>0.65287007020559951</v>
      </c>
      <c r="AV51" s="19">
        <v>0.1386626697781804</v>
      </c>
      <c r="AW51" s="19">
        <v>0.57568398657561637</v>
      </c>
      <c r="AX51" s="19">
        <v>7.718608362998311E-2</v>
      </c>
      <c r="AY51" s="19">
        <v>129.147247219913</v>
      </c>
      <c r="AZ51" s="19">
        <v>116.3876198742837</v>
      </c>
      <c r="BA51" s="19">
        <v>5.5463050524845068</v>
      </c>
      <c r="BB51" s="19">
        <v>5.35</v>
      </c>
      <c r="BC51" s="19">
        <v>22.725663716814161</v>
      </c>
      <c r="BD51" s="65">
        <f t="shared" si="21"/>
        <v>68.129661503155475</v>
      </c>
      <c r="BE51" s="65">
        <f t="shared" si="22"/>
        <v>65.625</v>
      </c>
      <c r="BF51" s="66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6.8803734701157309</v>
      </c>
      <c r="BG51" s="38">
        <f t="shared" si="23"/>
        <v>0.671875</v>
      </c>
      <c r="BH51" s="38">
        <f t="shared" si="24"/>
        <v>0.203125</v>
      </c>
      <c r="BI51" s="67">
        <f>IFERROR(((AG51*(12000/5))/((F51*60+G51)*(SUMIFS(팀공격력!X:X,팀공격력!A:A,B51,팀공격력!B:B,D51)+SUMIFS(팀수비력!X:X,팀수비력!A:A,B51,팀수비력!B:B,D51))))*100,"")</f>
        <v>1.665799062988027</v>
      </c>
      <c r="BJ51" s="67">
        <f>IFERROR(((AI51*(12000/5))/((F51*60+G51)*(SUMIFS(팀공격력!V:V,팀공격력!A:A,B51,팀공격력!B:B,D51)+SUMIFS(팀수비력!W:W,팀수비력!A:A,B51,팀수비력!B:B,D51))))*100,"")</f>
        <v>7.3008849557522124</v>
      </c>
      <c r="BK51" s="67">
        <f>IFERROR(((AE51*(12000/5))/((F51*60+G51)*(SUMIFS(팀공격력!X:X,팀공격력!A:A,B51,팀공격력!B:B,D51)+SUMIFS(팀수비력!X:X,팀수비력!A:A,B51,팀수비력!B:B,D51))))*100,"")</f>
        <v>5.1015096304008329</v>
      </c>
      <c r="BL51" s="67">
        <f>IFERROR(100*AK51/(((((F51*60+G51)/(12000/5))*SUMIFS(팀공격력!P:P,팀공격력!A:A,B51,팀공격력!B:B,D51))-K51)),"")</f>
        <v>0.5161123834715009</v>
      </c>
      <c r="BM51" s="67">
        <f>IFERROR(100*((AM51/E51*(2400))/((F51*60+G51)*SUMIFS(팀공격력!AR:AR,팀공격력!A:A,B51,팀공격력!B:B,D51))),"")</f>
        <v>0.56389616845733836</v>
      </c>
      <c r="BN51" s="67">
        <f>IFERROR((AO51*40)/(((F51*60+G51)/60)*(SUMIFS(팀수비력!Q:Q,팀수비력!A:A,B51,팀수비력!B:B,D51)-SUMIFS(팀수비력!N:N,팀수비력!A:A,B51,팀수비력!B:B,D51)))*100,"")</f>
        <v>0</v>
      </c>
      <c r="BO51" s="67">
        <f t="shared" si="25"/>
        <v>9.1240875912408761</v>
      </c>
      <c r="BP51" s="19"/>
      <c r="BQ51" s="19"/>
      <c r="BR51" s="19"/>
      <c r="BS51" s="19"/>
      <c r="BT51" s="20" t="s">
        <v>89</v>
      </c>
      <c r="BU51" s="21"/>
      <c r="BV51" s="30" t="s">
        <v>93</v>
      </c>
      <c r="BW51" s="30">
        <v>169.81</v>
      </c>
      <c r="BX51" s="30">
        <v>211.61</v>
      </c>
      <c r="BY51" s="30">
        <v>41.8</v>
      </c>
      <c r="BZ51" s="35">
        <f t="shared" si="39"/>
        <v>8.4905000000000008</v>
      </c>
      <c r="CA51" s="35">
        <f t="shared" si="40"/>
        <v>10.580500000000001</v>
      </c>
      <c r="CB51" s="35">
        <f t="shared" si="41"/>
        <v>2.09</v>
      </c>
      <c r="CC51" s="36">
        <f t="shared" si="42"/>
        <v>36.065840707964604</v>
      </c>
      <c r="CD51" s="36">
        <f t="shared" si="43"/>
        <v>44.943716814159295</v>
      </c>
      <c r="CE51" s="36">
        <f t="shared" si="44"/>
        <v>8.8778761061946909</v>
      </c>
      <c r="CF51" s="31">
        <v>12</v>
      </c>
      <c r="CG51" s="31">
        <v>8</v>
      </c>
    </row>
    <row r="52" spans="1:85" x14ac:dyDescent="0.4">
      <c r="A52" s="11" t="s">
        <v>85</v>
      </c>
      <c r="B52" s="11" t="s">
        <v>145</v>
      </c>
      <c r="C52" s="11" t="s">
        <v>147</v>
      </c>
      <c r="D52" s="46" t="s">
        <v>88</v>
      </c>
      <c r="E52" s="25">
        <v>15</v>
      </c>
      <c r="F52" s="25">
        <v>5</v>
      </c>
      <c r="G52" s="25">
        <v>55</v>
      </c>
      <c r="H52" s="16">
        <f t="shared" si="0"/>
        <v>5325</v>
      </c>
      <c r="I52" s="16">
        <v>27</v>
      </c>
      <c r="J52" s="17">
        <f t="shared" si="1"/>
        <v>1.8</v>
      </c>
      <c r="K52" s="15">
        <v>9</v>
      </c>
      <c r="L52" s="15">
        <v>29</v>
      </c>
      <c r="M52" s="17">
        <f t="shared" si="2"/>
        <v>0.6</v>
      </c>
      <c r="N52" s="17">
        <f t="shared" si="3"/>
        <v>1.9333333333333333</v>
      </c>
      <c r="O52" s="18">
        <f t="shared" si="4"/>
        <v>0.31034482758620691</v>
      </c>
      <c r="P52" s="16">
        <v>3</v>
      </c>
      <c r="Q52" s="15">
        <v>10</v>
      </c>
      <c r="R52" s="17">
        <f t="shared" si="5"/>
        <v>0.2</v>
      </c>
      <c r="S52" s="17">
        <f t="shared" si="6"/>
        <v>0.66666666666666663</v>
      </c>
      <c r="T52" s="18">
        <f t="shared" si="7"/>
        <v>0.3</v>
      </c>
      <c r="U52" s="15">
        <v>6</v>
      </c>
      <c r="V52" s="15">
        <v>19</v>
      </c>
      <c r="W52" s="17">
        <f t="shared" si="8"/>
        <v>0.4</v>
      </c>
      <c r="X52" s="17">
        <f t="shared" si="9"/>
        <v>1.2666666666666666</v>
      </c>
      <c r="Y52" s="18">
        <f t="shared" si="10"/>
        <v>0.31578947368421051</v>
      </c>
      <c r="Z52" s="15">
        <v>3</v>
      </c>
      <c r="AA52" s="15">
        <v>3</v>
      </c>
      <c r="AB52" s="17">
        <f t="shared" si="11"/>
        <v>0.2</v>
      </c>
      <c r="AC52" s="17">
        <f t="shared" si="12"/>
        <v>0.2</v>
      </c>
      <c r="AD52" s="18">
        <f t="shared" si="13"/>
        <v>1</v>
      </c>
      <c r="AE52" s="15">
        <v>8</v>
      </c>
      <c r="AF52" s="17">
        <f t="shared" si="14"/>
        <v>0.53333333333333333</v>
      </c>
      <c r="AG52" s="15">
        <v>1</v>
      </c>
      <c r="AH52" s="17">
        <f t="shared" si="15"/>
        <v>6.6666666666666666E-2</v>
      </c>
      <c r="AI52" s="15">
        <v>7</v>
      </c>
      <c r="AJ52" s="17">
        <f t="shared" si="16"/>
        <v>0.46666666666666667</v>
      </c>
      <c r="AK52" s="15">
        <v>3</v>
      </c>
      <c r="AL52" s="17">
        <f t="shared" si="17"/>
        <v>0.2</v>
      </c>
      <c r="AM52" s="15">
        <v>3</v>
      </c>
      <c r="AN52" s="17">
        <f t="shared" si="18"/>
        <v>0.2</v>
      </c>
      <c r="AO52" s="15">
        <v>0</v>
      </c>
      <c r="AP52" s="17">
        <f t="shared" si="26"/>
        <v>0</v>
      </c>
      <c r="AQ52" s="4">
        <v>6</v>
      </c>
      <c r="AR52" s="17">
        <f t="shared" si="19"/>
        <v>0.4</v>
      </c>
      <c r="AS52" s="15">
        <v>14</v>
      </c>
      <c r="AT52" s="17">
        <f t="shared" si="20"/>
        <v>0.93333333333333335</v>
      </c>
      <c r="AU52" s="19">
        <v>-0.1720651294548684</v>
      </c>
      <c r="AV52" s="19">
        <v>-7.7550480881067432E-2</v>
      </c>
      <c r="AW52" s="19">
        <v>-0.19573519109689769</v>
      </c>
      <c r="AX52" s="19">
        <v>2.367006164202937E-2</v>
      </c>
      <c r="AY52" s="19">
        <v>82.249058334662038</v>
      </c>
      <c r="AZ52" s="19">
        <v>117.51050339994489</v>
      </c>
      <c r="BA52" s="19">
        <v>0.16883864877196739</v>
      </c>
      <c r="BB52" s="19">
        <v>1</v>
      </c>
      <c r="BC52" s="19">
        <v>6.76056338028169</v>
      </c>
      <c r="BD52" s="65">
        <f t="shared" si="21"/>
        <v>44.525065963060683</v>
      </c>
      <c r="BE52" s="65">
        <f t="shared" si="22"/>
        <v>41.379310344827587</v>
      </c>
      <c r="BF52" s="66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5.1840520460555632</v>
      </c>
      <c r="BG52" s="38">
        <f t="shared" si="23"/>
        <v>0.65517241379310343</v>
      </c>
      <c r="BH52" s="38">
        <f t="shared" si="24"/>
        <v>0.10344827586206896</v>
      </c>
      <c r="BI52" s="67">
        <f>IFERROR(((AG52*(12000/5))/((F52*60+G52)*(SUMIFS(팀공격력!X:X,팀공격력!A:A,B52,팀공격력!B:B,D52)+SUMIFS(팀수비력!X:X,팀수비력!A:A,B52,팀수비력!B:B,D52))))*100,"")</f>
        <v>0.16570008285004142</v>
      </c>
      <c r="BJ52" s="67">
        <f>IFERROR(((AI52*(12000/5))/((F52*60+G52)*(SUMIFS(팀공격력!V:V,팀공격력!A:A,B52,팀공격력!B:B,D52)+SUMIFS(팀수비력!W:W,팀수비력!A:A,B52,팀수비력!B:B,D52))))*100,"")</f>
        <v>2.464788732394366</v>
      </c>
      <c r="BK52" s="67">
        <f>IFERROR(((AE52*(12000/5))/((F52*60+G52)*(SUMIFS(팀공격력!X:X,팀공격력!A:A,B52,팀공격력!B:B,D52)+SUMIFS(팀수비력!X:X,팀수비력!A:A,B52,팀수비력!B:B,D52))))*100,"")</f>
        <v>1.3256006628003314</v>
      </c>
      <c r="BL52" s="67">
        <f>IFERROR(100*AK52/(((((F52*60+G52)/(12000/5))*SUMIFS(팀공격력!P:P,팀공격력!A:A,B52,팀공격력!B:B,D52))-K52)),"")</f>
        <v>1.1783767859773164</v>
      </c>
      <c r="BM52" s="67">
        <f>IFERROR(100*((AM52/E52*(2400))/((F52*60+G52)*SUMIFS(팀공격력!AR:AR,팀공격력!A:A,B52,팀공격력!B:B,D52))),"")</f>
        <v>1.7949370995965979</v>
      </c>
      <c r="BN52" s="67">
        <f>IFERROR((AO52*40)/(((F52*60+G52)/60)*(SUMIFS(팀수비력!Q:Q,팀수비력!A:A,B52,팀수비력!B:B,D52)-SUMIFS(팀수비력!N:N,팀수비력!A:A,B52,팀수비력!B:B,D52)))*100,"")</f>
        <v>0</v>
      </c>
      <c r="BO52" s="67">
        <f t="shared" si="25"/>
        <v>16.519823788546255</v>
      </c>
      <c r="BP52" s="19"/>
      <c r="BQ52" s="19"/>
      <c r="BR52" s="19"/>
      <c r="BS52" s="19"/>
      <c r="BT52" s="20" t="s">
        <v>89</v>
      </c>
      <c r="BU52" s="21"/>
      <c r="BV52" s="30" t="s">
        <v>90</v>
      </c>
      <c r="BW52" s="30">
        <v>38.97</v>
      </c>
      <c r="BX52" s="30">
        <v>66.67</v>
      </c>
      <c r="BY52" s="30">
        <v>27.7</v>
      </c>
      <c r="BZ52" s="35">
        <f t="shared" si="39"/>
        <v>2.5979999999999999</v>
      </c>
      <c r="CA52" s="35">
        <f t="shared" si="40"/>
        <v>4.4446666666666665</v>
      </c>
      <c r="CB52" s="35">
        <f t="shared" si="41"/>
        <v>1.8466666666666667</v>
      </c>
      <c r="CC52" s="36">
        <f t="shared" si="42"/>
        <v>17.563943661971834</v>
      </c>
      <c r="CD52" s="36">
        <f t="shared" si="43"/>
        <v>30.048450704225353</v>
      </c>
      <c r="CE52" s="36">
        <f t="shared" si="44"/>
        <v>12.48450704225352</v>
      </c>
      <c r="CF52" s="30">
        <v>6</v>
      </c>
      <c r="CG52" s="30">
        <v>9</v>
      </c>
    </row>
    <row r="53" spans="1:85" x14ac:dyDescent="0.4">
      <c r="A53" s="11" t="s">
        <v>85</v>
      </c>
      <c r="B53" s="11" t="s">
        <v>145</v>
      </c>
      <c r="C53" s="11" t="s">
        <v>148</v>
      </c>
      <c r="D53" s="46" t="s">
        <v>88</v>
      </c>
      <c r="E53" s="26">
        <v>53</v>
      </c>
      <c r="F53" s="26">
        <v>21</v>
      </c>
      <c r="G53" s="26">
        <v>16</v>
      </c>
      <c r="H53" s="16">
        <f t="shared" si="0"/>
        <v>67628</v>
      </c>
      <c r="I53" s="16">
        <v>829</v>
      </c>
      <c r="J53" s="17">
        <f t="shared" si="1"/>
        <v>15.641509433962264</v>
      </c>
      <c r="K53" s="15">
        <v>344</v>
      </c>
      <c r="L53" s="15">
        <v>568</v>
      </c>
      <c r="M53" s="17">
        <f t="shared" si="2"/>
        <v>6.4905660377358494</v>
      </c>
      <c r="N53" s="17">
        <f t="shared" si="3"/>
        <v>10.716981132075471</v>
      </c>
      <c r="O53" s="18">
        <f t="shared" si="4"/>
        <v>0.60563380281690138</v>
      </c>
      <c r="P53" s="16">
        <v>314</v>
      </c>
      <c r="Q53" s="15">
        <v>483</v>
      </c>
      <c r="R53" s="17">
        <f t="shared" si="5"/>
        <v>5.9245283018867925</v>
      </c>
      <c r="S53" s="17">
        <f t="shared" si="6"/>
        <v>9.1132075471698109</v>
      </c>
      <c r="T53" s="18">
        <f t="shared" si="7"/>
        <v>0.65010351966873703</v>
      </c>
      <c r="U53" s="15">
        <v>30</v>
      </c>
      <c r="V53" s="15">
        <v>85</v>
      </c>
      <c r="W53" s="17">
        <f t="shared" si="8"/>
        <v>0.56603773584905659</v>
      </c>
      <c r="X53" s="17">
        <f t="shared" si="9"/>
        <v>1.6037735849056605</v>
      </c>
      <c r="Y53" s="18">
        <f t="shared" si="10"/>
        <v>0.35294117647058826</v>
      </c>
      <c r="Z53" s="9">
        <v>111</v>
      </c>
      <c r="AA53" s="9">
        <v>143</v>
      </c>
      <c r="AB53" s="17">
        <f t="shared" si="11"/>
        <v>2.0943396226415096</v>
      </c>
      <c r="AC53" s="17">
        <f t="shared" si="12"/>
        <v>2.6981132075471699</v>
      </c>
      <c r="AD53" s="18">
        <f t="shared" si="13"/>
        <v>0.77622377622377625</v>
      </c>
      <c r="AE53" s="15">
        <v>447</v>
      </c>
      <c r="AF53" s="17">
        <f t="shared" si="14"/>
        <v>8.433962264150944</v>
      </c>
      <c r="AG53" s="15">
        <v>157</v>
      </c>
      <c r="AH53" s="17">
        <f t="shared" si="15"/>
        <v>2.9622641509433962</v>
      </c>
      <c r="AI53" s="15">
        <v>290</v>
      </c>
      <c r="AJ53" s="17">
        <f t="shared" si="16"/>
        <v>5.4716981132075473</v>
      </c>
      <c r="AK53" s="15">
        <v>69</v>
      </c>
      <c r="AL53" s="17">
        <f t="shared" si="17"/>
        <v>1.3018867924528301</v>
      </c>
      <c r="AM53" s="15">
        <v>16</v>
      </c>
      <c r="AN53" s="17">
        <f t="shared" si="18"/>
        <v>0.30188679245283018</v>
      </c>
      <c r="AO53" s="7">
        <v>40</v>
      </c>
      <c r="AP53" s="17">
        <f t="shared" si="26"/>
        <v>0.75471698113207553</v>
      </c>
      <c r="AQ53" s="6">
        <v>76</v>
      </c>
      <c r="AR53" s="17">
        <f t="shared" si="19"/>
        <v>1.4339622641509433</v>
      </c>
      <c r="AS53" s="15">
        <v>89</v>
      </c>
      <c r="AT53" s="17">
        <f t="shared" si="20"/>
        <v>1.679245283018868</v>
      </c>
      <c r="AU53" s="19">
        <v>6.0927547139053262</v>
      </c>
      <c r="AV53" s="19">
        <v>0.21622125914373899</v>
      </c>
      <c r="AW53" s="19">
        <v>4.8525579167778403</v>
      </c>
      <c r="AX53" s="19">
        <v>1.2401967971274861</v>
      </c>
      <c r="AY53" s="19">
        <v>125.88225711481751</v>
      </c>
      <c r="AZ53" s="19">
        <v>110.9708225428531</v>
      </c>
      <c r="BA53" s="19">
        <v>28.29107952402358</v>
      </c>
      <c r="BB53" s="19">
        <v>20.169811320754722</v>
      </c>
      <c r="BC53" s="19">
        <v>37.936949192642103</v>
      </c>
      <c r="BD53" s="65">
        <f t="shared" si="21"/>
        <v>65.697711278767528</v>
      </c>
      <c r="BE53" s="65">
        <f t="shared" si="22"/>
        <v>63.204225352112672</v>
      </c>
      <c r="BF53" s="66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28.071877539710314</v>
      </c>
      <c r="BG53" s="38">
        <f t="shared" si="23"/>
        <v>0.14964788732394366</v>
      </c>
      <c r="BH53" s="38">
        <f t="shared" si="24"/>
        <v>0.25176056338028169</v>
      </c>
      <c r="BI53" s="67">
        <f>IFERROR(((AG53*(12000/5))/((F53*60+G53)*(SUMIFS(팀공격력!X:X,팀공격력!A:A,B53,팀공격력!B:B,D53)+SUMIFS(팀수비력!X:X,팀수비력!A:A,B53,팀수비력!B:B,D53))))*100,"")</f>
        <v>7.2376913147704229</v>
      </c>
      <c r="BJ53" s="67">
        <f>IFERROR(((AI53*(12000/5))/((F53*60+G53)*(SUMIFS(팀공격력!V:V,팀공격력!A:A,B53,팀공격력!B:B,D53)+SUMIFS(팀수비력!W:W,팀수비력!A:A,B53,팀수비력!B:B,D53))))*100,"")</f>
        <v>28.40909090909091</v>
      </c>
      <c r="BK53" s="67">
        <f>IFERROR(((AE53*(12000/5))/((F53*60+G53)*(SUMIFS(팀공격력!X:X,팀공격력!A:A,B53,팀공격력!B:B,D53)+SUMIFS(팀수비력!X:X,팀수비력!A:A,B53,팀수비력!B:B,D53))))*100,"")</f>
        <v>20.606675271989676</v>
      </c>
      <c r="BL53" s="67">
        <f>IFERROR(100*AK53/(((((F53*60+G53)/(12000/5))*SUMIFS(팀공격력!P:P,팀공격력!A:A,B53,팀공격력!B:B,D53))-K53)),"")</f>
        <v>11.434632020284043</v>
      </c>
      <c r="BM53" s="67">
        <f>IFERROR(100*((AM53/E53*(2400))/((F53*60+G53)*SUMIFS(팀공격력!AR:AR,팀공격력!A:A,B53,팀공격력!B:B,D53))),"")</f>
        <v>0.75377378642786097</v>
      </c>
      <c r="BN53" s="67">
        <f>IFERROR((AO53*40)/(((F53*60+G53)/60)*(SUMIFS(팀수비력!Q:Q,팀수비력!A:A,B53,팀수비력!B:B,D53)-SUMIFS(팀수비력!N:N,팀수비력!A:A,B53,팀수비력!B:B,D53)))*100,"")</f>
        <v>3.0336737789463042</v>
      </c>
      <c r="BO53" s="67">
        <f t="shared" si="25"/>
        <v>10.750862898206304</v>
      </c>
      <c r="BP53" s="19"/>
      <c r="BQ53" s="19"/>
      <c r="BR53" s="19"/>
      <c r="BS53" s="19"/>
      <c r="BT53" s="20" t="s">
        <v>96</v>
      </c>
      <c r="BU53" s="21"/>
      <c r="BV53" s="30" t="s">
        <v>102</v>
      </c>
      <c r="BW53" s="30">
        <v>1437.75</v>
      </c>
      <c r="BX53" s="30">
        <v>1795.85</v>
      </c>
      <c r="BY53" s="30">
        <v>358.1</v>
      </c>
      <c r="BZ53" s="35">
        <f t="shared" si="39"/>
        <v>27.127358490566039</v>
      </c>
      <c r="CA53" s="35">
        <f t="shared" si="40"/>
        <v>33.883962264150945</v>
      </c>
      <c r="CB53" s="35">
        <f t="shared" si="41"/>
        <v>6.7566037735849065</v>
      </c>
      <c r="CC53" s="36">
        <f t="shared" si="42"/>
        <v>51.023244809842083</v>
      </c>
      <c r="CD53" s="36">
        <f t="shared" si="43"/>
        <v>63.73159046548767</v>
      </c>
      <c r="CE53" s="36">
        <f t="shared" si="44"/>
        <v>12.708345655645591</v>
      </c>
      <c r="CF53" s="31">
        <v>29</v>
      </c>
      <c r="CG53" s="31">
        <v>24</v>
      </c>
    </row>
    <row r="54" spans="1:85" x14ac:dyDescent="0.4">
      <c r="A54" s="11" t="s">
        <v>85</v>
      </c>
      <c r="B54" s="11" t="s">
        <v>145</v>
      </c>
      <c r="C54" s="11" t="s">
        <v>149</v>
      </c>
      <c r="D54" s="46" t="s">
        <v>88</v>
      </c>
      <c r="E54" s="25">
        <v>2</v>
      </c>
      <c r="F54" s="25">
        <v>7</v>
      </c>
      <c r="G54" s="25">
        <v>9</v>
      </c>
      <c r="H54" s="16">
        <f t="shared" si="0"/>
        <v>858</v>
      </c>
      <c r="I54" s="16">
        <v>6</v>
      </c>
      <c r="J54" s="17">
        <f t="shared" si="1"/>
        <v>3</v>
      </c>
      <c r="K54" s="15">
        <v>3</v>
      </c>
      <c r="L54" s="15">
        <v>7</v>
      </c>
      <c r="M54" s="17">
        <f t="shared" si="2"/>
        <v>1.5</v>
      </c>
      <c r="N54" s="17">
        <f t="shared" si="3"/>
        <v>3.5</v>
      </c>
      <c r="O54" s="18">
        <f t="shared" si="4"/>
        <v>0.42857142857142855</v>
      </c>
      <c r="P54" s="16">
        <v>3</v>
      </c>
      <c r="Q54" s="15">
        <v>7</v>
      </c>
      <c r="R54" s="17">
        <f t="shared" si="5"/>
        <v>1.5</v>
      </c>
      <c r="S54" s="17">
        <f t="shared" si="6"/>
        <v>3.5</v>
      </c>
      <c r="T54" s="18">
        <f t="shared" si="7"/>
        <v>0.42857142857142855</v>
      </c>
      <c r="U54" s="15">
        <v>0</v>
      </c>
      <c r="V54" s="15">
        <v>0</v>
      </c>
      <c r="W54" s="17">
        <f t="shared" si="8"/>
        <v>0</v>
      </c>
      <c r="X54" s="17">
        <f t="shared" si="9"/>
        <v>0</v>
      </c>
      <c r="Y54" s="18" t="e">
        <f t="shared" si="10"/>
        <v>#DIV/0!</v>
      </c>
      <c r="Z54" s="15">
        <v>0</v>
      </c>
      <c r="AA54" s="15">
        <v>0</v>
      </c>
      <c r="AB54" s="17">
        <f t="shared" si="11"/>
        <v>0</v>
      </c>
      <c r="AC54" s="17">
        <f t="shared" si="12"/>
        <v>0</v>
      </c>
      <c r="AD54" s="18" t="e">
        <f t="shared" si="13"/>
        <v>#DIV/0!</v>
      </c>
      <c r="AE54" s="15">
        <v>9</v>
      </c>
      <c r="AF54" s="17">
        <f t="shared" si="14"/>
        <v>4.5</v>
      </c>
      <c r="AG54" s="15">
        <v>4</v>
      </c>
      <c r="AH54" s="17">
        <f t="shared" si="15"/>
        <v>2</v>
      </c>
      <c r="AI54" s="15">
        <v>5</v>
      </c>
      <c r="AJ54" s="17">
        <f t="shared" si="16"/>
        <v>2.5</v>
      </c>
      <c r="AK54" s="15">
        <v>1</v>
      </c>
      <c r="AL54" s="17">
        <f t="shared" si="17"/>
        <v>0.5</v>
      </c>
      <c r="AM54" s="15">
        <v>1</v>
      </c>
      <c r="AN54" s="17">
        <f t="shared" si="18"/>
        <v>0.5</v>
      </c>
      <c r="AO54" s="15">
        <v>0</v>
      </c>
      <c r="AP54" s="17">
        <f t="shared" si="26"/>
        <v>0</v>
      </c>
      <c r="AQ54" s="4">
        <v>1</v>
      </c>
      <c r="AR54" s="17">
        <f t="shared" si="19"/>
        <v>0.5</v>
      </c>
      <c r="AS54" s="15">
        <v>3</v>
      </c>
      <c r="AT54" s="17">
        <f t="shared" si="20"/>
        <v>1.5</v>
      </c>
      <c r="AU54" s="19">
        <v>3.3225064841566301E-2</v>
      </c>
      <c r="AV54" s="19">
        <v>9.2937244312073564E-2</v>
      </c>
      <c r="AW54" s="19">
        <v>1.296813179311478E-3</v>
      </c>
      <c r="AX54" s="19">
        <v>3.1928251662254832E-2</v>
      </c>
      <c r="AY54" s="19">
        <v>102.3817626299585</v>
      </c>
      <c r="AZ54" s="19">
        <v>102.0868162102291</v>
      </c>
      <c r="BA54" s="19">
        <v>0.69794127356732727</v>
      </c>
      <c r="BB54" s="19">
        <v>6</v>
      </c>
      <c r="BC54" s="19">
        <v>33.566433566433567</v>
      </c>
      <c r="BD54" s="65">
        <f t="shared" si="21"/>
        <v>42.857142857142854</v>
      </c>
      <c r="BE54" s="65">
        <f t="shared" si="22"/>
        <v>42.857142857142854</v>
      </c>
      <c r="BF54" s="66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0.94489719784239812</v>
      </c>
      <c r="BG54" s="38">
        <f t="shared" si="23"/>
        <v>0</v>
      </c>
      <c r="BH54" s="38">
        <f t="shared" si="24"/>
        <v>0</v>
      </c>
      <c r="BI54" s="67">
        <f>IFERROR(((AG54*(12000/5))/((F54*60+G54)*(SUMIFS(팀공격력!X:X,팀공격력!A:A,B54,팀공격력!B:B,D54)+SUMIFS(팀수비력!X:X,팀수비력!A:A,B54,팀수비력!B:B,D54))))*100,"")</f>
        <v>0.54847113670643088</v>
      </c>
      <c r="BJ54" s="67">
        <f>IFERROR(((AI54*(12000/5))/((F54*60+G54)*(SUMIFS(팀공격력!V:V,팀공격력!A:A,B54,팀공격력!B:B,D54)+SUMIFS(팀수비력!W:W,팀수비력!A:A,B54,팀수비력!B:B,D54))))*100,"")</f>
        <v>1.4568764568764567</v>
      </c>
      <c r="BK54" s="67">
        <f>IFERROR(((AE54*(12000/5))/((F54*60+G54)*(SUMIFS(팀공격력!X:X,팀공격력!A:A,B54,팀공격력!B:B,D54)+SUMIFS(팀수비력!X:X,팀수비력!A:A,B54,팀수비력!B:B,D54))))*100,"")</f>
        <v>1.2340600575894694</v>
      </c>
      <c r="BL54" s="67">
        <f>IFERROR(100*AK54/(((((F54*60+G54)/(12000/5))*SUMIFS(팀공격력!P:P,팀공격력!A:A,B54,팀공격력!B:B,D54))-K54)),"")</f>
        <v>0.31692456403064662</v>
      </c>
      <c r="BM54" s="67">
        <f>IFERROR(100*((AM54/E54*(2400))/((F54*60+G54)*SUMIFS(팀공격력!AR:AR,팀공격력!A:A,B54,팀공격력!B:B,D54))),"")</f>
        <v>3.7133022748064821</v>
      </c>
      <c r="BN54" s="67">
        <f>IFERROR((AO54*40)/(((F54*60+G54)/60)*(SUMIFS(팀수비력!Q:Q,팀수비력!A:A,B54,팀수비력!B:B,D54)-SUMIFS(팀수비력!N:N,팀수비력!A:A,B54,팀수비력!B:B,D54)))*100,"")</f>
        <v>0</v>
      </c>
      <c r="BO54" s="67">
        <f t="shared" si="25"/>
        <v>12.5</v>
      </c>
      <c r="BP54" s="19"/>
      <c r="BQ54" s="19"/>
      <c r="BR54" s="19"/>
      <c r="BS54" s="19"/>
      <c r="BT54" s="20" t="s">
        <v>89</v>
      </c>
      <c r="BU54" s="21"/>
      <c r="BV54" s="30" t="s">
        <v>102</v>
      </c>
      <c r="BW54" s="30">
        <v>17.57</v>
      </c>
      <c r="BX54" s="30">
        <v>23.07</v>
      </c>
      <c r="BY54" s="30">
        <v>5.5</v>
      </c>
      <c r="BZ54" s="35">
        <f t="shared" si="39"/>
        <v>8.7850000000000001</v>
      </c>
      <c r="CA54" s="35">
        <f t="shared" si="40"/>
        <v>11.535</v>
      </c>
      <c r="CB54" s="35">
        <f t="shared" si="41"/>
        <v>2.75</v>
      </c>
      <c r="CC54" s="36">
        <f t="shared" si="42"/>
        <v>49.146853146853147</v>
      </c>
      <c r="CD54" s="36">
        <f t="shared" si="43"/>
        <v>64.531468531468533</v>
      </c>
      <c r="CE54" s="36">
        <f t="shared" si="44"/>
        <v>15.384615384615385</v>
      </c>
      <c r="CF54" s="30">
        <v>1</v>
      </c>
      <c r="CG54" s="30">
        <v>1</v>
      </c>
    </row>
    <row r="55" spans="1:85" x14ac:dyDescent="0.4">
      <c r="A55" s="11" t="s">
        <v>85</v>
      </c>
      <c r="B55" s="11" t="s">
        <v>145</v>
      </c>
      <c r="C55" s="11" t="s">
        <v>150</v>
      </c>
      <c r="D55" s="46" t="s">
        <v>88</v>
      </c>
      <c r="E55" s="25">
        <v>28</v>
      </c>
      <c r="F55" s="25">
        <v>31</v>
      </c>
      <c r="G55" s="25">
        <v>9</v>
      </c>
      <c r="H55" s="16">
        <f t="shared" si="0"/>
        <v>52332</v>
      </c>
      <c r="I55" s="16">
        <v>305</v>
      </c>
      <c r="J55" s="17">
        <f t="shared" si="1"/>
        <v>10.892857142857142</v>
      </c>
      <c r="K55" s="15">
        <v>111</v>
      </c>
      <c r="L55" s="15">
        <v>260</v>
      </c>
      <c r="M55" s="17">
        <f t="shared" si="2"/>
        <v>3.9642857142857144</v>
      </c>
      <c r="N55" s="17">
        <f t="shared" si="3"/>
        <v>9.2857142857142865</v>
      </c>
      <c r="O55" s="18">
        <f t="shared" si="4"/>
        <v>0.42692307692307691</v>
      </c>
      <c r="P55" s="16">
        <v>84</v>
      </c>
      <c r="Q55" s="15">
        <v>166</v>
      </c>
      <c r="R55" s="17">
        <f t="shared" si="5"/>
        <v>3</v>
      </c>
      <c r="S55" s="17">
        <f t="shared" si="6"/>
        <v>5.9285714285714288</v>
      </c>
      <c r="T55" s="18">
        <f t="shared" si="7"/>
        <v>0.50602409638554213</v>
      </c>
      <c r="U55" s="15">
        <v>27</v>
      </c>
      <c r="V55" s="15">
        <v>94</v>
      </c>
      <c r="W55" s="17">
        <f t="shared" si="8"/>
        <v>0.9642857142857143</v>
      </c>
      <c r="X55" s="17">
        <f t="shared" si="9"/>
        <v>3.3571428571428572</v>
      </c>
      <c r="Y55" s="18">
        <f t="shared" si="10"/>
        <v>0.28723404255319152</v>
      </c>
      <c r="Z55" s="15">
        <v>56</v>
      </c>
      <c r="AA55" s="15">
        <v>77</v>
      </c>
      <c r="AB55" s="17">
        <f t="shared" si="11"/>
        <v>2</v>
      </c>
      <c r="AC55" s="17">
        <f t="shared" si="12"/>
        <v>2.75</v>
      </c>
      <c r="AD55" s="18">
        <f t="shared" si="13"/>
        <v>0.72727272727272729</v>
      </c>
      <c r="AE55" s="15">
        <v>116</v>
      </c>
      <c r="AF55" s="17">
        <f t="shared" si="14"/>
        <v>4.1428571428571432</v>
      </c>
      <c r="AG55" s="15">
        <v>24</v>
      </c>
      <c r="AH55" s="17">
        <f t="shared" si="15"/>
        <v>0.8571428571428571</v>
      </c>
      <c r="AI55" s="15">
        <v>92</v>
      </c>
      <c r="AJ55" s="17">
        <f t="shared" si="16"/>
        <v>3.2857142857142856</v>
      </c>
      <c r="AK55" s="15">
        <v>92</v>
      </c>
      <c r="AL55" s="17">
        <f t="shared" si="17"/>
        <v>3.2857142857142856</v>
      </c>
      <c r="AM55" s="15">
        <v>19</v>
      </c>
      <c r="AN55" s="17">
        <f t="shared" si="18"/>
        <v>0.6785714285714286</v>
      </c>
      <c r="AO55" s="15">
        <v>14</v>
      </c>
      <c r="AP55" s="17">
        <f t="shared" si="26"/>
        <v>0.5</v>
      </c>
      <c r="AQ55" s="4">
        <v>36</v>
      </c>
      <c r="AR55" s="17">
        <f t="shared" si="19"/>
        <v>1.2857142857142858</v>
      </c>
      <c r="AS55" s="15">
        <v>68</v>
      </c>
      <c r="AT55" s="17">
        <f t="shared" si="20"/>
        <v>2.4285714285714284</v>
      </c>
      <c r="AU55" s="19">
        <v>1.0128339115124989</v>
      </c>
      <c r="AV55" s="19">
        <v>4.6449617588282463E-2</v>
      </c>
      <c r="AW55" s="19">
        <v>0.75308961199293312</v>
      </c>
      <c r="AX55" s="19">
        <v>0.25974429951956568</v>
      </c>
      <c r="AY55" s="19">
        <v>109.61532485008119</v>
      </c>
      <c r="AZ55" s="19">
        <v>117.26653261682191</v>
      </c>
      <c r="BA55" s="19">
        <v>5.4799055018461251</v>
      </c>
      <c r="BB55" s="19">
        <v>12.142857142857141</v>
      </c>
      <c r="BC55" s="19">
        <v>15.592753955514789</v>
      </c>
      <c r="BD55" s="65">
        <f t="shared" si="21"/>
        <v>51.891928678372125</v>
      </c>
      <c r="BE55" s="65">
        <f t="shared" si="22"/>
        <v>47.884615384615387</v>
      </c>
      <c r="BF55" s="66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8.9433154755753996</v>
      </c>
      <c r="BG55" s="38">
        <f t="shared" si="23"/>
        <v>0.36153846153846153</v>
      </c>
      <c r="BH55" s="38">
        <f t="shared" si="24"/>
        <v>0.29615384615384616</v>
      </c>
      <c r="BI55" s="67">
        <f>IFERROR(((AG55*(12000/5))/((F55*60+G55)*(SUMIFS(팀공격력!X:X,팀공격력!A:A,B55,팀공격력!B:B,D55)+SUMIFS(팀수비력!X:X,팀수비력!A:A,B55,팀수비력!B:B,D55))))*100,"")</f>
        <v>0.75535832310452267</v>
      </c>
      <c r="BJ55" s="67">
        <f>IFERROR(((AI55*(12000/5))/((F55*60+G55)*(SUMIFS(팀공격력!V:V,팀공격력!A:A,B55,팀공격력!B:B,D55)+SUMIFS(팀수비력!W:W,팀수비력!A:A,B55,팀수비력!B:B,D55))))*100,"")</f>
        <v>6.1530230069555918</v>
      </c>
      <c r="BK55" s="67">
        <f>IFERROR(((AE55*(12000/5))/((F55*60+G55)*(SUMIFS(팀공격력!X:X,팀공격력!A:A,B55,팀공격력!B:B,D55)+SUMIFS(팀수비력!X:X,팀수비력!A:A,B55,팀수비력!B:B,D55))))*100,"")</f>
        <v>3.6508985616718599</v>
      </c>
      <c r="BL55" s="67">
        <f>IFERROR(100*AK55/(((((F55*60+G55)/(12000/5))*SUMIFS(팀공격력!P:P,팀공격력!A:A,B55,팀공격력!B:B,D55))-K55)),"")</f>
        <v>7.2058947351931586</v>
      </c>
      <c r="BM55" s="67">
        <f>IFERROR(100*((AM55/E55*(2400))/((F55*60+G55)*SUMIFS(팀공격력!AR:AR,팀공격력!A:A,B55,팀공격력!B:B,D55))),"")</f>
        <v>1.1567349553599189</v>
      </c>
      <c r="BN55" s="67">
        <f>IFERROR((AO55*40)/(((F55*60+G55)/60)*(SUMIFS(팀수비력!Q:Q,팀수비력!A:A,B55,팀수비력!B:B,D55)-SUMIFS(팀수비력!N:N,팀수비력!A:A,B55,팀수비력!B:B,D55)))*100,"")</f>
        <v>0.72490032620514677</v>
      </c>
      <c r="BO55" s="67">
        <f t="shared" si="25"/>
        <v>10.913059294288832</v>
      </c>
      <c r="BP55" s="19"/>
      <c r="BQ55" s="19"/>
      <c r="BR55" s="19"/>
      <c r="BS55" s="19"/>
      <c r="BT55" s="20" t="s">
        <v>89</v>
      </c>
      <c r="BU55" s="21"/>
      <c r="BV55" s="31" t="s">
        <v>93</v>
      </c>
      <c r="BW55" s="31">
        <v>610.46</v>
      </c>
      <c r="BX55" s="31">
        <v>823.56</v>
      </c>
      <c r="BY55" s="31">
        <v>213.1</v>
      </c>
      <c r="BZ55" s="35">
        <f t="shared" si="39"/>
        <v>21.802142857142854</v>
      </c>
      <c r="CA55" s="35">
        <f t="shared" si="40"/>
        <v>29.412857142857142</v>
      </c>
      <c r="CB55" s="35">
        <f t="shared" si="41"/>
        <v>7.6107142857142858</v>
      </c>
      <c r="CC55" s="36">
        <f t="shared" si="42"/>
        <v>27.996331116716348</v>
      </c>
      <c r="CD55" s="36">
        <f t="shared" si="43"/>
        <v>37.769318963540471</v>
      </c>
      <c r="CE55" s="36">
        <f t="shared" si="44"/>
        <v>9.7729878468241225</v>
      </c>
      <c r="CF55" s="31">
        <v>18</v>
      </c>
      <c r="CG55" s="31">
        <v>10</v>
      </c>
    </row>
    <row r="56" spans="1:85" x14ac:dyDescent="0.4">
      <c r="A56" s="11" t="s">
        <v>85</v>
      </c>
      <c r="B56" s="11" t="s">
        <v>145</v>
      </c>
      <c r="C56" s="11" t="s">
        <v>151</v>
      </c>
      <c r="D56" s="46" t="s">
        <v>88</v>
      </c>
      <c r="E56" s="25">
        <v>20</v>
      </c>
      <c r="F56" s="25">
        <v>7</v>
      </c>
      <c r="G56" s="25">
        <v>53</v>
      </c>
      <c r="H56" s="16">
        <f t="shared" si="0"/>
        <v>9460</v>
      </c>
      <c r="I56" s="16">
        <v>24</v>
      </c>
      <c r="J56" s="17">
        <f t="shared" si="1"/>
        <v>1.2</v>
      </c>
      <c r="K56" s="15">
        <v>8</v>
      </c>
      <c r="L56" s="15">
        <v>26</v>
      </c>
      <c r="M56" s="17">
        <f t="shared" si="2"/>
        <v>0.4</v>
      </c>
      <c r="N56" s="17">
        <f t="shared" si="3"/>
        <v>1.3</v>
      </c>
      <c r="O56" s="18">
        <f t="shared" si="4"/>
        <v>0.30769230769230771</v>
      </c>
      <c r="P56" s="16">
        <v>6</v>
      </c>
      <c r="Q56" s="15">
        <v>13</v>
      </c>
      <c r="R56" s="17">
        <f t="shared" si="5"/>
        <v>0.3</v>
      </c>
      <c r="S56" s="17">
        <f t="shared" si="6"/>
        <v>0.65</v>
      </c>
      <c r="T56" s="18">
        <f t="shared" si="7"/>
        <v>0.46153846153846156</v>
      </c>
      <c r="U56" s="15">
        <v>2</v>
      </c>
      <c r="V56" s="15">
        <v>13</v>
      </c>
      <c r="W56" s="17">
        <f t="shared" si="8"/>
        <v>0.1</v>
      </c>
      <c r="X56" s="17">
        <f t="shared" si="9"/>
        <v>0.65</v>
      </c>
      <c r="Y56" s="18">
        <f t="shared" si="10"/>
        <v>0.15384615384615385</v>
      </c>
      <c r="Z56" s="15">
        <v>6</v>
      </c>
      <c r="AA56" s="15">
        <v>9</v>
      </c>
      <c r="AB56" s="17">
        <f t="shared" si="11"/>
        <v>0.3</v>
      </c>
      <c r="AC56" s="17">
        <f t="shared" si="12"/>
        <v>0.45</v>
      </c>
      <c r="AD56" s="18">
        <f t="shared" si="13"/>
        <v>0.66666666666666663</v>
      </c>
      <c r="AE56" s="15">
        <v>22</v>
      </c>
      <c r="AF56" s="17">
        <f t="shared" si="14"/>
        <v>1.1000000000000001</v>
      </c>
      <c r="AG56" s="15">
        <v>7</v>
      </c>
      <c r="AH56" s="17">
        <f t="shared" si="15"/>
        <v>0.35</v>
      </c>
      <c r="AI56" s="15">
        <v>15</v>
      </c>
      <c r="AJ56" s="17">
        <f t="shared" si="16"/>
        <v>0.75</v>
      </c>
      <c r="AK56" s="15">
        <v>14</v>
      </c>
      <c r="AL56" s="17">
        <f t="shared" si="17"/>
        <v>0.7</v>
      </c>
      <c r="AM56" s="15">
        <v>6</v>
      </c>
      <c r="AN56" s="17">
        <f t="shared" si="18"/>
        <v>0.3</v>
      </c>
      <c r="AO56" s="15">
        <v>0</v>
      </c>
      <c r="AP56" s="17">
        <f t="shared" si="26"/>
        <v>0</v>
      </c>
      <c r="AQ56" s="4">
        <v>5</v>
      </c>
      <c r="AR56" s="17">
        <f t="shared" si="19"/>
        <v>0.25</v>
      </c>
      <c r="AS56" s="15">
        <v>30</v>
      </c>
      <c r="AT56" s="17">
        <f t="shared" si="20"/>
        <v>1.5</v>
      </c>
      <c r="AU56" s="19">
        <v>2.863751507633696E-2</v>
      </c>
      <c r="AV56" s="19">
        <v>7.2653315204237526E-3</v>
      </c>
      <c r="AW56" s="19">
        <v>-3.9002134992481237E-2</v>
      </c>
      <c r="AX56" s="19">
        <v>6.7639650068818197E-2</v>
      </c>
      <c r="AY56" s="19">
        <v>98.430558323434468</v>
      </c>
      <c r="AZ56" s="19">
        <v>116.2372575849319</v>
      </c>
      <c r="BA56" s="19">
        <v>0.87489418273813568</v>
      </c>
      <c r="BB56" s="19">
        <v>2</v>
      </c>
      <c r="BC56" s="19">
        <v>10.14799154334038</v>
      </c>
      <c r="BD56" s="65">
        <f t="shared" si="21"/>
        <v>40.053404539385845</v>
      </c>
      <c r="BE56" s="65">
        <f t="shared" si="22"/>
        <v>34.615384615384613</v>
      </c>
      <c r="BF56" s="66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3.7450890564716253</v>
      </c>
      <c r="BG56" s="38">
        <f t="shared" si="23"/>
        <v>0.5</v>
      </c>
      <c r="BH56" s="38">
        <f t="shared" si="24"/>
        <v>0.34615384615384615</v>
      </c>
      <c r="BI56" s="67">
        <f>IFERROR(((AG56*(12000/5))/((F56*60+G56)*(SUMIFS(팀공격력!X:X,팀공격력!A:A,B56,팀공격력!B:B,D56)+SUMIFS(팀수비력!X:X,팀수비력!A:A,B56,팀수비력!B:B,D56))))*100,"")</f>
        <v>0.87053849023753271</v>
      </c>
      <c r="BJ56" s="67">
        <f>IFERROR(((AI56*(12000/5))/((F56*60+G56)*(SUMIFS(팀공격력!V:V,팀공격력!A:A,B56,팀공격력!B:B,D56)+SUMIFS(팀수비력!W:W,팀수비력!A:A,B56,팀수비력!B:B,D56))))*100,"")</f>
        <v>3.964059196617336</v>
      </c>
      <c r="BK56" s="67">
        <f>IFERROR(((AE56*(12000/5))/((F56*60+G56)*(SUMIFS(팀공격력!X:X,팀공격력!A:A,B56,팀공격력!B:B,D56)+SUMIFS(팀수비력!X:X,팀수비력!A:A,B56,팀수비력!B:B,D56))))*100,"")</f>
        <v>2.7359781121751023</v>
      </c>
      <c r="BL56" s="67">
        <f>IFERROR(100*AK56/(((((F56*60+G56)/(12000/5))*SUMIFS(팀공격력!P:P,팀공격력!A:A,B56,팀공격력!B:B,D56))-K56)),"")</f>
        <v>4.079224364624384</v>
      </c>
      <c r="BM56" s="67">
        <f>IFERROR(100*((AM56/E56*(2400))/((F56*60+G56)*SUMIFS(팀공격력!AR:AR,팀공격력!A:A,B56,팀공격력!B:B,D56))),"")</f>
        <v>2.0207272844295736</v>
      </c>
      <c r="BN56" s="67">
        <f>IFERROR((AO56*40)/(((F56*60+G56)/60)*(SUMIFS(팀수비력!Q:Q,팀수비력!A:A,B56,팀수비력!B:B,D56)-SUMIFS(팀수비력!N:N,팀수비력!A:A,B56,팀수비력!B:B,D56)))*100,"")</f>
        <v>0</v>
      </c>
      <c r="BO56" s="67">
        <f t="shared" si="25"/>
        <v>14.302059496567505</v>
      </c>
      <c r="BP56" s="19"/>
      <c r="BQ56" s="19"/>
      <c r="BR56" s="19"/>
      <c r="BS56" s="19"/>
      <c r="BT56" s="20" t="s">
        <v>89</v>
      </c>
      <c r="BU56" s="21"/>
      <c r="BV56" s="30" t="s">
        <v>90</v>
      </c>
      <c r="BW56" s="30">
        <v>95.08</v>
      </c>
      <c r="BX56" s="30">
        <v>121.88</v>
      </c>
      <c r="BY56" s="30">
        <v>26.8</v>
      </c>
      <c r="BZ56" s="35">
        <f t="shared" si="39"/>
        <v>4.7539999999999996</v>
      </c>
      <c r="CA56" s="35">
        <f t="shared" si="40"/>
        <v>6.0939999999999994</v>
      </c>
      <c r="CB56" s="35">
        <f t="shared" si="41"/>
        <v>1.34</v>
      </c>
      <c r="CC56" s="36">
        <f t="shared" si="42"/>
        <v>24.121775898520085</v>
      </c>
      <c r="CD56" s="36">
        <f t="shared" si="43"/>
        <v>30.920930232558138</v>
      </c>
      <c r="CE56" s="36">
        <f t="shared" si="44"/>
        <v>6.7991543340380547</v>
      </c>
      <c r="CF56" s="31">
        <v>9</v>
      </c>
      <c r="CG56" s="31">
        <v>11</v>
      </c>
    </row>
    <row r="57" spans="1:85" x14ac:dyDescent="0.4">
      <c r="A57" s="11" t="s">
        <v>85</v>
      </c>
      <c r="B57" s="11" t="s">
        <v>145</v>
      </c>
      <c r="C57" s="11" t="s">
        <v>152</v>
      </c>
      <c r="D57" s="46" t="s">
        <v>88</v>
      </c>
      <c r="E57" s="25">
        <v>53</v>
      </c>
      <c r="F57" s="25">
        <v>19</v>
      </c>
      <c r="G57" s="25">
        <v>34</v>
      </c>
      <c r="H57" s="16">
        <f t="shared" si="0"/>
        <v>62222</v>
      </c>
      <c r="I57" s="16">
        <v>740</v>
      </c>
      <c r="J57" s="17">
        <f t="shared" si="1"/>
        <v>13.962264150943396</v>
      </c>
      <c r="K57" s="15">
        <v>292</v>
      </c>
      <c r="L57" s="15">
        <v>519</v>
      </c>
      <c r="M57" s="17">
        <f t="shared" si="2"/>
        <v>5.5094339622641506</v>
      </c>
      <c r="N57" s="17">
        <f t="shared" si="3"/>
        <v>9.7924528301886795</v>
      </c>
      <c r="O57" s="18">
        <f t="shared" si="4"/>
        <v>0.56262042389210021</v>
      </c>
      <c r="P57" s="16">
        <v>272</v>
      </c>
      <c r="Q57" s="15">
        <v>428</v>
      </c>
      <c r="R57" s="17">
        <f t="shared" si="5"/>
        <v>5.132075471698113</v>
      </c>
      <c r="S57" s="17">
        <f t="shared" si="6"/>
        <v>8.0754716981132084</v>
      </c>
      <c r="T57" s="18">
        <f t="shared" si="7"/>
        <v>0.63551401869158874</v>
      </c>
      <c r="U57" s="15">
        <v>20</v>
      </c>
      <c r="V57" s="15">
        <v>91</v>
      </c>
      <c r="W57" s="17">
        <f t="shared" si="8"/>
        <v>0.37735849056603776</v>
      </c>
      <c r="X57" s="17">
        <f t="shared" si="9"/>
        <v>1.7169811320754718</v>
      </c>
      <c r="Y57" s="18">
        <f t="shared" si="10"/>
        <v>0.21978021978021978</v>
      </c>
      <c r="Z57" s="15">
        <v>136</v>
      </c>
      <c r="AA57" s="15">
        <v>189</v>
      </c>
      <c r="AB57" s="17">
        <f t="shared" si="11"/>
        <v>2.5660377358490565</v>
      </c>
      <c r="AC57" s="17">
        <f t="shared" si="12"/>
        <v>3.5660377358490565</v>
      </c>
      <c r="AD57" s="18">
        <f t="shared" si="13"/>
        <v>0.71957671957671954</v>
      </c>
      <c r="AE57" s="15">
        <v>520</v>
      </c>
      <c r="AF57" s="17">
        <f t="shared" si="14"/>
        <v>9.8113207547169807</v>
      </c>
      <c r="AG57" s="15">
        <v>167</v>
      </c>
      <c r="AH57" s="17">
        <f t="shared" si="15"/>
        <v>3.1509433962264151</v>
      </c>
      <c r="AI57" s="15">
        <v>353</v>
      </c>
      <c r="AJ57" s="17">
        <f t="shared" si="16"/>
        <v>6.6603773584905657</v>
      </c>
      <c r="AK57" s="15">
        <v>157</v>
      </c>
      <c r="AL57" s="17">
        <f t="shared" si="17"/>
        <v>2.9622641509433962</v>
      </c>
      <c r="AM57" s="15">
        <v>36</v>
      </c>
      <c r="AN57" s="17">
        <f t="shared" si="18"/>
        <v>0.67924528301886788</v>
      </c>
      <c r="AO57" s="15">
        <v>4</v>
      </c>
      <c r="AP57" s="17">
        <f t="shared" si="26"/>
        <v>7.5471698113207544E-2</v>
      </c>
      <c r="AQ57" s="4">
        <v>86</v>
      </c>
      <c r="AR57" s="17">
        <f t="shared" si="19"/>
        <v>1.6226415094339623</v>
      </c>
      <c r="AS57" s="15">
        <v>122</v>
      </c>
      <c r="AT57" s="17">
        <f t="shared" si="20"/>
        <v>2.3018867924528301</v>
      </c>
      <c r="AU57" s="19">
        <v>6.4046997917948776</v>
      </c>
      <c r="AV57" s="19">
        <v>0.24703930282388389</v>
      </c>
      <c r="AW57" s="19">
        <v>4.7045982428671032</v>
      </c>
      <c r="AX57" s="19">
        <v>1.700101548927774</v>
      </c>
      <c r="AY57" s="19">
        <v>123.988480322603</v>
      </c>
      <c r="AZ57" s="19">
        <v>106.74172048468689</v>
      </c>
      <c r="BA57" s="19">
        <v>29.045794066377169</v>
      </c>
      <c r="BB57" s="19">
        <v>20.584905660377359</v>
      </c>
      <c r="BC57" s="19">
        <v>42.081578862781647</v>
      </c>
      <c r="BD57" s="65">
        <f t="shared" si="21"/>
        <v>61.445462999867154</v>
      </c>
      <c r="BE57" s="65">
        <f t="shared" si="22"/>
        <v>58.188824662813097</v>
      </c>
      <c r="BF57" s="66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29.701145174748657</v>
      </c>
      <c r="BG57" s="38">
        <f t="shared" si="23"/>
        <v>0.17533718689788053</v>
      </c>
      <c r="BH57" s="38">
        <f t="shared" si="24"/>
        <v>0.36416184971098264</v>
      </c>
      <c r="BI57" s="67">
        <f>IFERROR(((AG57*(12000/5))/((F57*60+G57)*(SUMIFS(팀공격력!X:X,팀공격력!A:A,B57,팀공격력!B:B,D57)+SUMIFS(팀수비력!X:X,팀수비력!A:A,B57,팀수비력!B:B,D57))))*100,"")</f>
        <v>8.3675719009920844</v>
      </c>
      <c r="BJ57" s="67">
        <f>IFERROR(((AI57*(12000/5))/((F57*60+G57)*(SUMIFS(팀공격력!V:V,팀공격력!A:A,B57,팀공격력!B:B,D57)+SUMIFS(팀수비력!W:W,팀수비력!A:A,B57,팀수비력!B:B,D57))))*100,"")</f>
        <v>37.585178875638839</v>
      </c>
      <c r="BK57" s="67">
        <f>IFERROR(((AE57*(12000/5))/((F57*60+G57)*(SUMIFS(팀공격력!X:X,팀공격력!A:A,B57,팀공격력!B:B,D57)+SUMIFS(팀수비력!X:X,팀수비력!A:A,B57,팀수비력!B:B,D57))))*100,"")</f>
        <v>26.054714901292712</v>
      </c>
      <c r="BL57" s="67">
        <f>IFERROR(100*AK57/(((((F57*60+G57)/(12000/5))*SUMIFS(팀공격력!P:P,팀공격력!A:A,B57,팀공격력!B:B,D57))-K57)),"")</f>
        <v>27.083207548797208</v>
      </c>
      <c r="BM57" s="67">
        <f>IFERROR(100*((AM57/E57*(2400))/((F57*60+G57)*SUMIFS(팀공격력!AR:AR,팀공격력!A:A,B57,팀공격력!B:B,D57))),"")</f>
        <v>1.8433428797567195</v>
      </c>
      <c r="BN57" s="67">
        <f>IFERROR((AO57*40)/(((F57*60+G57)/60)*(SUMIFS(팀수비력!Q:Q,팀수비력!A:A,B57,팀수비력!B:B,D57)-SUMIFS(팀수비력!N:N,팀수비력!A:A,B57,팀수비력!B:B,D57)))*100,"")</f>
        <v>0.32972467989228993</v>
      </c>
      <c r="BO57" s="67">
        <f t="shared" si="25"/>
        <v>12.497093699139736</v>
      </c>
      <c r="BP57" s="19"/>
      <c r="BQ57" s="19"/>
      <c r="BR57" s="19"/>
      <c r="BS57" s="19"/>
      <c r="BT57" s="20" t="s">
        <v>96</v>
      </c>
      <c r="BU57" s="21"/>
      <c r="BV57" s="31" t="s">
        <v>102</v>
      </c>
      <c r="BW57" s="31">
        <v>1494.56</v>
      </c>
      <c r="BX57" s="31">
        <v>1885.86</v>
      </c>
      <c r="BY57" s="31">
        <v>391.3</v>
      </c>
      <c r="BZ57" s="35">
        <f t="shared" si="39"/>
        <v>28.199245283018868</v>
      </c>
      <c r="CA57" s="35">
        <f t="shared" si="40"/>
        <v>35.582264150943395</v>
      </c>
      <c r="CB57" s="35">
        <f t="shared" si="41"/>
        <v>7.3830188679245285</v>
      </c>
      <c r="CC57" s="36">
        <f t="shared" si="42"/>
        <v>57.647520169714895</v>
      </c>
      <c r="CD57" s="36">
        <f t="shared" si="43"/>
        <v>72.74057407347884</v>
      </c>
      <c r="CE57" s="36">
        <f t="shared" si="44"/>
        <v>15.093053903763941</v>
      </c>
      <c r="CF57" s="31">
        <v>29</v>
      </c>
      <c r="CG57" s="31">
        <v>24</v>
      </c>
    </row>
    <row r="58" spans="1:85" x14ac:dyDescent="0.4">
      <c r="A58" s="11" t="s">
        <v>85</v>
      </c>
      <c r="B58" s="11" t="s">
        <v>145</v>
      </c>
      <c r="C58" s="11" t="s">
        <v>153</v>
      </c>
      <c r="D58" s="46" t="s">
        <v>88</v>
      </c>
      <c r="E58" s="25">
        <v>21</v>
      </c>
      <c r="F58" s="25">
        <v>5</v>
      </c>
      <c r="G58" s="25">
        <v>30</v>
      </c>
      <c r="H58" s="16">
        <f t="shared" si="0"/>
        <v>6930</v>
      </c>
      <c r="I58" s="16">
        <v>21</v>
      </c>
      <c r="J58" s="17">
        <f t="shared" si="1"/>
        <v>1</v>
      </c>
      <c r="K58" s="15">
        <v>9</v>
      </c>
      <c r="L58" s="15">
        <v>24</v>
      </c>
      <c r="M58" s="17">
        <f t="shared" si="2"/>
        <v>0.42857142857142855</v>
      </c>
      <c r="N58" s="17">
        <f t="shared" si="3"/>
        <v>1.1428571428571428</v>
      </c>
      <c r="O58" s="18">
        <f t="shared" si="4"/>
        <v>0.375</v>
      </c>
      <c r="P58" s="16">
        <v>8</v>
      </c>
      <c r="Q58" s="15">
        <v>19</v>
      </c>
      <c r="R58" s="17">
        <f t="shared" si="5"/>
        <v>0.38095238095238093</v>
      </c>
      <c r="S58" s="17">
        <f t="shared" si="6"/>
        <v>0.90476190476190477</v>
      </c>
      <c r="T58" s="18">
        <f t="shared" si="7"/>
        <v>0.42105263157894735</v>
      </c>
      <c r="U58" s="15">
        <v>1</v>
      </c>
      <c r="V58" s="15">
        <v>5</v>
      </c>
      <c r="W58" s="17">
        <f t="shared" si="8"/>
        <v>4.7619047619047616E-2</v>
      </c>
      <c r="X58" s="17">
        <f t="shared" si="9"/>
        <v>0.23809523809523808</v>
      </c>
      <c r="Y58" s="18">
        <f t="shared" si="10"/>
        <v>0.2</v>
      </c>
      <c r="Z58" s="15">
        <v>2</v>
      </c>
      <c r="AA58" s="15">
        <v>6</v>
      </c>
      <c r="AB58" s="17">
        <f t="shared" si="11"/>
        <v>9.5238095238095233E-2</v>
      </c>
      <c r="AC58" s="17">
        <f t="shared" si="12"/>
        <v>0.2857142857142857</v>
      </c>
      <c r="AD58" s="18">
        <f t="shared" si="13"/>
        <v>0.33333333333333331</v>
      </c>
      <c r="AE58" s="15">
        <v>11</v>
      </c>
      <c r="AF58" s="17">
        <f t="shared" si="14"/>
        <v>0.52380952380952384</v>
      </c>
      <c r="AG58" s="15">
        <v>6</v>
      </c>
      <c r="AH58" s="17">
        <f t="shared" si="15"/>
        <v>0.2857142857142857</v>
      </c>
      <c r="AI58" s="15">
        <v>5</v>
      </c>
      <c r="AJ58" s="17">
        <f t="shared" si="16"/>
        <v>0.23809523809523808</v>
      </c>
      <c r="AK58" s="15">
        <v>2</v>
      </c>
      <c r="AL58" s="17">
        <f t="shared" si="17"/>
        <v>9.5238095238095233E-2</v>
      </c>
      <c r="AM58" s="15">
        <v>2</v>
      </c>
      <c r="AN58" s="17">
        <f t="shared" si="18"/>
        <v>9.5238095238095233E-2</v>
      </c>
      <c r="AO58" s="15">
        <v>0</v>
      </c>
      <c r="AP58" s="17">
        <f t="shared" si="26"/>
        <v>0</v>
      </c>
      <c r="AQ58" s="4">
        <v>0</v>
      </c>
      <c r="AR58" s="17">
        <f t="shared" si="19"/>
        <v>0</v>
      </c>
      <c r="AS58" s="15">
        <v>15</v>
      </c>
      <c r="AT58" s="17">
        <f t="shared" si="20"/>
        <v>0.7142857142857143</v>
      </c>
      <c r="AU58" s="19">
        <v>-4.7754634007368957E-2</v>
      </c>
      <c r="AV58" s="19">
        <v>-1.6538401387833409E-2</v>
      </c>
      <c r="AW58" s="19">
        <v>-2.7180186232375291E-2</v>
      </c>
      <c r="AX58" s="19">
        <v>-2.0574447774993659E-2</v>
      </c>
      <c r="AY58" s="19">
        <v>98.314982108170327</v>
      </c>
      <c r="AZ58" s="19">
        <v>121.0002862206573</v>
      </c>
      <c r="BA58" s="19">
        <v>0.83722370765912302</v>
      </c>
      <c r="BB58" s="19">
        <v>0.80952380952380953</v>
      </c>
      <c r="BC58" s="19">
        <v>5.8874458874458879</v>
      </c>
      <c r="BD58" s="65">
        <f t="shared" si="21"/>
        <v>39.414414414414409</v>
      </c>
      <c r="BE58" s="65">
        <f t="shared" si="22"/>
        <v>39.583333333333329</v>
      </c>
      <c r="BF58" s="66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4.090459969459741</v>
      </c>
      <c r="BG58" s="38">
        <f t="shared" si="23"/>
        <v>0.20833333333333334</v>
      </c>
      <c r="BH58" s="38">
        <f t="shared" si="24"/>
        <v>0.25</v>
      </c>
      <c r="BI58" s="67">
        <f>IFERROR(((AG58*(12000/5))/((F58*60+G58)*(SUMIFS(팀공격력!X:X,팀공격력!A:A,B58,팀공격력!B:B,D58)+SUMIFS(팀수비력!X:X,팀수비력!A:A,B58,팀수비력!B:B,D58))))*100,"")</f>
        <v>1.0695187165775399</v>
      </c>
      <c r="BJ58" s="67">
        <f>IFERROR(((AI58*(12000/5))/((F58*60+G58)*(SUMIFS(팀공격력!V:V,팀공격력!A:A,B58,팀공격력!B:B,D58)+SUMIFS(팀수비력!W:W,팀수비력!A:A,B58,팀수비력!B:B,D58))))*100,"")</f>
        <v>1.893939393939394</v>
      </c>
      <c r="BK58" s="67">
        <f>IFERROR(((AE58*(12000/5))/((F58*60+G58)*(SUMIFS(팀공격력!X:X,팀공격력!A:A,B58,팀공격력!B:B,D58)+SUMIFS(팀수비력!X:X,팀수비력!A:A,B58,팀수비력!B:B,D58))))*100,"")</f>
        <v>1.9607843137254901</v>
      </c>
      <c r="BL58" s="67">
        <f>IFERROR(100*AK58/(((((F58*60+G58)/(12000/5))*SUMIFS(팀공격력!P:P,팀공격력!A:A,B58,팀공격력!B:B,D58))-K58)),"")</f>
        <v>0.84736786357377392</v>
      </c>
      <c r="BM58" s="67">
        <f>IFERROR(100*((AM58/E58*(2400))/((F58*60+G58)*SUMIFS(팀공격력!AR:AR,팀공격력!A:A,B58,팀공격력!B:B,D58))),"")</f>
        <v>0.91948437280922402</v>
      </c>
      <c r="BN58" s="67">
        <f>IFERROR((AO58*40)/(((F58*60+G58)/60)*(SUMIFS(팀수비력!Q:Q,팀수비력!A:A,B58,팀수비력!B:B,D58)-SUMIFS(팀수비력!N:N,팀수비력!A:A,B58,팀수비력!B:B,D58)))*100,"")</f>
        <v>0</v>
      </c>
      <c r="BO58" s="67">
        <f t="shared" si="25"/>
        <v>0</v>
      </c>
      <c r="BP58" s="19"/>
      <c r="BQ58" s="19"/>
      <c r="BR58" s="19"/>
      <c r="BS58" s="19"/>
      <c r="BT58" s="20" t="s">
        <v>89</v>
      </c>
      <c r="BU58" s="21"/>
      <c r="BV58" s="30" t="s">
        <v>93</v>
      </c>
      <c r="BW58" s="30">
        <v>51.04</v>
      </c>
      <c r="BX58" s="30">
        <v>68.84</v>
      </c>
      <c r="BY58" s="30">
        <v>17.8</v>
      </c>
      <c r="BZ58" s="35">
        <f t="shared" si="39"/>
        <v>2.4304761904761905</v>
      </c>
      <c r="CA58" s="35">
        <f t="shared" si="40"/>
        <v>3.2780952380952382</v>
      </c>
      <c r="CB58" s="35">
        <f t="shared" si="41"/>
        <v>0.84761904761904761</v>
      </c>
      <c r="CC58" s="36">
        <f t="shared" si="42"/>
        <v>17.676190476190477</v>
      </c>
      <c r="CD58" s="36">
        <f t="shared" si="43"/>
        <v>23.840692640692641</v>
      </c>
      <c r="CE58" s="36">
        <f t="shared" si="44"/>
        <v>6.1645021645021645</v>
      </c>
      <c r="CF58" s="30">
        <v>10</v>
      </c>
      <c r="CG58" s="30">
        <v>11</v>
      </c>
    </row>
    <row r="59" spans="1:85" x14ac:dyDescent="0.4">
      <c r="A59" s="11" t="s">
        <v>85</v>
      </c>
      <c r="B59" s="11" t="s">
        <v>145</v>
      </c>
      <c r="C59" s="11" t="s">
        <v>154</v>
      </c>
      <c r="D59" s="46" t="s">
        <v>88</v>
      </c>
      <c r="E59" s="25">
        <v>53</v>
      </c>
      <c r="F59" s="25">
        <v>13</v>
      </c>
      <c r="G59" s="25">
        <v>51</v>
      </c>
      <c r="H59" s="16">
        <f t="shared" si="0"/>
        <v>44043</v>
      </c>
      <c r="I59" s="16">
        <v>224</v>
      </c>
      <c r="J59" s="17">
        <f t="shared" si="1"/>
        <v>4.2264150943396226</v>
      </c>
      <c r="K59" s="15">
        <v>76</v>
      </c>
      <c r="L59" s="15">
        <v>175</v>
      </c>
      <c r="M59" s="17">
        <f t="shared" si="2"/>
        <v>1.4339622641509433</v>
      </c>
      <c r="N59" s="17">
        <f t="shared" si="3"/>
        <v>3.3018867924528301</v>
      </c>
      <c r="O59" s="18">
        <f t="shared" si="4"/>
        <v>0.43428571428571427</v>
      </c>
      <c r="P59" s="16">
        <v>19</v>
      </c>
      <c r="Q59" s="15">
        <v>38</v>
      </c>
      <c r="R59" s="17">
        <f t="shared" si="5"/>
        <v>0.35849056603773582</v>
      </c>
      <c r="S59" s="17">
        <f t="shared" si="6"/>
        <v>0.71698113207547165</v>
      </c>
      <c r="T59" s="18">
        <f t="shared" si="7"/>
        <v>0.5</v>
      </c>
      <c r="U59" s="15">
        <v>57</v>
      </c>
      <c r="V59" s="15">
        <v>137</v>
      </c>
      <c r="W59" s="17">
        <f t="shared" si="8"/>
        <v>1.0754716981132075</v>
      </c>
      <c r="X59" s="17">
        <f t="shared" si="9"/>
        <v>2.5849056603773586</v>
      </c>
      <c r="Y59" s="18">
        <f t="shared" si="10"/>
        <v>0.41605839416058393</v>
      </c>
      <c r="Z59" s="15">
        <v>15</v>
      </c>
      <c r="AA59" s="15">
        <v>19</v>
      </c>
      <c r="AB59" s="17">
        <f t="shared" si="11"/>
        <v>0.28301886792452829</v>
      </c>
      <c r="AC59" s="17">
        <f t="shared" si="12"/>
        <v>0.35849056603773582</v>
      </c>
      <c r="AD59" s="18">
        <f t="shared" si="13"/>
        <v>0.78947368421052633</v>
      </c>
      <c r="AE59" s="15">
        <v>66</v>
      </c>
      <c r="AF59" s="17">
        <f t="shared" si="14"/>
        <v>1.2452830188679245</v>
      </c>
      <c r="AG59" s="15">
        <v>22</v>
      </c>
      <c r="AH59" s="17">
        <f t="shared" si="15"/>
        <v>0.41509433962264153</v>
      </c>
      <c r="AI59" s="15">
        <v>44</v>
      </c>
      <c r="AJ59" s="17">
        <f t="shared" si="16"/>
        <v>0.83018867924528306</v>
      </c>
      <c r="AK59" s="15">
        <v>24</v>
      </c>
      <c r="AL59" s="17">
        <f t="shared" si="17"/>
        <v>0.45283018867924529</v>
      </c>
      <c r="AM59" s="15">
        <v>19</v>
      </c>
      <c r="AN59" s="17">
        <f t="shared" si="18"/>
        <v>0.35849056603773582</v>
      </c>
      <c r="AO59" s="15">
        <v>1</v>
      </c>
      <c r="AP59" s="17">
        <f t="shared" si="26"/>
        <v>1.8867924528301886E-2</v>
      </c>
      <c r="AQ59" s="4">
        <v>11</v>
      </c>
      <c r="AR59" s="17">
        <f t="shared" si="19"/>
        <v>0.20754716981132076</v>
      </c>
      <c r="AS59" s="15">
        <v>56</v>
      </c>
      <c r="AT59" s="17">
        <f t="shared" si="20"/>
        <v>1.0566037735849056</v>
      </c>
      <c r="AU59" s="19">
        <v>1.249374724030655</v>
      </c>
      <c r="AV59" s="19">
        <v>6.8081178341020648E-2</v>
      </c>
      <c r="AW59" s="19">
        <v>1.232236462142505</v>
      </c>
      <c r="AX59" s="19">
        <v>1.7138261888149878E-2</v>
      </c>
      <c r="AY59" s="19">
        <v>125.0436858831002</v>
      </c>
      <c r="AZ59" s="19">
        <v>119.4196548883765</v>
      </c>
      <c r="BA59" s="19">
        <v>9.0909207235358505</v>
      </c>
      <c r="BB59" s="19">
        <v>4.1509433962264151</v>
      </c>
      <c r="BC59" s="19">
        <v>11.988284176827189</v>
      </c>
      <c r="BD59" s="65">
        <f t="shared" si="21"/>
        <v>61.082024432809767</v>
      </c>
      <c r="BE59" s="65">
        <f t="shared" si="22"/>
        <v>59.714285714285722</v>
      </c>
      <c r="BF59" s="66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11.851074625581559</v>
      </c>
      <c r="BG59" s="38">
        <f t="shared" si="23"/>
        <v>0.78285714285714281</v>
      </c>
      <c r="BH59" s="38">
        <f t="shared" si="24"/>
        <v>0.10857142857142857</v>
      </c>
      <c r="BI59" s="67">
        <f>IFERROR(((AG59*(12000/5))/((F59*60+G59)*(SUMIFS(팀공격력!X:X,팀공격력!A:A,B59,팀공격력!B:B,D59)+SUMIFS(팀수비력!X:X,팀수비력!A:A,B59,팀수비력!B:B,D59))))*100,"")</f>
        <v>1.5573016210094146</v>
      </c>
      <c r="BJ59" s="67">
        <f>IFERROR(((AI59*(12000/5))/((F59*60+G59)*(SUMIFS(팀공격력!V:V,팀공격력!A:A,B59,팀공격력!B:B,D59)+SUMIFS(팀수비력!W:W,팀수비력!A:A,B59,팀수비력!B:B,D59))))*100,"")</f>
        <v>6.6185318892900122</v>
      </c>
      <c r="BK59" s="67">
        <f>IFERROR(((AE59*(12000/5))/((F59*60+G59)*(SUMIFS(팀공격력!X:X,팀공격력!A:A,B59,팀공격력!B:B,D59)+SUMIFS(팀수비력!X:X,팀수비력!A:A,B59,팀수비력!B:B,D59))))*100,"")</f>
        <v>4.671904863028244</v>
      </c>
      <c r="BL59" s="67">
        <f>IFERROR(100*AK59/(((((F59*60+G59)/(12000/5))*SUMIFS(팀공격력!P:P,팀공격력!A:A,B59,팀공격력!B:B,D59))-K59)),"")</f>
        <v>4.4360857088726329</v>
      </c>
      <c r="BM59" s="67">
        <f>IFERROR(100*((AM59/E59*(2400))/((F59*60+G59)*SUMIFS(팀공격력!AR:AR,팀공격력!A:A,B59,팀공격력!B:B,D59))),"")</f>
        <v>1.374435294686903</v>
      </c>
      <c r="BN59" s="67">
        <f>IFERROR((AO59*40)/(((F59*60+G59)/60)*(SUMIFS(팀수비력!Q:Q,팀수비력!A:A,B59,팀수비력!B:B,D59)-SUMIFS(팀수비력!N:N,팀수비력!A:A,B59,팀수비력!B:B,D59)))*100,"")</f>
        <v>0.11645510655642251</v>
      </c>
      <c r="BO59" s="67">
        <f t="shared" si="25"/>
        <v>5.6596007408931879</v>
      </c>
      <c r="BP59" s="19"/>
      <c r="BQ59" s="19"/>
      <c r="BR59" s="19"/>
      <c r="BS59" s="19"/>
      <c r="BT59" s="20" t="s">
        <v>89</v>
      </c>
      <c r="BU59" s="21"/>
      <c r="BV59" s="31" t="s">
        <v>93</v>
      </c>
      <c r="BW59" s="31">
        <v>431.35</v>
      </c>
      <c r="BX59" s="31">
        <v>542.04999999999995</v>
      </c>
      <c r="BY59" s="31">
        <v>110.7</v>
      </c>
      <c r="BZ59" s="35">
        <f t="shared" si="39"/>
        <v>8.1386792452830186</v>
      </c>
      <c r="CA59" s="35">
        <f t="shared" si="40"/>
        <v>10.227358490566036</v>
      </c>
      <c r="CB59" s="35">
        <f t="shared" si="41"/>
        <v>2.0886792452830187</v>
      </c>
      <c r="CC59" s="36">
        <f t="shared" si="42"/>
        <v>23.505210816701862</v>
      </c>
      <c r="CD59" s="36">
        <f t="shared" si="43"/>
        <v>29.537497445678088</v>
      </c>
      <c r="CE59" s="36">
        <f t="shared" si="44"/>
        <v>6.0322866289762276</v>
      </c>
      <c r="CF59" s="31">
        <v>29</v>
      </c>
      <c r="CG59" s="31">
        <v>24</v>
      </c>
    </row>
    <row r="60" spans="1:85" x14ac:dyDescent="0.4">
      <c r="A60" s="11" t="s">
        <v>85</v>
      </c>
      <c r="B60" s="11" t="s">
        <v>145</v>
      </c>
      <c r="C60" s="11" t="s">
        <v>155</v>
      </c>
      <c r="D60" s="46" t="s">
        <v>88</v>
      </c>
      <c r="E60" s="25">
        <v>54</v>
      </c>
      <c r="F60" s="25">
        <v>24</v>
      </c>
      <c r="G60" s="25">
        <v>1</v>
      </c>
      <c r="H60" s="16">
        <f t="shared" si="0"/>
        <v>77814</v>
      </c>
      <c r="I60" s="16">
        <v>391</v>
      </c>
      <c r="J60" s="17">
        <f t="shared" si="1"/>
        <v>7.2407407407407405</v>
      </c>
      <c r="K60" s="15">
        <v>158</v>
      </c>
      <c r="L60" s="15">
        <v>337</v>
      </c>
      <c r="M60" s="17">
        <f t="shared" si="2"/>
        <v>2.925925925925926</v>
      </c>
      <c r="N60" s="17">
        <f t="shared" si="3"/>
        <v>6.2407407407407405</v>
      </c>
      <c r="O60" s="18">
        <f t="shared" si="4"/>
        <v>0.46884272997032639</v>
      </c>
      <c r="P60" s="16">
        <v>138</v>
      </c>
      <c r="Q60" s="15">
        <v>280</v>
      </c>
      <c r="R60" s="17">
        <f t="shared" si="5"/>
        <v>2.5555555555555554</v>
      </c>
      <c r="S60" s="17">
        <f t="shared" si="6"/>
        <v>5.1851851851851851</v>
      </c>
      <c r="T60" s="18">
        <f t="shared" si="7"/>
        <v>0.49285714285714288</v>
      </c>
      <c r="U60" s="15">
        <v>20</v>
      </c>
      <c r="V60" s="15">
        <v>57</v>
      </c>
      <c r="W60" s="17">
        <f t="shared" si="8"/>
        <v>0.37037037037037035</v>
      </c>
      <c r="X60" s="17">
        <f t="shared" si="9"/>
        <v>1.0555555555555556</v>
      </c>
      <c r="Y60" s="18">
        <f t="shared" si="10"/>
        <v>0.35087719298245612</v>
      </c>
      <c r="Z60" s="15">
        <v>55</v>
      </c>
      <c r="AA60" s="15">
        <v>66</v>
      </c>
      <c r="AB60" s="17">
        <f t="shared" si="11"/>
        <v>1.0185185185185186</v>
      </c>
      <c r="AC60" s="17">
        <f t="shared" si="12"/>
        <v>1.2222222222222223</v>
      </c>
      <c r="AD60" s="18">
        <f t="shared" si="13"/>
        <v>0.83333333333333337</v>
      </c>
      <c r="AE60" s="15">
        <v>193</v>
      </c>
      <c r="AF60" s="17">
        <f t="shared" si="14"/>
        <v>3.574074074074074</v>
      </c>
      <c r="AG60" s="15">
        <v>60</v>
      </c>
      <c r="AH60" s="17">
        <f t="shared" si="15"/>
        <v>1.1111111111111112</v>
      </c>
      <c r="AI60" s="15">
        <v>133</v>
      </c>
      <c r="AJ60" s="17">
        <f t="shared" si="16"/>
        <v>2.4629629629629628</v>
      </c>
      <c r="AK60" s="15">
        <v>94</v>
      </c>
      <c r="AL60" s="17">
        <f t="shared" si="17"/>
        <v>1.7407407407407407</v>
      </c>
      <c r="AM60" s="15">
        <v>28</v>
      </c>
      <c r="AN60" s="17">
        <f t="shared" si="18"/>
        <v>0.51851851851851849</v>
      </c>
      <c r="AO60" s="15">
        <v>21</v>
      </c>
      <c r="AP60" s="17">
        <f t="shared" si="26"/>
        <v>0.3888888888888889</v>
      </c>
      <c r="AQ60" s="4">
        <v>36</v>
      </c>
      <c r="AR60" s="17">
        <f t="shared" si="19"/>
        <v>0.66666666666666663</v>
      </c>
      <c r="AS60" s="15">
        <v>98</v>
      </c>
      <c r="AT60" s="17">
        <f t="shared" si="20"/>
        <v>1.8148148148148149</v>
      </c>
      <c r="AU60" s="19">
        <v>1.907217242800813</v>
      </c>
      <c r="AV60" s="19">
        <v>5.8823879799547021E-2</v>
      </c>
      <c r="AW60" s="19">
        <v>1.544495462395671</v>
      </c>
      <c r="AX60" s="19">
        <v>0.36272178040514258</v>
      </c>
      <c r="AY60" s="19">
        <v>114.844871799991</v>
      </c>
      <c r="AZ60" s="19">
        <v>117.4086842463531</v>
      </c>
      <c r="BA60" s="19">
        <v>10.538423000826731</v>
      </c>
      <c r="BB60" s="19">
        <v>9.2777777777777786</v>
      </c>
      <c r="BC60" s="19">
        <v>15.452232246125369</v>
      </c>
      <c r="BD60" s="65">
        <f t="shared" si="21"/>
        <v>53.409463446617856</v>
      </c>
      <c r="BE60" s="65">
        <f t="shared" si="22"/>
        <v>49.851632047477743</v>
      </c>
      <c r="BF60" s="66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14.136996476528388</v>
      </c>
      <c r="BG60" s="38">
        <f t="shared" si="23"/>
        <v>0.16913946587537093</v>
      </c>
      <c r="BH60" s="38">
        <f t="shared" si="24"/>
        <v>0.19584569732937684</v>
      </c>
      <c r="BI60" s="67">
        <f>IFERROR(((AG60*(12000/5))/((F60*60+G60)*(SUMIFS(팀공격력!X:X,팀공격력!A:A,B60,팀공격력!B:B,D60)+SUMIFS(팀수비력!X:X,팀수비력!A:A,B60,팀수비력!B:B,D60))))*100,"")</f>
        <v>2.4492795036126873</v>
      </c>
      <c r="BJ60" s="67">
        <f>IFERROR(((AI60*(12000/5))/((F60*60+G60)*(SUMIFS(팀공격력!V:V,팀공격력!A:A,B60,팀공격력!B:B,D60)+SUMIFS(팀수비력!W:W,팀수비력!A:A,B60,팀수비력!B:B,D60))))*100,"")</f>
        <v>11.537126995142263</v>
      </c>
      <c r="BK60" s="67">
        <f>IFERROR(((AE60*(12000/5))/((F60*60+G60)*(SUMIFS(팀공격력!X:X,팀공격력!A:A,B60,팀공격력!B:B,D60)+SUMIFS(팀수비력!X:X,팀수비력!A:A,B60,팀수비력!B:B,D60))))*100,"")</f>
        <v>7.8785157366208116</v>
      </c>
      <c r="BL60" s="67">
        <f>IFERROR(100*AK60/(((((F60*60+G60)/(12000/5))*SUMIFS(팀공격력!P:P,팀공격력!A:A,B60,팀공격력!B:B,D60))-K60)),"")</f>
        <v>10.307667424207118</v>
      </c>
      <c r="BM60" s="67">
        <f>IFERROR(100*((AM60/E60*(2400))/((F60*60+G60)*SUMIFS(팀공격력!AR:AR,팀공격력!A:A,B60,팀공격력!B:B,D60))),"")</f>
        <v>1.1464308973957247</v>
      </c>
      <c r="BN60" s="67">
        <f>IFERROR((AO60*40)/(((F60*60+G60)/60)*(SUMIFS(팀수비력!Q:Q,팀수비력!A:A,B60,팀수비력!B:B,D60)-SUMIFS(팀수비력!N:N,팀수비력!A:A,B60,팀수비력!B:B,D60)))*100,"")</f>
        <v>1.4103109399834346</v>
      </c>
      <c r="BO60" s="67">
        <f t="shared" si="25"/>
        <v>8.9543329021987859</v>
      </c>
      <c r="BP60" s="19"/>
      <c r="BQ60" s="19"/>
      <c r="BR60" s="19"/>
      <c r="BS60" s="19"/>
      <c r="BT60" s="20" t="s">
        <v>89</v>
      </c>
      <c r="BU60" s="21"/>
      <c r="BV60" s="31" t="s">
        <v>93</v>
      </c>
      <c r="BW60" s="31">
        <v>894.66</v>
      </c>
      <c r="BX60" s="31">
        <v>1132.76</v>
      </c>
      <c r="BY60" s="31">
        <v>238.1</v>
      </c>
      <c r="BZ60" s="35">
        <f t="shared" si="39"/>
        <v>16.567777777777778</v>
      </c>
      <c r="CA60" s="35">
        <f t="shared" si="40"/>
        <v>20.977037037037036</v>
      </c>
      <c r="CB60" s="35">
        <f t="shared" si="41"/>
        <v>4.409259259259259</v>
      </c>
      <c r="CC60" s="36">
        <f t="shared" si="42"/>
        <v>27.593800601434189</v>
      </c>
      <c r="CD60" s="36">
        <f t="shared" si="43"/>
        <v>34.93746626571054</v>
      </c>
      <c r="CE60" s="36">
        <f t="shared" si="44"/>
        <v>7.3436656642763509</v>
      </c>
      <c r="CF60" s="31">
        <v>30</v>
      </c>
      <c r="CG60" s="31">
        <v>24</v>
      </c>
    </row>
    <row r="61" spans="1:85" x14ac:dyDescent="0.4">
      <c r="A61" s="11" t="s">
        <v>85</v>
      </c>
      <c r="B61" s="11" t="s">
        <v>145</v>
      </c>
      <c r="C61" s="11" t="s">
        <v>156</v>
      </c>
      <c r="D61" s="46" t="s">
        <v>88</v>
      </c>
      <c r="E61" s="25">
        <v>8</v>
      </c>
      <c r="F61" s="25">
        <v>3</v>
      </c>
      <c r="G61" s="25">
        <v>13</v>
      </c>
      <c r="H61" s="16">
        <f t="shared" si="0"/>
        <v>1544</v>
      </c>
      <c r="I61" s="16">
        <v>14</v>
      </c>
      <c r="J61" s="17">
        <f t="shared" si="1"/>
        <v>1.75</v>
      </c>
      <c r="K61" s="15">
        <v>6</v>
      </c>
      <c r="L61" s="15">
        <v>17</v>
      </c>
      <c r="M61" s="17">
        <f t="shared" si="2"/>
        <v>0.75</v>
      </c>
      <c r="N61" s="17">
        <f t="shared" si="3"/>
        <v>2.125</v>
      </c>
      <c r="O61" s="18">
        <f t="shared" si="4"/>
        <v>0.35294117647058826</v>
      </c>
      <c r="P61" s="16">
        <v>4</v>
      </c>
      <c r="Q61" s="15">
        <v>10</v>
      </c>
      <c r="R61" s="17">
        <f t="shared" si="5"/>
        <v>0.5</v>
      </c>
      <c r="S61" s="17">
        <f t="shared" si="6"/>
        <v>1.25</v>
      </c>
      <c r="T61" s="18">
        <f t="shared" si="7"/>
        <v>0.4</v>
      </c>
      <c r="U61" s="15">
        <v>2</v>
      </c>
      <c r="V61" s="15">
        <v>7</v>
      </c>
      <c r="W61" s="17">
        <f t="shared" si="8"/>
        <v>0.25</v>
      </c>
      <c r="X61" s="17">
        <f t="shared" si="9"/>
        <v>0.875</v>
      </c>
      <c r="Y61" s="18">
        <f t="shared" si="10"/>
        <v>0.2857142857142857</v>
      </c>
      <c r="Z61" s="15">
        <v>0</v>
      </c>
      <c r="AA61" s="15">
        <v>0</v>
      </c>
      <c r="AB61" s="17">
        <f t="shared" si="11"/>
        <v>0</v>
      </c>
      <c r="AC61" s="17">
        <f t="shared" si="12"/>
        <v>0</v>
      </c>
      <c r="AD61" s="18" t="e">
        <f t="shared" si="13"/>
        <v>#DIV/0!</v>
      </c>
      <c r="AE61" s="15">
        <v>2</v>
      </c>
      <c r="AF61" s="17">
        <f t="shared" si="14"/>
        <v>0.25</v>
      </c>
      <c r="AG61" s="15">
        <v>0</v>
      </c>
      <c r="AH61" s="17">
        <f t="shared" si="15"/>
        <v>0</v>
      </c>
      <c r="AI61" s="15">
        <v>2</v>
      </c>
      <c r="AJ61" s="17">
        <f t="shared" si="16"/>
        <v>0.25</v>
      </c>
      <c r="AK61" s="15">
        <v>1</v>
      </c>
      <c r="AL61" s="17">
        <f t="shared" si="17"/>
        <v>0.125</v>
      </c>
      <c r="AM61" s="15">
        <v>2</v>
      </c>
      <c r="AN61" s="17">
        <f t="shared" si="18"/>
        <v>0.25</v>
      </c>
      <c r="AO61" s="15">
        <v>0</v>
      </c>
      <c r="AP61" s="17">
        <f t="shared" si="26"/>
        <v>0</v>
      </c>
      <c r="AQ61" s="4">
        <v>2</v>
      </c>
      <c r="AR61" s="17">
        <f t="shared" si="19"/>
        <v>0.25</v>
      </c>
      <c r="AS61" s="15">
        <v>1</v>
      </c>
      <c r="AT61" s="17">
        <f t="shared" si="20"/>
        <v>0.125</v>
      </c>
      <c r="AU61" s="19">
        <v>-9.6978132934821756E-2</v>
      </c>
      <c r="AV61" s="19">
        <v>-0.15074321181578509</v>
      </c>
      <c r="AW61" s="19">
        <v>-0.1194352349473328</v>
      </c>
      <c r="AX61" s="19">
        <v>2.2457102012511009E-2</v>
      </c>
      <c r="AY61" s="19">
        <v>77.811864307223971</v>
      </c>
      <c r="AZ61" s="19">
        <v>112.75655524470091</v>
      </c>
      <c r="BA61" s="19">
        <v>1.1619215821322091</v>
      </c>
      <c r="BB61" s="19">
        <v>0.75</v>
      </c>
      <c r="BC61" s="19">
        <v>9.3264248704663206</v>
      </c>
      <c r="BD61" s="65">
        <f t="shared" si="21"/>
        <v>41.17647058823529</v>
      </c>
      <c r="BE61" s="65">
        <f t="shared" si="22"/>
        <v>41.17647058823529</v>
      </c>
      <c r="BF61" s="66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4.9882493909413119</v>
      </c>
      <c r="BG61" s="38">
        <f t="shared" si="23"/>
        <v>0.41176470588235292</v>
      </c>
      <c r="BH61" s="38">
        <f t="shared" si="24"/>
        <v>0</v>
      </c>
      <c r="BI61" s="67">
        <f>IFERROR(((AG61*(12000/5))/((F61*60+G61)*(SUMIFS(팀공격력!X:X,팀공격력!A:A,B61,팀공격력!B:B,D61)+SUMIFS(팀수비력!X:X,팀수비력!A:A,B61,팀수비력!B:B,D61))))*100,"")</f>
        <v>0</v>
      </c>
      <c r="BJ61" s="67">
        <f>IFERROR(((AI61*(12000/5))/((F61*60+G61)*(SUMIFS(팀공격력!V:V,팀공격력!A:A,B61,팀공격력!B:B,D61)+SUMIFS(팀수비력!W:W,팀수비력!A:A,B61,팀수비력!B:B,D61))))*100,"")</f>
        <v>1.2953367875647668</v>
      </c>
      <c r="BK61" s="67">
        <f>IFERROR(((AE61*(12000/5))/((F61*60+G61)*(SUMIFS(팀공격력!X:X,팀공격력!A:A,B61,팀공격력!B:B,D61)+SUMIFS(팀수비력!X:X,팀수비력!A:A,B61,팀수비력!B:B,D61))))*100,"")</f>
        <v>0.60957025297165501</v>
      </c>
      <c r="BL61" s="67">
        <f>IFERROR(100*AK61/(((((F61*60+G61)/(12000/5))*SUMIFS(팀공격력!P:P,팀공격력!A:A,B61,팀공격력!B:B,D61))-K61)),"")</f>
        <v>0.72831885799603058</v>
      </c>
      <c r="BM61" s="67">
        <f>IFERROR(100*((AM61/E61*(2400))/((F61*60+G61)*SUMIFS(팀공격력!AR:AR,팀공격력!A:A,B61,팀공격력!B:B,D61))),"")</f>
        <v>4.1269603002382924</v>
      </c>
      <c r="BN61" s="67">
        <f>IFERROR((AO61*40)/(((F61*60+G61)/60)*(SUMIFS(팀수비력!Q:Q,팀수비력!A:A,B61,팀수비력!B:B,D61)-SUMIFS(팀수비력!N:N,팀수비력!A:A,B61,팀수비력!B:B,D61)))*100,"")</f>
        <v>0</v>
      </c>
      <c r="BO61" s="67">
        <f t="shared" si="25"/>
        <v>10.526315789473685</v>
      </c>
      <c r="BP61" s="19"/>
      <c r="BQ61" s="19"/>
      <c r="BR61" s="19"/>
      <c r="BS61" s="19"/>
      <c r="BT61" s="20" t="s">
        <v>89</v>
      </c>
      <c r="BU61" s="21">
        <v>50000</v>
      </c>
      <c r="BV61" s="31" t="s">
        <v>90</v>
      </c>
      <c r="BW61" s="31">
        <v>12.43</v>
      </c>
      <c r="BX61" s="31">
        <v>25.93</v>
      </c>
      <c r="BY61" s="31">
        <v>13.5</v>
      </c>
      <c r="BZ61" s="35">
        <f t="shared" si="39"/>
        <v>1.55375</v>
      </c>
      <c r="CA61" s="35">
        <f t="shared" si="40"/>
        <v>3.24125</v>
      </c>
      <c r="CB61" s="35">
        <f t="shared" si="41"/>
        <v>1.6875</v>
      </c>
      <c r="CC61" s="36">
        <f t="shared" si="42"/>
        <v>19.32124352331606</v>
      </c>
      <c r="CD61" s="36">
        <f t="shared" si="43"/>
        <v>40.305699481865283</v>
      </c>
      <c r="CE61" s="36">
        <f t="shared" si="44"/>
        <v>20.984455958549223</v>
      </c>
      <c r="CF61" s="30">
        <v>7</v>
      </c>
      <c r="CG61" s="30">
        <v>1</v>
      </c>
    </row>
    <row r="62" spans="1:85" x14ac:dyDescent="0.4">
      <c r="A62" s="11" t="s">
        <v>85</v>
      </c>
      <c r="B62" s="11" t="s">
        <v>145</v>
      </c>
      <c r="C62" s="11" t="s">
        <v>157</v>
      </c>
      <c r="D62" s="46" t="s">
        <v>88</v>
      </c>
      <c r="E62" s="26">
        <v>3</v>
      </c>
      <c r="F62" s="26">
        <v>3</v>
      </c>
      <c r="G62" s="26">
        <v>37</v>
      </c>
      <c r="H62" s="16">
        <f t="shared" si="0"/>
        <v>651</v>
      </c>
      <c r="I62" s="16">
        <v>3</v>
      </c>
      <c r="J62" s="17">
        <f t="shared" si="1"/>
        <v>1</v>
      </c>
      <c r="K62" s="15">
        <v>1</v>
      </c>
      <c r="L62" s="15">
        <v>3</v>
      </c>
      <c r="M62" s="17">
        <f t="shared" si="2"/>
        <v>0.33333333333333331</v>
      </c>
      <c r="N62" s="17">
        <f t="shared" si="3"/>
        <v>1</v>
      </c>
      <c r="O62" s="18">
        <f t="shared" si="4"/>
        <v>0.33333333333333331</v>
      </c>
      <c r="P62" s="16">
        <v>0</v>
      </c>
      <c r="Q62" s="15">
        <v>1</v>
      </c>
      <c r="R62" s="17">
        <f t="shared" si="5"/>
        <v>0</v>
      </c>
      <c r="S62" s="17">
        <f t="shared" si="6"/>
        <v>0.33333333333333331</v>
      </c>
      <c r="T62" s="18">
        <f t="shared" si="7"/>
        <v>0</v>
      </c>
      <c r="U62" s="15">
        <v>1</v>
      </c>
      <c r="V62" s="15">
        <v>2</v>
      </c>
      <c r="W62" s="17">
        <f t="shared" si="8"/>
        <v>0.33333333333333331</v>
      </c>
      <c r="X62" s="17">
        <f t="shared" si="9"/>
        <v>0.66666666666666663</v>
      </c>
      <c r="Y62" s="18">
        <f t="shared" si="10"/>
        <v>0.5</v>
      </c>
      <c r="Z62" s="9">
        <v>0</v>
      </c>
      <c r="AA62" s="9">
        <v>0</v>
      </c>
      <c r="AB62" s="17">
        <f t="shared" si="11"/>
        <v>0</v>
      </c>
      <c r="AC62" s="17">
        <f t="shared" si="12"/>
        <v>0</v>
      </c>
      <c r="AD62" s="18" t="e">
        <f t="shared" si="13"/>
        <v>#DIV/0!</v>
      </c>
      <c r="AE62" s="15">
        <v>0</v>
      </c>
      <c r="AF62" s="17">
        <f t="shared" si="14"/>
        <v>0</v>
      </c>
      <c r="AG62" s="15">
        <v>0</v>
      </c>
      <c r="AH62" s="17">
        <f t="shared" si="15"/>
        <v>0</v>
      </c>
      <c r="AI62" s="15">
        <v>0</v>
      </c>
      <c r="AJ62" s="17">
        <f t="shared" si="16"/>
        <v>0</v>
      </c>
      <c r="AK62" s="15">
        <v>1</v>
      </c>
      <c r="AL62" s="17">
        <f t="shared" si="17"/>
        <v>0.33333333333333331</v>
      </c>
      <c r="AM62" s="15">
        <v>1</v>
      </c>
      <c r="AN62" s="17">
        <f t="shared" si="18"/>
        <v>0.33333333333333331</v>
      </c>
      <c r="AO62" s="7">
        <v>0</v>
      </c>
      <c r="AP62" s="17">
        <f t="shared" si="26"/>
        <v>0</v>
      </c>
      <c r="AQ62" s="33">
        <v>0</v>
      </c>
      <c r="AR62" s="17">
        <f t="shared" si="19"/>
        <v>0</v>
      </c>
      <c r="AS62" s="15">
        <v>1</v>
      </c>
      <c r="AT62" s="17">
        <f t="shared" si="20"/>
        <v>0.33333333333333331</v>
      </c>
      <c r="AU62" s="19">
        <v>2.259162566706574E-2</v>
      </c>
      <c r="AV62" s="19">
        <v>8.3287099233422091E-2</v>
      </c>
      <c r="AW62" s="19">
        <v>1.485687035397225E-2</v>
      </c>
      <c r="AX62" s="19">
        <v>7.734755313093495E-3</v>
      </c>
      <c r="AY62" s="19">
        <v>119.7964982683331</v>
      </c>
      <c r="AZ62" s="19">
        <v>114.01023105935749</v>
      </c>
      <c r="BA62" s="19">
        <v>0.57132869708683032</v>
      </c>
      <c r="BB62" s="19">
        <v>1</v>
      </c>
      <c r="BC62" s="19">
        <v>11.059907834101381</v>
      </c>
      <c r="BD62" s="65">
        <f t="shared" si="21"/>
        <v>50</v>
      </c>
      <c r="BE62" s="65">
        <f t="shared" si="22"/>
        <v>50</v>
      </c>
      <c r="BF62" s="66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0.7005084640686442</v>
      </c>
      <c r="BG62" s="38">
        <f t="shared" si="23"/>
        <v>0.66666666666666663</v>
      </c>
      <c r="BH62" s="38">
        <f t="shared" si="24"/>
        <v>0</v>
      </c>
      <c r="BI62" s="67">
        <f>IFERROR(((AG62*(12000/5))/((F62*60+G62)*(SUMIFS(팀공격력!X:X,팀공격력!A:A,B62,팀공격력!B:B,D62)+SUMIFS(팀수비력!X:X,팀수비력!A:A,B62,팀수비력!B:B,D62))))*100,"")</f>
        <v>0</v>
      </c>
      <c r="BJ62" s="67">
        <f>IFERROR(((AI62*(12000/5))/((F62*60+G62)*(SUMIFS(팀공격력!V:V,팀공격력!A:A,B62,팀공격력!B:B,D62)+SUMIFS(팀수비력!W:W,팀수비력!A:A,B62,팀수비력!B:B,D62))))*100,"")</f>
        <v>0</v>
      </c>
      <c r="BK62" s="67">
        <f>IFERROR(((AE62*(12000/5))/((F62*60+G62)*(SUMIFS(팀공격력!X:X,팀공격력!A:A,B62,팀공격력!B:B,D62)+SUMIFS(팀수비력!X:X,팀수비력!A:A,B62,팀수비력!B:B,D62))))*100,"")</f>
        <v>0</v>
      </c>
      <c r="BL62" s="67">
        <f>IFERROR(100*AK62/(((((F62*60+G62)/(12000/5))*SUMIFS(팀공격력!P:P,팀공격력!A:A,B62,팀공격력!B:B,D62))-K62)),"")</f>
        <v>0.62452185045824293</v>
      </c>
      <c r="BM62" s="67">
        <f>IFERROR(100*((AM62/E62*(2400))/((F62*60+G62)*SUMIFS(팀공격력!AR:AR,팀공격력!A:A,B62,팀공격력!B:B,D62))),"")</f>
        <v>4.8940297262426444</v>
      </c>
      <c r="BN62" s="67">
        <f>IFERROR((AO62*40)/(((F62*60+G62)/60)*(SUMIFS(팀수비력!Q:Q,팀수비력!A:A,B62,팀수비력!B:B,D62)-SUMIFS(팀수비력!N:N,팀수비력!A:A,B62,팀수비력!B:B,D62)))*100,"")</f>
        <v>0</v>
      </c>
      <c r="BO62" s="67">
        <f t="shared" si="25"/>
        <v>0</v>
      </c>
      <c r="BP62" s="19"/>
      <c r="BQ62" s="19"/>
      <c r="BR62" s="19"/>
      <c r="BS62" s="19"/>
      <c r="BT62" s="20" t="s">
        <v>89</v>
      </c>
      <c r="BU62" s="21">
        <v>780000</v>
      </c>
      <c r="BV62" s="30" t="s">
        <v>90</v>
      </c>
      <c r="BW62" s="30">
        <v>6.31</v>
      </c>
      <c r="BX62" s="30">
        <v>8.2100000000000009</v>
      </c>
      <c r="BY62" s="30">
        <v>1.9</v>
      </c>
      <c r="BZ62" s="35">
        <f t="shared" si="39"/>
        <v>2.1033333333333335</v>
      </c>
      <c r="CA62" s="35">
        <f t="shared" si="40"/>
        <v>2.7366666666666668</v>
      </c>
      <c r="CB62" s="35">
        <f t="shared" si="41"/>
        <v>0.6333333333333333</v>
      </c>
      <c r="CC62" s="36">
        <f t="shared" si="42"/>
        <v>23.262672811059915</v>
      </c>
      <c r="CD62" s="36">
        <f t="shared" si="43"/>
        <v>30.26728110599079</v>
      </c>
      <c r="CE62" s="36">
        <f t="shared" si="44"/>
        <v>7.0046082949308754</v>
      </c>
      <c r="CF62" s="31">
        <v>1</v>
      </c>
      <c r="CG62" s="31">
        <v>2</v>
      </c>
    </row>
    <row r="63" spans="1:85" x14ac:dyDescent="0.4">
      <c r="A63" s="11" t="s">
        <v>85</v>
      </c>
      <c r="B63" s="11" t="s">
        <v>145</v>
      </c>
      <c r="C63" s="11" t="s">
        <v>158</v>
      </c>
      <c r="D63" s="46" t="s">
        <v>88</v>
      </c>
      <c r="E63" s="25">
        <v>48</v>
      </c>
      <c r="F63" s="25">
        <v>25</v>
      </c>
      <c r="G63" s="25">
        <v>4</v>
      </c>
      <c r="H63" s="16">
        <f t="shared" si="0"/>
        <v>72192</v>
      </c>
      <c r="I63" s="16">
        <v>405</v>
      </c>
      <c r="J63" s="17">
        <f t="shared" si="1"/>
        <v>8.4375</v>
      </c>
      <c r="K63" s="15">
        <v>155</v>
      </c>
      <c r="L63" s="15">
        <v>329</v>
      </c>
      <c r="M63" s="17">
        <f t="shared" si="2"/>
        <v>3.2291666666666665</v>
      </c>
      <c r="N63" s="17">
        <f t="shared" si="3"/>
        <v>6.854166666666667</v>
      </c>
      <c r="O63" s="18">
        <f t="shared" si="4"/>
        <v>0.47112462006079026</v>
      </c>
      <c r="P63" s="16">
        <v>114</v>
      </c>
      <c r="Q63" s="15">
        <v>219</v>
      </c>
      <c r="R63" s="17">
        <f t="shared" si="5"/>
        <v>2.375</v>
      </c>
      <c r="S63" s="17">
        <f t="shared" si="6"/>
        <v>4.5625</v>
      </c>
      <c r="T63" s="18">
        <f t="shared" si="7"/>
        <v>0.52054794520547942</v>
      </c>
      <c r="U63" s="15">
        <v>41</v>
      </c>
      <c r="V63" s="15">
        <v>110</v>
      </c>
      <c r="W63" s="17">
        <f t="shared" si="8"/>
        <v>0.85416666666666663</v>
      </c>
      <c r="X63" s="17">
        <f t="shared" si="9"/>
        <v>2.2916666666666665</v>
      </c>
      <c r="Y63" s="18">
        <f t="shared" si="10"/>
        <v>0.37272727272727274</v>
      </c>
      <c r="Z63" s="15">
        <v>54</v>
      </c>
      <c r="AA63" s="15">
        <v>64</v>
      </c>
      <c r="AB63" s="17">
        <f t="shared" si="11"/>
        <v>1.125</v>
      </c>
      <c r="AC63" s="17">
        <f t="shared" si="12"/>
        <v>1.3333333333333333</v>
      </c>
      <c r="AD63" s="18">
        <f t="shared" si="13"/>
        <v>0.84375</v>
      </c>
      <c r="AE63" s="15">
        <v>107</v>
      </c>
      <c r="AF63" s="17">
        <f t="shared" si="14"/>
        <v>2.2291666666666665</v>
      </c>
      <c r="AG63" s="15">
        <v>28</v>
      </c>
      <c r="AH63" s="17">
        <f t="shared" si="15"/>
        <v>0.58333333333333337</v>
      </c>
      <c r="AI63" s="15">
        <v>79</v>
      </c>
      <c r="AJ63" s="17">
        <f t="shared" si="16"/>
        <v>1.6458333333333333</v>
      </c>
      <c r="AK63" s="15">
        <v>119</v>
      </c>
      <c r="AL63" s="17">
        <f t="shared" si="17"/>
        <v>2.4791666666666665</v>
      </c>
      <c r="AM63" s="15">
        <v>25</v>
      </c>
      <c r="AN63" s="17">
        <f t="shared" si="18"/>
        <v>0.52083333333333337</v>
      </c>
      <c r="AO63" s="15">
        <v>1</v>
      </c>
      <c r="AP63" s="17">
        <f t="shared" si="26"/>
        <v>2.0833333333333332E-2</v>
      </c>
      <c r="AQ63" s="4">
        <v>44</v>
      </c>
      <c r="AR63" s="17">
        <f t="shared" si="19"/>
        <v>0.91666666666666663</v>
      </c>
      <c r="AS63" s="15">
        <v>111</v>
      </c>
      <c r="AT63" s="17">
        <f t="shared" si="20"/>
        <v>2.3125</v>
      </c>
      <c r="AU63" s="19">
        <v>1.6955167948057639</v>
      </c>
      <c r="AV63" s="19">
        <v>5.6366914720936287E-2</v>
      </c>
      <c r="AW63" s="19">
        <v>1.7207798521538991</v>
      </c>
      <c r="AX63" s="19">
        <v>-2.5263057348135689E-2</v>
      </c>
      <c r="AY63" s="19">
        <v>116.4644761595252</v>
      </c>
      <c r="AZ63" s="19">
        <v>119.7675366712603</v>
      </c>
      <c r="BA63" s="19">
        <v>8.5893812956799529</v>
      </c>
      <c r="BB63" s="19">
        <v>8.9375</v>
      </c>
      <c r="BC63" s="19">
        <v>14.26196808510638</v>
      </c>
      <c r="BD63" s="65">
        <f t="shared" si="21"/>
        <v>56.697278530630527</v>
      </c>
      <c r="BE63" s="65">
        <f t="shared" si="22"/>
        <v>53.343465045592708</v>
      </c>
      <c r="BF63" s="66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13.515174351004804</v>
      </c>
      <c r="BG63" s="38">
        <f t="shared" si="23"/>
        <v>0.33434650455927051</v>
      </c>
      <c r="BH63" s="38">
        <f t="shared" si="24"/>
        <v>0.19452887537993921</v>
      </c>
      <c r="BI63" s="67">
        <f>IFERROR(((AG63*(12000/5))/((F63*60+G63)*(SUMIFS(팀공격력!X:X,팀공격력!A:A,B63,팀공격력!B:B,D63)+SUMIFS(팀수비력!X:X,팀수비력!A:A,B63,팀수비력!B:B,D63))))*100,"")</f>
        <v>1.0951188986232792</v>
      </c>
      <c r="BJ63" s="67">
        <f>IFERROR(((AI63*(12000/5))/((F63*60+G63)*(SUMIFS(팀공격력!V:V,팀공격력!A:A,B63,팀공격력!B:B,D63)+SUMIFS(팀수비력!W:W,팀수비력!A:A,B63,팀수비력!B:B,D63))))*100,"")</f>
        <v>6.5658244680851059</v>
      </c>
      <c r="BK63" s="67">
        <f>IFERROR(((AE63*(12000/5))/((F63*60+G63)*(SUMIFS(팀공격력!X:X,팀공격력!A:A,B63,팀공격력!B:B,D63)+SUMIFS(팀수비력!X:X,팀수비력!A:A,B63,팀수비력!B:B,D63))))*100,"")</f>
        <v>4.1849186483103882</v>
      </c>
      <c r="BL63" s="67">
        <f>IFERROR(100*AK63/(((((F63*60+G63)/(12000/5))*SUMIFS(팀공격력!P:P,팀공격력!A:A,B63,팀공격력!B:B,D63))-K63)),"")</f>
        <v>12.373663852264691</v>
      </c>
      <c r="BM63" s="67">
        <f>IFERROR(100*((AM63/E63*(2400))/((F63*60+G63)*SUMIFS(팀공격력!AR:AR,팀공격력!A:A,B63,팀공격력!B:B,D63))),"")</f>
        <v>1.1033124694508953</v>
      </c>
      <c r="BN63" s="67">
        <f>IFERROR((AO63*40)/(((F63*60+G63)/60)*(SUMIFS(팀수비력!Q:Q,팀수비력!A:A,B63,팀수비력!B:B,D63)-SUMIFS(팀수비력!N:N,팀수비력!A:A,B63,팀수비력!B:B,D63)))*100,"")</f>
        <v>6.4344543582704181E-2</v>
      </c>
      <c r="BO63" s="67">
        <f t="shared" si="25"/>
        <v>10.968192242496759</v>
      </c>
      <c r="BP63" s="19"/>
      <c r="BQ63" s="19"/>
      <c r="BR63" s="19"/>
      <c r="BS63" s="19"/>
      <c r="BT63" s="20" t="s">
        <v>89</v>
      </c>
      <c r="BU63" s="21"/>
      <c r="BV63" s="30" t="s">
        <v>90</v>
      </c>
      <c r="BW63" s="30">
        <v>818.65</v>
      </c>
      <c r="BX63" s="30">
        <v>1059.75</v>
      </c>
      <c r="BY63" s="30">
        <v>241.1</v>
      </c>
      <c r="BZ63" s="35">
        <f t="shared" si="39"/>
        <v>17.055208333333333</v>
      </c>
      <c r="CA63" s="35">
        <f t="shared" si="40"/>
        <v>22.078125</v>
      </c>
      <c r="CB63" s="35">
        <f t="shared" si="41"/>
        <v>5.0229166666666663</v>
      </c>
      <c r="CC63" s="36">
        <f t="shared" si="42"/>
        <v>27.215757978723406</v>
      </c>
      <c r="CD63" s="36">
        <f t="shared" si="43"/>
        <v>35.231050531914896</v>
      </c>
      <c r="CE63" s="36">
        <f t="shared" si="44"/>
        <v>8.0152925531914896</v>
      </c>
      <c r="CF63" s="30">
        <v>27</v>
      </c>
      <c r="CG63" s="30">
        <v>21</v>
      </c>
    </row>
    <row r="64" spans="1:85" x14ac:dyDescent="0.4">
      <c r="A64" s="11" t="s">
        <v>85</v>
      </c>
      <c r="B64" s="11" t="s">
        <v>145</v>
      </c>
      <c r="C64" s="11" t="s">
        <v>159</v>
      </c>
      <c r="D64" s="46" t="s">
        <v>88</v>
      </c>
      <c r="E64" s="25">
        <v>24</v>
      </c>
      <c r="F64" s="25">
        <v>8</v>
      </c>
      <c r="G64" s="25">
        <v>31</v>
      </c>
      <c r="H64" s="16">
        <f t="shared" si="0"/>
        <v>12264</v>
      </c>
      <c r="I64" s="16">
        <v>36</v>
      </c>
      <c r="J64" s="17">
        <f t="shared" si="1"/>
        <v>1.5</v>
      </c>
      <c r="K64" s="15">
        <v>10</v>
      </c>
      <c r="L64" s="15">
        <v>40</v>
      </c>
      <c r="M64" s="17">
        <f t="shared" si="2"/>
        <v>0.41666666666666669</v>
      </c>
      <c r="N64" s="17">
        <f t="shared" si="3"/>
        <v>1.6666666666666667</v>
      </c>
      <c r="O64" s="18">
        <f t="shared" si="4"/>
        <v>0.25</v>
      </c>
      <c r="P64" s="16">
        <v>3</v>
      </c>
      <c r="Q64" s="15">
        <v>9</v>
      </c>
      <c r="R64" s="17">
        <f t="shared" si="5"/>
        <v>0.125</v>
      </c>
      <c r="S64" s="17">
        <f t="shared" si="6"/>
        <v>0.375</v>
      </c>
      <c r="T64" s="18">
        <f t="shared" si="7"/>
        <v>0.33333333333333331</v>
      </c>
      <c r="U64" s="15">
        <v>7</v>
      </c>
      <c r="V64" s="15">
        <v>31</v>
      </c>
      <c r="W64" s="17">
        <f t="shared" si="8"/>
        <v>0.29166666666666669</v>
      </c>
      <c r="X64" s="17">
        <f t="shared" si="9"/>
        <v>1.2916666666666667</v>
      </c>
      <c r="Y64" s="18">
        <f t="shared" si="10"/>
        <v>0.22580645161290322</v>
      </c>
      <c r="Z64" s="15">
        <v>9</v>
      </c>
      <c r="AA64" s="15">
        <v>13</v>
      </c>
      <c r="AB64" s="17">
        <f t="shared" si="11"/>
        <v>0.375</v>
      </c>
      <c r="AC64" s="17">
        <f t="shared" si="12"/>
        <v>0.54166666666666663</v>
      </c>
      <c r="AD64" s="18">
        <f t="shared" si="13"/>
        <v>0.69230769230769229</v>
      </c>
      <c r="AE64" s="15">
        <v>17</v>
      </c>
      <c r="AF64" s="17">
        <f t="shared" si="14"/>
        <v>0.70833333333333337</v>
      </c>
      <c r="AG64" s="15">
        <v>4</v>
      </c>
      <c r="AH64" s="17">
        <f t="shared" si="15"/>
        <v>0.16666666666666666</v>
      </c>
      <c r="AI64" s="15">
        <v>13</v>
      </c>
      <c r="AJ64" s="17">
        <f t="shared" si="16"/>
        <v>0.54166666666666663</v>
      </c>
      <c r="AK64" s="15">
        <v>5</v>
      </c>
      <c r="AL64" s="17">
        <f t="shared" si="17"/>
        <v>0.20833333333333334</v>
      </c>
      <c r="AM64" s="15">
        <v>4</v>
      </c>
      <c r="AN64" s="17">
        <f t="shared" si="18"/>
        <v>0.16666666666666666</v>
      </c>
      <c r="AO64" s="15">
        <v>3</v>
      </c>
      <c r="AP64" s="17">
        <f t="shared" si="26"/>
        <v>0.125</v>
      </c>
      <c r="AQ64" s="4">
        <v>6</v>
      </c>
      <c r="AR64" s="17">
        <f t="shared" si="19"/>
        <v>0.25</v>
      </c>
      <c r="AS64" s="15">
        <v>27</v>
      </c>
      <c r="AT64" s="17">
        <f t="shared" si="20"/>
        <v>1.125</v>
      </c>
      <c r="AU64" s="19">
        <v>-0.24596533938659321</v>
      </c>
      <c r="AV64" s="19">
        <v>-4.8134117296789278E-2</v>
      </c>
      <c r="AW64" s="19">
        <v>-0.25868764717414527</v>
      </c>
      <c r="AX64" s="19">
        <v>1.2722307787552071E-2</v>
      </c>
      <c r="AY64" s="19">
        <v>83.99159882398412</v>
      </c>
      <c r="AZ64" s="19">
        <v>119.1145241485022</v>
      </c>
      <c r="BA64" s="19">
        <v>1.582972760239636E-2</v>
      </c>
      <c r="BB64" s="19">
        <v>1.041666666666667</v>
      </c>
      <c r="BC64" s="19">
        <v>4.8923679060665357</v>
      </c>
      <c r="BD64" s="65">
        <f t="shared" si="21"/>
        <v>39.370078740157481</v>
      </c>
      <c r="BE64" s="65">
        <f t="shared" si="22"/>
        <v>33.75</v>
      </c>
      <c r="BF64" s="66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5.128489637491044</v>
      </c>
      <c r="BG64" s="38">
        <f t="shared" si="23"/>
        <v>0.77500000000000002</v>
      </c>
      <c r="BH64" s="38">
        <f t="shared" si="24"/>
        <v>0.32500000000000001</v>
      </c>
      <c r="BI64" s="67">
        <f>IFERROR(((AG64*(12000/5))/((F64*60+G64)*(SUMIFS(팀공격력!X:X,팀공격력!A:A,B64,팀공격력!B:B,D64)+SUMIFS(팀수비력!X:X,팀수비력!A:A,B64,팀수비력!B:B,D64))))*100,"")</f>
        <v>0.46045815586508571</v>
      </c>
      <c r="BJ64" s="67">
        <f>IFERROR(((AI64*(12000/5))/((F64*60+G64)*(SUMIFS(팀공격력!V:V,팀공격력!A:A,B64,팀공격력!B:B,D64)+SUMIFS(팀수비력!W:W,팀수비력!A:A,B64,팀수비력!B:B,D64))))*100,"")</f>
        <v>3.1800391389432483</v>
      </c>
      <c r="BK64" s="67">
        <f>IFERROR(((AE64*(12000/5))/((F64*60+G64)*(SUMIFS(팀공격력!X:X,팀공격력!A:A,B64,팀공격력!B:B,D64)+SUMIFS(팀수비력!X:X,팀수비력!A:A,B64,팀수비력!B:B,D64))))*100,"")</f>
        <v>1.9569471624266144</v>
      </c>
      <c r="BL64" s="67">
        <f>IFERROR(100*AK64/(((((F64*60+G64)/(12000/5))*SUMIFS(팀공격력!P:P,팀공격력!A:A,B64,팀공격력!B:B,D64))-K64)),"")</f>
        <v>1.3534821712560992</v>
      </c>
      <c r="BM64" s="67">
        <f>IFERROR(100*((AM64/E64*(2400))/((F64*60+G64)*SUMIFS(팀공격력!AR:AR,팀공격력!A:A,B64,팀공격력!B:B,D64))),"")</f>
        <v>1.0391432980378217</v>
      </c>
      <c r="BN64" s="67">
        <f>IFERROR((AO64*40)/(((F64*60+G64)/60)*(SUMIFS(팀수비력!Q:Q,팀수비력!A:A,B64,팀수비력!B:B,D64)-SUMIFS(팀수비력!N:N,팀수비력!A:A,B64,팀수비력!B:B,D64)))*100,"")</f>
        <v>0.56814595038192028</v>
      </c>
      <c r="BO64" s="67">
        <f t="shared" si="25"/>
        <v>11.600928074245941</v>
      </c>
      <c r="BP64" s="19"/>
      <c r="BQ64" s="19"/>
      <c r="BR64" s="19"/>
      <c r="BS64" s="19"/>
      <c r="BT64" s="20" t="s">
        <v>89</v>
      </c>
      <c r="BU64" s="21"/>
      <c r="BV64" s="30" t="s">
        <v>93</v>
      </c>
      <c r="BW64" s="30">
        <v>82.26</v>
      </c>
      <c r="BX64" s="30">
        <v>122.06</v>
      </c>
      <c r="BY64" s="30">
        <v>39.799999999999997</v>
      </c>
      <c r="BZ64" s="35">
        <f t="shared" si="39"/>
        <v>3.4275000000000002</v>
      </c>
      <c r="CA64" s="35">
        <f t="shared" si="40"/>
        <v>5.0858333333333334</v>
      </c>
      <c r="CB64" s="35">
        <f t="shared" si="41"/>
        <v>1.6583333333333332</v>
      </c>
      <c r="CC64" s="36">
        <f t="shared" si="42"/>
        <v>16.097847358121331</v>
      </c>
      <c r="CD64" s="36">
        <f t="shared" si="43"/>
        <v>23.886497064579256</v>
      </c>
      <c r="CE64" s="36">
        <f t="shared" si="44"/>
        <v>7.7886497064579254</v>
      </c>
      <c r="CF64" s="30">
        <v>12</v>
      </c>
      <c r="CG64" s="30">
        <v>12</v>
      </c>
    </row>
    <row r="65" spans="1:85" x14ac:dyDescent="0.4">
      <c r="A65" s="11" t="s">
        <v>85</v>
      </c>
      <c r="B65" s="11" t="s">
        <v>145</v>
      </c>
      <c r="C65" s="11" t="s">
        <v>160</v>
      </c>
      <c r="D65" s="46" t="s">
        <v>88</v>
      </c>
      <c r="E65" s="25">
        <v>48</v>
      </c>
      <c r="F65" s="25">
        <v>19</v>
      </c>
      <c r="G65" s="25">
        <v>42</v>
      </c>
      <c r="H65" s="16">
        <f t="shared" si="0"/>
        <v>56736</v>
      </c>
      <c r="I65" s="16">
        <v>270</v>
      </c>
      <c r="J65" s="17">
        <f t="shared" si="1"/>
        <v>5.625</v>
      </c>
      <c r="K65" s="15">
        <v>91</v>
      </c>
      <c r="L65" s="15">
        <v>199</v>
      </c>
      <c r="M65" s="17">
        <f t="shared" si="2"/>
        <v>1.8958333333333333</v>
      </c>
      <c r="N65" s="17">
        <f t="shared" si="3"/>
        <v>4.145833333333333</v>
      </c>
      <c r="O65" s="18">
        <f t="shared" si="4"/>
        <v>0.457286432160804</v>
      </c>
      <c r="P65" s="16">
        <v>54</v>
      </c>
      <c r="Q65" s="15">
        <v>109</v>
      </c>
      <c r="R65" s="17">
        <f t="shared" si="5"/>
        <v>1.125</v>
      </c>
      <c r="S65" s="17">
        <f t="shared" si="6"/>
        <v>2.2708333333333335</v>
      </c>
      <c r="T65" s="18">
        <f t="shared" si="7"/>
        <v>0.49541284403669728</v>
      </c>
      <c r="U65" s="15">
        <v>37</v>
      </c>
      <c r="V65" s="15">
        <v>90</v>
      </c>
      <c r="W65" s="17">
        <f t="shared" si="8"/>
        <v>0.77083333333333337</v>
      </c>
      <c r="X65" s="17">
        <f t="shared" si="9"/>
        <v>1.875</v>
      </c>
      <c r="Y65" s="18">
        <f t="shared" si="10"/>
        <v>0.41111111111111109</v>
      </c>
      <c r="Z65" s="15">
        <v>51</v>
      </c>
      <c r="AA65" s="15">
        <v>75</v>
      </c>
      <c r="AB65" s="17">
        <f t="shared" si="11"/>
        <v>1.0625</v>
      </c>
      <c r="AC65" s="17">
        <f t="shared" si="12"/>
        <v>1.5625</v>
      </c>
      <c r="AD65" s="18">
        <f t="shared" si="13"/>
        <v>0.68</v>
      </c>
      <c r="AE65" s="15">
        <v>90</v>
      </c>
      <c r="AF65" s="17">
        <f t="shared" si="14"/>
        <v>1.875</v>
      </c>
      <c r="AG65" s="15">
        <v>26</v>
      </c>
      <c r="AH65" s="17">
        <f t="shared" si="15"/>
        <v>0.54166666666666663</v>
      </c>
      <c r="AI65" s="15">
        <v>64</v>
      </c>
      <c r="AJ65" s="17">
        <f t="shared" si="16"/>
        <v>1.3333333333333333</v>
      </c>
      <c r="AK65" s="15">
        <v>98</v>
      </c>
      <c r="AL65" s="17">
        <f t="shared" si="17"/>
        <v>2.0416666666666665</v>
      </c>
      <c r="AM65" s="15">
        <v>17</v>
      </c>
      <c r="AN65" s="17">
        <f t="shared" si="18"/>
        <v>0.35416666666666669</v>
      </c>
      <c r="AO65" s="24">
        <v>4</v>
      </c>
      <c r="AP65" s="17">
        <f t="shared" si="26"/>
        <v>8.3333333333333329E-2</v>
      </c>
      <c r="AQ65" s="5">
        <v>37</v>
      </c>
      <c r="AR65" s="17">
        <f t="shared" si="19"/>
        <v>0.77083333333333337</v>
      </c>
      <c r="AS65" s="15">
        <v>81</v>
      </c>
      <c r="AT65" s="17">
        <f t="shared" si="20"/>
        <v>1.6875</v>
      </c>
      <c r="AU65" s="19">
        <v>1.296200648035267</v>
      </c>
      <c r="AV65" s="19">
        <v>5.4830822674926678E-2</v>
      </c>
      <c r="AW65" s="19">
        <v>1.326867072395626</v>
      </c>
      <c r="AX65" s="19">
        <v>-3.066642436035864E-2</v>
      </c>
      <c r="AY65" s="19">
        <v>117.9632537307009</v>
      </c>
      <c r="AZ65" s="19">
        <v>119.8572377488446</v>
      </c>
      <c r="BA65" s="19">
        <v>7.8121739637911984</v>
      </c>
      <c r="BB65" s="19">
        <v>6.458333333333333</v>
      </c>
      <c r="BC65" s="19">
        <v>13.11336717428088</v>
      </c>
      <c r="BD65" s="65">
        <f t="shared" si="21"/>
        <v>58.189655172413794</v>
      </c>
      <c r="BE65" s="65">
        <f t="shared" si="22"/>
        <v>55.0251256281407</v>
      </c>
      <c r="BF65" s="66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11.531523004252387</v>
      </c>
      <c r="BG65" s="38">
        <f t="shared" si="23"/>
        <v>0.45226130653266333</v>
      </c>
      <c r="BH65" s="38">
        <f t="shared" si="24"/>
        <v>0.37688442211055279</v>
      </c>
      <c r="BI65" s="67">
        <f>IFERROR(((AG65*(12000/5))/((F65*60+G65)*(SUMIFS(팀공격력!X:X,팀공격력!A:A,B65,팀공격력!B:B,D65)+SUMIFS(팀수비력!X:X,팀수비력!A:A,B65,팀수비력!B:B,D65))))*100,"")</f>
        <v>1.293918582661491</v>
      </c>
      <c r="BJ65" s="67">
        <f>IFERROR(((AI65*(12000/5))/((F65*60+G65)*(SUMIFS(팀공격력!V:V,팀공격력!A:A,B65,팀공격력!B:B,D65)+SUMIFS(팀수비력!W:W,팀수비력!A:A,B65,팀수비력!B:B,D65))))*100,"")</f>
        <v>6.7681895093062607</v>
      </c>
      <c r="BK65" s="67">
        <f>IFERROR(((AE65*(12000/5))/((F65*60+G65)*(SUMIFS(팀공격력!X:X,팀공격력!A:A,B65,팀공격력!B:B,D65)+SUMIFS(팀수비력!X:X,팀수비력!A:A,B65,팀수비력!B:B,D65))))*100,"")</f>
        <v>4.4789489399820841</v>
      </c>
      <c r="BL65" s="67">
        <f>IFERROR(100*AK65/(((((F65*60+G65)/(12000/5))*SUMIFS(팀공격력!P:P,팀공격력!A:A,B65,팀공격력!B:B,D65))-K65)),"")</f>
        <v>12.458128611109345</v>
      </c>
      <c r="BM65" s="67">
        <f>IFERROR(100*((AM65/E65*(2400))/((F65*60+G65)*SUMIFS(팀공격력!AR:AR,팀공격력!A:A,B65,팀공격력!B:B,D65))),"")</f>
        <v>0.95463598033571884</v>
      </c>
      <c r="BN65" s="67">
        <f>IFERROR((AO65*40)/(((F65*60+G65)/60)*(SUMIFS(팀수비력!Q:Q,팀수비력!A:A,B65,팀수비력!B:B,D65)-SUMIFS(팀수비력!N:N,팀수비력!A:A,B65,팀수비력!B:B,D65)))*100,"")</f>
        <v>0.32749304077288355</v>
      </c>
      <c r="BO65" s="67">
        <f t="shared" si="25"/>
        <v>13.754646840148698</v>
      </c>
      <c r="BP65" s="19"/>
      <c r="BQ65" s="19"/>
      <c r="BR65" s="19"/>
      <c r="BS65" s="19"/>
      <c r="BT65" s="20" t="s">
        <v>89</v>
      </c>
      <c r="BU65" s="21"/>
      <c r="BV65" s="31" t="s">
        <v>90</v>
      </c>
      <c r="BW65" s="31">
        <v>605.92999999999995</v>
      </c>
      <c r="BX65" s="31">
        <v>783.33</v>
      </c>
      <c r="BY65" s="31">
        <v>177.4</v>
      </c>
      <c r="BZ65" s="35">
        <f t="shared" si="39"/>
        <v>12.623541666666668</v>
      </c>
      <c r="CA65" s="35">
        <f t="shared" si="40"/>
        <v>16.319375000000001</v>
      </c>
      <c r="CB65" s="35">
        <f t="shared" si="41"/>
        <v>3.6958333333333333</v>
      </c>
      <c r="CC65" s="36">
        <f t="shared" si="42"/>
        <v>25.631556683587142</v>
      </c>
      <c r="CD65" s="36">
        <f t="shared" si="43"/>
        <v>33.135786802030459</v>
      </c>
      <c r="CE65" s="36">
        <f t="shared" si="44"/>
        <v>7.5042301184433162</v>
      </c>
      <c r="CF65" s="31">
        <v>26</v>
      </c>
      <c r="CG65" s="31">
        <v>22</v>
      </c>
    </row>
    <row r="66" spans="1:85" x14ac:dyDescent="0.4">
      <c r="A66" s="11" t="s">
        <v>85</v>
      </c>
      <c r="B66" s="11" t="s">
        <v>145</v>
      </c>
      <c r="C66" s="11" t="s">
        <v>161</v>
      </c>
      <c r="D66" s="46" t="s">
        <v>88</v>
      </c>
      <c r="E66" s="15">
        <v>35</v>
      </c>
      <c r="F66" s="15">
        <v>29</v>
      </c>
      <c r="G66" s="15">
        <v>59</v>
      </c>
      <c r="H66" s="16">
        <f t="shared" ref="H66:H129" si="45">(F66*60+G66)*E66</f>
        <v>62965</v>
      </c>
      <c r="I66" s="16">
        <v>491</v>
      </c>
      <c r="J66" s="17">
        <f t="shared" ref="J66:J129" si="46">I66/$E66</f>
        <v>14.028571428571428</v>
      </c>
      <c r="K66" s="15">
        <v>178</v>
      </c>
      <c r="L66" s="15">
        <v>451</v>
      </c>
      <c r="M66" s="17">
        <f t="shared" ref="M66:M129" si="47">K66/$E66</f>
        <v>5.0857142857142854</v>
      </c>
      <c r="N66" s="17">
        <f t="shared" ref="N66:N129" si="48">L66/$E66</f>
        <v>12.885714285714286</v>
      </c>
      <c r="O66" s="18">
        <f t="shared" ref="O66:O129" si="49">K66/L66</f>
        <v>0.39467849223946783</v>
      </c>
      <c r="P66" s="16">
        <v>132</v>
      </c>
      <c r="Q66" s="15">
        <v>287</v>
      </c>
      <c r="R66" s="17">
        <f t="shared" ref="R66:R129" si="50">P66/$E66</f>
        <v>3.7714285714285714</v>
      </c>
      <c r="S66" s="17">
        <f t="shared" ref="S66:S129" si="51">Q66/$E66</f>
        <v>8.1999999999999993</v>
      </c>
      <c r="T66" s="18">
        <f t="shared" ref="T66:T129" si="52">P66/Q66</f>
        <v>0.45993031358885017</v>
      </c>
      <c r="U66" s="15">
        <v>46</v>
      </c>
      <c r="V66" s="15">
        <v>164</v>
      </c>
      <c r="W66" s="17">
        <f t="shared" ref="W66:W129" si="53">U66/$E66</f>
        <v>1.3142857142857143</v>
      </c>
      <c r="X66" s="17">
        <f t="shared" ref="X66:X129" si="54">V66/$E66</f>
        <v>4.6857142857142859</v>
      </c>
      <c r="Y66" s="18">
        <f t="shared" ref="Y66:Y129" si="55">U66/V66</f>
        <v>0.28048780487804881</v>
      </c>
      <c r="Z66" s="15">
        <v>89</v>
      </c>
      <c r="AA66" s="15">
        <v>138</v>
      </c>
      <c r="AB66" s="17">
        <f t="shared" ref="AB66:AB129" si="56">Z66/$E66</f>
        <v>2.5428571428571427</v>
      </c>
      <c r="AC66" s="17">
        <f t="shared" ref="AC66:AC129" si="57">AA66/$E66</f>
        <v>3.9428571428571431</v>
      </c>
      <c r="AD66" s="18">
        <f t="shared" ref="AD66:AD129" si="58">Z66/AA66</f>
        <v>0.64492753623188404</v>
      </c>
      <c r="AE66" s="15">
        <v>222</v>
      </c>
      <c r="AF66" s="17">
        <f t="shared" ref="AF66:AF129" si="59">AE66/$E66</f>
        <v>6.3428571428571425</v>
      </c>
      <c r="AG66" s="15">
        <v>36</v>
      </c>
      <c r="AH66" s="17">
        <f t="shared" ref="AH66:AH129" si="60">AG66/$E66</f>
        <v>1.0285714285714285</v>
      </c>
      <c r="AI66" s="15">
        <v>186</v>
      </c>
      <c r="AJ66" s="17">
        <f t="shared" ref="AJ66:AJ129" si="61">AI66/$E66</f>
        <v>5.3142857142857141</v>
      </c>
      <c r="AK66" s="15">
        <v>145</v>
      </c>
      <c r="AL66" s="17">
        <f t="shared" ref="AL66:AL129" si="62">AK66/$E66</f>
        <v>4.1428571428571432</v>
      </c>
      <c r="AM66" s="15">
        <v>22</v>
      </c>
      <c r="AN66" s="17">
        <f t="shared" ref="AN66:AN129" si="63">AM66/$E66</f>
        <v>0.62857142857142856</v>
      </c>
      <c r="AO66" s="25">
        <v>40</v>
      </c>
      <c r="AP66" s="17">
        <f t="shared" si="26"/>
        <v>1.1428571428571428</v>
      </c>
      <c r="AQ66" s="4">
        <v>69</v>
      </c>
      <c r="AR66" s="17">
        <f t="shared" ref="AR66:AR129" si="64">AQ66/$E66</f>
        <v>1.9714285714285715</v>
      </c>
      <c r="AS66" s="15">
        <v>80</v>
      </c>
      <c r="AT66" s="17">
        <f t="shared" ref="AT66:AT129" si="65">AS66/$E66</f>
        <v>2.2857142857142856</v>
      </c>
      <c r="AU66" s="19">
        <v>0.75036034347323066</v>
      </c>
      <c r="AV66" s="19">
        <v>2.8601045411510422E-2</v>
      </c>
      <c r="AW66" s="19">
        <v>-9.5683576236362547E-2</v>
      </c>
      <c r="AX66" s="19">
        <v>0.84604391970959325</v>
      </c>
      <c r="AY66" s="19">
        <v>101.3226629448434</v>
      </c>
      <c r="AZ66" s="19">
        <v>113.27810460113579</v>
      </c>
      <c r="BA66" s="19">
        <v>8.7602146323278181</v>
      </c>
      <c r="BB66" s="19">
        <v>15.11428571428571</v>
      </c>
      <c r="BC66" s="19">
        <v>20.163582942904789</v>
      </c>
      <c r="BD66" s="65">
        <f t="shared" ref="BD66:BD129" si="66">IFERROR((I66/(2*(L66+(0.44*AA66))))*100,"")</f>
        <v>47.975455327132025</v>
      </c>
      <c r="BE66" s="65">
        <f t="shared" ref="BE66:BE129" si="67">IFERROR(((P66+(1.5*U66))/L66)*100,"")</f>
        <v>44.567627494456765</v>
      </c>
      <c r="BF66" s="66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16.3563910932195</v>
      </c>
      <c r="BG66" s="38">
        <f t="shared" ref="BG66:BG129" si="68">IFERROR(V66/L66,"")</f>
        <v>0.36363636363636365</v>
      </c>
      <c r="BH66" s="38">
        <f t="shared" ref="BH66:BH129" si="69">IFERROR(AA66/L66,"")</f>
        <v>0.30598669623059865</v>
      </c>
      <c r="BI66" s="67">
        <f>IFERROR(((AG66*(12000/5))/((F66*60+G66)*(SUMIFS(팀공격력!X:X,팀공격력!A:A,B66,팀공격력!B:B,D66)+SUMIFS(팀수비력!X:X,팀수비력!A:A,B66,팀수비력!B:B,D66))))*100,"")</f>
        <v>1.1771245463165811</v>
      </c>
      <c r="BJ66" s="67">
        <f>IFERROR(((AI66*(12000/5))/((F66*60+G66)*(SUMIFS(팀공격력!V:V,팀공격력!A:A,B66,팀공격력!B:B,D66)+SUMIFS(팀수비력!W:W,팀수비력!A:A,B66,팀수비력!B:B,D66))))*100,"")</f>
        <v>12.923846581434132</v>
      </c>
      <c r="BK66" s="67">
        <f>IFERROR(((AE66*(12000/5))/((F66*60+G66)*(SUMIFS(팀공격력!X:X,팀공격력!A:A,B66,팀공격력!B:B,D66)+SUMIFS(팀수비력!X:X,팀수비력!A:A,B66,팀수비력!B:B,D66))))*100,"")</f>
        <v>7.2589347022855844</v>
      </c>
      <c r="BL66" s="67">
        <f>IFERROR(100*AK66/(((((F66*60+G66)/(12000/5))*SUMIFS(팀공격력!P:P,팀공격력!A:A,B66,팀공격력!B:B,D66))-K66)),"")</f>
        <v>12.524211676452104</v>
      </c>
      <c r="BM66" s="67">
        <f>IFERROR(100*((AM66/E66*(2400))/((F66*60+G66)*SUMIFS(팀공격력!AR:AR,팀공격력!A:A,B66,팀공격력!B:B,D66))),"")</f>
        <v>1.1131945325061088</v>
      </c>
      <c r="BN66" s="67">
        <f>IFERROR((AO66*40)/(((F66*60+G66)/60)*(SUMIFS(팀수비력!Q:Q,팀수비력!A:A,B66,팀수비력!B:B,D66)-SUMIFS(팀수비력!N:N,팀수비력!A:A,B66,팀수비력!B:B,D66)))*100,"")</f>
        <v>2.1517330416539653</v>
      </c>
      <c r="BO66" s="67">
        <f t="shared" ref="BO66:BO129" si="70">IFERROR(100*AQ66/(L66+0.44*AA66+AQ66),"")</f>
        <v>11.881801901088304</v>
      </c>
      <c r="BP66" s="19"/>
      <c r="BQ66" s="19"/>
      <c r="BR66" s="19"/>
      <c r="BS66" s="19"/>
      <c r="BT66" s="20" t="s">
        <v>89</v>
      </c>
      <c r="BU66" s="21"/>
      <c r="BV66" s="30" t="s">
        <v>93</v>
      </c>
      <c r="BW66" s="30">
        <v>876.4</v>
      </c>
      <c r="BX66" s="30">
        <v>1280.3</v>
      </c>
      <c r="BY66" s="30">
        <v>403.9</v>
      </c>
      <c r="BZ66" s="35">
        <f t="shared" si="39"/>
        <v>25.04</v>
      </c>
      <c r="CA66" s="35">
        <f t="shared" si="40"/>
        <v>36.58</v>
      </c>
      <c r="CB66" s="35">
        <f t="shared" si="41"/>
        <v>11.54</v>
      </c>
      <c r="CC66" s="36">
        <f t="shared" si="42"/>
        <v>33.405225125069478</v>
      </c>
      <c r="CD66" s="36">
        <f t="shared" si="43"/>
        <v>48.800444691495272</v>
      </c>
      <c r="CE66" s="36">
        <f t="shared" si="44"/>
        <v>15.395219566425792</v>
      </c>
      <c r="CF66" s="30">
        <v>21</v>
      </c>
      <c r="CG66" s="30">
        <v>14</v>
      </c>
    </row>
    <row r="67" spans="1:85" x14ac:dyDescent="0.4">
      <c r="A67" s="11" t="s">
        <v>85</v>
      </c>
      <c r="B67" s="11" t="s">
        <v>145</v>
      </c>
      <c r="C67" s="11" t="s">
        <v>162</v>
      </c>
      <c r="D67" s="46" t="s">
        <v>88</v>
      </c>
      <c r="E67" s="15">
        <v>21</v>
      </c>
      <c r="F67" s="15">
        <v>11</v>
      </c>
      <c r="G67" s="15">
        <v>2</v>
      </c>
      <c r="H67" s="16">
        <f t="shared" si="45"/>
        <v>13902</v>
      </c>
      <c r="I67" s="16">
        <v>79</v>
      </c>
      <c r="J67" s="17">
        <f t="shared" si="46"/>
        <v>3.7619047619047619</v>
      </c>
      <c r="K67" s="15">
        <v>30</v>
      </c>
      <c r="L67" s="15">
        <v>49</v>
      </c>
      <c r="M67" s="17">
        <f t="shared" si="47"/>
        <v>1.4285714285714286</v>
      </c>
      <c r="N67" s="17">
        <f t="shared" si="48"/>
        <v>2.3333333333333335</v>
      </c>
      <c r="O67" s="18">
        <f t="shared" si="49"/>
        <v>0.61224489795918369</v>
      </c>
      <c r="P67" s="16">
        <v>22</v>
      </c>
      <c r="Q67" s="15">
        <v>29</v>
      </c>
      <c r="R67" s="17">
        <f t="shared" si="50"/>
        <v>1.0476190476190477</v>
      </c>
      <c r="S67" s="17">
        <f t="shared" si="51"/>
        <v>1.3809523809523809</v>
      </c>
      <c r="T67" s="18">
        <f t="shared" si="52"/>
        <v>0.75862068965517238</v>
      </c>
      <c r="U67" s="15">
        <v>8</v>
      </c>
      <c r="V67" s="15">
        <v>20</v>
      </c>
      <c r="W67" s="17">
        <f t="shared" si="53"/>
        <v>0.38095238095238093</v>
      </c>
      <c r="X67" s="17">
        <f t="shared" si="54"/>
        <v>0.95238095238095233</v>
      </c>
      <c r="Y67" s="18">
        <f t="shared" si="55"/>
        <v>0.4</v>
      </c>
      <c r="Z67" s="15">
        <v>11</v>
      </c>
      <c r="AA67" s="15">
        <v>17</v>
      </c>
      <c r="AB67" s="17">
        <f t="shared" si="56"/>
        <v>0.52380952380952384</v>
      </c>
      <c r="AC67" s="17">
        <f t="shared" si="57"/>
        <v>0.80952380952380953</v>
      </c>
      <c r="AD67" s="18">
        <f t="shared" si="58"/>
        <v>0.6470588235294118</v>
      </c>
      <c r="AE67" s="15">
        <v>21</v>
      </c>
      <c r="AF67" s="17">
        <f t="shared" si="59"/>
        <v>1</v>
      </c>
      <c r="AG67" s="15">
        <v>3</v>
      </c>
      <c r="AH67" s="17">
        <f t="shared" si="60"/>
        <v>0.14285714285714285</v>
      </c>
      <c r="AI67" s="15">
        <v>18</v>
      </c>
      <c r="AJ67" s="17">
        <f t="shared" si="61"/>
        <v>0.8571428571428571</v>
      </c>
      <c r="AK67" s="15">
        <v>19</v>
      </c>
      <c r="AL67" s="17">
        <f t="shared" si="62"/>
        <v>0.90476190476190477</v>
      </c>
      <c r="AM67" s="15">
        <v>13</v>
      </c>
      <c r="AN67" s="17">
        <f t="shared" si="63"/>
        <v>0.61904761904761907</v>
      </c>
      <c r="AO67" s="25">
        <v>0</v>
      </c>
      <c r="AP67" s="17">
        <f t="shared" si="26"/>
        <v>0</v>
      </c>
      <c r="AQ67" s="4">
        <v>10</v>
      </c>
      <c r="AR67" s="17">
        <f t="shared" si="64"/>
        <v>0.47619047619047616</v>
      </c>
      <c r="AS67" s="15">
        <v>34</v>
      </c>
      <c r="AT67" s="17">
        <f t="shared" si="65"/>
        <v>1.6190476190476191</v>
      </c>
      <c r="AU67" s="19">
        <v>0.60792477899515851</v>
      </c>
      <c r="AV67" s="19">
        <v>0.1049503287000705</v>
      </c>
      <c r="AW67" s="19">
        <v>0.47057887941786791</v>
      </c>
      <c r="AX67" s="19">
        <v>0.1373458995772906</v>
      </c>
      <c r="AY67" s="19">
        <v>126.18077154083269</v>
      </c>
      <c r="AZ67" s="19">
        <v>114.9524687111001</v>
      </c>
      <c r="BA67" s="19">
        <v>4.3004137386629706</v>
      </c>
      <c r="BB67" s="19">
        <v>4.6190476190476186</v>
      </c>
      <c r="BC67" s="19">
        <v>16.745791972378079</v>
      </c>
      <c r="BD67" s="65">
        <f t="shared" si="66"/>
        <v>69.936260623229458</v>
      </c>
      <c r="BE67" s="65">
        <f t="shared" si="67"/>
        <v>69.387755102040813</v>
      </c>
      <c r="BF67" s="66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5.0884426908401368</v>
      </c>
      <c r="BG67" s="38">
        <f t="shared" si="68"/>
        <v>0.40816326530612246</v>
      </c>
      <c r="BH67" s="38">
        <f t="shared" si="69"/>
        <v>0.34693877551020408</v>
      </c>
      <c r="BI67" s="67">
        <f>IFERROR(((AG67*(12000/5))/((F67*60+G67)*(SUMIFS(팀공격력!X:X,팀공격력!A:A,B67,팀공격력!B:B,D67)+SUMIFS(팀수비력!X:X,팀수비력!A:A,B67,팀수비력!B:B,D67))))*100,"")</f>
        <v>0.26657188555180378</v>
      </c>
      <c r="BJ67" s="67">
        <f>IFERROR(((AI67*(12000/5))/((F67*60+G67)*(SUMIFS(팀공격력!V:V,팀공격력!A:A,B67,팀공격력!B:B,D67)+SUMIFS(팀수비력!W:W,팀수비력!A:A,B67,팀수비력!B:B,D67))))*100,"")</f>
        <v>3.3987915407854987</v>
      </c>
      <c r="BK67" s="67">
        <f>IFERROR(((AE67*(12000/5))/((F67*60+G67)*(SUMIFS(팀공격력!X:X,팀공격력!A:A,B67,팀공격력!B:B,D67)+SUMIFS(팀수비력!X:X,팀수비력!A:A,B67,팀수비력!B:B,D67))))*100,"")</f>
        <v>1.8660031988626264</v>
      </c>
      <c r="BL67" s="67">
        <f>IFERROR(100*AK67/(((((F67*60+G67)/(12000/5))*SUMIFS(팀공격력!P:P,팀공격력!A:A,B67,팀공격력!B:B,D67))-K67)),"")</f>
        <v>4.1166975418982314</v>
      </c>
      <c r="BM67" s="67">
        <f>IFERROR(100*((AM67/E67*(2400))/((F67*60+G67)*SUMIFS(팀공격력!AR:AR,팀공격력!A:A,B67,팀공격력!B:B,D67))),"")</f>
        <v>2.979296041806323</v>
      </c>
      <c r="BN67" s="67">
        <f>IFERROR((AO67*40)/(((F67*60+G67)/60)*(SUMIFS(팀수비력!Q:Q,팀수비력!A:A,B67,팀수비력!B:B,D67)-SUMIFS(팀수비력!N:N,팀수비력!A:A,B67,팀수비력!B:B,D67)))*100,"")</f>
        <v>0</v>
      </c>
      <c r="BO67" s="67">
        <f t="shared" si="70"/>
        <v>15.042117930204572</v>
      </c>
      <c r="BP67" s="19"/>
      <c r="BQ67" s="19"/>
      <c r="BR67" s="19"/>
      <c r="BS67" s="19"/>
      <c r="BT67" s="20" t="s">
        <v>113</v>
      </c>
      <c r="BU67" s="21">
        <v>19500</v>
      </c>
      <c r="BV67" s="31" t="s">
        <v>90</v>
      </c>
      <c r="BW67" s="31">
        <v>163.33000000000001</v>
      </c>
      <c r="BX67" s="31">
        <v>200.93</v>
      </c>
      <c r="BY67" s="31">
        <v>37.6</v>
      </c>
      <c r="BZ67" s="35">
        <f t="shared" si="39"/>
        <v>7.7776190476190488</v>
      </c>
      <c r="CA67" s="35">
        <f t="shared" si="40"/>
        <v>9.5680952380952391</v>
      </c>
      <c r="CB67" s="35">
        <f t="shared" si="41"/>
        <v>1.7904761904761906</v>
      </c>
      <c r="CC67" s="36">
        <f t="shared" si="42"/>
        <v>28.196806214933101</v>
      </c>
      <c r="CD67" s="36">
        <f t="shared" si="43"/>
        <v>34.687958567112645</v>
      </c>
      <c r="CE67" s="36">
        <f t="shared" si="44"/>
        <v>6.4911523521795429</v>
      </c>
      <c r="CF67" s="30">
        <v>13</v>
      </c>
      <c r="CG67" s="30">
        <v>8</v>
      </c>
    </row>
    <row r="68" spans="1:85" x14ac:dyDescent="0.4">
      <c r="A68" s="11" t="s">
        <v>85</v>
      </c>
      <c r="B68" s="11" t="s">
        <v>145</v>
      </c>
      <c r="C68" s="11" t="s">
        <v>163</v>
      </c>
      <c r="D68" s="46" t="s">
        <v>88</v>
      </c>
      <c r="E68" s="15">
        <v>52</v>
      </c>
      <c r="F68" s="15">
        <v>31</v>
      </c>
      <c r="G68" s="15">
        <v>12</v>
      </c>
      <c r="H68" s="16">
        <f t="shared" si="45"/>
        <v>97344</v>
      </c>
      <c r="I68" s="16">
        <v>825</v>
      </c>
      <c r="J68" s="17">
        <f t="shared" si="46"/>
        <v>15.865384615384615</v>
      </c>
      <c r="K68" s="15">
        <v>269</v>
      </c>
      <c r="L68" s="15">
        <v>668</v>
      </c>
      <c r="M68" s="17">
        <f t="shared" si="47"/>
        <v>5.1730769230769234</v>
      </c>
      <c r="N68" s="17">
        <f t="shared" si="48"/>
        <v>12.846153846153847</v>
      </c>
      <c r="O68" s="18">
        <f t="shared" si="49"/>
        <v>0.4026946107784431</v>
      </c>
      <c r="P68" s="16">
        <v>133</v>
      </c>
      <c r="Q68" s="15">
        <v>284</v>
      </c>
      <c r="R68" s="17">
        <f t="shared" si="50"/>
        <v>2.5576923076923075</v>
      </c>
      <c r="S68" s="17">
        <f t="shared" si="51"/>
        <v>5.4615384615384617</v>
      </c>
      <c r="T68" s="18">
        <f t="shared" si="52"/>
        <v>0.46830985915492956</v>
      </c>
      <c r="U68" s="15">
        <v>136</v>
      </c>
      <c r="V68" s="15">
        <v>384</v>
      </c>
      <c r="W68" s="17">
        <f t="shared" si="53"/>
        <v>2.6153846153846154</v>
      </c>
      <c r="X68" s="17">
        <f t="shared" si="54"/>
        <v>7.384615384615385</v>
      </c>
      <c r="Y68" s="18">
        <f t="shared" si="55"/>
        <v>0.35416666666666669</v>
      </c>
      <c r="Z68" s="15">
        <v>151</v>
      </c>
      <c r="AA68" s="15">
        <v>176</v>
      </c>
      <c r="AB68" s="17">
        <f t="shared" si="56"/>
        <v>2.9038461538461537</v>
      </c>
      <c r="AC68" s="17">
        <f t="shared" si="57"/>
        <v>3.3846153846153846</v>
      </c>
      <c r="AD68" s="18">
        <f t="shared" si="58"/>
        <v>0.85795454545454541</v>
      </c>
      <c r="AE68" s="15">
        <v>93</v>
      </c>
      <c r="AF68" s="17">
        <f t="shared" si="59"/>
        <v>1.7884615384615385</v>
      </c>
      <c r="AG68" s="15">
        <v>9</v>
      </c>
      <c r="AH68" s="17">
        <f t="shared" si="60"/>
        <v>0.17307692307692307</v>
      </c>
      <c r="AI68" s="15">
        <v>84</v>
      </c>
      <c r="AJ68" s="17">
        <f t="shared" si="61"/>
        <v>1.6153846153846154</v>
      </c>
      <c r="AK68" s="15">
        <v>193</v>
      </c>
      <c r="AL68" s="17">
        <f t="shared" si="62"/>
        <v>3.7115384615384617</v>
      </c>
      <c r="AM68" s="15">
        <v>27</v>
      </c>
      <c r="AN68" s="17">
        <f t="shared" si="63"/>
        <v>0.51923076923076927</v>
      </c>
      <c r="AO68" s="25">
        <v>1</v>
      </c>
      <c r="AP68" s="17">
        <f t="shared" si="26"/>
        <v>1.9230769230769232E-2</v>
      </c>
      <c r="AQ68" s="4">
        <v>96</v>
      </c>
      <c r="AR68" s="17">
        <f t="shared" si="64"/>
        <v>1.8461538461538463</v>
      </c>
      <c r="AS68" s="15">
        <v>116</v>
      </c>
      <c r="AT68" s="17">
        <f t="shared" si="65"/>
        <v>2.2307692307692308</v>
      </c>
      <c r="AU68" s="19">
        <v>1.8998068122200971</v>
      </c>
      <c r="AV68" s="19">
        <v>4.6839418447241057E-2</v>
      </c>
      <c r="AW68" s="19">
        <v>2.1684987064369148</v>
      </c>
      <c r="AX68" s="19">
        <v>-0.26869189421681761</v>
      </c>
      <c r="AY68" s="19">
        <v>110.96551259738349</v>
      </c>
      <c r="AZ68" s="19">
        <v>120.902066890638</v>
      </c>
      <c r="BA68" s="19">
        <v>11.241100268895099</v>
      </c>
      <c r="BB68" s="19">
        <v>11.90384615384615</v>
      </c>
      <c r="BC68" s="19">
        <v>15.261341222879681</v>
      </c>
      <c r="BD68" s="65">
        <f t="shared" si="66"/>
        <v>55.336445589182226</v>
      </c>
      <c r="BE68" s="65">
        <f t="shared" si="67"/>
        <v>50.449101796407177</v>
      </c>
      <c r="BF68" s="66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22.775565832493704</v>
      </c>
      <c r="BG68" s="38">
        <f t="shared" si="68"/>
        <v>0.57485029940119758</v>
      </c>
      <c r="BH68" s="38">
        <f t="shared" si="69"/>
        <v>0.26347305389221559</v>
      </c>
      <c r="BI68" s="67">
        <f>IFERROR(((AG68*(12000/5))/((F68*60+G68)*(SUMIFS(팀공격력!X:X,팀공격력!A:A,B68,팀공격력!B:B,D68)+SUMIFS(팀수비력!X:X,팀수비력!A:A,B68,팀수비력!B:B,D68))))*100,"")</f>
        <v>0.28280542986425339</v>
      </c>
      <c r="BJ68" s="67">
        <f>IFERROR(((AI68*(12000/5))/((F68*60+G68)*(SUMIFS(팀공격력!V:V,팀공격력!A:A,B68,팀공격력!B:B,D68)+SUMIFS(팀수비력!W:W,팀수비력!A:A,B68,팀수비력!B:B,D68))))*100,"")</f>
        <v>5.6089743589743595</v>
      </c>
      <c r="BK68" s="67">
        <f>IFERROR(((AE68*(12000/5))/((F68*60+G68)*(SUMIFS(팀공격력!X:X,팀공격력!A:A,B68,팀공격력!B:B,D68)+SUMIFS(팀수비력!X:X,팀수비력!A:A,B68,팀수비력!B:B,D68))))*100,"")</f>
        <v>2.9223227752639516</v>
      </c>
      <c r="BL68" s="67">
        <f>IFERROR(100*AK68/(((((F68*60+G68)/(12000/5))*SUMIFS(팀공격력!P:P,팀공격력!A:A,B68,팀공격력!B:B,D68))-K68)),"")</f>
        <v>17.217385098487011</v>
      </c>
      <c r="BM68" s="67">
        <f>IFERROR(100*((AM68/E68*(2400))/((F68*60+G68)*SUMIFS(팀공격력!AR:AR,팀공격력!A:A,B68,팀공격력!B:B,D68))),"")</f>
        <v>0.88369453174481172</v>
      </c>
      <c r="BN68" s="67">
        <f>IFERROR((AO68*40)/(((F68*60+G68)/60)*(SUMIFS(팀수비력!Q:Q,팀수비력!A:A,B68,팀수비력!B:B,D68)-SUMIFS(팀수비력!N:N,팀수비력!A:A,B68,팀수비력!B:B,D68)))*100,"")</f>
        <v>5.1695616211745246E-2</v>
      </c>
      <c r="BO68" s="67">
        <f t="shared" si="70"/>
        <v>11.409013120365088</v>
      </c>
      <c r="BP68" s="19"/>
      <c r="BQ68" s="19"/>
      <c r="BR68" s="19"/>
      <c r="BS68" s="19"/>
      <c r="BT68" s="20" t="s">
        <v>89</v>
      </c>
      <c r="BU68" s="21">
        <v>19500</v>
      </c>
      <c r="BV68" s="31" t="s">
        <v>90</v>
      </c>
      <c r="BW68" s="31">
        <v>1132.8699999999999</v>
      </c>
      <c r="BX68" s="31">
        <v>1671.07</v>
      </c>
      <c r="BY68" s="31">
        <v>538.20000000000005</v>
      </c>
      <c r="BZ68" s="35">
        <f t="shared" si="39"/>
        <v>21.785961538461535</v>
      </c>
      <c r="CA68" s="35">
        <f t="shared" si="40"/>
        <v>32.135961538461537</v>
      </c>
      <c r="CB68" s="35">
        <f t="shared" si="41"/>
        <v>10.350000000000001</v>
      </c>
      <c r="CC68" s="36">
        <f t="shared" si="42"/>
        <v>27.930719921104536</v>
      </c>
      <c r="CD68" s="36">
        <f t="shared" si="43"/>
        <v>41.199950690335307</v>
      </c>
      <c r="CE68" s="36">
        <f t="shared" si="44"/>
        <v>13.26923076923077</v>
      </c>
      <c r="CF68" s="30">
        <v>29</v>
      </c>
      <c r="CG68" s="30">
        <v>23</v>
      </c>
    </row>
    <row r="69" spans="1:85" x14ac:dyDescent="0.4">
      <c r="A69" s="11" t="s">
        <v>85</v>
      </c>
      <c r="B69" s="11" t="s">
        <v>164</v>
      </c>
      <c r="C69" s="11" t="s">
        <v>165</v>
      </c>
      <c r="D69" s="46" t="s">
        <v>88</v>
      </c>
      <c r="E69" s="10">
        <v>17</v>
      </c>
      <c r="F69" s="10">
        <v>11</v>
      </c>
      <c r="G69" s="10">
        <v>8</v>
      </c>
      <c r="H69" s="16">
        <f t="shared" si="45"/>
        <v>11356</v>
      </c>
      <c r="I69" s="16">
        <v>78</v>
      </c>
      <c r="J69" s="17">
        <f t="shared" si="46"/>
        <v>4.5882352941176467</v>
      </c>
      <c r="K69" s="15">
        <v>34</v>
      </c>
      <c r="L69" s="15">
        <v>72</v>
      </c>
      <c r="M69" s="17">
        <f t="shared" si="47"/>
        <v>2</v>
      </c>
      <c r="N69" s="17">
        <f t="shared" si="48"/>
        <v>4.2352941176470589</v>
      </c>
      <c r="O69" s="18">
        <f t="shared" si="49"/>
        <v>0.47222222222222221</v>
      </c>
      <c r="P69" s="16">
        <v>27</v>
      </c>
      <c r="Q69" s="15">
        <v>48</v>
      </c>
      <c r="R69" s="17">
        <f t="shared" si="50"/>
        <v>1.588235294117647</v>
      </c>
      <c r="S69" s="17">
        <f t="shared" si="51"/>
        <v>2.8235294117647061</v>
      </c>
      <c r="T69" s="18">
        <f t="shared" si="52"/>
        <v>0.5625</v>
      </c>
      <c r="U69" s="15">
        <v>7</v>
      </c>
      <c r="V69" s="15">
        <v>24</v>
      </c>
      <c r="W69" s="17">
        <f t="shared" si="53"/>
        <v>0.41176470588235292</v>
      </c>
      <c r="X69" s="17">
        <f t="shared" si="54"/>
        <v>1.411764705882353</v>
      </c>
      <c r="Y69" s="18">
        <f t="shared" si="55"/>
        <v>0.29166666666666669</v>
      </c>
      <c r="Z69" s="9">
        <v>3</v>
      </c>
      <c r="AA69" s="9">
        <v>7</v>
      </c>
      <c r="AB69" s="17">
        <f t="shared" si="56"/>
        <v>0.17647058823529413</v>
      </c>
      <c r="AC69" s="17">
        <f t="shared" si="57"/>
        <v>0.41176470588235292</v>
      </c>
      <c r="AD69" s="18">
        <f t="shared" si="58"/>
        <v>0.42857142857142855</v>
      </c>
      <c r="AE69" s="15">
        <v>31</v>
      </c>
      <c r="AF69" s="17">
        <f t="shared" si="59"/>
        <v>1.8235294117647058</v>
      </c>
      <c r="AG69" s="15">
        <v>8</v>
      </c>
      <c r="AH69" s="17">
        <f t="shared" si="60"/>
        <v>0.47058823529411764</v>
      </c>
      <c r="AI69" s="15">
        <v>23</v>
      </c>
      <c r="AJ69" s="17">
        <f t="shared" si="61"/>
        <v>1.3529411764705883</v>
      </c>
      <c r="AK69" s="15">
        <v>27</v>
      </c>
      <c r="AL69" s="17">
        <f t="shared" si="62"/>
        <v>1.588235294117647</v>
      </c>
      <c r="AM69" s="15">
        <v>8</v>
      </c>
      <c r="AN69" s="17">
        <f t="shared" si="63"/>
        <v>0.47058823529411764</v>
      </c>
      <c r="AO69" s="2">
        <v>2</v>
      </c>
      <c r="AP69" s="17">
        <f t="shared" si="26"/>
        <v>0.11764705882352941</v>
      </c>
      <c r="AQ69" s="6">
        <v>14</v>
      </c>
      <c r="AR69" s="17">
        <f t="shared" si="64"/>
        <v>0.82352941176470584</v>
      </c>
      <c r="AS69" s="15">
        <v>24</v>
      </c>
      <c r="AT69" s="17">
        <f t="shared" si="65"/>
        <v>1.411764705882353</v>
      </c>
      <c r="AU69" s="19">
        <v>0.22992994830623109</v>
      </c>
      <c r="AV69" s="19">
        <v>4.8593860156301037E-2</v>
      </c>
      <c r="AW69" s="19">
        <v>-2.64955060779181E-3</v>
      </c>
      <c r="AX69" s="19">
        <v>0.23257949891402291</v>
      </c>
      <c r="AY69" s="19">
        <v>101.7614252028342</v>
      </c>
      <c r="AZ69" s="19">
        <v>107.24425896122111</v>
      </c>
      <c r="BA69" s="19">
        <v>3.091503026846159</v>
      </c>
      <c r="BB69" s="19">
        <v>5.2941176470588234</v>
      </c>
      <c r="BC69" s="19">
        <v>19.020781965480801</v>
      </c>
      <c r="BD69" s="65">
        <f t="shared" si="66"/>
        <v>51.944592434736279</v>
      </c>
      <c r="BE69" s="65">
        <f t="shared" si="67"/>
        <v>52.083333333333336</v>
      </c>
      <c r="BF69" s="66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6.9480774983634683</v>
      </c>
      <c r="BG69" s="38">
        <f t="shared" si="68"/>
        <v>0.33333333333333331</v>
      </c>
      <c r="BH69" s="38">
        <f t="shared" si="69"/>
        <v>9.7222222222222224E-2</v>
      </c>
      <c r="BI69" s="67">
        <f>IFERROR(((AG69*(12000/5))/((F69*60+G69)*(SUMIFS(팀공격력!X:X,팀공격력!A:A,B69,팀공격력!B:B,D69)+SUMIFS(팀수비력!X:X,팀수비력!A:A,B69,팀수비력!B:B,D69))))*100,"")</f>
        <v>0.70829263110053919</v>
      </c>
      <c r="BJ69" s="67">
        <f>IFERROR(((AI69*(12000/5))/((F69*60+G69)*(SUMIFS(팀공격력!V:V,팀공격력!A:A,B69,팀공격력!B:B,D69)+SUMIFS(팀수비력!W:W,팀수비력!A:A,B69,팀수비력!B:B,D69))))*100,"")</f>
        <v>4.1650569828085766</v>
      </c>
      <c r="BK69" s="67">
        <f>IFERROR(((AE69*(12000/5))/((F69*60+G69)*(SUMIFS(팀공격력!X:X,팀공격력!A:A,B69,팀공격력!B:B,D69)+SUMIFS(팀수비력!X:X,팀수비력!A:A,B69,팀수비력!B:B,D69))))*100,"")</f>
        <v>2.7446339455145892</v>
      </c>
      <c r="BL69" s="67">
        <f>IFERROR(100*AK69/(((((F69*60+G69)/(12000/5))*SUMIFS(팀공격력!P:P,팀공격력!A:A,B69,팀공격력!B:B,D69))-K69)),"")</f>
        <v>6.2269372693726943</v>
      </c>
      <c r="BM69" s="67">
        <f>IFERROR(100*((AM69/E69*(2400))/((F69*60+G69)*SUMIFS(팀공격력!AR:AR,팀공격력!A:A,B69,팀공격력!B:B,D69))),"")</f>
        <v>2.3341437939713536</v>
      </c>
      <c r="BN69" s="67">
        <f>IFERROR((AO69*40)/(((F69*60+G69)/60)*(SUMIFS(팀수비력!Q:Q,팀수비력!A:A,B69,팀수비력!B:B,D69)-SUMIFS(팀수비력!N:N,팀수비력!A:A,B69,팀수비력!B:B,D69)))*100,"")</f>
        <v>0.33878494778476992</v>
      </c>
      <c r="BO69" s="67">
        <f t="shared" si="70"/>
        <v>15.71621014818141</v>
      </c>
      <c r="BP69" s="19"/>
      <c r="BQ69" s="19"/>
      <c r="BR69" s="19"/>
      <c r="BS69" s="19"/>
      <c r="BT69" s="20" t="s">
        <v>113</v>
      </c>
      <c r="BU69" s="21">
        <v>70000</v>
      </c>
      <c r="BV69" s="31" t="s">
        <v>90</v>
      </c>
      <c r="BW69" s="31">
        <v>150.30000000000001</v>
      </c>
      <c r="BX69" s="31">
        <v>210.8</v>
      </c>
      <c r="BY69" s="31">
        <v>60.5</v>
      </c>
      <c r="BZ69" s="35">
        <f t="shared" si="39"/>
        <v>8.8411764705882359</v>
      </c>
      <c r="CA69" s="35">
        <f t="shared" si="40"/>
        <v>12.4</v>
      </c>
      <c r="CB69" s="35">
        <f t="shared" si="41"/>
        <v>3.5588235294117645</v>
      </c>
      <c r="CC69" s="36">
        <f t="shared" si="42"/>
        <v>31.764705882352942</v>
      </c>
      <c r="CD69" s="36">
        <f t="shared" si="43"/>
        <v>44.550898203592816</v>
      </c>
      <c r="CE69" s="36">
        <f t="shared" si="44"/>
        <v>12.786192321239874</v>
      </c>
      <c r="CF69" s="31">
        <v>12</v>
      </c>
      <c r="CG69" s="31">
        <v>5</v>
      </c>
    </row>
    <row r="70" spans="1:85" x14ac:dyDescent="0.4">
      <c r="A70" s="11" t="s">
        <v>85</v>
      </c>
      <c r="B70" s="11" t="s">
        <v>164</v>
      </c>
      <c r="C70" s="11" t="s">
        <v>166</v>
      </c>
      <c r="D70" s="46" t="s">
        <v>88</v>
      </c>
      <c r="E70" s="15">
        <v>7</v>
      </c>
      <c r="F70" s="15">
        <v>1</v>
      </c>
      <c r="G70" s="15">
        <v>29</v>
      </c>
      <c r="H70" s="16">
        <f t="shared" si="45"/>
        <v>623</v>
      </c>
      <c r="I70" s="16">
        <v>5</v>
      </c>
      <c r="J70" s="17">
        <f t="shared" si="46"/>
        <v>0.7142857142857143</v>
      </c>
      <c r="K70" s="15">
        <v>2</v>
      </c>
      <c r="L70" s="15">
        <v>4</v>
      </c>
      <c r="M70" s="17">
        <f t="shared" si="47"/>
        <v>0.2857142857142857</v>
      </c>
      <c r="N70" s="17">
        <f t="shared" si="48"/>
        <v>0.5714285714285714</v>
      </c>
      <c r="O70" s="18">
        <f t="shared" si="49"/>
        <v>0.5</v>
      </c>
      <c r="P70" s="16">
        <v>2</v>
      </c>
      <c r="Q70" s="15">
        <v>4</v>
      </c>
      <c r="R70" s="17">
        <f t="shared" si="50"/>
        <v>0.2857142857142857</v>
      </c>
      <c r="S70" s="17">
        <f t="shared" si="51"/>
        <v>0.5714285714285714</v>
      </c>
      <c r="T70" s="18">
        <f t="shared" si="52"/>
        <v>0.5</v>
      </c>
      <c r="U70" s="15">
        <v>0</v>
      </c>
      <c r="V70" s="15">
        <v>0</v>
      </c>
      <c r="W70" s="17">
        <f t="shared" si="53"/>
        <v>0</v>
      </c>
      <c r="X70" s="17">
        <f t="shared" si="54"/>
        <v>0</v>
      </c>
      <c r="Y70" s="18" t="e">
        <f t="shared" si="55"/>
        <v>#DIV/0!</v>
      </c>
      <c r="Z70" s="15">
        <v>1</v>
      </c>
      <c r="AA70" s="15">
        <v>2</v>
      </c>
      <c r="AB70" s="17">
        <f t="shared" si="56"/>
        <v>0.14285714285714285</v>
      </c>
      <c r="AC70" s="17">
        <f t="shared" si="57"/>
        <v>0.2857142857142857</v>
      </c>
      <c r="AD70" s="18">
        <f t="shared" si="58"/>
        <v>0.5</v>
      </c>
      <c r="AE70" s="15">
        <v>2</v>
      </c>
      <c r="AF70" s="17">
        <f t="shared" si="59"/>
        <v>0.2857142857142857</v>
      </c>
      <c r="AG70" s="15">
        <v>0</v>
      </c>
      <c r="AH70" s="17">
        <f t="shared" si="60"/>
        <v>0</v>
      </c>
      <c r="AI70" s="15">
        <v>2</v>
      </c>
      <c r="AJ70" s="17">
        <f t="shared" si="61"/>
        <v>0.2857142857142857</v>
      </c>
      <c r="AK70" s="15">
        <v>0</v>
      </c>
      <c r="AL70" s="17">
        <f t="shared" si="62"/>
        <v>0</v>
      </c>
      <c r="AM70" s="15">
        <v>0</v>
      </c>
      <c r="AN70" s="17">
        <f t="shared" si="63"/>
        <v>0</v>
      </c>
      <c r="AO70" s="25">
        <v>1</v>
      </c>
      <c r="AP70" s="17">
        <f t="shared" ref="AP70:AP133" si="71">AO70/$E70</f>
        <v>0.14285714285714285</v>
      </c>
      <c r="AQ70" s="4">
        <v>1</v>
      </c>
      <c r="AR70" s="17">
        <f t="shared" si="64"/>
        <v>0.14285714285714285</v>
      </c>
      <c r="AS70" s="15">
        <v>0</v>
      </c>
      <c r="AT70" s="17">
        <f t="shared" si="65"/>
        <v>0</v>
      </c>
      <c r="AU70" s="19">
        <v>-8.5219212050702126E-3</v>
      </c>
      <c r="AV70" s="19">
        <v>-3.2829230966562623E-2</v>
      </c>
      <c r="AW70" s="19">
        <v>-2.3670378321873031E-2</v>
      </c>
      <c r="AX70" s="19">
        <v>1.5148457116802809E-2</v>
      </c>
      <c r="AY70" s="19">
        <v>83.313488438532175</v>
      </c>
      <c r="AZ70" s="19">
        <v>104.93038473884479</v>
      </c>
      <c r="BA70" s="19">
        <v>1.179069858333982</v>
      </c>
      <c r="BB70" s="19">
        <v>0.5714285714285714</v>
      </c>
      <c r="BC70" s="19">
        <v>15.409309791332261</v>
      </c>
      <c r="BD70" s="65">
        <f t="shared" si="66"/>
        <v>51.229508196721305</v>
      </c>
      <c r="BE70" s="65">
        <f t="shared" si="67"/>
        <v>50</v>
      </c>
      <c r="BF70" s="66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3.4422961207918101</v>
      </c>
      <c r="BG70" s="38">
        <f t="shared" si="68"/>
        <v>0</v>
      </c>
      <c r="BH70" s="38">
        <f t="shared" si="69"/>
        <v>0.5</v>
      </c>
      <c r="BI70" s="67">
        <f>IFERROR(((AG70*(12000/5))/((F70*60+G70)*(SUMIFS(팀공격력!X:X,팀공격력!A:A,B70,팀공격력!B:B,D70)+SUMIFS(팀수비력!X:X,팀수비력!A:A,B70,팀수비력!B:B,D70))))*100,"")</f>
        <v>0</v>
      </c>
      <c r="BJ70" s="67">
        <f>IFERROR(((AI70*(12000/5))/((F70*60+G70)*(SUMIFS(팀공격력!V:V,팀공격력!A:A,B70,팀공격력!B:B,D70)+SUMIFS(팀수비력!W:W,팀수비력!A:A,B70,팀수비력!B:B,D70))))*100,"")</f>
        <v>2.7183762232693005</v>
      </c>
      <c r="BK70" s="67">
        <f>IFERROR(((AE70*(12000/5))/((F70*60+G70)*(SUMIFS(팀공격력!X:X,팀공격력!A:A,B70,팀공격력!B:B,D70)+SUMIFS(팀수비력!X:X,팀수비력!A:A,B70,팀수비력!B:B,D70))))*100,"")</f>
        <v>1.3290434763347196</v>
      </c>
      <c r="BL70" s="67">
        <f>IFERROR(100*AK70/(((((F70*60+G70)/(12000/5))*SUMIFS(팀공격력!P:P,팀공격력!A:A,B70,팀공격력!B:B,D70))-K70)),"")</f>
        <v>0</v>
      </c>
      <c r="BM70" s="67">
        <f>IFERROR(100*((AM70/E70*(2400))/((F70*60+G70)*SUMIFS(팀공격력!AR:AR,팀공격력!A:A,B70,팀공격력!B:B,D70))),"")</f>
        <v>0</v>
      </c>
      <c r="BN70" s="67">
        <f>IFERROR((AO70*40)/(((F70*60+G70)/60)*(SUMIFS(팀수비력!Q:Q,팀수비력!A:A,B70,팀수비력!B:B,D70)-SUMIFS(팀수비력!N:N,팀수비력!A:A,B70,팀수비력!B:B,D70)))*100,"")</f>
        <v>1.271395197304642</v>
      </c>
      <c r="BO70" s="67">
        <f t="shared" si="70"/>
        <v>17.006802721088437</v>
      </c>
      <c r="BP70" s="19"/>
      <c r="BQ70" s="19"/>
      <c r="BR70" s="19"/>
      <c r="BS70" s="19"/>
      <c r="BT70" s="20" t="s">
        <v>89</v>
      </c>
      <c r="BU70" s="21">
        <v>40000</v>
      </c>
      <c r="BV70" s="31" t="s">
        <v>102</v>
      </c>
      <c r="BW70" s="31">
        <v>6.31</v>
      </c>
      <c r="BX70" s="31">
        <v>10.61</v>
      </c>
      <c r="BY70" s="31">
        <v>4.3</v>
      </c>
      <c r="BZ70" s="35">
        <f t="shared" si="39"/>
        <v>0.90142857142857136</v>
      </c>
      <c r="CA70" s="35">
        <f t="shared" si="40"/>
        <v>1.5157142857142856</v>
      </c>
      <c r="CB70" s="35">
        <f t="shared" si="41"/>
        <v>0.61428571428571421</v>
      </c>
      <c r="CC70" s="36">
        <f t="shared" si="42"/>
        <v>24.308186195826643</v>
      </c>
      <c r="CD70" s="36">
        <f t="shared" si="43"/>
        <v>40.873194221508825</v>
      </c>
      <c r="CE70" s="36">
        <f t="shared" si="44"/>
        <v>16.565008025682182</v>
      </c>
      <c r="CF70" s="30">
        <v>6</v>
      </c>
      <c r="CG70" s="30">
        <v>1</v>
      </c>
    </row>
    <row r="71" spans="1:85" x14ac:dyDescent="0.4">
      <c r="A71" s="11" t="s">
        <v>85</v>
      </c>
      <c r="B71" s="11" t="s">
        <v>164</v>
      </c>
      <c r="C71" s="11" t="s">
        <v>167</v>
      </c>
      <c r="D71" s="46" t="s">
        <v>88</v>
      </c>
      <c r="E71" s="15">
        <v>35</v>
      </c>
      <c r="F71" s="15">
        <v>24</v>
      </c>
      <c r="G71" s="15">
        <v>44</v>
      </c>
      <c r="H71" s="16">
        <f t="shared" si="45"/>
        <v>51940</v>
      </c>
      <c r="I71" s="16">
        <v>362</v>
      </c>
      <c r="J71" s="17">
        <f t="shared" si="46"/>
        <v>10.342857142857143</v>
      </c>
      <c r="K71" s="15">
        <v>134</v>
      </c>
      <c r="L71" s="15">
        <v>326</v>
      </c>
      <c r="M71" s="17">
        <f t="shared" si="47"/>
        <v>3.8285714285714287</v>
      </c>
      <c r="N71" s="17">
        <f t="shared" si="48"/>
        <v>9.3142857142857149</v>
      </c>
      <c r="O71" s="18">
        <f t="shared" si="49"/>
        <v>0.41104294478527609</v>
      </c>
      <c r="P71" s="16">
        <v>98</v>
      </c>
      <c r="Q71" s="15">
        <v>202</v>
      </c>
      <c r="R71" s="17">
        <f t="shared" si="50"/>
        <v>2.8</v>
      </c>
      <c r="S71" s="17">
        <f t="shared" si="51"/>
        <v>5.7714285714285714</v>
      </c>
      <c r="T71" s="18">
        <f t="shared" si="52"/>
        <v>0.48514851485148514</v>
      </c>
      <c r="U71" s="15">
        <v>36</v>
      </c>
      <c r="V71" s="15">
        <v>124</v>
      </c>
      <c r="W71" s="17">
        <f t="shared" si="53"/>
        <v>1.0285714285714285</v>
      </c>
      <c r="X71" s="17">
        <f t="shared" si="54"/>
        <v>3.5428571428571427</v>
      </c>
      <c r="Y71" s="18">
        <f t="shared" si="55"/>
        <v>0.29032258064516131</v>
      </c>
      <c r="Z71" s="15">
        <v>58</v>
      </c>
      <c r="AA71" s="15">
        <v>80</v>
      </c>
      <c r="AB71" s="17">
        <f t="shared" si="56"/>
        <v>1.6571428571428573</v>
      </c>
      <c r="AC71" s="17">
        <f t="shared" si="57"/>
        <v>2.2857142857142856</v>
      </c>
      <c r="AD71" s="18">
        <f t="shared" si="58"/>
        <v>0.72499999999999998</v>
      </c>
      <c r="AE71" s="15">
        <v>64</v>
      </c>
      <c r="AF71" s="17">
        <f t="shared" si="59"/>
        <v>1.8285714285714285</v>
      </c>
      <c r="AG71" s="15">
        <v>19</v>
      </c>
      <c r="AH71" s="17">
        <f t="shared" si="60"/>
        <v>0.54285714285714282</v>
      </c>
      <c r="AI71" s="15">
        <v>45</v>
      </c>
      <c r="AJ71" s="17">
        <f t="shared" si="61"/>
        <v>1.2857142857142858</v>
      </c>
      <c r="AK71" s="15">
        <v>158</v>
      </c>
      <c r="AL71" s="17">
        <f t="shared" si="62"/>
        <v>4.5142857142857142</v>
      </c>
      <c r="AM71" s="15">
        <v>57</v>
      </c>
      <c r="AN71" s="17">
        <f t="shared" si="63"/>
        <v>1.6285714285714286</v>
      </c>
      <c r="AO71" s="25">
        <v>10</v>
      </c>
      <c r="AP71" s="17">
        <f t="shared" si="71"/>
        <v>0.2857142857142857</v>
      </c>
      <c r="AQ71" s="4">
        <v>50</v>
      </c>
      <c r="AR71" s="17">
        <f t="shared" si="64"/>
        <v>1.4285714285714286</v>
      </c>
      <c r="AS71" s="15">
        <v>67</v>
      </c>
      <c r="AT71" s="17">
        <f t="shared" si="65"/>
        <v>1.9142857142857144</v>
      </c>
      <c r="AU71" s="19">
        <v>1.565512552201906</v>
      </c>
      <c r="AV71" s="19">
        <v>7.2337892285032221E-2</v>
      </c>
      <c r="AW71" s="19">
        <v>0.49593494508682923</v>
      </c>
      <c r="AX71" s="19">
        <v>1.069577607115076</v>
      </c>
      <c r="AY71" s="19">
        <v>106.8230333173025</v>
      </c>
      <c r="AZ71" s="19">
        <v>107.1767951911317</v>
      </c>
      <c r="BA71" s="19">
        <v>7.4802592405544779</v>
      </c>
      <c r="BB71" s="19">
        <v>11.05714285714286</v>
      </c>
      <c r="BC71" s="19">
        <v>17.882171736619181</v>
      </c>
      <c r="BD71" s="65">
        <f t="shared" si="66"/>
        <v>50.110741971207084</v>
      </c>
      <c r="BE71" s="65">
        <f t="shared" si="67"/>
        <v>46.625766871165638</v>
      </c>
      <c r="BF71" s="66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14.437104932590916</v>
      </c>
      <c r="BG71" s="38">
        <f t="shared" si="68"/>
        <v>0.38036809815950923</v>
      </c>
      <c r="BH71" s="38">
        <f t="shared" si="69"/>
        <v>0.24539877300613497</v>
      </c>
      <c r="BI71" s="67">
        <f>IFERROR(((AG71*(12000/5))/((F71*60+G71)*(SUMIFS(팀공격력!X:X,팀공격력!A:A,B71,팀공격력!B:B,D71)+SUMIFS(팀수비력!X:X,팀수비력!A:A,B71,팀수비력!B:B,D71))))*100,"")</f>
        <v>0.75721446040499019</v>
      </c>
      <c r="BJ71" s="67">
        <f>IFERROR(((AI71*(12000/5))/((F71*60+G71)*(SUMIFS(팀공격력!V:V,팀공격력!A:A,B71,팀공격력!B:B,D71)+SUMIFS(팀수비력!W:W,팀수비력!A:A,B71,팀수비력!B:B,D71))))*100,"")</f>
        <v>3.6681592904964782</v>
      </c>
      <c r="BK71" s="67">
        <f>IFERROR(((AE71*(12000/5))/((F71*60+G71)*(SUMIFS(팀공격력!X:X,팀공격력!A:A,B71,팀공격력!B:B,D71)+SUMIFS(팀수비력!X:X,팀수비력!A:A,B71,팀수비력!B:B,D71))))*100,"")</f>
        <v>2.55061712978523</v>
      </c>
      <c r="BL71" s="67">
        <f>IFERROR(100*AK71/(((((F71*60+G71)/(12000/5))*SUMIFS(팀공격력!P:P,팀공격력!A:A,B71,팀공격력!B:B,D71))-K71)),"")</f>
        <v>17.462422634836429</v>
      </c>
      <c r="BM71" s="67">
        <f>IFERROR(100*((AM71/E71*(2400))/((F71*60+G71)*SUMIFS(팀공격력!AR:AR,팀공격력!A:A,B71,팀공격력!B:B,D71))),"")</f>
        <v>3.6361008006529292</v>
      </c>
      <c r="BN71" s="67">
        <f>IFERROR((AO71*40)/(((F71*60+G71)/60)*(SUMIFS(팀수비력!Q:Q,팀수비력!A:A,B71,팀수비력!B:B,D71)-SUMIFS(팀수비력!N:N,팀수비력!A:A,B71,팀수비력!B:B,D71)))*100,"")</f>
        <v>0.76249442425952263</v>
      </c>
      <c r="BO71" s="67">
        <f t="shared" si="70"/>
        <v>12.159533073929962</v>
      </c>
      <c r="BP71" s="19"/>
      <c r="BQ71" s="19"/>
      <c r="BR71" s="19"/>
      <c r="BS71" s="19"/>
      <c r="BT71" s="20" t="s">
        <v>89</v>
      </c>
      <c r="BU71" s="21"/>
      <c r="BV71" s="30" t="s">
        <v>90</v>
      </c>
      <c r="BW71" s="30">
        <v>680.1</v>
      </c>
      <c r="BX71" s="30">
        <v>955.9</v>
      </c>
      <c r="BY71" s="30">
        <v>275.8</v>
      </c>
      <c r="BZ71" s="35">
        <f t="shared" si="39"/>
        <v>19.431428571428572</v>
      </c>
      <c r="CA71" s="35">
        <f t="shared" si="40"/>
        <v>27.311428571428571</v>
      </c>
      <c r="CB71" s="35">
        <f t="shared" si="41"/>
        <v>7.88</v>
      </c>
      <c r="CC71" s="36">
        <f t="shared" si="42"/>
        <v>31.425490951097416</v>
      </c>
      <c r="CD71" s="36">
        <f t="shared" si="43"/>
        <v>44.169426261070463</v>
      </c>
      <c r="CE71" s="36">
        <f t="shared" si="44"/>
        <v>12.743935309973045</v>
      </c>
      <c r="CF71" s="30">
        <v>23</v>
      </c>
      <c r="CG71" s="30">
        <v>12</v>
      </c>
    </row>
    <row r="72" spans="1:85" x14ac:dyDescent="0.4">
      <c r="A72" s="11" t="s">
        <v>85</v>
      </c>
      <c r="B72" s="11" t="s">
        <v>164</v>
      </c>
      <c r="C72" s="11" t="s">
        <v>168</v>
      </c>
      <c r="D72" s="46" t="s">
        <v>88</v>
      </c>
      <c r="E72" s="15">
        <v>23</v>
      </c>
      <c r="F72" s="15">
        <v>8</v>
      </c>
      <c r="G72" s="15">
        <v>19</v>
      </c>
      <c r="H72" s="16">
        <f t="shared" si="45"/>
        <v>11477</v>
      </c>
      <c r="I72" s="16">
        <v>84</v>
      </c>
      <c r="J72" s="17">
        <f t="shared" si="46"/>
        <v>3.652173913043478</v>
      </c>
      <c r="K72" s="15">
        <v>29</v>
      </c>
      <c r="L72" s="15">
        <v>65</v>
      </c>
      <c r="M72" s="17">
        <f t="shared" si="47"/>
        <v>1.2608695652173914</v>
      </c>
      <c r="N72" s="17">
        <f t="shared" si="48"/>
        <v>2.8260869565217392</v>
      </c>
      <c r="O72" s="18">
        <f t="shared" si="49"/>
        <v>0.44615384615384618</v>
      </c>
      <c r="P72" s="16">
        <v>19</v>
      </c>
      <c r="Q72" s="15">
        <v>38</v>
      </c>
      <c r="R72" s="17">
        <f t="shared" si="50"/>
        <v>0.82608695652173914</v>
      </c>
      <c r="S72" s="17">
        <f t="shared" si="51"/>
        <v>1.6521739130434783</v>
      </c>
      <c r="T72" s="18">
        <f t="shared" si="52"/>
        <v>0.5</v>
      </c>
      <c r="U72" s="15">
        <v>10</v>
      </c>
      <c r="V72" s="15">
        <v>27</v>
      </c>
      <c r="W72" s="17">
        <f t="shared" si="53"/>
        <v>0.43478260869565216</v>
      </c>
      <c r="X72" s="17">
        <f t="shared" si="54"/>
        <v>1.173913043478261</v>
      </c>
      <c r="Y72" s="18">
        <f t="shared" si="55"/>
        <v>0.37037037037037035</v>
      </c>
      <c r="Z72" s="15">
        <v>16</v>
      </c>
      <c r="AA72" s="15">
        <v>20</v>
      </c>
      <c r="AB72" s="17">
        <f t="shared" si="56"/>
        <v>0.69565217391304346</v>
      </c>
      <c r="AC72" s="17">
        <f t="shared" si="57"/>
        <v>0.86956521739130432</v>
      </c>
      <c r="AD72" s="18">
        <f t="shared" si="58"/>
        <v>0.8</v>
      </c>
      <c r="AE72" s="15">
        <v>35</v>
      </c>
      <c r="AF72" s="17">
        <f t="shared" si="59"/>
        <v>1.5217391304347827</v>
      </c>
      <c r="AG72" s="15">
        <v>6</v>
      </c>
      <c r="AH72" s="17">
        <f t="shared" si="60"/>
        <v>0.2608695652173913</v>
      </c>
      <c r="AI72" s="15">
        <v>29</v>
      </c>
      <c r="AJ72" s="17">
        <f t="shared" si="61"/>
        <v>1.2608695652173914</v>
      </c>
      <c r="AK72" s="15">
        <v>5</v>
      </c>
      <c r="AL72" s="17">
        <f t="shared" si="62"/>
        <v>0.21739130434782608</v>
      </c>
      <c r="AM72" s="15">
        <v>3</v>
      </c>
      <c r="AN72" s="17">
        <f t="shared" si="63"/>
        <v>0.13043478260869565</v>
      </c>
      <c r="AO72" s="15">
        <v>4</v>
      </c>
      <c r="AP72" s="17">
        <f t="shared" si="71"/>
        <v>0.17391304347826086</v>
      </c>
      <c r="AQ72" s="32">
        <v>5</v>
      </c>
      <c r="AR72" s="17">
        <f t="shared" si="64"/>
        <v>0.21739130434782608</v>
      </c>
      <c r="AS72" s="15">
        <v>26</v>
      </c>
      <c r="AT72" s="17">
        <f t="shared" si="65"/>
        <v>1.1304347826086956</v>
      </c>
      <c r="AU72" s="19">
        <v>0.43085047561954598</v>
      </c>
      <c r="AV72" s="19">
        <v>9.0096814628118013E-2</v>
      </c>
      <c r="AW72" s="19">
        <v>0.2236002030910213</v>
      </c>
      <c r="AX72" s="19">
        <v>0.20725027252852471</v>
      </c>
      <c r="AY72" s="19">
        <v>114.9040869366483</v>
      </c>
      <c r="AZ72" s="19">
        <v>108.7062804288915</v>
      </c>
      <c r="BA72" s="19">
        <v>3.8002225491430339</v>
      </c>
      <c r="BB72" s="19">
        <v>3.7391304347826089</v>
      </c>
      <c r="BC72" s="19">
        <v>17.983793674305129</v>
      </c>
      <c r="BD72" s="65">
        <f t="shared" si="66"/>
        <v>56.910569105691053</v>
      </c>
      <c r="BE72" s="65">
        <f t="shared" si="67"/>
        <v>52.307692307692314</v>
      </c>
      <c r="BF72" s="66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8.2278540599352183</v>
      </c>
      <c r="BG72" s="38">
        <f t="shared" si="68"/>
        <v>0.41538461538461541</v>
      </c>
      <c r="BH72" s="38">
        <f t="shared" si="69"/>
        <v>0.30769230769230771</v>
      </c>
      <c r="BI72" s="67">
        <f>IFERROR(((AG72*(12000/5))/((F72*60+G72)*(SUMIFS(팀공격력!X:X,팀공격력!A:A,B72,팀공격력!B:B,D72)+SUMIFS(팀수비력!X:X,팀수비력!A:A,B72,팀수비력!B:B,D72))))*100,"")</f>
        <v>0.71113147932138299</v>
      </c>
      <c r="BJ72" s="67">
        <f>IFERROR(((AI72*(12000/5))/((F72*60+G72)*(SUMIFS(팀공격력!V:V,팀공격력!A:A,B72,팀공격력!B:B,D72)+SUMIFS(팀수비력!W:W,팀수비력!A:A,B72,팀수비력!B:B,D72))))*100,"")</f>
        <v>7.030189411080225</v>
      </c>
      <c r="BK72" s="67">
        <f>IFERROR(((AE72*(12000/5))/((F72*60+G72)*(SUMIFS(팀공격력!X:X,팀공격력!A:A,B72,팀공격력!B:B,D72)+SUMIFS(팀수비력!X:X,팀수비력!A:A,B72,팀수비력!B:B,D72))))*100,"")</f>
        <v>4.1482669627080675</v>
      </c>
      <c r="BL72" s="67">
        <f>IFERROR(100*AK72/(((((F72*60+G72)/(12000/5))*SUMIFS(팀공격력!P:P,팀공격력!A:A,B72,팀공격력!B:B,D72))-K72)),"")</f>
        <v>1.5610365282547611</v>
      </c>
      <c r="BM72" s="67">
        <f>IFERROR(100*((AM72/E72*(2400))/((F72*60+G72)*SUMIFS(팀공격력!AR:AR,팀공격력!A:A,B72,팀공격력!B:B,D72))),"")</f>
        <v>0.86607574685257549</v>
      </c>
      <c r="BN72" s="67">
        <f>IFERROR((AO72*40)/(((F72*60+G72)/60)*(SUMIFS(팀수비력!Q:Q,팀수비력!A:A,B72,팀수비력!B:B,D72)-SUMIFS(팀수비력!N:N,팀수비력!A:A,B72,팀수비력!B:B,D72)))*100,"")</f>
        <v>0.90704747543176889</v>
      </c>
      <c r="BO72" s="67">
        <f t="shared" si="70"/>
        <v>6.3451776649746199</v>
      </c>
      <c r="BP72" s="19"/>
      <c r="BQ72" s="19"/>
      <c r="BR72" s="19"/>
      <c r="BS72" s="19"/>
      <c r="BT72" s="20" t="s">
        <v>89</v>
      </c>
      <c r="BU72" s="21">
        <v>77000</v>
      </c>
      <c r="BV72" s="30" t="s">
        <v>93</v>
      </c>
      <c r="BW72" s="30">
        <v>143.79</v>
      </c>
      <c r="BX72" s="30">
        <v>188.79</v>
      </c>
      <c r="BY72" s="30">
        <v>45</v>
      </c>
      <c r="BZ72" s="35">
        <f t="shared" si="39"/>
        <v>6.2517391304347827</v>
      </c>
      <c r="CA72" s="35">
        <f t="shared" si="40"/>
        <v>8.2082608695652173</v>
      </c>
      <c r="CB72" s="35">
        <f t="shared" si="41"/>
        <v>1.9565217391304348</v>
      </c>
      <c r="CC72" s="36">
        <f t="shared" si="42"/>
        <v>30.068484795678309</v>
      </c>
      <c r="CD72" s="36">
        <f t="shared" si="43"/>
        <v>39.478609392698438</v>
      </c>
      <c r="CE72" s="36">
        <f t="shared" si="44"/>
        <v>9.4101245970201273</v>
      </c>
      <c r="CF72" s="31">
        <v>10</v>
      </c>
      <c r="CG72" s="31">
        <v>13</v>
      </c>
    </row>
    <row r="73" spans="1:85" x14ac:dyDescent="0.4">
      <c r="A73" s="11" t="s">
        <v>85</v>
      </c>
      <c r="B73" s="11" t="s">
        <v>164</v>
      </c>
      <c r="C73" s="11" t="s">
        <v>169</v>
      </c>
      <c r="D73" s="46" t="s">
        <v>88</v>
      </c>
      <c r="E73" s="15">
        <v>41</v>
      </c>
      <c r="F73" s="15">
        <v>9</v>
      </c>
      <c r="G73" s="15">
        <v>17</v>
      </c>
      <c r="H73" s="16">
        <f t="shared" si="45"/>
        <v>22837</v>
      </c>
      <c r="I73" s="16">
        <v>163</v>
      </c>
      <c r="J73" s="17">
        <f t="shared" si="46"/>
        <v>3.975609756097561</v>
      </c>
      <c r="K73" s="15">
        <v>62</v>
      </c>
      <c r="L73" s="15">
        <v>140</v>
      </c>
      <c r="M73" s="17">
        <f t="shared" si="47"/>
        <v>1.5121951219512195</v>
      </c>
      <c r="N73" s="17">
        <f t="shared" si="48"/>
        <v>3.4146341463414633</v>
      </c>
      <c r="O73" s="18">
        <f t="shared" si="49"/>
        <v>0.44285714285714284</v>
      </c>
      <c r="P73" s="16">
        <v>53</v>
      </c>
      <c r="Q73" s="15">
        <v>107</v>
      </c>
      <c r="R73" s="17">
        <f t="shared" si="50"/>
        <v>1.2926829268292683</v>
      </c>
      <c r="S73" s="17">
        <f t="shared" si="51"/>
        <v>2.6097560975609757</v>
      </c>
      <c r="T73" s="18">
        <f t="shared" si="52"/>
        <v>0.49532710280373832</v>
      </c>
      <c r="U73" s="15">
        <v>9</v>
      </c>
      <c r="V73" s="15">
        <v>33</v>
      </c>
      <c r="W73" s="17">
        <f t="shared" si="53"/>
        <v>0.21951219512195122</v>
      </c>
      <c r="X73" s="17">
        <f t="shared" si="54"/>
        <v>0.80487804878048785</v>
      </c>
      <c r="Y73" s="18">
        <f t="shared" si="55"/>
        <v>0.27272727272727271</v>
      </c>
      <c r="Z73" s="15">
        <v>30</v>
      </c>
      <c r="AA73" s="15">
        <v>40</v>
      </c>
      <c r="AB73" s="17">
        <f t="shared" si="56"/>
        <v>0.73170731707317072</v>
      </c>
      <c r="AC73" s="17">
        <f t="shared" si="57"/>
        <v>0.97560975609756095</v>
      </c>
      <c r="AD73" s="18">
        <f t="shared" si="58"/>
        <v>0.75</v>
      </c>
      <c r="AE73" s="15">
        <v>108</v>
      </c>
      <c r="AF73" s="17">
        <f t="shared" si="59"/>
        <v>2.6341463414634148</v>
      </c>
      <c r="AG73" s="15">
        <v>37</v>
      </c>
      <c r="AH73" s="17">
        <f t="shared" si="60"/>
        <v>0.90243902439024393</v>
      </c>
      <c r="AI73" s="15">
        <v>71</v>
      </c>
      <c r="AJ73" s="17">
        <f t="shared" si="61"/>
        <v>1.7317073170731707</v>
      </c>
      <c r="AK73" s="15">
        <v>7</v>
      </c>
      <c r="AL73" s="17">
        <f t="shared" si="62"/>
        <v>0.17073170731707318</v>
      </c>
      <c r="AM73" s="15">
        <v>12</v>
      </c>
      <c r="AN73" s="17">
        <f t="shared" si="63"/>
        <v>0.29268292682926828</v>
      </c>
      <c r="AO73" s="25">
        <v>7</v>
      </c>
      <c r="AP73" s="17">
        <f t="shared" si="71"/>
        <v>0.17073170731707318</v>
      </c>
      <c r="AQ73" s="4">
        <v>18</v>
      </c>
      <c r="AR73" s="17">
        <f t="shared" si="64"/>
        <v>0.43902439024390244</v>
      </c>
      <c r="AS73" s="15">
        <v>64</v>
      </c>
      <c r="AT73" s="17">
        <f t="shared" si="65"/>
        <v>1.5609756097560976</v>
      </c>
      <c r="AU73" s="19">
        <v>0.64798955131658664</v>
      </c>
      <c r="AV73" s="19">
        <v>6.8098915057135695E-2</v>
      </c>
      <c r="AW73" s="19">
        <v>0.110334796939824</v>
      </c>
      <c r="AX73" s="19">
        <v>0.53765475437676269</v>
      </c>
      <c r="AY73" s="19">
        <v>104.6054765362765</v>
      </c>
      <c r="AZ73" s="19">
        <v>105.39634642692531</v>
      </c>
      <c r="BA73" s="19">
        <v>6.8373570354584334</v>
      </c>
      <c r="BB73" s="19">
        <v>4.6585365853658534</v>
      </c>
      <c r="BC73" s="19">
        <v>20.072689057231681</v>
      </c>
      <c r="BD73" s="65">
        <f t="shared" si="66"/>
        <v>51.713197969543145</v>
      </c>
      <c r="BE73" s="65">
        <f t="shared" si="67"/>
        <v>47.5</v>
      </c>
      <c r="BF73" s="66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16.425939708039522</v>
      </c>
      <c r="BG73" s="38">
        <f t="shared" si="68"/>
        <v>0.23571428571428571</v>
      </c>
      <c r="BH73" s="38">
        <f t="shared" si="69"/>
        <v>0.2857142857142857</v>
      </c>
      <c r="BI73" s="67">
        <f>IFERROR(((AG73*(12000/5))/((F73*60+G73)*(SUMIFS(팀공격력!X:X,팀공격력!A:A,B73,팀공격력!B:B,D73)+SUMIFS(팀수비력!X:X,팀수비력!A:A,B73,팀수비력!B:B,D73))))*100,"")</f>
        <v>3.9286716046411416</v>
      </c>
      <c r="BJ73" s="67">
        <f>IFERROR(((AI73*(12000/5))/((F73*60+G73)*(SUMIFS(팀공격력!V:V,팀공격력!A:A,B73,팀공격력!B:B,D73)+SUMIFS(팀수비력!W:W,팀수비력!A:A,B73,팀수비력!B:B,D73))))*100,"")</f>
        <v>15.419586494469218</v>
      </c>
      <c r="BK73" s="67">
        <f>IFERROR(((AE73*(12000/5))/((F73*60+G73)*(SUMIFS(팀공격력!X:X,팀공격력!A:A,B73,팀공격력!B:B,D73)+SUMIFS(팀수비력!X:X,팀수비력!A:A,B73,팀수비력!B:B,D73))))*100,"")</f>
        <v>11.467473873006576</v>
      </c>
      <c r="BL73" s="67">
        <f>IFERROR(100*AK73/(((((F73*60+G73)/(12000/5))*SUMIFS(팀공격력!P:P,팀공격력!A:A,B73,팀공격력!B:B,D73))-K73)),"")</f>
        <v>2.1347971942665449</v>
      </c>
      <c r="BM73" s="67">
        <f>IFERROR(100*((AM73/E73*(2400))/((F73*60+G73)*SUMIFS(팀공격력!AR:AR,팀공격력!A:A,B73,팀공격력!B:B,D73))),"")</f>
        <v>1.7410257646147929</v>
      </c>
      <c r="BN73" s="67">
        <f>IFERROR((AO73*40)/(((F73*60+G73)/60)*(SUMIFS(팀수비력!Q:Q,팀수비력!A:A,B73,팀수비력!B:B,D73)-SUMIFS(팀수비력!N:N,팀수비력!A:A,B73,팀수비력!B:B,D73)))*100,"")</f>
        <v>1.422045256590291</v>
      </c>
      <c r="BO73" s="67">
        <f t="shared" si="70"/>
        <v>10.250569476082005</v>
      </c>
      <c r="BP73" s="19"/>
      <c r="BQ73" s="19"/>
      <c r="BR73" s="19"/>
      <c r="BS73" s="19"/>
      <c r="BT73" s="20" t="s">
        <v>96</v>
      </c>
      <c r="BU73" s="21">
        <v>45000</v>
      </c>
      <c r="BV73" s="31" t="s">
        <v>102</v>
      </c>
      <c r="BW73" s="31">
        <v>305.01</v>
      </c>
      <c r="BX73" s="31">
        <v>415.61</v>
      </c>
      <c r="BY73" s="31">
        <v>110.6</v>
      </c>
      <c r="BZ73" s="35">
        <f t="shared" si="39"/>
        <v>7.439268292682927</v>
      </c>
      <c r="CA73" s="35">
        <f t="shared" si="40"/>
        <v>10.136829268292683</v>
      </c>
      <c r="CB73" s="35">
        <f t="shared" si="41"/>
        <v>2.6975609756097558</v>
      </c>
      <c r="CC73" s="36">
        <f t="shared" si="42"/>
        <v>32.054297849980301</v>
      </c>
      <c r="CD73" s="36">
        <f t="shared" si="43"/>
        <v>43.677540832858959</v>
      </c>
      <c r="CE73" s="36">
        <f t="shared" si="44"/>
        <v>11.623242982878661</v>
      </c>
      <c r="CF73" s="30">
        <v>24</v>
      </c>
      <c r="CG73" s="30">
        <v>17</v>
      </c>
    </row>
    <row r="74" spans="1:85" x14ac:dyDescent="0.4">
      <c r="A74" s="11" t="s">
        <v>85</v>
      </c>
      <c r="B74" s="11" t="s">
        <v>164</v>
      </c>
      <c r="C74" s="11" t="s">
        <v>170</v>
      </c>
      <c r="D74" s="46" t="s">
        <v>88</v>
      </c>
      <c r="E74" s="15">
        <v>8</v>
      </c>
      <c r="F74" s="15">
        <v>3</v>
      </c>
      <c r="G74" s="15">
        <v>54</v>
      </c>
      <c r="H74" s="16">
        <f t="shared" si="45"/>
        <v>1872</v>
      </c>
      <c r="I74" s="16">
        <v>8</v>
      </c>
      <c r="J74" s="17">
        <f t="shared" si="46"/>
        <v>1</v>
      </c>
      <c r="K74" s="15">
        <v>3</v>
      </c>
      <c r="L74" s="15">
        <v>8</v>
      </c>
      <c r="M74" s="17">
        <f t="shared" si="47"/>
        <v>0.375</v>
      </c>
      <c r="N74" s="17">
        <f t="shared" si="48"/>
        <v>1</v>
      </c>
      <c r="O74" s="18">
        <f t="shared" si="49"/>
        <v>0.375</v>
      </c>
      <c r="P74" s="16">
        <v>3</v>
      </c>
      <c r="Q74" s="15">
        <v>4</v>
      </c>
      <c r="R74" s="17">
        <f t="shared" si="50"/>
        <v>0.375</v>
      </c>
      <c r="S74" s="17">
        <f t="shared" si="51"/>
        <v>0.5</v>
      </c>
      <c r="T74" s="18">
        <f t="shared" si="52"/>
        <v>0.75</v>
      </c>
      <c r="U74" s="15">
        <v>0</v>
      </c>
      <c r="V74" s="15">
        <v>4</v>
      </c>
      <c r="W74" s="17">
        <f t="shared" si="53"/>
        <v>0</v>
      </c>
      <c r="X74" s="17">
        <f t="shared" si="54"/>
        <v>0.5</v>
      </c>
      <c r="Y74" s="18">
        <f t="shared" si="55"/>
        <v>0</v>
      </c>
      <c r="Z74" s="15">
        <v>2</v>
      </c>
      <c r="AA74" s="15">
        <v>2</v>
      </c>
      <c r="AB74" s="17">
        <f t="shared" si="56"/>
        <v>0.25</v>
      </c>
      <c r="AC74" s="17">
        <f t="shared" si="57"/>
        <v>0.25</v>
      </c>
      <c r="AD74" s="18">
        <f t="shared" si="58"/>
        <v>1</v>
      </c>
      <c r="AE74" s="15">
        <v>5</v>
      </c>
      <c r="AF74" s="17">
        <f t="shared" si="59"/>
        <v>0.625</v>
      </c>
      <c r="AG74" s="15">
        <v>2</v>
      </c>
      <c r="AH74" s="17">
        <f t="shared" si="60"/>
        <v>0.25</v>
      </c>
      <c r="AI74" s="15">
        <v>3</v>
      </c>
      <c r="AJ74" s="17">
        <f t="shared" si="61"/>
        <v>0.375</v>
      </c>
      <c r="AK74" s="15">
        <v>0</v>
      </c>
      <c r="AL74" s="17">
        <f t="shared" si="62"/>
        <v>0</v>
      </c>
      <c r="AM74" s="15">
        <v>2</v>
      </c>
      <c r="AN74" s="17">
        <f t="shared" si="63"/>
        <v>0.25</v>
      </c>
      <c r="AO74" s="25">
        <v>0</v>
      </c>
      <c r="AP74" s="17">
        <f t="shared" si="71"/>
        <v>0</v>
      </c>
      <c r="AQ74" s="4">
        <v>1</v>
      </c>
      <c r="AR74" s="17">
        <f t="shared" si="64"/>
        <v>0.125</v>
      </c>
      <c r="AS74" s="15">
        <v>0</v>
      </c>
      <c r="AT74" s="17">
        <f t="shared" si="65"/>
        <v>0</v>
      </c>
      <c r="AU74" s="19">
        <v>2.4273289213345279E-2</v>
      </c>
      <c r="AV74" s="19">
        <v>3.1119601555570881E-2</v>
      </c>
      <c r="AW74" s="19">
        <v>-1.6259381641054841E-2</v>
      </c>
      <c r="AX74" s="19">
        <v>4.0532670854400127E-2</v>
      </c>
      <c r="AY74" s="19">
        <v>94.713308742302374</v>
      </c>
      <c r="AZ74" s="19">
        <v>106.5374644352965</v>
      </c>
      <c r="BA74" s="19">
        <v>1.157969377730901</v>
      </c>
      <c r="BB74" s="19">
        <v>1.125</v>
      </c>
      <c r="BC74" s="19">
        <v>11.53846153846154</v>
      </c>
      <c r="BD74" s="65">
        <f t="shared" si="66"/>
        <v>45.045045045045043</v>
      </c>
      <c r="BE74" s="65">
        <f t="shared" si="67"/>
        <v>37.5</v>
      </c>
      <c r="BF74" s="66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2.1998952155173663</v>
      </c>
      <c r="BG74" s="38">
        <f t="shared" si="68"/>
        <v>0.5</v>
      </c>
      <c r="BH74" s="38">
        <f t="shared" si="69"/>
        <v>0.25</v>
      </c>
      <c r="BI74" s="67">
        <f>IFERROR(((AG74*(12000/5))/((F74*60+G74)*(SUMIFS(팀공격력!X:X,팀공격력!A:A,B74,팀공격력!B:B,D74)+SUMIFS(팀수비력!X:X,팀수비력!A:A,B74,팀수비력!B:B,D74))))*100,"")</f>
        <v>0.50549089484525656</v>
      </c>
      <c r="BJ74" s="67">
        <f>IFERROR(((AI74*(12000/5))/((F74*60+G74)*(SUMIFS(팀공격력!V:V,팀공격력!A:A,B74,팀공격력!B:B,D74)+SUMIFS(팀수비력!W:W,팀수비력!A:A,B74,팀수비력!B:B,D74))))*100,"")</f>
        <v>1.5508684863523574</v>
      </c>
      <c r="BK74" s="67">
        <f>IFERROR(((AE74*(12000/5))/((F74*60+G74)*(SUMIFS(팀공격력!X:X,팀공격력!A:A,B74,팀공격력!B:B,D74)+SUMIFS(팀수비력!X:X,팀수비력!A:A,B74,팀수비력!B:B,D74))))*100,"")</f>
        <v>1.2637272371131416</v>
      </c>
      <c r="BL74" s="67">
        <f>IFERROR(100*AK74/(((((F74*60+G74)/(12000/5))*SUMIFS(팀공격력!P:P,팀공격력!A:A,B74,팀공격력!B:B,D74))-K74)),"")</f>
        <v>0</v>
      </c>
      <c r="BM74" s="67">
        <f>IFERROR(100*((AM74/E74*(2400))/((F74*60+G74)*SUMIFS(팀공격력!AR:AR,팀공격력!A:A,B74,팀공격력!B:B,D74))),"")</f>
        <v>3.539868713186257</v>
      </c>
      <c r="BN74" s="67">
        <f>IFERROR((AO74*40)/(((F74*60+G74)/60)*(SUMIFS(팀수비력!Q:Q,팀수비력!A:A,B74,팀수비력!B:B,D74)-SUMIFS(팀수비력!N:N,팀수비력!A:A,B74,팀수비력!B:B,D74)))*100,"")</f>
        <v>0</v>
      </c>
      <c r="BO74" s="67">
        <f t="shared" si="70"/>
        <v>10.121457489878543</v>
      </c>
      <c r="BP74" s="19"/>
      <c r="BQ74" s="19"/>
      <c r="BR74" s="19"/>
      <c r="BS74" s="19"/>
      <c r="BT74" s="20" t="s">
        <v>89</v>
      </c>
      <c r="BU74" s="21">
        <v>45000</v>
      </c>
      <c r="BV74" s="31" t="s">
        <v>90</v>
      </c>
      <c r="BW74" s="31">
        <v>17.690000000000001</v>
      </c>
      <c r="BX74" s="31">
        <v>23.79</v>
      </c>
      <c r="BY74" s="31">
        <v>6.1</v>
      </c>
      <c r="BZ74" s="35">
        <f t="shared" si="39"/>
        <v>2.2112499999999997</v>
      </c>
      <c r="CA74" s="35">
        <f t="shared" si="40"/>
        <v>2.9737499999999999</v>
      </c>
      <c r="CB74" s="35">
        <f t="shared" si="41"/>
        <v>0.76249999999999996</v>
      </c>
      <c r="CC74" s="36">
        <f t="shared" si="42"/>
        <v>22.679487179487179</v>
      </c>
      <c r="CD74" s="36">
        <f t="shared" si="43"/>
        <v>30.5</v>
      </c>
      <c r="CE74" s="36">
        <f t="shared" si="44"/>
        <v>7.8205128205128203</v>
      </c>
      <c r="CF74" s="31">
        <v>4</v>
      </c>
      <c r="CG74" s="31">
        <v>4</v>
      </c>
    </row>
    <row r="75" spans="1:85" x14ac:dyDescent="0.4">
      <c r="A75" s="11" t="s">
        <v>85</v>
      </c>
      <c r="B75" s="11" t="s">
        <v>164</v>
      </c>
      <c r="C75" s="14" t="s">
        <v>92</v>
      </c>
      <c r="D75" s="46" t="s">
        <v>88</v>
      </c>
      <c r="E75" s="15">
        <v>3</v>
      </c>
      <c r="F75" s="15">
        <v>2</v>
      </c>
      <c r="G75" s="15">
        <v>54</v>
      </c>
      <c r="H75" s="16">
        <f t="shared" si="45"/>
        <v>522</v>
      </c>
      <c r="I75" s="16">
        <v>0</v>
      </c>
      <c r="J75" s="17">
        <f t="shared" si="46"/>
        <v>0</v>
      </c>
      <c r="K75" s="15">
        <v>0</v>
      </c>
      <c r="L75" s="15">
        <v>2</v>
      </c>
      <c r="M75" s="17">
        <f t="shared" si="47"/>
        <v>0</v>
      </c>
      <c r="N75" s="17">
        <f t="shared" si="48"/>
        <v>0.66666666666666663</v>
      </c>
      <c r="O75" s="18">
        <f t="shared" si="49"/>
        <v>0</v>
      </c>
      <c r="P75" s="16">
        <v>0</v>
      </c>
      <c r="Q75" s="15">
        <v>0</v>
      </c>
      <c r="R75" s="17">
        <f t="shared" si="50"/>
        <v>0</v>
      </c>
      <c r="S75" s="17">
        <f t="shared" si="51"/>
        <v>0</v>
      </c>
      <c r="T75" s="18" t="e">
        <f t="shared" si="52"/>
        <v>#DIV/0!</v>
      </c>
      <c r="U75" s="15">
        <v>0</v>
      </c>
      <c r="V75" s="15">
        <v>2</v>
      </c>
      <c r="W75" s="17">
        <f t="shared" si="53"/>
        <v>0</v>
      </c>
      <c r="X75" s="17">
        <f t="shared" si="54"/>
        <v>0.66666666666666663</v>
      </c>
      <c r="Y75" s="18">
        <f t="shared" si="55"/>
        <v>0</v>
      </c>
      <c r="Z75" s="15">
        <v>0</v>
      </c>
      <c r="AA75" s="15">
        <v>0</v>
      </c>
      <c r="AB75" s="17">
        <f t="shared" si="56"/>
        <v>0</v>
      </c>
      <c r="AC75" s="17">
        <f t="shared" si="57"/>
        <v>0</v>
      </c>
      <c r="AD75" s="18" t="e">
        <f t="shared" si="58"/>
        <v>#DIV/0!</v>
      </c>
      <c r="AE75" s="15">
        <v>1</v>
      </c>
      <c r="AF75" s="17">
        <f t="shared" si="59"/>
        <v>0.33333333333333331</v>
      </c>
      <c r="AG75" s="15">
        <v>0</v>
      </c>
      <c r="AH75" s="17">
        <f t="shared" si="60"/>
        <v>0</v>
      </c>
      <c r="AI75" s="15">
        <v>1</v>
      </c>
      <c r="AJ75" s="17">
        <f t="shared" si="61"/>
        <v>0.33333333333333331</v>
      </c>
      <c r="AK75" s="15">
        <v>0</v>
      </c>
      <c r="AL75" s="17">
        <f t="shared" si="62"/>
        <v>0</v>
      </c>
      <c r="AM75" s="15">
        <v>0</v>
      </c>
      <c r="AN75" s="17">
        <f t="shared" si="63"/>
        <v>0</v>
      </c>
      <c r="AO75" s="25">
        <v>0</v>
      </c>
      <c r="AP75" s="17">
        <f t="shared" si="71"/>
        <v>0</v>
      </c>
      <c r="AQ75" s="4">
        <v>0</v>
      </c>
      <c r="AR75" s="17">
        <f t="shared" si="64"/>
        <v>0</v>
      </c>
      <c r="AS75" s="15">
        <v>0</v>
      </c>
      <c r="AT75" s="17">
        <f t="shared" si="65"/>
        <v>0</v>
      </c>
      <c r="AU75" s="19">
        <v>-3.4586343363281161E-2</v>
      </c>
      <c r="AV75" s="19">
        <v>-0.15901767063577549</v>
      </c>
      <c r="AW75" s="19">
        <v>-3.9643319794374909E-2</v>
      </c>
      <c r="AX75" s="19">
        <v>5.0569764310937453E-3</v>
      </c>
      <c r="AY75" s="19">
        <v>0</v>
      </c>
      <c r="AZ75" s="19">
        <v>113.7570411485962</v>
      </c>
      <c r="BA75" s="19">
        <v>-0.30651451089293591</v>
      </c>
      <c r="BB75" s="19">
        <v>-0.33333333333333331</v>
      </c>
      <c r="BC75" s="19">
        <v>-4.597701149425288</v>
      </c>
      <c r="BD75" s="65">
        <f t="shared" si="66"/>
        <v>0</v>
      </c>
      <c r="BE75" s="65">
        <f t="shared" si="67"/>
        <v>0</v>
      </c>
      <c r="BF75" s="66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0.59888254505917415</v>
      </c>
      <c r="BG75" s="38">
        <f t="shared" si="68"/>
        <v>1</v>
      </c>
      <c r="BH75" s="38">
        <f t="shared" si="69"/>
        <v>0</v>
      </c>
      <c r="BI75" s="67">
        <f>IFERROR(((AG75*(12000/5))/((F75*60+G75)*(SUMIFS(팀공격력!X:X,팀공격력!A:A,B75,팀공격력!B:B,D75)+SUMIFS(팀수비력!X:X,팀수비력!A:A,B75,팀수비력!B:B,D75))))*100,"")</f>
        <v>0</v>
      </c>
      <c r="BJ75" s="67">
        <f>IFERROR(((AI75*(12000/5))/((F75*60+G75)*(SUMIFS(팀공격력!V:V,팀공격력!A:A,B75,팀공격력!B:B,D75)+SUMIFS(팀수비력!W:W,팀수비력!A:A,B75,팀수비력!B:B,D75))))*100,"")</f>
        <v>0.69521690767519462</v>
      </c>
      <c r="BK75" s="67">
        <f>IFERROR(((AE75*(12000/5))/((F75*60+G75)*(SUMIFS(팀공격력!X:X,팀공격력!A:A,B75,팀공격력!B:B,D75)+SUMIFS(팀수비력!X:X,팀수비력!A:A,B75,팀수비력!B:B,D75))))*100,"")</f>
        <v>0.33989904998215525</v>
      </c>
      <c r="BL75" s="67">
        <f>IFERROR(100*AK75/(((((F75*60+G75)/(12000/5))*SUMIFS(팀공격력!P:P,팀공격력!A:A,B75,팀공격력!B:B,D75))-K75)),"")</f>
        <v>0</v>
      </c>
      <c r="BM75" s="67">
        <f>IFERROR(100*((AM75/E75*(2400))/((F75*60+G75)*SUMIFS(팀공격력!AR:AR,팀공격력!A:A,B75,팀공격력!B:B,D75))),"")</f>
        <v>0</v>
      </c>
      <c r="BN75" s="67">
        <f>IFERROR((AO75*40)/(((F75*60+G75)/60)*(SUMIFS(팀수비력!Q:Q,팀수비력!A:A,B75,팀수비력!B:B,D75)-SUMIFS(팀수비력!N:N,팀수비력!A:A,B75,팀수비력!B:B,D75)))*100,"")</f>
        <v>0</v>
      </c>
      <c r="BO75" s="67">
        <f t="shared" si="70"/>
        <v>0</v>
      </c>
      <c r="BP75" s="19"/>
      <c r="BQ75" s="19"/>
      <c r="BR75" s="19"/>
      <c r="BS75" s="19"/>
      <c r="BT75" s="20" t="s">
        <v>89</v>
      </c>
      <c r="BU75" s="21">
        <v>38425</v>
      </c>
      <c r="BV75" s="30" t="s">
        <v>93</v>
      </c>
      <c r="BZ75" s="35"/>
      <c r="CA75" s="35"/>
      <c r="CB75" s="35"/>
      <c r="CC75" s="36"/>
      <c r="CD75" s="36"/>
      <c r="CE75" s="36"/>
      <c r="CF75" s="44">
        <v>1</v>
      </c>
      <c r="CG75" s="44">
        <v>2</v>
      </c>
    </row>
    <row r="76" spans="1:85" x14ac:dyDescent="0.4">
      <c r="A76" s="11" t="s">
        <v>85</v>
      </c>
      <c r="B76" s="11" t="s">
        <v>164</v>
      </c>
      <c r="C76" s="11" t="s">
        <v>171</v>
      </c>
      <c r="D76" s="46" t="s">
        <v>88</v>
      </c>
      <c r="E76" s="15">
        <v>1</v>
      </c>
      <c r="F76" s="15">
        <v>4</v>
      </c>
      <c r="G76" s="15">
        <v>30</v>
      </c>
      <c r="H76" s="16">
        <f t="shared" si="45"/>
        <v>270</v>
      </c>
      <c r="I76" s="16">
        <v>4</v>
      </c>
      <c r="J76" s="17">
        <f t="shared" si="46"/>
        <v>4</v>
      </c>
      <c r="K76" s="15">
        <v>2</v>
      </c>
      <c r="L76" s="15">
        <v>2</v>
      </c>
      <c r="M76" s="17">
        <f t="shared" si="47"/>
        <v>2</v>
      </c>
      <c r="N76" s="17">
        <f t="shared" si="48"/>
        <v>2</v>
      </c>
      <c r="O76" s="18">
        <f t="shared" si="49"/>
        <v>1</v>
      </c>
      <c r="P76" s="16">
        <v>2</v>
      </c>
      <c r="Q76" s="15">
        <v>2</v>
      </c>
      <c r="R76" s="17">
        <f t="shared" si="50"/>
        <v>2</v>
      </c>
      <c r="S76" s="17">
        <f t="shared" si="51"/>
        <v>2</v>
      </c>
      <c r="T76" s="18">
        <f t="shared" si="52"/>
        <v>1</v>
      </c>
      <c r="U76" s="15">
        <v>0</v>
      </c>
      <c r="V76" s="15">
        <v>0</v>
      </c>
      <c r="W76" s="17">
        <f t="shared" si="53"/>
        <v>0</v>
      </c>
      <c r="X76" s="17">
        <f t="shared" si="54"/>
        <v>0</v>
      </c>
      <c r="Y76" s="18" t="e">
        <f t="shared" si="55"/>
        <v>#DIV/0!</v>
      </c>
      <c r="Z76" s="15">
        <v>0</v>
      </c>
      <c r="AA76" s="15">
        <v>0</v>
      </c>
      <c r="AB76" s="17">
        <f t="shared" si="56"/>
        <v>0</v>
      </c>
      <c r="AC76" s="17">
        <f t="shared" si="57"/>
        <v>0</v>
      </c>
      <c r="AD76" s="18" t="e">
        <f t="shared" si="58"/>
        <v>#DIV/0!</v>
      </c>
      <c r="AE76" s="15">
        <v>2</v>
      </c>
      <c r="AF76" s="17">
        <f t="shared" si="59"/>
        <v>2</v>
      </c>
      <c r="AG76" s="15">
        <v>0</v>
      </c>
      <c r="AH76" s="17">
        <f t="shared" si="60"/>
        <v>0</v>
      </c>
      <c r="AI76" s="15">
        <v>2</v>
      </c>
      <c r="AJ76" s="17">
        <f t="shared" si="61"/>
        <v>2</v>
      </c>
      <c r="AK76" s="15">
        <v>0</v>
      </c>
      <c r="AL76" s="17">
        <f t="shared" si="62"/>
        <v>0</v>
      </c>
      <c r="AM76" s="15">
        <v>0</v>
      </c>
      <c r="AN76" s="17">
        <f t="shared" si="63"/>
        <v>0</v>
      </c>
      <c r="AO76" s="25">
        <v>0</v>
      </c>
      <c r="AP76" s="17">
        <f t="shared" si="71"/>
        <v>0</v>
      </c>
      <c r="AQ76" s="4">
        <v>0</v>
      </c>
      <c r="AR76" s="17">
        <f t="shared" si="64"/>
        <v>0</v>
      </c>
      <c r="AS76" s="15">
        <v>2</v>
      </c>
      <c r="AT76" s="17">
        <f t="shared" si="65"/>
        <v>2</v>
      </c>
      <c r="AU76" s="19">
        <v>2.5062168885201089E-2</v>
      </c>
      <c r="AV76" s="19">
        <v>0.22277483453512081</v>
      </c>
      <c r="AW76" s="19">
        <v>1.597814990171843E-2</v>
      </c>
      <c r="AX76" s="19">
        <v>9.0840189834826644E-3</v>
      </c>
      <c r="AY76" s="19">
        <v>200</v>
      </c>
      <c r="AZ76" s="19">
        <v>99.300947506855991</v>
      </c>
      <c r="BA76" s="19">
        <v>0.45386391776546758</v>
      </c>
      <c r="BB76" s="19">
        <v>6</v>
      </c>
      <c r="BC76" s="19">
        <v>53.333333333333329</v>
      </c>
      <c r="BD76" s="65">
        <f t="shared" si="66"/>
        <v>100</v>
      </c>
      <c r="BE76" s="65">
        <f t="shared" si="67"/>
        <v>100</v>
      </c>
      <c r="BF76" s="66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0.38594652903813448</v>
      </c>
      <c r="BG76" s="38">
        <f t="shared" si="68"/>
        <v>0</v>
      </c>
      <c r="BH76" s="38">
        <f t="shared" si="69"/>
        <v>0</v>
      </c>
      <c r="BI76" s="67">
        <f>IFERROR(((AG76*(12000/5))/((F76*60+G76)*(SUMIFS(팀공격력!X:X,팀공격력!A:A,B76,팀공격력!B:B,D76)+SUMIFS(팀수비력!X:X,팀수비력!A:A,B76,팀수비력!B:B,D76))))*100,"")</f>
        <v>0</v>
      </c>
      <c r="BJ76" s="67">
        <f>IFERROR(((AI76*(12000/5))/((F76*60+G76)*(SUMIFS(팀공격력!V:V,팀공격력!A:A,B76,팀공격력!B:B,D76)+SUMIFS(팀수비력!W:W,팀수비력!A:A,B76,팀수비력!B:B,D76))))*100,"")</f>
        <v>0.8960573476702508</v>
      </c>
      <c r="BK76" s="67">
        <f>IFERROR(((AE76*(12000/5))/((F76*60+G76)*(SUMIFS(팀공격력!X:X,팀공격력!A:A,B76,팀공격력!B:B,D76)+SUMIFS(팀수비력!X:X,팀수비력!A:A,B76,팀수비력!B:B,D76))))*100,"")</f>
        <v>0.43809210886588906</v>
      </c>
      <c r="BL76" s="67">
        <f>IFERROR(100*AK76/(((((F76*60+G76)/(12000/5))*SUMIFS(팀공격력!P:P,팀공격력!A:A,B76,팀공격력!B:B,D76))-K76)),"")</f>
        <v>0</v>
      </c>
      <c r="BM76" s="67">
        <f>IFERROR(100*((AM76/E76*(2400))/((F76*60+G76)*SUMIFS(팀공격력!AR:AR,팀공격력!A:A,B76,팀공격력!B:B,D76))),"")</f>
        <v>0</v>
      </c>
      <c r="BN76" s="67">
        <f>IFERROR((AO76*40)/(((F76*60+G76)/60)*(SUMIFS(팀수비력!Q:Q,팀수비력!A:A,B76,팀수비력!B:B,D76)-SUMIFS(팀수비력!N:N,팀수비력!A:A,B76,팀수비력!B:B,D76)))*100,"")</f>
        <v>0</v>
      </c>
      <c r="BO76" s="67">
        <f t="shared" si="70"/>
        <v>0</v>
      </c>
      <c r="BP76" s="19"/>
      <c r="BQ76" s="19"/>
      <c r="BR76" s="19"/>
      <c r="BS76" s="19"/>
      <c r="BT76" s="20" t="s">
        <v>89</v>
      </c>
      <c r="BU76" s="21">
        <v>59671</v>
      </c>
      <c r="BV76" s="30" t="s">
        <v>102</v>
      </c>
      <c r="BW76" s="30">
        <v>7.13</v>
      </c>
      <c r="BX76" s="30">
        <v>7.13</v>
      </c>
      <c r="BY76" s="30">
        <v>0</v>
      </c>
      <c r="BZ76" s="35">
        <f t="shared" ref="BZ76:BZ87" si="72">CA76-CB76</f>
        <v>7.13</v>
      </c>
      <c r="CA76" s="35">
        <f t="shared" ref="CA76:CA87" si="73">BX76/$E76</f>
        <v>7.13</v>
      </c>
      <c r="CB76" s="35">
        <f t="shared" ref="CB76:CB87" si="74">BY76/$E76</f>
        <v>0</v>
      </c>
      <c r="CC76" s="36">
        <f t="shared" ref="CC76:CC87" si="75">CD76-CE76</f>
        <v>63.37777777777778</v>
      </c>
      <c r="CD76" s="36">
        <f t="shared" ref="CD76:CD87" si="76">BX76*2400/$H76</f>
        <v>63.37777777777778</v>
      </c>
      <c r="CE76" s="36">
        <f t="shared" ref="CE76:CE87" si="77">BY76*2400/$H76</f>
        <v>0</v>
      </c>
      <c r="CF76" s="30">
        <v>0</v>
      </c>
      <c r="CG76" s="30">
        <v>1</v>
      </c>
    </row>
    <row r="77" spans="1:85" x14ac:dyDescent="0.4">
      <c r="A77" s="11" t="s">
        <v>85</v>
      </c>
      <c r="B77" s="11" t="s">
        <v>164</v>
      </c>
      <c r="C77" s="11" t="s">
        <v>172</v>
      </c>
      <c r="D77" s="46" t="s">
        <v>88</v>
      </c>
      <c r="E77" s="15">
        <v>45</v>
      </c>
      <c r="F77" s="15">
        <v>12</v>
      </c>
      <c r="G77" s="15">
        <v>39</v>
      </c>
      <c r="H77" s="16">
        <f t="shared" si="45"/>
        <v>34155</v>
      </c>
      <c r="I77" s="16">
        <v>121</v>
      </c>
      <c r="J77" s="17">
        <f t="shared" si="46"/>
        <v>2.6888888888888891</v>
      </c>
      <c r="K77" s="15">
        <v>40</v>
      </c>
      <c r="L77" s="15">
        <v>107</v>
      </c>
      <c r="M77" s="17">
        <f t="shared" si="47"/>
        <v>0.88888888888888884</v>
      </c>
      <c r="N77" s="17">
        <f t="shared" si="48"/>
        <v>2.3777777777777778</v>
      </c>
      <c r="O77" s="18">
        <f t="shared" si="49"/>
        <v>0.37383177570093457</v>
      </c>
      <c r="P77" s="16">
        <v>23</v>
      </c>
      <c r="Q77" s="15">
        <v>50</v>
      </c>
      <c r="R77" s="17">
        <f t="shared" si="50"/>
        <v>0.51111111111111107</v>
      </c>
      <c r="S77" s="17">
        <f t="shared" si="51"/>
        <v>1.1111111111111112</v>
      </c>
      <c r="T77" s="18">
        <f t="shared" si="52"/>
        <v>0.46</v>
      </c>
      <c r="U77" s="15">
        <v>17</v>
      </c>
      <c r="V77" s="15">
        <v>57</v>
      </c>
      <c r="W77" s="17">
        <f t="shared" si="53"/>
        <v>0.37777777777777777</v>
      </c>
      <c r="X77" s="17">
        <f t="shared" si="54"/>
        <v>1.2666666666666666</v>
      </c>
      <c r="Y77" s="18">
        <f t="shared" si="55"/>
        <v>0.2982456140350877</v>
      </c>
      <c r="Z77" s="15">
        <v>24</v>
      </c>
      <c r="AA77" s="15">
        <v>33</v>
      </c>
      <c r="AB77" s="17">
        <f t="shared" si="56"/>
        <v>0.53333333333333333</v>
      </c>
      <c r="AC77" s="17">
        <f t="shared" si="57"/>
        <v>0.73333333333333328</v>
      </c>
      <c r="AD77" s="18">
        <f t="shared" si="58"/>
        <v>0.72727272727272729</v>
      </c>
      <c r="AE77" s="15">
        <v>63</v>
      </c>
      <c r="AF77" s="17">
        <f t="shared" si="59"/>
        <v>1.4</v>
      </c>
      <c r="AG77" s="15">
        <v>16</v>
      </c>
      <c r="AH77" s="17">
        <f t="shared" si="60"/>
        <v>0.35555555555555557</v>
      </c>
      <c r="AI77" s="15">
        <v>47</v>
      </c>
      <c r="AJ77" s="17">
        <f t="shared" si="61"/>
        <v>1.0444444444444445</v>
      </c>
      <c r="AK77" s="15">
        <v>20</v>
      </c>
      <c r="AL77" s="17">
        <f t="shared" si="62"/>
        <v>0.44444444444444442</v>
      </c>
      <c r="AM77" s="15">
        <v>20</v>
      </c>
      <c r="AN77" s="17">
        <f t="shared" si="63"/>
        <v>0.44444444444444442</v>
      </c>
      <c r="AO77" s="25">
        <v>1</v>
      </c>
      <c r="AP77" s="17">
        <f t="shared" si="71"/>
        <v>2.2222222222222223E-2</v>
      </c>
      <c r="AQ77" s="4">
        <v>14</v>
      </c>
      <c r="AR77" s="17">
        <f t="shared" si="64"/>
        <v>0.31111111111111112</v>
      </c>
      <c r="AS77" s="15">
        <v>71</v>
      </c>
      <c r="AT77" s="17">
        <f t="shared" si="65"/>
        <v>1.5777777777777777</v>
      </c>
      <c r="AU77" s="19">
        <v>0.57253475929914222</v>
      </c>
      <c r="AV77" s="19">
        <v>4.023081312598277E-2</v>
      </c>
      <c r="AW77" s="19">
        <v>4.1344173502403637E-2</v>
      </c>
      <c r="AX77" s="19">
        <v>0.53119058579673861</v>
      </c>
      <c r="AY77" s="19">
        <v>103.200405839795</v>
      </c>
      <c r="AZ77" s="19">
        <v>110.21817244579179</v>
      </c>
      <c r="BA77" s="19">
        <v>3.0108435857521858</v>
      </c>
      <c r="BB77" s="19">
        <v>3</v>
      </c>
      <c r="BC77" s="19">
        <v>9.4861660079051386</v>
      </c>
      <c r="BD77" s="65">
        <f t="shared" si="66"/>
        <v>49.786043449637923</v>
      </c>
      <c r="BE77" s="65">
        <f t="shared" si="67"/>
        <v>45.32710280373832</v>
      </c>
      <c r="BF77" s="66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9.3029893782061599</v>
      </c>
      <c r="BG77" s="38">
        <f t="shared" si="68"/>
        <v>0.53271028037383172</v>
      </c>
      <c r="BH77" s="38">
        <f t="shared" si="69"/>
        <v>0.30841121495327101</v>
      </c>
      <c r="BI77" s="67">
        <f>IFERROR(((AG77*(12000/5))/((F77*60+G77)*(SUMIFS(팀공격력!X:X,팀공격력!A:A,B77,팀공격력!B:B,D77)+SUMIFS(팀수비력!X:X,팀수비력!A:A,B77,팀수비력!B:B,D77))))*100,"")</f>
        <v>1.2467443414365222</v>
      </c>
      <c r="BJ77" s="67">
        <f>IFERROR(((AI77*(12000/5))/((F77*60+G77)*(SUMIFS(팀공격력!V:V,팀공격력!A:A,B77,팀공격력!B:B,D77)+SUMIFS(팀수비력!W:W,팀수비력!A:A,B77,팀수비력!B:B,D77))))*100,"")</f>
        <v>7.490756088231544</v>
      </c>
      <c r="BK77" s="67">
        <f>IFERROR(((AE77*(12000/5))/((F77*60+G77)*(SUMIFS(팀공격력!X:X,팀공격력!A:A,B77,팀공격력!B:B,D77)+SUMIFS(팀수비력!X:X,팀수비력!A:A,B77,팀수비력!B:B,D77))))*100,"")</f>
        <v>4.9090558444063062</v>
      </c>
      <c r="BL77" s="67">
        <f>IFERROR(100*AK77/(((((F77*60+G77)/(12000/5))*SUMIFS(팀공격력!P:P,팀공격력!A:A,B77,팀공격력!B:B,D77))-K77)),"")</f>
        <v>4.0708324852432325</v>
      </c>
      <c r="BM77" s="67">
        <f>IFERROR(100*((AM77/E77*(2400))/((F77*60+G77)*SUMIFS(팀공격력!AR:AR,팀공격력!A:A,B77,팀공격력!B:B,D77))),"")</f>
        <v>1.9401651972140745</v>
      </c>
      <c r="BN77" s="67">
        <f>IFERROR((AO77*40)/(((F77*60+G77)/60)*(SUMIFS(팀수비력!Q:Q,팀수비력!A:A,B77,팀수비력!B:B,D77)-SUMIFS(팀수비력!N:N,팀수비력!A:A,B77,팀수비력!B:B,D77)))*100,"")</f>
        <v>0.14908323130449688</v>
      </c>
      <c r="BO77" s="67">
        <f t="shared" si="70"/>
        <v>10.330578512396695</v>
      </c>
      <c r="BP77" s="19"/>
      <c r="BQ77" s="19"/>
      <c r="BR77" s="19"/>
      <c r="BS77" s="19"/>
      <c r="BT77" s="20" t="s">
        <v>89</v>
      </c>
      <c r="BU77" s="21">
        <v>45000</v>
      </c>
      <c r="BV77" s="30" t="s">
        <v>93</v>
      </c>
      <c r="BW77" s="30">
        <v>303.13</v>
      </c>
      <c r="BX77" s="30">
        <v>394.33</v>
      </c>
      <c r="BY77" s="30">
        <v>91.2</v>
      </c>
      <c r="BZ77" s="35">
        <f t="shared" si="72"/>
        <v>6.7362222222222208</v>
      </c>
      <c r="CA77" s="35">
        <f t="shared" si="73"/>
        <v>8.7628888888888881</v>
      </c>
      <c r="CB77" s="35">
        <f t="shared" si="74"/>
        <v>2.0266666666666668</v>
      </c>
      <c r="CC77" s="36">
        <f t="shared" si="75"/>
        <v>21.300307422046554</v>
      </c>
      <c r="CD77" s="36">
        <f t="shared" si="76"/>
        <v>27.708739569609136</v>
      </c>
      <c r="CE77" s="36">
        <f t="shared" si="77"/>
        <v>6.4084321475625821</v>
      </c>
      <c r="CF77" s="31">
        <v>28</v>
      </c>
      <c r="CG77" s="31">
        <v>17</v>
      </c>
    </row>
    <row r="78" spans="1:85" x14ac:dyDescent="0.4">
      <c r="A78" s="11" t="s">
        <v>85</v>
      </c>
      <c r="B78" s="11" t="s">
        <v>164</v>
      </c>
      <c r="C78" s="11" t="s">
        <v>173</v>
      </c>
      <c r="D78" s="46" t="s">
        <v>88</v>
      </c>
      <c r="E78" s="15">
        <v>31</v>
      </c>
      <c r="F78" s="15">
        <v>32</v>
      </c>
      <c r="G78" s="15">
        <v>33</v>
      </c>
      <c r="H78" s="16">
        <f t="shared" si="45"/>
        <v>60543</v>
      </c>
      <c r="I78" s="16">
        <v>383</v>
      </c>
      <c r="J78" s="17">
        <f t="shared" si="46"/>
        <v>12.35483870967742</v>
      </c>
      <c r="K78" s="15">
        <v>135</v>
      </c>
      <c r="L78" s="15">
        <v>322</v>
      </c>
      <c r="M78" s="17">
        <f t="shared" si="47"/>
        <v>4.354838709677419</v>
      </c>
      <c r="N78" s="17">
        <f t="shared" si="48"/>
        <v>10.387096774193548</v>
      </c>
      <c r="O78" s="18">
        <f t="shared" si="49"/>
        <v>0.41925465838509318</v>
      </c>
      <c r="P78" s="16">
        <v>75</v>
      </c>
      <c r="Q78" s="15">
        <v>160</v>
      </c>
      <c r="R78" s="17">
        <f t="shared" si="50"/>
        <v>2.4193548387096775</v>
      </c>
      <c r="S78" s="17">
        <f t="shared" si="51"/>
        <v>5.161290322580645</v>
      </c>
      <c r="T78" s="18">
        <f t="shared" si="52"/>
        <v>0.46875</v>
      </c>
      <c r="U78" s="15">
        <v>60</v>
      </c>
      <c r="V78" s="15">
        <v>162</v>
      </c>
      <c r="W78" s="17">
        <f t="shared" si="53"/>
        <v>1.935483870967742</v>
      </c>
      <c r="X78" s="17">
        <f t="shared" si="54"/>
        <v>5.225806451612903</v>
      </c>
      <c r="Y78" s="18">
        <f t="shared" si="55"/>
        <v>0.37037037037037035</v>
      </c>
      <c r="Z78" s="15">
        <v>53</v>
      </c>
      <c r="AA78" s="15">
        <v>80</v>
      </c>
      <c r="AB78" s="17">
        <f t="shared" si="56"/>
        <v>1.7096774193548387</v>
      </c>
      <c r="AC78" s="17">
        <f t="shared" si="57"/>
        <v>2.5806451612903225</v>
      </c>
      <c r="AD78" s="18">
        <f t="shared" si="58"/>
        <v>0.66249999999999998</v>
      </c>
      <c r="AE78" s="15">
        <v>152</v>
      </c>
      <c r="AF78" s="17">
        <f t="shared" si="59"/>
        <v>4.903225806451613</v>
      </c>
      <c r="AG78" s="15">
        <v>28</v>
      </c>
      <c r="AH78" s="17">
        <f t="shared" si="60"/>
        <v>0.90322580645161288</v>
      </c>
      <c r="AI78" s="15">
        <v>124</v>
      </c>
      <c r="AJ78" s="17">
        <f t="shared" si="61"/>
        <v>4</v>
      </c>
      <c r="AK78" s="15">
        <v>62</v>
      </c>
      <c r="AL78" s="17">
        <f t="shared" si="62"/>
        <v>2</v>
      </c>
      <c r="AM78" s="15">
        <v>44</v>
      </c>
      <c r="AN78" s="17">
        <f t="shared" si="63"/>
        <v>1.4193548387096775</v>
      </c>
      <c r="AO78" s="25">
        <v>19</v>
      </c>
      <c r="AP78" s="17">
        <f t="shared" si="71"/>
        <v>0.61290322580645162</v>
      </c>
      <c r="AQ78" s="4">
        <v>55</v>
      </c>
      <c r="AR78" s="17">
        <f t="shared" si="64"/>
        <v>1.7741935483870968</v>
      </c>
      <c r="AS78" s="15">
        <v>68</v>
      </c>
      <c r="AT78" s="17">
        <f t="shared" si="65"/>
        <v>2.193548387096774</v>
      </c>
      <c r="AU78" s="19">
        <v>1.3088825087546101</v>
      </c>
      <c r="AV78" s="19">
        <v>5.1885734453381308E-2</v>
      </c>
      <c r="AW78" s="19">
        <v>1.472407884396448E-2</v>
      </c>
      <c r="AX78" s="19">
        <v>1.2941584299106459</v>
      </c>
      <c r="AY78" s="19">
        <v>102.0401085781846</v>
      </c>
      <c r="AZ78" s="19">
        <v>106.7041371324347</v>
      </c>
      <c r="BA78" s="19">
        <v>5.2310928584479717</v>
      </c>
      <c r="BB78" s="19">
        <v>12.61290322580645</v>
      </c>
      <c r="BC78" s="19">
        <v>15.499727466428819</v>
      </c>
      <c r="BD78" s="65">
        <f t="shared" si="66"/>
        <v>53.611422172452407</v>
      </c>
      <c r="BE78" s="65">
        <f t="shared" si="67"/>
        <v>51.242236024844722</v>
      </c>
      <c r="BF78" s="66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10.996808244436798</v>
      </c>
      <c r="BG78" s="38">
        <f t="shared" si="68"/>
        <v>0.50310559006211175</v>
      </c>
      <c r="BH78" s="38">
        <f t="shared" si="69"/>
        <v>0.2484472049689441</v>
      </c>
      <c r="BI78" s="67">
        <f>IFERROR(((AG78*(12000/5))/((F78*60+G78)*(SUMIFS(팀공격력!X:X,팀공격력!A:A,B78,팀공격력!B:B,D78)+SUMIFS(팀수비력!X:X,팀수비력!A:A,B78,팀수비력!B:B,D78))))*100,"")</f>
        <v>0.84792021070817236</v>
      </c>
      <c r="BJ78" s="67">
        <f>IFERROR(((AI78*(12000/5))/((F78*60+G78)*(SUMIFS(팀공격력!V:V,팀공격력!A:A,B78,팀공격력!B:B,D78)+SUMIFS(팀수비력!W:W,팀수비력!A:A,B78,팀수비력!B:B,D78))))*100,"")</f>
        <v>7.6804915514592942</v>
      </c>
      <c r="BK78" s="67">
        <f>IFERROR(((AE78*(12000/5))/((F78*60+G78)*(SUMIFS(팀공격력!X:X,팀공격력!A:A,B78,팀공격력!B:B,D78)+SUMIFS(팀수비력!X:X,팀수비력!A:A,B78,팀수비력!B:B,D78))))*100,"")</f>
        <v>4.6029954295586499</v>
      </c>
      <c r="BL78" s="67">
        <f>IFERROR(100*AK78/(((((F78*60+G78)/(12000/5))*SUMIFS(팀공격력!P:P,팀공격력!A:A,B78,팀공격력!B:B,D78))-K78)),"")</f>
        <v>5.0320590861131409</v>
      </c>
      <c r="BM78" s="67">
        <f>IFERROR(100*((AM78/E78*(2400))/((F78*60+G78)*SUMIFS(팀공격력!AR:AR,팀공격력!A:A,B78,팀공격력!B:B,D78))),"")</f>
        <v>2.407973722542041</v>
      </c>
      <c r="BN78" s="67">
        <f>IFERROR((AO78*40)/(((F78*60+G78)/60)*(SUMIFS(팀수비력!Q:Q,팀수비력!A:A,B78,팀수비력!B:B,D78)-SUMIFS(팀수비력!N:N,팀수비력!A:A,B78,팀수비력!B:B,D78)))*100,"")</f>
        <v>1.1008342440564007</v>
      </c>
      <c r="BO78" s="67">
        <f t="shared" si="70"/>
        <v>13.34303736050461</v>
      </c>
      <c r="BP78" s="19"/>
      <c r="BQ78" s="19"/>
      <c r="BR78" s="19"/>
      <c r="BS78" s="19"/>
      <c r="BT78" s="20" t="s">
        <v>89</v>
      </c>
      <c r="BU78" s="21">
        <v>165000</v>
      </c>
      <c r="BV78" s="31" t="s">
        <v>93</v>
      </c>
      <c r="BW78" s="31">
        <v>676.38</v>
      </c>
      <c r="BX78" s="31">
        <v>957.28</v>
      </c>
      <c r="BY78" s="31">
        <v>280.89999999999998</v>
      </c>
      <c r="BZ78" s="35">
        <f t="shared" si="72"/>
        <v>21.818709677419356</v>
      </c>
      <c r="CA78" s="35">
        <f t="shared" si="73"/>
        <v>30.88</v>
      </c>
      <c r="CB78" s="35">
        <f t="shared" si="74"/>
        <v>9.0612903225806445</v>
      </c>
      <c r="CC78" s="36">
        <f t="shared" si="75"/>
        <v>26.812546454585991</v>
      </c>
      <c r="CD78" s="36">
        <f t="shared" si="76"/>
        <v>37.947772657450074</v>
      </c>
      <c r="CE78" s="36">
        <f t="shared" si="77"/>
        <v>11.13522620286408</v>
      </c>
      <c r="CF78" s="30">
        <v>21</v>
      </c>
      <c r="CG78" s="30">
        <v>10</v>
      </c>
    </row>
    <row r="79" spans="1:85" x14ac:dyDescent="0.4">
      <c r="A79" s="11" t="s">
        <v>85</v>
      </c>
      <c r="B79" s="11" t="s">
        <v>164</v>
      </c>
      <c r="C79" s="11" t="s">
        <v>174</v>
      </c>
      <c r="D79" s="46" t="s">
        <v>88</v>
      </c>
      <c r="E79" s="15">
        <v>31</v>
      </c>
      <c r="F79" s="15">
        <v>12</v>
      </c>
      <c r="G79" s="15">
        <v>49</v>
      </c>
      <c r="H79" s="16">
        <f t="shared" si="45"/>
        <v>23839</v>
      </c>
      <c r="I79" s="16">
        <v>100</v>
      </c>
      <c r="J79" s="17">
        <f t="shared" si="46"/>
        <v>3.225806451612903</v>
      </c>
      <c r="K79" s="15">
        <v>38</v>
      </c>
      <c r="L79" s="15">
        <v>95</v>
      </c>
      <c r="M79" s="17">
        <f t="shared" si="47"/>
        <v>1.2258064516129032</v>
      </c>
      <c r="N79" s="17">
        <f t="shared" si="48"/>
        <v>3.064516129032258</v>
      </c>
      <c r="O79" s="18">
        <f t="shared" si="49"/>
        <v>0.4</v>
      </c>
      <c r="P79" s="16">
        <v>20</v>
      </c>
      <c r="Q79" s="15">
        <v>42</v>
      </c>
      <c r="R79" s="17">
        <f t="shared" si="50"/>
        <v>0.64516129032258063</v>
      </c>
      <c r="S79" s="17">
        <f t="shared" si="51"/>
        <v>1.3548387096774193</v>
      </c>
      <c r="T79" s="18">
        <f t="shared" si="52"/>
        <v>0.47619047619047616</v>
      </c>
      <c r="U79" s="15">
        <v>18</v>
      </c>
      <c r="V79" s="15">
        <v>53</v>
      </c>
      <c r="W79" s="17">
        <f t="shared" si="53"/>
        <v>0.58064516129032262</v>
      </c>
      <c r="X79" s="17">
        <f t="shared" si="54"/>
        <v>1.7096774193548387</v>
      </c>
      <c r="Y79" s="18">
        <f t="shared" si="55"/>
        <v>0.33962264150943394</v>
      </c>
      <c r="Z79" s="15">
        <v>6</v>
      </c>
      <c r="AA79" s="15">
        <v>9</v>
      </c>
      <c r="AB79" s="17">
        <f t="shared" si="56"/>
        <v>0.19354838709677419</v>
      </c>
      <c r="AC79" s="17">
        <f t="shared" si="57"/>
        <v>0.29032258064516131</v>
      </c>
      <c r="AD79" s="18">
        <f t="shared" si="58"/>
        <v>0.66666666666666663</v>
      </c>
      <c r="AE79" s="15">
        <v>49</v>
      </c>
      <c r="AF79" s="17">
        <f t="shared" si="59"/>
        <v>1.5806451612903225</v>
      </c>
      <c r="AG79" s="15">
        <v>18</v>
      </c>
      <c r="AH79" s="17">
        <f t="shared" si="60"/>
        <v>0.58064516129032262</v>
      </c>
      <c r="AI79" s="15">
        <v>31</v>
      </c>
      <c r="AJ79" s="17">
        <f t="shared" si="61"/>
        <v>1</v>
      </c>
      <c r="AK79" s="15">
        <v>40</v>
      </c>
      <c r="AL79" s="17">
        <f t="shared" si="62"/>
        <v>1.2903225806451613</v>
      </c>
      <c r="AM79" s="15">
        <v>13</v>
      </c>
      <c r="AN79" s="17">
        <f t="shared" si="63"/>
        <v>0.41935483870967744</v>
      </c>
      <c r="AO79" s="25">
        <v>3</v>
      </c>
      <c r="AP79" s="17">
        <f t="shared" si="71"/>
        <v>9.6774193548387094E-2</v>
      </c>
      <c r="AQ79" s="4">
        <v>17</v>
      </c>
      <c r="AR79" s="17">
        <f t="shared" si="64"/>
        <v>0.54838709677419351</v>
      </c>
      <c r="AS79" s="15">
        <v>39</v>
      </c>
      <c r="AT79" s="17">
        <f t="shared" si="65"/>
        <v>1.2580645161290323</v>
      </c>
      <c r="AU79" s="19">
        <v>0.46218819506982423</v>
      </c>
      <c r="AV79" s="19">
        <v>4.6530964728704147E-2</v>
      </c>
      <c r="AW79" s="19">
        <v>9.9901494330880372E-2</v>
      </c>
      <c r="AX79" s="19">
        <v>0.36228670073894392</v>
      </c>
      <c r="AY79" s="19">
        <v>105.34525462036331</v>
      </c>
      <c r="AZ79" s="19">
        <v>110.4324628949456</v>
      </c>
      <c r="BA79" s="19">
        <v>3.7587031126260939</v>
      </c>
      <c r="BB79" s="19">
        <v>4.129032258064516</v>
      </c>
      <c r="BC79" s="19">
        <v>12.886446579135031</v>
      </c>
      <c r="BD79" s="65">
        <f t="shared" si="66"/>
        <v>50.525464834276477</v>
      </c>
      <c r="BE79" s="65">
        <f t="shared" si="67"/>
        <v>49.473684210526315</v>
      </c>
      <c r="BF79" s="66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7.8567471176597907</v>
      </c>
      <c r="BG79" s="38">
        <f t="shared" si="68"/>
        <v>0.55789473684210522</v>
      </c>
      <c r="BH79" s="38">
        <f t="shared" si="69"/>
        <v>9.4736842105263161E-2</v>
      </c>
      <c r="BI79" s="67">
        <f>IFERROR(((AG79*(12000/5))/((F79*60+G79)*(SUMIFS(팀공격력!X:X,팀공격력!A:A,B79,팀공격력!B:B,D79)+SUMIFS(팀수비력!X:X,팀수비력!A:A,B79,팀수비력!B:B,D79))))*100,"")</f>
        <v>1.3843482763902606</v>
      </c>
      <c r="BJ79" s="67">
        <f>IFERROR(((AI79*(12000/5))/((F79*60+G79)*(SUMIFS(팀공격력!V:V,팀공격력!A:A,B79,팀공격력!B:B,D79)+SUMIFS(팀수비력!W:W,팀수비력!A:A,B79,팀수비력!B:B,D79))))*100,"")</f>
        <v>4.876462938881664</v>
      </c>
      <c r="BK79" s="67">
        <f>IFERROR(((AE79*(12000/5))/((F79*60+G79)*(SUMIFS(팀공격력!X:X,팀공격력!A:A,B79,팀공격력!B:B,D79)+SUMIFS(팀수비력!X:X,팀수비력!A:A,B79,팀수비력!B:B,D79))))*100,"")</f>
        <v>3.7685036412845987</v>
      </c>
      <c r="BL79" s="67">
        <f>IFERROR(100*AK79/(((((F79*60+G79)/(12000/5))*SUMIFS(팀공격력!P:P,팀공격력!A:A,B79,팀공격력!B:B,D79))-K79)),"")</f>
        <v>7.9952028782730347</v>
      </c>
      <c r="BM79" s="67">
        <f>IFERROR(100*((AM79/E79*(2400))/((F79*60+G79)*SUMIFS(팀공격력!AR:AR,팀공격력!A:A,B79,팀공격력!B:B,D79))),"")</f>
        <v>1.8068342842422238</v>
      </c>
      <c r="BN79" s="67">
        <f>IFERROR((AO79*40)/(((F79*60+G79)/60)*(SUMIFS(팀수비력!Q:Q,팀수비력!A:A,B79,팀수비력!B:B,D79)-SUMIFS(팀수비력!N:N,팀수비력!A:A,B79,팀수비력!B:B,D79)))*100,"")</f>
        <v>0.44143370309536994</v>
      </c>
      <c r="BO79" s="67">
        <f t="shared" si="70"/>
        <v>14.66022766471197</v>
      </c>
      <c r="BP79" s="19"/>
      <c r="BQ79" s="19"/>
      <c r="BR79" s="19"/>
      <c r="BS79" s="19"/>
      <c r="BT79" s="20" t="s">
        <v>89</v>
      </c>
      <c r="BU79" s="21">
        <v>300000</v>
      </c>
      <c r="BV79" s="31" t="s">
        <v>90</v>
      </c>
      <c r="BW79" s="31">
        <v>254.98</v>
      </c>
      <c r="BX79" s="31">
        <v>336.38</v>
      </c>
      <c r="BY79" s="31">
        <v>81.400000000000006</v>
      </c>
      <c r="BZ79" s="35">
        <f t="shared" si="72"/>
        <v>8.2251612903225819</v>
      </c>
      <c r="CA79" s="35">
        <f t="shared" si="73"/>
        <v>10.850967741935484</v>
      </c>
      <c r="CB79" s="35">
        <f t="shared" si="74"/>
        <v>2.6258064516129034</v>
      </c>
      <c r="CC79" s="36">
        <f t="shared" si="75"/>
        <v>25.670204287092577</v>
      </c>
      <c r="CD79" s="36">
        <f t="shared" si="76"/>
        <v>33.865178908511261</v>
      </c>
      <c r="CE79" s="36">
        <f t="shared" si="77"/>
        <v>8.1949746214186838</v>
      </c>
      <c r="CF79" s="30">
        <v>16</v>
      </c>
      <c r="CG79" s="30">
        <v>15</v>
      </c>
    </row>
    <row r="80" spans="1:85" x14ac:dyDescent="0.4">
      <c r="A80" s="11" t="s">
        <v>85</v>
      </c>
      <c r="B80" s="11" t="s">
        <v>164</v>
      </c>
      <c r="C80" s="11" t="s">
        <v>175</v>
      </c>
      <c r="D80" s="46" t="s">
        <v>88</v>
      </c>
      <c r="E80" s="15">
        <v>54</v>
      </c>
      <c r="F80" s="15">
        <v>22</v>
      </c>
      <c r="G80" s="15">
        <v>3</v>
      </c>
      <c r="H80" s="16">
        <f t="shared" si="45"/>
        <v>71442</v>
      </c>
      <c r="I80" s="16">
        <v>457</v>
      </c>
      <c r="J80" s="17">
        <f t="shared" si="46"/>
        <v>8.4629629629629637</v>
      </c>
      <c r="K80" s="15">
        <v>181</v>
      </c>
      <c r="L80" s="15">
        <v>427</v>
      </c>
      <c r="M80" s="17">
        <f t="shared" si="47"/>
        <v>3.3518518518518516</v>
      </c>
      <c r="N80" s="17">
        <f t="shared" si="48"/>
        <v>7.9074074074074074</v>
      </c>
      <c r="O80" s="18">
        <f t="shared" si="49"/>
        <v>0.42388758782201408</v>
      </c>
      <c r="P80" s="16">
        <v>156</v>
      </c>
      <c r="Q80" s="15">
        <v>322</v>
      </c>
      <c r="R80" s="17">
        <f t="shared" si="50"/>
        <v>2.8888888888888888</v>
      </c>
      <c r="S80" s="17">
        <f t="shared" si="51"/>
        <v>5.9629629629629628</v>
      </c>
      <c r="T80" s="18">
        <f t="shared" si="52"/>
        <v>0.48447204968944102</v>
      </c>
      <c r="U80" s="15">
        <v>25</v>
      </c>
      <c r="V80" s="15">
        <v>105</v>
      </c>
      <c r="W80" s="17">
        <f t="shared" si="53"/>
        <v>0.46296296296296297</v>
      </c>
      <c r="X80" s="17">
        <f t="shared" si="54"/>
        <v>1.9444444444444444</v>
      </c>
      <c r="Y80" s="18">
        <f t="shared" si="55"/>
        <v>0.23809523809523808</v>
      </c>
      <c r="Z80" s="15">
        <v>70</v>
      </c>
      <c r="AA80" s="15">
        <v>89</v>
      </c>
      <c r="AB80" s="17">
        <f t="shared" si="56"/>
        <v>1.2962962962962963</v>
      </c>
      <c r="AC80" s="17">
        <f t="shared" si="57"/>
        <v>1.6481481481481481</v>
      </c>
      <c r="AD80" s="18">
        <f t="shared" si="58"/>
        <v>0.7865168539325843</v>
      </c>
      <c r="AE80" s="15">
        <v>267</v>
      </c>
      <c r="AF80" s="17">
        <f t="shared" si="59"/>
        <v>4.9444444444444446</v>
      </c>
      <c r="AG80" s="15">
        <v>75</v>
      </c>
      <c r="AH80" s="17">
        <f t="shared" si="60"/>
        <v>1.3888888888888888</v>
      </c>
      <c r="AI80" s="15">
        <v>192</v>
      </c>
      <c r="AJ80" s="17">
        <f t="shared" si="61"/>
        <v>3.5555555555555554</v>
      </c>
      <c r="AK80" s="15">
        <v>70</v>
      </c>
      <c r="AL80" s="17">
        <f t="shared" si="62"/>
        <v>1.2962962962962963</v>
      </c>
      <c r="AM80" s="15">
        <v>36</v>
      </c>
      <c r="AN80" s="17">
        <f t="shared" si="63"/>
        <v>0.66666666666666663</v>
      </c>
      <c r="AO80" s="25">
        <v>16</v>
      </c>
      <c r="AP80" s="17">
        <f t="shared" si="71"/>
        <v>0.29629629629629628</v>
      </c>
      <c r="AQ80" s="4">
        <v>34</v>
      </c>
      <c r="AR80" s="17">
        <f t="shared" si="64"/>
        <v>0.62962962962962965</v>
      </c>
      <c r="AS80" s="15">
        <v>106</v>
      </c>
      <c r="AT80" s="17">
        <f t="shared" si="65"/>
        <v>1.962962962962963</v>
      </c>
      <c r="AU80" s="19">
        <v>2.013576439217637</v>
      </c>
      <c r="AV80" s="19">
        <v>6.7643451388851514E-2</v>
      </c>
      <c r="AW80" s="19">
        <v>0.53224481977395977</v>
      </c>
      <c r="AX80" s="19">
        <v>1.4813316194436781</v>
      </c>
      <c r="AY80" s="19">
        <v>106.4879179752143</v>
      </c>
      <c r="AZ80" s="19">
        <v>107.09099825905579</v>
      </c>
      <c r="BA80" s="19">
        <v>9.8786081120971794</v>
      </c>
      <c r="BB80" s="19">
        <v>10.12962962962963</v>
      </c>
      <c r="BC80" s="19">
        <v>18.37574535987234</v>
      </c>
      <c r="BD80" s="65">
        <f t="shared" si="66"/>
        <v>49.017504719409644</v>
      </c>
      <c r="BE80" s="65">
        <f t="shared" si="67"/>
        <v>45.316159250585478</v>
      </c>
      <c r="BF80" s="66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19.697450608542177</v>
      </c>
      <c r="BG80" s="38">
        <f t="shared" si="68"/>
        <v>0.24590163934426229</v>
      </c>
      <c r="BH80" s="38">
        <f t="shared" si="69"/>
        <v>0.20843091334894615</v>
      </c>
      <c r="BI80" s="67">
        <f>IFERROR(((AG80*(12000/5))/((F80*60+G80)*(SUMIFS(팀공격력!X:X,팀공격력!A:A,B80,팀공격력!B:B,D80)+SUMIFS(팀수비력!X:X,팀수비력!A:A,B80,팀수비력!B:B,D80))))*100,"")</f>
        <v>3.3527457311164981</v>
      </c>
      <c r="BJ80" s="67">
        <f>IFERROR(((AI80*(12000/5))/((F80*60+G80)*(SUMIFS(팀공격력!V:V,팀공격력!A:A,B80,팀공격력!B:B,D80)+SUMIFS(팀수비력!W:W,팀수비력!A:A,B80,팀수비력!B:B,D80))))*100,"")</f>
        <v>17.555409260478385</v>
      </c>
      <c r="BK80" s="67">
        <f>IFERROR(((AE80*(12000/5))/((F80*60+G80)*(SUMIFS(팀공격력!X:X,팀공격력!A:A,B80,팀공격력!B:B,D80)+SUMIFS(팀수비력!X:X,팀수비력!A:A,B80,팀수비력!B:B,D80))))*100,"")</f>
        <v>11.935774802774732</v>
      </c>
      <c r="BL80" s="67">
        <f>IFERROR(100*AK80/(((((F80*60+G80)/(12000/5))*SUMIFS(팀공격력!P:P,팀공격력!A:A,B80,팀공격력!B:B,D80))-K80)),"")</f>
        <v>9.3947121191786334</v>
      </c>
      <c r="BM80" s="67">
        <f>IFERROR(100*((AM80/E80*(2400))/((F80*60+G80)*SUMIFS(팀공격력!AR:AR,팀공격력!A:A,B80,팀공격력!B:B,D80))),"")</f>
        <v>1.6695979418202751</v>
      </c>
      <c r="BN80" s="67">
        <f>IFERROR((AO80*40)/(((F80*60+G80)/60)*(SUMIFS(팀수비력!Q:Q,팀수비력!A:A,B80,팀수비력!B:B,D80)-SUMIFS(팀수비력!N:N,팀수비력!A:A,B80,팀수비력!B:B,D80)))*100,"")</f>
        <v>1.3684556016340215</v>
      </c>
      <c r="BO80" s="67">
        <f t="shared" si="70"/>
        <v>6.7978246960972486</v>
      </c>
      <c r="BP80" s="19"/>
      <c r="BQ80" s="19"/>
      <c r="BR80" s="19"/>
      <c r="BS80" s="19"/>
      <c r="BT80" s="20" t="s">
        <v>89</v>
      </c>
      <c r="BU80" s="21">
        <v>60000</v>
      </c>
      <c r="BV80" s="30" t="s">
        <v>102</v>
      </c>
      <c r="BW80" s="30">
        <v>918.07</v>
      </c>
      <c r="BX80" s="30">
        <v>1222.27</v>
      </c>
      <c r="BY80" s="30">
        <v>304.2</v>
      </c>
      <c r="BZ80" s="35">
        <f t="shared" si="72"/>
        <v>17.001296296296296</v>
      </c>
      <c r="CA80" s="35">
        <f t="shared" si="73"/>
        <v>22.634629629629629</v>
      </c>
      <c r="CB80" s="35">
        <f t="shared" si="74"/>
        <v>5.6333333333333329</v>
      </c>
      <c r="CC80" s="36">
        <f t="shared" si="75"/>
        <v>30.841353825480809</v>
      </c>
      <c r="CD80" s="36">
        <f t="shared" si="76"/>
        <v>41.060552616108168</v>
      </c>
      <c r="CE80" s="36">
        <f t="shared" si="77"/>
        <v>10.219198790627361</v>
      </c>
      <c r="CF80" s="31">
        <v>31</v>
      </c>
      <c r="CG80" s="31">
        <v>23</v>
      </c>
    </row>
    <row r="81" spans="1:85" x14ac:dyDescent="0.4">
      <c r="A81" s="11" t="s">
        <v>85</v>
      </c>
      <c r="B81" s="11" t="s">
        <v>164</v>
      </c>
      <c r="C81" s="11" t="s">
        <v>176</v>
      </c>
      <c r="D81" s="46" t="s">
        <v>88</v>
      </c>
      <c r="E81" s="10">
        <v>51</v>
      </c>
      <c r="F81" s="10">
        <v>27</v>
      </c>
      <c r="G81" s="10">
        <v>12</v>
      </c>
      <c r="H81" s="16">
        <f t="shared" si="45"/>
        <v>83232</v>
      </c>
      <c r="I81" s="16">
        <v>567</v>
      </c>
      <c r="J81" s="17">
        <f t="shared" si="46"/>
        <v>11.117647058823529</v>
      </c>
      <c r="K81" s="15">
        <v>208</v>
      </c>
      <c r="L81" s="15">
        <v>477</v>
      </c>
      <c r="M81" s="17">
        <f t="shared" si="47"/>
        <v>4.0784313725490193</v>
      </c>
      <c r="N81" s="17">
        <f t="shared" si="48"/>
        <v>9.3529411764705888</v>
      </c>
      <c r="O81" s="18">
        <f t="shared" si="49"/>
        <v>0.4360587002096436</v>
      </c>
      <c r="P81" s="16">
        <v>147</v>
      </c>
      <c r="Q81" s="15">
        <v>288</v>
      </c>
      <c r="R81" s="17">
        <f t="shared" si="50"/>
        <v>2.8823529411764706</v>
      </c>
      <c r="S81" s="17">
        <f t="shared" si="51"/>
        <v>5.6470588235294121</v>
      </c>
      <c r="T81" s="18">
        <f t="shared" si="52"/>
        <v>0.51041666666666663</v>
      </c>
      <c r="U81" s="15">
        <v>61</v>
      </c>
      <c r="V81" s="15">
        <v>189</v>
      </c>
      <c r="W81" s="17">
        <f t="shared" si="53"/>
        <v>1.196078431372549</v>
      </c>
      <c r="X81" s="17">
        <f t="shared" si="54"/>
        <v>3.7058823529411766</v>
      </c>
      <c r="Y81" s="18">
        <f t="shared" si="55"/>
        <v>0.32275132275132273</v>
      </c>
      <c r="Z81" s="9">
        <v>90</v>
      </c>
      <c r="AA81" s="9">
        <v>105</v>
      </c>
      <c r="AB81" s="17">
        <f t="shared" si="56"/>
        <v>1.7647058823529411</v>
      </c>
      <c r="AC81" s="17">
        <f t="shared" si="57"/>
        <v>2.0588235294117645</v>
      </c>
      <c r="AD81" s="18">
        <f t="shared" si="58"/>
        <v>0.8571428571428571</v>
      </c>
      <c r="AE81" s="15">
        <v>141</v>
      </c>
      <c r="AF81" s="17">
        <f t="shared" si="59"/>
        <v>2.7647058823529411</v>
      </c>
      <c r="AG81" s="15">
        <v>31</v>
      </c>
      <c r="AH81" s="17">
        <f t="shared" si="60"/>
        <v>0.60784313725490191</v>
      </c>
      <c r="AI81" s="15">
        <v>110</v>
      </c>
      <c r="AJ81" s="17">
        <f t="shared" si="61"/>
        <v>2.1568627450980391</v>
      </c>
      <c r="AK81" s="15">
        <v>142</v>
      </c>
      <c r="AL81" s="17">
        <f t="shared" si="62"/>
        <v>2.784313725490196</v>
      </c>
      <c r="AM81" s="15">
        <v>65</v>
      </c>
      <c r="AN81" s="17">
        <f t="shared" si="63"/>
        <v>1.2745098039215685</v>
      </c>
      <c r="AO81" s="2">
        <v>4</v>
      </c>
      <c r="AP81" s="17">
        <f t="shared" si="71"/>
        <v>7.8431372549019607E-2</v>
      </c>
      <c r="AQ81" s="6">
        <v>72</v>
      </c>
      <c r="AR81" s="17">
        <f t="shared" si="64"/>
        <v>1.411764705882353</v>
      </c>
      <c r="AS81" s="15">
        <v>142</v>
      </c>
      <c r="AT81" s="17">
        <f t="shared" si="65"/>
        <v>2.784313725490196</v>
      </c>
      <c r="AU81" s="19">
        <v>2.3365508646737951</v>
      </c>
      <c r="AV81" s="19">
        <v>6.7374592406972175E-2</v>
      </c>
      <c r="AW81" s="19">
        <v>0.85873249050064204</v>
      </c>
      <c r="AX81" s="19">
        <v>1.477818374173153</v>
      </c>
      <c r="AY81" s="19">
        <v>108.0698980539802</v>
      </c>
      <c r="AZ81" s="19">
        <v>108.8887962490823</v>
      </c>
      <c r="BA81" s="19">
        <v>8.6734287144254179</v>
      </c>
      <c r="BB81" s="19">
        <v>11.03921568627451</v>
      </c>
      <c r="BC81" s="19">
        <v>16.234140715109572</v>
      </c>
      <c r="BD81" s="65">
        <f t="shared" si="66"/>
        <v>54.185779816513758</v>
      </c>
      <c r="BE81" s="65">
        <f t="shared" si="67"/>
        <v>50</v>
      </c>
      <c r="BF81" s="66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19.002190870877559</v>
      </c>
      <c r="BG81" s="38">
        <f t="shared" si="68"/>
        <v>0.39622641509433965</v>
      </c>
      <c r="BH81" s="38">
        <f t="shared" si="69"/>
        <v>0.22012578616352202</v>
      </c>
      <c r="BI81" s="67">
        <f>IFERROR(((AG81*(12000/5))/((F81*60+G81)*(SUMIFS(팀공격력!X:X,팀공격력!A:A,B81,팀공격력!B:B,D81)+SUMIFS(팀수비력!X:X,팀수비력!A:A,B81,팀수비력!B:B,D81))))*100,"")</f>
        <v>1.1234163453454324</v>
      </c>
      <c r="BJ81" s="67">
        <f>IFERROR(((AI81*(12000/5))/((F81*60+G81)*(SUMIFS(팀공격력!V:V,팀공격력!A:A,B81,팀공격력!B:B,D81)+SUMIFS(팀수비력!W:W,팀수비력!A:A,B81,팀수비력!B:B,D81))))*100,"")</f>
        <v>8.1534629981024658</v>
      </c>
      <c r="BK81" s="67">
        <f>IFERROR(((AE81*(12000/5))/((F81*60+G81)*(SUMIFS(팀공격력!X:X,팀공격력!A:A,B81,팀공격력!B:B,D81)+SUMIFS(팀수비력!X:X,팀수비력!A:A,B81,팀수비력!B:B,D81))))*100,"")</f>
        <v>5.1097324094743861</v>
      </c>
      <c r="BL81" s="67">
        <f>IFERROR(100*AK81/(((((F81*60+G81)/(12000/5))*SUMIFS(팀공격력!P:P,팀공격력!A:A,B81,팀공격력!B:B,D81))-K81)),"")</f>
        <v>15.196917808219176</v>
      </c>
      <c r="BM81" s="67">
        <f>IFERROR(100*((AM81/E81*(2400))/((F81*60+G81)*SUMIFS(팀공격력!AR:AR,팀공격력!A:A,B81,팀공격력!B:B,D81))),"")</f>
        <v>2.5875337912131369</v>
      </c>
      <c r="BN81" s="67">
        <f>IFERROR((AO81*40)/(((F81*60+G81)/60)*(SUMIFS(팀수비력!Q:Q,팀수비력!A:A,B81,팀수비력!B:B,D81)-SUMIFS(팀수비력!N:N,팀수비력!A:A,B81,팀수비력!B:B,D81)))*100,"")</f>
        <v>0.27733865823557147</v>
      </c>
      <c r="BO81" s="67">
        <f t="shared" si="70"/>
        <v>12.096774193548386</v>
      </c>
      <c r="BP81" s="19"/>
      <c r="BQ81" s="19"/>
      <c r="BR81" s="19"/>
      <c r="BS81" s="19"/>
      <c r="BT81" s="20" t="s">
        <v>89</v>
      </c>
      <c r="BU81" s="21">
        <v>160000</v>
      </c>
      <c r="BV81" s="30" t="s">
        <v>90</v>
      </c>
      <c r="BW81" s="30">
        <v>983.5</v>
      </c>
      <c r="BX81" s="30">
        <v>1359.7</v>
      </c>
      <c r="BY81" s="30">
        <v>376.2</v>
      </c>
      <c r="BZ81" s="35">
        <f t="shared" si="72"/>
        <v>19.284313725490197</v>
      </c>
      <c r="CA81" s="35">
        <f t="shared" si="73"/>
        <v>26.66078431372549</v>
      </c>
      <c r="CB81" s="35">
        <f t="shared" si="74"/>
        <v>7.3764705882352937</v>
      </c>
      <c r="CC81" s="36">
        <f t="shared" si="75"/>
        <v>28.35928489042676</v>
      </c>
      <c r="CD81" s="36">
        <f t="shared" si="76"/>
        <v>39.207035755478664</v>
      </c>
      <c r="CE81" s="36">
        <f t="shared" si="77"/>
        <v>10.847750865051903</v>
      </c>
      <c r="CF81" s="31">
        <v>30</v>
      </c>
      <c r="CG81" s="31">
        <v>21</v>
      </c>
    </row>
    <row r="82" spans="1:85" x14ac:dyDescent="0.4">
      <c r="A82" s="11" t="s">
        <v>85</v>
      </c>
      <c r="B82" s="11" t="s">
        <v>164</v>
      </c>
      <c r="C82" s="11" t="s">
        <v>177</v>
      </c>
      <c r="D82" s="46" t="s">
        <v>88</v>
      </c>
      <c r="E82" s="15">
        <v>6</v>
      </c>
      <c r="F82" s="15">
        <v>1</v>
      </c>
      <c r="G82" s="15">
        <v>41</v>
      </c>
      <c r="H82" s="16">
        <f t="shared" si="45"/>
        <v>606</v>
      </c>
      <c r="I82" s="16">
        <v>8</v>
      </c>
      <c r="J82" s="17">
        <f t="shared" si="46"/>
        <v>1.3333333333333333</v>
      </c>
      <c r="K82" s="15">
        <v>3</v>
      </c>
      <c r="L82" s="15">
        <v>3</v>
      </c>
      <c r="M82" s="17">
        <f t="shared" si="47"/>
        <v>0.5</v>
      </c>
      <c r="N82" s="17">
        <f t="shared" si="48"/>
        <v>0.5</v>
      </c>
      <c r="O82" s="18">
        <f t="shared" si="49"/>
        <v>1</v>
      </c>
      <c r="P82" s="16">
        <v>2</v>
      </c>
      <c r="Q82" s="15">
        <v>2</v>
      </c>
      <c r="R82" s="17">
        <f t="shared" si="50"/>
        <v>0.33333333333333331</v>
      </c>
      <c r="S82" s="17">
        <f t="shared" si="51"/>
        <v>0.33333333333333331</v>
      </c>
      <c r="T82" s="18">
        <f t="shared" si="52"/>
        <v>1</v>
      </c>
      <c r="U82" s="15">
        <v>1</v>
      </c>
      <c r="V82" s="15">
        <v>1</v>
      </c>
      <c r="W82" s="17">
        <f t="shared" si="53"/>
        <v>0.16666666666666666</v>
      </c>
      <c r="X82" s="17">
        <f t="shared" si="54"/>
        <v>0.16666666666666666</v>
      </c>
      <c r="Y82" s="18">
        <f t="shared" si="55"/>
        <v>1</v>
      </c>
      <c r="Z82" s="15">
        <v>1</v>
      </c>
      <c r="AA82" s="15">
        <v>2</v>
      </c>
      <c r="AB82" s="17">
        <f t="shared" si="56"/>
        <v>0.16666666666666666</v>
      </c>
      <c r="AC82" s="17">
        <f t="shared" si="57"/>
        <v>0.33333333333333331</v>
      </c>
      <c r="AD82" s="18">
        <f t="shared" si="58"/>
        <v>0.5</v>
      </c>
      <c r="AE82" s="15">
        <v>2</v>
      </c>
      <c r="AF82" s="17">
        <f t="shared" si="59"/>
        <v>0.33333333333333331</v>
      </c>
      <c r="AG82" s="15">
        <v>2</v>
      </c>
      <c r="AH82" s="17">
        <f t="shared" si="60"/>
        <v>0.33333333333333331</v>
      </c>
      <c r="AI82" s="15">
        <v>0</v>
      </c>
      <c r="AJ82" s="17">
        <f t="shared" si="61"/>
        <v>0</v>
      </c>
      <c r="AK82" s="15">
        <v>1</v>
      </c>
      <c r="AL82" s="17">
        <f t="shared" si="62"/>
        <v>0.16666666666666666</v>
      </c>
      <c r="AM82" s="15">
        <v>0</v>
      </c>
      <c r="AN82" s="17">
        <f t="shared" si="63"/>
        <v>0</v>
      </c>
      <c r="AO82" s="25">
        <v>1</v>
      </c>
      <c r="AP82" s="17">
        <f t="shared" si="71"/>
        <v>0.16666666666666666</v>
      </c>
      <c r="AQ82" s="4">
        <v>2</v>
      </c>
      <c r="AR82" s="17">
        <f t="shared" si="64"/>
        <v>0.33333333333333331</v>
      </c>
      <c r="AS82" s="15">
        <v>3</v>
      </c>
      <c r="AT82" s="17">
        <f t="shared" si="65"/>
        <v>0.5</v>
      </c>
      <c r="AU82" s="19">
        <v>3.6774698029154437E-2</v>
      </c>
      <c r="AV82" s="19">
        <v>0.14564236843229481</v>
      </c>
      <c r="AW82" s="19">
        <v>2.8750010670153842E-2</v>
      </c>
      <c r="AX82" s="19">
        <v>8.0246873590006044E-3</v>
      </c>
      <c r="AY82" s="19">
        <v>122.3047308094727</v>
      </c>
      <c r="AZ82" s="19">
        <v>111.6122565573484</v>
      </c>
      <c r="BA82" s="19">
        <v>2.2821570222502192</v>
      </c>
      <c r="BB82" s="19">
        <v>1.5</v>
      </c>
      <c r="BC82" s="19">
        <v>35.643564356435647</v>
      </c>
      <c r="BD82" s="65">
        <f t="shared" si="66"/>
        <v>103.09278350515466</v>
      </c>
      <c r="BE82" s="65">
        <f t="shared" si="67"/>
        <v>116.66666666666667</v>
      </c>
      <c r="BF82" s="66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3.0333104430739715</v>
      </c>
      <c r="BG82" s="38">
        <f t="shared" si="68"/>
        <v>0.33333333333333331</v>
      </c>
      <c r="BH82" s="38">
        <f t="shared" si="69"/>
        <v>0.66666666666666663</v>
      </c>
      <c r="BI82" s="67">
        <f>IFERROR(((AG82*(12000/5))/((F82*60+G82)*(SUMIFS(팀공격력!X:X,팀공격력!A:A,B82,팀공격력!B:B,D82)+SUMIFS(팀수비력!X:X,팀수비력!A:A,B82,팀수비력!B:B,D82))))*100,"")</f>
        <v>1.1711373207305946</v>
      </c>
      <c r="BJ82" s="67">
        <f>IFERROR(((AI82*(12000/5))/((F82*60+G82)*(SUMIFS(팀공격력!V:V,팀공격력!A:A,B82,팀공격력!B:B,D82)+SUMIFS(팀수비력!W:W,팀수비력!A:A,B82,팀수비력!B:B,D82))))*100,"")</f>
        <v>0</v>
      </c>
      <c r="BK82" s="67">
        <f>IFERROR(((AE82*(12000/5))/((F82*60+G82)*(SUMIFS(팀공격력!X:X,팀공격력!A:A,B82,팀공격력!B:B,D82)+SUMIFS(팀수비력!X:X,팀수비력!A:A,B82,팀수비력!B:B,D82))))*100,"")</f>
        <v>1.1711373207305946</v>
      </c>
      <c r="BL82" s="67">
        <f>IFERROR(100*AK82/(((((F82*60+G82)/(12000/5))*SUMIFS(팀공격력!P:P,팀공격력!A:A,B82,팀공격력!B:B,D82))-K82)),"")</f>
        <v>1.4771048744460855</v>
      </c>
      <c r="BM82" s="67">
        <f>IFERROR(100*((AM82/E82*(2400))/((F82*60+G82)*SUMIFS(팀공격력!AR:AR,팀공격력!A:A,B82,팀공격력!B:B,D82))),"")</f>
        <v>0</v>
      </c>
      <c r="BN82" s="67">
        <f>IFERROR((AO82*40)/(((F82*60+G82)/60)*(SUMIFS(팀수비력!Q:Q,팀수비력!A:A,B82,팀수비력!B:B,D82)-SUMIFS(팀수비력!N:N,팀수비력!A:A,B82,팀수비력!B:B,D82)))*100,"")</f>
        <v>1.1203383421793383</v>
      </c>
      <c r="BO82" s="67">
        <f t="shared" si="70"/>
        <v>34.013605442176875</v>
      </c>
      <c r="BP82" s="19"/>
      <c r="BQ82" s="19"/>
      <c r="BR82" s="19"/>
      <c r="BS82" s="19"/>
      <c r="BT82" s="20" t="s">
        <v>89</v>
      </c>
      <c r="BU82" s="21">
        <v>200000</v>
      </c>
      <c r="BV82" s="30" t="s">
        <v>90</v>
      </c>
      <c r="BW82" s="30">
        <v>12.22</v>
      </c>
      <c r="BX82" s="30">
        <v>16.02</v>
      </c>
      <c r="BY82" s="30">
        <v>3.8</v>
      </c>
      <c r="BZ82" s="35">
        <f t="shared" si="72"/>
        <v>2.0366666666666666</v>
      </c>
      <c r="CA82" s="35">
        <f t="shared" si="73"/>
        <v>2.67</v>
      </c>
      <c r="CB82" s="35">
        <f t="shared" si="74"/>
        <v>0.6333333333333333</v>
      </c>
      <c r="CC82" s="36">
        <f t="shared" si="75"/>
        <v>48.396039603960396</v>
      </c>
      <c r="CD82" s="36">
        <f t="shared" si="76"/>
        <v>63.445544554455445</v>
      </c>
      <c r="CE82" s="36">
        <f t="shared" si="77"/>
        <v>15.049504950495049</v>
      </c>
      <c r="CF82" s="31">
        <v>4</v>
      </c>
      <c r="CG82" s="31">
        <v>2</v>
      </c>
    </row>
    <row r="83" spans="1:85" x14ac:dyDescent="0.4">
      <c r="A83" s="11" t="s">
        <v>85</v>
      </c>
      <c r="B83" s="11" t="s">
        <v>164</v>
      </c>
      <c r="C83" s="11" t="s">
        <v>178</v>
      </c>
      <c r="D83" s="46" t="s">
        <v>88</v>
      </c>
      <c r="E83" s="10">
        <v>52</v>
      </c>
      <c r="F83" s="10">
        <v>33</v>
      </c>
      <c r="G83" s="10">
        <v>38</v>
      </c>
      <c r="H83" s="16">
        <f t="shared" si="45"/>
        <v>104936</v>
      </c>
      <c r="I83" s="16">
        <v>1236</v>
      </c>
      <c r="J83" s="17">
        <f t="shared" si="46"/>
        <v>23.76923076923077</v>
      </c>
      <c r="K83" s="15">
        <v>535</v>
      </c>
      <c r="L83" s="15">
        <v>1103</v>
      </c>
      <c r="M83" s="17">
        <f t="shared" si="47"/>
        <v>10.288461538461538</v>
      </c>
      <c r="N83" s="17">
        <f t="shared" si="48"/>
        <v>21.21153846153846</v>
      </c>
      <c r="O83" s="18">
        <f t="shared" si="49"/>
        <v>0.48504079782411602</v>
      </c>
      <c r="P83" s="16">
        <v>485</v>
      </c>
      <c r="Q83" s="15">
        <v>937</v>
      </c>
      <c r="R83" s="17">
        <f t="shared" si="50"/>
        <v>9.3269230769230766</v>
      </c>
      <c r="S83" s="17">
        <f t="shared" si="51"/>
        <v>18.01923076923077</v>
      </c>
      <c r="T83" s="18">
        <f t="shared" si="52"/>
        <v>0.5176093916755603</v>
      </c>
      <c r="U83" s="15">
        <v>50</v>
      </c>
      <c r="V83" s="15">
        <v>166</v>
      </c>
      <c r="W83" s="17">
        <f t="shared" si="53"/>
        <v>0.96153846153846156</v>
      </c>
      <c r="X83" s="17">
        <f t="shared" si="54"/>
        <v>3.1923076923076925</v>
      </c>
      <c r="Y83" s="18">
        <f t="shared" si="55"/>
        <v>0.30120481927710846</v>
      </c>
      <c r="Z83" s="9">
        <v>116</v>
      </c>
      <c r="AA83" s="9">
        <v>201</v>
      </c>
      <c r="AB83" s="17">
        <f t="shared" si="56"/>
        <v>2.2307692307692308</v>
      </c>
      <c r="AC83" s="17">
        <f t="shared" si="57"/>
        <v>3.8653846153846154</v>
      </c>
      <c r="AD83" s="18">
        <f t="shared" si="58"/>
        <v>0.57711442786069655</v>
      </c>
      <c r="AE83" s="15">
        <v>597</v>
      </c>
      <c r="AF83" s="17">
        <f t="shared" si="59"/>
        <v>11.48076923076923</v>
      </c>
      <c r="AG83" s="15">
        <v>178</v>
      </c>
      <c r="AH83" s="17">
        <f t="shared" si="60"/>
        <v>3.4230769230769229</v>
      </c>
      <c r="AI83" s="15">
        <v>419</v>
      </c>
      <c r="AJ83" s="17">
        <f t="shared" si="61"/>
        <v>8.0576923076923084</v>
      </c>
      <c r="AK83" s="15">
        <v>234</v>
      </c>
      <c r="AL83" s="17">
        <f t="shared" si="62"/>
        <v>4.5</v>
      </c>
      <c r="AM83" s="15">
        <v>53</v>
      </c>
      <c r="AN83" s="17">
        <f t="shared" si="63"/>
        <v>1.0192307692307692</v>
      </c>
      <c r="AO83" s="2">
        <v>55</v>
      </c>
      <c r="AP83" s="17">
        <f t="shared" si="71"/>
        <v>1.0576923076923077</v>
      </c>
      <c r="AQ83" s="6">
        <v>82</v>
      </c>
      <c r="AR83" s="17">
        <f t="shared" si="64"/>
        <v>1.5769230769230769</v>
      </c>
      <c r="AS83" s="15">
        <v>67</v>
      </c>
      <c r="AT83" s="17">
        <f t="shared" si="65"/>
        <v>1.2884615384615385</v>
      </c>
      <c r="AU83" s="19">
        <v>5.8894373371565507</v>
      </c>
      <c r="AV83" s="19">
        <v>0.13469781208713619</v>
      </c>
      <c r="AW83" s="19">
        <v>3.0069907241303651</v>
      </c>
      <c r="AX83" s="19">
        <v>2.8824466130261861</v>
      </c>
      <c r="AY83" s="19">
        <v>111.9686067250387</v>
      </c>
      <c r="AZ83" s="19">
        <v>103.0276265681059</v>
      </c>
      <c r="BA83" s="19">
        <v>20.634438584127182</v>
      </c>
      <c r="BB83" s="19">
        <v>27.69230769230769</v>
      </c>
      <c r="BC83" s="19">
        <v>32.934359990851561</v>
      </c>
      <c r="BD83" s="65">
        <f t="shared" si="66"/>
        <v>51.870006043107495</v>
      </c>
      <c r="BE83" s="65">
        <f t="shared" si="67"/>
        <v>50.770625566636454</v>
      </c>
      <c r="BF83" s="66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32.878972235715295</v>
      </c>
      <c r="BG83" s="38">
        <f t="shared" si="68"/>
        <v>0.15049864007252947</v>
      </c>
      <c r="BH83" s="38">
        <f t="shared" si="69"/>
        <v>0.18223028105167724</v>
      </c>
      <c r="BI83" s="67">
        <f>IFERROR(((AG83*(12000/5))/((F83*60+G83)*(SUMIFS(팀공격력!X:X,팀공격력!A:A,B83,팀공격력!B:B,D83)+SUMIFS(팀수비력!X:X,팀수비력!A:A,B83,팀수비력!B:B,D83))))*100,"")</f>
        <v>5.2167261526498088</v>
      </c>
      <c r="BJ83" s="67">
        <f>IFERROR(((AI83*(12000/5))/((F83*60+G83)*(SUMIFS(팀공격력!V:V,팀공격력!A:A,B83,팀공격력!B:B,D83)+SUMIFS(팀수비력!W:W,팀수비력!A:A,B83,팀수비력!B:B,D83))))*100,"")</f>
        <v>25.116691710093029</v>
      </c>
      <c r="BK83" s="67">
        <f>IFERROR(((AE83*(12000/5))/((F83*60+G83)*(SUMIFS(팀공격력!X:X,팀공격력!A:A,B83,팀공격력!B:B,D83)+SUMIFS(팀수비력!X:X,팀수비력!A:A,B83,팀수비력!B:B,D83))))*100,"")</f>
        <v>17.496547826583907</v>
      </c>
      <c r="BL83" s="67">
        <f>IFERROR(100*AK83/(((((F83*60+G83)/(12000/5))*SUMIFS(팀공격력!P:P,팀공격력!A:A,B83,팀공격력!B:B,D83))-K83)),"")</f>
        <v>26.663628076572472</v>
      </c>
      <c r="BM83" s="67">
        <f>IFERROR(100*((AM83/E83*(2400))/((F83*60+G83)*SUMIFS(팀공격력!AR:AR,팀공격력!A:A,B83,팀공격력!B:B,D83))),"")</f>
        <v>1.6734562697619866</v>
      </c>
      <c r="BN83" s="67">
        <f>IFERROR((AO83*40)/(((F83*60+G83)/60)*(SUMIFS(팀수비력!Q:Q,팀수비력!A:A,B83,팀수비력!B:B,D83)-SUMIFS(팀수비력!N:N,팀수비력!A:A,B83,팀수비력!B:B,D83)))*100,"")</f>
        <v>3.0839838903896055</v>
      </c>
      <c r="BO83" s="67">
        <f t="shared" si="70"/>
        <v>6.4392511622063067</v>
      </c>
      <c r="BP83" s="19"/>
      <c r="BQ83" s="19"/>
      <c r="BR83" s="19"/>
      <c r="BS83" s="19"/>
      <c r="BT83" s="20" t="s">
        <v>96</v>
      </c>
      <c r="BU83" s="21">
        <v>45000</v>
      </c>
      <c r="BV83" s="31" t="s">
        <v>102</v>
      </c>
      <c r="BW83" s="31">
        <v>2073.7199999999998</v>
      </c>
      <c r="BX83" s="31">
        <v>2821.12</v>
      </c>
      <c r="BY83" s="31">
        <v>747.4</v>
      </c>
      <c r="BZ83" s="35">
        <f t="shared" si="72"/>
        <v>39.879230769230766</v>
      </c>
      <c r="CA83" s="35">
        <f t="shared" si="73"/>
        <v>54.252307692307689</v>
      </c>
      <c r="CB83" s="35">
        <f t="shared" si="74"/>
        <v>14.373076923076923</v>
      </c>
      <c r="CC83" s="36">
        <f t="shared" si="75"/>
        <v>47.428222916825497</v>
      </c>
      <c r="CD83" s="36">
        <f t="shared" si="76"/>
        <v>64.52207059541054</v>
      </c>
      <c r="CE83" s="36">
        <f t="shared" si="77"/>
        <v>17.093847678585043</v>
      </c>
      <c r="CF83" s="31">
        <v>31</v>
      </c>
      <c r="CG83" s="31">
        <v>21</v>
      </c>
    </row>
    <row r="84" spans="1:85" x14ac:dyDescent="0.4">
      <c r="A84" s="11" t="s">
        <v>85</v>
      </c>
      <c r="B84" s="11" t="s">
        <v>164</v>
      </c>
      <c r="C84" s="11" t="s">
        <v>179</v>
      </c>
      <c r="D84" s="46" t="s">
        <v>88</v>
      </c>
      <c r="E84" s="15">
        <v>4</v>
      </c>
      <c r="F84" s="15">
        <v>6</v>
      </c>
      <c r="G84" s="15">
        <v>18</v>
      </c>
      <c r="H84" s="16">
        <f t="shared" si="45"/>
        <v>1512</v>
      </c>
      <c r="I84" s="16">
        <v>9</v>
      </c>
      <c r="J84" s="17">
        <f t="shared" si="46"/>
        <v>2.25</v>
      </c>
      <c r="K84" s="15">
        <v>4</v>
      </c>
      <c r="L84" s="15">
        <v>7</v>
      </c>
      <c r="M84" s="17">
        <f t="shared" si="47"/>
        <v>1</v>
      </c>
      <c r="N84" s="17">
        <f t="shared" si="48"/>
        <v>1.75</v>
      </c>
      <c r="O84" s="18">
        <f t="shared" si="49"/>
        <v>0.5714285714285714</v>
      </c>
      <c r="P84" s="16">
        <v>3</v>
      </c>
      <c r="Q84" s="15">
        <v>4</v>
      </c>
      <c r="R84" s="17">
        <f t="shared" si="50"/>
        <v>0.75</v>
      </c>
      <c r="S84" s="17">
        <f t="shared" si="51"/>
        <v>1</v>
      </c>
      <c r="T84" s="18">
        <f t="shared" si="52"/>
        <v>0.75</v>
      </c>
      <c r="U84" s="15">
        <v>1</v>
      </c>
      <c r="V84" s="15">
        <v>3</v>
      </c>
      <c r="W84" s="17">
        <f t="shared" si="53"/>
        <v>0.25</v>
      </c>
      <c r="X84" s="17">
        <f t="shared" si="54"/>
        <v>0.75</v>
      </c>
      <c r="Y84" s="18">
        <f t="shared" si="55"/>
        <v>0.33333333333333331</v>
      </c>
      <c r="Z84" s="15">
        <v>0</v>
      </c>
      <c r="AA84" s="15">
        <v>0</v>
      </c>
      <c r="AB84" s="17">
        <f t="shared" si="56"/>
        <v>0</v>
      </c>
      <c r="AC84" s="17">
        <f t="shared" si="57"/>
        <v>0</v>
      </c>
      <c r="AD84" s="18" t="e">
        <f t="shared" si="58"/>
        <v>#DIV/0!</v>
      </c>
      <c r="AE84" s="15">
        <v>3</v>
      </c>
      <c r="AF84" s="17">
        <f t="shared" si="59"/>
        <v>0.75</v>
      </c>
      <c r="AG84" s="15">
        <v>2</v>
      </c>
      <c r="AH84" s="17">
        <f t="shared" si="60"/>
        <v>0.5</v>
      </c>
      <c r="AI84" s="15">
        <v>1</v>
      </c>
      <c r="AJ84" s="17">
        <f t="shared" si="61"/>
        <v>0.25</v>
      </c>
      <c r="AK84" s="15">
        <v>2</v>
      </c>
      <c r="AL84" s="17">
        <f t="shared" si="62"/>
        <v>0.5</v>
      </c>
      <c r="AM84" s="15">
        <v>0</v>
      </c>
      <c r="AN84" s="17">
        <f t="shared" si="63"/>
        <v>0</v>
      </c>
      <c r="AO84" s="15">
        <v>0</v>
      </c>
      <c r="AP84" s="17">
        <f t="shared" si="71"/>
        <v>0</v>
      </c>
      <c r="AQ84" s="3">
        <v>4</v>
      </c>
      <c r="AR84" s="17">
        <f t="shared" si="64"/>
        <v>1</v>
      </c>
      <c r="AS84" s="15">
        <v>4</v>
      </c>
      <c r="AT84" s="17">
        <f t="shared" si="65"/>
        <v>1</v>
      </c>
      <c r="AU84" s="19">
        <v>-3.2105883275898098E-2</v>
      </c>
      <c r="AV84" s="19">
        <v>-5.0961719485552552E-2</v>
      </c>
      <c r="AW84" s="19">
        <v>-4.0363523483018707E-2</v>
      </c>
      <c r="AX84" s="19">
        <v>8.2576402071206107E-3</v>
      </c>
      <c r="AY84" s="19">
        <v>87.341651348696587</v>
      </c>
      <c r="AZ84" s="19">
        <v>116.3072824843768</v>
      </c>
      <c r="BA84" s="19">
        <v>0.19754225936807029</v>
      </c>
      <c r="BB84" s="19">
        <v>1.75</v>
      </c>
      <c r="BC84" s="19">
        <v>11.111111111111111</v>
      </c>
      <c r="BD84" s="65">
        <f t="shared" si="66"/>
        <v>64.285714285714292</v>
      </c>
      <c r="BE84" s="65">
        <f t="shared" si="67"/>
        <v>64.285714285714292</v>
      </c>
      <c r="BF84" s="66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1.5162185069355281</v>
      </c>
      <c r="BG84" s="38">
        <f t="shared" si="68"/>
        <v>0.42857142857142855</v>
      </c>
      <c r="BH84" s="38">
        <f t="shared" si="69"/>
        <v>0</v>
      </c>
      <c r="BI84" s="67">
        <f>IFERROR(((AG84*(12000/5))/((F84*60+G84)*(SUMIFS(팀공격력!X:X,팀공격력!A:A,B84,팀공격력!B:B,D84)+SUMIFS(팀수비력!X:X,팀수비력!A:A,B84,팀수비력!B:B,D84))))*100,"")</f>
        <v>0.31292293490420647</v>
      </c>
      <c r="BJ84" s="67">
        <f>IFERROR(((AI84*(12000/5))/((F84*60+G84)*(SUMIFS(팀공격력!V:V,팀공격력!A:A,B84,팀공격력!B:B,D84)+SUMIFS(팀수비력!W:W,팀수비력!A:A,B84,팀수비력!B:B,D84))))*100,"")</f>
        <v>0.32002048131080391</v>
      </c>
      <c r="BK84" s="67">
        <f>IFERROR(((AE84*(12000/5))/((F84*60+G84)*(SUMIFS(팀공격력!X:X,팀공격력!A:A,B84,팀공격력!B:B,D84)+SUMIFS(팀수비력!X:X,팀수비력!A:A,B84,팀수비력!B:B,D84))))*100,"")</f>
        <v>0.46938440235630968</v>
      </c>
      <c r="BL84" s="67">
        <f>IFERROR(100*AK84/(((((F84*60+G84)/(12000/5))*SUMIFS(팀공격력!P:P,팀공격력!A:A,B84,팀공격력!B:B,D84))-K84)),"")</f>
        <v>0.76745970836531074</v>
      </c>
      <c r="BM84" s="67">
        <f>IFERROR(100*((AM84/E84*(2400))/((F84*60+G84)*SUMIFS(팀공격력!AR:AR,팀공격력!A:A,B84,팀공격력!B:B,D84))),"")</f>
        <v>0</v>
      </c>
      <c r="BN84" s="67">
        <f>IFERROR((AO84*40)/(((F84*60+G84)/60)*(SUMIFS(팀수비력!Q:Q,팀수비력!A:A,B84,팀수비력!B:B,D84)-SUMIFS(팀수비력!N:N,팀수비력!A:A,B84,팀수비력!B:B,D84)))*100,"")</f>
        <v>0</v>
      </c>
      <c r="BO84" s="67">
        <f t="shared" si="70"/>
        <v>36.363636363636367</v>
      </c>
      <c r="BP84" s="19"/>
      <c r="BQ84" s="19"/>
      <c r="BR84" s="19"/>
      <c r="BS84" s="19"/>
      <c r="BT84" s="20" t="s">
        <v>89</v>
      </c>
      <c r="BU84" s="21"/>
      <c r="BV84" s="31" t="s">
        <v>90</v>
      </c>
      <c r="BW84" s="31">
        <v>14.99</v>
      </c>
      <c r="BX84" s="31">
        <v>23.79</v>
      </c>
      <c r="BY84" s="31">
        <v>8.8000000000000007</v>
      </c>
      <c r="BZ84" s="35">
        <f t="shared" si="72"/>
        <v>3.7474999999999996</v>
      </c>
      <c r="CA84" s="35">
        <f t="shared" si="73"/>
        <v>5.9474999999999998</v>
      </c>
      <c r="CB84" s="35">
        <f t="shared" si="74"/>
        <v>2.2000000000000002</v>
      </c>
      <c r="CC84" s="36">
        <f t="shared" si="75"/>
        <v>23.793650793650791</v>
      </c>
      <c r="CD84" s="36">
        <f t="shared" si="76"/>
        <v>37.761904761904759</v>
      </c>
      <c r="CE84" s="36">
        <f t="shared" si="77"/>
        <v>13.968253968253968</v>
      </c>
      <c r="CF84" s="31">
        <v>1</v>
      </c>
      <c r="CG84" s="31">
        <v>3</v>
      </c>
    </row>
    <row r="85" spans="1:85" x14ac:dyDescent="0.4">
      <c r="A85" s="11" t="s">
        <v>85</v>
      </c>
      <c r="B85" s="11" t="s">
        <v>164</v>
      </c>
      <c r="C85" s="11" t="s">
        <v>180</v>
      </c>
      <c r="D85" s="46" t="s">
        <v>88</v>
      </c>
      <c r="E85" s="15">
        <v>47</v>
      </c>
      <c r="F85" s="15">
        <v>19</v>
      </c>
      <c r="G85" s="15">
        <v>4</v>
      </c>
      <c r="H85" s="16">
        <f t="shared" si="45"/>
        <v>53768</v>
      </c>
      <c r="I85" s="16">
        <v>270</v>
      </c>
      <c r="J85" s="17">
        <f t="shared" si="46"/>
        <v>5.7446808510638299</v>
      </c>
      <c r="K85" s="15">
        <v>101</v>
      </c>
      <c r="L85" s="15">
        <v>230</v>
      </c>
      <c r="M85" s="17">
        <f t="shared" si="47"/>
        <v>2.1489361702127661</v>
      </c>
      <c r="N85" s="17">
        <f t="shared" si="48"/>
        <v>4.8936170212765955</v>
      </c>
      <c r="O85" s="18">
        <f t="shared" si="49"/>
        <v>0.43913043478260871</v>
      </c>
      <c r="P85" s="16">
        <v>101</v>
      </c>
      <c r="Q85" s="15">
        <v>224</v>
      </c>
      <c r="R85" s="17">
        <f t="shared" si="50"/>
        <v>2.1489361702127661</v>
      </c>
      <c r="S85" s="17">
        <f t="shared" si="51"/>
        <v>4.7659574468085104</v>
      </c>
      <c r="T85" s="18">
        <f t="shared" si="52"/>
        <v>0.45089285714285715</v>
      </c>
      <c r="U85" s="15">
        <v>0</v>
      </c>
      <c r="V85" s="15">
        <v>6</v>
      </c>
      <c r="W85" s="17">
        <f t="shared" si="53"/>
        <v>0</v>
      </c>
      <c r="X85" s="17">
        <f t="shared" si="54"/>
        <v>0.1276595744680851</v>
      </c>
      <c r="Y85" s="18">
        <f t="shared" si="55"/>
        <v>0</v>
      </c>
      <c r="Z85" s="15">
        <v>68</v>
      </c>
      <c r="AA85" s="15">
        <v>75</v>
      </c>
      <c r="AB85" s="17">
        <f t="shared" si="56"/>
        <v>1.446808510638298</v>
      </c>
      <c r="AC85" s="17">
        <f t="shared" si="57"/>
        <v>1.5957446808510638</v>
      </c>
      <c r="AD85" s="18">
        <f t="shared" si="58"/>
        <v>0.90666666666666662</v>
      </c>
      <c r="AE85" s="15">
        <v>201</v>
      </c>
      <c r="AF85" s="17">
        <f t="shared" si="59"/>
        <v>4.2765957446808507</v>
      </c>
      <c r="AG85" s="15">
        <v>67</v>
      </c>
      <c r="AH85" s="17">
        <f t="shared" si="60"/>
        <v>1.425531914893617</v>
      </c>
      <c r="AI85" s="15">
        <v>134</v>
      </c>
      <c r="AJ85" s="17">
        <f t="shared" si="61"/>
        <v>2.8510638297872339</v>
      </c>
      <c r="AK85" s="15">
        <v>31</v>
      </c>
      <c r="AL85" s="17">
        <f t="shared" si="62"/>
        <v>0.65957446808510634</v>
      </c>
      <c r="AM85" s="15">
        <v>22</v>
      </c>
      <c r="AN85" s="17">
        <f t="shared" si="63"/>
        <v>0.46808510638297873</v>
      </c>
      <c r="AO85" s="15">
        <v>8</v>
      </c>
      <c r="AP85" s="17">
        <f t="shared" si="71"/>
        <v>0.1702127659574468</v>
      </c>
      <c r="AQ85" s="4">
        <v>31</v>
      </c>
      <c r="AR85" s="17">
        <f t="shared" si="64"/>
        <v>0.65957446808510634</v>
      </c>
      <c r="AS85" s="15">
        <v>119</v>
      </c>
      <c r="AT85" s="17">
        <f t="shared" si="65"/>
        <v>2.5319148936170213</v>
      </c>
      <c r="AU85" s="19">
        <v>1.4381628469736349</v>
      </c>
      <c r="AV85" s="19">
        <v>6.4194145825337098E-2</v>
      </c>
      <c r="AW85" s="19">
        <v>0.44063174441379083</v>
      </c>
      <c r="AX85" s="19">
        <v>0.99753110255984467</v>
      </c>
      <c r="AY85" s="19">
        <v>108.1546327470453</v>
      </c>
      <c r="AZ85" s="19">
        <v>108.40781137835489</v>
      </c>
      <c r="BA85" s="19">
        <v>6.0090178734614117</v>
      </c>
      <c r="BB85" s="19">
        <v>7.7659574468085104</v>
      </c>
      <c r="BC85" s="19">
        <v>16.29221841987799</v>
      </c>
      <c r="BD85" s="65">
        <f t="shared" si="66"/>
        <v>51.330798479087449</v>
      </c>
      <c r="BE85" s="65">
        <f t="shared" si="67"/>
        <v>43.913043478260875</v>
      </c>
      <c r="BF85" s="66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13.390050469863249</v>
      </c>
      <c r="BG85" s="38">
        <f t="shared" si="68"/>
        <v>2.6086956521739129E-2</v>
      </c>
      <c r="BH85" s="38">
        <f t="shared" si="69"/>
        <v>0.32608695652173914</v>
      </c>
      <c r="BI85" s="67">
        <f>IFERROR(((AG85*(12000/5))/((F85*60+G85)*(SUMIFS(팀공격력!X:X,팀공격력!A:A,B85,팀공격력!B:B,D85)+SUMIFS(팀수비력!X:X,팀수비력!A:A,B85,팀수비력!B:B,D85))))*100,"")</f>
        <v>3.4637614726328376</v>
      </c>
      <c r="BJ85" s="67">
        <f>IFERROR(((AI85*(12000/5))/((F85*60+G85)*(SUMIFS(팀공격력!V:V,팀공격력!A:A,B85,팀공격력!B:B,D85)+SUMIFS(팀수비력!W:W,팀수비력!A:A,B85,팀수비력!B:B,D85))))*100,"")</f>
        <v>14.169298443491993</v>
      </c>
      <c r="BK85" s="67">
        <f>IFERROR(((AE85*(12000/5))/((F85*60+G85)*(SUMIFS(팀공격력!X:X,팀공격력!A:A,B85,팀공격력!B:B,D85)+SUMIFS(팀수비력!X:X,팀수비력!A:A,B85,팀수비력!B:B,D85))))*100,"")</f>
        <v>10.391284417898513</v>
      </c>
      <c r="BL85" s="67">
        <f>IFERROR(100*AK85/(((((F85*60+G85)/(12000/5))*SUMIFS(팀공격력!P:P,팀공격력!A:A,B85,팀공격력!B:B,D85))-K85)),"")</f>
        <v>4.4298370963132321</v>
      </c>
      <c r="BM85" s="67">
        <f>IFERROR(100*((AM85/E85*(2400))/((F85*60+G85)*SUMIFS(팀공격력!AR:AR,팀공격력!A:A,B85,팀공격력!B:B,D85))),"")</f>
        <v>1.3556944007947365</v>
      </c>
      <c r="BN85" s="67">
        <f>IFERROR((AO85*40)/(((F85*60+G85)/60)*(SUMIFS(팀수비력!Q:Q,팀수비력!A:A,B85,팀수비력!B:B,D85)-SUMIFS(팀수비력!N:N,팀수비력!A:A,B85,팀수비력!B:B,D85)))*100,"")</f>
        <v>0.79128792000079129</v>
      </c>
      <c r="BO85" s="67">
        <f t="shared" si="70"/>
        <v>10.544217687074831</v>
      </c>
      <c r="BP85" s="19"/>
      <c r="BQ85" s="19"/>
      <c r="BR85" s="19"/>
      <c r="BS85" s="19"/>
      <c r="BT85" s="20" t="s">
        <v>89</v>
      </c>
      <c r="BU85" s="21">
        <v>270000</v>
      </c>
      <c r="BV85" s="30" t="s">
        <v>93</v>
      </c>
      <c r="BW85" s="30">
        <v>636.53</v>
      </c>
      <c r="BX85" s="30">
        <v>817.03</v>
      </c>
      <c r="BY85" s="30">
        <v>180.5</v>
      </c>
      <c r="BZ85" s="35">
        <f t="shared" si="72"/>
        <v>13.543191489361702</v>
      </c>
      <c r="CA85" s="35">
        <f t="shared" si="73"/>
        <v>17.383617021276596</v>
      </c>
      <c r="CB85" s="35">
        <f t="shared" si="74"/>
        <v>3.8404255319148937</v>
      </c>
      <c r="CC85" s="36">
        <f t="shared" si="75"/>
        <v>28.412289837821753</v>
      </c>
      <c r="CD85" s="36">
        <f t="shared" si="76"/>
        <v>36.469126618062788</v>
      </c>
      <c r="CE85" s="36">
        <f t="shared" si="77"/>
        <v>8.056836780241035</v>
      </c>
      <c r="CF85" s="30">
        <v>28</v>
      </c>
      <c r="CG85" s="30">
        <v>19</v>
      </c>
    </row>
    <row r="86" spans="1:85" x14ac:dyDescent="0.4">
      <c r="A86" s="11" t="s">
        <v>85</v>
      </c>
      <c r="B86" s="11" t="s">
        <v>164</v>
      </c>
      <c r="C86" s="11" t="s">
        <v>181</v>
      </c>
      <c r="D86" s="46" t="s">
        <v>88</v>
      </c>
      <c r="E86" s="15">
        <v>48</v>
      </c>
      <c r="F86" s="15">
        <v>22</v>
      </c>
      <c r="G86" s="15">
        <v>55</v>
      </c>
      <c r="H86" s="16">
        <f t="shared" si="45"/>
        <v>66000</v>
      </c>
      <c r="I86" s="16">
        <v>174</v>
      </c>
      <c r="J86" s="17">
        <f t="shared" si="46"/>
        <v>3.625</v>
      </c>
      <c r="K86" s="15">
        <v>62</v>
      </c>
      <c r="L86" s="15">
        <v>161</v>
      </c>
      <c r="M86" s="17">
        <f t="shared" si="47"/>
        <v>1.2916666666666667</v>
      </c>
      <c r="N86" s="17">
        <f t="shared" si="48"/>
        <v>3.3541666666666665</v>
      </c>
      <c r="O86" s="18">
        <f t="shared" si="49"/>
        <v>0.38509316770186336</v>
      </c>
      <c r="P86" s="16">
        <v>28</v>
      </c>
      <c r="Q86" s="15">
        <v>63</v>
      </c>
      <c r="R86" s="17">
        <f t="shared" si="50"/>
        <v>0.58333333333333337</v>
      </c>
      <c r="S86" s="17">
        <f t="shared" si="51"/>
        <v>1.3125</v>
      </c>
      <c r="T86" s="18">
        <f t="shared" si="52"/>
        <v>0.44444444444444442</v>
      </c>
      <c r="U86" s="15">
        <v>34</v>
      </c>
      <c r="V86" s="15">
        <v>98</v>
      </c>
      <c r="W86" s="17">
        <f t="shared" si="53"/>
        <v>0.70833333333333337</v>
      </c>
      <c r="X86" s="17">
        <f t="shared" si="54"/>
        <v>2.0416666666666665</v>
      </c>
      <c r="Y86" s="18">
        <f t="shared" si="55"/>
        <v>0.34693877551020408</v>
      </c>
      <c r="Z86" s="15">
        <v>16</v>
      </c>
      <c r="AA86" s="15">
        <v>21</v>
      </c>
      <c r="AB86" s="17">
        <f t="shared" si="56"/>
        <v>0.33333333333333331</v>
      </c>
      <c r="AC86" s="17">
        <f t="shared" si="57"/>
        <v>0.4375</v>
      </c>
      <c r="AD86" s="18">
        <f t="shared" si="58"/>
        <v>0.76190476190476186</v>
      </c>
      <c r="AE86" s="15">
        <v>137</v>
      </c>
      <c r="AF86" s="17">
        <f t="shared" si="59"/>
        <v>2.8541666666666665</v>
      </c>
      <c r="AG86" s="15">
        <v>55</v>
      </c>
      <c r="AH86" s="17">
        <f t="shared" si="60"/>
        <v>1.1458333333333333</v>
      </c>
      <c r="AI86" s="15">
        <v>82</v>
      </c>
      <c r="AJ86" s="17">
        <f t="shared" si="61"/>
        <v>1.7083333333333333</v>
      </c>
      <c r="AK86" s="15">
        <v>147</v>
      </c>
      <c r="AL86" s="17">
        <f t="shared" si="62"/>
        <v>3.0625</v>
      </c>
      <c r="AM86" s="15">
        <v>44</v>
      </c>
      <c r="AN86" s="17">
        <f t="shared" si="63"/>
        <v>0.91666666666666663</v>
      </c>
      <c r="AO86" s="15">
        <v>2</v>
      </c>
      <c r="AP86" s="17">
        <f t="shared" si="71"/>
        <v>4.1666666666666664E-2</v>
      </c>
      <c r="AQ86" s="4">
        <v>48</v>
      </c>
      <c r="AR86" s="17">
        <f t="shared" si="64"/>
        <v>1</v>
      </c>
      <c r="AS86" s="15">
        <v>137</v>
      </c>
      <c r="AT86" s="17">
        <f t="shared" si="65"/>
        <v>2.8541666666666665</v>
      </c>
      <c r="AU86" s="19">
        <v>1.5598540294969701</v>
      </c>
      <c r="AV86" s="19">
        <v>5.6721964708980721E-2</v>
      </c>
      <c r="AW86" s="19">
        <v>0.50194195786142048</v>
      </c>
      <c r="AX86" s="19">
        <v>1.057912071635549</v>
      </c>
      <c r="AY86" s="19">
        <v>110.0174638524379</v>
      </c>
      <c r="AZ86" s="19">
        <v>109.9305698235604</v>
      </c>
      <c r="BA86" s="19">
        <v>4.9285035370063612</v>
      </c>
      <c r="BB86" s="19">
        <v>7.333333333333333</v>
      </c>
      <c r="BC86" s="19">
        <v>12.8</v>
      </c>
      <c r="BD86" s="65">
        <f t="shared" si="66"/>
        <v>51.104323308270672</v>
      </c>
      <c r="BE86" s="65">
        <f t="shared" si="67"/>
        <v>49.068322981366457</v>
      </c>
      <c r="BF86" s="66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8.2697534670059145</v>
      </c>
      <c r="BG86" s="38">
        <f t="shared" si="68"/>
        <v>0.60869565217391308</v>
      </c>
      <c r="BH86" s="38">
        <f t="shared" si="69"/>
        <v>0.13043478260869565</v>
      </c>
      <c r="BI86" s="67">
        <f>IFERROR(((AG86*(12000/5))/((F86*60+G86)*(SUMIFS(팀공격력!X:X,팀공격력!A:A,B86,팀공격력!B:B,D86)+SUMIFS(팀수비력!X:X,팀수비력!A:A,B86,팀수비력!B:B,D86))))*100,"")</f>
        <v>2.3656973878758008</v>
      </c>
      <c r="BJ86" s="67">
        <f>IFERROR(((AI86*(12000/5))/((F86*60+G86)*(SUMIFS(팀공격력!V:V,팀공격력!A:A,B86,팀공격력!B:B,D86)+SUMIFS(팀수비력!W:W,팀수비력!A:A,B86,팀수비력!B:B,D86))))*100,"")</f>
        <v>7.2140762463343115</v>
      </c>
      <c r="BK86" s="67">
        <f>IFERROR(((AE86*(12000/5))/((F86*60+G86)*(SUMIFS(팀공격력!X:X,팀공격력!A:A,B86,팀공격력!B:B,D86)+SUMIFS(팀수비력!X:X,팀수비력!A:A,B86,팀수비력!B:B,D86))))*100,"")</f>
        <v>5.8927371297997224</v>
      </c>
      <c r="BL86" s="67">
        <f>IFERROR(100*AK86/(((((F86*60+G86)/(12000/5))*SUMIFS(팀공격력!P:P,팀공격력!A:A,B86,팀공격력!B:B,D86))-K86)),"")</f>
        <v>16.324264297612441</v>
      </c>
      <c r="BM86" s="67">
        <f>IFERROR(100*((AM86/E86*(2400))/((F86*60+G86)*SUMIFS(팀공격력!AR:AR,팀공격력!A:A,B86,팀공격력!B:B,D86))),"")</f>
        <v>2.2088780770282241</v>
      </c>
      <c r="BN86" s="67">
        <f>IFERROR((AO86*40)/(((F86*60+G86)/60)*(SUMIFS(팀수비력!Q:Q,팀수비력!A:A,B86,팀수비력!B:B,D86)-SUMIFS(팀수비력!N:N,팀수비력!A:A,B86,팀수비력!B:B,D86)))*100,"")</f>
        <v>0.16458788736016458</v>
      </c>
      <c r="BO86" s="67">
        <f t="shared" si="70"/>
        <v>21.994134897360702</v>
      </c>
      <c r="BP86" s="19"/>
      <c r="BQ86" s="19"/>
      <c r="BR86" s="19"/>
      <c r="BS86" s="19"/>
      <c r="BT86" s="20" t="s">
        <v>89</v>
      </c>
      <c r="BU86" s="21">
        <v>200000</v>
      </c>
      <c r="BV86" s="30" t="s">
        <v>90</v>
      </c>
      <c r="BW86" s="30">
        <v>718.87</v>
      </c>
      <c r="BX86" s="30">
        <v>887.47</v>
      </c>
      <c r="BY86" s="30">
        <v>168.6</v>
      </c>
      <c r="BZ86" s="35">
        <f t="shared" si="72"/>
        <v>14.976458333333333</v>
      </c>
      <c r="CA86" s="35">
        <f t="shared" si="73"/>
        <v>18.488958333333333</v>
      </c>
      <c r="CB86" s="35">
        <f t="shared" si="74"/>
        <v>3.5124999999999997</v>
      </c>
      <c r="CC86" s="36">
        <f t="shared" si="75"/>
        <v>26.140727272727268</v>
      </c>
      <c r="CD86" s="36">
        <f t="shared" si="76"/>
        <v>32.271636363636361</v>
      </c>
      <c r="CE86" s="36">
        <f t="shared" si="77"/>
        <v>6.1309090909090909</v>
      </c>
      <c r="CF86" s="30">
        <v>28</v>
      </c>
      <c r="CG86" s="30">
        <v>20</v>
      </c>
    </row>
    <row r="87" spans="1:85" x14ac:dyDescent="0.4">
      <c r="A87" s="11" t="s">
        <v>85</v>
      </c>
      <c r="B87" s="11" t="s">
        <v>164</v>
      </c>
      <c r="C87" s="11" t="s">
        <v>182</v>
      </c>
      <c r="D87" s="46" t="s">
        <v>88</v>
      </c>
      <c r="E87" s="10">
        <v>35</v>
      </c>
      <c r="F87" s="10">
        <v>22</v>
      </c>
      <c r="G87" s="10">
        <v>24</v>
      </c>
      <c r="H87" s="16">
        <f t="shared" si="45"/>
        <v>47040</v>
      </c>
      <c r="I87" s="16">
        <v>291</v>
      </c>
      <c r="J87" s="17">
        <f t="shared" si="46"/>
        <v>8.3142857142857149</v>
      </c>
      <c r="K87" s="15">
        <v>106</v>
      </c>
      <c r="L87" s="15">
        <v>221</v>
      </c>
      <c r="M87" s="17">
        <f t="shared" si="47"/>
        <v>3.0285714285714285</v>
      </c>
      <c r="N87" s="17">
        <f t="shared" si="48"/>
        <v>6.3142857142857141</v>
      </c>
      <c r="O87" s="18">
        <f t="shared" si="49"/>
        <v>0.47963800904977377</v>
      </c>
      <c r="P87" s="16">
        <v>64</v>
      </c>
      <c r="Q87" s="15">
        <v>117</v>
      </c>
      <c r="R87" s="17">
        <f t="shared" si="50"/>
        <v>1.8285714285714285</v>
      </c>
      <c r="S87" s="17">
        <f t="shared" si="51"/>
        <v>3.342857142857143</v>
      </c>
      <c r="T87" s="18">
        <f t="shared" si="52"/>
        <v>0.54700854700854706</v>
      </c>
      <c r="U87" s="15">
        <v>42</v>
      </c>
      <c r="V87" s="15">
        <v>104</v>
      </c>
      <c r="W87" s="17">
        <f t="shared" si="53"/>
        <v>1.2</v>
      </c>
      <c r="X87" s="17">
        <f t="shared" si="54"/>
        <v>2.9714285714285715</v>
      </c>
      <c r="Y87" s="18">
        <f t="shared" si="55"/>
        <v>0.40384615384615385</v>
      </c>
      <c r="Z87" s="9">
        <v>37</v>
      </c>
      <c r="AA87" s="9">
        <v>44</v>
      </c>
      <c r="AB87" s="17">
        <f t="shared" si="56"/>
        <v>1.0571428571428572</v>
      </c>
      <c r="AC87" s="17">
        <f t="shared" si="57"/>
        <v>1.2571428571428571</v>
      </c>
      <c r="AD87" s="18">
        <f t="shared" si="58"/>
        <v>0.84090909090909094</v>
      </c>
      <c r="AE87" s="15">
        <v>107</v>
      </c>
      <c r="AF87" s="17">
        <f t="shared" si="59"/>
        <v>3.0571428571428569</v>
      </c>
      <c r="AG87" s="15">
        <v>38</v>
      </c>
      <c r="AH87" s="17">
        <f t="shared" si="60"/>
        <v>1.0857142857142856</v>
      </c>
      <c r="AI87" s="15">
        <v>69</v>
      </c>
      <c r="AJ87" s="17">
        <f t="shared" si="61"/>
        <v>1.9714285714285715</v>
      </c>
      <c r="AK87" s="15">
        <v>27</v>
      </c>
      <c r="AL87" s="17">
        <f t="shared" si="62"/>
        <v>0.77142857142857146</v>
      </c>
      <c r="AM87" s="15">
        <v>22</v>
      </c>
      <c r="AN87" s="17">
        <f t="shared" si="63"/>
        <v>0.62857142857142856</v>
      </c>
      <c r="AO87" s="7">
        <v>4</v>
      </c>
      <c r="AP87" s="17">
        <f t="shared" si="71"/>
        <v>0.11428571428571428</v>
      </c>
      <c r="AQ87" s="28">
        <v>21</v>
      </c>
      <c r="AR87" s="17">
        <f t="shared" si="64"/>
        <v>0.6</v>
      </c>
      <c r="AS87" s="15">
        <v>71</v>
      </c>
      <c r="AT87" s="17">
        <f t="shared" si="65"/>
        <v>2.0285714285714285</v>
      </c>
      <c r="AU87" s="19">
        <v>1.791141268980023</v>
      </c>
      <c r="AV87" s="19">
        <v>9.1384758621429737E-2</v>
      </c>
      <c r="AW87" s="19">
        <v>1.103344503183618</v>
      </c>
      <c r="AX87" s="19">
        <v>0.68779676579640492</v>
      </c>
      <c r="AY87" s="19">
        <v>120.6073574632693</v>
      </c>
      <c r="AZ87" s="19">
        <v>110.779851866455</v>
      </c>
      <c r="BA87" s="19">
        <v>6.0379712098850584</v>
      </c>
      <c r="BB87" s="19">
        <v>8.8000000000000007</v>
      </c>
      <c r="BC87" s="19">
        <v>15.71428571428571</v>
      </c>
      <c r="BD87" s="65">
        <f t="shared" si="66"/>
        <v>60.534198701947076</v>
      </c>
      <c r="BE87" s="65">
        <f t="shared" si="67"/>
        <v>57.466063348416284</v>
      </c>
      <c r="BF87" s="66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10.132130172596668</v>
      </c>
      <c r="BG87" s="38">
        <f t="shared" si="68"/>
        <v>0.47058823529411764</v>
      </c>
      <c r="BH87" s="38">
        <f t="shared" si="69"/>
        <v>0.19909502262443438</v>
      </c>
      <c r="BI87" s="67">
        <f>IFERROR(((AG87*(12000/5))/((F87*60+G87)*(SUMIFS(팀공격력!X:X,팀공격력!A:A,B87,팀공격력!B:B,D87)+SUMIFS(팀수비력!X:X,팀수비력!A:A,B87,팀수비력!B:B,D87))))*100,"")</f>
        <v>1.6721819333943531</v>
      </c>
      <c r="BJ87" s="67">
        <f>IFERROR(((AI87*(12000/5))/((F87*60+G87)*(SUMIFS(팀공격력!V:V,팀공격력!A:A,B87,팀공격력!B:B,D87)+SUMIFS(팀수비력!W:W,팀수비력!A:A,B87,팀수비력!B:B,D87))))*100,"")</f>
        <v>6.2103974654377874</v>
      </c>
      <c r="BK87" s="67">
        <f>IFERROR(((AE87*(12000/5))/((F87*60+G87)*(SUMIFS(팀공격력!X:X,팀공격력!A:A,B87,팀공격력!B:B,D87)+SUMIFS(팀수비력!X:X,팀수비력!A:A,B87,팀수비력!B:B,D87))))*100,"")</f>
        <v>4.7085122861367319</v>
      </c>
      <c r="BL87" s="67">
        <f>IFERROR(100*AK87/(((((F87*60+G87)/(12000/5))*SUMIFS(팀공격력!P:P,팀공격력!A:A,B87,팀공격력!B:B,D87))-K87)),"")</f>
        <v>3.2343076185912789</v>
      </c>
      <c r="BM87" s="67">
        <f>IFERROR(100*((AM87/E87*(2400))/((F87*60+G87)*SUMIFS(팀공격력!AR:AR,팀공격력!A:A,B87,팀공격력!B:B,D87))),"")</f>
        <v>1.5495955897519427</v>
      </c>
      <c r="BN87" s="67">
        <f>IFERROR((AO87*40)/(((F87*60+G87)/60)*(SUMIFS(팀수비력!Q:Q,팀수비력!A:A,B87,팀수비력!B:B,D87)-SUMIFS(팀수비력!N:N,팀수비력!A:A,B87,팀수비력!B:B,D87)))*100,"")</f>
        <v>0.33676837071462251</v>
      </c>
      <c r="BO87" s="67">
        <f t="shared" si="70"/>
        <v>8.0348943985307617</v>
      </c>
      <c r="BP87" s="19"/>
      <c r="BQ87" s="19"/>
      <c r="BR87" s="19"/>
      <c r="BS87" s="19"/>
      <c r="BT87" s="20" t="s">
        <v>89</v>
      </c>
      <c r="BU87" s="21">
        <v>40000</v>
      </c>
      <c r="BV87" s="30" t="s">
        <v>93</v>
      </c>
      <c r="BW87" s="30">
        <v>533.65</v>
      </c>
      <c r="BX87" s="30">
        <v>679.55</v>
      </c>
      <c r="BY87" s="30">
        <v>145.9</v>
      </c>
      <c r="BZ87" s="35">
        <f t="shared" si="72"/>
        <v>15.247142857142855</v>
      </c>
      <c r="CA87" s="35">
        <f t="shared" si="73"/>
        <v>19.415714285714284</v>
      </c>
      <c r="CB87" s="35">
        <f t="shared" si="74"/>
        <v>4.168571428571429</v>
      </c>
      <c r="CC87" s="36">
        <f t="shared" si="75"/>
        <v>27.227040816326529</v>
      </c>
      <c r="CD87" s="36">
        <f t="shared" si="76"/>
        <v>34.670918367346935</v>
      </c>
      <c r="CE87" s="36">
        <f t="shared" si="77"/>
        <v>7.4438775510204085</v>
      </c>
      <c r="CF87" s="31">
        <v>18</v>
      </c>
      <c r="CG87" s="31">
        <v>17</v>
      </c>
    </row>
    <row r="88" spans="1:85" x14ac:dyDescent="0.4">
      <c r="A88" s="11" t="s">
        <v>85</v>
      </c>
      <c r="B88" s="11" t="s">
        <v>164</v>
      </c>
      <c r="C88" s="14" t="s">
        <v>87</v>
      </c>
      <c r="D88" s="46" t="s">
        <v>88</v>
      </c>
      <c r="E88" s="10">
        <v>4</v>
      </c>
      <c r="F88" s="10">
        <v>6</v>
      </c>
      <c r="G88" s="10">
        <v>31</v>
      </c>
      <c r="H88" s="16">
        <f t="shared" si="45"/>
        <v>1564</v>
      </c>
      <c r="I88" s="16">
        <v>3</v>
      </c>
      <c r="J88" s="17">
        <f t="shared" si="46"/>
        <v>0.75</v>
      </c>
      <c r="K88" s="15">
        <v>1</v>
      </c>
      <c r="L88" s="15">
        <v>6</v>
      </c>
      <c r="M88" s="17">
        <f t="shared" si="47"/>
        <v>0.25</v>
      </c>
      <c r="N88" s="17">
        <f t="shared" si="48"/>
        <v>1.5</v>
      </c>
      <c r="O88" s="18">
        <f t="shared" si="49"/>
        <v>0.16666666666666666</v>
      </c>
      <c r="P88" s="16">
        <v>1</v>
      </c>
      <c r="Q88" s="15">
        <v>2</v>
      </c>
      <c r="R88" s="17">
        <f t="shared" si="50"/>
        <v>0.25</v>
      </c>
      <c r="S88" s="17">
        <f t="shared" si="51"/>
        <v>0.5</v>
      </c>
      <c r="T88" s="18">
        <f t="shared" si="52"/>
        <v>0.5</v>
      </c>
      <c r="U88" s="15">
        <v>0</v>
      </c>
      <c r="V88" s="15">
        <v>4</v>
      </c>
      <c r="W88" s="17">
        <f t="shared" si="53"/>
        <v>0</v>
      </c>
      <c r="X88" s="17">
        <f t="shared" si="54"/>
        <v>1</v>
      </c>
      <c r="Y88" s="18">
        <f t="shared" si="55"/>
        <v>0</v>
      </c>
      <c r="Z88" s="9">
        <v>1</v>
      </c>
      <c r="AA88" s="9">
        <v>2</v>
      </c>
      <c r="AB88" s="17">
        <f t="shared" si="56"/>
        <v>0.25</v>
      </c>
      <c r="AC88" s="17">
        <f t="shared" si="57"/>
        <v>0.5</v>
      </c>
      <c r="AD88" s="18">
        <f t="shared" si="58"/>
        <v>0.5</v>
      </c>
      <c r="AE88" s="15">
        <v>3</v>
      </c>
      <c r="AF88" s="17">
        <f t="shared" si="59"/>
        <v>0.75</v>
      </c>
      <c r="AG88" s="15">
        <v>1</v>
      </c>
      <c r="AH88" s="17">
        <f t="shared" si="60"/>
        <v>0.25</v>
      </c>
      <c r="AI88" s="15">
        <v>2</v>
      </c>
      <c r="AJ88" s="17">
        <f t="shared" si="61"/>
        <v>0.5</v>
      </c>
      <c r="AK88" s="15">
        <v>1</v>
      </c>
      <c r="AL88" s="17">
        <f t="shared" si="62"/>
        <v>0.25</v>
      </c>
      <c r="AM88" s="15">
        <v>1</v>
      </c>
      <c r="AN88" s="17">
        <f t="shared" si="63"/>
        <v>0.25</v>
      </c>
      <c r="AO88" s="7">
        <v>0</v>
      </c>
      <c r="AP88" s="17">
        <f t="shared" si="71"/>
        <v>0</v>
      </c>
      <c r="AQ88" s="6">
        <v>2</v>
      </c>
      <c r="AR88" s="17">
        <f t="shared" si="64"/>
        <v>0.5</v>
      </c>
      <c r="AS88" s="15">
        <v>4</v>
      </c>
      <c r="AT88" s="17">
        <f t="shared" si="65"/>
        <v>1</v>
      </c>
      <c r="AU88" s="19">
        <v>-8.7069045566841335E-2</v>
      </c>
      <c r="AV88" s="19">
        <v>-0.13360978859361841</v>
      </c>
      <c r="AW88" s="19">
        <v>-0.1117732362380458</v>
      </c>
      <c r="AX88" s="19">
        <v>2.4704190671204489E-2</v>
      </c>
      <c r="AY88" s="19">
        <v>48.875700542264042</v>
      </c>
      <c r="AZ88" s="19">
        <v>110.0714403740551</v>
      </c>
      <c r="BA88" s="19">
        <v>-0.36578869442105261</v>
      </c>
      <c r="BB88" s="19">
        <v>0</v>
      </c>
      <c r="BC88" s="19">
        <v>0</v>
      </c>
      <c r="BD88" s="65">
        <f t="shared" si="66"/>
        <v>21.802325581395348</v>
      </c>
      <c r="BE88" s="65">
        <f t="shared" si="67"/>
        <v>16.666666666666664</v>
      </c>
      <c r="BF88" s="66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1.1833061355777887</v>
      </c>
      <c r="BG88" s="38">
        <f t="shared" si="68"/>
        <v>0.66666666666666663</v>
      </c>
      <c r="BH88" s="38">
        <f t="shared" si="69"/>
        <v>0.33333333333333331</v>
      </c>
      <c r="BI88" s="67">
        <f>IFERROR(((AG88*(12000/5))/((F88*60+G88)*(SUMIFS(팀공격력!X:X,팀공격력!A:A,B88,팀공격력!B:B,D88)+SUMIFS(팀수비력!X:X,팀수비력!A:A,B88,팀수비력!B:B,D88))))*100,"")</f>
        <v>0.15125942377722512</v>
      </c>
      <c r="BJ88" s="67">
        <f>IFERROR(((AI88*(12000/5))/((F88*60+G88)*(SUMIFS(팀공격력!V:V,팀공격력!A:A,B88,팀공격력!B:B,D88)+SUMIFS(팀수비력!W:W,팀수비력!A:A,B88,팀수비력!B:B,D88))))*100,"")</f>
        <v>0.61876082831449553</v>
      </c>
      <c r="BK88" s="67">
        <f>IFERROR(((AE88*(12000/5))/((F88*60+G88)*(SUMIFS(팀공격력!X:X,팀공격력!A:A,B88,팀공격력!B:B,D88)+SUMIFS(팀수비력!X:X,팀수비력!A:A,B88,팀수비력!B:B,D88))))*100,"")</f>
        <v>0.45377827133167536</v>
      </c>
      <c r="BL88" s="67">
        <f>IFERROR(100*AK88/(((((F88*60+G88)/(12000/5))*SUMIFS(팀공격력!P:P,팀공격력!A:A,B88,팀공격력!B:B,D88))-K88)),"")</f>
        <v>0.36670333700036672</v>
      </c>
      <c r="BM88" s="67">
        <f>IFERROR(100*((AM88/E88*(2400))/((F88*60+G88)*SUMIFS(팀공격력!AR:AR,팀공격력!A:A,B88,팀공격력!B:B,D88))),"")</f>
        <v>2.1184892043109569</v>
      </c>
      <c r="BN88" s="67">
        <f>IFERROR((AO88*40)/(((F88*60+G88)/60)*(SUMIFS(팀수비력!Q:Q,팀수비력!A:A,B88,팀수비력!B:B,D88)-SUMIFS(팀수비력!N:N,팀수비력!A:A,B88,팀수비력!B:B,D88)))*100,"")</f>
        <v>0</v>
      </c>
      <c r="BO88" s="67">
        <f t="shared" si="70"/>
        <v>22.522522522522525</v>
      </c>
      <c r="BP88" s="19"/>
      <c r="BQ88" s="19"/>
      <c r="BR88" s="19"/>
      <c r="BS88" s="19"/>
      <c r="BT88" s="20" t="s">
        <v>89</v>
      </c>
      <c r="BU88" s="21">
        <v>45000</v>
      </c>
      <c r="BV88" s="30" t="s">
        <v>90</v>
      </c>
      <c r="BW88" s="30"/>
      <c r="BX88" s="30"/>
      <c r="BY88" s="30"/>
      <c r="BZ88" s="35"/>
      <c r="CA88" s="35"/>
      <c r="CB88" s="35"/>
      <c r="CC88" s="36"/>
      <c r="CD88" s="36"/>
      <c r="CE88" s="36"/>
      <c r="CF88" s="30">
        <v>1</v>
      </c>
      <c r="CG88" s="30">
        <v>3</v>
      </c>
    </row>
    <row r="89" spans="1:85" x14ac:dyDescent="0.4">
      <c r="A89" s="11" t="s">
        <v>85</v>
      </c>
      <c r="B89" s="11" t="s">
        <v>183</v>
      </c>
      <c r="C89" s="11" t="s">
        <v>184</v>
      </c>
      <c r="D89" s="46" t="s">
        <v>88</v>
      </c>
      <c r="E89" s="15">
        <v>6</v>
      </c>
      <c r="F89" s="15">
        <v>3</v>
      </c>
      <c r="G89" s="15">
        <v>18</v>
      </c>
      <c r="H89" s="16">
        <f t="shared" si="45"/>
        <v>1188</v>
      </c>
      <c r="I89" s="16">
        <v>3</v>
      </c>
      <c r="J89" s="17">
        <f t="shared" si="46"/>
        <v>0.5</v>
      </c>
      <c r="K89" s="15">
        <v>1</v>
      </c>
      <c r="L89" s="15">
        <v>2</v>
      </c>
      <c r="M89" s="17">
        <f t="shared" si="47"/>
        <v>0.16666666666666666</v>
      </c>
      <c r="N89" s="17">
        <f t="shared" si="48"/>
        <v>0.33333333333333331</v>
      </c>
      <c r="O89" s="18">
        <f t="shared" si="49"/>
        <v>0.5</v>
      </c>
      <c r="P89" s="16">
        <v>0</v>
      </c>
      <c r="Q89" s="15">
        <v>1</v>
      </c>
      <c r="R89" s="17">
        <f t="shared" si="50"/>
        <v>0</v>
      </c>
      <c r="S89" s="17">
        <f t="shared" si="51"/>
        <v>0.16666666666666666</v>
      </c>
      <c r="T89" s="18">
        <f t="shared" si="52"/>
        <v>0</v>
      </c>
      <c r="U89" s="15">
        <v>1</v>
      </c>
      <c r="V89" s="15">
        <v>1</v>
      </c>
      <c r="W89" s="17">
        <f t="shared" si="53"/>
        <v>0.16666666666666666</v>
      </c>
      <c r="X89" s="17">
        <f t="shared" si="54"/>
        <v>0.16666666666666666</v>
      </c>
      <c r="Y89" s="18">
        <f t="shared" si="55"/>
        <v>1</v>
      </c>
      <c r="Z89" s="15">
        <v>0</v>
      </c>
      <c r="AA89" s="15">
        <v>0</v>
      </c>
      <c r="AB89" s="17">
        <f t="shared" si="56"/>
        <v>0</v>
      </c>
      <c r="AC89" s="17">
        <f t="shared" si="57"/>
        <v>0</v>
      </c>
      <c r="AD89" s="18" t="e">
        <f t="shared" si="58"/>
        <v>#DIV/0!</v>
      </c>
      <c r="AE89" s="15">
        <v>2</v>
      </c>
      <c r="AF89" s="17">
        <f t="shared" si="59"/>
        <v>0.33333333333333331</v>
      </c>
      <c r="AG89" s="15">
        <v>1</v>
      </c>
      <c r="AH89" s="17">
        <f t="shared" si="60"/>
        <v>0.16666666666666666</v>
      </c>
      <c r="AI89" s="15">
        <v>1</v>
      </c>
      <c r="AJ89" s="17">
        <f t="shared" si="61"/>
        <v>0.16666666666666666</v>
      </c>
      <c r="AK89" s="15">
        <v>2</v>
      </c>
      <c r="AL89" s="17">
        <f t="shared" si="62"/>
        <v>0.33333333333333331</v>
      </c>
      <c r="AM89" s="15">
        <v>0</v>
      </c>
      <c r="AN89" s="17">
        <f t="shared" si="63"/>
        <v>0</v>
      </c>
      <c r="AO89" s="15">
        <v>1</v>
      </c>
      <c r="AP89" s="17">
        <f t="shared" si="71"/>
        <v>0.16666666666666666</v>
      </c>
      <c r="AQ89" s="4">
        <v>3</v>
      </c>
      <c r="AR89" s="17">
        <f t="shared" si="64"/>
        <v>0.5</v>
      </c>
      <c r="AS89" s="15">
        <v>5</v>
      </c>
      <c r="AT89" s="17">
        <f t="shared" si="65"/>
        <v>0.83333333333333337</v>
      </c>
      <c r="AU89" s="19">
        <v>-4.9872361412086778E-2</v>
      </c>
      <c r="AV89" s="19">
        <v>-0.100752245276943</v>
      </c>
      <c r="AW89" s="19">
        <v>-4.2463983026939933E-2</v>
      </c>
      <c r="AX89" s="19">
        <v>-7.408378385146853E-3</v>
      </c>
      <c r="AY89" s="19">
        <v>75.5961838404654</v>
      </c>
      <c r="AZ89" s="19">
        <v>122.88301028900381</v>
      </c>
      <c r="BA89" s="19">
        <v>-0.29352690945416082</v>
      </c>
      <c r="BB89" s="19">
        <v>0.66666666666666663</v>
      </c>
      <c r="BC89" s="19">
        <v>8.0808080808080813</v>
      </c>
      <c r="BD89" s="65">
        <f t="shared" si="66"/>
        <v>75</v>
      </c>
      <c r="BE89" s="65">
        <f t="shared" si="67"/>
        <v>75</v>
      </c>
      <c r="BF89" s="66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1.2588706319077378</v>
      </c>
      <c r="BG89" s="38">
        <f t="shared" si="68"/>
        <v>0.5</v>
      </c>
      <c r="BH89" s="38">
        <f t="shared" si="69"/>
        <v>0</v>
      </c>
      <c r="BI89" s="67">
        <f>IFERROR(((AG89*(12000/5))/((F89*60+G89)*(SUMIFS(팀공격력!X:X,팀공격력!A:A,B89,팀공격력!B:B,D89)+SUMIFS(팀수비력!X:X,팀수비력!A:A,B89,팀수비력!B:B,D89))))*100,"")</f>
        <v>0.28949634872730168</v>
      </c>
      <c r="BJ89" s="67">
        <f>IFERROR(((AI89*(12000/5))/((F89*60+G89)*(SUMIFS(팀공격력!V:V,팀공격력!A:A,B89,팀공격력!B:B,D89)+SUMIFS(팀수비력!W:W,팀수비력!A:A,B89,팀수비력!B:B,D89))))*100,"")</f>
        <v>0.58955311873599814</v>
      </c>
      <c r="BK89" s="67">
        <f>IFERROR(((AE89*(12000/5))/((F89*60+G89)*(SUMIFS(팀공격력!X:X,팀공격력!A:A,B89,팀공격력!B:B,D89)+SUMIFS(팀수비력!X:X,팀수비력!A:A,B89,팀수비력!B:B,D89))))*100,"")</f>
        <v>0.57899269745460336</v>
      </c>
      <c r="BL89" s="67">
        <f>IFERROR(100*AK89/(((((F89*60+G89)/(12000/5))*SUMIFS(팀공격력!P:P,팀공격력!A:A,B89,팀공격력!B:B,D89))-K89)),"")</f>
        <v>1.5143197864809099</v>
      </c>
      <c r="BM89" s="67">
        <f>IFERROR(100*((AM89/E89*(2400))/((F89*60+G89)*SUMIFS(팀공격력!AR:AR,팀공격력!A:A,B89,팀공격력!B:B,D89))),"")</f>
        <v>0</v>
      </c>
      <c r="BN89" s="67">
        <f>IFERROR((AO89*40)/(((F89*60+G89)/60)*(SUMIFS(팀수비력!Q:Q,팀수비력!A:A,B89,팀수비력!B:B,D89)-SUMIFS(팀수비력!N:N,팀수비력!A:A,B89,팀수비력!B:B,D89)))*100,"")</f>
        <v>0.49313312128609116</v>
      </c>
      <c r="BO89" s="67">
        <f t="shared" si="70"/>
        <v>60</v>
      </c>
      <c r="BP89" s="19"/>
      <c r="BQ89" s="19"/>
      <c r="BR89" s="19"/>
      <c r="BS89" s="19"/>
      <c r="BT89" s="20" t="s">
        <v>89</v>
      </c>
      <c r="BU89" s="21">
        <v>284795</v>
      </c>
      <c r="BV89" s="30" t="s">
        <v>90</v>
      </c>
      <c r="BW89" s="30">
        <v>8.94</v>
      </c>
      <c r="BX89" s="30">
        <v>14.44</v>
      </c>
      <c r="BY89" s="30">
        <v>5.5</v>
      </c>
      <c r="BZ89" s="35">
        <f t="shared" ref="BZ89:BZ95" si="78">CA89-CB89</f>
        <v>1.4900000000000002</v>
      </c>
      <c r="CA89" s="35">
        <f t="shared" ref="CA89:CB95" si="79">BX89/$E89</f>
        <v>2.4066666666666667</v>
      </c>
      <c r="CB89" s="35">
        <f t="shared" si="79"/>
        <v>0.91666666666666663</v>
      </c>
      <c r="CC89" s="36">
        <f t="shared" ref="CC89:CC95" si="80">CD89-CE89</f>
        <v>18.060606060606062</v>
      </c>
      <c r="CD89" s="36">
        <f t="shared" ref="CD89:CE95" si="81">BX89*2400/$H89</f>
        <v>29.171717171717173</v>
      </c>
      <c r="CE89" s="36">
        <f t="shared" si="81"/>
        <v>11.111111111111111</v>
      </c>
      <c r="CF89" s="30">
        <v>2</v>
      </c>
      <c r="CG89" s="30">
        <v>4</v>
      </c>
    </row>
    <row r="90" spans="1:85" x14ac:dyDescent="0.4">
      <c r="A90" s="11" t="s">
        <v>85</v>
      </c>
      <c r="B90" s="11" t="s">
        <v>183</v>
      </c>
      <c r="C90" s="11" t="s">
        <v>185</v>
      </c>
      <c r="D90" s="46" t="s">
        <v>88</v>
      </c>
      <c r="E90" s="15">
        <v>3</v>
      </c>
      <c r="F90" s="15">
        <v>1</v>
      </c>
      <c r="G90" s="15">
        <v>45</v>
      </c>
      <c r="H90" s="16">
        <f t="shared" si="45"/>
        <v>315</v>
      </c>
      <c r="I90" s="16">
        <v>0</v>
      </c>
      <c r="J90" s="17">
        <f t="shared" si="46"/>
        <v>0</v>
      </c>
      <c r="K90" s="15">
        <v>0</v>
      </c>
      <c r="L90" s="15">
        <v>2</v>
      </c>
      <c r="M90" s="17">
        <f t="shared" si="47"/>
        <v>0</v>
      </c>
      <c r="N90" s="17">
        <f t="shared" si="48"/>
        <v>0.66666666666666663</v>
      </c>
      <c r="O90" s="18">
        <f t="shared" si="49"/>
        <v>0</v>
      </c>
      <c r="P90" s="16">
        <v>0</v>
      </c>
      <c r="Q90" s="15">
        <v>0</v>
      </c>
      <c r="R90" s="17">
        <f t="shared" si="50"/>
        <v>0</v>
      </c>
      <c r="S90" s="17">
        <f t="shared" si="51"/>
        <v>0</v>
      </c>
      <c r="T90" s="18" t="e">
        <f t="shared" si="52"/>
        <v>#DIV/0!</v>
      </c>
      <c r="U90" s="15">
        <v>0</v>
      </c>
      <c r="V90" s="15">
        <v>2</v>
      </c>
      <c r="W90" s="17">
        <f t="shared" si="53"/>
        <v>0</v>
      </c>
      <c r="X90" s="17">
        <f t="shared" si="54"/>
        <v>0.66666666666666663</v>
      </c>
      <c r="Y90" s="18">
        <f t="shared" si="55"/>
        <v>0</v>
      </c>
      <c r="Z90" s="15">
        <v>0</v>
      </c>
      <c r="AA90" s="15">
        <v>0</v>
      </c>
      <c r="AB90" s="17">
        <f t="shared" si="56"/>
        <v>0</v>
      </c>
      <c r="AC90" s="17">
        <f t="shared" si="57"/>
        <v>0</v>
      </c>
      <c r="AD90" s="18" t="e">
        <f t="shared" si="58"/>
        <v>#DIV/0!</v>
      </c>
      <c r="AE90" s="15">
        <v>0</v>
      </c>
      <c r="AF90" s="17">
        <f t="shared" si="59"/>
        <v>0</v>
      </c>
      <c r="AG90" s="15">
        <v>0</v>
      </c>
      <c r="AH90" s="17">
        <f t="shared" si="60"/>
        <v>0</v>
      </c>
      <c r="AI90" s="15">
        <v>0</v>
      </c>
      <c r="AJ90" s="17">
        <f t="shared" si="61"/>
        <v>0</v>
      </c>
      <c r="AK90" s="15">
        <v>0</v>
      </c>
      <c r="AL90" s="17">
        <f t="shared" si="62"/>
        <v>0</v>
      </c>
      <c r="AM90" s="15">
        <v>0</v>
      </c>
      <c r="AN90" s="17">
        <f t="shared" si="63"/>
        <v>0</v>
      </c>
      <c r="AO90" s="15">
        <v>0</v>
      </c>
      <c r="AP90" s="17">
        <f t="shared" si="71"/>
        <v>0</v>
      </c>
      <c r="AQ90" s="4">
        <v>0</v>
      </c>
      <c r="AR90" s="17">
        <f t="shared" si="64"/>
        <v>0</v>
      </c>
      <c r="AS90" s="15">
        <v>0</v>
      </c>
      <c r="AT90" s="17">
        <f t="shared" si="65"/>
        <v>0</v>
      </c>
      <c r="AU90" s="19">
        <v>-5.1989387321270127E-2</v>
      </c>
      <c r="AV90" s="19">
        <v>-0.39610961768586761</v>
      </c>
      <c r="AW90" s="19">
        <v>-4.6799495763008611E-2</v>
      </c>
      <c r="AX90" s="19">
        <v>-5.1898915582615172E-3</v>
      </c>
      <c r="AY90" s="19">
        <v>0</v>
      </c>
      <c r="AZ90" s="19">
        <v>128.2692503800057</v>
      </c>
      <c r="BA90" s="19">
        <v>-0.72966797884927026</v>
      </c>
      <c r="BB90" s="19">
        <v>-0.66666666666666663</v>
      </c>
      <c r="BC90" s="19">
        <v>-15.238095238095241</v>
      </c>
      <c r="BD90" s="65">
        <f t="shared" si="66"/>
        <v>0</v>
      </c>
      <c r="BE90" s="65">
        <f t="shared" si="67"/>
        <v>0</v>
      </c>
      <c r="BF90" s="66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0.94954813378183667</v>
      </c>
      <c r="BG90" s="38">
        <f t="shared" si="68"/>
        <v>1</v>
      </c>
      <c r="BH90" s="38">
        <f t="shared" si="69"/>
        <v>0</v>
      </c>
      <c r="BI90" s="67">
        <f>IFERROR(((AG90*(12000/5))/((F90*60+G90)*(SUMIFS(팀공격력!X:X,팀공격력!A:A,B90,팀공격력!B:B,D90)+SUMIFS(팀수비력!X:X,팀수비력!A:A,B90,팀수비력!B:B,D90))))*100,"")</f>
        <v>0</v>
      </c>
      <c r="BJ90" s="67">
        <f>IFERROR(((AI90*(12000/5))/((F90*60+G90)*(SUMIFS(팀공격력!V:V,팀공격력!A:A,B90,팀공격력!B:B,D90)+SUMIFS(팀수비력!W:W,팀수비력!A:A,B90,팀수비력!B:B,D90))))*100,"")</f>
        <v>0</v>
      </c>
      <c r="BK90" s="67">
        <f>IFERROR(((AE90*(12000/5))/((F90*60+G90)*(SUMIFS(팀공격력!X:X,팀공격력!A:A,B90,팀공격력!B:B,D90)+SUMIFS(팀수비력!X:X,팀수비력!A:A,B90,팀수비력!B:B,D90))))*100,"")</f>
        <v>0</v>
      </c>
      <c r="BL90" s="67">
        <f>IFERROR(100*AK90/(((((F90*60+G90)/(12000/5))*SUMIFS(팀공격력!P:P,팀공격력!A:A,B90,팀공격력!B:B,D90))-K90)),"")</f>
        <v>0</v>
      </c>
      <c r="BM90" s="67">
        <f>IFERROR(100*((AM90/E90*(2400))/((F90*60+G90)*SUMIFS(팀공격력!AR:AR,팀공격력!A:A,B90,팀공격력!B:B,D90))),"")</f>
        <v>0</v>
      </c>
      <c r="BN90" s="67">
        <f>IFERROR((AO90*40)/(((F90*60+G90)/60)*(SUMIFS(팀수비력!Q:Q,팀수비력!A:A,B90,팀수비력!B:B,D90)-SUMIFS(팀수비력!N:N,팀수비력!A:A,B90,팀수비력!B:B,D90)))*100,"")</f>
        <v>0</v>
      </c>
      <c r="BO90" s="67">
        <f t="shared" si="70"/>
        <v>0</v>
      </c>
      <c r="BP90" s="19"/>
      <c r="BQ90" s="19"/>
      <c r="BR90" s="19"/>
      <c r="BS90" s="19"/>
      <c r="BT90" s="20" t="s">
        <v>89</v>
      </c>
      <c r="BU90" s="21">
        <v>70000</v>
      </c>
      <c r="BV90" s="31" t="s">
        <v>90</v>
      </c>
      <c r="BW90" s="31">
        <v>-0.49</v>
      </c>
      <c r="BX90" s="31">
        <v>1.31</v>
      </c>
      <c r="BY90" s="31">
        <v>1.8</v>
      </c>
      <c r="BZ90" s="35">
        <f t="shared" si="78"/>
        <v>-0.16333333333333327</v>
      </c>
      <c r="CA90" s="35">
        <f t="shared" si="79"/>
        <v>0.4366666666666667</v>
      </c>
      <c r="CB90" s="35">
        <f t="shared" si="79"/>
        <v>0.6</v>
      </c>
      <c r="CC90" s="36">
        <f t="shared" si="80"/>
        <v>-3.7333333333333325</v>
      </c>
      <c r="CD90" s="36">
        <f t="shared" si="81"/>
        <v>9.980952380952381</v>
      </c>
      <c r="CE90" s="36">
        <f t="shared" si="81"/>
        <v>13.714285714285714</v>
      </c>
      <c r="CF90" s="30">
        <v>2</v>
      </c>
      <c r="CG90" s="30">
        <v>1</v>
      </c>
    </row>
    <row r="91" spans="1:85" x14ac:dyDescent="0.4">
      <c r="A91" s="11" t="s">
        <v>85</v>
      </c>
      <c r="B91" s="11" t="s">
        <v>183</v>
      </c>
      <c r="C91" s="11" t="s">
        <v>186</v>
      </c>
      <c r="D91" s="46" t="s">
        <v>88</v>
      </c>
      <c r="E91" s="15">
        <v>11</v>
      </c>
      <c r="F91" s="15">
        <v>5</v>
      </c>
      <c r="G91" s="15">
        <v>43</v>
      </c>
      <c r="H91" s="16">
        <f t="shared" si="45"/>
        <v>3773</v>
      </c>
      <c r="I91" s="16">
        <v>7</v>
      </c>
      <c r="J91" s="17">
        <f t="shared" si="46"/>
        <v>0.63636363636363635</v>
      </c>
      <c r="K91" s="15">
        <v>2</v>
      </c>
      <c r="L91" s="15">
        <v>14</v>
      </c>
      <c r="M91" s="17">
        <f t="shared" si="47"/>
        <v>0.18181818181818182</v>
      </c>
      <c r="N91" s="17">
        <f t="shared" si="48"/>
        <v>1.2727272727272727</v>
      </c>
      <c r="O91" s="18">
        <f t="shared" si="49"/>
        <v>0.14285714285714285</v>
      </c>
      <c r="P91" s="16">
        <v>1</v>
      </c>
      <c r="Q91" s="15">
        <v>9</v>
      </c>
      <c r="R91" s="17">
        <f t="shared" si="50"/>
        <v>9.0909090909090912E-2</v>
      </c>
      <c r="S91" s="17">
        <f t="shared" si="51"/>
        <v>0.81818181818181823</v>
      </c>
      <c r="T91" s="18">
        <f t="shared" si="52"/>
        <v>0.1111111111111111</v>
      </c>
      <c r="U91" s="15">
        <v>1</v>
      </c>
      <c r="V91" s="15">
        <v>5</v>
      </c>
      <c r="W91" s="17">
        <f t="shared" si="53"/>
        <v>9.0909090909090912E-2</v>
      </c>
      <c r="X91" s="17">
        <f t="shared" si="54"/>
        <v>0.45454545454545453</v>
      </c>
      <c r="Y91" s="18">
        <f t="shared" si="55"/>
        <v>0.2</v>
      </c>
      <c r="Z91" s="15">
        <v>2</v>
      </c>
      <c r="AA91" s="15">
        <v>6</v>
      </c>
      <c r="AB91" s="17">
        <f t="shared" si="56"/>
        <v>0.18181818181818182</v>
      </c>
      <c r="AC91" s="17">
        <f t="shared" si="57"/>
        <v>0.54545454545454541</v>
      </c>
      <c r="AD91" s="18">
        <f t="shared" si="58"/>
        <v>0.33333333333333331</v>
      </c>
      <c r="AE91" s="15">
        <v>4</v>
      </c>
      <c r="AF91" s="17">
        <f t="shared" si="59"/>
        <v>0.36363636363636365</v>
      </c>
      <c r="AG91" s="15">
        <v>2</v>
      </c>
      <c r="AH91" s="17">
        <f t="shared" si="60"/>
        <v>0.18181818181818182</v>
      </c>
      <c r="AI91" s="15">
        <v>2</v>
      </c>
      <c r="AJ91" s="17">
        <f t="shared" si="61"/>
        <v>0.18181818181818182</v>
      </c>
      <c r="AK91" s="15">
        <v>3</v>
      </c>
      <c r="AL91" s="17">
        <f t="shared" si="62"/>
        <v>0.27272727272727271</v>
      </c>
      <c r="AM91" s="15">
        <v>0</v>
      </c>
      <c r="AN91" s="17">
        <f t="shared" si="63"/>
        <v>0</v>
      </c>
      <c r="AO91" s="15">
        <v>0</v>
      </c>
      <c r="AP91" s="17">
        <f t="shared" si="71"/>
        <v>0</v>
      </c>
      <c r="AQ91" s="4">
        <v>1</v>
      </c>
      <c r="AR91" s="17">
        <f t="shared" si="64"/>
        <v>9.0909090909090912E-2</v>
      </c>
      <c r="AS91" s="15">
        <v>15</v>
      </c>
      <c r="AT91" s="17">
        <f t="shared" si="65"/>
        <v>1.3636363636363635</v>
      </c>
      <c r="AU91" s="19">
        <v>-0.2471941663032183</v>
      </c>
      <c r="AV91" s="19">
        <v>-0.15723986194744871</v>
      </c>
      <c r="AW91" s="19">
        <v>-0.1987326764602044</v>
      </c>
      <c r="AX91" s="19">
        <v>-4.8461489843013898E-2</v>
      </c>
      <c r="AY91" s="19">
        <v>59.586005938325997</v>
      </c>
      <c r="AZ91" s="19">
        <v>126.35901918318341</v>
      </c>
      <c r="BA91" s="19">
        <v>-1.562630930825172</v>
      </c>
      <c r="BB91" s="19">
        <v>-0.27272727272727271</v>
      </c>
      <c r="BC91" s="19">
        <v>-1.9082957858468059</v>
      </c>
      <c r="BD91" s="65">
        <f t="shared" si="66"/>
        <v>21.033653846153847</v>
      </c>
      <c r="BE91" s="65">
        <f t="shared" si="67"/>
        <v>17.857142857142858</v>
      </c>
      <c r="BF91" s="66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2.5637799612109586</v>
      </c>
      <c r="BG91" s="38">
        <f t="shared" si="68"/>
        <v>0.35714285714285715</v>
      </c>
      <c r="BH91" s="38">
        <f t="shared" si="69"/>
        <v>0.42857142857142855</v>
      </c>
      <c r="BI91" s="67">
        <f>IFERROR(((AG91*(12000/5))/((F91*60+G91)*(SUMIFS(팀공격력!X:X,팀공격력!A:A,B91,팀공격력!B:B,D91)+SUMIFS(팀수비력!X:X,팀수비력!A:A,B91,팀수비력!B:B,D91))))*100,"")</f>
        <v>0.33422902068808008</v>
      </c>
      <c r="BJ91" s="67">
        <f>IFERROR(((AI91*(12000/5))/((F91*60+G91)*(SUMIFS(팀공격력!V:V,팀공격력!A:A,B91,팀공격력!B:B,D91)+SUMIFS(팀수비력!W:W,팀수비력!A:A,B91,팀수비력!B:B,D91))))*100,"")</f>
        <v>0.68065024787013184</v>
      </c>
      <c r="BK91" s="67">
        <f>IFERROR(((AE91*(12000/5))/((F91*60+G91)*(SUMIFS(팀공격력!X:X,팀공격력!A:A,B91,팀공격력!B:B,D91)+SUMIFS(팀수비력!X:X,팀수비력!A:A,B91,팀수비력!B:B,D91))))*100,"")</f>
        <v>0.66845804137616016</v>
      </c>
      <c r="BL91" s="67">
        <f>IFERROR(100*AK91/(((((F91*60+G91)/(12000/5))*SUMIFS(팀공격력!P:P,팀공격력!A:A,B91,팀공격력!B:B,D91))-K91)),"")</f>
        <v>1.3127690492817148</v>
      </c>
      <c r="BM91" s="67">
        <f>IFERROR(100*((AM91/E91*(2400))/((F91*60+G91)*SUMIFS(팀공격력!AR:AR,팀공격력!A:A,B91,팀공격력!B:B,D91))),"")</f>
        <v>0</v>
      </c>
      <c r="BN91" s="67">
        <f>IFERROR((AO91*40)/(((F91*60+G91)/60)*(SUMIFS(팀수비력!Q:Q,팀수비력!A:A,B91,팀수비력!B:B,D91)-SUMIFS(팀수비력!N:N,팀수비력!A:A,B91,팀수비력!B:B,D91)))*100,"")</f>
        <v>0</v>
      </c>
      <c r="BO91" s="67">
        <f t="shared" si="70"/>
        <v>5.6689342403628116</v>
      </c>
      <c r="BP91" s="19"/>
      <c r="BQ91" s="19"/>
      <c r="BR91" s="19"/>
      <c r="BS91" s="19"/>
      <c r="BT91" s="20" t="s">
        <v>89</v>
      </c>
      <c r="BU91" s="21">
        <v>60000</v>
      </c>
      <c r="BV91" s="30" t="s">
        <v>90</v>
      </c>
      <c r="BW91" s="30">
        <v>15.92</v>
      </c>
      <c r="BX91" s="30">
        <v>32.22</v>
      </c>
      <c r="BY91" s="30">
        <v>16.3</v>
      </c>
      <c r="BZ91" s="35">
        <f t="shared" si="78"/>
        <v>1.4472727272727273</v>
      </c>
      <c r="CA91" s="35">
        <f t="shared" si="79"/>
        <v>2.9290909090909092</v>
      </c>
      <c r="CB91" s="35">
        <f t="shared" si="79"/>
        <v>1.4818181818181819</v>
      </c>
      <c r="CC91" s="36">
        <f t="shared" si="80"/>
        <v>10.126689636893719</v>
      </c>
      <c r="CD91" s="36">
        <f t="shared" si="81"/>
        <v>20.4950967399947</v>
      </c>
      <c r="CE91" s="36">
        <f t="shared" si="81"/>
        <v>10.368407103100981</v>
      </c>
      <c r="CF91" s="30">
        <v>1</v>
      </c>
      <c r="CG91" s="30">
        <v>10</v>
      </c>
    </row>
    <row r="92" spans="1:85" x14ac:dyDescent="0.4">
      <c r="A92" s="11" t="s">
        <v>85</v>
      </c>
      <c r="B92" s="11" t="s">
        <v>183</v>
      </c>
      <c r="C92" s="11" t="s">
        <v>187</v>
      </c>
      <c r="D92" s="46" t="s">
        <v>88</v>
      </c>
      <c r="E92" s="15">
        <v>24</v>
      </c>
      <c r="F92" s="15">
        <v>7</v>
      </c>
      <c r="G92" s="15">
        <v>9</v>
      </c>
      <c r="H92" s="16">
        <f t="shared" si="45"/>
        <v>10296</v>
      </c>
      <c r="I92" s="16">
        <v>10</v>
      </c>
      <c r="J92" s="17">
        <f t="shared" si="46"/>
        <v>0.41666666666666669</v>
      </c>
      <c r="K92" s="15">
        <v>2</v>
      </c>
      <c r="L92" s="15">
        <v>10</v>
      </c>
      <c r="M92" s="17">
        <f t="shared" si="47"/>
        <v>8.3333333333333329E-2</v>
      </c>
      <c r="N92" s="17">
        <f t="shared" si="48"/>
        <v>0.41666666666666669</v>
      </c>
      <c r="O92" s="18">
        <f t="shared" si="49"/>
        <v>0.2</v>
      </c>
      <c r="P92" s="16">
        <v>2</v>
      </c>
      <c r="Q92" s="15">
        <v>10</v>
      </c>
      <c r="R92" s="17">
        <f t="shared" si="50"/>
        <v>8.3333333333333329E-2</v>
      </c>
      <c r="S92" s="17">
        <f t="shared" si="51"/>
        <v>0.41666666666666669</v>
      </c>
      <c r="T92" s="18">
        <f t="shared" si="52"/>
        <v>0.2</v>
      </c>
      <c r="U92" s="15">
        <v>0</v>
      </c>
      <c r="V92" s="15">
        <v>0</v>
      </c>
      <c r="W92" s="17">
        <f t="shared" si="53"/>
        <v>0</v>
      </c>
      <c r="X92" s="17">
        <f t="shared" si="54"/>
        <v>0</v>
      </c>
      <c r="Y92" s="18" t="e">
        <f t="shared" si="55"/>
        <v>#DIV/0!</v>
      </c>
      <c r="Z92" s="15">
        <v>6</v>
      </c>
      <c r="AA92" s="15">
        <v>8</v>
      </c>
      <c r="AB92" s="17">
        <f t="shared" si="56"/>
        <v>0.25</v>
      </c>
      <c r="AC92" s="17">
        <f t="shared" si="57"/>
        <v>0.33333333333333331</v>
      </c>
      <c r="AD92" s="18">
        <f t="shared" si="58"/>
        <v>0.75</v>
      </c>
      <c r="AE92" s="15">
        <v>41</v>
      </c>
      <c r="AF92" s="17">
        <f t="shared" si="59"/>
        <v>1.7083333333333333</v>
      </c>
      <c r="AG92" s="15">
        <v>19</v>
      </c>
      <c r="AH92" s="17">
        <f t="shared" si="60"/>
        <v>0.79166666666666663</v>
      </c>
      <c r="AI92" s="15">
        <v>22</v>
      </c>
      <c r="AJ92" s="17">
        <f t="shared" si="61"/>
        <v>0.91666666666666663</v>
      </c>
      <c r="AK92" s="15">
        <v>14</v>
      </c>
      <c r="AL92" s="17">
        <f t="shared" si="62"/>
        <v>0.58333333333333337</v>
      </c>
      <c r="AM92" s="15">
        <v>6</v>
      </c>
      <c r="AN92" s="17">
        <f t="shared" si="63"/>
        <v>0.25</v>
      </c>
      <c r="AO92" s="15">
        <v>3</v>
      </c>
      <c r="AP92" s="17">
        <f t="shared" si="71"/>
        <v>0.125</v>
      </c>
      <c r="AQ92" s="4">
        <v>7</v>
      </c>
      <c r="AR92" s="17">
        <f t="shared" si="64"/>
        <v>0.29166666666666669</v>
      </c>
      <c r="AS92" s="15">
        <v>31</v>
      </c>
      <c r="AT92" s="17">
        <f t="shared" si="65"/>
        <v>1.2916666666666667</v>
      </c>
      <c r="AU92" s="19">
        <v>8.9267047799697546E-2</v>
      </c>
      <c r="AV92" s="19">
        <v>2.0808169650279151E-2</v>
      </c>
      <c r="AW92" s="19">
        <v>4.5244201805180323E-2</v>
      </c>
      <c r="AX92" s="19">
        <v>4.402284599451723E-2</v>
      </c>
      <c r="AY92" s="19">
        <v>107.48487559910281</v>
      </c>
      <c r="AZ92" s="19">
        <v>117.35375143987601</v>
      </c>
      <c r="BA92" s="19">
        <v>1.7296173019522021</v>
      </c>
      <c r="BB92" s="19">
        <v>2.375</v>
      </c>
      <c r="BC92" s="19">
        <v>13.28671328671329</v>
      </c>
      <c r="BD92" s="65">
        <f t="shared" si="66"/>
        <v>36.982248520710058</v>
      </c>
      <c r="BE92" s="65">
        <f t="shared" si="67"/>
        <v>20</v>
      </c>
      <c r="BF92" s="66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2.3844946492381647</v>
      </c>
      <c r="BG92" s="38">
        <f t="shared" si="68"/>
        <v>0</v>
      </c>
      <c r="BH92" s="38">
        <f t="shared" si="69"/>
        <v>0.8</v>
      </c>
      <c r="BI92" s="67">
        <f>IFERROR(((AG92*(12000/5))/((F92*60+G92)*(SUMIFS(팀공격력!X:X,팀공격력!A:A,B92,팀공격력!B:B,D92)+SUMIFS(팀수비력!X:X,팀수비력!A:A,B92,팀수비력!B:B,D92))))*100,"")</f>
        <v>2.5386602888394147</v>
      </c>
      <c r="BJ92" s="67">
        <f>IFERROR(((AI92*(12000/5))/((F92*60+G92)*(SUMIFS(팀공격력!V:V,팀공격력!A:A,B92,팀공격력!B:B,D92)+SUMIFS(팀수비력!W:W,팀수비력!A:A,B92,팀수비력!B:B,D92))))*100,"")</f>
        <v>5.9862316671655194</v>
      </c>
      <c r="BK92" s="67">
        <f>IFERROR(((AE92*(12000/5))/((F92*60+G92)*(SUMIFS(팀공격력!X:X,팀공격력!A:A,B92,팀공격력!B:B,D92)+SUMIFS(팀수비력!X:X,팀수비력!A:A,B92,팀수비력!B:B,D92))))*100,"")</f>
        <v>5.4781616759166321</v>
      </c>
      <c r="BL92" s="67">
        <f>IFERROR(100*AK92/(((((F92*60+G92)/(12000/5))*SUMIFS(팀공격력!P:P,팀공격력!A:A,B92,팀공격력!B:B,D92))-K92)),"")</f>
        <v>4.8895699361299938</v>
      </c>
      <c r="BM92" s="67">
        <f>IFERROR(100*((AM92/E92*(2400))/((F92*60+G92)*SUMIFS(팀공격력!AR:AR,팀공격력!A:A,B92,팀공격력!B:B,D92))),"")</f>
        <v>1.8905514598385749</v>
      </c>
      <c r="BN92" s="67">
        <f>IFERROR((AO92*40)/(((F92*60+G92)/60)*(SUMIFS(팀수비력!Q:Q,팀수비력!A:A,B92,팀수비력!B:B,D92)-SUMIFS(팀수비력!N:N,팀수비력!A:A,B92,팀수비력!B:B,D92)))*100,"")</f>
        <v>0.68279970639612619</v>
      </c>
      <c r="BO92" s="67">
        <f t="shared" si="70"/>
        <v>34.113060428849906</v>
      </c>
      <c r="BP92" s="19"/>
      <c r="BQ92" s="19"/>
      <c r="BR92" s="19"/>
      <c r="BS92" s="19"/>
      <c r="BT92" s="20" t="s">
        <v>89</v>
      </c>
      <c r="BU92" s="21"/>
      <c r="BV92" s="31" t="s">
        <v>102</v>
      </c>
      <c r="BW92" s="31">
        <v>113.33</v>
      </c>
      <c r="BX92" s="31">
        <v>133.43</v>
      </c>
      <c r="BY92" s="31">
        <v>20.100000000000001</v>
      </c>
      <c r="BZ92" s="35">
        <f t="shared" si="78"/>
        <v>4.722083333333333</v>
      </c>
      <c r="CA92" s="35">
        <f t="shared" si="79"/>
        <v>5.5595833333333333</v>
      </c>
      <c r="CB92" s="35">
        <f t="shared" si="79"/>
        <v>0.83750000000000002</v>
      </c>
      <c r="CC92" s="36">
        <f t="shared" si="80"/>
        <v>26.417249417249415</v>
      </c>
      <c r="CD92" s="36">
        <f t="shared" si="81"/>
        <v>31.102564102564102</v>
      </c>
      <c r="CE92" s="36">
        <f t="shared" si="81"/>
        <v>4.685314685314685</v>
      </c>
      <c r="CF92" s="31">
        <v>5</v>
      </c>
      <c r="CG92" s="31">
        <v>19</v>
      </c>
    </row>
    <row r="93" spans="1:85" x14ac:dyDescent="0.4">
      <c r="A93" s="11" t="s">
        <v>85</v>
      </c>
      <c r="B93" s="11" t="s">
        <v>183</v>
      </c>
      <c r="C93" s="11" t="s">
        <v>188</v>
      </c>
      <c r="D93" s="46" t="s">
        <v>88</v>
      </c>
      <c r="E93" s="15">
        <v>36</v>
      </c>
      <c r="F93" s="15">
        <v>21</v>
      </c>
      <c r="G93" s="15">
        <v>28</v>
      </c>
      <c r="H93" s="16">
        <f t="shared" si="45"/>
        <v>46368</v>
      </c>
      <c r="I93" s="16">
        <v>219</v>
      </c>
      <c r="J93" s="17">
        <f t="shared" si="46"/>
        <v>6.083333333333333</v>
      </c>
      <c r="K93" s="15">
        <v>66</v>
      </c>
      <c r="L93" s="15">
        <v>214</v>
      </c>
      <c r="M93" s="17">
        <f t="shared" si="47"/>
        <v>1.8333333333333333</v>
      </c>
      <c r="N93" s="17">
        <f t="shared" si="48"/>
        <v>5.9444444444444446</v>
      </c>
      <c r="O93" s="18">
        <f t="shared" si="49"/>
        <v>0.30841121495327101</v>
      </c>
      <c r="P93" s="16">
        <v>34</v>
      </c>
      <c r="Q93" s="15">
        <v>93</v>
      </c>
      <c r="R93" s="17">
        <f t="shared" si="50"/>
        <v>0.94444444444444442</v>
      </c>
      <c r="S93" s="17">
        <f t="shared" si="51"/>
        <v>2.5833333333333335</v>
      </c>
      <c r="T93" s="18">
        <f t="shared" si="52"/>
        <v>0.36559139784946237</v>
      </c>
      <c r="U93" s="15">
        <v>32</v>
      </c>
      <c r="V93" s="15">
        <v>121</v>
      </c>
      <c r="W93" s="17">
        <f t="shared" si="53"/>
        <v>0.88888888888888884</v>
      </c>
      <c r="X93" s="17">
        <f t="shared" si="54"/>
        <v>3.3611111111111112</v>
      </c>
      <c r="Y93" s="18">
        <f t="shared" si="55"/>
        <v>0.26446280991735538</v>
      </c>
      <c r="Z93" s="15">
        <v>55</v>
      </c>
      <c r="AA93" s="15">
        <v>66</v>
      </c>
      <c r="AB93" s="17">
        <f t="shared" si="56"/>
        <v>1.5277777777777777</v>
      </c>
      <c r="AC93" s="17">
        <f t="shared" si="57"/>
        <v>1.8333333333333333</v>
      </c>
      <c r="AD93" s="18">
        <f t="shared" si="58"/>
        <v>0.83333333333333337</v>
      </c>
      <c r="AE93" s="15">
        <v>90</v>
      </c>
      <c r="AF93" s="17">
        <f t="shared" si="59"/>
        <v>2.5</v>
      </c>
      <c r="AG93" s="15">
        <v>14</v>
      </c>
      <c r="AH93" s="17">
        <f t="shared" si="60"/>
        <v>0.3888888888888889</v>
      </c>
      <c r="AI93" s="15">
        <v>76</v>
      </c>
      <c r="AJ93" s="17">
        <f t="shared" si="61"/>
        <v>2.1111111111111112</v>
      </c>
      <c r="AK93" s="15">
        <v>124</v>
      </c>
      <c r="AL93" s="17">
        <f t="shared" si="62"/>
        <v>3.4444444444444446</v>
      </c>
      <c r="AM93" s="15">
        <v>21</v>
      </c>
      <c r="AN93" s="17">
        <f t="shared" si="63"/>
        <v>0.58333333333333337</v>
      </c>
      <c r="AO93" s="15">
        <v>0</v>
      </c>
      <c r="AP93" s="17">
        <f t="shared" si="71"/>
        <v>0</v>
      </c>
      <c r="AQ93" s="4">
        <v>47</v>
      </c>
      <c r="AR93" s="17">
        <f t="shared" si="64"/>
        <v>1.3055555555555556</v>
      </c>
      <c r="AS93" s="15">
        <v>83</v>
      </c>
      <c r="AT93" s="17">
        <f t="shared" si="65"/>
        <v>2.3055555555555554</v>
      </c>
      <c r="AU93" s="19">
        <v>-0.38346132206635702</v>
      </c>
      <c r="AV93" s="19">
        <v>-1.984789451689218E-2</v>
      </c>
      <c r="AW93" s="19">
        <v>-0.29248302061118397</v>
      </c>
      <c r="AX93" s="19">
        <v>-9.0978301455172939E-2</v>
      </c>
      <c r="AY93" s="19">
        <v>98.369148430648465</v>
      </c>
      <c r="AZ93" s="19">
        <v>120.6348945860648</v>
      </c>
      <c r="BA93" s="19">
        <v>3.949933373171794</v>
      </c>
      <c r="BB93" s="19">
        <v>6.8888888888888893</v>
      </c>
      <c r="BC93" s="19">
        <v>12.836438923395439</v>
      </c>
      <c r="BD93" s="65">
        <f t="shared" si="66"/>
        <v>45.054312047399605</v>
      </c>
      <c r="BE93" s="65">
        <f t="shared" si="67"/>
        <v>38.31775700934579</v>
      </c>
      <c r="BF93" s="66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11.225826388128418</v>
      </c>
      <c r="BG93" s="38">
        <f t="shared" si="68"/>
        <v>0.56542056074766356</v>
      </c>
      <c r="BH93" s="38">
        <f t="shared" si="69"/>
        <v>0.30841121495327101</v>
      </c>
      <c r="BI93" s="67">
        <f>IFERROR(((AG93*(12000/5))/((F93*60+G93)*(SUMIFS(팀공격력!X:X,팀공격력!A:A,B93,팀공격력!B:B,D93)+SUMIFS(팀수비력!X:X,팀수비력!A:A,B93,팀수비력!B:B,D93))))*100,"")</f>
        <v>0.62304648965223619</v>
      </c>
      <c r="BJ93" s="67">
        <f>IFERROR(((AI93*(12000/5))/((F93*60+G93)*(SUMIFS(팀공격력!V:V,팀공격력!A:A,B93,팀공격력!B:B,D93)+SUMIFS(팀수비력!W:W,팀수비력!A:A,B93,팀수비력!B:B,D93))))*100,"")</f>
        <v>6.8878845735553567</v>
      </c>
      <c r="BK93" s="67">
        <f>IFERROR(((AE93*(12000/5))/((F93*60+G93)*(SUMIFS(팀공격력!X:X,팀공격력!A:A,B93,팀공격력!B:B,D93)+SUMIFS(팀수비력!X:X,팀수비력!A:A,B93,팀수비력!B:B,D93))))*100,"")</f>
        <v>4.0052988620500898</v>
      </c>
      <c r="BL93" s="67">
        <f>IFERROR(100*AK93/(((((F93*60+G93)/(12000/5))*SUMIFS(팀공격력!P:P,팀공격력!A:A,B93,팀공격력!B:B,D93))-K93)),"")</f>
        <v>15.506913498934942</v>
      </c>
      <c r="BM93" s="67">
        <f>IFERROR(100*((AM93/E93*(2400))/((F93*60+G93)*SUMIFS(팀공격력!AR:AR,팀공격력!A:A,B93,팀공격력!B:B,D93))),"")</f>
        <v>1.4692872758528053</v>
      </c>
      <c r="BN93" s="67">
        <f>IFERROR((AO93*40)/(((F93*60+G93)/60)*(SUMIFS(팀수비력!Q:Q,팀수비력!A:A,B93,팀수비력!B:B,D93)-SUMIFS(팀수비력!N:N,팀수비력!A:A,B93,팀수비력!B:B,D93)))*100,"")</f>
        <v>0</v>
      </c>
      <c r="BO93" s="67">
        <f t="shared" si="70"/>
        <v>16.204661426010208</v>
      </c>
      <c r="BP93" s="19"/>
      <c r="BQ93" s="19"/>
      <c r="BR93" s="19"/>
      <c r="BS93" s="19"/>
      <c r="BT93" s="20" t="s">
        <v>89</v>
      </c>
      <c r="BU93" s="21">
        <v>60000</v>
      </c>
      <c r="BV93" s="30" t="s">
        <v>90</v>
      </c>
      <c r="BW93" s="30">
        <v>503.85</v>
      </c>
      <c r="BX93" s="30">
        <v>722.25</v>
      </c>
      <c r="BY93" s="30">
        <v>218.4</v>
      </c>
      <c r="BZ93" s="35">
        <f t="shared" si="78"/>
        <v>13.995833333333334</v>
      </c>
      <c r="CA93" s="35">
        <f t="shared" si="79"/>
        <v>20.0625</v>
      </c>
      <c r="CB93" s="35">
        <f t="shared" si="79"/>
        <v>6.0666666666666664</v>
      </c>
      <c r="CC93" s="36">
        <f t="shared" si="80"/>
        <v>26.079192546583851</v>
      </c>
      <c r="CD93" s="36">
        <f t="shared" si="81"/>
        <v>37.383540372670808</v>
      </c>
      <c r="CE93" s="36">
        <f t="shared" si="81"/>
        <v>11.304347826086957</v>
      </c>
      <c r="CF93" s="31">
        <v>5</v>
      </c>
      <c r="CG93" s="31">
        <v>31</v>
      </c>
    </row>
    <row r="94" spans="1:85" x14ac:dyDescent="0.4">
      <c r="A94" s="11" t="s">
        <v>85</v>
      </c>
      <c r="B94" s="11" t="s">
        <v>183</v>
      </c>
      <c r="C94" s="11" t="s">
        <v>189</v>
      </c>
      <c r="D94" s="46" t="s">
        <v>88</v>
      </c>
      <c r="E94" s="15">
        <v>2</v>
      </c>
      <c r="F94" s="15">
        <v>6</v>
      </c>
      <c r="G94" s="15">
        <v>37</v>
      </c>
      <c r="H94" s="16">
        <f t="shared" si="45"/>
        <v>794</v>
      </c>
      <c r="I94" s="16">
        <v>0</v>
      </c>
      <c r="J94" s="17">
        <f t="shared" si="46"/>
        <v>0</v>
      </c>
      <c r="K94" s="15">
        <v>0</v>
      </c>
      <c r="L94" s="15">
        <v>4</v>
      </c>
      <c r="M94" s="17">
        <f t="shared" si="47"/>
        <v>0</v>
      </c>
      <c r="N94" s="17">
        <f t="shared" si="48"/>
        <v>2</v>
      </c>
      <c r="O94" s="18">
        <f t="shared" si="49"/>
        <v>0</v>
      </c>
      <c r="P94" s="16">
        <v>0</v>
      </c>
      <c r="Q94" s="15">
        <v>2</v>
      </c>
      <c r="R94" s="17">
        <f t="shared" si="50"/>
        <v>0</v>
      </c>
      <c r="S94" s="17">
        <f t="shared" si="51"/>
        <v>1</v>
      </c>
      <c r="T94" s="18">
        <f t="shared" si="52"/>
        <v>0</v>
      </c>
      <c r="U94" s="15">
        <v>0</v>
      </c>
      <c r="V94" s="15">
        <v>2</v>
      </c>
      <c r="W94" s="17">
        <f t="shared" si="53"/>
        <v>0</v>
      </c>
      <c r="X94" s="17">
        <f t="shared" si="54"/>
        <v>1</v>
      </c>
      <c r="Y94" s="18">
        <f t="shared" si="55"/>
        <v>0</v>
      </c>
      <c r="Z94" s="15">
        <v>0</v>
      </c>
      <c r="AA94" s="15">
        <v>0</v>
      </c>
      <c r="AB94" s="17">
        <f t="shared" si="56"/>
        <v>0</v>
      </c>
      <c r="AC94" s="17">
        <f t="shared" si="57"/>
        <v>0</v>
      </c>
      <c r="AD94" s="18" t="e">
        <f t="shared" si="58"/>
        <v>#DIV/0!</v>
      </c>
      <c r="AE94" s="15">
        <v>2</v>
      </c>
      <c r="AF94" s="17">
        <f t="shared" si="59"/>
        <v>1</v>
      </c>
      <c r="AG94" s="15">
        <v>0</v>
      </c>
      <c r="AH94" s="17">
        <f t="shared" si="60"/>
        <v>0</v>
      </c>
      <c r="AI94" s="15">
        <v>2</v>
      </c>
      <c r="AJ94" s="17">
        <f t="shared" si="61"/>
        <v>1</v>
      </c>
      <c r="AK94" s="15">
        <v>0</v>
      </c>
      <c r="AL94" s="17">
        <f t="shared" si="62"/>
        <v>0</v>
      </c>
      <c r="AM94" s="15">
        <v>0</v>
      </c>
      <c r="AN94" s="17">
        <f t="shared" si="63"/>
        <v>0</v>
      </c>
      <c r="AO94" s="15">
        <v>0</v>
      </c>
      <c r="AP94" s="17">
        <f t="shared" si="71"/>
        <v>0</v>
      </c>
      <c r="AQ94" s="4">
        <v>1</v>
      </c>
      <c r="AR94" s="17">
        <f t="shared" si="64"/>
        <v>0.5</v>
      </c>
      <c r="AS94" s="15">
        <v>3</v>
      </c>
      <c r="AT94" s="17">
        <f t="shared" si="65"/>
        <v>1.5</v>
      </c>
      <c r="AU94" s="19">
        <v>-0.12770126078304489</v>
      </c>
      <c r="AV94" s="19">
        <v>-0.38599877314774289</v>
      </c>
      <c r="AW94" s="19">
        <v>-0.12501772174385381</v>
      </c>
      <c r="AX94" s="19">
        <v>-2.6835390391911689E-3</v>
      </c>
      <c r="AY94" s="19">
        <v>0</v>
      </c>
      <c r="AZ94" s="19">
        <v>121.38060593911089</v>
      </c>
      <c r="BA94" s="19">
        <v>-0.6577440041249083</v>
      </c>
      <c r="BB94" s="19">
        <v>-1.5</v>
      </c>
      <c r="BC94" s="19">
        <v>-9.0680100755667521</v>
      </c>
      <c r="BD94" s="65">
        <f t="shared" si="66"/>
        <v>0</v>
      </c>
      <c r="BE94" s="65">
        <f t="shared" si="67"/>
        <v>0</v>
      </c>
      <c r="BF94" s="66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0.62784983656859472</v>
      </c>
      <c r="BG94" s="38">
        <f t="shared" si="68"/>
        <v>0.5</v>
      </c>
      <c r="BH94" s="38">
        <f t="shared" si="69"/>
        <v>0</v>
      </c>
      <c r="BI94" s="67">
        <f>IFERROR(((AG94*(12000/5))/((F94*60+G94)*(SUMIFS(팀공격력!X:X,팀공격력!A:A,B94,팀공격력!B:B,D94)+SUMIFS(팀수비력!X:X,팀수비력!A:A,B94,팀수비력!B:B,D94))))*100,"")</f>
        <v>0</v>
      </c>
      <c r="BJ94" s="67">
        <f>IFERROR(((AI94*(12000/5))/((F94*60+G94)*(SUMIFS(팀공격력!V:V,팀공격력!A:A,B94,팀공격력!B:B,D94)+SUMIFS(팀수비력!W:W,팀수비력!A:A,B94,팀수비력!B:B,D94))))*100,"")</f>
        <v>0.58806809828578155</v>
      </c>
      <c r="BK94" s="67">
        <f>IFERROR(((AE94*(12000/5))/((F94*60+G94)*(SUMIFS(팀공격력!X:X,팀공격력!A:A,B94,팀공격력!B:B,D94)+SUMIFS(팀수비력!X:X,팀수비력!A:A,B94,팀수비력!B:B,D94))))*100,"")</f>
        <v>0.28876713878088528</v>
      </c>
      <c r="BL94" s="67">
        <f>IFERROR(100*AK94/(((((F94*60+G94)/(12000/5))*SUMIFS(팀공격력!P:P,팀공격력!A:A,B94,팀공격력!B:B,D94))-K94)),"")</f>
        <v>0</v>
      </c>
      <c r="BM94" s="67">
        <f>IFERROR(100*((AM94/E94*(2400))/((F94*60+G94)*SUMIFS(팀공격력!AR:AR,팀공격력!A:A,B94,팀공격력!B:B,D94))),"")</f>
        <v>0</v>
      </c>
      <c r="BN94" s="67">
        <f>IFERROR((AO94*40)/(((F94*60+G94)/60)*(SUMIFS(팀수비력!Q:Q,팀수비력!A:A,B94,팀수비력!B:B,D94)-SUMIFS(팀수비력!N:N,팀수비력!A:A,B94,팀수비력!B:B,D94)))*100,"")</f>
        <v>0</v>
      </c>
      <c r="BO94" s="67">
        <f t="shared" si="70"/>
        <v>20</v>
      </c>
      <c r="BP94" s="19"/>
      <c r="BQ94" s="19"/>
      <c r="BR94" s="19"/>
      <c r="BS94" s="19"/>
      <c r="BT94" s="20" t="s">
        <v>89</v>
      </c>
      <c r="BU94" s="21">
        <v>85000</v>
      </c>
      <c r="BV94" s="30" t="s">
        <v>90</v>
      </c>
      <c r="BW94" s="30">
        <v>0</v>
      </c>
      <c r="BX94" s="30">
        <v>5.3</v>
      </c>
      <c r="BY94" s="30">
        <v>5.3</v>
      </c>
      <c r="BZ94" s="35">
        <f t="shared" si="78"/>
        <v>0</v>
      </c>
      <c r="CA94" s="35">
        <f t="shared" si="79"/>
        <v>2.65</v>
      </c>
      <c r="CB94" s="35">
        <f t="shared" si="79"/>
        <v>2.65</v>
      </c>
      <c r="CC94" s="36">
        <f t="shared" si="80"/>
        <v>0</v>
      </c>
      <c r="CD94" s="36">
        <f t="shared" si="81"/>
        <v>16.020151133501258</v>
      </c>
      <c r="CE94" s="36">
        <f t="shared" si="81"/>
        <v>16.020151133501258</v>
      </c>
      <c r="CF94" s="30">
        <v>0</v>
      </c>
      <c r="CG94" s="30">
        <v>2</v>
      </c>
    </row>
    <row r="95" spans="1:85" x14ac:dyDescent="0.4">
      <c r="A95" s="11" t="s">
        <v>85</v>
      </c>
      <c r="B95" s="11" t="s">
        <v>183</v>
      </c>
      <c r="C95" s="11" t="s">
        <v>190</v>
      </c>
      <c r="D95" s="46" t="s">
        <v>88</v>
      </c>
      <c r="E95" s="10">
        <v>2</v>
      </c>
      <c r="F95" s="10">
        <v>7</v>
      </c>
      <c r="G95" s="10">
        <v>0</v>
      </c>
      <c r="H95" s="16">
        <f t="shared" si="45"/>
        <v>840</v>
      </c>
      <c r="I95" s="16">
        <v>4</v>
      </c>
      <c r="J95" s="17">
        <f t="shared" si="46"/>
        <v>2</v>
      </c>
      <c r="K95" s="15">
        <v>2</v>
      </c>
      <c r="L95" s="15">
        <v>6</v>
      </c>
      <c r="M95" s="17">
        <f t="shared" si="47"/>
        <v>1</v>
      </c>
      <c r="N95" s="17">
        <f t="shared" si="48"/>
        <v>3</v>
      </c>
      <c r="O95" s="18">
        <f t="shared" si="49"/>
        <v>0.33333333333333331</v>
      </c>
      <c r="P95" s="16">
        <v>2</v>
      </c>
      <c r="Q95" s="15">
        <v>6</v>
      </c>
      <c r="R95" s="17">
        <f t="shared" si="50"/>
        <v>1</v>
      </c>
      <c r="S95" s="17">
        <f t="shared" si="51"/>
        <v>3</v>
      </c>
      <c r="T95" s="18">
        <f t="shared" si="52"/>
        <v>0.33333333333333331</v>
      </c>
      <c r="U95" s="15">
        <v>0</v>
      </c>
      <c r="V95" s="15">
        <v>0</v>
      </c>
      <c r="W95" s="17">
        <f t="shared" si="53"/>
        <v>0</v>
      </c>
      <c r="X95" s="17">
        <f t="shared" si="54"/>
        <v>0</v>
      </c>
      <c r="Y95" s="18" t="e">
        <f t="shared" si="55"/>
        <v>#DIV/0!</v>
      </c>
      <c r="Z95" s="9">
        <v>0</v>
      </c>
      <c r="AA95" s="9">
        <v>0</v>
      </c>
      <c r="AB95" s="17">
        <f t="shared" si="56"/>
        <v>0</v>
      </c>
      <c r="AC95" s="17">
        <f t="shared" si="57"/>
        <v>0</v>
      </c>
      <c r="AD95" s="18" t="e">
        <f t="shared" si="58"/>
        <v>#DIV/0!</v>
      </c>
      <c r="AE95" s="15">
        <v>1</v>
      </c>
      <c r="AF95" s="17">
        <f t="shared" si="59"/>
        <v>0.5</v>
      </c>
      <c r="AG95" s="15">
        <v>1</v>
      </c>
      <c r="AH95" s="17">
        <f t="shared" si="60"/>
        <v>0.5</v>
      </c>
      <c r="AI95" s="15">
        <v>0</v>
      </c>
      <c r="AJ95" s="17">
        <f t="shared" si="61"/>
        <v>0</v>
      </c>
      <c r="AK95" s="15">
        <v>0</v>
      </c>
      <c r="AL95" s="17">
        <f t="shared" si="62"/>
        <v>0</v>
      </c>
      <c r="AM95" s="15">
        <v>0</v>
      </c>
      <c r="AN95" s="17">
        <f t="shared" si="63"/>
        <v>0</v>
      </c>
      <c r="AO95" s="7">
        <v>0</v>
      </c>
      <c r="AP95" s="17">
        <f t="shared" si="71"/>
        <v>0</v>
      </c>
      <c r="AQ95" s="6">
        <v>0</v>
      </c>
      <c r="AR95" s="17">
        <f t="shared" si="64"/>
        <v>0</v>
      </c>
      <c r="AS95" s="15">
        <v>1</v>
      </c>
      <c r="AT95" s="17">
        <f t="shared" si="65"/>
        <v>0.5</v>
      </c>
      <c r="AU95" s="19">
        <v>-4.8446116751289667E-2</v>
      </c>
      <c r="AV95" s="19">
        <v>-0.13841747643225619</v>
      </c>
      <c r="AW95" s="19">
        <v>-3.4881705518903683E-2</v>
      </c>
      <c r="AX95" s="19">
        <v>-1.3564411232385991E-2</v>
      </c>
      <c r="AY95" s="19">
        <v>78.675766927153489</v>
      </c>
      <c r="AZ95" s="19">
        <v>128.09685765981331</v>
      </c>
      <c r="BA95" s="19">
        <v>4.5252361084678012E-2</v>
      </c>
      <c r="BB95" s="19">
        <v>0.5</v>
      </c>
      <c r="BC95" s="19">
        <v>2.8571428571428572</v>
      </c>
      <c r="BD95" s="65">
        <f t="shared" si="66"/>
        <v>33.333333333333329</v>
      </c>
      <c r="BE95" s="65">
        <f t="shared" si="67"/>
        <v>33.333333333333329</v>
      </c>
      <c r="BF95" s="66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0.71216110033637747</v>
      </c>
      <c r="BG95" s="38">
        <f t="shared" si="68"/>
        <v>0</v>
      </c>
      <c r="BH95" s="38">
        <f t="shared" si="69"/>
        <v>0</v>
      </c>
      <c r="BI95" s="67">
        <f>IFERROR(((AG95*(12000/5))/((F95*60+G95)*(SUMIFS(팀공격력!X:X,팀공격력!A:A,B95,팀공격력!B:B,D95)+SUMIFS(팀수비력!X:X,팀수비력!A:A,B95,팀수비력!B:B,D95))))*100,"")</f>
        <v>0.13647685011429936</v>
      </c>
      <c r="BJ95" s="67">
        <f>IFERROR(((AI95*(12000/5))/((F95*60+G95)*(SUMIFS(팀공격력!V:V,팀공격력!A:A,B95,팀공격력!B:B,D95)+SUMIFS(팀수비력!W:W,팀수비력!A:A,B95,팀수비력!B:B,D95))))*100,"")</f>
        <v>0</v>
      </c>
      <c r="BK95" s="67">
        <f>IFERROR(((AE95*(12000/5))/((F95*60+G95)*(SUMIFS(팀공격력!X:X,팀공격력!A:A,B95,팀공격력!B:B,D95)+SUMIFS(팀수비력!X:X,팀수비력!A:A,B95,팀수비력!B:B,D95))))*100,"")</f>
        <v>0.13647685011429936</v>
      </c>
      <c r="BL95" s="67">
        <f>IFERROR(100*AK95/(((((F95*60+G95)/(12000/5))*SUMIFS(팀공격력!P:P,팀공격력!A:A,B95,팀공격력!B:B,D95))-K95)),"")</f>
        <v>0</v>
      </c>
      <c r="BM95" s="67">
        <f>IFERROR(100*((AM95/E95*(2400))/((F95*60+G95)*SUMIFS(팀공격력!AR:AR,팀공격력!A:A,B95,팀공격력!B:B,D95))),"")</f>
        <v>0</v>
      </c>
      <c r="BN95" s="67">
        <f>IFERROR((AO95*40)/(((F95*60+G95)/60)*(SUMIFS(팀수비력!Q:Q,팀수비력!A:A,B95,팀수비력!B:B,D95)-SUMIFS(팀수비력!N:N,팀수비력!A:A,B95,팀수비력!B:B,D95)))*100,"")</f>
        <v>0</v>
      </c>
      <c r="BO95" s="67">
        <f t="shared" si="70"/>
        <v>0</v>
      </c>
      <c r="BP95" s="19"/>
      <c r="BQ95" s="19"/>
      <c r="BR95" s="19"/>
      <c r="BS95" s="19"/>
      <c r="BT95" s="20" t="s">
        <v>89</v>
      </c>
      <c r="BU95" s="21">
        <v>90000</v>
      </c>
      <c r="BV95" s="30" t="s">
        <v>102</v>
      </c>
      <c r="BW95" s="30">
        <v>5</v>
      </c>
      <c r="BX95" s="30">
        <v>9</v>
      </c>
      <c r="BY95" s="30">
        <v>4</v>
      </c>
      <c r="BZ95" s="35">
        <f t="shared" si="78"/>
        <v>2.5</v>
      </c>
      <c r="CA95" s="35">
        <f t="shared" si="79"/>
        <v>4.5</v>
      </c>
      <c r="CB95" s="35">
        <f t="shared" si="79"/>
        <v>2</v>
      </c>
      <c r="CC95" s="36">
        <f t="shared" si="80"/>
        <v>14.285714285714286</v>
      </c>
      <c r="CD95" s="36">
        <f t="shared" si="81"/>
        <v>25.714285714285715</v>
      </c>
      <c r="CE95" s="36">
        <f t="shared" si="81"/>
        <v>11.428571428571429</v>
      </c>
      <c r="CF95" s="30">
        <v>0</v>
      </c>
      <c r="CG95" s="30">
        <v>2</v>
      </c>
    </row>
    <row r="96" spans="1:85" x14ac:dyDescent="0.4">
      <c r="A96" s="11" t="s">
        <v>85</v>
      </c>
      <c r="B96" s="11" t="s">
        <v>183</v>
      </c>
      <c r="C96" s="14" t="s">
        <v>92</v>
      </c>
      <c r="D96" s="46" t="s">
        <v>88</v>
      </c>
      <c r="E96" s="15">
        <v>3</v>
      </c>
      <c r="F96" s="15">
        <v>8</v>
      </c>
      <c r="G96" s="15">
        <v>33</v>
      </c>
      <c r="H96" s="16">
        <f t="shared" si="45"/>
        <v>1539</v>
      </c>
      <c r="I96" s="16">
        <v>11</v>
      </c>
      <c r="J96" s="17">
        <f t="shared" si="46"/>
        <v>3.6666666666666665</v>
      </c>
      <c r="K96" s="15">
        <v>3</v>
      </c>
      <c r="L96" s="15">
        <v>8</v>
      </c>
      <c r="M96" s="17">
        <f t="shared" si="47"/>
        <v>1</v>
      </c>
      <c r="N96" s="17">
        <f t="shared" si="48"/>
        <v>2.6666666666666665</v>
      </c>
      <c r="O96" s="18">
        <f t="shared" si="49"/>
        <v>0.375</v>
      </c>
      <c r="P96" s="16">
        <v>0</v>
      </c>
      <c r="Q96" s="15">
        <v>1</v>
      </c>
      <c r="R96" s="17">
        <f t="shared" si="50"/>
        <v>0</v>
      </c>
      <c r="S96" s="17">
        <f t="shared" si="51"/>
        <v>0.33333333333333331</v>
      </c>
      <c r="T96" s="18">
        <f t="shared" si="52"/>
        <v>0</v>
      </c>
      <c r="U96" s="15">
        <v>3</v>
      </c>
      <c r="V96" s="15">
        <v>7</v>
      </c>
      <c r="W96" s="17">
        <f t="shared" si="53"/>
        <v>1</v>
      </c>
      <c r="X96" s="17">
        <f t="shared" si="54"/>
        <v>2.3333333333333335</v>
      </c>
      <c r="Y96" s="18">
        <f t="shared" si="55"/>
        <v>0.42857142857142855</v>
      </c>
      <c r="Z96" s="15">
        <v>2</v>
      </c>
      <c r="AA96" s="15">
        <v>2</v>
      </c>
      <c r="AB96" s="17">
        <f t="shared" si="56"/>
        <v>0.66666666666666663</v>
      </c>
      <c r="AC96" s="17">
        <f t="shared" si="57"/>
        <v>0.66666666666666663</v>
      </c>
      <c r="AD96" s="18">
        <f t="shared" si="58"/>
        <v>1</v>
      </c>
      <c r="AE96" s="15">
        <v>3</v>
      </c>
      <c r="AF96" s="17">
        <f t="shared" si="59"/>
        <v>1</v>
      </c>
      <c r="AG96" s="15">
        <v>1</v>
      </c>
      <c r="AH96" s="17">
        <f t="shared" si="60"/>
        <v>0.33333333333333331</v>
      </c>
      <c r="AI96" s="15">
        <v>2</v>
      </c>
      <c r="AJ96" s="17">
        <f t="shared" si="61"/>
        <v>0.66666666666666663</v>
      </c>
      <c r="AK96" s="15">
        <v>0</v>
      </c>
      <c r="AL96" s="17">
        <f t="shared" si="62"/>
        <v>0</v>
      </c>
      <c r="AM96" s="15">
        <v>0</v>
      </c>
      <c r="AN96" s="17">
        <f t="shared" si="63"/>
        <v>0</v>
      </c>
      <c r="AO96" s="15">
        <v>0</v>
      </c>
      <c r="AP96" s="17">
        <f t="shared" si="71"/>
        <v>0</v>
      </c>
      <c r="AQ96" s="4">
        <v>1</v>
      </c>
      <c r="AR96" s="17">
        <f t="shared" si="64"/>
        <v>0.33333333333333331</v>
      </c>
      <c r="AS96" s="15">
        <v>5</v>
      </c>
      <c r="AT96" s="17">
        <f t="shared" si="65"/>
        <v>1.6666666666666667</v>
      </c>
      <c r="AU96" s="19">
        <v>1.6069993038857179E-2</v>
      </c>
      <c r="AV96" s="19">
        <v>2.5060417994319181E-2</v>
      </c>
      <c r="AW96" s="19">
        <v>3.0477438330202888E-2</v>
      </c>
      <c r="AX96" s="19">
        <v>-1.4407445291345709E-2</v>
      </c>
      <c r="AY96" s="19">
        <v>114.30673399796029</v>
      </c>
      <c r="AZ96" s="19">
        <v>124.52707789397989</v>
      </c>
      <c r="BA96" s="19">
        <v>0.27994528824467818</v>
      </c>
      <c r="BB96" s="19">
        <v>2.666666666666667</v>
      </c>
      <c r="BC96" s="19">
        <v>12.47563352826511</v>
      </c>
      <c r="BD96" s="65">
        <f t="shared" si="66"/>
        <v>61.936936936936924</v>
      </c>
      <c r="BE96" s="65">
        <f t="shared" si="67"/>
        <v>56.25</v>
      </c>
      <c r="BF96" s="66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0.96009866860163506</v>
      </c>
      <c r="BG96" s="38">
        <f t="shared" si="68"/>
        <v>0.875</v>
      </c>
      <c r="BH96" s="38">
        <f t="shared" si="69"/>
        <v>0.25</v>
      </c>
      <c r="BI96" s="67">
        <f>IFERROR(((AG96*(12000/5))/((F96*60+G96)*(SUMIFS(팀공격력!X:X,팀공격력!A:A,B96,팀공격력!B:B,D96)+SUMIFS(팀수비력!X:X,팀수비력!A:A,B96,팀수비력!B:B,D96))))*100,"")</f>
        <v>0.11173543284211643</v>
      </c>
      <c r="BJ96" s="67">
        <f>IFERROR(((AI96*(12000/5))/((F96*60+G96)*(SUMIFS(팀공격력!V:V,팀공격력!A:A,B96,팀공격력!B:B,D96)+SUMIFS(팀수비력!W:W,팀수비력!A:A,B96,팀수비력!B:B,D96))))*100,"")</f>
        <v>0.4550936355155073</v>
      </c>
      <c r="BK96" s="67">
        <f>IFERROR(((AE96*(12000/5))/((F96*60+G96)*(SUMIFS(팀공격력!X:X,팀공격력!A:A,B96,팀공격력!B:B,D96)+SUMIFS(팀수비력!X:X,팀수비력!A:A,B96,팀수비력!B:B,D96))))*100,"")</f>
        <v>0.33520629852634931</v>
      </c>
      <c r="BL96" s="67">
        <f>IFERROR(100*AK96/(((((F96*60+G96)/(12000/5))*SUMIFS(팀공격력!P:P,팀공격력!A:A,B96,팀공격력!B:B,D96))-K96)),"")</f>
        <v>0</v>
      </c>
      <c r="BM96" s="67">
        <f>IFERROR(100*((AM96/E96*(2400))/((F96*60+G96)*SUMIFS(팀공격력!AR:AR,팀공격력!A:A,B96,팀공격력!B:B,D96))),"")</f>
        <v>0</v>
      </c>
      <c r="BN96" s="67">
        <f>IFERROR((AO96*40)/(((F96*60+G96)/60)*(SUMIFS(팀수비력!Q:Q,팀수비력!A:A,B96,팀수비력!B:B,D96)-SUMIFS(팀수비력!N:N,팀수비력!A:A,B96,팀수비력!B:B,D96)))*100,"")</f>
        <v>0</v>
      </c>
      <c r="BO96" s="67">
        <f t="shared" si="70"/>
        <v>10.121457489878543</v>
      </c>
      <c r="BP96" s="19"/>
      <c r="BQ96" s="19"/>
      <c r="BR96" s="19"/>
      <c r="BS96" s="19"/>
      <c r="BT96" s="20" t="s">
        <v>89</v>
      </c>
      <c r="BU96" s="21"/>
      <c r="BV96" s="30" t="s">
        <v>93</v>
      </c>
      <c r="BZ96" s="35"/>
      <c r="CA96" s="35"/>
      <c r="CB96" s="35"/>
      <c r="CC96" s="36"/>
      <c r="CD96" s="36"/>
      <c r="CE96" s="36"/>
      <c r="CF96" s="44">
        <v>0</v>
      </c>
      <c r="CG96" s="44">
        <v>3</v>
      </c>
    </row>
    <row r="97" spans="1:85" x14ac:dyDescent="0.4">
      <c r="A97" s="11" t="s">
        <v>85</v>
      </c>
      <c r="B97" s="11" t="s">
        <v>183</v>
      </c>
      <c r="C97" s="11" t="s">
        <v>191</v>
      </c>
      <c r="D97" s="46" t="s">
        <v>88</v>
      </c>
      <c r="E97" s="15">
        <v>43</v>
      </c>
      <c r="F97" s="15">
        <v>25</v>
      </c>
      <c r="G97" s="15">
        <v>29</v>
      </c>
      <c r="H97" s="16">
        <f t="shared" si="45"/>
        <v>65747</v>
      </c>
      <c r="I97" s="16">
        <v>292</v>
      </c>
      <c r="J97" s="17">
        <f t="shared" si="46"/>
        <v>6.7906976744186043</v>
      </c>
      <c r="K97" s="15">
        <v>107</v>
      </c>
      <c r="L97" s="15">
        <v>279</v>
      </c>
      <c r="M97" s="17">
        <f t="shared" si="47"/>
        <v>2.4883720930232558</v>
      </c>
      <c r="N97" s="17">
        <f t="shared" si="48"/>
        <v>6.4883720930232558</v>
      </c>
      <c r="O97" s="18">
        <f t="shared" si="49"/>
        <v>0.38351254480286739</v>
      </c>
      <c r="P97" s="16">
        <v>50</v>
      </c>
      <c r="Q97" s="15">
        <v>115</v>
      </c>
      <c r="R97" s="17">
        <f t="shared" si="50"/>
        <v>1.1627906976744187</v>
      </c>
      <c r="S97" s="17">
        <f t="shared" si="51"/>
        <v>2.6744186046511627</v>
      </c>
      <c r="T97" s="18">
        <f t="shared" si="52"/>
        <v>0.43478260869565216</v>
      </c>
      <c r="U97" s="15">
        <v>57</v>
      </c>
      <c r="V97" s="15">
        <v>164</v>
      </c>
      <c r="W97" s="17">
        <f t="shared" si="53"/>
        <v>1.3255813953488371</v>
      </c>
      <c r="X97" s="17">
        <f t="shared" si="54"/>
        <v>3.8139534883720931</v>
      </c>
      <c r="Y97" s="18">
        <f t="shared" si="55"/>
        <v>0.34756097560975607</v>
      </c>
      <c r="Z97" s="15">
        <v>21</v>
      </c>
      <c r="AA97" s="15">
        <v>31</v>
      </c>
      <c r="AB97" s="17">
        <f t="shared" si="56"/>
        <v>0.48837209302325579</v>
      </c>
      <c r="AC97" s="17">
        <f t="shared" si="57"/>
        <v>0.72093023255813948</v>
      </c>
      <c r="AD97" s="18">
        <f t="shared" si="58"/>
        <v>0.67741935483870963</v>
      </c>
      <c r="AE97" s="15">
        <v>108</v>
      </c>
      <c r="AF97" s="17">
        <f t="shared" si="59"/>
        <v>2.5116279069767442</v>
      </c>
      <c r="AG97" s="15">
        <v>16</v>
      </c>
      <c r="AH97" s="17">
        <f t="shared" si="60"/>
        <v>0.37209302325581395</v>
      </c>
      <c r="AI97" s="15">
        <v>92</v>
      </c>
      <c r="AJ97" s="17">
        <f t="shared" si="61"/>
        <v>2.13953488372093</v>
      </c>
      <c r="AK97" s="15">
        <v>57</v>
      </c>
      <c r="AL97" s="17">
        <f t="shared" si="62"/>
        <v>1.3255813953488371</v>
      </c>
      <c r="AM97" s="15">
        <v>22</v>
      </c>
      <c r="AN97" s="17">
        <f t="shared" si="63"/>
        <v>0.51162790697674421</v>
      </c>
      <c r="AO97" s="15">
        <v>7</v>
      </c>
      <c r="AP97" s="17">
        <f t="shared" si="71"/>
        <v>0.16279069767441862</v>
      </c>
      <c r="AQ97" s="4">
        <v>28</v>
      </c>
      <c r="AR97" s="17">
        <f t="shared" si="64"/>
        <v>0.65116279069767447</v>
      </c>
      <c r="AS97" s="15">
        <v>94</v>
      </c>
      <c r="AT97" s="17">
        <f t="shared" si="65"/>
        <v>2.1860465116279069</v>
      </c>
      <c r="AU97" s="19">
        <v>-0.32441935371494179</v>
      </c>
      <c r="AV97" s="19">
        <v>-1.184246351796828E-2</v>
      </c>
      <c r="AW97" s="19">
        <v>-4.9415477714445301E-2</v>
      </c>
      <c r="AX97" s="19">
        <v>-0.27500387600049653</v>
      </c>
      <c r="AY97" s="19">
        <v>101.2884885518019</v>
      </c>
      <c r="AZ97" s="19">
        <v>121.80298392511941</v>
      </c>
      <c r="BA97" s="19">
        <v>4.4129864376486019</v>
      </c>
      <c r="BB97" s="19">
        <v>6.4186046511627914</v>
      </c>
      <c r="BC97" s="19">
        <v>10.074984409935061</v>
      </c>
      <c r="BD97" s="65">
        <f t="shared" si="66"/>
        <v>49.890650628758884</v>
      </c>
      <c r="BE97" s="65">
        <f t="shared" si="67"/>
        <v>48.566308243727597</v>
      </c>
      <c r="BF97" s="66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10.45409644527791</v>
      </c>
      <c r="BG97" s="38">
        <f t="shared" si="68"/>
        <v>0.58781362007168458</v>
      </c>
      <c r="BH97" s="38">
        <f t="shared" si="69"/>
        <v>0.1111111111111111</v>
      </c>
      <c r="BI97" s="67">
        <f>IFERROR(((AG97*(12000/5))/((F97*60+G97)*(SUMIFS(팀공격력!X:X,팀공격력!A:A,B97,팀공격력!B:B,D97)+SUMIFS(팀수비력!X:X,팀수비력!A:A,B97,팀수비력!B:B,D97))))*100,"")</f>
        <v>0.59981977290261068</v>
      </c>
      <c r="BJ97" s="67">
        <f>IFERROR(((AI97*(12000/5))/((F97*60+G97)*(SUMIFS(팀공격력!V:V,팀공격력!A:A,B97,팀공격력!B:B,D97)+SUMIFS(팀수비력!W:W,팀수비력!A:A,B97,팀수비력!B:B,D97))))*100,"")</f>
        <v>7.0237407527108848</v>
      </c>
      <c r="BK97" s="67">
        <f>IFERROR(((AE97*(12000/5))/((F97*60+G97)*(SUMIFS(팀공격력!X:X,팀공격력!A:A,B97,팀공격력!B:B,D97)+SUMIFS(팀수비력!X:X,팀수비력!A:A,B97,팀수비력!B:B,D97))))*100,"")</f>
        <v>4.0487834670926217</v>
      </c>
      <c r="BL97" s="67">
        <f>IFERROR(100*AK97/(((((F97*60+G97)/(12000/5))*SUMIFS(팀공격력!P:P,팀공격력!A:A,B97,팀공격력!B:B,D97))-K97)),"")</f>
        <v>6.1915104796293416</v>
      </c>
      <c r="BM97" s="67">
        <f>IFERROR(100*((AM97/E97*(2400))/((F97*60+G97)*SUMIFS(팀공격력!AR:AR,팀공격력!A:A,B97,팀공격력!B:B,D97))),"")</f>
        <v>1.0855567358484168</v>
      </c>
      <c r="BN97" s="67">
        <f>IFERROR((AO97*40)/(((F97*60+G97)/60)*(SUMIFS(팀수비력!Q:Q,팀수비력!A:A,B97,팀수비력!B:B,D97)-SUMIFS(팀수비력!N:N,팀수비력!A:A,B97,팀수비력!B:B,D97)))*100,"")</f>
        <v>0.44701275742480207</v>
      </c>
      <c r="BO97" s="67">
        <f t="shared" si="70"/>
        <v>8.732534930139721</v>
      </c>
      <c r="BP97" s="19"/>
      <c r="BQ97" s="19"/>
      <c r="BR97" s="19"/>
      <c r="BS97" s="19"/>
      <c r="BT97" s="20" t="s">
        <v>89</v>
      </c>
      <c r="BU97" s="21"/>
      <c r="BV97" s="31" t="s">
        <v>93</v>
      </c>
      <c r="BW97" s="31">
        <v>585.16999999999996</v>
      </c>
      <c r="BX97" s="31">
        <v>796.47</v>
      </c>
      <c r="BY97" s="31">
        <v>211.3</v>
      </c>
      <c r="BZ97" s="35">
        <f t="shared" ref="BZ97:BZ108" si="82">CA97-CB97</f>
        <v>13.608604651162789</v>
      </c>
      <c r="CA97" s="35">
        <f t="shared" ref="CA97:CA108" si="83">BX97/$E97</f>
        <v>18.522558139534883</v>
      </c>
      <c r="CB97" s="35">
        <f t="shared" ref="CB97:CB108" si="84">BY97/$E97</f>
        <v>4.9139534883720932</v>
      </c>
      <c r="CC97" s="36">
        <f t="shared" ref="CC97:CC108" si="85">CD97-CE97</f>
        <v>21.360792127397449</v>
      </c>
      <c r="CD97" s="36">
        <f t="shared" ref="CD97:CD108" si="86">BX97*2400/$H97</f>
        <v>29.073995771670191</v>
      </c>
      <c r="CE97" s="36">
        <f t="shared" ref="CE97:CE108" si="87">BY97*2400/$H97</f>
        <v>7.7132036442727427</v>
      </c>
      <c r="CF97" s="30">
        <v>13</v>
      </c>
      <c r="CG97" s="30">
        <v>30</v>
      </c>
    </row>
    <row r="98" spans="1:85" x14ac:dyDescent="0.4">
      <c r="A98" s="11" t="s">
        <v>85</v>
      </c>
      <c r="B98" s="11" t="s">
        <v>183</v>
      </c>
      <c r="C98" s="11" t="s">
        <v>192</v>
      </c>
      <c r="D98" s="46" t="s">
        <v>88</v>
      </c>
      <c r="E98" s="15">
        <v>36</v>
      </c>
      <c r="F98" s="15">
        <v>12</v>
      </c>
      <c r="G98" s="15">
        <v>7</v>
      </c>
      <c r="H98" s="16">
        <f t="shared" si="45"/>
        <v>26172</v>
      </c>
      <c r="I98" s="16">
        <v>136</v>
      </c>
      <c r="J98" s="17">
        <f t="shared" si="46"/>
        <v>3.7777777777777777</v>
      </c>
      <c r="K98" s="15">
        <v>53</v>
      </c>
      <c r="L98" s="15">
        <v>162</v>
      </c>
      <c r="M98" s="17">
        <f t="shared" si="47"/>
        <v>1.4722222222222223</v>
      </c>
      <c r="N98" s="17">
        <f t="shared" si="48"/>
        <v>4.5</v>
      </c>
      <c r="O98" s="18">
        <f t="shared" si="49"/>
        <v>0.3271604938271605</v>
      </c>
      <c r="P98" s="16">
        <v>31</v>
      </c>
      <c r="Q98" s="15">
        <v>83</v>
      </c>
      <c r="R98" s="17">
        <f t="shared" si="50"/>
        <v>0.86111111111111116</v>
      </c>
      <c r="S98" s="17">
        <f t="shared" si="51"/>
        <v>2.3055555555555554</v>
      </c>
      <c r="T98" s="18">
        <f t="shared" si="52"/>
        <v>0.37349397590361444</v>
      </c>
      <c r="U98" s="15">
        <v>22</v>
      </c>
      <c r="V98" s="15">
        <v>79</v>
      </c>
      <c r="W98" s="17">
        <f t="shared" si="53"/>
        <v>0.61111111111111116</v>
      </c>
      <c r="X98" s="17">
        <f t="shared" si="54"/>
        <v>2.1944444444444446</v>
      </c>
      <c r="Y98" s="18">
        <f t="shared" si="55"/>
        <v>0.27848101265822783</v>
      </c>
      <c r="Z98" s="15">
        <v>8</v>
      </c>
      <c r="AA98" s="15">
        <v>13</v>
      </c>
      <c r="AB98" s="17">
        <f t="shared" si="56"/>
        <v>0.22222222222222221</v>
      </c>
      <c r="AC98" s="17">
        <f t="shared" si="57"/>
        <v>0.3611111111111111</v>
      </c>
      <c r="AD98" s="18">
        <f t="shared" si="58"/>
        <v>0.61538461538461542</v>
      </c>
      <c r="AE98" s="15">
        <v>30</v>
      </c>
      <c r="AF98" s="17">
        <f t="shared" si="59"/>
        <v>0.83333333333333337</v>
      </c>
      <c r="AG98" s="15">
        <v>9</v>
      </c>
      <c r="AH98" s="17">
        <f t="shared" si="60"/>
        <v>0.25</v>
      </c>
      <c r="AI98" s="15">
        <v>21</v>
      </c>
      <c r="AJ98" s="17">
        <f t="shared" si="61"/>
        <v>0.58333333333333337</v>
      </c>
      <c r="AK98" s="15">
        <v>42</v>
      </c>
      <c r="AL98" s="17">
        <f t="shared" si="62"/>
        <v>1.1666666666666667</v>
      </c>
      <c r="AM98" s="15">
        <v>9</v>
      </c>
      <c r="AN98" s="17">
        <f t="shared" si="63"/>
        <v>0.25</v>
      </c>
      <c r="AO98" s="15">
        <v>1</v>
      </c>
      <c r="AP98" s="17">
        <f t="shared" si="71"/>
        <v>2.7777777777777776E-2</v>
      </c>
      <c r="AQ98" s="4">
        <v>28</v>
      </c>
      <c r="AR98" s="17">
        <f t="shared" si="64"/>
        <v>0.77777777777777779</v>
      </c>
      <c r="AS98" s="15">
        <v>32</v>
      </c>
      <c r="AT98" s="17">
        <f t="shared" si="65"/>
        <v>0.88888888888888884</v>
      </c>
      <c r="AU98" s="19">
        <v>-1.183056746390506</v>
      </c>
      <c r="AV98" s="19">
        <v>-0.1084875512508488</v>
      </c>
      <c r="AW98" s="19">
        <v>-0.98990415934365295</v>
      </c>
      <c r="AX98" s="19">
        <v>-0.19315258704685309</v>
      </c>
      <c r="AY98" s="19">
        <v>82.96708579422156</v>
      </c>
      <c r="AZ98" s="19">
        <v>123.4848241093606</v>
      </c>
      <c r="BA98" s="19">
        <v>2.1686510448724059</v>
      </c>
      <c r="BB98" s="19">
        <v>2.1111111111111112</v>
      </c>
      <c r="BC98" s="19">
        <v>6.9692801467216867</v>
      </c>
      <c r="BD98" s="65">
        <f t="shared" si="66"/>
        <v>40.543763415215835</v>
      </c>
      <c r="BE98" s="65">
        <f t="shared" si="67"/>
        <v>39.506172839506171</v>
      </c>
      <c r="BF98" s="66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13.42075920089203</v>
      </c>
      <c r="BG98" s="38">
        <f t="shared" si="68"/>
        <v>0.48765432098765432</v>
      </c>
      <c r="BH98" s="38">
        <f t="shared" si="69"/>
        <v>8.0246913580246909E-2</v>
      </c>
      <c r="BI98" s="67">
        <f>IFERROR(((AG98*(12000/5))/((F98*60+G98)*(SUMIFS(팀공격력!X:X,팀공격력!A:A,B98,팀공격력!B:B,D98)+SUMIFS(팀수비력!X:X,팀수비력!A:A,B98,팀수비력!B:B,D98))))*100,"")</f>
        <v>0.70960453016788383</v>
      </c>
      <c r="BJ98" s="67">
        <f>IFERROR(((AI98*(12000/5))/((F98*60+G98)*(SUMIFS(팀공격력!V:V,팀공격력!A:A,B98,팀공격력!B:B,D98)+SUMIFS(팀수비력!W:W,팀수비력!A:A,B98,팀수비력!B:B,D98))))*100,"")</f>
        <v>3.3718870257280336</v>
      </c>
      <c r="BK98" s="67">
        <f>IFERROR(((AE98*(12000/5))/((F98*60+G98)*(SUMIFS(팀공격력!X:X,팀공격력!A:A,B98,팀공격력!B:B,D98)+SUMIFS(팀수비력!X:X,팀수비력!A:A,B98,팀수비력!B:B,D98))))*100,"")</f>
        <v>2.3653484338929465</v>
      </c>
      <c r="BL98" s="67">
        <f>IFERROR(100*AK98/(((((F98*60+G98)/(12000/5))*SUMIFS(팀공격력!P:P,팀공격력!A:A,B98,팀공격력!B:B,D98))-K98)),"")</f>
        <v>9.6417718286175056</v>
      </c>
      <c r="BM98" s="67">
        <f>IFERROR(100*((AM98/E98*(2400))/((F98*60+G98)*SUMIFS(팀공격력!AR:AR,팀공격력!A:A,B98,팀공격력!B:B,D98))),"")</f>
        <v>1.1156073951454588</v>
      </c>
      <c r="BN98" s="67">
        <f>IFERROR((AO98*40)/(((F98*60+G98)/60)*(SUMIFS(팀수비력!Q:Q,팀수비력!A:A,B98,팀수비력!B:B,D98)-SUMIFS(팀수비력!N:N,팀수비력!A:A,B98,팀수비력!B:B,D98)))*100,"")</f>
        <v>0.13430585696650077</v>
      </c>
      <c r="BO98" s="67">
        <f t="shared" si="70"/>
        <v>14.306151645207439</v>
      </c>
      <c r="BP98" s="19"/>
      <c r="BQ98" s="19"/>
      <c r="BR98" s="19"/>
      <c r="BS98" s="19"/>
      <c r="BT98" s="20" t="s">
        <v>113</v>
      </c>
      <c r="BU98" s="21"/>
      <c r="BV98" s="30" t="s">
        <v>90</v>
      </c>
      <c r="BW98" s="30">
        <v>206.31</v>
      </c>
      <c r="BX98" s="30">
        <v>355.61</v>
      </c>
      <c r="BY98" s="30">
        <v>149.30000000000001</v>
      </c>
      <c r="BZ98" s="35">
        <f t="shared" si="82"/>
        <v>5.730833333333333</v>
      </c>
      <c r="CA98" s="35">
        <f t="shared" si="83"/>
        <v>9.8780555555555551</v>
      </c>
      <c r="CB98" s="35">
        <f t="shared" si="84"/>
        <v>4.1472222222222221</v>
      </c>
      <c r="CC98" s="36">
        <f t="shared" si="85"/>
        <v>18.918844566712515</v>
      </c>
      <c r="CD98" s="36">
        <f t="shared" si="86"/>
        <v>32.609812012838148</v>
      </c>
      <c r="CE98" s="36">
        <f t="shared" si="87"/>
        <v>13.690967446125631</v>
      </c>
      <c r="CF98" s="31">
        <v>7</v>
      </c>
      <c r="CG98" s="31">
        <v>29</v>
      </c>
    </row>
    <row r="99" spans="1:85" x14ac:dyDescent="0.4">
      <c r="A99" s="11" t="s">
        <v>85</v>
      </c>
      <c r="B99" s="11" t="s">
        <v>183</v>
      </c>
      <c r="C99" s="11" t="s">
        <v>193</v>
      </c>
      <c r="D99" s="46" t="s">
        <v>88</v>
      </c>
      <c r="E99" s="15">
        <v>44</v>
      </c>
      <c r="F99" s="15">
        <v>12</v>
      </c>
      <c r="G99" s="15">
        <v>53</v>
      </c>
      <c r="H99" s="16">
        <f t="shared" si="45"/>
        <v>34012</v>
      </c>
      <c r="I99" s="16">
        <v>141</v>
      </c>
      <c r="J99" s="17">
        <f t="shared" si="46"/>
        <v>3.2045454545454546</v>
      </c>
      <c r="K99" s="15">
        <v>53</v>
      </c>
      <c r="L99" s="15">
        <v>145</v>
      </c>
      <c r="M99" s="17">
        <f t="shared" si="47"/>
        <v>1.2045454545454546</v>
      </c>
      <c r="N99" s="17">
        <f t="shared" si="48"/>
        <v>3.2954545454545454</v>
      </c>
      <c r="O99" s="18">
        <f t="shared" si="49"/>
        <v>0.36551724137931035</v>
      </c>
      <c r="P99" s="16">
        <v>25</v>
      </c>
      <c r="Q99" s="15">
        <v>49</v>
      </c>
      <c r="R99" s="17">
        <f t="shared" si="50"/>
        <v>0.56818181818181823</v>
      </c>
      <c r="S99" s="17">
        <f t="shared" si="51"/>
        <v>1.1136363636363635</v>
      </c>
      <c r="T99" s="18">
        <f t="shared" si="52"/>
        <v>0.51020408163265307</v>
      </c>
      <c r="U99" s="15">
        <v>28</v>
      </c>
      <c r="V99" s="15">
        <v>96</v>
      </c>
      <c r="W99" s="17">
        <f t="shared" si="53"/>
        <v>0.63636363636363635</v>
      </c>
      <c r="X99" s="17">
        <f t="shared" si="54"/>
        <v>2.1818181818181817</v>
      </c>
      <c r="Y99" s="18">
        <f t="shared" si="55"/>
        <v>0.29166666666666669</v>
      </c>
      <c r="Z99" s="15">
        <v>7</v>
      </c>
      <c r="AA99" s="15">
        <v>9</v>
      </c>
      <c r="AB99" s="17">
        <f t="shared" si="56"/>
        <v>0.15909090909090909</v>
      </c>
      <c r="AC99" s="17">
        <f t="shared" si="57"/>
        <v>0.20454545454545456</v>
      </c>
      <c r="AD99" s="18">
        <f t="shared" si="58"/>
        <v>0.77777777777777779</v>
      </c>
      <c r="AE99" s="15">
        <v>85</v>
      </c>
      <c r="AF99" s="17">
        <f t="shared" si="59"/>
        <v>1.9318181818181819</v>
      </c>
      <c r="AG99" s="15">
        <v>23</v>
      </c>
      <c r="AH99" s="17">
        <f t="shared" si="60"/>
        <v>0.52272727272727271</v>
      </c>
      <c r="AI99" s="15">
        <v>62</v>
      </c>
      <c r="AJ99" s="17">
        <f t="shared" si="61"/>
        <v>1.4090909090909092</v>
      </c>
      <c r="AK99" s="15">
        <v>19</v>
      </c>
      <c r="AL99" s="17">
        <f t="shared" si="62"/>
        <v>0.43181818181818182</v>
      </c>
      <c r="AM99" s="15">
        <v>15</v>
      </c>
      <c r="AN99" s="17">
        <f t="shared" si="63"/>
        <v>0.34090909090909088</v>
      </c>
      <c r="AO99" s="15">
        <v>3</v>
      </c>
      <c r="AP99" s="17">
        <f t="shared" si="71"/>
        <v>6.8181818181818177E-2</v>
      </c>
      <c r="AQ99" s="4">
        <v>13</v>
      </c>
      <c r="AR99" s="17">
        <f t="shared" si="64"/>
        <v>0.29545454545454547</v>
      </c>
      <c r="AS99" s="15">
        <v>82</v>
      </c>
      <c r="AT99" s="17">
        <f t="shared" si="65"/>
        <v>1.8636363636363635</v>
      </c>
      <c r="AU99" s="19">
        <v>-0.13591888190257839</v>
      </c>
      <c r="AV99" s="19">
        <v>-9.5908889970065872E-3</v>
      </c>
      <c r="AW99" s="19">
        <v>-0.1174199232690135</v>
      </c>
      <c r="AX99" s="19">
        <v>-1.8498958633564828E-2</v>
      </c>
      <c r="AY99" s="19">
        <v>99.111253468649636</v>
      </c>
      <c r="AZ99" s="19">
        <v>119.8889109184708</v>
      </c>
      <c r="BA99" s="19">
        <v>3.5992823643127672</v>
      </c>
      <c r="BB99" s="19">
        <v>3.545454545454545</v>
      </c>
      <c r="BC99" s="19">
        <v>11.007879571915799</v>
      </c>
      <c r="BD99" s="65">
        <f t="shared" si="66"/>
        <v>47.328141783028997</v>
      </c>
      <c r="BE99" s="65">
        <f t="shared" si="67"/>
        <v>46.206896551724135</v>
      </c>
      <c r="BF99" s="66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10.4449066322556</v>
      </c>
      <c r="BG99" s="38">
        <f t="shared" si="68"/>
        <v>0.66206896551724137</v>
      </c>
      <c r="BH99" s="38">
        <f t="shared" si="69"/>
        <v>6.2068965517241378E-2</v>
      </c>
      <c r="BI99" s="67">
        <f>IFERROR(((AG99*(12000/5))/((F99*60+G99)*(SUMIFS(팀공격력!X:X,팀공격력!A:A,B99,팀공격력!B:B,D99)+SUMIFS(팀수비력!X:X,팀수비력!A:A,B99,팀수비력!B:B,D99))))*100,"")</f>
        <v>1.7055192394620076</v>
      </c>
      <c r="BJ99" s="67">
        <f>IFERROR(((AI99*(12000/5))/((F99*60+G99)*(SUMIFS(팀공격력!V:V,팀공격력!A:A,B99,팀공격력!B:B,D99)+SUMIFS(팀수비력!W:W,팀수비력!A:A,B99,팀수비력!B:B,D99))))*100,"")</f>
        <v>9.3626831637815169</v>
      </c>
      <c r="BK99" s="67">
        <f>IFERROR(((AE99*(12000/5))/((F99*60+G99)*(SUMIFS(팀공격력!X:X,팀공격력!A:A,B99,팀공격력!B:B,D99)+SUMIFS(팀수비력!X:X,팀수비력!A:A,B99,팀수비력!B:B,D99))))*100,"")</f>
        <v>6.3030058849682895</v>
      </c>
      <c r="BL99" s="67">
        <f>IFERROR(100*AK99/(((((F99*60+G99)/(12000/5))*SUMIFS(팀공격력!P:P,팀공격력!A:A,B99,팀공격력!B:B,D99))-K99)),"")</f>
        <v>4.0727049280622767</v>
      </c>
      <c r="BM99" s="67">
        <f>IFERROR(100*((AM99/E99*(2400))/((F99*60+G99)*SUMIFS(팀공격력!AR:AR,팀공격력!A:A,B99,팀공격력!B:B,D99))),"")</f>
        <v>1.4307536921158683</v>
      </c>
      <c r="BN99" s="67">
        <f>IFERROR((AO99*40)/(((F99*60+G99)/60)*(SUMIFS(팀수비력!Q:Q,팀수비력!A:A,B99,팀수비력!B:B,D99)-SUMIFS(팀수비력!N:N,팀수비력!A:A,B99,팀수비력!B:B,D99)))*100,"")</f>
        <v>0.37894058737896269</v>
      </c>
      <c r="BO99" s="67">
        <f t="shared" si="70"/>
        <v>8.0266732526549767</v>
      </c>
      <c r="BP99" s="19"/>
      <c r="BQ99" s="19"/>
      <c r="BR99" s="19"/>
      <c r="BS99" s="19"/>
      <c r="BT99" s="20" t="s">
        <v>89</v>
      </c>
      <c r="BU99" s="21">
        <v>35000</v>
      </c>
      <c r="BV99" s="31" t="s">
        <v>93</v>
      </c>
      <c r="BW99" s="31">
        <v>320.93</v>
      </c>
      <c r="BX99" s="31">
        <v>427.23</v>
      </c>
      <c r="BY99" s="31">
        <v>106.3</v>
      </c>
      <c r="BZ99" s="35">
        <f t="shared" si="82"/>
        <v>7.2938636363636373</v>
      </c>
      <c r="CA99" s="35">
        <f t="shared" si="83"/>
        <v>9.7097727272727283</v>
      </c>
      <c r="CB99" s="35">
        <f t="shared" si="84"/>
        <v>2.415909090909091</v>
      </c>
      <c r="CC99" s="36">
        <f t="shared" si="85"/>
        <v>22.645889685993179</v>
      </c>
      <c r="CD99" s="36">
        <f t="shared" si="86"/>
        <v>30.146771727625545</v>
      </c>
      <c r="CE99" s="36">
        <f t="shared" si="87"/>
        <v>7.5008820416323649</v>
      </c>
      <c r="CF99" s="31">
        <v>12</v>
      </c>
      <c r="CG99" s="31">
        <v>32</v>
      </c>
    </row>
    <row r="100" spans="1:85" x14ac:dyDescent="0.4">
      <c r="A100" s="11" t="s">
        <v>85</v>
      </c>
      <c r="B100" s="11" t="s">
        <v>183</v>
      </c>
      <c r="C100" s="11" t="s">
        <v>194</v>
      </c>
      <c r="D100" s="46" t="s">
        <v>88</v>
      </c>
      <c r="E100" s="15">
        <v>54</v>
      </c>
      <c r="F100" s="15">
        <v>20</v>
      </c>
      <c r="G100" s="15">
        <v>54</v>
      </c>
      <c r="H100" s="16">
        <f t="shared" si="45"/>
        <v>67716</v>
      </c>
      <c r="I100" s="16">
        <v>245</v>
      </c>
      <c r="J100" s="17">
        <f t="shared" si="46"/>
        <v>4.5370370370370372</v>
      </c>
      <c r="K100" s="15">
        <v>81</v>
      </c>
      <c r="L100" s="15">
        <v>275</v>
      </c>
      <c r="M100" s="17">
        <f t="shared" si="47"/>
        <v>1.5</v>
      </c>
      <c r="N100" s="17">
        <f t="shared" si="48"/>
        <v>5.0925925925925926</v>
      </c>
      <c r="O100" s="18">
        <f t="shared" si="49"/>
        <v>0.29454545454545455</v>
      </c>
      <c r="P100" s="16">
        <v>44</v>
      </c>
      <c r="Q100" s="15">
        <v>128</v>
      </c>
      <c r="R100" s="17">
        <f t="shared" si="50"/>
        <v>0.81481481481481477</v>
      </c>
      <c r="S100" s="17">
        <f t="shared" si="51"/>
        <v>2.3703703703703702</v>
      </c>
      <c r="T100" s="18">
        <f t="shared" si="52"/>
        <v>0.34375</v>
      </c>
      <c r="U100" s="15">
        <v>37</v>
      </c>
      <c r="V100" s="15">
        <v>147</v>
      </c>
      <c r="W100" s="17">
        <f t="shared" si="53"/>
        <v>0.68518518518518523</v>
      </c>
      <c r="X100" s="17">
        <f t="shared" si="54"/>
        <v>2.7222222222222223</v>
      </c>
      <c r="Y100" s="18">
        <f t="shared" si="55"/>
        <v>0.25170068027210885</v>
      </c>
      <c r="Z100" s="15">
        <v>46</v>
      </c>
      <c r="AA100" s="15">
        <v>63</v>
      </c>
      <c r="AB100" s="17">
        <f t="shared" si="56"/>
        <v>0.85185185185185186</v>
      </c>
      <c r="AC100" s="17">
        <f t="shared" si="57"/>
        <v>1.1666666666666667</v>
      </c>
      <c r="AD100" s="18">
        <f t="shared" si="58"/>
        <v>0.73015873015873012</v>
      </c>
      <c r="AE100" s="15">
        <v>116</v>
      </c>
      <c r="AF100" s="17">
        <f t="shared" si="59"/>
        <v>2.1481481481481484</v>
      </c>
      <c r="AG100" s="15">
        <v>31</v>
      </c>
      <c r="AH100" s="17">
        <f t="shared" si="60"/>
        <v>0.57407407407407407</v>
      </c>
      <c r="AI100" s="15">
        <v>85</v>
      </c>
      <c r="AJ100" s="17">
        <f t="shared" si="61"/>
        <v>1.5740740740740742</v>
      </c>
      <c r="AK100" s="15">
        <v>109</v>
      </c>
      <c r="AL100" s="17">
        <f t="shared" si="62"/>
        <v>2.0185185185185186</v>
      </c>
      <c r="AM100" s="15">
        <v>32</v>
      </c>
      <c r="AN100" s="17">
        <f t="shared" si="63"/>
        <v>0.59259259259259256</v>
      </c>
      <c r="AO100" s="15">
        <v>3</v>
      </c>
      <c r="AP100" s="17">
        <f t="shared" si="71"/>
        <v>5.5555555555555552E-2</v>
      </c>
      <c r="AQ100" s="4">
        <v>52</v>
      </c>
      <c r="AR100" s="17">
        <f t="shared" si="64"/>
        <v>0.96296296296296291</v>
      </c>
      <c r="AS100" s="15">
        <v>117</v>
      </c>
      <c r="AT100" s="17">
        <f t="shared" si="65"/>
        <v>2.1666666666666665</v>
      </c>
      <c r="AU100" s="19">
        <v>-1.463106458946863</v>
      </c>
      <c r="AV100" s="19">
        <v>-5.1855624984825918E-2</v>
      </c>
      <c r="AW100" s="19">
        <v>-1.2408494663057841</v>
      </c>
      <c r="AX100" s="19">
        <v>-0.22225699264107951</v>
      </c>
      <c r="AY100" s="19">
        <v>89.364859334759316</v>
      </c>
      <c r="AZ100" s="19">
        <v>121.3292786114005</v>
      </c>
      <c r="BA100" s="19">
        <v>3.291446821991129</v>
      </c>
      <c r="BB100" s="19">
        <v>4.4814814814814818</v>
      </c>
      <c r="BC100" s="19">
        <v>8.5769980506822616</v>
      </c>
      <c r="BD100" s="65">
        <f t="shared" si="66"/>
        <v>40.466437632135303</v>
      </c>
      <c r="BE100" s="65">
        <f t="shared" si="67"/>
        <v>36.18181818181818</v>
      </c>
      <c r="BF100" s="66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14.101471280536197</v>
      </c>
      <c r="BG100" s="38">
        <f t="shared" si="68"/>
        <v>0.53454545454545455</v>
      </c>
      <c r="BH100" s="38">
        <f t="shared" si="69"/>
        <v>0.2290909090909091</v>
      </c>
      <c r="BI100" s="67">
        <f>IFERROR(((AG100*(12000/5))/((F100*60+G100)*(SUMIFS(팀공격력!X:X,팀공격력!A:A,B100,팀공격력!B:B,D100)+SUMIFS(팀수비력!X:X,팀수비력!A:A,B100,팀수비력!B:B,D100))))*100,"")</f>
        <v>1.4170084437704766</v>
      </c>
      <c r="BJ100" s="67">
        <f>IFERROR(((AI100*(12000/5))/((F100*60+G100)*(SUMIFS(팀공격력!V:V,팀공격력!A:A,B100,팀공격력!B:B,D100)+SUMIFS(팀수비력!W:W,팀수비력!A:A,B100,팀수비력!B:B,D100))))*100,"")</f>
        <v>7.9124234356673426</v>
      </c>
      <c r="BK100" s="67">
        <f>IFERROR(((AE100*(12000/5))/((F100*60+G100)*(SUMIFS(팀공격력!X:X,팀공격력!A:A,B100,팀공격력!B:B,D100)+SUMIFS(팀수비력!X:X,팀수비력!A:A,B100,팀수비력!B:B,D100))))*100,"")</f>
        <v>5.3023541766895255</v>
      </c>
      <c r="BL100" s="67">
        <f>IFERROR(100*AK100/(((((F100*60+G100)/(12000/5))*SUMIFS(팀공격력!P:P,팀공격력!A:A,B100,팀공격력!B:B,D100))-K100)),"")</f>
        <v>14.308358247160482</v>
      </c>
      <c r="BM100" s="67">
        <f>IFERROR(100*((AM100/E100*(2400))/((F100*60+G100)*SUMIFS(팀공격력!AR:AR,팀공격력!A:A,B100,팀공격력!B:B,D100))),"")</f>
        <v>1.5330787666527235</v>
      </c>
      <c r="BN100" s="67">
        <f>IFERROR((AO100*40)/(((F100*60+G100)/60)*(SUMIFS(팀수비력!Q:Q,팀수비력!A:A,B100,팀수비력!B:B,D100)-SUMIFS(팀수비력!N:N,팀수비력!A:A,B100,팀수비력!B:B,D100)))*100,"")</f>
        <v>0.23358937324078005</v>
      </c>
      <c r="BO100" s="67">
        <f t="shared" si="70"/>
        <v>14.659449706811005</v>
      </c>
      <c r="BP100" s="19"/>
      <c r="BQ100" s="19"/>
      <c r="BR100" s="19"/>
      <c r="BS100" s="19"/>
      <c r="BT100" s="20" t="s">
        <v>89</v>
      </c>
      <c r="BU100" s="21">
        <v>123945</v>
      </c>
      <c r="BV100" s="31" t="s">
        <v>90</v>
      </c>
      <c r="BW100" s="31">
        <v>588.65</v>
      </c>
      <c r="BX100" s="31">
        <v>863.25</v>
      </c>
      <c r="BY100" s="31">
        <v>274.60000000000002</v>
      </c>
      <c r="BZ100" s="35">
        <f t="shared" si="82"/>
        <v>10.900925925925925</v>
      </c>
      <c r="CA100" s="35">
        <f t="shared" si="83"/>
        <v>15.986111111111111</v>
      </c>
      <c r="CB100" s="35">
        <f t="shared" si="84"/>
        <v>5.0851851851851855</v>
      </c>
      <c r="CC100" s="36">
        <f t="shared" si="85"/>
        <v>20.863016126174021</v>
      </c>
      <c r="CD100" s="36">
        <f t="shared" si="86"/>
        <v>30.595427963849016</v>
      </c>
      <c r="CE100" s="36">
        <f t="shared" si="87"/>
        <v>9.7324118376749951</v>
      </c>
      <c r="CF100" s="30">
        <v>14</v>
      </c>
      <c r="CG100" s="30">
        <v>40</v>
      </c>
    </row>
    <row r="101" spans="1:85" x14ac:dyDescent="0.4">
      <c r="A101" s="11" t="s">
        <v>85</v>
      </c>
      <c r="B101" s="11" t="s">
        <v>183</v>
      </c>
      <c r="C101" s="11" t="s">
        <v>195</v>
      </c>
      <c r="D101" s="46" t="s">
        <v>88</v>
      </c>
      <c r="E101" s="15">
        <v>54</v>
      </c>
      <c r="F101" s="15">
        <v>13</v>
      </c>
      <c r="G101" s="15">
        <v>14</v>
      </c>
      <c r="H101" s="16">
        <f t="shared" si="45"/>
        <v>42876</v>
      </c>
      <c r="I101" s="16">
        <v>523</v>
      </c>
      <c r="J101" s="17">
        <f t="shared" si="46"/>
        <v>9.6851851851851851</v>
      </c>
      <c r="K101" s="15">
        <v>224</v>
      </c>
      <c r="L101" s="15">
        <v>428</v>
      </c>
      <c r="M101" s="17">
        <f t="shared" si="47"/>
        <v>4.1481481481481479</v>
      </c>
      <c r="N101" s="17">
        <f t="shared" si="48"/>
        <v>7.9259259259259256</v>
      </c>
      <c r="O101" s="18">
        <f t="shared" si="49"/>
        <v>0.52336448598130836</v>
      </c>
      <c r="P101" s="16">
        <v>192</v>
      </c>
      <c r="Q101" s="15">
        <v>321</v>
      </c>
      <c r="R101" s="17">
        <f t="shared" si="50"/>
        <v>3.5555555555555554</v>
      </c>
      <c r="S101" s="17">
        <f t="shared" si="51"/>
        <v>5.9444444444444446</v>
      </c>
      <c r="T101" s="18">
        <f t="shared" si="52"/>
        <v>0.59813084112149528</v>
      </c>
      <c r="U101" s="15">
        <v>32</v>
      </c>
      <c r="V101" s="15">
        <v>107</v>
      </c>
      <c r="W101" s="17">
        <f t="shared" si="53"/>
        <v>0.59259259259259256</v>
      </c>
      <c r="X101" s="17">
        <f t="shared" si="54"/>
        <v>1.9814814814814814</v>
      </c>
      <c r="Y101" s="18">
        <f t="shared" si="55"/>
        <v>0.29906542056074764</v>
      </c>
      <c r="Z101" s="15">
        <v>43</v>
      </c>
      <c r="AA101" s="15">
        <v>78</v>
      </c>
      <c r="AB101" s="17">
        <f t="shared" si="56"/>
        <v>0.79629629629629628</v>
      </c>
      <c r="AC101" s="17">
        <f t="shared" si="57"/>
        <v>1.4444444444444444</v>
      </c>
      <c r="AD101" s="18">
        <f t="shared" si="58"/>
        <v>0.55128205128205132</v>
      </c>
      <c r="AE101" s="15">
        <v>247</v>
      </c>
      <c r="AF101" s="17">
        <f t="shared" si="59"/>
        <v>4.5740740740740744</v>
      </c>
      <c r="AG101" s="15">
        <v>82</v>
      </c>
      <c r="AH101" s="17">
        <f t="shared" si="60"/>
        <v>1.5185185185185186</v>
      </c>
      <c r="AI101" s="15">
        <v>165</v>
      </c>
      <c r="AJ101" s="17">
        <f t="shared" si="61"/>
        <v>3.0555555555555554</v>
      </c>
      <c r="AK101" s="15">
        <v>35</v>
      </c>
      <c r="AL101" s="17">
        <f t="shared" si="62"/>
        <v>0.64814814814814814</v>
      </c>
      <c r="AM101" s="15">
        <v>24</v>
      </c>
      <c r="AN101" s="17">
        <f t="shared" si="63"/>
        <v>0.44444444444444442</v>
      </c>
      <c r="AO101" s="15">
        <v>21</v>
      </c>
      <c r="AP101" s="17">
        <f t="shared" si="71"/>
        <v>0.3888888888888889</v>
      </c>
      <c r="AQ101" s="4">
        <v>60</v>
      </c>
      <c r="AR101" s="17">
        <f t="shared" si="64"/>
        <v>1.1111111111111112</v>
      </c>
      <c r="AS101" s="15">
        <v>59</v>
      </c>
      <c r="AT101" s="17">
        <f t="shared" si="65"/>
        <v>1.0925925925925926</v>
      </c>
      <c r="AU101" s="19">
        <v>0.82833392462619315</v>
      </c>
      <c r="AV101" s="19">
        <v>4.6366298607679428E-2</v>
      </c>
      <c r="AW101" s="19">
        <v>0.27545722603516959</v>
      </c>
      <c r="AX101" s="19">
        <v>0.55287669859102351</v>
      </c>
      <c r="AY101" s="19">
        <v>103.9604817965179</v>
      </c>
      <c r="AZ101" s="19">
        <v>112.82005416026</v>
      </c>
      <c r="BA101" s="19">
        <v>21.4020911010786</v>
      </c>
      <c r="BB101" s="19">
        <v>10.203703703703701</v>
      </c>
      <c r="BC101" s="19">
        <v>30.842429331094319</v>
      </c>
      <c r="BD101" s="65">
        <f t="shared" si="66"/>
        <v>56.562554075099506</v>
      </c>
      <c r="BE101" s="65">
        <f t="shared" si="67"/>
        <v>56.074766355140184</v>
      </c>
      <c r="BF101" s="66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32.793852663650831</v>
      </c>
      <c r="BG101" s="38">
        <f t="shared" si="68"/>
        <v>0.25</v>
      </c>
      <c r="BH101" s="38">
        <f t="shared" si="69"/>
        <v>0.1822429906542056</v>
      </c>
      <c r="BI101" s="67">
        <f>IFERROR(((AG101*(12000/5))/((F101*60+G101)*(SUMIFS(팀공격력!X:X,팀공격력!A:A,B101,팀공격력!B:B,D101)+SUMIFS(팀수비력!X:X,팀수비력!A:A,B101,팀수비력!B:B,D101))))*100,"")</f>
        <v>5.919726345008149</v>
      </c>
      <c r="BJ101" s="67">
        <f>IFERROR(((AI101*(12000/5))/((F101*60+G101)*(SUMIFS(팀공격력!V:V,팀공격력!A:A,B101,팀공격력!B:B,D101)+SUMIFS(팀수비력!W:W,팀수비력!A:A,B101,팀수비력!B:B,D101))))*100,"")</f>
        <v>24.257809054288487</v>
      </c>
      <c r="BK101" s="67">
        <f>IFERROR(((AE101*(12000/5))/((F101*60+G101)*(SUMIFS(팀공격력!X:X,팀공격력!A:A,B101,팀공격력!B:B,D101)+SUMIFS(팀수비력!X:X,팀수비력!A:A,B101,팀수비력!B:B,D101))))*100,"")</f>
        <v>17.831370819719666</v>
      </c>
      <c r="BL101" s="67">
        <f>IFERROR(100*AK101/(((((F101*60+G101)/(12000/5))*SUMIFS(팀공격력!P:P,팀공격력!A:A,B101,팀공격력!B:B,D101))-K101)),"")</f>
        <v>11.303662117391225</v>
      </c>
      <c r="BM101" s="67">
        <f>IFERROR(100*((AM101/E101*(2400))/((F101*60+G101)*SUMIFS(팀공격력!AR:AR,팀공격력!A:A,B101,팀공격력!B:B,D101))),"")</f>
        <v>1.8159453149079172</v>
      </c>
      <c r="BN101" s="67">
        <f>IFERROR((AO101*40)/(((F101*60+G101)/60)*(SUMIFS(팀수비력!Q:Q,팀수비력!A:A,B101,팀수비력!B:B,D101)-SUMIFS(팀수비력!N:N,팀수비력!A:A,B101,팀수비력!B:B,D101)))*100,"")</f>
        <v>2.582427604921369</v>
      </c>
      <c r="BO101" s="67">
        <f t="shared" si="70"/>
        <v>11.487210905192221</v>
      </c>
      <c r="BP101" s="19"/>
      <c r="BQ101" s="19"/>
      <c r="BR101" s="19"/>
      <c r="BS101" s="19"/>
      <c r="BT101" s="20" t="s">
        <v>96</v>
      </c>
      <c r="BU101" s="21">
        <v>45000</v>
      </c>
      <c r="BV101" s="31" t="s">
        <v>93</v>
      </c>
      <c r="BW101" s="31">
        <v>774.25</v>
      </c>
      <c r="BX101" s="31">
        <v>1088.75</v>
      </c>
      <c r="BY101" s="31">
        <v>314.5</v>
      </c>
      <c r="BZ101" s="35">
        <f t="shared" si="82"/>
        <v>14.337962962962964</v>
      </c>
      <c r="CA101" s="35">
        <f t="shared" si="83"/>
        <v>20.162037037037038</v>
      </c>
      <c r="CB101" s="35">
        <f t="shared" si="84"/>
        <v>5.8240740740740744</v>
      </c>
      <c r="CC101" s="36">
        <f t="shared" si="85"/>
        <v>43.338930870417016</v>
      </c>
      <c r="CD101" s="36">
        <f t="shared" si="86"/>
        <v>60.943184998600614</v>
      </c>
      <c r="CE101" s="36">
        <f t="shared" si="87"/>
        <v>17.604254128183598</v>
      </c>
      <c r="CF101" s="30">
        <v>14</v>
      </c>
      <c r="CG101" s="30">
        <v>40</v>
      </c>
    </row>
    <row r="102" spans="1:85" x14ac:dyDescent="0.4">
      <c r="A102" s="11" t="s">
        <v>85</v>
      </c>
      <c r="B102" s="11" t="s">
        <v>183</v>
      </c>
      <c r="C102" s="11" t="s">
        <v>196</v>
      </c>
      <c r="D102" s="46" t="s">
        <v>88</v>
      </c>
      <c r="E102" s="15">
        <v>40</v>
      </c>
      <c r="F102" s="15">
        <v>22</v>
      </c>
      <c r="G102" s="15">
        <v>53</v>
      </c>
      <c r="H102" s="16">
        <f t="shared" si="45"/>
        <v>54920</v>
      </c>
      <c r="I102" s="16">
        <v>308</v>
      </c>
      <c r="J102" s="17">
        <f t="shared" si="46"/>
        <v>7.7</v>
      </c>
      <c r="K102" s="15">
        <v>117</v>
      </c>
      <c r="L102" s="15">
        <v>290</v>
      </c>
      <c r="M102" s="17">
        <f t="shared" si="47"/>
        <v>2.9249999999999998</v>
      </c>
      <c r="N102" s="17">
        <f t="shared" si="48"/>
        <v>7.25</v>
      </c>
      <c r="O102" s="18">
        <f t="shared" si="49"/>
        <v>0.40344827586206894</v>
      </c>
      <c r="P102" s="16">
        <v>108</v>
      </c>
      <c r="Q102" s="15">
        <v>243</v>
      </c>
      <c r="R102" s="17">
        <f t="shared" si="50"/>
        <v>2.7</v>
      </c>
      <c r="S102" s="17">
        <f t="shared" si="51"/>
        <v>6.0750000000000002</v>
      </c>
      <c r="T102" s="18">
        <f t="shared" si="52"/>
        <v>0.44444444444444442</v>
      </c>
      <c r="U102" s="15">
        <v>9</v>
      </c>
      <c r="V102" s="15">
        <v>47</v>
      </c>
      <c r="W102" s="17">
        <f t="shared" si="53"/>
        <v>0.22500000000000001</v>
      </c>
      <c r="X102" s="17">
        <f t="shared" si="54"/>
        <v>1.175</v>
      </c>
      <c r="Y102" s="18">
        <f t="shared" si="55"/>
        <v>0.19148936170212766</v>
      </c>
      <c r="Z102" s="15">
        <v>65</v>
      </c>
      <c r="AA102" s="15">
        <v>107</v>
      </c>
      <c r="AB102" s="17">
        <f t="shared" si="56"/>
        <v>1.625</v>
      </c>
      <c r="AC102" s="17">
        <f t="shared" si="57"/>
        <v>2.6749999999999998</v>
      </c>
      <c r="AD102" s="18">
        <f t="shared" si="58"/>
        <v>0.60747663551401865</v>
      </c>
      <c r="AE102" s="15">
        <v>239</v>
      </c>
      <c r="AF102" s="17">
        <f t="shared" si="59"/>
        <v>5.9749999999999996</v>
      </c>
      <c r="AG102" s="15">
        <v>94</v>
      </c>
      <c r="AH102" s="17">
        <f t="shared" si="60"/>
        <v>2.35</v>
      </c>
      <c r="AI102" s="15">
        <v>145</v>
      </c>
      <c r="AJ102" s="17">
        <f t="shared" si="61"/>
        <v>3.625</v>
      </c>
      <c r="AK102" s="15">
        <v>43</v>
      </c>
      <c r="AL102" s="17">
        <f t="shared" si="62"/>
        <v>1.075</v>
      </c>
      <c r="AM102" s="15">
        <v>23</v>
      </c>
      <c r="AN102" s="17">
        <f t="shared" si="63"/>
        <v>0.57499999999999996</v>
      </c>
      <c r="AO102" s="15">
        <v>26</v>
      </c>
      <c r="AP102" s="17">
        <f t="shared" si="71"/>
        <v>0.65</v>
      </c>
      <c r="AQ102" s="4">
        <v>51</v>
      </c>
      <c r="AR102" s="17">
        <f t="shared" si="64"/>
        <v>1.2749999999999999</v>
      </c>
      <c r="AS102" s="15">
        <v>102</v>
      </c>
      <c r="AT102" s="17">
        <f t="shared" si="65"/>
        <v>2.5499999999999998</v>
      </c>
      <c r="AU102" s="19">
        <v>-0.37487635724869378</v>
      </c>
      <c r="AV102" s="19">
        <v>-1.638206950831874E-2</v>
      </c>
      <c r="AW102" s="19">
        <v>-0.66180636751976996</v>
      </c>
      <c r="AX102" s="19">
        <v>0.28693001027107612</v>
      </c>
      <c r="AY102" s="19">
        <v>95.741007978094999</v>
      </c>
      <c r="AZ102" s="19">
        <v>116.8546824058628</v>
      </c>
      <c r="BA102" s="19">
        <v>6.3624672908845872</v>
      </c>
      <c r="BB102" s="19">
        <v>9.3249999999999993</v>
      </c>
      <c r="BC102" s="19">
        <v>16.300072833211949</v>
      </c>
      <c r="BD102" s="65">
        <f t="shared" si="66"/>
        <v>45.686483920730986</v>
      </c>
      <c r="BE102" s="65">
        <f t="shared" si="67"/>
        <v>41.896551724137929</v>
      </c>
      <c r="BF102" s="66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14.090519728549086</v>
      </c>
      <c r="BG102" s="38">
        <f t="shared" si="68"/>
        <v>0.16206896551724137</v>
      </c>
      <c r="BH102" s="38">
        <f t="shared" si="69"/>
        <v>0.36896551724137933</v>
      </c>
      <c r="BI102" s="67">
        <f>IFERROR(((AG102*(12000/5))/((F102*60+G102)*(SUMIFS(팀공격력!X:X,팀공격력!A:A,B102,팀공격력!B:B,D102)+SUMIFS(팀수비력!X:X,팀수비력!A:A,B102,팀수비력!B:B,D102))))*100,"")</f>
        <v>3.9243306937454765</v>
      </c>
      <c r="BJ102" s="67">
        <f>IFERROR(((AI102*(12000/5))/((F102*60+G102)*(SUMIFS(팀공격력!V:V,팀공격력!A:A,B102,팀공격력!B:B,D102)+SUMIFS(팀수비력!W:W,팀수비력!A:A,B102,팀수비력!B:B,D102))))*100,"")</f>
        <v>12.327800465339042</v>
      </c>
      <c r="BK102" s="67">
        <f>IFERROR(((AE102*(12000/5))/((F102*60+G102)*(SUMIFS(팀공격력!X:X,팀공격력!A:A,B102,팀공격력!B:B,D102)+SUMIFS(팀수비력!X:X,팀수비력!A:A,B102,팀수비력!B:B,D102))))*100,"")</f>
        <v>9.9778195298422219</v>
      </c>
      <c r="BL102" s="67">
        <f>IFERROR(100*AK102/(((((F102*60+G102)/(12000/5))*SUMIFS(팀공격력!P:P,팀공격력!A:A,B102,팀공격력!B:B,D102))-K102)),"")</f>
        <v>5.336507659077828</v>
      </c>
      <c r="BM102" s="67">
        <f>IFERROR(100*((AM102/E102*(2400))/((F102*60+G102)*SUMIFS(팀공격력!AR:AR,팀공격력!A:A,B102,팀공격력!B:B,D102))),"")</f>
        <v>1.3586359252896734</v>
      </c>
      <c r="BN102" s="67">
        <f>IFERROR((AO102*40)/(((F102*60+G102)/60)*(SUMIFS(팀수비력!Q:Q,팀수비력!A:A,B102,팀수비력!B:B,D102)-SUMIFS(팀수비력!N:N,팀수비력!A:A,B102,팀수비력!B:B,D102)))*100,"")</f>
        <v>1.8489798313042956</v>
      </c>
      <c r="BO102" s="67">
        <f t="shared" si="70"/>
        <v>13.141620284477428</v>
      </c>
      <c r="BP102" s="19"/>
      <c r="BQ102" s="19"/>
      <c r="BR102" s="19"/>
      <c r="BS102" s="19"/>
      <c r="BT102" s="20" t="s">
        <v>89</v>
      </c>
      <c r="BU102" s="21"/>
      <c r="BV102" s="30" t="s">
        <v>102</v>
      </c>
      <c r="BW102" s="30">
        <v>669.08</v>
      </c>
      <c r="BX102" s="30">
        <v>948.38</v>
      </c>
      <c r="BY102" s="30">
        <v>279.3</v>
      </c>
      <c r="BZ102" s="35">
        <f t="shared" si="82"/>
        <v>16.726999999999997</v>
      </c>
      <c r="CA102" s="35">
        <f t="shared" si="83"/>
        <v>23.709499999999998</v>
      </c>
      <c r="CB102" s="35">
        <f t="shared" si="84"/>
        <v>6.9824999999999999</v>
      </c>
      <c r="CC102" s="36">
        <f t="shared" si="85"/>
        <v>29.238747268754551</v>
      </c>
      <c r="CD102" s="36">
        <f t="shared" si="86"/>
        <v>41.444136926438453</v>
      </c>
      <c r="CE102" s="36">
        <f t="shared" si="87"/>
        <v>12.205389657683904</v>
      </c>
      <c r="CF102" s="30">
        <v>10</v>
      </c>
      <c r="CG102" s="30">
        <v>30</v>
      </c>
    </row>
    <row r="103" spans="1:85" x14ac:dyDescent="0.4">
      <c r="A103" s="11" t="s">
        <v>85</v>
      </c>
      <c r="B103" s="11" t="s">
        <v>183</v>
      </c>
      <c r="C103" s="11" t="s">
        <v>197</v>
      </c>
      <c r="D103" s="46" t="s">
        <v>88</v>
      </c>
      <c r="E103" s="15">
        <v>54</v>
      </c>
      <c r="F103" s="15">
        <v>25</v>
      </c>
      <c r="G103" s="15">
        <v>36</v>
      </c>
      <c r="H103" s="16">
        <f t="shared" si="45"/>
        <v>82944</v>
      </c>
      <c r="I103" s="16">
        <v>588</v>
      </c>
      <c r="J103" s="17">
        <f t="shared" si="46"/>
        <v>10.888888888888889</v>
      </c>
      <c r="K103" s="15">
        <v>190</v>
      </c>
      <c r="L103" s="15">
        <v>527</v>
      </c>
      <c r="M103" s="17">
        <f t="shared" si="47"/>
        <v>3.5185185185185186</v>
      </c>
      <c r="N103" s="17">
        <f t="shared" si="48"/>
        <v>9.7592592592592595</v>
      </c>
      <c r="O103" s="18">
        <f t="shared" si="49"/>
        <v>0.36053130929791272</v>
      </c>
      <c r="P103" s="16">
        <v>106</v>
      </c>
      <c r="Q103" s="15">
        <v>240</v>
      </c>
      <c r="R103" s="17">
        <f t="shared" si="50"/>
        <v>1.962962962962963</v>
      </c>
      <c r="S103" s="17">
        <f t="shared" si="51"/>
        <v>4.4444444444444446</v>
      </c>
      <c r="T103" s="18">
        <f t="shared" si="52"/>
        <v>0.44166666666666665</v>
      </c>
      <c r="U103" s="15">
        <v>84</v>
      </c>
      <c r="V103" s="15">
        <v>287</v>
      </c>
      <c r="W103" s="17">
        <f t="shared" si="53"/>
        <v>1.5555555555555556</v>
      </c>
      <c r="X103" s="17">
        <f t="shared" si="54"/>
        <v>5.3148148148148149</v>
      </c>
      <c r="Y103" s="18">
        <f t="shared" si="55"/>
        <v>0.29268292682926828</v>
      </c>
      <c r="Z103" s="15">
        <v>124</v>
      </c>
      <c r="AA103" s="15">
        <v>157</v>
      </c>
      <c r="AB103" s="17">
        <f t="shared" si="56"/>
        <v>2.2962962962962963</v>
      </c>
      <c r="AC103" s="17">
        <f t="shared" si="57"/>
        <v>2.9074074074074074</v>
      </c>
      <c r="AD103" s="18">
        <f t="shared" si="58"/>
        <v>0.78980891719745228</v>
      </c>
      <c r="AE103" s="15">
        <v>180</v>
      </c>
      <c r="AF103" s="17">
        <f t="shared" si="59"/>
        <v>3.3333333333333335</v>
      </c>
      <c r="AG103" s="15">
        <v>15</v>
      </c>
      <c r="AH103" s="17">
        <f t="shared" si="60"/>
        <v>0.27777777777777779</v>
      </c>
      <c r="AI103" s="15">
        <v>165</v>
      </c>
      <c r="AJ103" s="17">
        <f t="shared" si="61"/>
        <v>3.0555555555555554</v>
      </c>
      <c r="AK103" s="15">
        <v>270</v>
      </c>
      <c r="AL103" s="17">
        <f t="shared" si="62"/>
        <v>5</v>
      </c>
      <c r="AM103" s="15">
        <v>33</v>
      </c>
      <c r="AN103" s="17">
        <f t="shared" si="63"/>
        <v>0.61111111111111116</v>
      </c>
      <c r="AO103" s="15">
        <v>3</v>
      </c>
      <c r="AP103" s="17">
        <f t="shared" si="71"/>
        <v>5.5555555555555552E-2</v>
      </c>
      <c r="AQ103" s="4">
        <v>110</v>
      </c>
      <c r="AR103" s="17">
        <f t="shared" si="64"/>
        <v>2.0370370370370372</v>
      </c>
      <c r="AS103" s="15">
        <v>121</v>
      </c>
      <c r="AT103" s="17">
        <f t="shared" si="65"/>
        <v>2.2407407407407409</v>
      </c>
      <c r="AU103" s="19">
        <v>9.5712417393456067E-3</v>
      </c>
      <c r="AV103" s="19">
        <v>2.7694565218013912E-4</v>
      </c>
      <c r="AW103" s="19">
        <v>8.5089036090468681E-2</v>
      </c>
      <c r="AX103" s="19">
        <v>-7.5517794351123074E-2</v>
      </c>
      <c r="AY103" s="19">
        <v>102.31180316363211</v>
      </c>
      <c r="AZ103" s="19">
        <v>120.0817309484848</v>
      </c>
      <c r="BA103" s="19">
        <v>9.8236031806029782</v>
      </c>
      <c r="BB103" s="19">
        <v>11</v>
      </c>
      <c r="BC103" s="19">
        <v>17.1875</v>
      </c>
      <c r="BD103" s="65">
        <f t="shared" si="66"/>
        <v>49.322238625687824</v>
      </c>
      <c r="BE103" s="65">
        <f t="shared" si="67"/>
        <v>44.022770398481974</v>
      </c>
      <c r="BF103" s="66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22.916008906761498</v>
      </c>
      <c r="BG103" s="38">
        <f t="shared" si="68"/>
        <v>0.54459203036053128</v>
      </c>
      <c r="BH103" s="38">
        <f t="shared" si="69"/>
        <v>0.29791271347248577</v>
      </c>
      <c r="BI103" s="67">
        <f>IFERROR(((AG103*(12000/5))/((F103*60+G103)*(SUMIFS(팀공격력!X:X,팀공격력!A:A,B103,팀공격력!B:B,D103)+SUMIFS(팀수비력!X:X,팀수비력!A:A,B103,팀수비력!B:B,D103))))*100,"")</f>
        <v>0.55976833054693098</v>
      </c>
      <c r="BJ103" s="67">
        <f>IFERROR(((AI103*(12000/5))/((F103*60+G103)*(SUMIFS(팀공격력!V:V,팀공격력!A:A,B103,팀공격력!B:B,D103)+SUMIFS(팀수비력!W:W,팀수비력!A:A,B103,팀수비력!B:B,D103))))*100,"")</f>
        <v>12.539518482490273</v>
      </c>
      <c r="BK103" s="67">
        <f>IFERROR(((AE103*(12000/5))/((F103*60+G103)*(SUMIFS(팀공격력!X:X,팀공격력!A:A,B103,팀공격력!B:B,D103)+SUMIFS(팀수비력!X:X,팀수비력!A:A,B103,팀수비력!B:B,D103))))*100,"")</f>
        <v>6.7172199665631718</v>
      </c>
      <c r="BL103" s="67">
        <f>IFERROR(100*AK103/(((((F103*60+G103)/(12000/5))*SUMIFS(팀공격력!P:P,팀공격력!A:A,B103,팀공격력!B:B,D103))-K103)),"")</f>
        <v>32.054326146832558</v>
      </c>
      <c r="BM103" s="67">
        <f>IFERROR(100*((AM103/E103*(2400))/((F103*60+G103)*SUMIFS(팀공격력!AR:AR,팀공격력!A:A,B103,팀공격력!B:B,D103))),"")</f>
        <v>1.2907280583012493</v>
      </c>
      <c r="BN103" s="67">
        <f>IFERROR((AO103*40)/(((F103*60+G103)/60)*(SUMIFS(팀수비력!Q:Q,팀수비력!A:A,B103,팀수비력!B:B,D103)-SUMIFS(팀수비력!N:N,팀수비력!A:A,B103,팀수비력!B:B,D103)))*100,"")</f>
        <v>0.19070382424735555</v>
      </c>
      <c r="BO103" s="67">
        <f t="shared" si="70"/>
        <v>15.578971221391344</v>
      </c>
      <c r="BP103" s="19"/>
      <c r="BQ103" s="19"/>
      <c r="BR103" s="19"/>
      <c r="BS103" s="19"/>
      <c r="BT103" s="20" t="s">
        <v>89</v>
      </c>
      <c r="BU103" s="21"/>
      <c r="BV103" s="31" t="s">
        <v>90</v>
      </c>
      <c r="BW103" s="31">
        <v>1055.5</v>
      </c>
      <c r="BX103" s="31">
        <v>1563.6</v>
      </c>
      <c r="BY103" s="31">
        <v>508.1</v>
      </c>
      <c r="BZ103" s="35">
        <f t="shared" si="82"/>
        <v>19.546296296296291</v>
      </c>
      <c r="CA103" s="35">
        <f t="shared" si="83"/>
        <v>28.955555555555552</v>
      </c>
      <c r="CB103" s="35">
        <f t="shared" si="84"/>
        <v>9.4092592592592599</v>
      </c>
      <c r="CC103" s="36">
        <f t="shared" si="85"/>
        <v>30.541087962962962</v>
      </c>
      <c r="CD103" s="36">
        <f t="shared" si="86"/>
        <v>45.243055555555557</v>
      </c>
      <c r="CE103" s="36">
        <f t="shared" si="87"/>
        <v>14.701967592592593</v>
      </c>
      <c r="CF103" s="31">
        <v>14</v>
      </c>
      <c r="CG103" s="31">
        <v>40</v>
      </c>
    </row>
    <row r="104" spans="1:85" x14ac:dyDescent="0.4">
      <c r="A104" s="11" t="s">
        <v>85</v>
      </c>
      <c r="B104" s="11" t="s">
        <v>183</v>
      </c>
      <c r="C104" s="11" t="s">
        <v>198</v>
      </c>
      <c r="D104" s="46" t="s">
        <v>88</v>
      </c>
      <c r="E104" s="10">
        <v>11</v>
      </c>
      <c r="F104" s="10">
        <v>10</v>
      </c>
      <c r="G104" s="10">
        <v>6</v>
      </c>
      <c r="H104" s="16">
        <f t="shared" si="45"/>
        <v>6666</v>
      </c>
      <c r="I104" s="16">
        <v>18</v>
      </c>
      <c r="J104" s="17">
        <f t="shared" si="46"/>
        <v>1.6363636363636365</v>
      </c>
      <c r="K104" s="15">
        <v>7</v>
      </c>
      <c r="L104" s="15">
        <v>19</v>
      </c>
      <c r="M104" s="17">
        <f t="shared" si="47"/>
        <v>0.63636363636363635</v>
      </c>
      <c r="N104" s="17">
        <f t="shared" si="48"/>
        <v>1.7272727272727273</v>
      </c>
      <c r="O104" s="18">
        <f t="shared" si="49"/>
        <v>0.36842105263157893</v>
      </c>
      <c r="P104" s="16">
        <v>7</v>
      </c>
      <c r="Q104" s="15">
        <v>19</v>
      </c>
      <c r="R104" s="17">
        <f t="shared" si="50"/>
        <v>0.63636363636363635</v>
      </c>
      <c r="S104" s="17">
        <f t="shared" si="51"/>
        <v>1.7272727272727273</v>
      </c>
      <c r="T104" s="18">
        <f t="shared" si="52"/>
        <v>0.36842105263157893</v>
      </c>
      <c r="U104" s="15">
        <v>0</v>
      </c>
      <c r="V104" s="15">
        <v>0</v>
      </c>
      <c r="W104" s="17">
        <f t="shared" si="53"/>
        <v>0</v>
      </c>
      <c r="X104" s="17">
        <f t="shared" si="54"/>
        <v>0</v>
      </c>
      <c r="Y104" s="18" t="e">
        <f t="shared" si="55"/>
        <v>#DIV/0!</v>
      </c>
      <c r="Z104" s="9">
        <v>4</v>
      </c>
      <c r="AA104" s="9">
        <v>6</v>
      </c>
      <c r="AB104" s="17">
        <f t="shared" si="56"/>
        <v>0.36363636363636365</v>
      </c>
      <c r="AC104" s="17">
        <f t="shared" si="57"/>
        <v>0.54545454545454541</v>
      </c>
      <c r="AD104" s="18">
        <f t="shared" si="58"/>
        <v>0.66666666666666663</v>
      </c>
      <c r="AE104" s="15">
        <v>26</v>
      </c>
      <c r="AF104" s="17">
        <f t="shared" si="59"/>
        <v>2.3636363636363638</v>
      </c>
      <c r="AG104" s="15">
        <v>12</v>
      </c>
      <c r="AH104" s="17">
        <f t="shared" si="60"/>
        <v>1.0909090909090908</v>
      </c>
      <c r="AI104" s="15">
        <v>14</v>
      </c>
      <c r="AJ104" s="17">
        <f t="shared" si="61"/>
        <v>1.2727272727272727</v>
      </c>
      <c r="AK104" s="15">
        <v>4</v>
      </c>
      <c r="AL104" s="17">
        <f t="shared" si="62"/>
        <v>0.36363636363636365</v>
      </c>
      <c r="AM104" s="15">
        <v>0</v>
      </c>
      <c r="AN104" s="17">
        <f t="shared" si="63"/>
        <v>0</v>
      </c>
      <c r="AO104" s="7">
        <v>0</v>
      </c>
      <c r="AP104" s="17">
        <f t="shared" si="71"/>
        <v>0</v>
      </c>
      <c r="AQ104" s="6">
        <v>5</v>
      </c>
      <c r="AR104" s="17">
        <f t="shared" si="64"/>
        <v>0.45454545454545453</v>
      </c>
      <c r="AS104" s="15">
        <v>22</v>
      </c>
      <c r="AT104" s="17">
        <f t="shared" si="65"/>
        <v>2</v>
      </c>
      <c r="AU104" s="19">
        <v>-0.10101335458362309</v>
      </c>
      <c r="AV104" s="19">
        <v>-3.6368444494553787E-2</v>
      </c>
      <c r="AW104" s="19">
        <v>-6.4248643290822527E-2</v>
      </c>
      <c r="AX104" s="19">
        <v>-3.6764711292800623E-2</v>
      </c>
      <c r="AY104" s="19">
        <v>93.923232628301804</v>
      </c>
      <c r="AZ104" s="19">
        <v>122.5038894907986</v>
      </c>
      <c r="BA104" s="19">
        <v>0.20409500071349809</v>
      </c>
      <c r="BB104" s="19">
        <v>2.6363636363636358</v>
      </c>
      <c r="BC104" s="19">
        <v>10.441044104410439</v>
      </c>
      <c r="BD104" s="65">
        <f t="shared" si="66"/>
        <v>41.589648798521253</v>
      </c>
      <c r="BE104" s="65">
        <f t="shared" si="67"/>
        <v>36.84210526315789</v>
      </c>
      <c r="BF104" s="66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2.1914818810351102</v>
      </c>
      <c r="BG104" s="38">
        <f t="shared" si="68"/>
        <v>0</v>
      </c>
      <c r="BH104" s="38">
        <f t="shared" si="69"/>
        <v>0.31578947368421051</v>
      </c>
      <c r="BI104" s="67">
        <f>IFERROR(((AG104*(12000/5))/((F104*60+G104)*(SUMIFS(팀공격력!X:X,팀공격력!A:A,B104,팀공격력!B:B,D104)+SUMIFS(팀수비력!X:X,팀수비력!A:A,B104,팀수비력!B:B,D104))))*100,"")</f>
        <v>1.1350549910496186</v>
      </c>
      <c r="BJ104" s="67">
        <f>IFERROR(((AI104*(12000/5))/((F104*60+G104)*(SUMIFS(팀공격력!V:V,팀공격력!A:A,B104,팀공격력!B:B,D104)+SUMIFS(팀수비력!W:W,팀수비력!A:A,B104,팀수비력!B:B,D104))))*100,"")</f>
        <v>2.6967677312478329</v>
      </c>
      <c r="BK104" s="67">
        <f>IFERROR(((AE104*(12000/5))/((F104*60+G104)*(SUMIFS(팀공격력!X:X,팀공격력!A:A,B104,팀공격력!B:B,D104)+SUMIFS(팀수비력!X:X,팀수비력!A:A,B104,팀수비력!B:B,D104))))*100,"")</f>
        <v>2.45928581394084</v>
      </c>
      <c r="BL104" s="67">
        <f>IFERROR(100*AK104/(((((F104*60+G104)/(12000/5))*SUMIFS(팀공격력!P:P,팀공격력!A:A,B104,팀공격력!B:B,D104))-K104)),"")</f>
        <v>0.99929424843704129</v>
      </c>
      <c r="BM104" s="67">
        <f>IFERROR(100*((AM104/E104*(2400))/((F104*60+G104)*SUMIFS(팀공격력!AR:AR,팀공격력!A:A,B104,팀공격력!B:B,D104))),"")</f>
        <v>0</v>
      </c>
      <c r="BN104" s="67">
        <f>IFERROR((AO104*40)/(((F104*60+G104)/60)*(SUMIFS(팀수비력!Q:Q,팀수비력!A:A,B104,팀수비력!B:B,D104)-SUMIFS(팀수비력!N:N,팀수비력!A:A,B104,팀수비력!B:B,D104)))*100,"")</f>
        <v>0</v>
      </c>
      <c r="BO104" s="67">
        <f t="shared" si="70"/>
        <v>18.768768768768769</v>
      </c>
      <c r="BP104" s="19"/>
      <c r="BQ104" s="19"/>
      <c r="BR104" s="19"/>
      <c r="BS104" s="19"/>
      <c r="BT104" s="20" t="s">
        <v>89</v>
      </c>
      <c r="BU104" s="21"/>
      <c r="BV104" s="31" t="s">
        <v>102</v>
      </c>
      <c r="BW104" s="31">
        <v>62.69</v>
      </c>
      <c r="BX104" s="31">
        <v>83.79</v>
      </c>
      <c r="BY104" s="31">
        <v>21.1</v>
      </c>
      <c r="BZ104" s="35">
        <f t="shared" si="82"/>
        <v>5.6990909090909101</v>
      </c>
      <c r="CA104" s="35">
        <f t="shared" si="83"/>
        <v>7.6172727272727281</v>
      </c>
      <c r="CB104" s="35">
        <f t="shared" si="84"/>
        <v>1.9181818181818182</v>
      </c>
      <c r="CC104" s="36">
        <f t="shared" si="85"/>
        <v>22.570657065706573</v>
      </c>
      <c r="CD104" s="36">
        <f t="shared" si="86"/>
        <v>30.16741674167417</v>
      </c>
      <c r="CE104" s="36">
        <f t="shared" si="87"/>
        <v>7.596759675967597</v>
      </c>
      <c r="CF104" s="31">
        <v>1</v>
      </c>
      <c r="CG104" s="31">
        <v>10</v>
      </c>
    </row>
    <row r="105" spans="1:85" x14ac:dyDescent="0.4">
      <c r="A105" s="11" t="s">
        <v>85</v>
      </c>
      <c r="B105" s="11" t="s">
        <v>183</v>
      </c>
      <c r="C105" s="11" t="s">
        <v>199</v>
      </c>
      <c r="D105" s="46" t="s">
        <v>88</v>
      </c>
      <c r="E105" s="15">
        <v>19</v>
      </c>
      <c r="F105" s="15">
        <v>8</v>
      </c>
      <c r="G105" s="15">
        <v>25</v>
      </c>
      <c r="H105" s="16">
        <f t="shared" si="45"/>
        <v>9595</v>
      </c>
      <c r="I105" s="16">
        <v>53</v>
      </c>
      <c r="J105" s="17">
        <f t="shared" si="46"/>
        <v>2.7894736842105261</v>
      </c>
      <c r="K105" s="15">
        <v>18</v>
      </c>
      <c r="L105" s="15">
        <v>63</v>
      </c>
      <c r="M105" s="17">
        <f t="shared" si="47"/>
        <v>0.94736842105263153</v>
      </c>
      <c r="N105" s="17">
        <f t="shared" si="48"/>
        <v>3.3157894736842106</v>
      </c>
      <c r="O105" s="18">
        <f t="shared" si="49"/>
        <v>0.2857142857142857</v>
      </c>
      <c r="P105" s="16">
        <v>11</v>
      </c>
      <c r="Q105" s="15">
        <v>29</v>
      </c>
      <c r="R105" s="17">
        <f t="shared" si="50"/>
        <v>0.57894736842105265</v>
      </c>
      <c r="S105" s="17">
        <f t="shared" si="51"/>
        <v>1.5263157894736843</v>
      </c>
      <c r="T105" s="18">
        <f t="shared" si="52"/>
        <v>0.37931034482758619</v>
      </c>
      <c r="U105" s="15">
        <v>7</v>
      </c>
      <c r="V105" s="15">
        <v>34</v>
      </c>
      <c r="W105" s="17">
        <f t="shared" si="53"/>
        <v>0.36842105263157893</v>
      </c>
      <c r="X105" s="17">
        <f t="shared" si="54"/>
        <v>1.7894736842105263</v>
      </c>
      <c r="Y105" s="18">
        <f t="shared" si="55"/>
        <v>0.20588235294117646</v>
      </c>
      <c r="Z105" s="15">
        <v>10</v>
      </c>
      <c r="AA105" s="15">
        <v>15</v>
      </c>
      <c r="AB105" s="17">
        <f t="shared" si="56"/>
        <v>0.52631578947368418</v>
      </c>
      <c r="AC105" s="17">
        <f t="shared" si="57"/>
        <v>0.78947368421052633</v>
      </c>
      <c r="AD105" s="18">
        <f t="shared" si="58"/>
        <v>0.66666666666666663</v>
      </c>
      <c r="AE105" s="15">
        <v>20</v>
      </c>
      <c r="AF105" s="17">
        <f t="shared" si="59"/>
        <v>1.0526315789473684</v>
      </c>
      <c r="AG105" s="15">
        <v>6</v>
      </c>
      <c r="AH105" s="17">
        <f t="shared" si="60"/>
        <v>0.31578947368421051</v>
      </c>
      <c r="AI105" s="15">
        <v>14</v>
      </c>
      <c r="AJ105" s="17">
        <f t="shared" si="61"/>
        <v>0.73684210526315785</v>
      </c>
      <c r="AK105" s="15">
        <v>6</v>
      </c>
      <c r="AL105" s="17">
        <f t="shared" si="62"/>
        <v>0.31578947368421051</v>
      </c>
      <c r="AM105" s="15">
        <v>8</v>
      </c>
      <c r="AN105" s="17">
        <f t="shared" si="63"/>
        <v>0.42105263157894735</v>
      </c>
      <c r="AO105" s="15">
        <v>1</v>
      </c>
      <c r="AP105" s="17">
        <f t="shared" si="71"/>
        <v>5.2631578947368418E-2</v>
      </c>
      <c r="AQ105" s="5">
        <v>9</v>
      </c>
      <c r="AR105" s="17">
        <f t="shared" si="64"/>
        <v>0.47368421052631576</v>
      </c>
      <c r="AS105" s="15">
        <v>23</v>
      </c>
      <c r="AT105" s="17">
        <f t="shared" si="65"/>
        <v>1.2105263157894737</v>
      </c>
      <c r="AU105" s="19">
        <v>-0.45514355655736383</v>
      </c>
      <c r="AV105" s="19">
        <v>-0.11384518350575019</v>
      </c>
      <c r="AW105" s="19">
        <v>-0.48549320902837001</v>
      </c>
      <c r="AX105" s="19">
        <v>3.0349652471006201E-2</v>
      </c>
      <c r="AY105" s="19">
        <v>78.005876869784046</v>
      </c>
      <c r="AZ105" s="19">
        <v>117.9390165474275</v>
      </c>
      <c r="BA105" s="19">
        <v>0.64208749199511239</v>
      </c>
      <c r="BB105" s="19">
        <v>1.5263157894736841</v>
      </c>
      <c r="BC105" s="19">
        <v>7.2537780093798858</v>
      </c>
      <c r="BD105" s="65">
        <f t="shared" si="66"/>
        <v>38.074712643678168</v>
      </c>
      <c r="BE105" s="65">
        <f t="shared" si="67"/>
        <v>34.126984126984127</v>
      </c>
      <c r="BF105" s="66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7.7590304436648498</v>
      </c>
      <c r="BG105" s="38">
        <f t="shared" si="68"/>
        <v>0.53968253968253965</v>
      </c>
      <c r="BH105" s="38">
        <f t="shared" si="69"/>
        <v>0.23809523809523808</v>
      </c>
      <c r="BI105" s="67">
        <f>IFERROR(((AG105*(12000/5))/((F105*60+G105)*(SUMIFS(팀공격력!X:X,팀공격력!A:A,B105,팀공격력!B:B,D105)+SUMIFS(팀수비력!X:X,팀수비력!A:A,B105,팀수비력!B:B,D105))))*100,"")</f>
        <v>0.68103299462977107</v>
      </c>
      <c r="BJ105" s="67">
        <f>IFERROR(((AI105*(12000/5))/((F105*60+G105)*(SUMIFS(팀공격력!V:V,팀공격력!A:A,B105,팀공격력!B:B,D105)+SUMIFS(팀수비력!W:W,팀수비력!A:A,B105,팀수비력!B:B,D105))))*100,"")</f>
        <v>3.2361212774973995</v>
      </c>
      <c r="BK105" s="67">
        <f>IFERROR(((AE105*(12000/5))/((F105*60+G105)*(SUMIFS(팀공격력!X:X,팀공격력!A:A,B105,팀공격력!B:B,D105)+SUMIFS(팀수비력!X:X,팀수비력!A:A,B105,팀수비력!B:B,D105))))*100,"")</f>
        <v>2.2701099820992372</v>
      </c>
      <c r="BL105" s="67">
        <f>IFERROR(100*AK105/(((((F105*60+G105)/(12000/5))*SUMIFS(팀공격력!P:P,팀공격력!A:A,B105,팀공격력!B:B,D105))-K105)),"")</f>
        <v>1.8668205065047028</v>
      </c>
      <c r="BM105" s="67">
        <f>IFERROR(100*((AM105/E105*(2400))/((F105*60+G105)*SUMIFS(팀공격력!AR:AR,팀공격력!A:A,B105,팀공격력!B:B,D105))),"")</f>
        <v>2.7048973882922307</v>
      </c>
      <c r="BN105" s="67">
        <f>IFERROR((AO105*40)/(((F105*60+G105)/60)*(SUMIFS(팀수비력!Q:Q,팀수비력!A:A,B105,팀수비력!B:B,D105)-SUMIFS(팀수비력!N:N,팀수비력!A:A,B105,팀수비력!B:B,D105)))*100,"")</f>
        <v>0.19334724359335856</v>
      </c>
      <c r="BO105" s="67">
        <f t="shared" si="70"/>
        <v>11.450381679389313</v>
      </c>
      <c r="BP105" s="19"/>
      <c r="BQ105" s="19"/>
      <c r="BR105" s="19"/>
      <c r="BS105" s="19"/>
      <c r="BT105" s="20" t="s">
        <v>89</v>
      </c>
      <c r="BU105" s="21"/>
      <c r="BV105" s="31" t="s">
        <v>90</v>
      </c>
      <c r="BW105" s="31">
        <v>75.709999999999994</v>
      </c>
      <c r="BX105" s="31">
        <v>135.51</v>
      </c>
      <c r="BY105" s="31">
        <v>59.8</v>
      </c>
      <c r="BZ105" s="35">
        <f t="shared" si="82"/>
        <v>3.9847368421052622</v>
      </c>
      <c r="CA105" s="35">
        <f t="shared" si="83"/>
        <v>7.1321052631578938</v>
      </c>
      <c r="CB105" s="35">
        <f t="shared" si="84"/>
        <v>3.1473684210526316</v>
      </c>
      <c r="CC105" s="36">
        <f t="shared" si="85"/>
        <v>18.937363210005213</v>
      </c>
      <c r="CD105" s="36">
        <f t="shared" si="86"/>
        <v>33.895153725898908</v>
      </c>
      <c r="CE105" s="36">
        <f t="shared" si="87"/>
        <v>14.957790515893695</v>
      </c>
      <c r="CF105" s="31">
        <v>5</v>
      </c>
      <c r="CG105" s="31">
        <v>14</v>
      </c>
    </row>
    <row r="106" spans="1:85" x14ac:dyDescent="0.4">
      <c r="A106" s="11" t="s">
        <v>85</v>
      </c>
      <c r="B106" s="11" t="s">
        <v>183</v>
      </c>
      <c r="C106" s="11" t="s">
        <v>200</v>
      </c>
      <c r="D106" s="46" t="s">
        <v>88</v>
      </c>
      <c r="E106" s="15">
        <v>22</v>
      </c>
      <c r="F106" s="15">
        <v>20</v>
      </c>
      <c r="G106" s="15">
        <v>39</v>
      </c>
      <c r="H106" s="16">
        <f t="shared" si="45"/>
        <v>27258</v>
      </c>
      <c r="I106" s="16">
        <v>139</v>
      </c>
      <c r="J106" s="17">
        <f t="shared" si="46"/>
        <v>6.3181818181818183</v>
      </c>
      <c r="K106" s="15">
        <v>50</v>
      </c>
      <c r="L106" s="15">
        <v>111</v>
      </c>
      <c r="M106" s="17">
        <f t="shared" si="47"/>
        <v>2.2727272727272729</v>
      </c>
      <c r="N106" s="17">
        <f t="shared" si="48"/>
        <v>5.0454545454545459</v>
      </c>
      <c r="O106" s="18">
        <f t="shared" si="49"/>
        <v>0.45045045045045046</v>
      </c>
      <c r="P106" s="16">
        <v>43</v>
      </c>
      <c r="Q106" s="15">
        <v>86</v>
      </c>
      <c r="R106" s="17">
        <f t="shared" si="50"/>
        <v>1.9545454545454546</v>
      </c>
      <c r="S106" s="17">
        <f t="shared" si="51"/>
        <v>3.9090909090909092</v>
      </c>
      <c r="T106" s="18">
        <f t="shared" si="52"/>
        <v>0.5</v>
      </c>
      <c r="U106" s="15">
        <v>7</v>
      </c>
      <c r="V106" s="15">
        <v>25</v>
      </c>
      <c r="W106" s="17">
        <f t="shared" si="53"/>
        <v>0.31818181818181818</v>
      </c>
      <c r="X106" s="17">
        <f t="shared" si="54"/>
        <v>1.1363636363636365</v>
      </c>
      <c r="Y106" s="18">
        <f t="shared" si="55"/>
        <v>0.28000000000000003</v>
      </c>
      <c r="Z106" s="15">
        <v>32</v>
      </c>
      <c r="AA106" s="15">
        <v>50</v>
      </c>
      <c r="AB106" s="17">
        <f t="shared" si="56"/>
        <v>1.4545454545454546</v>
      </c>
      <c r="AC106" s="17">
        <f t="shared" si="57"/>
        <v>2.2727272727272729</v>
      </c>
      <c r="AD106" s="18">
        <f t="shared" si="58"/>
        <v>0.64</v>
      </c>
      <c r="AE106" s="15">
        <v>93</v>
      </c>
      <c r="AF106" s="17">
        <f t="shared" si="59"/>
        <v>4.2272727272727275</v>
      </c>
      <c r="AG106" s="15">
        <v>38</v>
      </c>
      <c r="AH106" s="17">
        <f t="shared" si="60"/>
        <v>1.7272727272727273</v>
      </c>
      <c r="AI106" s="15">
        <v>55</v>
      </c>
      <c r="AJ106" s="17">
        <f t="shared" si="61"/>
        <v>2.5</v>
      </c>
      <c r="AK106" s="15">
        <v>17</v>
      </c>
      <c r="AL106" s="17">
        <f t="shared" si="62"/>
        <v>0.77272727272727271</v>
      </c>
      <c r="AM106" s="15">
        <v>6</v>
      </c>
      <c r="AN106" s="17">
        <f t="shared" si="63"/>
        <v>0.27272727272727271</v>
      </c>
      <c r="AO106" s="15">
        <v>1</v>
      </c>
      <c r="AP106" s="17">
        <f t="shared" si="71"/>
        <v>4.5454545454545456E-2</v>
      </c>
      <c r="AQ106" s="5">
        <v>21</v>
      </c>
      <c r="AR106" s="17">
        <f t="shared" si="64"/>
        <v>0.95454545454545459</v>
      </c>
      <c r="AS106" s="15">
        <v>69</v>
      </c>
      <c r="AT106" s="17">
        <f t="shared" si="65"/>
        <v>3.1363636363636362</v>
      </c>
      <c r="AU106" s="19">
        <v>4.2655646567340763E-2</v>
      </c>
      <c r="AV106" s="19">
        <v>3.7557249894202738E-3</v>
      </c>
      <c r="AW106" s="19">
        <v>0.1216948560992918</v>
      </c>
      <c r="AX106" s="19">
        <v>-7.9039209531951066E-2</v>
      </c>
      <c r="AY106" s="19">
        <v>104.7328834847892</v>
      </c>
      <c r="AZ106" s="19">
        <v>121.12806831766579</v>
      </c>
      <c r="BA106" s="19">
        <v>2.4188238430790889</v>
      </c>
      <c r="BB106" s="19">
        <v>7.0909090909090908</v>
      </c>
      <c r="BC106" s="19">
        <v>13.735417125247629</v>
      </c>
      <c r="BD106" s="65">
        <f t="shared" si="66"/>
        <v>52.255639097744364</v>
      </c>
      <c r="BE106" s="65">
        <f t="shared" si="67"/>
        <v>48.198198198198199</v>
      </c>
      <c r="BF106" s="66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6.1962039238306286</v>
      </c>
      <c r="BG106" s="38">
        <f t="shared" si="68"/>
        <v>0.22522522522522523</v>
      </c>
      <c r="BH106" s="38">
        <f t="shared" si="69"/>
        <v>0.45045045045045046</v>
      </c>
      <c r="BI106" s="67">
        <f>IFERROR(((AG106*(12000/5))/((F106*60+G106)*(SUMIFS(팀공격력!X:X,팀공격력!A:A,B106,팀공격력!B:B,D106)+SUMIFS(팀수비력!X:X,팀수비력!A:A,B106,팀수비력!B:B,D106))))*100,"")</f>
        <v>1.7580068828282631</v>
      </c>
      <c r="BJ106" s="67">
        <f>IFERROR(((AI106*(12000/5))/((F106*60+G106)*(SUMIFS(팀공격력!V:V,팀공격력!A:A,B106,팀공격력!B:B,D106)+SUMIFS(팀수비력!W:W,팀수비력!A:A,B106,팀수비력!B:B,D106))))*100,"")</f>
        <v>5.1817864915536882</v>
      </c>
      <c r="BK106" s="67">
        <f>IFERROR(((AE106*(12000/5))/((F106*60+G106)*(SUMIFS(팀공격력!X:X,팀공격력!A:A,B106,팀공격력!B:B,D106)+SUMIFS(팀수비력!X:X,팀수비력!A:A,B106,팀수비력!B:B,D106))))*100,"")</f>
        <v>4.3024905290270645</v>
      </c>
      <c r="BL106" s="67">
        <f>IFERROR(100*AK106/(((((F106*60+G106)/(12000/5))*SUMIFS(팀공격력!P:P,팀공격력!A:A,B106,팀공격력!B:B,D106))-K106)),"")</f>
        <v>2.1719376078981876</v>
      </c>
      <c r="BM106" s="67">
        <f>IFERROR(100*((AM106/E106*(2400))/((F106*60+G106)*SUMIFS(팀공격력!AR:AR,팀공격력!A:A,B106,팀공격력!B:B,D106))),"")</f>
        <v>0.71410660468478848</v>
      </c>
      <c r="BN106" s="67">
        <f>IFERROR((AO106*40)/(((F106*60+G106)/60)*(SUMIFS(팀수비력!Q:Q,팀수비력!A:A,B106,팀수비력!B:B,D106)-SUMIFS(팀수비력!N:N,팀수비력!A:A,B106,팀수비력!B:B,D106)))*100,"")</f>
        <v>7.8805777251530318E-2</v>
      </c>
      <c r="BO106" s="67">
        <f t="shared" si="70"/>
        <v>13.636363636363637</v>
      </c>
      <c r="BP106" s="19"/>
      <c r="BQ106" s="19"/>
      <c r="BR106" s="19"/>
      <c r="BS106" s="19"/>
      <c r="BT106" s="20" t="s">
        <v>89</v>
      </c>
      <c r="BU106" s="21">
        <v>60000</v>
      </c>
      <c r="BV106" s="31" t="s">
        <v>93</v>
      </c>
      <c r="BW106" s="31">
        <v>296.45</v>
      </c>
      <c r="BX106" s="31">
        <v>401.55</v>
      </c>
      <c r="BY106" s="31">
        <v>105.1</v>
      </c>
      <c r="BZ106" s="35">
        <f t="shared" si="82"/>
        <v>13.475000000000001</v>
      </c>
      <c r="CA106" s="35">
        <f t="shared" si="83"/>
        <v>18.252272727272729</v>
      </c>
      <c r="CB106" s="35">
        <f t="shared" si="84"/>
        <v>4.7772727272727273</v>
      </c>
      <c r="CC106" s="36">
        <f t="shared" si="85"/>
        <v>26.101694915254235</v>
      </c>
      <c r="CD106" s="36">
        <f t="shared" si="86"/>
        <v>35.355491965661457</v>
      </c>
      <c r="CE106" s="36">
        <f t="shared" si="87"/>
        <v>9.2537970504072202</v>
      </c>
      <c r="CF106" s="30">
        <v>9</v>
      </c>
      <c r="CG106" s="30">
        <v>13</v>
      </c>
    </row>
    <row r="107" spans="1:85" x14ac:dyDescent="0.4">
      <c r="A107" s="11" t="s">
        <v>85</v>
      </c>
      <c r="B107" s="11" t="s">
        <v>183</v>
      </c>
      <c r="C107" s="11" t="s">
        <v>201</v>
      </c>
      <c r="D107" s="46" t="s">
        <v>88</v>
      </c>
      <c r="E107" s="15">
        <v>52</v>
      </c>
      <c r="F107" s="15">
        <v>17</v>
      </c>
      <c r="G107" s="15">
        <v>54</v>
      </c>
      <c r="H107" s="16">
        <f t="shared" si="45"/>
        <v>55848</v>
      </c>
      <c r="I107" s="16">
        <v>270</v>
      </c>
      <c r="J107" s="17">
        <f t="shared" si="46"/>
        <v>5.1923076923076925</v>
      </c>
      <c r="K107" s="15">
        <v>108</v>
      </c>
      <c r="L107" s="15">
        <v>224</v>
      </c>
      <c r="M107" s="17">
        <f t="shared" si="47"/>
        <v>2.0769230769230771</v>
      </c>
      <c r="N107" s="17">
        <f t="shared" si="48"/>
        <v>4.3076923076923075</v>
      </c>
      <c r="O107" s="18">
        <f t="shared" si="49"/>
        <v>0.48214285714285715</v>
      </c>
      <c r="P107" s="16">
        <v>87</v>
      </c>
      <c r="Q107" s="15">
        <v>162</v>
      </c>
      <c r="R107" s="17">
        <f t="shared" si="50"/>
        <v>1.6730769230769231</v>
      </c>
      <c r="S107" s="17">
        <f t="shared" si="51"/>
        <v>3.1153846153846154</v>
      </c>
      <c r="T107" s="18">
        <f t="shared" si="52"/>
        <v>0.53703703703703709</v>
      </c>
      <c r="U107" s="15">
        <v>21</v>
      </c>
      <c r="V107" s="15">
        <v>62</v>
      </c>
      <c r="W107" s="17">
        <f t="shared" si="53"/>
        <v>0.40384615384615385</v>
      </c>
      <c r="X107" s="17">
        <f t="shared" si="54"/>
        <v>1.1923076923076923</v>
      </c>
      <c r="Y107" s="18">
        <f t="shared" si="55"/>
        <v>0.33870967741935482</v>
      </c>
      <c r="Z107" s="15">
        <v>33</v>
      </c>
      <c r="AA107" s="15">
        <v>55</v>
      </c>
      <c r="AB107" s="17">
        <f t="shared" si="56"/>
        <v>0.63461538461538458</v>
      </c>
      <c r="AC107" s="17">
        <f t="shared" si="57"/>
        <v>1.0576923076923077</v>
      </c>
      <c r="AD107" s="18">
        <f t="shared" si="58"/>
        <v>0.6</v>
      </c>
      <c r="AE107" s="15">
        <v>160</v>
      </c>
      <c r="AF107" s="17">
        <f t="shared" si="59"/>
        <v>3.0769230769230771</v>
      </c>
      <c r="AG107" s="15">
        <v>63</v>
      </c>
      <c r="AH107" s="17">
        <f t="shared" si="60"/>
        <v>1.2115384615384615</v>
      </c>
      <c r="AI107" s="15">
        <v>97</v>
      </c>
      <c r="AJ107" s="17">
        <f t="shared" si="61"/>
        <v>1.8653846153846154</v>
      </c>
      <c r="AK107" s="15">
        <v>34</v>
      </c>
      <c r="AL107" s="17">
        <f t="shared" si="62"/>
        <v>0.65384615384615385</v>
      </c>
      <c r="AM107" s="15">
        <v>43</v>
      </c>
      <c r="AN107" s="17">
        <f t="shared" si="63"/>
        <v>0.82692307692307687</v>
      </c>
      <c r="AO107" s="15">
        <v>12</v>
      </c>
      <c r="AP107" s="17">
        <f t="shared" si="71"/>
        <v>0.23076923076923078</v>
      </c>
      <c r="AQ107" s="4">
        <v>29</v>
      </c>
      <c r="AR107" s="17">
        <f t="shared" si="64"/>
        <v>0.55769230769230771</v>
      </c>
      <c r="AS107" s="15">
        <v>97</v>
      </c>
      <c r="AT107" s="17">
        <f t="shared" si="65"/>
        <v>1.8653846153846154</v>
      </c>
      <c r="AU107" s="19">
        <v>0.83621297583187937</v>
      </c>
      <c r="AV107" s="19">
        <v>3.5935237465916613E-2</v>
      </c>
      <c r="AW107" s="19">
        <v>0.60698113186512948</v>
      </c>
      <c r="AX107" s="19">
        <v>0.22923184396674989</v>
      </c>
      <c r="AY107" s="19">
        <v>109.95720396315591</v>
      </c>
      <c r="AZ107" s="19">
        <v>117.44378115823601</v>
      </c>
      <c r="BA107" s="19">
        <v>9.01041024343583</v>
      </c>
      <c r="BB107" s="19">
        <v>6.7692307692307692</v>
      </c>
      <c r="BC107" s="19">
        <v>15.12677266867211</v>
      </c>
      <c r="BD107" s="65">
        <f t="shared" si="66"/>
        <v>54.391619661563261</v>
      </c>
      <c r="BE107" s="65">
        <f t="shared" si="67"/>
        <v>52.901785714285708</v>
      </c>
      <c r="BF107" s="66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12.866642449652764</v>
      </c>
      <c r="BG107" s="38">
        <f t="shared" si="68"/>
        <v>0.2767857142857143</v>
      </c>
      <c r="BH107" s="38">
        <f t="shared" si="69"/>
        <v>0.24553571428571427</v>
      </c>
      <c r="BI107" s="67">
        <f>IFERROR(((AG107*(12000/5))/((F107*60+G107)*(SUMIFS(팀공격력!X:X,팀공격력!A:A,B107,팀공격력!B:B,D107)+SUMIFS(팀수비력!X:X,팀수비력!A:A,B107,팀수비력!B:B,D107))))*100,"")</f>
        <v>3.3623626201344146</v>
      </c>
      <c r="BJ107" s="67">
        <f>IFERROR(((AI107*(12000/5))/((F107*60+G107)*(SUMIFS(팀공격력!V:V,팀공격력!A:A,B107,팀공격력!B:B,D107)+SUMIFS(팀수비력!W:W,팀수비력!A:A,B107,팀수비력!B:B,D107))))*100,"")</f>
        <v>10.542790687563855</v>
      </c>
      <c r="BK107" s="67">
        <f>IFERROR(((AE107*(12000/5))/((F107*60+G107)*(SUMIFS(팀공격력!X:X,팀공격력!A:A,B107,팀공격력!B:B,D107)+SUMIFS(팀수비력!X:X,팀수비력!A:A,B107,팀수비력!B:B,D107))))*100,"")</f>
        <v>8.5393336384366076</v>
      </c>
      <c r="BL107" s="67">
        <f>IFERROR(100*AK107/(((((F107*60+G107)/(12000/5))*SUMIFS(팀공격력!P:P,팀공격력!A:A,B107,팀공격력!B:B,D107))-K107)),"")</f>
        <v>5.539105678805182</v>
      </c>
      <c r="BM107" s="67">
        <f>IFERROR(100*((AM107/E107*(2400))/((F107*60+G107)*SUMIFS(팀공격력!AR:AR,팀공격력!A:A,B107,팀공격력!B:B,D107))),"")</f>
        <v>2.4978515097867202</v>
      </c>
      <c r="BN107" s="67">
        <f>IFERROR((AO107*40)/(((F107*60+G107)/60)*(SUMIFS(팀수비력!Q:Q,팀수비력!A:A,B107,팀수비력!B:B,D107)-SUMIFS(팀수비력!N:N,팀수비력!A:A,B107,팀수비력!B:B,D107)))*100,"")</f>
        <v>1.0909537208340341</v>
      </c>
      <c r="BO107" s="67">
        <f t="shared" si="70"/>
        <v>10.461760461760463</v>
      </c>
      <c r="BP107" s="19"/>
      <c r="BQ107" s="19"/>
      <c r="BR107" s="19"/>
      <c r="BS107" s="19"/>
      <c r="BT107" s="20" t="s">
        <v>89</v>
      </c>
      <c r="BU107" s="21">
        <v>57000</v>
      </c>
      <c r="BV107" s="31" t="s">
        <v>90</v>
      </c>
      <c r="BW107" s="31">
        <v>645.11</v>
      </c>
      <c r="BX107" s="31">
        <v>818.11</v>
      </c>
      <c r="BY107" s="31">
        <v>173</v>
      </c>
      <c r="BZ107" s="35">
        <f t="shared" si="82"/>
        <v>12.40596153846154</v>
      </c>
      <c r="CA107" s="35">
        <f t="shared" si="83"/>
        <v>15.732884615384616</v>
      </c>
      <c r="CB107" s="35">
        <f t="shared" si="84"/>
        <v>3.3269230769230771</v>
      </c>
      <c r="CC107" s="36">
        <f t="shared" si="85"/>
        <v>27.722819080360978</v>
      </c>
      <c r="CD107" s="36">
        <f t="shared" si="86"/>
        <v>35.157284056725395</v>
      </c>
      <c r="CE107" s="36">
        <f t="shared" si="87"/>
        <v>7.4344649763644179</v>
      </c>
      <c r="CF107" s="31">
        <v>13</v>
      </c>
      <c r="CG107" s="31">
        <v>39</v>
      </c>
    </row>
    <row r="108" spans="1:85" x14ac:dyDescent="0.4">
      <c r="A108" s="11" t="s">
        <v>85</v>
      </c>
      <c r="B108" s="11" t="s">
        <v>183</v>
      </c>
      <c r="C108" s="11" t="s">
        <v>202</v>
      </c>
      <c r="D108" s="46" t="s">
        <v>88</v>
      </c>
      <c r="E108" s="15">
        <v>48</v>
      </c>
      <c r="F108" s="15">
        <v>28</v>
      </c>
      <c r="G108" s="15">
        <v>54</v>
      </c>
      <c r="H108" s="16">
        <f t="shared" si="45"/>
        <v>83232</v>
      </c>
      <c r="I108" s="16">
        <v>1134</v>
      </c>
      <c r="J108" s="17">
        <f t="shared" si="46"/>
        <v>23.625</v>
      </c>
      <c r="K108" s="15">
        <v>467</v>
      </c>
      <c r="L108" s="15">
        <v>811</v>
      </c>
      <c r="M108" s="17">
        <f t="shared" si="47"/>
        <v>9.7291666666666661</v>
      </c>
      <c r="N108" s="17">
        <f t="shared" si="48"/>
        <v>16.895833333333332</v>
      </c>
      <c r="O108" s="18">
        <f t="shared" si="49"/>
        <v>0.57583230579531441</v>
      </c>
      <c r="P108" s="16">
        <v>467</v>
      </c>
      <c r="Q108" s="15">
        <v>810</v>
      </c>
      <c r="R108" s="17">
        <f t="shared" si="50"/>
        <v>9.7291666666666661</v>
      </c>
      <c r="S108" s="17">
        <f t="shared" si="51"/>
        <v>16.875</v>
      </c>
      <c r="T108" s="18">
        <f t="shared" si="52"/>
        <v>0.57654320987654317</v>
      </c>
      <c r="U108" s="15">
        <v>0</v>
      </c>
      <c r="V108" s="15">
        <v>1</v>
      </c>
      <c r="W108" s="17">
        <f t="shared" si="53"/>
        <v>0</v>
      </c>
      <c r="X108" s="17">
        <f t="shared" si="54"/>
        <v>2.0833333333333332E-2</v>
      </c>
      <c r="Y108" s="18">
        <f t="shared" si="55"/>
        <v>0</v>
      </c>
      <c r="Z108" s="15">
        <v>200</v>
      </c>
      <c r="AA108" s="15">
        <v>321</v>
      </c>
      <c r="AB108" s="17">
        <f t="shared" si="56"/>
        <v>4.166666666666667</v>
      </c>
      <c r="AC108" s="17">
        <f t="shared" si="57"/>
        <v>6.6875</v>
      </c>
      <c r="AD108" s="18">
        <f t="shared" si="58"/>
        <v>0.62305295950155759</v>
      </c>
      <c r="AE108" s="15">
        <v>565</v>
      </c>
      <c r="AF108" s="17">
        <f t="shared" si="59"/>
        <v>11.770833333333334</v>
      </c>
      <c r="AG108" s="15">
        <v>261</v>
      </c>
      <c r="AH108" s="17">
        <f t="shared" si="60"/>
        <v>5.4375</v>
      </c>
      <c r="AI108" s="15">
        <v>304</v>
      </c>
      <c r="AJ108" s="17">
        <f t="shared" si="61"/>
        <v>6.333333333333333</v>
      </c>
      <c r="AK108" s="15">
        <v>110</v>
      </c>
      <c r="AL108" s="17">
        <f t="shared" si="62"/>
        <v>2.2916666666666665</v>
      </c>
      <c r="AM108" s="15">
        <v>22</v>
      </c>
      <c r="AN108" s="17">
        <f t="shared" si="63"/>
        <v>0.45833333333333331</v>
      </c>
      <c r="AO108" s="15">
        <v>36</v>
      </c>
      <c r="AP108" s="17">
        <f t="shared" si="71"/>
        <v>0.75</v>
      </c>
      <c r="AQ108" s="4">
        <v>141</v>
      </c>
      <c r="AR108" s="17">
        <f t="shared" si="64"/>
        <v>2.9375</v>
      </c>
      <c r="AS108" s="15">
        <v>91</v>
      </c>
      <c r="AT108" s="17">
        <f t="shared" si="65"/>
        <v>1.8958333333333333</v>
      </c>
      <c r="AU108" s="19">
        <v>4.1498223356327397</v>
      </c>
      <c r="AV108" s="19">
        <v>0.1196603903008287</v>
      </c>
      <c r="AW108" s="19">
        <v>3.5249946972648551</v>
      </c>
      <c r="AX108" s="19">
        <v>0.62482763836788535</v>
      </c>
      <c r="AY108" s="19">
        <v>113.8276208575946</v>
      </c>
      <c r="AZ108" s="19">
        <v>115.65404114433009</v>
      </c>
      <c r="BA108" s="19">
        <v>23.27012138476633</v>
      </c>
      <c r="BB108" s="19">
        <v>26.270833333333329</v>
      </c>
      <c r="BC108" s="19">
        <v>36.361014994232988</v>
      </c>
      <c r="BD108" s="65">
        <f t="shared" si="66"/>
        <v>59.543812484247674</v>
      </c>
      <c r="BE108" s="65">
        <f t="shared" si="67"/>
        <v>57.583230579531438</v>
      </c>
      <c r="BF108" s="66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31.429878946494746</v>
      </c>
      <c r="BG108" s="38">
        <f t="shared" si="68"/>
        <v>1.2330456226880395E-3</v>
      </c>
      <c r="BH108" s="38">
        <f t="shared" si="69"/>
        <v>0.39580764488286069</v>
      </c>
      <c r="BI108" s="67">
        <f>IFERROR(((AG108*(12000/5))/((F108*60+G108)*(SUMIFS(팀공격력!X:X,팀공격력!A:A,B108,팀공격력!B:B,D108)+SUMIFS(팀수비력!X:X,팀수비력!A:A,B108,팀수비력!B:B,D108))))*100,"")</f>
        <v>8.6277925660493047</v>
      </c>
      <c r="BJ108" s="67">
        <f>IFERROR(((AI108*(12000/5))/((F108*60+G108)*(SUMIFS(팀공격력!V:V,팀공격력!A:A,B108,팀공격력!B:B,D108)+SUMIFS(팀수비력!W:W,팀수비력!A:A,B108,팀수비력!B:B,D108))))*100,"")</f>
        <v>20.465041132039907</v>
      </c>
      <c r="BK108" s="67">
        <f>IFERROR(((AE108*(12000/5))/((F108*60+G108)*(SUMIFS(팀공격력!X:X,팀공격력!A:A,B108,팀공격력!B:B,D108)+SUMIFS(팀수비력!X:X,팀수비력!A:A,B108,팀수비력!B:B,D108))))*100,"")</f>
        <v>18.677022221524357</v>
      </c>
      <c r="BL108" s="67">
        <f>IFERROR(100*AK108/(((((F108*60+G108)/(12000/5))*SUMIFS(팀공격력!P:P,팀공격력!A:A,B108,팀공격력!B:B,D108))-K108)),"")</f>
        <v>15.750455510332653</v>
      </c>
      <c r="BM108" s="67">
        <f>IFERROR(100*((AM108/E108*(2400))/((F108*60+G108)*SUMIFS(팀공격력!AR:AR,팀공격력!A:A,B108,팀공격력!B:B,D108))),"")</f>
        <v>0.85750791416553573</v>
      </c>
      <c r="BN108" s="67">
        <f>IFERROR((AO108*40)/(((F108*60+G108)/60)*(SUMIFS(팀수비력!Q:Q,팀수비력!A:A,B108,팀수비력!B:B,D108)-SUMIFS(팀수비력!N:N,팀수비력!A:A,B108,팀수비력!B:B,D108)))*100,"")</f>
        <v>2.0271354605116829</v>
      </c>
      <c r="BO108" s="67">
        <f t="shared" si="70"/>
        <v>12.897442464600637</v>
      </c>
      <c r="BP108" s="19"/>
      <c r="BQ108" s="19"/>
      <c r="BR108" s="19"/>
      <c r="BS108" s="19"/>
      <c r="BT108" s="20" t="s">
        <v>96</v>
      </c>
      <c r="BU108" s="21">
        <v>100000</v>
      </c>
      <c r="BV108" s="31" t="s">
        <v>102</v>
      </c>
      <c r="BW108" s="31">
        <v>1747.03</v>
      </c>
      <c r="BX108" s="31">
        <v>2399.23</v>
      </c>
      <c r="BY108" s="31">
        <v>652.20000000000005</v>
      </c>
      <c r="BZ108" s="35">
        <f t="shared" si="82"/>
        <v>36.396458333333335</v>
      </c>
      <c r="CA108" s="35">
        <f t="shared" si="83"/>
        <v>49.983958333333334</v>
      </c>
      <c r="CB108" s="35">
        <f t="shared" si="84"/>
        <v>13.5875</v>
      </c>
      <c r="CC108" s="36">
        <f t="shared" si="85"/>
        <v>50.37572087658593</v>
      </c>
      <c r="CD108" s="36">
        <f t="shared" si="86"/>
        <v>69.181949250288355</v>
      </c>
      <c r="CE108" s="36">
        <f t="shared" si="87"/>
        <v>18.806228373702421</v>
      </c>
      <c r="CF108" s="31">
        <v>14</v>
      </c>
      <c r="CG108" s="31">
        <v>34</v>
      </c>
    </row>
    <row r="109" spans="1:85" x14ac:dyDescent="0.4">
      <c r="A109" s="11" t="s">
        <v>85</v>
      </c>
      <c r="B109" s="11" t="s">
        <v>183</v>
      </c>
      <c r="C109" s="14" t="s">
        <v>87</v>
      </c>
      <c r="D109" s="46" t="s">
        <v>88</v>
      </c>
      <c r="E109" s="15">
        <v>30</v>
      </c>
      <c r="F109" s="15">
        <v>16</v>
      </c>
      <c r="G109" s="15">
        <v>51</v>
      </c>
      <c r="H109" s="16">
        <f t="shared" si="45"/>
        <v>30330</v>
      </c>
      <c r="I109" s="16">
        <v>171</v>
      </c>
      <c r="J109" s="17">
        <f t="shared" si="46"/>
        <v>5.7</v>
      </c>
      <c r="K109" s="15">
        <v>62</v>
      </c>
      <c r="L109" s="15">
        <v>147</v>
      </c>
      <c r="M109" s="17">
        <f t="shared" si="47"/>
        <v>2.0666666666666669</v>
      </c>
      <c r="N109" s="17">
        <f t="shared" si="48"/>
        <v>4.9000000000000004</v>
      </c>
      <c r="O109" s="18">
        <f t="shared" si="49"/>
        <v>0.42176870748299322</v>
      </c>
      <c r="P109" s="16">
        <v>28</v>
      </c>
      <c r="Q109" s="15">
        <v>58</v>
      </c>
      <c r="R109" s="17">
        <f t="shared" si="50"/>
        <v>0.93333333333333335</v>
      </c>
      <c r="S109" s="17">
        <f t="shared" si="51"/>
        <v>1.9333333333333333</v>
      </c>
      <c r="T109" s="18">
        <f t="shared" si="52"/>
        <v>0.48275862068965519</v>
      </c>
      <c r="U109" s="15">
        <v>34</v>
      </c>
      <c r="V109" s="15">
        <v>89</v>
      </c>
      <c r="W109" s="17">
        <f t="shared" si="53"/>
        <v>1.1333333333333333</v>
      </c>
      <c r="X109" s="17">
        <f t="shared" si="54"/>
        <v>2.9666666666666668</v>
      </c>
      <c r="Y109" s="18">
        <f t="shared" si="55"/>
        <v>0.38202247191011235</v>
      </c>
      <c r="Z109" s="15">
        <v>13</v>
      </c>
      <c r="AA109" s="15">
        <v>16</v>
      </c>
      <c r="AB109" s="17">
        <f t="shared" si="56"/>
        <v>0.43333333333333335</v>
      </c>
      <c r="AC109" s="17">
        <f t="shared" si="57"/>
        <v>0.53333333333333333</v>
      </c>
      <c r="AD109" s="18">
        <f t="shared" si="58"/>
        <v>0.8125</v>
      </c>
      <c r="AE109" s="15">
        <v>40</v>
      </c>
      <c r="AF109" s="17">
        <f t="shared" si="59"/>
        <v>1.3333333333333333</v>
      </c>
      <c r="AG109" s="15">
        <v>11</v>
      </c>
      <c r="AH109" s="17">
        <f t="shared" si="60"/>
        <v>0.36666666666666664</v>
      </c>
      <c r="AI109" s="15">
        <v>29</v>
      </c>
      <c r="AJ109" s="17">
        <f t="shared" si="61"/>
        <v>0.96666666666666667</v>
      </c>
      <c r="AK109" s="15">
        <v>45</v>
      </c>
      <c r="AL109" s="17">
        <f t="shared" si="62"/>
        <v>1.5</v>
      </c>
      <c r="AM109" s="15">
        <v>11</v>
      </c>
      <c r="AN109" s="17">
        <f t="shared" si="63"/>
        <v>0.36666666666666664</v>
      </c>
      <c r="AO109" s="15">
        <v>1</v>
      </c>
      <c r="AP109" s="17">
        <f t="shared" si="71"/>
        <v>3.3333333333333333E-2</v>
      </c>
      <c r="AQ109" s="4">
        <v>25</v>
      </c>
      <c r="AR109" s="17">
        <f t="shared" si="64"/>
        <v>0.83333333333333337</v>
      </c>
      <c r="AS109" s="15">
        <v>60</v>
      </c>
      <c r="AT109" s="17">
        <f t="shared" si="65"/>
        <v>2</v>
      </c>
      <c r="AU109" s="19">
        <v>3.5013447355858457E-2</v>
      </c>
      <c r="AV109" s="19">
        <v>2.7705991972983941E-3</v>
      </c>
      <c r="AW109" s="19">
        <v>0.2234010329062682</v>
      </c>
      <c r="AX109" s="19">
        <v>-0.1883875855504098</v>
      </c>
      <c r="AY109" s="19">
        <v>106.53188605369211</v>
      </c>
      <c r="AZ109" s="19">
        <v>122.86999345369981</v>
      </c>
      <c r="BA109" s="19">
        <v>3.761742896099094</v>
      </c>
      <c r="BB109" s="19">
        <v>5.166666666666667</v>
      </c>
      <c r="BC109" s="19">
        <v>12.2650840751731</v>
      </c>
      <c r="BD109" s="65">
        <f t="shared" si="66"/>
        <v>55.505063619839</v>
      </c>
      <c r="BE109" s="65">
        <f t="shared" si="67"/>
        <v>53.741496598639458</v>
      </c>
      <c r="BF109" s="66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8.8282617589473311</v>
      </c>
      <c r="BG109" s="38">
        <f t="shared" si="68"/>
        <v>0.60544217687074831</v>
      </c>
      <c r="BH109" s="38">
        <f t="shared" si="69"/>
        <v>0.10884353741496598</v>
      </c>
      <c r="BI109" s="67">
        <f>IFERROR(((AG109*(12000/5))/((F109*60+G109)*(SUMIFS(팀공격력!X:X,팀공격력!A:A,B109,팀공격력!B:B,D109)+SUMIFS(팀수비력!X:X,팀수비력!A:A,B109,팀수비력!B:B,D109))))*100,"")</f>
        <v>0.62366275719887543</v>
      </c>
      <c r="BJ109" s="67">
        <f>IFERROR(((AI109*(12000/5))/((F109*60+G109)*(SUMIFS(팀공격력!V:V,팀공격력!A:A,B109,팀공격력!B:B,D109)+SUMIFS(팀수비력!W:W,팀수비력!A:A,B109,팀수비력!B:B,D109))))*100,"")</f>
        <v>3.3483818078952532</v>
      </c>
      <c r="BK109" s="67">
        <f>IFERROR(((AE109*(12000/5))/((F109*60+G109)*(SUMIFS(팀공격력!X:X,팀공격력!A:A,B109,팀공격력!B:B,D109)+SUMIFS(팀수비력!X:X,팀수비력!A:A,B109,팀수비력!B:B,D109))))*100,"")</f>
        <v>2.2678645716322743</v>
      </c>
      <c r="BL109" s="67">
        <f>IFERROR(100*AK109/(((((F109*60+G109)/(12000/5))*SUMIFS(팀공격력!P:P,팀공격력!A:A,B109,팀공격력!B:B,D109))-K109)),"")</f>
        <v>7.2877296900083195</v>
      </c>
      <c r="BM109" s="67">
        <f>IFERROR(100*((AM109/E109*(2400))/((F109*60+G109)*SUMIFS(팀공격력!AR:AR,팀공격력!A:A,B109,팀공격력!B:B,D109))),"")</f>
        <v>1.1765924614544323</v>
      </c>
      <c r="BN109" s="67">
        <f>IFERROR((AO109*40)/(((F109*60+G109)/60)*(SUMIFS(팀수비력!Q:Q,팀수비력!A:A,B109,팀수비력!B:B,D109)-SUMIFS(팀수비력!N:N,팀수비력!A:A,B109,팀수비력!B:B,D109)))*100,"")</f>
        <v>9.6578000014486687E-2</v>
      </c>
      <c r="BO109" s="67">
        <f t="shared" si="70"/>
        <v>13.963360142984808</v>
      </c>
      <c r="BP109" s="19"/>
      <c r="BQ109" s="19"/>
      <c r="BR109" s="19"/>
      <c r="BS109" s="19"/>
      <c r="BT109" s="20" t="s">
        <v>89</v>
      </c>
      <c r="BU109" s="21">
        <v>75000</v>
      </c>
      <c r="BV109" s="31" t="s">
        <v>90</v>
      </c>
      <c r="BZ109" s="35"/>
      <c r="CA109" s="35"/>
      <c r="CB109" s="35"/>
      <c r="CC109" s="36"/>
      <c r="CD109" s="36"/>
      <c r="CE109" s="36"/>
      <c r="CF109" s="45">
        <v>11</v>
      </c>
      <c r="CG109" s="45">
        <v>19</v>
      </c>
    </row>
    <row r="110" spans="1:85" x14ac:dyDescent="0.4">
      <c r="A110" s="11" t="s">
        <v>85</v>
      </c>
      <c r="B110" s="11" t="s">
        <v>203</v>
      </c>
      <c r="C110" s="11" t="s">
        <v>204</v>
      </c>
      <c r="D110" s="46" t="s">
        <v>88</v>
      </c>
      <c r="E110" s="15">
        <v>17</v>
      </c>
      <c r="F110" s="15">
        <v>8</v>
      </c>
      <c r="G110" s="15">
        <v>39</v>
      </c>
      <c r="H110" s="16">
        <f t="shared" si="45"/>
        <v>8823</v>
      </c>
      <c r="I110" s="16">
        <v>69</v>
      </c>
      <c r="J110" s="17">
        <f t="shared" si="46"/>
        <v>4.0588235294117645</v>
      </c>
      <c r="K110" s="15">
        <v>25</v>
      </c>
      <c r="L110" s="15">
        <v>58</v>
      </c>
      <c r="M110" s="17">
        <f t="shared" si="47"/>
        <v>1.4705882352941178</v>
      </c>
      <c r="N110" s="17">
        <f t="shared" si="48"/>
        <v>3.4117647058823528</v>
      </c>
      <c r="O110" s="18">
        <f t="shared" si="49"/>
        <v>0.43103448275862066</v>
      </c>
      <c r="P110" s="16">
        <v>16</v>
      </c>
      <c r="Q110" s="15">
        <v>28</v>
      </c>
      <c r="R110" s="17">
        <f t="shared" si="50"/>
        <v>0.94117647058823528</v>
      </c>
      <c r="S110" s="17">
        <f t="shared" si="51"/>
        <v>1.6470588235294117</v>
      </c>
      <c r="T110" s="18">
        <f t="shared" si="52"/>
        <v>0.5714285714285714</v>
      </c>
      <c r="U110" s="15">
        <v>9</v>
      </c>
      <c r="V110" s="15">
        <v>30</v>
      </c>
      <c r="W110" s="17">
        <f t="shared" si="53"/>
        <v>0.52941176470588236</v>
      </c>
      <c r="X110" s="17">
        <f t="shared" si="54"/>
        <v>1.7647058823529411</v>
      </c>
      <c r="Y110" s="18">
        <f t="shared" si="55"/>
        <v>0.3</v>
      </c>
      <c r="Z110" s="15">
        <v>10</v>
      </c>
      <c r="AA110" s="15">
        <v>17</v>
      </c>
      <c r="AB110" s="17">
        <f t="shared" si="56"/>
        <v>0.58823529411764708</v>
      </c>
      <c r="AC110" s="17">
        <f t="shared" si="57"/>
        <v>1</v>
      </c>
      <c r="AD110" s="18">
        <f t="shared" si="58"/>
        <v>0.58823529411764708</v>
      </c>
      <c r="AE110" s="15">
        <v>6</v>
      </c>
      <c r="AF110" s="17">
        <f t="shared" si="59"/>
        <v>0.35294117647058826</v>
      </c>
      <c r="AG110" s="15">
        <v>1</v>
      </c>
      <c r="AH110" s="17">
        <f t="shared" si="60"/>
        <v>5.8823529411764705E-2</v>
      </c>
      <c r="AI110" s="15">
        <v>5</v>
      </c>
      <c r="AJ110" s="17">
        <f t="shared" si="61"/>
        <v>0.29411764705882354</v>
      </c>
      <c r="AK110" s="15">
        <v>5</v>
      </c>
      <c r="AL110" s="17">
        <f t="shared" si="62"/>
        <v>0.29411764705882354</v>
      </c>
      <c r="AM110" s="15">
        <v>9</v>
      </c>
      <c r="AN110" s="17">
        <f t="shared" si="63"/>
        <v>0.52941176470588236</v>
      </c>
      <c r="AO110" s="15">
        <v>1</v>
      </c>
      <c r="AP110" s="17">
        <f t="shared" si="71"/>
        <v>5.8823529411764705E-2</v>
      </c>
      <c r="AQ110" s="4">
        <v>0</v>
      </c>
      <c r="AR110" s="17">
        <f t="shared" si="64"/>
        <v>0</v>
      </c>
      <c r="AS110" s="15">
        <v>12</v>
      </c>
      <c r="AT110" s="17">
        <f t="shared" si="65"/>
        <v>0.70588235294117652</v>
      </c>
      <c r="AU110" s="19">
        <v>0.31717556798963992</v>
      </c>
      <c r="AV110" s="19">
        <v>8.6276931109048591E-2</v>
      </c>
      <c r="AW110" s="19">
        <v>0.2004262398136642</v>
      </c>
      <c r="AX110" s="19">
        <v>0.11674932817597571</v>
      </c>
      <c r="AY110" s="19">
        <v>116.31309370689971</v>
      </c>
      <c r="AZ110" s="19">
        <v>112.1413834456588</v>
      </c>
      <c r="BA110" s="19">
        <v>3.3550827460529571</v>
      </c>
      <c r="BB110" s="19">
        <v>2.9411764705882359</v>
      </c>
      <c r="BC110" s="19">
        <v>13.60081604896294</v>
      </c>
      <c r="BD110" s="65">
        <f t="shared" si="66"/>
        <v>52.68784361637141</v>
      </c>
      <c r="BE110" s="65">
        <f t="shared" si="67"/>
        <v>50.862068965517238</v>
      </c>
      <c r="BF110" s="66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6.2928676380632389</v>
      </c>
      <c r="BG110" s="38">
        <f t="shared" si="68"/>
        <v>0.51724137931034486</v>
      </c>
      <c r="BH110" s="38">
        <f t="shared" si="69"/>
        <v>0.29310344827586204</v>
      </c>
      <c r="BI110" s="67">
        <f>IFERROR(((AG110*(12000/5))/((F110*60+G110)*(SUMIFS(팀공격력!X:X,팀공격력!A:A,B110,팀공격력!B:B,D110)+SUMIFS(팀수비력!X:X,팀수비력!A:A,B110,팀수비력!B:B,D110))))*100,"")</f>
        <v>0.1128147708379458</v>
      </c>
      <c r="BJ110" s="67">
        <f>IFERROR(((AI110*(12000/5))/((F110*60+G110)*(SUMIFS(팀공격력!V:V,팀공격력!A:A,B110,팀공격력!B:B,D110)+SUMIFS(팀수비력!W:W,팀수비력!A:A,B110,팀수비력!B:B,D110))))*100,"")</f>
        <v>1.191210060960175</v>
      </c>
      <c r="BK110" s="67">
        <f>IFERROR(((AE110*(12000/5))/((F110*60+G110)*(SUMIFS(팀공격력!X:X,팀공격력!A:A,B110,팀공격력!B:B,D110)+SUMIFS(팀수비력!X:X,팀수비력!A:A,B110,팀수비력!B:B,D110))))*100,"")</f>
        <v>0.67688862502767488</v>
      </c>
      <c r="BL110" s="67">
        <f>IFERROR(100*AK110/(((((F110*60+G110)/(12000/5))*SUMIFS(팀공격력!P:P,팀공격력!A:A,B110,팀공격력!B:B,D110))-K110)),"")</f>
        <v>1.3808816929609558</v>
      </c>
      <c r="BM110" s="67">
        <f>IFERROR(100*((AM110/E110*(2400))/((F110*60+G110)*SUMIFS(팀공격력!AR:AR,팀공격력!A:A,B110,팀공격력!B:B,D110))),"")</f>
        <v>3.2668959823448742</v>
      </c>
      <c r="BN110" s="67">
        <f>IFERROR((AO110*40)/(((F110*60+G110)/60)*(SUMIFS(팀수비력!Q:Q,팀수비력!A:A,B110,팀수비력!B:B,D110)-SUMIFS(팀수비력!N:N,팀수비력!A:A,B110,팀수비력!B:B,D110)))*100,"")</f>
        <v>0.21125068326392865</v>
      </c>
      <c r="BO110" s="67">
        <f t="shared" si="70"/>
        <v>0</v>
      </c>
      <c r="BP110" s="19"/>
      <c r="BQ110" s="19"/>
      <c r="BR110" s="19"/>
      <c r="BS110" s="19"/>
      <c r="BT110" s="20" t="s">
        <v>89</v>
      </c>
      <c r="BU110" s="21">
        <v>750000</v>
      </c>
      <c r="BV110" s="31" t="s">
        <v>90</v>
      </c>
      <c r="BW110" s="31">
        <v>93.29</v>
      </c>
      <c r="BX110" s="31">
        <v>129.79</v>
      </c>
      <c r="BY110" s="31">
        <v>36.5</v>
      </c>
      <c r="BZ110" s="35">
        <f t="shared" ref="BZ110:BZ134" si="88">CA110-CB110</f>
        <v>5.4876470588235282</v>
      </c>
      <c r="CA110" s="35">
        <f t="shared" ref="CA110:CA134" si="89">BX110/$E110</f>
        <v>7.6347058823529403</v>
      </c>
      <c r="CB110" s="35">
        <f t="shared" ref="CB110:CB134" si="90">BY110/$E110</f>
        <v>2.1470588235294117</v>
      </c>
      <c r="CC110" s="36">
        <f t="shared" ref="CC110:CC134" si="91">CD110-CE110</f>
        <v>25.376402584155052</v>
      </c>
      <c r="CD110" s="36">
        <f t="shared" ref="CD110:CD134" si="92">BX110*2400/$H110</f>
        <v>35.304998299897996</v>
      </c>
      <c r="CE110" s="36">
        <f t="shared" ref="CE110:CE134" si="93">BY110*2400/$H110</f>
        <v>9.9285957157429454</v>
      </c>
      <c r="CF110" s="30">
        <v>14</v>
      </c>
      <c r="CG110" s="30">
        <v>3</v>
      </c>
    </row>
    <row r="111" spans="1:85" x14ac:dyDescent="0.4">
      <c r="A111" s="11" t="s">
        <v>85</v>
      </c>
      <c r="B111" s="11" t="s">
        <v>203</v>
      </c>
      <c r="C111" s="11" t="s">
        <v>205</v>
      </c>
      <c r="D111" s="46" t="s">
        <v>88</v>
      </c>
      <c r="E111" s="15">
        <v>50</v>
      </c>
      <c r="F111" s="15">
        <v>8</v>
      </c>
      <c r="G111" s="15">
        <v>38</v>
      </c>
      <c r="H111" s="16">
        <f t="shared" si="45"/>
        <v>25900</v>
      </c>
      <c r="I111" s="16">
        <v>232</v>
      </c>
      <c r="J111" s="17">
        <f t="shared" si="46"/>
        <v>4.6399999999999997</v>
      </c>
      <c r="K111" s="15">
        <v>104</v>
      </c>
      <c r="L111" s="15">
        <v>159</v>
      </c>
      <c r="M111" s="17">
        <f t="shared" si="47"/>
        <v>2.08</v>
      </c>
      <c r="N111" s="17">
        <f t="shared" si="48"/>
        <v>3.18</v>
      </c>
      <c r="O111" s="18">
        <f t="shared" si="49"/>
        <v>0.65408805031446537</v>
      </c>
      <c r="P111" s="16">
        <v>104</v>
      </c>
      <c r="Q111" s="15">
        <v>159</v>
      </c>
      <c r="R111" s="17">
        <f t="shared" si="50"/>
        <v>2.08</v>
      </c>
      <c r="S111" s="17">
        <f t="shared" si="51"/>
        <v>3.18</v>
      </c>
      <c r="T111" s="18">
        <f t="shared" si="52"/>
        <v>0.65408805031446537</v>
      </c>
      <c r="U111" s="15">
        <v>0</v>
      </c>
      <c r="V111" s="15">
        <v>0</v>
      </c>
      <c r="W111" s="17">
        <f t="shared" si="53"/>
        <v>0</v>
      </c>
      <c r="X111" s="17">
        <f t="shared" si="54"/>
        <v>0</v>
      </c>
      <c r="Y111" s="18" t="e">
        <f t="shared" si="55"/>
        <v>#DIV/0!</v>
      </c>
      <c r="Z111" s="15">
        <v>24</v>
      </c>
      <c r="AA111" s="15">
        <v>42</v>
      </c>
      <c r="AB111" s="17">
        <f t="shared" si="56"/>
        <v>0.48</v>
      </c>
      <c r="AC111" s="17">
        <f t="shared" si="57"/>
        <v>0.84</v>
      </c>
      <c r="AD111" s="18">
        <f t="shared" si="58"/>
        <v>0.5714285714285714</v>
      </c>
      <c r="AE111" s="15">
        <v>175</v>
      </c>
      <c r="AF111" s="17">
        <f t="shared" si="59"/>
        <v>3.5</v>
      </c>
      <c r="AG111" s="15">
        <v>57</v>
      </c>
      <c r="AH111" s="17">
        <f t="shared" si="60"/>
        <v>1.1399999999999999</v>
      </c>
      <c r="AI111" s="15">
        <v>118</v>
      </c>
      <c r="AJ111" s="17">
        <f t="shared" si="61"/>
        <v>2.36</v>
      </c>
      <c r="AK111" s="15">
        <v>22</v>
      </c>
      <c r="AL111" s="17">
        <f t="shared" si="62"/>
        <v>0.44</v>
      </c>
      <c r="AM111" s="15">
        <v>10</v>
      </c>
      <c r="AN111" s="17">
        <f t="shared" si="63"/>
        <v>0.2</v>
      </c>
      <c r="AO111" s="15">
        <v>17</v>
      </c>
      <c r="AP111" s="17">
        <f t="shared" si="71"/>
        <v>0.34</v>
      </c>
      <c r="AQ111" s="4">
        <v>33</v>
      </c>
      <c r="AR111" s="17">
        <f t="shared" si="64"/>
        <v>0.66</v>
      </c>
      <c r="AS111" s="15">
        <v>58</v>
      </c>
      <c r="AT111" s="17">
        <f t="shared" si="65"/>
        <v>1.1599999999999999</v>
      </c>
      <c r="AU111" s="19">
        <v>1.5252371669412961</v>
      </c>
      <c r="AV111" s="19">
        <v>0.14133471817216639</v>
      </c>
      <c r="AW111" s="19">
        <v>0.84043722905153384</v>
      </c>
      <c r="AX111" s="19">
        <v>0.68479993788976179</v>
      </c>
      <c r="AY111" s="19">
        <v>118.3667431043786</v>
      </c>
      <c r="AZ111" s="19">
        <v>104.6938302140849</v>
      </c>
      <c r="BA111" s="19">
        <v>16.66798612429853</v>
      </c>
      <c r="BB111" s="19">
        <v>7</v>
      </c>
      <c r="BC111" s="19">
        <v>32.432432432432428</v>
      </c>
      <c r="BD111" s="65">
        <f t="shared" si="66"/>
        <v>65.359477124183002</v>
      </c>
      <c r="BE111" s="65">
        <f t="shared" si="67"/>
        <v>65.408805031446533</v>
      </c>
      <c r="BF111" s="66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20.266948293283772</v>
      </c>
      <c r="BG111" s="38">
        <f t="shared" si="68"/>
        <v>0</v>
      </c>
      <c r="BH111" s="38">
        <f t="shared" si="69"/>
        <v>0.26415094339622641</v>
      </c>
      <c r="BI111" s="67">
        <f>IFERROR(((AG111*(12000/5))/((F111*60+G111)*(SUMIFS(팀공격력!X:X,팀공격력!A:A,B111,팀공격력!B:B,D111)+SUMIFS(팀수비력!X:X,팀수비력!A:A,B111,팀수비력!B:B,D111))))*100,"")</f>
        <v>6.4428559183377434</v>
      </c>
      <c r="BJ111" s="67">
        <f>IFERROR(((AI111*(12000/5))/((F111*60+G111)*(SUMIFS(팀공격력!V:V,팀공격력!A:A,B111,팀공격력!B:B,D111)+SUMIFS(팀수비력!W:W,팀수비력!A:A,B111,팀수비력!B:B,D111))))*100,"")</f>
        <v>28.166828785066805</v>
      </c>
      <c r="BK111" s="67">
        <f>IFERROR(((AE111*(12000/5))/((F111*60+G111)*(SUMIFS(팀공격력!X:X,팀공격력!A:A,B111,팀공격력!B:B,D111)+SUMIFS(팀수비력!X:X,팀수비력!A:A,B111,팀수비력!B:B,D111))))*100,"")</f>
        <v>19.780697994896578</v>
      </c>
      <c r="BL111" s="67">
        <f>IFERROR(100*AK111/(((((F111*60+G111)/(12000/5))*SUMIFS(팀공격력!P:P,팀공격력!A:A,B111,팀공격력!B:B,D111))-K111)),"")</f>
        <v>7.7919778046692842</v>
      </c>
      <c r="BM111" s="67">
        <f>IFERROR(100*((AM111/E111*(2400))/((F111*60+G111)*SUMIFS(팀공격력!AR:AR,팀공격력!A:A,B111,팀공격력!B:B,D111))),"")</f>
        <v>1.236543254063871</v>
      </c>
      <c r="BN111" s="67">
        <f>IFERROR((AO111*40)/(((F111*60+G111)/60)*(SUMIFS(팀수비력!Q:Q,팀수비력!A:A,B111,팀수비력!B:B,D111)-SUMIFS(팀수비력!N:N,팀수비력!A:A,B111,팀수비력!B:B,D111)))*100,"")</f>
        <v>3.5981945529684229</v>
      </c>
      <c r="BO111" s="67">
        <f t="shared" si="70"/>
        <v>15.678449258836945</v>
      </c>
      <c r="BP111" s="19"/>
      <c r="BQ111" s="19"/>
      <c r="BR111" s="19"/>
      <c r="BS111" s="19"/>
      <c r="BT111" s="20" t="s">
        <v>96</v>
      </c>
      <c r="BU111" s="21">
        <v>40000</v>
      </c>
      <c r="BV111" s="30" t="s">
        <v>102</v>
      </c>
      <c r="BW111" s="30">
        <v>484.41</v>
      </c>
      <c r="BX111" s="30">
        <v>603.30999999999995</v>
      </c>
      <c r="BY111" s="30">
        <v>118.9</v>
      </c>
      <c r="BZ111" s="35">
        <f t="shared" si="88"/>
        <v>9.6881999999999984</v>
      </c>
      <c r="CA111" s="35">
        <f t="shared" si="89"/>
        <v>12.066199999999998</v>
      </c>
      <c r="CB111" s="35">
        <f t="shared" si="90"/>
        <v>2.3780000000000001</v>
      </c>
      <c r="CC111" s="36">
        <f t="shared" si="91"/>
        <v>44.887413127413119</v>
      </c>
      <c r="CD111" s="36">
        <f t="shared" si="92"/>
        <v>55.905173745173734</v>
      </c>
      <c r="CE111" s="36">
        <f t="shared" si="93"/>
        <v>11.017760617760617</v>
      </c>
      <c r="CF111" s="31">
        <v>30</v>
      </c>
      <c r="CG111" s="31">
        <v>20</v>
      </c>
    </row>
    <row r="112" spans="1:85" x14ac:dyDescent="0.4">
      <c r="A112" s="11" t="s">
        <v>85</v>
      </c>
      <c r="B112" s="11" t="s">
        <v>203</v>
      </c>
      <c r="C112" s="11" t="s">
        <v>206</v>
      </c>
      <c r="D112" s="46" t="s">
        <v>88</v>
      </c>
      <c r="E112" s="10">
        <v>44</v>
      </c>
      <c r="F112" s="10">
        <v>23</v>
      </c>
      <c r="G112" s="10">
        <v>6</v>
      </c>
      <c r="H112" s="16">
        <f t="shared" si="45"/>
        <v>60984</v>
      </c>
      <c r="I112" s="16">
        <v>234</v>
      </c>
      <c r="J112" s="17">
        <f t="shared" si="46"/>
        <v>5.3181818181818183</v>
      </c>
      <c r="K112" s="15">
        <v>86</v>
      </c>
      <c r="L112" s="15">
        <v>233</v>
      </c>
      <c r="M112" s="17">
        <f t="shared" si="47"/>
        <v>1.9545454545454546</v>
      </c>
      <c r="N112" s="17">
        <f t="shared" si="48"/>
        <v>5.2954545454545459</v>
      </c>
      <c r="O112" s="18">
        <f t="shared" si="49"/>
        <v>0.36909871244635195</v>
      </c>
      <c r="P112" s="16">
        <v>34</v>
      </c>
      <c r="Q112" s="15">
        <v>51</v>
      </c>
      <c r="R112" s="17">
        <f t="shared" si="50"/>
        <v>0.77272727272727271</v>
      </c>
      <c r="S112" s="17">
        <f t="shared" si="51"/>
        <v>1.1590909090909092</v>
      </c>
      <c r="T112" s="18">
        <f t="shared" si="52"/>
        <v>0.66666666666666663</v>
      </c>
      <c r="U112" s="15">
        <v>52</v>
      </c>
      <c r="V112" s="15">
        <v>182</v>
      </c>
      <c r="W112" s="17">
        <f t="shared" si="53"/>
        <v>1.1818181818181819</v>
      </c>
      <c r="X112" s="17">
        <f t="shared" si="54"/>
        <v>4.1363636363636367</v>
      </c>
      <c r="Y112" s="18">
        <f t="shared" si="55"/>
        <v>0.2857142857142857</v>
      </c>
      <c r="Z112" s="9">
        <v>10</v>
      </c>
      <c r="AA112" s="9">
        <v>15</v>
      </c>
      <c r="AB112" s="17">
        <f t="shared" si="56"/>
        <v>0.22727272727272727</v>
      </c>
      <c r="AC112" s="17">
        <f t="shared" si="57"/>
        <v>0.34090909090909088</v>
      </c>
      <c r="AD112" s="18">
        <f t="shared" si="58"/>
        <v>0.66666666666666663</v>
      </c>
      <c r="AE112" s="15">
        <v>135</v>
      </c>
      <c r="AF112" s="17">
        <f t="shared" si="59"/>
        <v>3.0681818181818183</v>
      </c>
      <c r="AG112" s="15">
        <v>56</v>
      </c>
      <c r="AH112" s="17">
        <f t="shared" si="60"/>
        <v>1.2727272727272727</v>
      </c>
      <c r="AI112" s="15">
        <v>79</v>
      </c>
      <c r="AJ112" s="17">
        <f t="shared" si="61"/>
        <v>1.7954545454545454</v>
      </c>
      <c r="AK112" s="15">
        <v>91</v>
      </c>
      <c r="AL112" s="17">
        <f t="shared" si="62"/>
        <v>2.0681818181818183</v>
      </c>
      <c r="AM112" s="15">
        <v>75</v>
      </c>
      <c r="AN112" s="17">
        <f t="shared" si="63"/>
        <v>1.7045454545454546</v>
      </c>
      <c r="AO112" s="7">
        <v>12</v>
      </c>
      <c r="AP112" s="17">
        <f t="shared" si="71"/>
        <v>0.27272727272727271</v>
      </c>
      <c r="AQ112" s="2">
        <v>37</v>
      </c>
      <c r="AR112" s="17">
        <f t="shared" si="64"/>
        <v>0.84090909090909094</v>
      </c>
      <c r="AS112" s="15">
        <v>126</v>
      </c>
      <c r="AT112" s="17">
        <f t="shared" si="65"/>
        <v>2.8636363636363638</v>
      </c>
      <c r="AU112" s="19">
        <v>1.6801288748528731</v>
      </c>
      <c r="AV112" s="19">
        <v>6.6120774295665999E-2</v>
      </c>
      <c r="AW112" s="19">
        <v>0.46890975992910638</v>
      </c>
      <c r="AX112" s="19">
        <v>1.211219114923767</v>
      </c>
      <c r="AY112" s="19">
        <v>108.5530899194917</v>
      </c>
      <c r="AZ112" s="19">
        <v>108.40351424168681</v>
      </c>
      <c r="BA112" s="19">
        <v>6.3284041187142401</v>
      </c>
      <c r="BB112" s="19">
        <v>8.1363636363636367</v>
      </c>
      <c r="BC112" s="19">
        <v>14.088941361668629</v>
      </c>
      <c r="BD112" s="65">
        <f t="shared" si="66"/>
        <v>48.831385642737892</v>
      </c>
      <c r="BE112" s="65">
        <f t="shared" si="67"/>
        <v>48.068669527896994</v>
      </c>
      <c r="BF112" s="66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9.9539677573494725</v>
      </c>
      <c r="BG112" s="38">
        <f t="shared" si="68"/>
        <v>0.7811158798283262</v>
      </c>
      <c r="BH112" s="38">
        <f t="shared" si="69"/>
        <v>6.4377682403433473E-2</v>
      </c>
      <c r="BI112" s="67">
        <f>IFERROR(((AG112*(12000/5))/((F112*60+G112)*(SUMIFS(팀공격력!X:X,팀공격력!A:A,B112,팀공격력!B:B,D112)+SUMIFS(팀수비력!X:X,팀수비력!A:A,B112,팀수비력!B:B,D112))))*100,"")</f>
        <v>2.3656915581775304</v>
      </c>
      <c r="BJ112" s="67">
        <f>IFERROR(((AI112*(12000/5))/((F112*60+G112)*(SUMIFS(팀공격력!V:V,팀공격력!A:A,B112,팀공격력!B:B,D112)+SUMIFS(팀수비력!W:W,팀수비력!A:A,B112,팀수비력!B:B,D112))))*100,"")</f>
        <v>7.0477350230055027</v>
      </c>
      <c r="BK112" s="67">
        <f>IFERROR(((AE112*(12000/5))/((F112*60+G112)*(SUMIFS(팀공격력!X:X,팀공격력!A:A,B112,팀공격력!B:B,D112)+SUMIFS(팀수비력!X:X,팀수비력!A:A,B112,팀수비력!B:B,D112))))*100,"")</f>
        <v>5.7030064348922602</v>
      </c>
      <c r="BL112" s="67">
        <f>IFERROR(100*AK112/(((((F112*60+G112)/(12000/5))*SUMIFS(팀공격력!P:P,팀공격력!A:A,B112,팀공격력!B:B,D112))-K112)),"")</f>
        <v>9.6019414914664054</v>
      </c>
      <c r="BM112" s="67">
        <f>IFERROR(100*((AM112/E112*(2400))/((F112*60+G112)*SUMIFS(팀공격력!AR:AR,팀공격력!A:A,B112,팀공격력!B:B,D112))),"")</f>
        <v>3.9387138774417374</v>
      </c>
      <c r="BN112" s="67">
        <f>IFERROR((AO112*40)/(((F112*60+G112)/60)*(SUMIFS(팀수비력!Q:Q,팀수비력!A:A,B112,팀수비력!B:B,D112)-SUMIFS(팀수비력!N:N,팀수비력!A:A,B112,팀수비력!B:B,D112)))*100,"")</f>
        <v>0.94925631700414714</v>
      </c>
      <c r="BO112" s="67">
        <f t="shared" si="70"/>
        <v>13.376717281272594</v>
      </c>
      <c r="BP112" s="19"/>
      <c r="BQ112" s="19"/>
      <c r="BR112" s="19"/>
      <c r="BS112" s="19"/>
      <c r="BT112" s="20" t="s">
        <v>89</v>
      </c>
      <c r="BU112" s="21">
        <v>60000</v>
      </c>
      <c r="BV112" s="31" t="s">
        <v>93</v>
      </c>
      <c r="BW112" s="31">
        <v>687.06</v>
      </c>
      <c r="BX112" s="31">
        <v>880.56</v>
      </c>
      <c r="BY112" s="31">
        <v>193.5</v>
      </c>
      <c r="BZ112" s="35">
        <f t="shared" si="88"/>
        <v>15.614999999999998</v>
      </c>
      <c r="CA112" s="35">
        <f t="shared" si="89"/>
        <v>20.012727272727272</v>
      </c>
      <c r="CB112" s="35">
        <f t="shared" si="90"/>
        <v>4.3977272727272725</v>
      </c>
      <c r="CC112" s="36">
        <f t="shared" si="91"/>
        <v>27.038961038961038</v>
      </c>
      <c r="CD112" s="36">
        <f t="shared" si="92"/>
        <v>34.654073199527744</v>
      </c>
      <c r="CE112" s="36">
        <f t="shared" si="93"/>
        <v>7.6151121605667056</v>
      </c>
      <c r="CF112" s="30">
        <v>27</v>
      </c>
      <c r="CG112" s="30">
        <v>17</v>
      </c>
    </row>
    <row r="113" spans="1:85" x14ac:dyDescent="0.4">
      <c r="A113" s="11" t="s">
        <v>85</v>
      </c>
      <c r="B113" s="11" t="s">
        <v>203</v>
      </c>
      <c r="C113" s="11" t="s">
        <v>207</v>
      </c>
      <c r="D113" s="46" t="s">
        <v>88</v>
      </c>
      <c r="E113" s="15">
        <v>52</v>
      </c>
      <c r="F113" s="15">
        <v>16</v>
      </c>
      <c r="G113" s="15">
        <v>17</v>
      </c>
      <c r="H113" s="16">
        <f t="shared" si="45"/>
        <v>50804</v>
      </c>
      <c r="I113" s="16">
        <v>243</v>
      </c>
      <c r="J113" s="17">
        <f t="shared" si="46"/>
        <v>4.6730769230769234</v>
      </c>
      <c r="K113" s="15">
        <v>91</v>
      </c>
      <c r="L113" s="15">
        <v>226</v>
      </c>
      <c r="M113" s="17">
        <f t="shared" si="47"/>
        <v>1.75</v>
      </c>
      <c r="N113" s="17">
        <f t="shared" si="48"/>
        <v>4.3461538461538458</v>
      </c>
      <c r="O113" s="18">
        <f t="shared" si="49"/>
        <v>0.40265486725663718</v>
      </c>
      <c r="P113" s="16">
        <v>59</v>
      </c>
      <c r="Q113" s="15">
        <v>123</v>
      </c>
      <c r="R113" s="17">
        <f t="shared" si="50"/>
        <v>1.1346153846153846</v>
      </c>
      <c r="S113" s="17">
        <f t="shared" si="51"/>
        <v>2.3653846153846154</v>
      </c>
      <c r="T113" s="18">
        <f t="shared" si="52"/>
        <v>0.47967479674796748</v>
      </c>
      <c r="U113" s="15">
        <v>32</v>
      </c>
      <c r="V113" s="15">
        <v>103</v>
      </c>
      <c r="W113" s="17">
        <f t="shared" si="53"/>
        <v>0.61538461538461542</v>
      </c>
      <c r="X113" s="17">
        <f t="shared" si="54"/>
        <v>1.9807692307692308</v>
      </c>
      <c r="Y113" s="18">
        <f t="shared" si="55"/>
        <v>0.31067961165048541</v>
      </c>
      <c r="Z113" s="15">
        <v>29</v>
      </c>
      <c r="AA113" s="15">
        <v>44</v>
      </c>
      <c r="AB113" s="17">
        <f t="shared" si="56"/>
        <v>0.55769230769230771</v>
      </c>
      <c r="AC113" s="17">
        <f t="shared" si="57"/>
        <v>0.84615384615384615</v>
      </c>
      <c r="AD113" s="18">
        <f t="shared" si="58"/>
        <v>0.65909090909090906</v>
      </c>
      <c r="AE113" s="15">
        <v>162</v>
      </c>
      <c r="AF113" s="17">
        <f t="shared" si="59"/>
        <v>3.1153846153846154</v>
      </c>
      <c r="AG113" s="15">
        <v>71</v>
      </c>
      <c r="AH113" s="17">
        <f t="shared" si="60"/>
        <v>1.3653846153846154</v>
      </c>
      <c r="AI113" s="15">
        <v>91</v>
      </c>
      <c r="AJ113" s="17">
        <f t="shared" si="61"/>
        <v>1.75</v>
      </c>
      <c r="AK113" s="15">
        <v>56</v>
      </c>
      <c r="AL113" s="17">
        <f t="shared" si="62"/>
        <v>1.0769230769230769</v>
      </c>
      <c r="AM113" s="15">
        <v>31</v>
      </c>
      <c r="AN113" s="17">
        <f t="shared" si="63"/>
        <v>0.59615384615384615</v>
      </c>
      <c r="AO113" s="15">
        <v>1</v>
      </c>
      <c r="AP113" s="17">
        <f t="shared" si="71"/>
        <v>1.9230769230769232E-2</v>
      </c>
      <c r="AQ113" s="4">
        <v>27</v>
      </c>
      <c r="AR113" s="17">
        <f t="shared" si="64"/>
        <v>0.51923076923076927</v>
      </c>
      <c r="AS113" s="15">
        <v>104</v>
      </c>
      <c r="AT113" s="17">
        <f t="shared" si="65"/>
        <v>2</v>
      </c>
      <c r="AU113" s="19">
        <v>1.3308272092501441</v>
      </c>
      <c r="AV113" s="19">
        <v>6.2868776123934031E-2</v>
      </c>
      <c r="AW113" s="19">
        <v>0.65556964861364475</v>
      </c>
      <c r="AX113" s="19">
        <v>0.67525756063649878</v>
      </c>
      <c r="AY113" s="19">
        <v>111.5263520702199</v>
      </c>
      <c r="AZ113" s="19">
        <v>112.10809180771641</v>
      </c>
      <c r="BA113" s="19">
        <v>7.3833477159652086</v>
      </c>
      <c r="BB113" s="19">
        <v>6.0769230769230766</v>
      </c>
      <c r="BC113" s="19">
        <v>14.9279584284702</v>
      </c>
      <c r="BD113" s="65">
        <f t="shared" si="66"/>
        <v>49.519074013694159</v>
      </c>
      <c r="BE113" s="65">
        <f t="shared" si="67"/>
        <v>47.345132743362832</v>
      </c>
      <c r="BF113" s="66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13.904521435277836</v>
      </c>
      <c r="BG113" s="38">
        <f t="shared" si="68"/>
        <v>0.45575221238938052</v>
      </c>
      <c r="BH113" s="38">
        <f t="shared" si="69"/>
        <v>0.19469026548672566</v>
      </c>
      <c r="BI113" s="67">
        <f>IFERROR(((AG113*(12000/5))/((F113*60+G113)*(SUMIFS(팀공격력!X:X,팀공격력!A:A,B113,팀공격력!B:B,D113)+SUMIFS(팀수비력!X:X,팀수비력!A:A,B113,팀수비력!B:B,D113))))*100,"")</f>
        <v>4.2549759371621958</v>
      </c>
      <c r="BJ113" s="67">
        <f>IFERROR(((AI113*(12000/5))/((F113*60+G113)*(SUMIFS(팀공격력!V:V,팀공격력!A:A,B113,팀공격력!B:B,D113)+SUMIFS(팀수비력!W:W,팀수비력!A:A,B113,팀수비력!B:B,D113))))*100,"")</f>
        <v>11.516818826834822</v>
      </c>
      <c r="BK113" s="67">
        <f>IFERROR(((AE113*(12000/5))/((F113*60+G113)*(SUMIFS(팀공격력!X:X,팀공격력!A:A,B113,팀공격력!B:B,D113)+SUMIFS(팀수비력!X:X,팀수비력!A:A,B113,팀수비력!B:B,D113))))*100,"")</f>
        <v>9.7085366453559967</v>
      </c>
      <c r="BL113" s="67">
        <f>IFERROR(100*AK113/(((((F113*60+G113)/(12000/5))*SUMIFS(팀공격력!P:P,팀공격력!A:A,B113,팀공격력!B:B,D113))-K113)),"")</f>
        <v>8.7818456250857597</v>
      </c>
      <c r="BM113" s="67">
        <f>IFERROR(100*((AM113/E113*(2400))/((F113*60+G113)*SUMIFS(팀공격력!AR:AR,팀공격력!A:A,B113,팀공격력!B:B,D113))),"")</f>
        <v>1.9542173425082312</v>
      </c>
      <c r="BN113" s="67">
        <f>IFERROR((AO113*40)/(((F113*60+G113)/60)*(SUMIFS(팀수비력!Q:Q,팀수비력!A:A,B113,팀수비력!B:B,D113)-SUMIFS(팀수비력!N:N,팀수비력!A:A,B113,팀수비력!B:B,D113)))*100,"")</f>
        <v>0.1122201684892313</v>
      </c>
      <c r="BO113" s="67">
        <f t="shared" si="70"/>
        <v>9.9133499779703325</v>
      </c>
      <c r="BP113" s="19"/>
      <c r="BQ113" s="19"/>
      <c r="BR113" s="19"/>
      <c r="BS113" s="19"/>
      <c r="BT113" s="20" t="s">
        <v>89</v>
      </c>
      <c r="BU113" s="21"/>
      <c r="BV113" s="30" t="s">
        <v>93</v>
      </c>
      <c r="BW113" s="30">
        <v>587.70000000000005</v>
      </c>
      <c r="BX113" s="30">
        <v>768.1</v>
      </c>
      <c r="BY113" s="30">
        <v>180.4</v>
      </c>
      <c r="BZ113" s="35">
        <f t="shared" si="88"/>
        <v>11.301923076923078</v>
      </c>
      <c r="CA113" s="35">
        <f t="shared" si="89"/>
        <v>14.771153846153847</v>
      </c>
      <c r="CB113" s="35">
        <f t="shared" si="90"/>
        <v>3.4692307692307693</v>
      </c>
      <c r="CC113" s="36">
        <f t="shared" si="91"/>
        <v>27.763168254468152</v>
      </c>
      <c r="CD113" s="36">
        <f t="shared" si="92"/>
        <v>36.285331863632784</v>
      </c>
      <c r="CE113" s="36">
        <f t="shared" si="93"/>
        <v>8.5221636091646324</v>
      </c>
      <c r="CF113" s="30">
        <v>31</v>
      </c>
      <c r="CG113" s="30">
        <v>21</v>
      </c>
    </row>
    <row r="114" spans="1:85" x14ac:dyDescent="0.4">
      <c r="A114" s="11" t="s">
        <v>85</v>
      </c>
      <c r="B114" s="11" t="s">
        <v>203</v>
      </c>
      <c r="C114" s="11" t="s">
        <v>208</v>
      </c>
      <c r="D114" s="46" t="s">
        <v>88</v>
      </c>
      <c r="E114" s="15">
        <v>1</v>
      </c>
      <c r="F114" s="15">
        <v>3</v>
      </c>
      <c r="G114" s="15">
        <v>0</v>
      </c>
      <c r="H114" s="16">
        <f t="shared" si="45"/>
        <v>180</v>
      </c>
      <c r="I114" s="16">
        <v>0</v>
      </c>
      <c r="J114" s="17">
        <f t="shared" si="46"/>
        <v>0</v>
      </c>
      <c r="K114" s="15">
        <v>0</v>
      </c>
      <c r="L114" s="15">
        <v>0</v>
      </c>
      <c r="M114" s="17">
        <f t="shared" si="47"/>
        <v>0</v>
      </c>
      <c r="N114" s="17">
        <f t="shared" si="48"/>
        <v>0</v>
      </c>
      <c r="O114" s="18" t="e">
        <f t="shared" si="49"/>
        <v>#DIV/0!</v>
      </c>
      <c r="P114" s="16">
        <v>0</v>
      </c>
      <c r="Q114" s="15">
        <v>0</v>
      </c>
      <c r="R114" s="17">
        <f t="shared" si="50"/>
        <v>0</v>
      </c>
      <c r="S114" s="17">
        <f t="shared" si="51"/>
        <v>0</v>
      </c>
      <c r="T114" s="18" t="e">
        <f t="shared" si="52"/>
        <v>#DIV/0!</v>
      </c>
      <c r="U114" s="15">
        <v>0</v>
      </c>
      <c r="V114" s="15">
        <v>0</v>
      </c>
      <c r="W114" s="17">
        <f t="shared" si="53"/>
        <v>0</v>
      </c>
      <c r="X114" s="17">
        <f t="shared" si="54"/>
        <v>0</v>
      </c>
      <c r="Y114" s="18" t="e">
        <f t="shared" si="55"/>
        <v>#DIV/0!</v>
      </c>
      <c r="Z114" s="15">
        <v>0</v>
      </c>
      <c r="AA114" s="15">
        <v>0</v>
      </c>
      <c r="AB114" s="17">
        <f t="shared" si="56"/>
        <v>0</v>
      </c>
      <c r="AC114" s="17">
        <f t="shared" si="57"/>
        <v>0</v>
      </c>
      <c r="AD114" s="18" t="e">
        <f t="shared" si="58"/>
        <v>#DIV/0!</v>
      </c>
      <c r="AE114" s="15">
        <v>2</v>
      </c>
      <c r="AF114" s="17">
        <f t="shared" si="59"/>
        <v>2</v>
      </c>
      <c r="AG114" s="15">
        <v>0</v>
      </c>
      <c r="AH114" s="17">
        <f t="shared" si="60"/>
        <v>0</v>
      </c>
      <c r="AI114" s="15">
        <v>2</v>
      </c>
      <c r="AJ114" s="17">
        <f t="shared" si="61"/>
        <v>2</v>
      </c>
      <c r="AK114" s="15">
        <v>0</v>
      </c>
      <c r="AL114" s="17">
        <f t="shared" si="62"/>
        <v>0</v>
      </c>
      <c r="AM114" s="15">
        <v>0</v>
      </c>
      <c r="AN114" s="17">
        <f t="shared" si="63"/>
        <v>0</v>
      </c>
      <c r="AO114" s="15">
        <v>0</v>
      </c>
      <c r="AP114" s="17">
        <f t="shared" si="71"/>
        <v>0</v>
      </c>
      <c r="AQ114" s="4">
        <v>1</v>
      </c>
      <c r="AR114" s="17">
        <f t="shared" si="64"/>
        <v>1</v>
      </c>
      <c r="AS114" s="15">
        <v>1</v>
      </c>
      <c r="AT114" s="17">
        <f t="shared" si="65"/>
        <v>1</v>
      </c>
      <c r="AU114" s="19">
        <v>-2.01662820978015E-2</v>
      </c>
      <c r="AV114" s="19">
        <v>-0.26888376130401997</v>
      </c>
      <c r="AW114" s="19">
        <v>-2.89334595658397E-2</v>
      </c>
      <c r="AX114" s="19">
        <v>8.7671774680381925E-3</v>
      </c>
      <c r="AY114" s="19">
        <v>0</v>
      </c>
      <c r="AZ114" s="19">
        <v>92.138330598219028</v>
      </c>
      <c r="BA114" s="19">
        <v>-0.25796285137778791</v>
      </c>
      <c r="BB114" s="19">
        <v>1</v>
      </c>
      <c r="BC114" s="19">
        <v>13.33333333333333</v>
      </c>
      <c r="BD114" s="65" t="str">
        <f t="shared" si="66"/>
        <v/>
      </c>
      <c r="BE114" s="65" t="str">
        <f t="shared" si="67"/>
        <v/>
      </c>
      <c r="BF114" s="66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0.27709888550828249</v>
      </c>
      <c r="BG114" s="38" t="str">
        <f t="shared" si="68"/>
        <v/>
      </c>
      <c r="BH114" s="38" t="str">
        <f t="shared" si="69"/>
        <v/>
      </c>
      <c r="BI114" s="67">
        <f>IFERROR(((AG114*(12000/5))/((F114*60+G114)*(SUMIFS(팀공격력!X:X,팀공격력!A:A,B114,팀공격력!B:B,D114)+SUMIFS(팀수비력!X:X,팀수비력!A:A,B114,팀수비력!B:B,D114))))*100,"")</f>
        <v>0</v>
      </c>
      <c r="BJ114" s="67">
        <f>IFERROR(((AI114*(12000/5))/((F114*60+G114)*(SUMIFS(팀공격력!V:V,팀공격력!A:A,B114,팀공격력!B:B,D114)+SUMIFS(팀수비력!W:W,팀수비력!A:A,B114,팀수비력!B:B,D114))))*100,"")</f>
        <v>1.3738622703074017</v>
      </c>
      <c r="BK114" s="67">
        <f>IFERROR(((AE114*(12000/5))/((F114*60+G114)*(SUMIFS(팀공격력!X:X,팀공격력!A:A,B114,팀공격력!B:B,D114)+SUMIFS(팀수비력!X:X,팀수비력!A:A,B114,팀수비력!B:B,D114))))*100,"")</f>
        <v>0.6505651784988209</v>
      </c>
      <c r="BL114" s="67">
        <f>IFERROR(100*AK114/(((((F114*60+G114)/(12000/5))*SUMIFS(팀공격력!P:P,팀공격력!A:A,B114,팀공격력!B:B,D114))-K114)),"")</f>
        <v>0</v>
      </c>
      <c r="BM114" s="67">
        <f>IFERROR(100*((AM114/E114*(2400))/((F114*60+G114)*SUMIFS(팀공격력!AR:AR,팀공격력!A:A,B114,팀공격력!B:B,D114))),"")</f>
        <v>0</v>
      </c>
      <c r="BN114" s="67">
        <f>IFERROR((AO114*40)/(((F114*60+G114)/60)*(SUMIFS(팀수비력!Q:Q,팀수비력!A:A,B114,팀수비력!B:B,D114)-SUMIFS(팀수비력!N:N,팀수비력!A:A,B114,팀수비력!B:B,D114)))*100,"")</f>
        <v>0</v>
      </c>
      <c r="BO114" s="67">
        <f t="shared" si="70"/>
        <v>100</v>
      </c>
      <c r="BP114" s="19"/>
      <c r="BQ114" s="19"/>
      <c r="BR114" s="19"/>
      <c r="BS114" s="19"/>
      <c r="BT114" s="20" t="s">
        <v>89</v>
      </c>
      <c r="BU114" s="21">
        <v>750000</v>
      </c>
      <c r="BV114" s="30" t="s">
        <v>90</v>
      </c>
      <c r="BW114" s="30">
        <v>1.25</v>
      </c>
      <c r="BX114" s="30">
        <v>2.75</v>
      </c>
      <c r="BY114" s="30">
        <v>1.5</v>
      </c>
      <c r="BZ114" s="35">
        <f t="shared" si="88"/>
        <v>1.25</v>
      </c>
      <c r="CA114" s="35">
        <f t="shared" si="89"/>
        <v>2.75</v>
      </c>
      <c r="CB114" s="35">
        <f t="shared" si="90"/>
        <v>1.5</v>
      </c>
      <c r="CC114" s="36">
        <f t="shared" si="91"/>
        <v>16.666666666666664</v>
      </c>
      <c r="CD114" s="36">
        <f t="shared" si="92"/>
        <v>36.666666666666664</v>
      </c>
      <c r="CE114" s="36">
        <f t="shared" si="93"/>
        <v>20</v>
      </c>
      <c r="CF114" s="30">
        <v>0</v>
      </c>
      <c r="CG114" s="30">
        <v>1</v>
      </c>
    </row>
    <row r="115" spans="1:85" x14ac:dyDescent="0.4">
      <c r="A115" s="11" t="s">
        <v>85</v>
      </c>
      <c r="B115" s="11" t="s">
        <v>203</v>
      </c>
      <c r="C115" s="11" t="s">
        <v>209</v>
      </c>
      <c r="D115" s="46" t="s">
        <v>88</v>
      </c>
      <c r="E115" s="15">
        <v>2</v>
      </c>
      <c r="F115" s="15">
        <v>4</v>
      </c>
      <c r="G115" s="15">
        <v>45</v>
      </c>
      <c r="H115" s="16">
        <f t="shared" si="45"/>
        <v>570</v>
      </c>
      <c r="I115" s="16">
        <v>2</v>
      </c>
      <c r="J115" s="17">
        <f t="shared" si="46"/>
        <v>1</v>
      </c>
      <c r="K115" s="15">
        <v>1</v>
      </c>
      <c r="L115" s="15">
        <v>6</v>
      </c>
      <c r="M115" s="17">
        <f t="shared" si="47"/>
        <v>0.5</v>
      </c>
      <c r="N115" s="17">
        <f t="shared" si="48"/>
        <v>3</v>
      </c>
      <c r="O115" s="18">
        <f t="shared" si="49"/>
        <v>0.16666666666666666</v>
      </c>
      <c r="P115" s="16">
        <v>1</v>
      </c>
      <c r="Q115" s="15">
        <v>4</v>
      </c>
      <c r="R115" s="17">
        <f t="shared" si="50"/>
        <v>0.5</v>
      </c>
      <c r="S115" s="17">
        <f t="shared" si="51"/>
        <v>2</v>
      </c>
      <c r="T115" s="18">
        <f t="shared" si="52"/>
        <v>0.25</v>
      </c>
      <c r="U115" s="15">
        <v>0</v>
      </c>
      <c r="V115" s="15">
        <v>2</v>
      </c>
      <c r="W115" s="17">
        <f t="shared" si="53"/>
        <v>0</v>
      </c>
      <c r="X115" s="17">
        <f t="shared" si="54"/>
        <v>1</v>
      </c>
      <c r="Y115" s="18">
        <f t="shared" si="55"/>
        <v>0</v>
      </c>
      <c r="Z115" s="15">
        <v>0</v>
      </c>
      <c r="AA115" s="15">
        <v>0</v>
      </c>
      <c r="AB115" s="17">
        <f t="shared" si="56"/>
        <v>0</v>
      </c>
      <c r="AC115" s="17">
        <f t="shared" si="57"/>
        <v>0</v>
      </c>
      <c r="AD115" s="18" t="e">
        <f t="shared" si="58"/>
        <v>#DIV/0!</v>
      </c>
      <c r="AE115" s="15">
        <v>1</v>
      </c>
      <c r="AF115" s="17">
        <f t="shared" si="59"/>
        <v>0.5</v>
      </c>
      <c r="AG115" s="15">
        <v>0</v>
      </c>
      <c r="AH115" s="17">
        <f t="shared" si="60"/>
        <v>0</v>
      </c>
      <c r="AI115" s="15">
        <v>1</v>
      </c>
      <c r="AJ115" s="17">
        <f t="shared" si="61"/>
        <v>0.5</v>
      </c>
      <c r="AK115" s="15">
        <v>0</v>
      </c>
      <c r="AL115" s="17">
        <f t="shared" si="62"/>
        <v>0</v>
      </c>
      <c r="AM115" s="15">
        <v>1</v>
      </c>
      <c r="AN115" s="17">
        <f t="shared" si="63"/>
        <v>0.5</v>
      </c>
      <c r="AO115" s="15">
        <v>0</v>
      </c>
      <c r="AP115" s="17">
        <f t="shared" si="71"/>
        <v>0</v>
      </c>
      <c r="AQ115" s="4">
        <v>0</v>
      </c>
      <c r="AR115" s="17">
        <f t="shared" si="64"/>
        <v>0</v>
      </c>
      <c r="AS115" s="15">
        <v>2</v>
      </c>
      <c r="AT115" s="17">
        <f t="shared" si="65"/>
        <v>1</v>
      </c>
      <c r="AU115" s="19">
        <v>-5.7751799739551482E-2</v>
      </c>
      <c r="AV115" s="19">
        <v>-0.2431654725875852</v>
      </c>
      <c r="AW115" s="19">
        <v>-7.3704557352447228E-2</v>
      </c>
      <c r="AX115" s="19">
        <v>1.5952757612895739E-2</v>
      </c>
      <c r="AY115" s="19">
        <v>40.653478457912279</v>
      </c>
      <c r="AZ115" s="19">
        <v>103.82143278165771</v>
      </c>
      <c r="BA115" s="19">
        <v>-0.31019690001581962</v>
      </c>
      <c r="BB115" s="19">
        <v>-0.5</v>
      </c>
      <c r="BC115" s="19">
        <v>-4.2105263157894726</v>
      </c>
      <c r="BD115" s="65">
        <f t="shared" si="66"/>
        <v>16.666666666666664</v>
      </c>
      <c r="BE115" s="65">
        <f t="shared" si="67"/>
        <v>16.666666666666664</v>
      </c>
      <c r="BF115" s="66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1.0500589345577021</v>
      </c>
      <c r="BG115" s="38">
        <f t="shared" si="68"/>
        <v>0.33333333333333331</v>
      </c>
      <c r="BH115" s="38">
        <f t="shared" si="69"/>
        <v>0</v>
      </c>
      <c r="BI115" s="67">
        <f>IFERROR(((AG115*(12000/5))/((F115*60+G115)*(SUMIFS(팀공격력!X:X,팀공격력!A:A,B115,팀공격력!B:B,D115)+SUMIFS(팀수비력!X:X,팀수비력!A:A,B115,팀수비력!B:B,D115))))*100,"")</f>
        <v>0</v>
      </c>
      <c r="BJ115" s="67">
        <f>IFERROR(((AI115*(12000/5))/((F115*60+G115)*(SUMIFS(팀공격력!V:V,팀공격력!A:A,B115,팀공격력!B:B,D115)+SUMIFS(팀수비력!W:W,팀수비력!A:A,B115,팀수비력!B:B,D115))))*100,"")</f>
        <v>0.43385124325496899</v>
      </c>
      <c r="BK115" s="67">
        <f>IFERROR(((AE115*(12000/5))/((F115*60+G115)*(SUMIFS(팀공격력!X:X,팀공격력!A:A,B115,팀공격력!B:B,D115)+SUMIFS(팀수비력!X:X,팀수비력!A:A,B115,팀수비력!B:B,D115))))*100,"")</f>
        <v>0.20544163531541712</v>
      </c>
      <c r="BL115" s="67">
        <f>IFERROR(100*AK115/(((((F115*60+G115)/(12000/5))*SUMIFS(팀공격력!P:P,팀공격력!A:A,B115,팀공격력!B:B,D115))-K115)),"")</f>
        <v>0</v>
      </c>
      <c r="BM115" s="67">
        <f>IFERROR(100*((AM115/E115*(2400))/((F115*60+G115)*SUMIFS(팀공격력!AR:AR,팀공격력!A:A,B115,팀공격력!B:B,D115))),"")</f>
        <v>5.6186789965358344</v>
      </c>
      <c r="BN115" s="67">
        <f>IFERROR((AO115*40)/(((F115*60+G115)/60)*(SUMIFS(팀수비력!Q:Q,팀수비력!A:A,B115,팀수비력!B:B,D115)-SUMIFS(팀수비력!N:N,팀수비력!A:A,B115,팀수비력!B:B,D115)))*100,"")</f>
        <v>0</v>
      </c>
      <c r="BO115" s="67">
        <f t="shared" si="70"/>
        <v>0</v>
      </c>
      <c r="BP115" s="19"/>
      <c r="BQ115" s="19"/>
      <c r="BR115" s="19"/>
      <c r="BS115" s="19"/>
      <c r="BT115" s="20" t="s">
        <v>89</v>
      </c>
      <c r="BU115" s="21">
        <v>100000</v>
      </c>
      <c r="BV115" s="31" t="s">
        <v>93</v>
      </c>
      <c r="BW115" s="31">
        <v>1.57</v>
      </c>
      <c r="BX115" s="31">
        <v>6.37</v>
      </c>
      <c r="BY115" s="31">
        <v>4.8</v>
      </c>
      <c r="BZ115" s="35">
        <f t="shared" si="88"/>
        <v>0.78500000000000014</v>
      </c>
      <c r="CA115" s="35">
        <f t="shared" si="89"/>
        <v>3.1850000000000001</v>
      </c>
      <c r="CB115" s="35">
        <f t="shared" si="90"/>
        <v>2.4</v>
      </c>
      <c r="CC115" s="36">
        <f t="shared" si="91"/>
        <v>6.6105263157894747</v>
      </c>
      <c r="CD115" s="36">
        <f t="shared" si="92"/>
        <v>26.821052631578947</v>
      </c>
      <c r="CE115" s="36">
        <f t="shared" si="93"/>
        <v>20.210526315789473</v>
      </c>
      <c r="CF115" s="30">
        <v>1</v>
      </c>
      <c r="CG115" s="30">
        <v>1</v>
      </c>
    </row>
    <row r="116" spans="1:85" x14ac:dyDescent="0.4">
      <c r="A116" s="11" t="s">
        <v>85</v>
      </c>
      <c r="B116" s="11" t="s">
        <v>203</v>
      </c>
      <c r="C116" s="11" t="s">
        <v>210</v>
      </c>
      <c r="D116" s="46" t="s">
        <v>88</v>
      </c>
      <c r="E116" s="15">
        <v>5</v>
      </c>
      <c r="F116" s="15">
        <v>5</v>
      </c>
      <c r="G116" s="15">
        <v>38</v>
      </c>
      <c r="H116" s="16">
        <f t="shared" si="45"/>
        <v>1690</v>
      </c>
      <c r="I116" s="16">
        <v>4</v>
      </c>
      <c r="J116" s="17">
        <f t="shared" si="46"/>
        <v>0.8</v>
      </c>
      <c r="K116" s="15">
        <v>2</v>
      </c>
      <c r="L116" s="15">
        <v>6</v>
      </c>
      <c r="M116" s="17">
        <f t="shared" si="47"/>
        <v>0.4</v>
      </c>
      <c r="N116" s="17">
        <f t="shared" si="48"/>
        <v>1.2</v>
      </c>
      <c r="O116" s="18">
        <f t="shared" si="49"/>
        <v>0.33333333333333331</v>
      </c>
      <c r="P116" s="16">
        <v>2</v>
      </c>
      <c r="Q116" s="15">
        <v>6</v>
      </c>
      <c r="R116" s="17">
        <f t="shared" si="50"/>
        <v>0.4</v>
      </c>
      <c r="S116" s="17">
        <f t="shared" si="51"/>
        <v>1.2</v>
      </c>
      <c r="T116" s="18">
        <f t="shared" si="52"/>
        <v>0.33333333333333331</v>
      </c>
      <c r="U116" s="15">
        <v>0</v>
      </c>
      <c r="V116" s="15">
        <v>0</v>
      </c>
      <c r="W116" s="17">
        <f t="shared" si="53"/>
        <v>0</v>
      </c>
      <c r="X116" s="17">
        <f t="shared" si="54"/>
        <v>0</v>
      </c>
      <c r="Y116" s="18" t="e">
        <f t="shared" si="55"/>
        <v>#DIV/0!</v>
      </c>
      <c r="Z116" s="15">
        <v>0</v>
      </c>
      <c r="AA116" s="15">
        <v>1</v>
      </c>
      <c r="AB116" s="17">
        <f t="shared" si="56"/>
        <v>0</v>
      </c>
      <c r="AC116" s="17">
        <f t="shared" si="57"/>
        <v>0.2</v>
      </c>
      <c r="AD116" s="18">
        <f t="shared" si="58"/>
        <v>0</v>
      </c>
      <c r="AE116" s="15">
        <v>2</v>
      </c>
      <c r="AF116" s="17">
        <f t="shared" si="59"/>
        <v>0.4</v>
      </c>
      <c r="AG116" s="15">
        <v>1</v>
      </c>
      <c r="AH116" s="17">
        <f t="shared" si="60"/>
        <v>0.2</v>
      </c>
      <c r="AI116" s="15">
        <v>1</v>
      </c>
      <c r="AJ116" s="17">
        <f t="shared" si="61"/>
        <v>0.2</v>
      </c>
      <c r="AK116" s="15">
        <v>1</v>
      </c>
      <c r="AL116" s="17">
        <f t="shared" si="62"/>
        <v>0.2</v>
      </c>
      <c r="AM116" s="15">
        <v>0</v>
      </c>
      <c r="AN116" s="17">
        <f t="shared" si="63"/>
        <v>0</v>
      </c>
      <c r="AO116" s="15">
        <v>1</v>
      </c>
      <c r="AP116" s="17">
        <f t="shared" si="71"/>
        <v>0.2</v>
      </c>
      <c r="AQ116" s="4">
        <v>1</v>
      </c>
      <c r="AR116" s="17">
        <f t="shared" si="64"/>
        <v>0.2</v>
      </c>
      <c r="AS116" s="15">
        <v>6</v>
      </c>
      <c r="AT116" s="17">
        <f t="shared" si="65"/>
        <v>1.2</v>
      </c>
      <c r="AU116" s="19">
        <v>-4.9303761724357451E-2</v>
      </c>
      <c r="AV116" s="19">
        <v>-7.0017176413288681E-2</v>
      </c>
      <c r="AW116" s="19">
        <v>-5.5580579331618508E-2</v>
      </c>
      <c r="AX116" s="19">
        <v>6.2768176072610553E-3</v>
      </c>
      <c r="AY116" s="19">
        <v>70.676901469595435</v>
      </c>
      <c r="AZ116" s="19">
        <v>117.5085266875856</v>
      </c>
      <c r="BA116" s="19">
        <v>-0.30848843516771152</v>
      </c>
      <c r="BB116" s="19">
        <v>0.4</v>
      </c>
      <c r="BC116" s="19">
        <v>2.8402366863905328</v>
      </c>
      <c r="BD116" s="65">
        <f t="shared" si="66"/>
        <v>31.05590062111801</v>
      </c>
      <c r="BE116" s="65">
        <f t="shared" si="67"/>
        <v>33.333333333333329</v>
      </c>
      <c r="BF116" s="66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1.0979018564280825</v>
      </c>
      <c r="BG116" s="38">
        <f t="shared" si="68"/>
        <v>0</v>
      </c>
      <c r="BH116" s="38">
        <f t="shared" si="69"/>
        <v>0.16666666666666666</v>
      </c>
      <c r="BI116" s="67">
        <f>IFERROR(((AG116*(12000/5))/((F116*60+G116)*(SUMIFS(팀공격력!X:X,팀공격력!A:A,B116,팀공격력!B:B,D116)+SUMIFS(팀수비력!X:X,팀수비력!A:A,B116,팀수비력!B:B,D116))))*100,"")</f>
        <v>0.17322741439317715</v>
      </c>
      <c r="BJ116" s="67">
        <f>IFERROR(((AI116*(12000/5))/((F116*60+G116)*(SUMIFS(팀공격력!V:V,팀공격력!A:A,B116,팀공격력!B:B,D116)+SUMIFS(팀수비력!W:W,팀수비력!A:A,B116,팀수비력!B:B,D116))))*100,"")</f>
        <v>0.36582131457889394</v>
      </c>
      <c r="BK116" s="67">
        <f>IFERROR(((AE116*(12000/5))/((F116*60+G116)*(SUMIFS(팀공격력!X:X,팀공격력!A:A,B116,팀공격력!B:B,D116)+SUMIFS(팀수비력!X:X,팀수비력!A:A,B116,팀수비력!B:B,D116))))*100,"")</f>
        <v>0.34645482878635431</v>
      </c>
      <c r="BL116" s="67">
        <f>IFERROR(100*AK116/(((((F116*60+G116)/(12000/5))*SUMIFS(팀공격력!P:P,팀공격력!A:A,B116,팀공격력!B:B,D116))-K116)),"")</f>
        <v>0.39985338709139984</v>
      </c>
      <c r="BM116" s="67">
        <f>IFERROR(100*((AM116/E116*(2400))/((F116*60+G116)*SUMIFS(팀공격력!AR:AR,팀공격력!A:A,B116,팀공격력!B:B,D116))),"")</f>
        <v>0</v>
      </c>
      <c r="BN116" s="67">
        <f>IFERROR((AO116*40)/(((F116*60+G116)/60)*(SUMIFS(팀수비력!Q:Q,팀수비력!A:A,B116,팀수비력!B:B,D116)-SUMIFS(팀수비력!N:N,팀수비력!A:A,B116,팀수비력!B:B,D116)))*100,"")</f>
        <v>0.32437604915378399</v>
      </c>
      <c r="BO116" s="67">
        <f t="shared" si="70"/>
        <v>13.440860215053762</v>
      </c>
      <c r="BP116" s="19"/>
      <c r="BQ116" s="19"/>
      <c r="BR116" s="19"/>
      <c r="BS116" s="19"/>
      <c r="BT116" s="20" t="s">
        <v>89</v>
      </c>
      <c r="BU116" s="21"/>
      <c r="BV116" s="31" t="s">
        <v>102</v>
      </c>
      <c r="BW116" s="31">
        <v>9.74</v>
      </c>
      <c r="BX116" s="31">
        <v>16.04</v>
      </c>
      <c r="BY116" s="31">
        <v>6.3</v>
      </c>
      <c r="BZ116" s="35">
        <f t="shared" si="88"/>
        <v>1.9479999999999997</v>
      </c>
      <c r="CA116" s="35">
        <f t="shared" si="89"/>
        <v>3.2079999999999997</v>
      </c>
      <c r="CB116" s="35">
        <f t="shared" si="90"/>
        <v>1.26</v>
      </c>
      <c r="CC116" s="36">
        <f t="shared" si="91"/>
        <v>13.831952662721894</v>
      </c>
      <c r="CD116" s="36">
        <f t="shared" si="92"/>
        <v>22.778698224852072</v>
      </c>
      <c r="CE116" s="36">
        <f t="shared" si="93"/>
        <v>8.946745562130177</v>
      </c>
      <c r="CF116" s="31">
        <v>2</v>
      </c>
      <c r="CG116" s="31">
        <v>3</v>
      </c>
    </row>
    <row r="117" spans="1:85" x14ac:dyDescent="0.4">
      <c r="A117" s="11" t="s">
        <v>85</v>
      </c>
      <c r="B117" s="11" t="s">
        <v>203</v>
      </c>
      <c r="C117" s="11" t="s">
        <v>211</v>
      </c>
      <c r="D117" s="46" t="s">
        <v>88</v>
      </c>
      <c r="E117" s="15">
        <v>23</v>
      </c>
      <c r="F117" s="15">
        <v>10</v>
      </c>
      <c r="G117" s="15">
        <v>9</v>
      </c>
      <c r="H117" s="16">
        <f t="shared" si="45"/>
        <v>14007</v>
      </c>
      <c r="I117" s="16">
        <v>102</v>
      </c>
      <c r="J117" s="17">
        <f t="shared" si="46"/>
        <v>4.4347826086956523</v>
      </c>
      <c r="K117" s="15">
        <v>37</v>
      </c>
      <c r="L117" s="15">
        <v>88</v>
      </c>
      <c r="M117" s="17">
        <f t="shared" si="47"/>
        <v>1.6086956521739131</v>
      </c>
      <c r="N117" s="17">
        <f t="shared" si="48"/>
        <v>3.8260869565217392</v>
      </c>
      <c r="O117" s="18">
        <f t="shared" si="49"/>
        <v>0.42045454545454547</v>
      </c>
      <c r="P117" s="16">
        <v>21</v>
      </c>
      <c r="Q117" s="15">
        <v>43</v>
      </c>
      <c r="R117" s="17">
        <f t="shared" si="50"/>
        <v>0.91304347826086951</v>
      </c>
      <c r="S117" s="17">
        <f t="shared" si="51"/>
        <v>1.8695652173913044</v>
      </c>
      <c r="T117" s="18">
        <f t="shared" si="52"/>
        <v>0.48837209302325579</v>
      </c>
      <c r="U117" s="15">
        <v>16</v>
      </c>
      <c r="V117" s="15">
        <v>45</v>
      </c>
      <c r="W117" s="17">
        <f t="shared" si="53"/>
        <v>0.69565217391304346</v>
      </c>
      <c r="X117" s="17">
        <f t="shared" si="54"/>
        <v>1.9565217391304348</v>
      </c>
      <c r="Y117" s="18">
        <f t="shared" si="55"/>
        <v>0.35555555555555557</v>
      </c>
      <c r="Z117" s="15">
        <v>12</v>
      </c>
      <c r="AA117" s="15">
        <v>14</v>
      </c>
      <c r="AB117" s="17">
        <f t="shared" si="56"/>
        <v>0.52173913043478259</v>
      </c>
      <c r="AC117" s="17">
        <f t="shared" si="57"/>
        <v>0.60869565217391308</v>
      </c>
      <c r="AD117" s="18">
        <f t="shared" si="58"/>
        <v>0.8571428571428571</v>
      </c>
      <c r="AE117" s="15">
        <v>24</v>
      </c>
      <c r="AF117" s="17">
        <f t="shared" si="59"/>
        <v>1.0434782608695652</v>
      </c>
      <c r="AG117" s="15">
        <v>11</v>
      </c>
      <c r="AH117" s="17">
        <f t="shared" si="60"/>
        <v>0.47826086956521741</v>
      </c>
      <c r="AI117" s="15">
        <v>13</v>
      </c>
      <c r="AJ117" s="17">
        <f t="shared" si="61"/>
        <v>0.56521739130434778</v>
      </c>
      <c r="AK117" s="15">
        <v>21</v>
      </c>
      <c r="AL117" s="17">
        <f t="shared" si="62"/>
        <v>0.91304347826086951</v>
      </c>
      <c r="AM117" s="15">
        <v>9</v>
      </c>
      <c r="AN117" s="17">
        <f t="shared" si="63"/>
        <v>0.39130434782608697</v>
      </c>
      <c r="AO117" s="15">
        <v>1</v>
      </c>
      <c r="AP117" s="17">
        <f t="shared" si="71"/>
        <v>4.3478260869565216E-2</v>
      </c>
      <c r="AQ117" s="4">
        <v>15</v>
      </c>
      <c r="AR117" s="17">
        <f t="shared" si="64"/>
        <v>0.65217391304347827</v>
      </c>
      <c r="AS117" s="15">
        <v>12</v>
      </c>
      <c r="AT117" s="17">
        <f t="shared" si="65"/>
        <v>0.52173913043478259</v>
      </c>
      <c r="AU117" s="19">
        <v>0.29128847820771181</v>
      </c>
      <c r="AV117" s="19">
        <v>4.9910212586457357E-2</v>
      </c>
      <c r="AW117" s="19">
        <v>0.15550963765367001</v>
      </c>
      <c r="AX117" s="19">
        <v>0.13577884055404171</v>
      </c>
      <c r="AY117" s="19">
        <v>107.87804594225641</v>
      </c>
      <c r="AZ117" s="19">
        <v>114.13679821461839</v>
      </c>
      <c r="BA117" s="19">
        <v>4.4051783573585483</v>
      </c>
      <c r="BB117" s="19">
        <v>3.8695652173913042</v>
      </c>
      <c r="BC117" s="19">
        <v>15.249518098093811</v>
      </c>
      <c r="BD117" s="65">
        <f t="shared" si="66"/>
        <v>54.163126593033141</v>
      </c>
      <c r="BE117" s="65">
        <f t="shared" si="67"/>
        <v>51.136363636363633</v>
      </c>
      <c r="BF117" s="66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8.9403293621923492</v>
      </c>
      <c r="BG117" s="38">
        <f t="shared" si="68"/>
        <v>0.51136363636363635</v>
      </c>
      <c r="BH117" s="38">
        <f t="shared" si="69"/>
        <v>0.15909090909090909</v>
      </c>
      <c r="BI117" s="67">
        <f>IFERROR(((AG117*(12000/5))/((F117*60+G117)*(SUMIFS(팀공격력!X:X,팀공격력!A:A,B117,팀공격력!B:B,D117)+SUMIFS(팀수비력!X:X,팀수비력!A:A,B117,팀수비력!B:B,D117))))*100,"")</f>
        <v>1.0575690093823196</v>
      </c>
      <c r="BJ117" s="67">
        <f>IFERROR(((AI117*(12000/5))/((F117*60+G117)*(SUMIFS(팀공격력!V:V,팀공격력!A:A,B117,팀공격력!B:B,D117)+SUMIFS(팀수비력!W:W,팀수비력!A:A,B117,팀수비력!B:B,D117))))*100,"")</f>
        <v>2.6394398296546142</v>
      </c>
      <c r="BK117" s="67">
        <f>IFERROR(((AE117*(12000/5))/((F117*60+G117)*(SUMIFS(팀공격력!X:X,팀공격력!A:A,B117,팀공격력!B:B,D117)+SUMIFS(팀수비력!X:X,팀수비력!A:A,B117,팀수비력!B:B,D117))))*100,"")</f>
        <v>2.3074232931977883</v>
      </c>
      <c r="BL117" s="67">
        <f>IFERROR(100*AK117/(((((F117*60+G117)/(12000/5))*SUMIFS(팀공격력!P:P,팀공격력!A:A,B117,팀공격력!B:B,D117))-K117)),"")</f>
        <v>5.0334062378284452</v>
      </c>
      <c r="BM117" s="67">
        <f>IFERROR(100*((AM117/E117*(2400))/((F117*60+G117)*SUMIFS(팀공격력!AR:AR,팀공격력!A:A,B117,팀공격력!B:B,D117))),"")</f>
        <v>2.0578156102112395</v>
      </c>
      <c r="BN117" s="67">
        <f>IFERROR((AO117*40)/(((F117*60+G117)/60)*(SUMIFS(팀수비력!Q:Q,팀수비력!A:A,B117,팀수비력!B:B,D117)-SUMIFS(팀수비력!N:N,팀수비력!A:A,B117,팀수비력!B:B,D117)))*100,"")</f>
        <v>0.18003137046630374</v>
      </c>
      <c r="BO117" s="67">
        <f t="shared" si="70"/>
        <v>13.741297178453646</v>
      </c>
      <c r="BP117" s="19"/>
      <c r="BQ117" s="19"/>
      <c r="BR117" s="19"/>
      <c r="BS117" s="19"/>
      <c r="BT117" s="20" t="s">
        <v>113</v>
      </c>
      <c r="BU117" s="21">
        <v>45000</v>
      </c>
      <c r="BV117" s="30" t="s">
        <v>93</v>
      </c>
      <c r="BW117" s="30">
        <v>159.13999999999999</v>
      </c>
      <c r="BX117" s="30">
        <v>231.34</v>
      </c>
      <c r="BY117" s="30">
        <v>72.2</v>
      </c>
      <c r="BZ117" s="35">
        <f t="shared" si="88"/>
        <v>6.9191304347826081</v>
      </c>
      <c r="CA117" s="35">
        <f t="shared" si="89"/>
        <v>10.058260869565217</v>
      </c>
      <c r="CB117" s="35">
        <f t="shared" si="90"/>
        <v>3.1391304347826088</v>
      </c>
      <c r="CC117" s="36">
        <f t="shared" si="91"/>
        <v>27.267509102591561</v>
      </c>
      <c r="CD117" s="36">
        <f t="shared" si="92"/>
        <v>39.638466481045192</v>
      </c>
      <c r="CE117" s="36">
        <f t="shared" si="93"/>
        <v>12.37095737845363</v>
      </c>
      <c r="CF117" s="30">
        <v>16</v>
      </c>
      <c r="CG117" s="30">
        <v>7</v>
      </c>
    </row>
    <row r="118" spans="1:85" x14ac:dyDescent="0.4">
      <c r="A118" s="11" t="s">
        <v>85</v>
      </c>
      <c r="B118" s="11" t="s">
        <v>203</v>
      </c>
      <c r="C118" s="11" t="s">
        <v>212</v>
      </c>
      <c r="D118" s="46" t="s">
        <v>88</v>
      </c>
      <c r="E118" s="15">
        <v>45</v>
      </c>
      <c r="F118" s="15">
        <v>11</v>
      </c>
      <c r="G118" s="15">
        <v>15</v>
      </c>
      <c r="H118" s="16">
        <f t="shared" si="45"/>
        <v>30375</v>
      </c>
      <c r="I118" s="16">
        <v>173</v>
      </c>
      <c r="J118" s="17">
        <f t="shared" si="46"/>
        <v>3.8444444444444446</v>
      </c>
      <c r="K118" s="15">
        <v>72</v>
      </c>
      <c r="L118" s="15">
        <v>147</v>
      </c>
      <c r="M118" s="17">
        <f t="shared" si="47"/>
        <v>1.6</v>
      </c>
      <c r="N118" s="17">
        <f t="shared" si="48"/>
        <v>3.2666666666666666</v>
      </c>
      <c r="O118" s="18">
        <f t="shared" si="49"/>
        <v>0.48979591836734693</v>
      </c>
      <c r="P118" s="16">
        <v>72</v>
      </c>
      <c r="Q118" s="15">
        <v>146</v>
      </c>
      <c r="R118" s="17">
        <f t="shared" si="50"/>
        <v>1.6</v>
      </c>
      <c r="S118" s="17">
        <f t="shared" si="51"/>
        <v>3.2444444444444445</v>
      </c>
      <c r="T118" s="18">
        <f t="shared" si="52"/>
        <v>0.49315068493150682</v>
      </c>
      <c r="U118" s="15">
        <v>0</v>
      </c>
      <c r="V118" s="15">
        <v>1</v>
      </c>
      <c r="W118" s="17">
        <f t="shared" si="53"/>
        <v>0</v>
      </c>
      <c r="X118" s="17">
        <f t="shared" si="54"/>
        <v>2.2222222222222223E-2</v>
      </c>
      <c r="Y118" s="18">
        <f t="shared" si="55"/>
        <v>0</v>
      </c>
      <c r="Z118" s="15">
        <v>29</v>
      </c>
      <c r="AA118" s="15">
        <v>49</v>
      </c>
      <c r="AB118" s="17">
        <f t="shared" si="56"/>
        <v>0.64444444444444449</v>
      </c>
      <c r="AC118" s="17">
        <f t="shared" si="57"/>
        <v>1.0888888888888888</v>
      </c>
      <c r="AD118" s="18">
        <f t="shared" si="58"/>
        <v>0.59183673469387754</v>
      </c>
      <c r="AE118" s="15">
        <v>95</v>
      </c>
      <c r="AF118" s="17">
        <f t="shared" si="59"/>
        <v>2.1111111111111112</v>
      </c>
      <c r="AG118" s="15">
        <v>50</v>
      </c>
      <c r="AH118" s="17">
        <f t="shared" si="60"/>
        <v>1.1111111111111112</v>
      </c>
      <c r="AI118" s="15">
        <v>45</v>
      </c>
      <c r="AJ118" s="17">
        <f t="shared" si="61"/>
        <v>1</v>
      </c>
      <c r="AK118" s="15">
        <v>10</v>
      </c>
      <c r="AL118" s="17">
        <f t="shared" si="62"/>
        <v>0.22222222222222221</v>
      </c>
      <c r="AM118" s="15">
        <v>11</v>
      </c>
      <c r="AN118" s="17">
        <f t="shared" si="63"/>
        <v>0.24444444444444444</v>
      </c>
      <c r="AO118" s="15">
        <v>14</v>
      </c>
      <c r="AP118" s="17">
        <f t="shared" si="71"/>
        <v>0.31111111111111112</v>
      </c>
      <c r="AQ118" s="4">
        <v>22</v>
      </c>
      <c r="AR118" s="17">
        <f t="shared" si="64"/>
        <v>0.48888888888888887</v>
      </c>
      <c r="AS118" s="15">
        <v>70</v>
      </c>
      <c r="AT118" s="17">
        <f t="shared" si="65"/>
        <v>1.5555555555555556</v>
      </c>
      <c r="AU118" s="19">
        <v>0.51141630023934703</v>
      </c>
      <c r="AV118" s="19">
        <v>4.0408201500392857E-2</v>
      </c>
      <c r="AW118" s="19">
        <v>0.1708491029038178</v>
      </c>
      <c r="AX118" s="19">
        <v>0.34056719733552931</v>
      </c>
      <c r="AY118" s="19">
        <v>105.59148802500491</v>
      </c>
      <c r="AZ118" s="19">
        <v>113.2805812284987</v>
      </c>
      <c r="BA118" s="19">
        <v>6.1008369200862909</v>
      </c>
      <c r="BB118" s="19">
        <v>4.1333333333333337</v>
      </c>
      <c r="BC118" s="19">
        <v>14.6962962962963</v>
      </c>
      <c r="BD118" s="65">
        <f t="shared" si="66"/>
        <v>51.317038443284289</v>
      </c>
      <c r="BE118" s="65">
        <f t="shared" si="67"/>
        <v>48.979591836734691</v>
      </c>
      <c r="BF118" s="66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14.081056965988882</v>
      </c>
      <c r="BG118" s="38">
        <f t="shared" si="68"/>
        <v>6.8027210884353739E-3</v>
      </c>
      <c r="BH118" s="38">
        <f t="shared" si="69"/>
        <v>0.33333333333333331</v>
      </c>
      <c r="BI118" s="67">
        <f>IFERROR(((AG118*(12000/5))/((F118*60+G118)*(SUMIFS(팀공격력!X:X,팀공격력!A:A,B118,팀공격력!B:B,D118)+SUMIFS(팀수비력!X:X,팀수비력!A:A,B118,팀수비력!B:B,D118))))*100,"")</f>
        <v>4.337101189992139</v>
      </c>
      <c r="BJ118" s="67">
        <f>IFERROR(((AI118*(12000/5))/((F118*60+G118)*(SUMIFS(팀공격력!V:V,팀공격력!A:A,B118,팀공격력!B:B,D118)+SUMIFS(팀수비력!W:W,팀수비력!A:A,B118,팀수비력!B:B,D118))))*100,"")</f>
        <v>8.2431736218444094</v>
      </c>
      <c r="BK118" s="67">
        <f>IFERROR(((AE118*(12000/5))/((F118*60+G118)*(SUMIFS(팀공격력!X:X,팀공격력!A:A,B118,팀공격력!B:B,D118)+SUMIFS(팀수비력!X:X,팀수비력!A:A,B118,팀수비력!B:B,D118))))*100,"")</f>
        <v>8.2404922609850644</v>
      </c>
      <c r="BL118" s="67">
        <f>IFERROR(100*AK118/(((((F118*60+G118)/(12000/5))*SUMIFS(팀공격력!P:P,팀공격력!A:A,B118,팀공격력!B:B,D118))-K118)),"")</f>
        <v>2.3178328263074026</v>
      </c>
      <c r="BM118" s="67">
        <f>IFERROR(100*((AM118/E118*(2400))/((F118*60+G118)*SUMIFS(팀공격력!AR:AR,팀공격력!A:A,B118,팀공격력!B:B,D118))),"")</f>
        <v>1.1598063311367794</v>
      </c>
      <c r="BN118" s="67">
        <f>IFERROR((AO118*40)/(((F118*60+G118)/60)*(SUMIFS(팀수비력!Q:Q,팀수비력!A:A,B118,팀수비력!B:B,D118)-SUMIFS(팀수비력!N:N,팀수비력!A:A,B118,팀수비력!B:B,D118)))*100,"")</f>
        <v>2.2739962438454899</v>
      </c>
      <c r="BO118" s="67">
        <f t="shared" si="70"/>
        <v>11.544920235096557</v>
      </c>
      <c r="BP118" s="19"/>
      <c r="BQ118" s="19"/>
      <c r="BR118" s="19"/>
      <c r="BS118" s="19"/>
      <c r="BT118" s="20" t="s">
        <v>89</v>
      </c>
      <c r="BU118" s="21">
        <v>61208</v>
      </c>
      <c r="BV118" s="30" t="s">
        <v>102</v>
      </c>
      <c r="BW118" s="30">
        <v>344.74</v>
      </c>
      <c r="BX118" s="30">
        <v>468.64</v>
      </c>
      <c r="BY118" s="30">
        <v>123.9</v>
      </c>
      <c r="BZ118" s="35">
        <f t="shared" si="88"/>
        <v>7.6608888888888877</v>
      </c>
      <c r="CA118" s="35">
        <f t="shared" si="89"/>
        <v>10.414222222222222</v>
      </c>
      <c r="CB118" s="35">
        <f t="shared" si="90"/>
        <v>2.7533333333333334</v>
      </c>
      <c r="CC118" s="36">
        <f t="shared" si="91"/>
        <v>27.238716049382717</v>
      </c>
      <c r="CD118" s="36">
        <f t="shared" si="92"/>
        <v>37.028345679012347</v>
      </c>
      <c r="CE118" s="36">
        <f t="shared" si="93"/>
        <v>9.7896296296296299</v>
      </c>
      <c r="CF118" s="30">
        <v>27</v>
      </c>
      <c r="CG118" s="30">
        <v>18</v>
      </c>
    </row>
    <row r="119" spans="1:85" x14ac:dyDescent="0.4">
      <c r="A119" s="11" t="s">
        <v>85</v>
      </c>
      <c r="B119" s="11" t="s">
        <v>203</v>
      </c>
      <c r="C119" s="11" t="s">
        <v>213</v>
      </c>
      <c r="D119" s="46" t="s">
        <v>88</v>
      </c>
      <c r="E119" s="15">
        <v>14</v>
      </c>
      <c r="F119" s="15">
        <v>6</v>
      </c>
      <c r="G119" s="15">
        <v>25</v>
      </c>
      <c r="H119" s="16">
        <f t="shared" si="45"/>
        <v>5390</v>
      </c>
      <c r="I119" s="16">
        <v>22</v>
      </c>
      <c r="J119" s="17">
        <f t="shared" si="46"/>
        <v>1.5714285714285714</v>
      </c>
      <c r="K119" s="15">
        <v>8</v>
      </c>
      <c r="L119" s="15">
        <v>24</v>
      </c>
      <c r="M119" s="17">
        <f t="shared" si="47"/>
        <v>0.5714285714285714</v>
      </c>
      <c r="N119" s="17">
        <f t="shared" si="48"/>
        <v>1.7142857142857142</v>
      </c>
      <c r="O119" s="18">
        <f t="shared" si="49"/>
        <v>0.33333333333333331</v>
      </c>
      <c r="P119" s="16">
        <v>2</v>
      </c>
      <c r="Q119" s="15">
        <v>5</v>
      </c>
      <c r="R119" s="17">
        <f t="shared" si="50"/>
        <v>0.14285714285714285</v>
      </c>
      <c r="S119" s="17">
        <f t="shared" si="51"/>
        <v>0.35714285714285715</v>
      </c>
      <c r="T119" s="18">
        <f t="shared" si="52"/>
        <v>0.4</v>
      </c>
      <c r="U119" s="15">
        <v>6</v>
      </c>
      <c r="V119" s="15">
        <v>19</v>
      </c>
      <c r="W119" s="17">
        <f t="shared" si="53"/>
        <v>0.42857142857142855</v>
      </c>
      <c r="X119" s="17">
        <f t="shared" si="54"/>
        <v>1.3571428571428572</v>
      </c>
      <c r="Y119" s="18">
        <f t="shared" si="55"/>
        <v>0.31578947368421051</v>
      </c>
      <c r="Z119" s="15">
        <v>0</v>
      </c>
      <c r="AA119" s="15">
        <v>0</v>
      </c>
      <c r="AB119" s="17">
        <f t="shared" si="56"/>
        <v>0</v>
      </c>
      <c r="AC119" s="17">
        <f t="shared" si="57"/>
        <v>0</v>
      </c>
      <c r="AD119" s="18" t="e">
        <f t="shared" si="58"/>
        <v>#DIV/0!</v>
      </c>
      <c r="AE119" s="15">
        <v>6</v>
      </c>
      <c r="AF119" s="17">
        <f t="shared" si="59"/>
        <v>0.42857142857142855</v>
      </c>
      <c r="AG119" s="15">
        <v>2</v>
      </c>
      <c r="AH119" s="17">
        <f t="shared" si="60"/>
        <v>0.14285714285714285</v>
      </c>
      <c r="AI119" s="15">
        <v>4</v>
      </c>
      <c r="AJ119" s="17">
        <f t="shared" si="61"/>
        <v>0.2857142857142857</v>
      </c>
      <c r="AK119" s="15">
        <v>1</v>
      </c>
      <c r="AL119" s="17">
        <f t="shared" si="62"/>
        <v>7.1428571428571425E-2</v>
      </c>
      <c r="AM119" s="15">
        <v>3</v>
      </c>
      <c r="AN119" s="17">
        <f t="shared" si="63"/>
        <v>0.21428571428571427</v>
      </c>
      <c r="AO119" s="15">
        <v>0</v>
      </c>
      <c r="AP119" s="17">
        <f t="shared" si="71"/>
        <v>0</v>
      </c>
      <c r="AQ119" s="4">
        <v>3</v>
      </c>
      <c r="AR119" s="17">
        <f t="shared" si="64"/>
        <v>0.21428571428571427</v>
      </c>
      <c r="AS119" s="15">
        <v>12</v>
      </c>
      <c r="AT119" s="17">
        <f t="shared" si="65"/>
        <v>0.8571428571428571</v>
      </c>
      <c r="AU119" s="19">
        <v>-2.557706094664821E-2</v>
      </c>
      <c r="AV119" s="19">
        <v>-1.138867277772833E-2</v>
      </c>
      <c r="AW119" s="19">
        <v>-6.775008951006177E-2</v>
      </c>
      <c r="AX119" s="19">
        <v>4.217302856341356E-2</v>
      </c>
      <c r="AY119" s="19">
        <v>90.43469332345056</v>
      </c>
      <c r="AZ119" s="19">
        <v>115.1908712187453</v>
      </c>
      <c r="BA119" s="19">
        <v>0.39061177888193449</v>
      </c>
      <c r="BB119" s="19">
        <v>0.9285714285714286</v>
      </c>
      <c r="BC119" s="19">
        <v>5.7884972170686453</v>
      </c>
      <c r="BD119" s="65">
        <f t="shared" si="66"/>
        <v>45.833333333333329</v>
      </c>
      <c r="BE119" s="65">
        <f t="shared" si="67"/>
        <v>45.833333333333329</v>
      </c>
      <c r="BF119" s="66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3.4979235936889683</v>
      </c>
      <c r="BG119" s="38">
        <f t="shared" si="68"/>
        <v>0.79166666666666663</v>
      </c>
      <c r="BH119" s="38">
        <f t="shared" si="69"/>
        <v>0</v>
      </c>
      <c r="BI119" s="67">
        <f>IFERROR(((AG119*(12000/5))/((F119*60+G119)*(SUMIFS(팀공격력!X:X,팀공격력!A:A,B119,팀공격력!B:B,D119)+SUMIFS(팀수비력!X:X,팀수비력!A:A,B119,팀수비력!B:B,D119))))*100,"")</f>
        <v>0.30416034319425389</v>
      </c>
      <c r="BJ119" s="67">
        <f>IFERROR(((AI119*(12000/5))/((F119*60+G119)*(SUMIFS(팀공격력!V:V,팀공격력!A:A,B119,팀공격력!B:B,D119)+SUMIFS(팀수비력!W:W,팀수비력!A:A,B119,팀수비력!B:B,D119))))*100,"")</f>
        <v>1.2846504345731546</v>
      </c>
      <c r="BK119" s="67">
        <f>IFERROR(((AE119*(12000/5))/((F119*60+G119)*(SUMIFS(팀공격력!X:X,팀공격력!A:A,B119,팀공격력!B:B,D119)+SUMIFS(팀수비력!X:X,팀수비력!A:A,B119,팀수비력!B:B,D119))))*100,"")</f>
        <v>0.91248102958276167</v>
      </c>
      <c r="BL119" s="67">
        <f>IFERROR(100*AK119/(((((F119*60+G119)/(12000/5))*SUMIFS(팀공격력!P:P,팀공격력!A:A,B119,팀공격력!B:B,D119))-K119)),"")</f>
        <v>0.35823568923053956</v>
      </c>
      <c r="BM119" s="67">
        <f>IFERROR(100*((AM119/E119*(2400))/((F119*60+G119)*SUMIFS(팀공격력!AR:AR,팀공격력!A:A,B119,팀공격력!B:B,D119))),"")</f>
        <v>1.7825493662479173</v>
      </c>
      <c r="BN119" s="67">
        <f>IFERROR((AO119*40)/(((F119*60+G119)/60)*(SUMIFS(팀수비력!Q:Q,팀수비력!A:A,B119,팀수비력!B:B,D119)-SUMIFS(팀수비력!N:N,팀수비력!A:A,B119,팀수비력!B:B,D119)))*100,"")</f>
        <v>0</v>
      </c>
      <c r="BO119" s="67">
        <f t="shared" si="70"/>
        <v>11.111111111111111</v>
      </c>
      <c r="BP119" s="19"/>
      <c r="BQ119" s="19"/>
      <c r="BR119" s="19"/>
      <c r="BS119" s="19"/>
      <c r="BT119" s="20" t="s">
        <v>89</v>
      </c>
      <c r="BU119" s="21">
        <v>80000</v>
      </c>
      <c r="BV119" s="31" t="s">
        <v>93</v>
      </c>
      <c r="BW119" s="31">
        <v>38.270000000000003</v>
      </c>
      <c r="BX119" s="31">
        <v>57.47</v>
      </c>
      <c r="BY119" s="31">
        <v>19.2</v>
      </c>
      <c r="BZ119" s="35">
        <f t="shared" si="88"/>
        <v>2.7335714285714281</v>
      </c>
      <c r="CA119" s="35">
        <f t="shared" si="89"/>
        <v>4.1049999999999995</v>
      </c>
      <c r="CB119" s="35">
        <f t="shared" si="90"/>
        <v>1.3714285714285714</v>
      </c>
      <c r="CC119" s="36">
        <f t="shared" si="91"/>
        <v>17.040445269016697</v>
      </c>
      <c r="CD119" s="36">
        <f t="shared" si="92"/>
        <v>25.589610389610389</v>
      </c>
      <c r="CE119" s="36">
        <f t="shared" si="93"/>
        <v>8.5491651205936918</v>
      </c>
      <c r="CF119" s="30">
        <v>9</v>
      </c>
      <c r="CG119" s="30">
        <v>5</v>
      </c>
    </row>
    <row r="120" spans="1:85" x14ac:dyDescent="0.4">
      <c r="A120" s="11" t="s">
        <v>85</v>
      </c>
      <c r="B120" s="11" t="s">
        <v>203</v>
      </c>
      <c r="C120" s="11" t="s">
        <v>214</v>
      </c>
      <c r="D120" s="46" t="s">
        <v>88</v>
      </c>
      <c r="E120" s="15">
        <v>27</v>
      </c>
      <c r="F120" s="15">
        <v>8</v>
      </c>
      <c r="G120" s="15">
        <v>24</v>
      </c>
      <c r="H120" s="16">
        <f t="shared" si="45"/>
        <v>13608</v>
      </c>
      <c r="I120" s="16">
        <v>27</v>
      </c>
      <c r="J120" s="17">
        <f t="shared" si="46"/>
        <v>1</v>
      </c>
      <c r="K120" s="15">
        <v>9</v>
      </c>
      <c r="L120" s="15">
        <v>38</v>
      </c>
      <c r="M120" s="17">
        <f t="shared" si="47"/>
        <v>0.33333333333333331</v>
      </c>
      <c r="N120" s="17">
        <f t="shared" si="48"/>
        <v>1.4074074074074074</v>
      </c>
      <c r="O120" s="18">
        <f t="shared" si="49"/>
        <v>0.23684210526315788</v>
      </c>
      <c r="P120" s="16">
        <v>1</v>
      </c>
      <c r="Q120" s="15">
        <v>6</v>
      </c>
      <c r="R120" s="17">
        <f t="shared" si="50"/>
        <v>3.7037037037037035E-2</v>
      </c>
      <c r="S120" s="17">
        <f t="shared" si="51"/>
        <v>0.22222222222222221</v>
      </c>
      <c r="T120" s="18">
        <f t="shared" si="52"/>
        <v>0.16666666666666666</v>
      </c>
      <c r="U120" s="15">
        <v>8</v>
      </c>
      <c r="V120" s="15">
        <v>32</v>
      </c>
      <c r="W120" s="17">
        <f t="shared" si="53"/>
        <v>0.29629629629629628</v>
      </c>
      <c r="X120" s="17">
        <f t="shared" si="54"/>
        <v>1.1851851851851851</v>
      </c>
      <c r="Y120" s="18">
        <f t="shared" si="55"/>
        <v>0.25</v>
      </c>
      <c r="Z120" s="15">
        <v>1</v>
      </c>
      <c r="AA120" s="15">
        <v>1</v>
      </c>
      <c r="AB120" s="17">
        <f t="shared" si="56"/>
        <v>3.7037037037037035E-2</v>
      </c>
      <c r="AC120" s="17">
        <f t="shared" si="57"/>
        <v>3.7037037037037035E-2</v>
      </c>
      <c r="AD120" s="18">
        <f t="shared" si="58"/>
        <v>1</v>
      </c>
      <c r="AE120" s="15">
        <v>31</v>
      </c>
      <c r="AF120" s="17">
        <f t="shared" si="59"/>
        <v>1.1481481481481481</v>
      </c>
      <c r="AG120" s="15">
        <v>7</v>
      </c>
      <c r="AH120" s="17">
        <f t="shared" si="60"/>
        <v>0.25925925925925924</v>
      </c>
      <c r="AI120" s="15">
        <v>24</v>
      </c>
      <c r="AJ120" s="17">
        <f t="shared" si="61"/>
        <v>0.88888888888888884</v>
      </c>
      <c r="AK120" s="15">
        <v>4</v>
      </c>
      <c r="AL120" s="17">
        <f t="shared" si="62"/>
        <v>0.14814814814814814</v>
      </c>
      <c r="AM120" s="15">
        <v>7</v>
      </c>
      <c r="AN120" s="17">
        <f t="shared" si="63"/>
        <v>0.25925925925925924</v>
      </c>
      <c r="AO120" s="15">
        <v>2</v>
      </c>
      <c r="AP120" s="17">
        <f t="shared" si="71"/>
        <v>7.407407407407407E-2</v>
      </c>
      <c r="AQ120" s="4">
        <v>8</v>
      </c>
      <c r="AR120" s="17">
        <f t="shared" si="64"/>
        <v>0.29629629629629628</v>
      </c>
      <c r="AS120" s="15">
        <v>23</v>
      </c>
      <c r="AT120" s="17">
        <f t="shared" si="65"/>
        <v>0.85185185185185186</v>
      </c>
      <c r="AU120" s="19">
        <v>-0.12600342671376091</v>
      </c>
      <c r="AV120" s="19">
        <v>-2.222282658091021E-2</v>
      </c>
      <c r="AW120" s="19">
        <v>-0.29643057613332169</v>
      </c>
      <c r="AX120" s="19">
        <v>0.17042714941956091</v>
      </c>
      <c r="AY120" s="19">
        <v>74.615788775391991</v>
      </c>
      <c r="AZ120" s="19">
        <v>112.5408018898446</v>
      </c>
      <c r="BA120" s="19">
        <v>0.3811940378366705</v>
      </c>
      <c r="BB120" s="19">
        <v>1.2592592592592591</v>
      </c>
      <c r="BC120" s="19">
        <v>5.996472663139329</v>
      </c>
      <c r="BD120" s="65">
        <f t="shared" si="66"/>
        <v>35.119667013527575</v>
      </c>
      <c r="BE120" s="65">
        <f t="shared" si="67"/>
        <v>34.210526315789473</v>
      </c>
      <c r="BF120" s="66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4.5958829439302278</v>
      </c>
      <c r="BG120" s="38">
        <f t="shared" si="68"/>
        <v>0.84210526315789469</v>
      </c>
      <c r="BH120" s="38">
        <f t="shared" si="69"/>
        <v>2.6315789473684209E-2</v>
      </c>
      <c r="BI120" s="67">
        <f>IFERROR(((AG120*(12000/5))/((F120*60+G120)*(SUMIFS(팀공격력!X:X,팀공격력!A:A,B120,팀공격력!B:B,D120)+SUMIFS(팀수비력!X:X,팀수비력!A:A,B120,팀수비력!B:B,D120))))*100,"")</f>
        <v>0.81320647312352612</v>
      </c>
      <c r="BJ120" s="67">
        <f>IFERROR(((AI120*(12000/5))/((F120*60+G120)*(SUMIFS(팀공격력!V:V,팀공격력!A:A,B120,팀공격력!B:B,D120)+SUMIFS(팀수비력!W:W,팀수비력!A:A,B120,팀수비력!B:B,D120))))*100,"")</f>
        <v>5.8879811584602937</v>
      </c>
      <c r="BK120" s="67">
        <f>IFERROR(((AE120*(12000/5))/((F120*60+G120)*(SUMIFS(팀공격력!X:X,팀공격력!A:A,B120,팀공격력!B:B,D120)+SUMIFS(팀수비력!X:X,팀수비력!A:A,B120,팀수비력!B:B,D120))))*100,"")</f>
        <v>3.6013429524041873</v>
      </c>
      <c r="BL120" s="67">
        <f>IFERROR(100*AK120/(((((F120*60+G120)/(12000/5))*SUMIFS(팀공격력!P:P,팀공격력!A:A,B120,팀공격력!B:B,D120))-K120)),"")</f>
        <v>1.0902153175252114</v>
      </c>
      <c r="BM120" s="67">
        <f>IFERROR(100*((AM120/E120*(2400))/((F120*60+G120)*SUMIFS(팀공격력!AR:AR,팀공격력!A:A,B120,팀공격력!B:B,D120))),"")</f>
        <v>1.647452174910198</v>
      </c>
      <c r="BN120" s="67">
        <f>IFERROR((AO120*40)/(((F120*60+G120)/60)*(SUMIFS(팀수비력!Q:Q,팀수비력!A:A,B120,팀수비력!B:B,D120)-SUMIFS(팀수비력!N:N,팀수비력!A:A,B120,팀수비력!B:B,D120)))*100,"")</f>
        <v>0.43507581196023398</v>
      </c>
      <c r="BO120" s="67">
        <f t="shared" si="70"/>
        <v>17.226528854435831</v>
      </c>
      <c r="BP120" s="19"/>
      <c r="BQ120" s="19"/>
      <c r="BR120" s="19"/>
      <c r="BS120" s="19"/>
      <c r="BT120" s="20" t="s">
        <v>89</v>
      </c>
      <c r="BU120" s="21">
        <v>75000</v>
      </c>
      <c r="BV120" s="30" t="s">
        <v>90</v>
      </c>
      <c r="BW120" s="30">
        <v>96.11</v>
      </c>
      <c r="BX120" s="30">
        <v>134.71</v>
      </c>
      <c r="BY120" s="30">
        <v>38.6</v>
      </c>
      <c r="BZ120" s="35">
        <f t="shared" si="88"/>
        <v>3.5596296296296304</v>
      </c>
      <c r="CA120" s="35">
        <f t="shared" si="89"/>
        <v>4.9892592592592599</v>
      </c>
      <c r="CB120" s="35">
        <f t="shared" si="90"/>
        <v>1.4296296296296296</v>
      </c>
      <c r="CC120" s="36">
        <f t="shared" si="91"/>
        <v>16.950617283950617</v>
      </c>
      <c r="CD120" s="36">
        <f t="shared" si="92"/>
        <v>23.758377425044092</v>
      </c>
      <c r="CE120" s="36">
        <f t="shared" si="93"/>
        <v>6.8077601410934747</v>
      </c>
      <c r="CF120" s="31">
        <v>15</v>
      </c>
      <c r="CG120" s="31">
        <v>12</v>
      </c>
    </row>
    <row r="121" spans="1:85" x14ac:dyDescent="0.4">
      <c r="A121" s="11" t="s">
        <v>85</v>
      </c>
      <c r="B121" s="11" t="s">
        <v>203</v>
      </c>
      <c r="C121" s="11" t="s">
        <v>215</v>
      </c>
      <c r="D121" s="46" t="s">
        <v>88</v>
      </c>
      <c r="E121" s="15">
        <v>1</v>
      </c>
      <c r="F121" s="15">
        <v>6</v>
      </c>
      <c r="G121" s="15">
        <v>19</v>
      </c>
      <c r="H121" s="16">
        <f t="shared" si="45"/>
        <v>379</v>
      </c>
      <c r="I121" s="16">
        <v>0</v>
      </c>
      <c r="J121" s="17">
        <f t="shared" si="46"/>
        <v>0</v>
      </c>
      <c r="K121" s="15">
        <v>0</v>
      </c>
      <c r="L121" s="15">
        <v>3</v>
      </c>
      <c r="M121" s="17">
        <f t="shared" si="47"/>
        <v>0</v>
      </c>
      <c r="N121" s="17">
        <f t="shared" si="48"/>
        <v>3</v>
      </c>
      <c r="O121" s="18">
        <f t="shared" si="49"/>
        <v>0</v>
      </c>
      <c r="P121" s="16">
        <v>0</v>
      </c>
      <c r="Q121" s="15">
        <v>0</v>
      </c>
      <c r="R121" s="17">
        <f t="shared" si="50"/>
        <v>0</v>
      </c>
      <c r="S121" s="17">
        <f t="shared" si="51"/>
        <v>0</v>
      </c>
      <c r="T121" s="18" t="e">
        <f t="shared" si="52"/>
        <v>#DIV/0!</v>
      </c>
      <c r="U121" s="15">
        <v>0</v>
      </c>
      <c r="V121" s="15">
        <v>3</v>
      </c>
      <c r="W121" s="17">
        <f t="shared" si="53"/>
        <v>0</v>
      </c>
      <c r="X121" s="17">
        <f t="shared" si="54"/>
        <v>3</v>
      </c>
      <c r="Y121" s="18">
        <f t="shared" si="55"/>
        <v>0</v>
      </c>
      <c r="Z121" s="15">
        <v>0</v>
      </c>
      <c r="AA121" s="15">
        <v>0</v>
      </c>
      <c r="AB121" s="17">
        <f t="shared" si="56"/>
        <v>0</v>
      </c>
      <c r="AC121" s="17">
        <f t="shared" si="57"/>
        <v>0</v>
      </c>
      <c r="AD121" s="18" t="e">
        <f t="shared" si="58"/>
        <v>#DIV/0!</v>
      </c>
      <c r="AE121" s="15">
        <v>0</v>
      </c>
      <c r="AF121" s="17">
        <f t="shared" si="59"/>
        <v>0</v>
      </c>
      <c r="AG121" s="15">
        <v>0</v>
      </c>
      <c r="AH121" s="17">
        <f t="shared" si="60"/>
        <v>0</v>
      </c>
      <c r="AI121" s="15">
        <v>0</v>
      </c>
      <c r="AJ121" s="17">
        <f t="shared" si="61"/>
        <v>0</v>
      </c>
      <c r="AK121" s="15">
        <v>1</v>
      </c>
      <c r="AL121" s="17">
        <f t="shared" si="62"/>
        <v>1</v>
      </c>
      <c r="AM121" s="15">
        <v>0</v>
      </c>
      <c r="AN121" s="17">
        <f t="shared" si="63"/>
        <v>0</v>
      </c>
      <c r="AO121" s="15">
        <v>0</v>
      </c>
      <c r="AP121" s="17">
        <f t="shared" si="71"/>
        <v>0</v>
      </c>
      <c r="AQ121" s="4">
        <v>0</v>
      </c>
      <c r="AR121" s="17">
        <f t="shared" si="64"/>
        <v>0</v>
      </c>
      <c r="AS121" s="15">
        <v>0</v>
      </c>
      <c r="AT121" s="17">
        <f t="shared" si="65"/>
        <v>0</v>
      </c>
      <c r="AU121" s="19">
        <v>-5.1239480446066472E-2</v>
      </c>
      <c r="AV121" s="19">
        <v>-0.32447164398564521</v>
      </c>
      <c r="AW121" s="19">
        <v>-4.9987988412284787E-2</v>
      </c>
      <c r="AX121" s="19">
        <v>-1.251492033781682E-3</v>
      </c>
      <c r="AY121" s="19">
        <v>24.287801846610002</v>
      </c>
      <c r="AZ121" s="19">
        <v>121.4647892821345</v>
      </c>
      <c r="BA121" s="19">
        <v>-0.19762623374772309</v>
      </c>
      <c r="BB121" s="19">
        <v>-2</v>
      </c>
      <c r="BC121" s="19">
        <v>-12.664907651715041</v>
      </c>
      <c r="BD121" s="65">
        <f t="shared" si="66"/>
        <v>0</v>
      </c>
      <c r="BE121" s="65">
        <f t="shared" si="67"/>
        <v>0</v>
      </c>
      <c r="BF121" s="66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0.39481107697750012</v>
      </c>
      <c r="BG121" s="38">
        <f t="shared" si="68"/>
        <v>1</v>
      </c>
      <c r="BH121" s="38">
        <f t="shared" si="69"/>
        <v>0</v>
      </c>
      <c r="BI121" s="67">
        <f>IFERROR(((AG121*(12000/5))/((F121*60+G121)*(SUMIFS(팀공격력!X:X,팀공격력!A:A,B121,팀공격력!B:B,D121)+SUMIFS(팀수비력!X:X,팀수비력!A:A,B121,팀수비력!B:B,D121))))*100,"")</f>
        <v>0</v>
      </c>
      <c r="BJ121" s="67">
        <f>IFERROR(((AI121*(12000/5))/((F121*60+G121)*(SUMIFS(팀공격력!V:V,팀공격력!A:A,B121,팀공격력!B:B,D121)+SUMIFS(팀수비력!W:W,팀수비력!A:A,B121,팀수비력!B:B,D121))))*100,"")</f>
        <v>0</v>
      </c>
      <c r="BK121" s="67">
        <f>IFERROR(((AE121*(12000/5))/((F121*60+G121)*(SUMIFS(팀공격력!X:X,팀공격력!A:A,B121,팀공격력!B:B,D121)+SUMIFS(팀수비력!X:X,팀수비력!A:A,B121,팀수비력!B:B,D121))))*100,"")</f>
        <v>0</v>
      </c>
      <c r="BL121" s="67">
        <f>IFERROR(100*AK121/(((((F121*60+G121)/(12000/5))*SUMIFS(팀공격력!P:P,팀공격력!A:A,B121,팀공격력!B:B,D121))-K121)),"")</f>
        <v>0.35376837015963797</v>
      </c>
      <c r="BM121" s="67">
        <f>IFERROR(100*((AM121/E121*(2400))/((F121*60+G121)*SUMIFS(팀공격력!AR:AR,팀공격력!A:A,B121,팀공격력!B:B,D121))),"")</f>
        <v>0</v>
      </c>
      <c r="BN121" s="67">
        <f>IFERROR((AO121*40)/(((F121*60+G121)/60)*(SUMIFS(팀수비력!Q:Q,팀수비력!A:A,B121,팀수비력!B:B,D121)-SUMIFS(팀수비력!N:N,팀수비력!A:A,B121,팀수비력!B:B,D121)))*100,"")</f>
        <v>0</v>
      </c>
      <c r="BO121" s="67">
        <f t="shared" si="70"/>
        <v>0</v>
      </c>
      <c r="BP121" s="19"/>
      <c r="BQ121" s="19"/>
      <c r="BR121" s="19"/>
      <c r="BS121" s="19"/>
      <c r="BT121" s="20" t="s">
        <v>89</v>
      </c>
      <c r="BU121" s="21"/>
      <c r="BV121" s="31" t="s">
        <v>90</v>
      </c>
      <c r="BW121" s="31">
        <v>0.38</v>
      </c>
      <c r="BX121" s="31">
        <v>3.08</v>
      </c>
      <c r="BY121" s="31">
        <v>2.7</v>
      </c>
      <c r="BZ121" s="35">
        <f t="shared" si="88"/>
        <v>0.37999999999999989</v>
      </c>
      <c r="CA121" s="35">
        <f t="shared" si="89"/>
        <v>3.08</v>
      </c>
      <c r="CB121" s="35">
        <f t="shared" si="90"/>
        <v>2.7</v>
      </c>
      <c r="CC121" s="36">
        <f t="shared" si="91"/>
        <v>2.4063324538258577</v>
      </c>
      <c r="CD121" s="36">
        <f t="shared" si="92"/>
        <v>19.503957783641162</v>
      </c>
      <c r="CE121" s="36">
        <f t="shared" si="93"/>
        <v>17.097625329815305</v>
      </c>
      <c r="CF121" s="31">
        <v>0</v>
      </c>
      <c r="CG121" s="31">
        <v>1</v>
      </c>
    </row>
    <row r="122" spans="1:85" x14ac:dyDescent="0.4">
      <c r="A122" s="11" t="s">
        <v>85</v>
      </c>
      <c r="B122" s="11" t="s">
        <v>203</v>
      </c>
      <c r="C122" s="11" t="s">
        <v>216</v>
      </c>
      <c r="D122" s="46" t="s">
        <v>88</v>
      </c>
      <c r="E122" s="15">
        <v>54</v>
      </c>
      <c r="F122" s="15">
        <v>25</v>
      </c>
      <c r="G122" s="15">
        <v>2</v>
      </c>
      <c r="H122" s="16">
        <f t="shared" si="45"/>
        <v>81108</v>
      </c>
      <c r="I122" s="16">
        <v>442</v>
      </c>
      <c r="J122" s="17">
        <f t="shared" si="46"/>
        <v>8.1851851851851851</v>
      </c>
      <c r="K122" s="15">
        <v>163</v>
      </c>
      <c r="L122" s="15">
        <v>398</v>
      </c>
      <c r="M122" s="17">
        <f t="shared" si="47"/>
        <v>3.0185185185185186</v>
      </c>
      <c r="N122" s="17">
        <f t="shared" si="48"/>
        <v>7.3703703703703702</v>
      </c>
      <c r="O122" s="18">
        <f t="shared" si="49"/>
        <v>0.40954773869346733</v>
      </c>
      <c r="P122" s="16">
        <v>105</v>
      </c>
      <c r="Q122" s="15">
        <v>206</v>
      </c>
      <c r="R122" s="17">
        <f t="shared" si="50"/>
        <v>1.9444444444444444</v>
      </c>
      <c r="S122" s="17">
        <f t="shared" si="51"/>
        <v>3.8148148148148149</v>
      </c>
      <c r="T122" s="18">
        <f t="shared" si="52"/>
        <v>0.50970873786407767</v>
      </c>
      <c r="U122" s="15">
        <v>58</v>
      </c>
      <c r="V122" s="15">
        <v>192</v>
      </c>
      <c r="W122" s="17">
        <f t="shared" si="53"/>
        <v>1.0740740740740742</v>
      </c>
      <c r="X122" s="17">
        <f t="shared" si="54"/>
        <v>3.5555555555555554</v>
      </c>
      <c r="Y122" s="18">
        <f t="shared" si="55"/>
        <v>0.30208333333333331</v>
      </c>
      <c r="Z122" s="15">
        <v>58</v>
      </c>
      <c r="AA122" s="15">
        <v>86</v>
      </c>
      <c r="AB122" s="17">
        <f t="shared" si="56"/>
        <v>1.0740740740740742</v>
      </c>
      <c r="AC122" s="17">
        <f t="shared" si="57"/>
        <v>1.5925925925925926</v>
      </c>
      <c r="AD122" s="18">
        <f t="shared" si="58"/>
        <v>0.67441860465116277</v>
      </c>
      <c r="AE122" s="15">
        <v>113</v>
      </c>
      <c r="AF122" s="17">
        <f t="shared" si="59"/>
        <v>2.0925925925925926</v>
      </c>
      <c r="AG122" s="15">
        <v>31</v>
      </c>
      <c r="AH122" s="17">
        <f t="shared" si="60"/>
        <v>0.57407407407407407</v>
      </c>
      <c r="AI122" s="15">
        <v>82</v>
      </c>
      <c r="AJ122" s="17">
        <f t="shared" si="61"/>
        <v>1.5185185185185186</v>
      </c>
      <c r="AK122" s="15">
        <v>254</v>
      </c>
      <c r="AL122" s="17">
        <f t="shared" si="62"/>
        <v>4.7037037037037033</v>
      </c>
      <c r="AM122" s="15">
        <v>63</v>
      </c>
      <c r="AN122" s="17">
        <f t="shared" si="63"/>
        <v>1.1666666666666667</v>
      </c>
      <c r="AO122" s="15">
        <v>2</v>
      </c>
      <c r="AP122" s="17">
        <f t="shared" si="71"/>
        <v>3.7037037037037035E-2</v>
      </c>
      <c r="AQ122" s="4">
        <v>69</v>
      </c>
      <c r="AR122" s="17">
        <f t="shared" si="64"/>
        <v>1.2777777777777777</v>
      </c>
      <c r="AS122" s="15">
        <v>134</v>
      </c>
      <c r="AT122" s="17">
        <f t="shared" si="65"/>
        <v>2.4814814814814814</v>
      </c>
      <c r="AU122" s="19">
        <v>2.418629286450082</v>
      </c>
      <c r="AV122" s="19">
        <v>7.156766641367307E-2</v>
      </c>
      <c r="AW122" s="19">
        <v>1.463623846437156</v>
      </c>
      <c r="AX122" s="19">
        <v>0.95500544001292553</v>
      </c>
      <c r="AY122" s="19">
        <v>113.0399875509866</v>
      </c>
      <c r="AZ122" s="19">
        <v>112.9634555300986</v>
      </c>
      <c r="BA122" s="19">
        <v>9.4219555105440467</v>
      </c>
      <c r="BB122" s="19">
        <v>10.03703703703704</v>
      </c>
      <c r="BC122" s="19">
        <v>16.037875425358781</v>
      </c>
      <c r="BD122" s="65">
        <f t="shared" si="66"/>
        <v>50.706681350954476</v>
      </c>
      <c r="BE122" s="65">
        <f t="shared" si="67"/>
        <v>48.241206030150749</v>
      </c>
      <c r="BF122" s="66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16.764519470572729</v>
      </c>
      <c r="BG122" s="38">
        <f t="shared" si="68"/>
        <v>0.48241206030150752</v>
      </c>
      <c r="BH122" s="38">
        <f t="shared" si="69"/>
        <v>0.21608040201005024</v>
      </c>
      <c r="BI122" s="67">
        <f>IFERROR(((AG122*(12000/5))/((F122*60+G122)*(SUMIFS(팀공격력!X:X,팀공격력!A:A,B122,팀공격력!B:B,D122)+SUMIFS(팀수비력!X:X,팀수비력!A:A,B122,팀수비력!B:B,D122))))*100,"")</f>
        <v>1.2084399787028697</v>
      </c>
      <c r="BJ122" s="67">
        <f>IFERROR(((AI122*(12000/5))/((F122*60+G122)*(SUMIFS(팀공격력!V:V,팀공격력!A:A,B122,팀공격력!B:B,D122)+SUMIFS(팀수비력!W:W,팀수비력!A:A,B122,팀수비력!B:B,D122))))*100,"")</f>
        <v>6.7504018341335712</v>
      </c>
      <c r="BK122" s="67">
        <f>IFERROR(((AE122*(12000/5))/((F122*60+G122)*(SUMIFS(팀공격력!X:X,팀공격력!A:A,B122,팀공격력!B:B,D122)+SUMIFS(팀수비력!X:X,팀수비력!A:A,B122,팀수비력!B:B,D122))))*100,"")</f>
        <v>4.4049586320459442</v>
      </c>
      <c r="BL122" s="67">
        <f>IFERROR(100*AK122/(((((F122*60+G122)/(12000/5))*SUMIFS(팀공격력!P:P,팀공격력!A:A,B122,팀공격력!B:B,D122))-K122)),"")</f>
        <v>26.534574167094686</v>
      </c>
      <c r="BM122" s="67">
        <f>IFERROR(100*((AM122/E122*(2400))/((F122*60+G122)*SUMIFS(팀공격력!AR:AR,팀공격력!A:A,B122,팀공격력!B:B,D122))),"")</f>
        <v>2.4876308473344406</v>
      </c>
      <c r="BN122" s="67">
        <f>IFERROR((AO122*40)/(((F122*60+G122)/60)*(SUMIFS(팀수비력!Q:Q,팀수비력!A:A,B122,팀수비력!B:B,D122)-SUMIFS(팀수비력!N:N,팀수비력!A:A,B122,팀수비력!B:B,D122)))*100,"")</f>
        <v>0.14599081839411315</v>
      </c>
      <c r="BO122" s="67">
        <f t="shared" si="70"/>
        <v>13.667696695982885</v>
      </c>
      <c r="BP122" s="19"/>
      <c r="BQ122" s="19"/>
      <c r="BR122" s="19"/>
      <c r="BS122" s="19"/>
      <c r="BT122" s="20" t="s">
        <v>89</v>
      </c>
      <c r="BU122" s="21">
        <v>500000</v>
      </c>
      <c r="BV122" s="30" t="s">
        <v>90</v>
      </c>
      <c r="BW122" s="30">
        <v>1025.01</v>
      </c>
      <c r="BX122" s="30">
        <v>1372.51</v>
      </c>
      <c r="BY122" s="30">
        <v>347.5</v>
      </c>
      <c r="BZ122" s="35">
        <f t="shared" si="88"/>
        <v>18.981666666666669</v>
      </c>
      <c r="CA122" s="35">
        <f t="shared" si="89"/>
        <v>25.416851851851852</v>
      </c>
      <c r="CB122" s="35">
        <f t="shared" si="90"/>
        <v>6.4351851851851851</v>
      </c>
      <c r="CC122" s="36">
        <f t="shared" si="91"/>
        <v>30.330226364846872</v>
      </c>
      <c r="CD122" s="36">
        <f t="shared" si="92"/>
        <v>40.61281254623465</v>
      </c>
      <c r="CE122" s="36">
        <f t="shared" si="93"/>
        <v>10.28258618138778</v>
      </c>
      <c r="CF122" s="30">
        <v>33</v>
      </c>
      <c r="CG122" s="30">
        <v>21</v>
      </c>
    </row>
    <row r="123" spans="1:85" x14ac:dyDescent="0.4">
      <c r="A123" s="11" t="s">
        <v>85</v>
      </c>
      <c r="B123" s="11" t="s">
        <v>203</v>
      </c>
      <c r="C123" s="11" t="s">
        <v>217</v>
      </c>
      <c r="D123" s="46" t="s">
        <v>88</v>
      </c>
      <c r="E123" s="15">
        <v>35</v>
      </c>
      <c r="F123" s="15">
        <v>11</v>
      </c>
      <c r="G123" s="15">
        <v>33</v>
      </c>
      <c r="H123" s="16">
        <f t="shared" si="45"/>
        <v>24255</v>
      </c>
      <c r="I123" s="16">
        <v>108</v>
      </c>
      <c r="J123" s="17">
        <f t="shared" si="46"/>
        <v>3.0857142857142859</v>
      </c>
      <c r="K123" s="15">
        <v>40</v>
      </c>
      <c r="L123" s="15">
        <v>92</v>
      </c>
      <c r="M123" s="17">
        <f t="shared" si="47"/>
        <v>1.1428571428571428</v>
      </c>
      <c r="N123" s="17">
        <f t="shared" si="48"/>
        <v>2.6285714285714286</v>
      </c>
      <c r="O123" s="18">
        <f t="shared" si="49"/>
        <v>0.43478260869565216</v>
      </c>
      <c r="P123" s="16">
        <v>24</v>
      </c>
      <c r="Q123" s="15">
        <v>44</v>
      </c>
      <c r="R123" s="17">
        <f t="shared" si="50"/>
        <v>0.68571428571428572</v>
      </c>
      <c r="S123" s="17">
        <f t="shared" si="51"/>
        <v>1.2571428571428571</v>
      </c>
      <c r="T123" s="18">
        <f t="shared" si="52"/>
        <v>0.54545454545454541</v>
      </c>
      <c r="U123" s="15">
        <v>16</v>
      </c>
      <c r="V123" s="15">
        <v>48</v>
      </c>
      <c r="W123" s="17">
        <f t="shared" si="53"/>
        <v>0.45714285714285713</v>
      </c>
      <c r="X123" s="17">
        <f t="shared" si="54"/>
        <v>1.3714285714285714</v>
      </c>
      <c r="Y123" s="18">
        <f t="shared" si="55"/>
        <v>0.33333333333333331</v>
      </c>
      <c r="Z123" s="15">
        <v>12</v>
      </c>
      <c r="AA123" s="15">
        <v>20</v>
      </c>
      <c r="AB123" s="17">
        <f t="shared" si="56"/>
        <v>0.34285714285714286</v>
      </c>
      <c r="AC123" s="17">
        <f t="shared" si="57"/>
        <v>0.5714285714285714</v>
      </c>
      <c r="AD123" s="18">
        <f t="shared" si="58"/>
        <v>0.6</v>
      </c>
      <c r="AE123" s="15">
        <v>56</v>
      </c>
      <c r="AF123" s="17">
        <f t="shared" si="59"/>
        <v>1.6</v>
      </c>
      <c r="AG123" s="15">
        <v>7</v>
      </c>
      <c r="AH123" s="17">
        <f t="shared" si="60"/>
        <v>0.2</v>
      </c>
      <c r="AI123" s="15">
        <v>49</v>
      </c>
      <c r="AJ123" s="17">
        <f t="shared" si="61"/>
        <v>1.4</v>
      </c>
      <c r="AK123" s="15">
        <v>38</v>
      </c>
      <c r="AL123" s="17">
        <f t="shared" si="62"/>
        <v>1.0857142857142856</v>
      </c>
      <c r="AM123" s="15">
        <v>12</v>
      </c>
      <c r="AN123" s="17">
        <f t="shared" si="63"/>
        <v>0.34285714285714286</v>
      </c>
      <c r="AO123" s="15">
        <v>6</v>
      </c>
      <c r="AP123" s="17">
        <f t="shared" si="71"/>
        <v>0.17142857142857143</v>
      </c>
      <c r="AQ123" s="4">
        <v>15</v>
      </c>
      <c r="AR123" s="17">
        <f t="shared" si="64"/>
        <v>0.42857142857142855</v>
      </c>
      <c r="AS123" s="15">
        <v>50</v>
      </c>
      <c r="AT123" s="17">
        <f t="shared" si="65"/>
        <v>1.4285714285714286</v>
      </c>
      <c r="AU123" s="19">
        <v>0.59873086841145495</v>
      </c>
      <c r="AV123" s="19">
        <v>5.9243623343124788E-2</v>
      </c>
      <c r="AW123" s="19">
        <v>0.25683450593441359</v>
      </c>
      <c r="AX123" s="19">
        <v>0.3418963624770413</v>
      </c>
      <c r="AY123" s="19">
        <v>110.9375165202309</v>
      </c>
      <c r="AZ123" s="19">
        <v>111.6544599433969</v>
      </c>
      <c r="BA123" s="19">
        <v>4.3329033392872711</v>
      </c>
      <c r="BB123" s="19">
        <v>4.1428571428571432</v>
      </c>
      <c r="BC123" s="19">
        <v>14.34755720470006</v>
      </c>
      <c r="BD123" s="65">
        <f t="shared" si="66"/>
        <v>53.571428571428569</v>
      </c>
      <c r="BE123" s="65">
        <f t="shared" si="67"/>
        <v>52.173913043478258</v>
      </c>
      <c r="BF123" s="66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8.3345586861971714</v>
      </c>
      <c r="BG123" s="38">
        <f t="shared" si="68"/>
        <v>0.52173913043478259</v>
      </c>
      <c r="BH123" s="38">
        <f t="shared" si="69"/>
        <v>0.21739130434782608</v>
      </c>
      <c r="BI123" s="67">
        <f>IFERROR(((AG123*(12000/5))/((F123*60+G123)*(SUMIFS(팀공격력!X:X,팀공격력!A:A,B123,팀공격력!B:B,D123)+SUMIFS(팀수비력!X:X,팀수비력!A:A,B123,팀수비력!B:B,D123))))*100,"")</f>
        <v>0.5914228895443826</v>
      </c>
      <c r="BJ123" s="67">
        <f>IFERROR(((AI123*(12000/5))/((F123*60+G123)*(SUMIFS(팀공격력!V:V,팀공격력!A:A,B123,팀공격력!B:B,D123)+SUMIFS(팀수비력!W:W,팀수비력!A:A,B123,팀수비력!B:B,D123))))*100,"")</f>
        <v>8.7427599019561928</v>
      </c>
      <c r="BK123" s="67">
        <f>IFERROR(((AE123*(12000/5))/((F123*60+G123)*(SUMIFS(팀공격력!X:X,팀공격력!A:A,B123,팀공격력!B:B,D123)+SUMIFS(팀수비력!X:X,팀수비력!A:A,B123,팀수비력!B:B,D123))))*100,"")</f>
        <v>4.7313831163550608</v>
      </c>
      <c r="BL123" s="67">
        <f>IFERROR(100*AK123/(((((F123*60+G123)/(12000/5))*SUMIFS(팀공격력!P:P,팀공격력!A:A,B123,팀공격력!B:B,D123))-K123)),"")</f>
        <v>7.9687540957823257</v>
      </c>
      <c r="BM123" s="67">
        <f>IFERROR(100*((AM123/E123*(2400))/((F123*60+G123)*SUMIFS(팀공격력!AR:AR,팀공격력!A:A,B123,팀공격력!B:B,D123))),"")</f>
        <v>1.5844883255537048</v>
      </c>
      <c r="BN123" s="67">
        <f>IFERROR((AO123*40)/(((F123*60+G123)/60)*(SUMIFS(팀수비력!Q:Q,팀수비력!A:A,B123,팀수비력!B:B,D123)-SUMIFS(팀수비력!N:N,팀수비력!A:A,B123,팀수비력!B:B,D123)))*100,"")</f>
        <v>0.94925631700414714</v>
      </c>
      <c r="BO123" s="67">
        <f t="shared" si="70"/>
        <v>12.953367875647668</v>
      </c>
      <c r="BP123" s="19"/>
      <c r="BQ123" s="19"/>
      <c r="BR123" s="19"/>
      <c r="BS123" s="19"/>
      <c r="BT123" s="20" t="s">
        <v>89</v>
      </c>
      <c r="BU123" s="21">
        <v>70000</v>
      </c>
      <c r="BV123" s="31" t="s">
        <v>90</v>
      </c>
      <c r="BW123" s="31">
        <v>268.83999999999997</v>
      </c>
      <c r="BX123" s="31">
        <v>346.54</v>
      </c>
      <c r="BY123" s="31">
        <v>77.7</v>
      </c>
      <c r="BZ123" s="35">
        <f t="shared" si="88"/>
        <v>7.6811428571428575</v>
      </c>
      <c r="CA123" s="35">
        <f t="shared" si="89"/>
        <v>9.9011428571428581</v>
      </c>
      <c r="CB123" s="35">
        <f t="shared" si="90"/>
        <v>2.2200000000000002</v>
      </c>
      <c r="CC123" s="36">
        <f t="shared" si="91"/>
        <v>26.601360544217687</v>
      </c>
      <c r="CD123" s="36">
        <f t="shared" si="92"/>
        <v>34.289672232529377</v>
      </c>
      <c r="CE123" s="36">
        <f t="shared" si="93"/>
        <v>7.6883116883116882</v>
      </c>
      <c r="CF123" s="31">
        <v>19</v>
      </c>
      <c r="CG123" s="31">
        <v>16</v>
      </c>
    </row>
    <row r="124" spans="1:85" x14ac:dyDescent="0.4">
      <c r="A124" s="11" t="s">
        <v>85</v>
      </c>
      <c r="B124" s="11" t="s">
        <v>203</v>
      </c>
      <c r="C124" s="11" t="s">
        <v>218</v>
      </c>
      <c r="D124" s="46" t="s">
        <v>88</v>
      </c>
      <c r="E124" s="15">
        <v>3</v>
      </c>
      <c r="F124" s="15">
        <v>7</v>
      </c>
      <c r="G124" s="15">
        <v>9</v>
      </c>
      <c r="H124" s="16">
        <f t="shared" si="45"/>
        <v>1287</v>
      </c>
      <c r="I124" s="16">
        <v>3</v>
      </c>
      <c r="J124" s="17">
        <f t="shared" si="46"/>
        <v>1</v>
      </c>
      <c r="K124" s="15">
        <v>1</v>
      </c>
      <c r="L124" s="15">
        <v>3</v>
      </c>
      <c r="M124" s="17">
        <f t="shared" si="47"/>
        <v>0.33333333333333331</v>
      </c>
      <c r="N124" s="17">
        <f t="shared" si="48"/>
        <v>1</v>
      </c>
      <c r="O124" s="18">
        <f t="shared" si="49"/>
        <v>0.33333333333333331</v>
      </c>
      <c r="P124" s="16">
        <v>0</v>
      </c>
      <c r="Q124" s="15">
        <v>1</v>
      </c>
      <c r="R124" s="17">
        <f t="shared" si="50"/>
        <v>0</v>
      </c>
      <c r="S124" s="17">
        <f t="shared" si="51"/>
        <v>0.33333333333333331</v>
      </c>
      <c r="T124" s="18">
        <f t="shared" si="52"/>
        <v>0</v>
      </c>
      <c r="U124" s="15">
        <v>1</v>
      </c>
      <c r="V124" s="15">
        <v>2</v>
      </c>
      <c r="W124" s="17">
        <f t="shared" si="53"/>
        <v>0.33333333333333331</v>
      </c>
      <c r="X124" s="17">
        <f t="shared" si="54"/>
        <v>0.66666666666666663</v>
      </c>
      <c r="Y124" s="18">
        <f t="shared" si="55"/>
        <v>0.5</v>
      </c>
      <c r="Z124" s="15">
        <v>0</v>
      </c>
      <c r="AA124" s="15">
        <v>0</v>
      </c>
      <c r="AB124" s="17">
        <f t="shared" si="56"/>
        <v>0</v>
      </c>
      <c r="AC124" s="17">
        <f t="shared" si="57"/>
        <v>0</v>
      </c>
      <c r="AD124" s="18" t="e">
        <f t="shared" si="58"/>
        <v>#DIV/0!</v>
      </c>
      <c r="AE124" s="15">
        <v>0</v>
      </c>
      <c r="AF124" s="17">
        <f t="shared" si="59"/>
        <v>0</v>
      </c>
      <c r="AG124" s="15">
        <v>0</v>
      </c>
      <c r="AH124" s="17">
        <f t="shared" si="60"/>
        <v>0</v>
      </c>
      <c r="AI124" s="15">
        <v>0</v>
      </c>
      <c r="AJ124" s="17">
        <f t="shared" si="61"/>
        <v>0</v>
      </c>
      <c r="AK124" s="15">
        <v>3</v>
      </c>
      <c r="AL124" s="17">
        <f t="shared" si="62"/>
        <v>1</v>
      </c>
      <c r="AM124" s="15">
        <v>0</v>
      </c>
      <c r="AN124" s="17">
        <f t="shared" si="63"/>
        <v>0</v>
      </c>
      <c r="AO124" s="15">
        <v>0</v>
      </c>
      <c r="AP124" s="17">
        <f t="shared" si="71"/>
        <v>0</v>
      </c>
      <c r="AQ124" s="4">
        <v>1</v>
      </c>
      <c r="AR124" s="17">
        <f t="shared" si="64"/>
        <v>0.33333333333333331</v>
      </c>
      <c r="AS124" s="15">
        <v>6</v>
      </c>
      <c r="AT124" s="17">
        <f t="shared" si="65"/>
        <v>2</v>
      </c>
      <c r="AU124" s="19">
        <v>1.1669436737723009E-3</v>
      </c>
      <c r="AV124" s="19">
        <v>2.1761187389693262E-3</v>
      </c>
      <c r="AW124" s="19">
        <v>3.4687302972303282E-3</v>
      </c>
      <c r="AX124" s="19">
        <v>-2.3017866234580271E-3</v>
      </c>
      <c r="AY124" s="19">
        <v>105.02600087941261</v>
      </c>
      <c r="AZ124" s="19">
        <v>120.61130552345639</v>
      </c>
      <c r="BA124" s="19">
        <v>-0.16205480044895401</v>
      </c>
      <c r="BB124" s="19">
        <v>1</v>
      </c>
      <c r="BC124" s="19">
        <v>5.594405594405595</v>
      </c>
      <c r="BD124" s="65">
        <f t="shared" si="66"/>
        <v>50</v>
      </c>
      <c r="BE124" s="65">
        <f t="shared" si="67"/>
        <v>50</v>
      </c>
      <c r="BF124" s="66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0.46506106658732727</v>
      </c>
      <c r="BG124" s="38">
        <f t="shared" si="68"/>
        <v>0.66666666666666663</v>
      </c>
      <c r="BH124" s="38">
        <f t="shared" si="69"/>
        <v>0</v>
      </c>
      <c r="BI124" s="67">
        <f>IFERROR(((AG124*(12000/5))/((F124*60+G124)*(SUMIFS(팀공격력!X:X,팀공격력!A:A,B124,팀공격력!B:B,D124)+SUMIFS(팀수비력!X:X,팀수비력!A:A,B124,팀수비력!B:B,D124))))*100,"")</f>
        <v>0</v>
      </c>
      <c r="BJ124" s="67">
        <f>IFERROR(((AI124*(12000/5))/((F124*60+G124)*(SUMIFS(팀공격력!V:V,팀공격력!A:A,B124,팀공격력!B:B,D124)+SUMIFS(팀수비력!W:W,팀수비력!A:A,B124,팀수비력!B:B,D124))))*100,"")</f>
        <v>0</v>
      </c>
      <c r="BK124" s="67">
        <f>IFERROR(((AE124*(12000/5))/((F124*60+G124)*(SUMIFS(팀공격력!X:X,팀공격력!A:A,B124,팀공격력!B:B,D124)+SUMIFS(팀수비력!X:X,팀수비력!A:A,B124,팀수비력!B:B,D124))))*100,"")</f>
        <v>0</v>
      </c>
      <c r="BL124" s="67">
        <f>IFERROR(100*AK124/(((((F124*60+G124)/(12000/5))*SUMIFS(팀공격력!P:P,팀공격력!A:A,B124,팀공격력!B:B,D124))-K124)),"")</f>
        <v>0.94054943762981547</v>
      </c>
      <c r="BM124" s="67">
        <f>IFERROR(100*((AM124/E124*(2400))/((F124*60+G124)*SUMIFS(팀공격력!AR:AR,팀공격력!A:A,B124,팀공격력!B:B,D124))),"")</f>
        <v>0</v>
      </c>
      <c r="BN124" s="67">
        <f>IFERROR((AO124*40)/(((F124*60+G124)/60)*(SUMIFS(팀수비력!Q:Q,팀수비력!A:A,B124,팀수비력!B:B,D124)-SUMIFS(팀수비력!N:N,팀수비력!A:A,B124,팀수비력!B:B,D124)))*100,"")</f>
        <v>0</v>
      </c>
      <c r="BO124" s="67">
        <f t="shared" si="70"/>
        <v>25</v>
      </c>
      <c r="BP124" s="19"/>
      <c r="BQ124" s="19"/>
      <c r="BR124" s="19"/>
      <c r="BS124" s="19"/>
      <c r="BT124" s="20" t="s">
        <v>89</v>
      </c>
      <c r="BU124" s="21">
        <v>550000</v>
      </c>
      <c r="BV124" s="30" t="s">
        <v>90</v>
      </c>
      <c r="BW124" s="30">
        <v>9.4600000000000009</v>
      </c>
      <c r="BX124" s="30">
        <v>12.86</v>
      </c>
      <c r="BY124" s="30">
        <v>3.4</v>
      </c>
      <c r="BZ124" s="35">
        <f t="shared" si="88"/>
        <v>3.1533333333333329</v>
      </c>
      <c r="CA124" s="35">
        <f t="shared" si="89"/>
        <v>4.2866666666666662</v>
      </c>
      <c r="CB124" s="35">
        <f t="shared" si="90"/>
        <v>1.1333333333333333</v>
      </c>
      <c r="CC124" s="36">
        <f t="shared" si="91"/>
        <v>17.641025641025642</v>
      </c>
      <c r="CD124" s="36">
        <f t="shared" si="92"/>
        <v>23.981351981351981</v>
      </c>
      <c r="CE124" s="36">
        <f t="shared" si="93"/>
        <v>6.3403263403263406</v>
      </c>
      <c r="CF124" s="31">
        <v>1</v>
      </c>
      <c r="CG124" s="31">
        <v>2</v>
      </c>
    </row>
    <row r="125" spans="1:85" x14ac:dyDescent="0.4">
      <c r="A125" s="11" t="s">
        <v>85</v>
      </c>
      <c r="B125" s="11" t="s">
        <v>203</v>
      </c>
      <c r="C125" s="11" t="s">
        <v>219</v>
      </c>
      <c r="D125" s="46" t="s">
        <v>88</v>
      </c>
      <c r="E125" s="15">
        <v>42</v>
      </c>
      <c r="F125" s="15">
        <v>8</v>
      </c>
      <c r="G125" s="15">
        <v>50</v>
      </c>
      <c r="H125" s="16">
        <f t="shared" si="45"/>
        <v>22260</v>
      </c>
      <c r="I125" s="16">
        <v>69</v>
      </c>
      <c r="J125" s="17">
        <f t="shared" si="46"/>
        <v>1.6428571428571428</v>
      </c>
      <c r="K125" s="15">
        <v>25</v>
      </c>
      <c r="L125" s="15">
        <v>61</v>
      </c>
      <c r="M125" s="17">
        <f t="shared" si="47"/>
        <v>0.59523809523809523</v>
      </c>
      <c r="N125" s="17">
        <f t="shared" si="48"/>
        <v>1.4523809523809523</v>
      </c>
      <c r="O125" s="18">
        <f t="shared" si="49"/>
        <v>0.4098360655737705</v>
      </c>
      <c r="P125" s="16">
        <v>17</v>
      </c>
      <c r="Q125" s="15">
        <v>35</v>
      </c>
      <c r="R125" s="17">
        <f t="shared" si="50"/>
        <v>0.40476190476190477</v>
      </c>
      <c r="S125" s="17">
        <f t="shared" si="51"/>
        <v>0.83333333333333337</v>
      </c>
      <c r="T125" s="18">
        <f t="shared" si="52"/>
        <v>0.48571428571428571</v>
      </c>
      <c r="U125" s="15">
        <v>8</v>
      </c>
      <c r="V125" s="15">
        <v>26</v>
      </c>
      <c r="W125" s="17">
        <f t="shared" si="53"/>
        <v>0.19047619047619047</v>
      </c>
      <c r="X125" s="17">
        <f t="shared" si="54"/>
        <v>0.61904761904761907</v>
      </c>
      <c r="Y125" s="18">
        <f t="shared" si="55"/>
        <v>0.30769230769230771</v>
      </c>
      <c r="Z125" s="15">
        <v>11</v>
      </c>
      <c r="AA125" s="15">
        <v>17</v>
      </c>
      <c r="AB125" s="17">
        <f t="shared" si="56"/>
        <v>0.26190476190476192</v>
      </c>
      <c r="AC125" s="17">
        <f t="shared" si="57"/>
        <v>0.40476190476190477</v>
      </c>
      <c r="AD125" s="18">
        <f t="shared" si="58"/>
        <v>0.6470588235294118</v>
      </c>
      <c r="AE125" s="15">
        <v>63</v>
      </c>
      <c r="AF125" s="17">
        <f t="shared" si="59"/>
        <v>1.5</v>
      </c>
      <c r="AG125" s="15">
        <v>24</v>
      </c>
      <c r="AH125" s="17">
        <f t="shared" si="60"/>
        <v>0.5714285714285714</v>
      </c>
      <c r="AI125" s="15">
        <v>39</v>
      </c>
      <c r="AJ125" s="17">
        <f t="shared" si="61"/>
        <v>0.9285714285714286</v>
      </c>
      <c r="AK125" s="15">
        <v>75</v>
      </c>
      <c r="AL125" s="17">
        <f t="shared" si="62"/>
        <v>1.7857142857142858</v>
      </c>
      <c r="AM125" s="15">
        <v>18</v>
      </c>
      <c r="AN125" s="17">
        <f t="shared" si="63"/>
        <v>0.42857142857142855</v>
      </c>
      <c r="AO125" s="15">
        <v>2</v>
      </c>
      <c r="AP125" s="17">
        <f t="shared" si="71"/>
        <v>4.7619047619047616E-2</v>
      </c>
      <c r="AQ125" s="3">
        <v>24</v>
      </c>
      <c r="AR125" s="17">
        <f t="shared" si="64"/>
        <v>0.5714285714285714</v>
      </c>
      <c r="AS125" s="15">
        <v>53</v>
      </c>
      <c r="AT125" s="17">
        <f t="shared" si="65"/>
        <v>1.2619047619047619</v>
      </c>
      <c r="AU125" s="19">
        <v>0.67955126011723477</v>
      </c>
      <c r="AV125" s="19">
        <v>7.3266982222882457E-2</v>
      </c>
      <c r="AW125" s="19">
        <v>0.32083824464539012</v>
      </c>
      <c r="AX125" s="19">
        <v>0.35871301547184459</v>
      </c>
      <c r="AY125" s="19">
        <v>113.1648955536908</v>
      </c>
      <c r="AZ125" s="19">
        <v>110.5161179247267</v>
      </c>
      <c r="BA125" s="19">
        <v>6.1889190649541206</v>
      </c>
      <c r="BB125" s="19">
        <v>3.833333333333333</v>
      </c>
      <c r="BC125" s="19">
        <v>17.358490566037741</v>
      </c>
      <c r="BD125" s="65">
        <f t="shared" si="66"/>
        <v>50.379672897196258</v>
      </c>
      <c r="BE125" s="65">
        <f t="shared" si="67"/>
        <v>47.540983606557376</v>
      </c>
      <c r="BF125" s="66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8.703205448537874</v>
      </c>
      <c r="BG125" s="38">
        <f t="shared" si="68"/>
        <v>0.42622950819672129</v>
      </c>
      <c r="BH125" s="38">
        <f t="shared" si="69"/>
        <v>0.27868852459016391</v>
      </c>
      <c r="BI125" s="67">
        <f>IFERROR(((AG125*(12000/5))/((F125*60+G125)*(SUMIFS(팀공격력!X:X,팀공격력!A:A,B125,팀공격력!B:B,D125)+SUMIFS(팀수비력!X:X,팀수비력!A:A,B125,팀수비력!B:B,D125))))*100,"")</f>
        <v>2.6513599727499115</v>
      </c>
      <c r="BJ125" s="67">
        <f>IFERROR(((AI125*(12000/5))/((F125*60+G125)*(SUMIFS(팀공격력!V:V,팀공격력!A:A,B125,팀공격력!B:B,D125)+SUMIFS(팀수비력!W:W,팀수비력!A:A,B125,팀수비력!B:B,D125))))*100,"")</f>
        <v>9.0985972995829805</v>
      </c>
      <c r="BK125" s="67">
        <f>IFERROR(((AE125*(12000/5))/((F125*60+G125)*(SUMIFS(팀공격력!X:X,팀공격력!A:A,B125,팀공격력!B:B,D125)+SUMIFS(팀수비력!X:X,팀수비력!A:A,B125,팀수비력!B:B,D125))))*100,"")</f>
        <v>6.9598199284685176</v>
      </c>
      <c r="BL125" s="67">
        <f>IFERROR(100*AK125/(((((F125*60+G125)/(12000/5))*SUMIFS(팀공격력!P:P,팀공격력!A:A,B125,팀공격력!B:B,D125))-K125)),"")</f>
        <v>20.254304039608417</v>
      </c>
      <c r="BM125" s="67">
        <f>IFERROR(100*((AM125/E125*(2400))/((F125*60+G125)*SUMIFS(팀공격력!AR:AR,팀공격력!A:A,B125,팀공격력!B:B,D125))),"")</f>
        <v>2.5897415320960309</v>
      </c>
      <c r="BN125" s="67">
        <f>IFERROR((AO125*40)/(((F125*60+G125)/60)*(SUMIFS(팀수비력!Q:Q,팀수비력!A:A,B125,팀수비력!B:B,D125)-SUMIFS(팀수비력!N:N,팀수비력!A:A,B125,팀수비력!B:B,D125)))*100,"")</f>
        <v>0.41373247024143006</v>
      </c>
      <c r="BO125" s="67">
        <f t="shared" si="70"/>
        <v>25.951557093425606</v>
      </c>
      <c r="BP125" s="19"/>
      <c r="BQ125" s="19"/>
      <c r="BR125" s="19"/>
      <c r="BS125" s="19"/>
      <c r="BT125" s="20" t="s">
        <v>89</v>
      </c>
      <c r="BU125" s="21">
        <v>18861</v>
      </c>
      <c r="BV125" s="31" t="s">
        <v>90</v>
      </c>
      <c r="BW125" s="31">
        <v>300.3</v>
      </c>
      <c r="BX125" s="31">
        <v>375.3</v>
      </c>
      <c r="BY125" s="31">
        <v>75</v>
      </c>
      <c r="BZ125" s="35">
        <f t="shared" si="88"/>
        <v>7.1500000000000012</v>
      </c>
      <c r="CA125" s="35">
        <f t="shared" si="89"/>
        <v>8.9357142857142868</v>
      </c>
      <c r="CB125" s="35">
        <f t="shared" si="90"/>
        <v>1.7857142857142858</v>
      </c>
      <c r="CC125" s="36">
        <f t="shared" si="91"/>
        <v>32.377358490566039</v>
      </c>
      <c r="CD125" s="36">
        <f t="shared" si="92"/>
        <v>40.463611859838274</v>
      </c>
      <c r="CE125" s="36">
        <f t="shared" si="93"/>
        <v>8.0862533692722369</v>
      </c>
      <c r="CF125" s="31">
        <v>24</v>
      </c>
      <c r="CG125" s="31">
        <v>18</v>
      </c>
    </row>
    <row r="126" spans="1:85" x14ac:dyDescent="0.4">
      <c r="A126" s="11" t="s">
        <v>85</v>
      </c>
      <c r="B126" s="11" t="s">
        <v>203</v>
      </c>
      <c r="C126" s="11" t="s">
        <v>220</v>
      </c>
      <c r="D126" s="46" t="s">
        <v>88</v>
      </c>
      <c r="E126" s="15">
        <v>54</v>
      </c>
      <c r="F126" s="15">
        <v>31</v>
      </c>
      <c r="G126" s="15">
        <v>41</v>
      </c>
      <c r="H126" s="16">
        <f t="shared" si="45"/>
        <v>102654</v>
      </c>
      <c r="I126" s="16">
        <v>1371</v>
      </c>
      <c r="J126" s="17">
        <f t="shared" si="46"/>
        <v>25.388888888888889</v>
      </c>
      <c r="K126" s="15">
        <v>534</v>
      </c>
      <c r="L126" s="15">
        <v>1087</v>
      </c>
      <c r="M126" s="17">
        <f t="shared" si="47"/>
        <v>9.8888888888888893</v>
      </c>
      <c r="N126" s="17">
        <f t="shared" si="48"/>
        <v>20.12962962962963</v>
      </c>
      <c r="O126" s="18">
        <f t="shared" si="49"/>
        <v>0.49126034958601655</v>
      </c>
      <c r="P126" s="16">
        <v>401</v>
      </c>
      <c r="Q126" s="15">
        <v>716</v>
      </c>
      <c r="R126" s="17">
        <f t="shared" si="50"/>
        <v>7.4259259259259256</v>
      </c>
      <c r="S126" s="17">
        <f t="shared" si="51"/>
        <v>13.25925925925926</v>
      </c>
      <c r="T126" s="18">
        <f t="shared" si="52"/>
        <v>0.56005586592178769</v>
      </c>
      <c r="U126" s="15">
        <v>133</v>
      </c>
      <c r="V126" s="15">
        <v>371</v>
      </c>
      <c r="W126" s="17">
        <f t="shared" si="53"/>
        <v>2.4629629629629628</v>
      </c>
      <c r="X126" s="17">
        <f t="shared" si="54"/>
        <v>6.8703703703703702</v>
      </c>
      <c r="Y126" s="18">
        <f t="shared" si="55"/>
        <v>0.35849056603773582</v>
      </c>
      <c r="Z126" s="15">
        <v>170</v>
      </c>
      <c r="AA126" s="15">
        <v>242</v>
      </c>
      <c r="AB126" s="17">
        <f t="shared" si="56"/>
        <v>3.1481481481481484</v>
      </c>
      <c r="AC126" s="17">
        <f t="shared" si="57"/>
        <v>4.4814814814814818</v>
      </c>
      <c r="AD126" s="18">
        <f t="shared" si="58"/>
        <v>0.7024793388429752</v>
      </c>
      <c r="AE126" s="15">
        <v>589</v>
      </c>
      <c r="AF126" s="17">
        <f t="shared" si="59"/>
        <v>10.907407407407407</v>
      </c>
      <c r="AG126" s="15">
        <v>147</v>
      </c>
      <c r="AH126" s="17">
        <f t="shared" si="60"/>
        <v>2.7222222222222223</v>
      </c>
      <c r="AI126" s="15">
        <v>442</v>
      </c>
      <c r="AJ126" s="17">
        <f t="shared" si="61"/>
        <v>8.1851851851851851</v>
      </c>
      <c r="AK126" s="15">
        <v>248</v>
      </c>
      <c r="AL126" s="17">
        <f t="shared" si="62"/>
        <v>4.5925925925925926</v>
      </c>
      <c r="AM126" s="15">
        <v>97</v>
      </c>
      <c r="AN126" s="17">
        <f t="shared" si="63"/>
        <v>1.7962962962962963</v>
      </c>
      <c r="AO126" s="15">
        <v>32</v>
      </c>
      <c r="AP126" s="17">
        <f t="shared" si="71"/>
        <v>0.59259259259259256</v>
      </c>
      <c r="AQ126" s="4">
        <v>165</v>
      </c>
      <c r="AR126" s="17">
        <f t="shared" si="64"/>
        <v>3.0555555555555554</v>
      </c>
      <c r="AS126" s="15">
        <v>155</v>
      </c>
      <c r="AT126" s="17">
        <f t="shared" si="65"/>
        <v>2.8703703703703702</v>
      </c>
      <c r="AU126" s="19">
        <v>7.2145592393740952</v>
      </c>
      <c r="AV126" s="19">
        <v>0.16867284445319061</v>
      </c>
      <c r="AW126" s="19">
        <v>4.1048321327255914</v>
      </c>
      <c r="AX126" s="19">
        <v>3.1097271066485028</v>
      </c>
      <c r="AY126" s="19">
        <v>114.5373811279112</v>
      </c>
      <c r="AZ126" s="19">
        <v>102.5211368186763</v>
      </c>
      <c r="BA126" s="19">
        <v>22.959898880414769</v>
      </c>
      <c r="BB126" s="19">
        <v>28.648148148148149</v>
      </c>
      <c r="BC126" s="19">
        <v>36.168098661523167</v>
      </c>
      <c r="BD126" s="65">
        <f t="shared" si="66"/>
        <v>57.437074772932938</v>
      </c>
      <c r="BE126" s="65">
        <f t="shared" si="67"/>
        <v>55.24379024839007</v>
      </c>
      <c r="BF126" s="66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35.643341881826665</v>
      </c>
      <c r="BG126" s="38">
        <f t="shared" si="68"/>
        <v>0.34130634774609014</v>
      </c>
      <c r="BH126" s="38">
        <f t="shared" si="69"/>
        <v>0.22263109475620976</v>
      </c>
      <c r="BI126" s="67">
        <f>IFERROR(((AG126*(12000/5))/((F126*60+G126)*(SUMIFS(팀공격력!X:X,팀공격력!A:A,B126,팀공격력!B:B,D126)+SUMIFS(팀수비력!X:X,팀수비력!A:A,B126,팀수비력!B:B,D126))))*100,"")</f>
        <v>4.527605108647764</v>
      </c>
      <c r="BJ126" s="67">
        <f>IFERROR(((AI126*(12000/5))/((F126*60+G126)*(SUMIFS(팀공격력!V:V,팀공격력!A:A,B126,팀공격력!B:B,D126)+SUMIFS(팀수비력!W:W,팀수비력!A:A,B126,팀수비력!B:B,D126))))*100,"")</f>
        <v>28.749206266611488</v>
      </c>
      <c r="BK126" s="67">
        <f>IFERROR(((AE126*(12000/5))/((F126*60+G126)*(SUMIFS(팀공격력!X:X,팀공격력!A:A,B126,팀공격력!B:B,D126)+SUMIFS(팀수비력!X:X,팀수비력!A:A,B126,팀수비력!B:B,D126))))*100,"")</f>
        <v>18.141220469343764</v>
      </c>
      <c r="BL126" s="67">
        <f>IFERROR(100*AK126/(((((F126*60+G126)/(12000/5))*SUMIFS(팀공격력!P:P,팀공격력!A:A,B126,팀공격력!B:B,D126))-K126)),"")</f>
        <v>28.059721194235312</v>
      </c>
      <c r="BM126" s="67">
        <f>IFERROR(100*((AM126/E126*(2400))/((F126*60+G126)*SUMIFS(팀공격력!AR:AR,팀공격력!A:A,B126,팀공격력!B:B,D126))),"")</f>
        <v>3.0262509178255721</v>
      </c>
      <c r="BN126" s="67">
        <f>IFERROR((AO126*40)/(((F126*60+G126)/60)*(SUMIFS(팀수비력!Q:Q,팀수비력!A:A,B126,팀수비력!B:B,D126)-SUMIFS(팀수비력!N:N,팀수비력!A:A,B126,팀수비력!B:B,D126)))*100,"")</f>
        <v>1.845581981929157</v>
      </c>
      <c r="BO126" s="67">
        <f t="shared" si="70"/>
        <v>12.14592780166068</v>
      </c>
      <c r="BP126" s="19"/>
      <c r="BQ126" s="19"/>
      <c r="BR126" s="19"/>
      <c r="BS126" s="19"/>
      <c r="BT126" s="20" t="s">
        <v>96</v>
      </c>
      <c r="BU126" s="21">
        <v>300000</v>
      </c>
      <c r="BV126" s="30" t="s">
        <v>93</v>
      </c>
      <c r="BW126" s="30">
        <v>2127.9699999999998</v>
      </c>
      <c r="BX126" s="30">
        <v>2962.27</v>
      </c>
      <c r="BY126" s="30">
        <v>834.3</v>
      </c>
      <c r="BZ126" s="35">
        <f t="shared" si="88"/>
        <v>39.406851851851854</v>
      </c>
      <c r="CA126" s="35">
        <f t="shared" si="89"/>
        <v>54.85685185185185</v>
      </c>
      <c r="CB126" s="35">
        <f t="shared" si="90"/>
        <v>15.45</v>
      </c>
      <c r="CC126" s="36">
        <f t="shared" si="91"/>
        <v>49.750891343737223</v>
      </c>
      <c r="CD126" s="36">
        <f t="shared" si="92"/>
        <v>69.256414752469468</v>
      </c>
      <c r="CE126" s="36">
        <f t="shared" si="93"/>
        <v>19.505523408732245</v>
      </c>
      <c r="CF126" s="30">
        <v>33</v>
      </c>
      <c r="CG126" s="30">
        <v>21</v>
      </c>
    </row>
    <row r="127" spans="1:85" x14ac:dyDescent="0.4">
      <c r="A127" s="11" t="s">
        <v>85</v>
      </c>
      <c r="B127" s="11" t="s">
        <v>203</v>
      </c>
      <c r="C127" s="11" t="s">
        <v>221</v>
      </c>
      <c r="D127" s="46" t="s">
        <v>88</v>
      </c>
      <c r="E127" s="15">
        <v>45</v>
      </c>
      <c r="F127" s="15">
        <v>31</v>
      </c>
      <c r="G127" s="15">
        <v>15</v>
      </c>
      <c r="H127" s="16">
        <f t="shared" si="45"/>
        <v>84375</v>
      </c>
      <c r="I127" s="16">
        <v>735</v>
      </c>
      <c r="J127" s="17">
        <f t="shared" si="46"/>
        <v>16.333333333333332</v>
      </c>
      <c r="K127" s="15">
        <v>293</v>
      </c>
      <c r="L127" s="15">
        <v>506</v>
      </c>
      <c r="M127" s="17">
        <f t="shared" si="47"/>
        <v>6.5111111111111111</v>
      </c>
      <c r="N127" s="17">
        <f t="shared" si="48"/>
        <v>11.244444444444444</v>
      </c>
      <c r="O127" s="18">
        <f t="shared" si="49"/>
        <v>0.57905138339920947</v>
      </c>
      <c r="P127" s="16">
        <v>293</v>
      </c>
      <c r="Q127" s="15">
        <v>504</v>
      </c>
      <c r="R127" s="17">
        <f t="shared" si="50"/>
        <v>6.5111111111111111</v>
      </c>
      <c r="S127" s="17">
        <f t="shared" si="51"/>
        <v>11.2</v>
      </c>
      <c r="T127" s="18">
        <f t="shared" si="52"/>
        <v>0.58134920634920639</v>
      </c>
      <c r="U127" s="15">
        <v>0</v>
      </c>
      <c r="V127" s="15">
        <v>2</v>
      </c>
      <c r="W127" s="17">
        <f t="shared" si="53"/>
        <v>0</v>
      </c>
      <c r="X127" s="17">
        <f t="shared" si="54"/>
        <v>4.4444444444444446E-2</v>
      </c>
      <c r="Y127" s="18">
        <f t="shared" si="55"/>
        <v>0</v>
      </c>
      <c r="Z127" s="15">
        <v>149</v>
      </c>
      <c r="AA127" s="15">
        <v>199</v>
      </c>
      <c r="AB127" s="17">
        <f t="shared" si="56"/>
        <v>3.3111111111111109</v>
      </c>
      <c r="AC127" s="17">
        <f t="shared" si="57"/>
        <v>4.4222222222222225</v>
      </c>
      <c r="AD127" s="18">
        <f t="shared" si="58"/>
        <v>0.74874371859296485</v>
      </c>
      <c r="AE127" s="15">
        <v>303</v>
      </c>
      <c r="AF127" s="17">
        <f t="shared" si="59"/>
        <v>6.7333333333333334</v>
      </c>
      <c r="AG127" s="15">
        <v>121</v>
      </c>
      <c r="AH127" s="17">
        <f t="shared" si="60"/>
        <v>2.6888888888888891</v>
      </c>
      <c r="AI127" s="15">
        <v>182</v>
      </c>
      <c r="AJ127" s="17">
        <f t="shared" si="61"/>
        <v>4.0444444444444443</v>
      </c>
      <c r="AK127" s="15">
        <v>71</v>
      </c>
      <c r="AL127" s="17">
        <f t="shared" si="62"/>
        <v>1.5777777777777777</v>
      </c>
      <c r="AM127" s="15">
        <v>18</v>
      </c>
      <c r="AN127" s="17">
        <f t="shared" si="63"/>
        <v>0.4</v>
      </c>
      <c r="AO127" s="15">
        <v>16</v>
      </c>
      <c r="AP127" s="17">
        <f t="shared" si="71"/>
        <v>0.35555555555555557</v>
      </c>
      <c r="AQ127" s="4">
        <v>62</v>
      </c>
      <c r="AR127" s="17">
        <f t="shared" si="64"/>
        <v>1.3777777777777778</v>
      </c>
      <c r="AS127" s="15">
        <v>102</v>
      </c>
      <c r="AT127" s="17">
        <f t="shared" si="65"/>
        <v>2.2666666666666666</v>
      </c>
      <c r="AU127" s="19">
        <v>4.3993785157904579</v>
      </c>
      <c r="AV127" s="19">
        <v>0.12513787778248411</v>
      </c>
      <c r="AW127" s="19">
        <v>3.5082560899962472</v>
      </c>
      <c r="AX127" s="19">
        <v>0.89112242579421164</v>
      </c>
      <c r="AY127" s="19">
        <v>124.4672093015909</v>
      </c>
      <c r="AZ127" s="19">
        <v>113.64746078159931</v>
      </c>
      <c r="BA127" s="19">
        <v>12.29642419401373</v>
      </c>
      <c r="BB127" s="19">
        <v>18.177777777777781</v>
      </c>
      <c r="BC127" s="19">
        <v>23.26755555555556</v>
      </c>
      <c r="BD127" s="65">
        <f t="shared" si="66"/>
        <v>61.914549497944613</v>
      </c>
      <c r="BE127" s="65">
        <f t="shared" si="67"/>
        <v>57.905138339920946</v>
      </c>
      <c r="BF127" s="66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17.438874756845724</v>
      </c>
      <c r="BG127" s="38">
        <f t="shared" si="68"/>
        <v>3.952569169960474E-3</v>
      </c>
      <c r="BH127" s="38">
        <f t="shared" si="69"/>
        <v>0.3932806324110672</v>
      </c>
      <c r="BI127" s="67">
        <f>IFERROR(((AG127*(12000/5))/((F127*60+G127)*(SUMIFS(팀공격력!X:X,팀공격력!A:A,B127,팀공격력!B:B,D127)+SUMIFS(팀수비력!X:X,팀수비력!A:A,B127,팀수비력!B:B,D127))))*100,"")</f>
        <v>3.7784825567211513</v>
      </c>
      <c r="BJ127" s="67">
        <f>IFERROR(((AI127*(12000/5))/((F127*60+G127)*(SUMIFS(팀공격력!V:V,팀공격력!A:A,B127,팀공격력!B:B,D127)+SUMIFS(팀수비력!W:W,팀수비력!A:A,B127,팀수비력!B:B,D127))))*100,"")</f>
        <v>12.002060793405461</v>
      </c>
      <c r="BK127" s="67">
        <f>IFERROR(((AE127*(12000/5))/((F127*60+G127)*(SUMIFS(팀공격력!X:X,팀공격력!A:A,B127,팀공격력!B:B,D127)+SUMIFS(팀수비력!X:X,팀수비력!A:A,B127,팀수비력!B:B,D127))))*100,"")</f>
        <v>9.4618199560868508</v>
      </c>
      <c r="BL127" s="67">
        <f>IFERROR(100*AK127/(((((F127*60+G127)/(12000/5))*SUMIFS(팀공격력!P:P,팀공격력!A:A,B127,팀공격력!B:B,D127))-K127)),"")</f>
        <v>6.4227964041386327</v>
      </c>
      <c r="BM127" s="67">
        <f>IFERROR(100*((AM127/E127*(2400))/((F127*60+G127)*SUMIFS(팀공격력!AR:AR,팀공격력!A:A,B127,팀공격력!B:B,D127))),"")</f>
        <v>0.68323136597875744</v>
      </c>
      <c r="BN127" s="67">
        <f>IFERROR((AO127*40)/(((F127*60+G127)/60)*(SUMIFS(팀수비력!Q:Q,팀수비력!A:A,B127,팀수비력!B:B,D127)-SUMIFS(팀수비력!N:N,팀수비력!A:A,B127,팀수비력!B:B,D127)))*100,"")</f>
        <v>0.93558702603928723</v>
      </c>
      <c r="BO127" s="67">
        <f t="shared" si="70"/>
        <v>9.4575629995728843</v>
      </c>
      <c r="BP127" s="19"/>
      <c r="BQ127" s="19"/>
      <c r="BR127" s="19"/>
      <c r="BS127" s="19"/>
      <c r="BT127" s="20" t="s">
        <v>89</v>
      </c>
      <c r="BU127" s="21">
        <v>100000</v>
      </c>
      <c r="BV127" s="31" t="s">
        <v>102</v>
      </c>
      <c r="BW127" s="31">
        <v>1246.3499999999999</v>
      </c>
      <c r="BX127" s="31">
        <v>1592.15</v>
      </c>
      <c r="BY127" s="31">
        <v>345.8</v>
      </c>
      <c r="BZ127" s="35">
        <f t="shared" si="88"/>
        <v>27.696666666666665</v>
      </c>
      <c r="CA127" s="35">
        <f t="shared" si="89"/>
        <v>35.38111111111111</v>
      </c>
      <c r="CB127" s="35">
        <f t="shared" si="90"/>
        <v>7.6844444444444449</v>
      </c>
      <c r="CC127" s="36">
        <f t="shared" si="91"/>
        <v>35.451733333333337</v>
      </c>
      <c r="CD127" s="36">
        <f t="shared" si="92"/>
        <v>45.287822222222225</v>
      </c>
      <c r="CE127" s="36">
        <f t="shared" si="93"/>
        <v>9.8360888888888898</v>
      </c>
      <c r="CF127" s="30">
        <v>28</v>
      </c>
      <c r="CG127" s="30">
        <v>17</v>
      </c>
    </row>
    <row r="128" spans="1:85" x14ac:dyDescent="0.4">
      <c r="A128" s="11" t="s">
        <v>85</v>
      </c>
      <c r="B128" s="11" t="s">
        <v>203</v>
      </c>
      <c r="C128" s="11" t="s">
        <v>222</v>
      </c>
      <c r="D128" s="46" t="s">
        <v>88</v>
      </c>
      <c r="E128" s="10">
        <v>52</v>
      </c>
      <c r="F128" s="10">
        <v>25</v>
      </c>
      <c r="G128" s="10">
        <v>59</v>
      </c>
      <c r="H128" s="16">
        <f t="shared" si="45"/>
        <v>81068</v>
      </c>
      <c r="I128" s="16">
        <v>433</v>
      </c>
      <c r="J128" s="17">
        <f t="shared" si="46"/>
        <v>8.3269230769230766</v>
      </c>
      <c r="K128" s="15">
        <v>155</v>
      </c>
      <c r="L128" s="15">
        <v>372</v>
      </c>
      <c r="M128" s="17">
        <f t="shared" si="47"/>
        <v>2.9807692307692308</v>
      </c>
      <c r="N128" s="17">
        <f t="shared" si="48"/>
        <v>7.1538461538461542</v>
      </c>
      <c r="O128" s="18">
        <f t="shared" si="49"/>
        <v>0.41666666666666669</v>
      </c>
      <c r="P128" s="16">
        <v>72</v>
      </c>
      <c r="Q128" s="15">
        <v>129</v>
      </c>
      <c r="R128" s="17">
        <f t="shared" si="50"/>
        <v>1.3846153846153846</v>
      </c>
      <c r="S128" s="17">
        <f t="shared" si="51"/>
        <v>2.4807692307692308</v>
      </c>
      <c r="T128" s="18">
        <f t="shared" si="52"/>
        <v>0.55813953488372092</v>
      </c>
      <c r="U128" s="15">
        <v>83</v>
      </c>
      <c r="V128" s="15">
        <v>243</v>
      </c>
      <c r="W128" s="17">
        <f t="shared" si="53"/>
        <v>1.5961538461538463</v>
      </c>
      <c r="X128" s="17">
        <f t="shared" si="54"/>
        <v>4.6730769230769234</v>
      </c>
      <c r="Y128" s="18">
        <f t="shared" si="55"/>
        <v>0.34156378600823045</v>
      </c>
      <c r="Z128" s="9">
        <v>40</v>
      </c>
      <c r="AA128" s="9">
        <v>62</v>
      </c>
      <c r="AB128" s="17">
        <f t="shared" si="56"/>
        <v>0.76923076923076927</v>
      </c>
      <c r="AC128" s="17">
        <f t="shared" si="57"/>
        <v>1.1923076923076923</v>
      </c>
      <c r="AD128" s="18">
        <f t="shared" si="58"/>
        <v>0.64516129032258063</v>
      </c>
      <c r="AE128" s="15">
        <v>175</v>
      </c>
      <c r="AF128" s="17">
        <f t="shared" si="59"/>
        <v>3.3653846153846154</v>
      </c>
      <c r="AG128" s="15">
        <v>40</v>
      </c>
      <c r="AH128" s="17">
        <f t="shared" si="60"/>
        <v>0.76923076923076927</v>
      </c>
      <c r="AI128" s="15">
        <v>135</v>
      </c>
      <c r="AJ128" s="17">
        <f t="shared" si="61"/>
        <v>2.5961538461538463</v>
      </c>
      <c r="AK128" s="15">
        <v>60</v>
      </c>
      <c r="AL128" s="17">
        <f t="shared" si="62"/>
        <v>1.1538461538461537</v>
      </c>
      <c r="AM128" s="15">
        <v>43</v>
      </c>
      <c r="AN128" s="17">
        <f t="shared" si="63"/>
        <v>0.82692307692307687</v>
      </c>
      <c r="AO128" s="7">
        <v>14</v>
      </c>
      <c r="AP128" s="17">
        <f t="shared" si="71"/>
        <v>0.26923076923076922</v>
      </c>
      <c r="AQ128" s="6">
        <v>46</v>
      </c>
      <c r="AR128" s="17">
        <f t="shared" si="64"/>
        <v>0.88461538461538458</v>
      </c>
      <c r="AS128" s="15">
        <v>122</v>
      </c>
      <c r="AT128" s="17">
        <f t="shared" si="65"/>
        <v>2.3461538461538463</v>
      </c>
      <c r="AU128" s="19">
        <v>1.73876054735453</v>
      </c>
      <c r="AV128" s="19">
        <v>5.1475616934559508E-2</v>
      </c>
      <c r="AW128" s="19">
        <v>0.73669412480266516</v>
      </c>
      <c r="AX128" s="19">
        <v>1.002066422551865</v>
      </c>
      <c r="AY128" s="19">
        <v>109.1034714974513</v>
      </c>
      <c r="AZ128" s="19">
        <v>112.6328421067727</v>
      </c>
      <c r="BA128" s="19">
        <v>7.0492583082073423</v>
      </c>
      <c r="BB128" s="19">
        <v>8.4615384615384617</v>
      </c>
      <c r="BC128" s="19">
        <v>13.02610154438249</v>
      </c>
      <c r="BD128" s="65">
        <f t="shared" si="66"/>
        <v>54.222600681226204</v>
      </c>
      <c r="BE128" s="65">
        <f t="shared" si="67"/>
        <v>52.822580645161288</v>
      </c>
      <c r="BF128" s="66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14.246046512535626</v>
      </c>
      <c r="BG128" s="38">
        <f t="shared" si="68"/>
        <v>0.65322580645161288</v>
      </c>
      <c r="BH128" s="38">
        <f t="shared" si="69"/>
        <v>0.16666666666666666</v>
      </c>
      <c r="BI128" s="67">
        <f>IFERROR(((AG128*(12000/5))/((F128*60+G128)*(SUMIFS(팀공격력!X:X,팀공격력!A:A,B128,팀공격력!B:B,D128)+SUMIFS(팀수비력!X:X,팀수비력!A:A,B128,팀수비력!B:B,D128))))*100,"")</f>
        <v>1.5022672499010616</v>
      </c>
      <c r="BJ128" s="67">
        <f>IFERROR(((AI128*(12000/5))/((F128*60+G128)*(SUMIFS(팀공격력!V:V,팀공격력!A:A,B128,팀공격력!B:B,D128)+SUMIFS(팀수비력!W:W,팀수비력!A:A,B128,팀수비력!B:B,D128))))*100,"")</f>
        <v>10.70713700079213</v>
      </c>
      <c r="BK128" s="67">
        <f>IFERROR(((AE128*(12000/5))/((F128*60+G128)*(SUMIFS(팀공격력!X:X,팀공격력!A:A,B128,팀공격력!B:B,D128)+SUMIFS(팀수비력!X:X,팀수비력!A:A,B128,팀수비력!B:B,D128))))*100,"")</f>
        <v>6.5724192183171448</v>
      </c>
      <c r="BL128" s="67">
        <f>IFERROR(100*AK128/(((((F128*60+G128)/(12000/5))*SUMIFS(팀공격력!P:P,팀공격력!A:A,B128,팀공격력!B:B,D128))-K128)),"")</f>
        <v>5.9538329867155104</v>
      </c>
      <c r="BM128" s="67">
        <f>IFERROR(100*((AM128/E128*(2400))/((F128*60+G128)*SUMIFS(팀공격력!AR:AR,팀공격력!A:A,B128,팀공격력!B:B,D128))),"")</f>
        <v>1.6987445379816117</v>
      </c>
      <c r="BN128" s="67">
        <f>IFERROR((AO128*40)/(((F128*60+G128)/60)*(SUMIFS(팀수비력!Q:Q,팀수비력!A:A,B128,팀수비력!B:B,D128)-SUMIFS(팀수비력!N:N,팀수비력!A:A,B128,팀수비력!B:B,D128)))*100,"")</f>
        <v>0.98457181821405104</v>
      </c>
      <c r="BO128" s="67">
        <f t="shared" si="70"/>
        <v>10.330578512396695</v>
      </c>
      <c r="BP128" s="19"/>
      <c r="BQ128" s="19"/>
      <c r="BR128" s="19"/>
      <c r="BS128" s="19"/>
      <c r="BT128" s="20" t="s">
        <v>89</v>
      </c>
      <c r="BU128" s="21"/>
      <c r="BV128" s="30" t="s">
        <v>93</v>
      </c>
      <c r="BW128" s="30">
        <v>840.22</v>
      </c>
      <c r="BX128" s="30">
        <v>1127.82</v>
      </c>
      <c r="BY128" s="30">
        <v>287.60000000000002</v>
      </c>
      <c r="BZ128" s="35">
        <f t="shared" si="88"/>
        <v>16.158076923076923</v>
      </c>
      <c r="CA128" s="35">
        <f t="shared" si="89"/>
        <v>21.688846153846153</v>
      </c>
      <c r="CB128" s="35">
        <f t="shared" si="90"/>
        <v>5.5307692307692315</v>
      </c>
      <c r="CC128" s="36">
        <f t="shared" si="91"/>
        <v>24.874525090047861</v>
      </c>
      <c r="CD128" s="36">
        <f t="shared" si="92"/>
        <v>33.388858735876056</v>
      </c>
      <c r="CE128" s="36">
        <f t="shared" si="93"/>
        <v>8.5143336458281933</v>
      </c>
      <c r="CF128" s="31">
        <v>33</v>
      </c>
      <c r="CG128" s="31">
        <v>19</v>
      </c>
    </row>
    <row r="129" spans="1:85" x14ac:dyDescent="0.4">
      <c r="A129" s="11" t="s">
        <v>85</v>
      </c>
      <c r="B129" s="11" t="s">
        <v>203</v>
      </c>
      <c r="C129" s="11" t="s">
        <v>223</v>
      </c>
      <c r="D129" s="46" t="s">
        <v>88</v>
      </c>
      <c r="E129" s="15">
        <v>27</v>
      </c>
      <c r="F129" s="15">
        <v>25</v>
      </c>
      <c r="G129" s="15">
        <v>28</v>
      </c>
      <c r="H129" s="16">
        <f t="shared" si="45"/>
        <v>41256</v>
      </c>
      <c r="I129" s="16">
        <v>407</v>
      </c>
      <c r="J129" s="17">
        <f t="shared" si="46"/>
        <v>15.074074074074074</v>
      </c>
      <c r="K129" s="15">
        <v>144</v>
      </c>
      <c r="L129" s="15">
        <v>334</v>
      </c>
      <c r="M129" s="17">
        <f t="shared" si="47"/>
        <v>5.333333333333333</v>
      </c>
      <c r="N129" s="17">
        <f t="shared" si="48"/>
        <v>12.37037037037037</v>
      </c>
      <c r="O129" s="18">
        <f t="shared" si="49"/>
        <v>0.43113772455089822</v>
      </c>
      <c r="P129" s="16">
        <v>74</v>
      </c>
      <c r="Q129" s="15">
        <v>152</v>
      </c>
      <c r="R129" s="17">
        <f t="shared" si="50"/>
        <v>2.7407407407407409</v>
      </c>
      <c r="S129" s="17">
        <f t="shared" si="51"/>
        <v>5.6296296296296298</v>
      </c>
      <c r="T129" s="18">
        <f t="shared" si="52"/>
        <v>0.48684210526315791</v>
      </c>
      <c r="U129" s="15">
        <v>70</v>
      </c>
      <c r="V129" s="15">
        <v>182</v>
      </c>
      <c r="W129" s="17">
        <f t="shared" si="53"/>
        <v>2.5925925925925926</v>
      </c>
      <c r="X129" s="17">
        <f t="shared" si="54"/>
        <v>6.7407407407407405</v>
      </c>
      <c r="Y129" s="18">
        <f t="shared" si="55"/>
        <v>0.38461538461538464</v>
      </c>
      <c r="Z129" s="15">
        <v>49</v>
      </c>
      <c r="AA129" s="15">
        <v>70</v>
      </c>
      <c r="AB129" s="17">
        <f t="shared" si="56"/>
        <v>1.8148148148148149</v>
      </c>
      <c r="AC129" s="17">
        <f t="shared" si="57"/>
        <v>2.5925925925925926</v>
      </c>
      <c r="AD129" s="18">
        <f t="shared" si="58"/>
        <v>0.7</v>
      </c>
      <c r="AE129" s="15">
        <v>57</v>
      </c>
      <c r="AF129" s="17">
        <f t="shared" si="59"/>
        <v>2.1111111111111112</v>
      </c>
      <c r="AG129" s="15">
        <v>18</v>
      </c>
      <c r="AH129" s="17">
        <f t="shared" si="60"/>
        <v>0.66666666666666663</v>
      </c>
      <c r="AI129" s="15">
        <v>39</v>
      </c>
      <c r="AJ129" s="17">
        <f t="shared" si="61"/>
        <v>1.4444444444444444</v>
      </c>
      <c r="AK129" s="15">
        <v>97</v>
      </c>
      <c r="AL129" s="17">
        <f t="shared" si="62"/>
        <v>3.5925925925925926</v>
      </c>
      <c r="AM129" s="15">
        <v>29</v>
      </c>
      <c r="AN129" s="17">
        <f t="shared" si="63"/>
        <v>1.0740740740740742</v>
      </c>
      <c r="AO129" s="15">
        <v>5</v>
      </c>
      <c r="AP129" s="17">
        <f t="shared" si="71"/>
        <v>0.18518518518518517</v>
      </c>
      <c r="AQ129" s="4">
        <v>55</v>
      </c>
      <c r="AR129" s="17">
        <f t="shared" si="64"/>
        <v>2.0370370370370372</v>
      </c>
      <c r="AS129" s="15">
        <v>47</v>
      </c>
      <c r="AT129" s="17">
        <f t="shared" si="65"/>
        <v>1.7407407407407407</v>
      </c>
      <c r="AU129" s="19">
        <v>1.2790322702076371</v>
      </c>
      <c r="AV129" s="19">
        <v>7.4405600361119095E-2</v>
      </c>
      <c r="AW129" s="19">
        <v>0.82948216225557192</v>
      </c>
      <c r="AX129" s="19">
        <v>0.4495501079520654</v>
      </c>
      <c r="AY129" s="19">
        <v>110.2583943273309</v>
      </c>
      <c r="AZ129" s="19">
        <v>113.4584783284964</v>
      </c>
      <c r="BA129" s="19">
        <v>6.6975629008991646</v>
      </c>
      <c r="BB129" s="19">
        <v>12.18518518518519</v>
      </c>
      <c r="BC129" s="19">
        <v>19.139034322280391</v>
      </c>
      <c r="BD129" s="65">
        <f t="shared" si="66"/>
        <v>55.783991228070171</v>
      </c>
      <c r="BE129" s="65">
        <f t="shared" si="67"/>
        <v>53.592814371257482</v>
      </c>
      <c r="BF129" s="66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13.703337817112471</v>
      </c>
      <c r="BG129" s="38">
        <f t="shared" si="68"/>
        <v>0.54491017964071853</v>
      </c>
      <c r="BH129" s="38">
        <f t="shared" si="69"/>
        <v>0.20958083832335328</v>
      </c>
      <c r="BI129" s="67">
        <f>IFERROR(((AG129*(12000/5))/((F129*60+G129)*(SUMIFS(팀공격력!X:X,팀공격력!A:A,B129,팀공격력!B:B,D129)+SUMIFS(팀수비력!X:X,팀수비력!A:A,B129,팀수비력!B:B,D129))))*100,"")</f>
        <v>0.68973533322518965</v>
      </c>
      <c r="BJ129" s="67">
        <f>IFERROR(((AI129*(12000/5))/((F129*60+G129)*(SUMIFS(팀공격력!V:V,팀공격력!A:A,B129,팀공격력!B:B,D129)+SUMIFS(팀수비력!W:W,팀수비력!A:A,B129,팀수비력!B:B,D129))))*100,"")</f>
        <v>3.155927073808233</v>
      </c>
      <c r="BK129" s="67">
        <f>IFERROR(((AE129*(12000/5))/((F129*60+G129)*(SUMIFS(팀공격력!X:X,팀공격력!A:A,B129,팀공격력!B:B,D129)+SUMIFS(팀수비력!X:X,팀수비력!A:A,B129,팀수비력!B:B,D129))))*100,"")</f>
        <v>2.1841618885464338</v>
      </c>
      <c r="BL129" s="67">
        <f>IFERROR(100*AK129/(((((F129*60+G129)/(12000/5))*SUMIFS(팀공격력!P:P,팀공격력!A:A,B129,팀공격력!B:B,D129))-K129)),"")</f>
        <v>9.7425424353008125</v>
      </c>
      <c r="BM129" s="67">
        <f>IFERROR(100*((AM129/E129*(2400))/((F129*60+G129)*SUMIFS(팀공격력!AR:AR,팀공격력!A:A,B129,팀공격력!B:B,D129))),"")</f>
        <v>2.2512304589087</v>
      </c>
      <c r="BN129" s="67">
        <f>IFERROR((AO129*40)/(((F129*60+G129)/60)*(SUMIFS(팀수비력!Q:Q,팀수비력!A:A,B129,팀수비력!B:B,D129)-SUMIFS(팀수비력!N:N,팀수비력!A:A,B129,팀수비력!B:B,D129)))*100,"")</f>
        <v>0.35876670357977414</v>
      </c>
      <c r="BO129" s="67">
        <f t="shared" si="70"/>
        <v>13.101476893758932</v>
      </c>
      <c r="BP129" s="19"/>
      <c r="BQ129" s="19"/>
      <c r="BR129" s="19"/>
      <c r="BS129" s="19"/>
      <c r="BT129" s="20" t="s">
        <v>89</v>
      </c>
      <c r="BU129" s="21"/>
      <c r="BV129" s="30" t="s">
        <v>90</v>
      </c>
      <c r="BW129" s="30">
        <v>549.30999999999995</v>
      </c>
      <c r="BX129" s="30">
        <v>827.41</v>
      </c>
      <c r="BY129" s="30">
        <v>278.10000000000002</v>
      </c>
      <c r="BZ129" s="35">
        <f t="shared" si="88"/>
        <v>20.344814814814814</v>
      </c>
      <c r="CA129" s="35">
        <f t="shared" si="89"/>
        <v>30.644814814814815</v>
      </c>
      <c r="CB129" s="35">
        <f t="shared" si="90"/>
        <v>10.3</v>
      </c>
      <c r="CC129" s="36">
        <f t="shared" si="91"/>
        <v>31.955206515415938</v>
      </c>
      <c r="CD129" s="36">
        <f t="shared" si="92"/>
        <v>48.133216986620127</v>
      </c>
      <c r="CE129" s="36">
        <f t="shared" si="93"/>
        <v>16.178010471204189</v>
      </c>
      <c r="CF129" s="31">
        <v>14</v>
      </c>
      <c r="CG129" s="31">
        <v>13</v>
      </c>
    </row>
    <row r="130" spans="1:85" x14ac:dyDescent="0.4">
      <c r="A130" s="11" t="s">
        <v>85</v>
      </c>
      <c r="B130" s="11" t="s">
        <v>224</v>
      </c>
      <c r="C130" s="11" t="s">
        <v>225</v>
      </c>
      <c r="D130" s="46" t="s">
        <v>88</v>
      </c>
      <c r="E130" s="15">
        <v>32</v>
      </c>
      <c r="F130" s="15">
        <v>6</v>
      </c>
      <c r="G130" s="15">
        <v>41</v>
      </c>
      <c r="H130" s="16">
        <f t="shared" ref="H130:H193" si="94">(F130*60+G130)*E130</f>
        <v>12832</v>
      </c>
      <c r="I130" s="16">
        <v>77</v>
      </c>
      <c r="J130" s="17">
        <f t="shared" ref="J130:J193" si="95">I130/$E130</f>
        <v>2.40625</v>
      </c>
      <c r="K130" s="15">
        <v>25</v>
      </c>
      <c r="L130" s="15">
        <v>79</v>
      </c>
      <c r="M130" s="17">
        <f t="shared" ref="M130:M193" si="96">K130/$E130</f>
        <v>0.78125</v>
      </c>
      <c r="N130" s="17">
        <f t="shared" ref="N130:N193" si="97">L130/$E130</f>
        <v>2.46875</v>
      </c>
      <c r="O130" s="18">
        <f t="shared" ref="O130:O193" si="98">K130/L130</f>
        <v>0.31645569620253167</v>
      </c>
      <c r="P130" s="16">
        <v>15</v>
      </c>
      <c r="Q130" s="15">
        <v>30</v>
      </c>
      <c r="R130" s="17">
        <f t="shared" ref="R130:R193" si="99">P130/$E130</f>
        <v>0.46875</v>
      </c>
      <c r="S130" s="17">
        <f t="shared" ref="S130:S193" si="100">Q130/$E130</f>
        <v>0.9375</v>
      </c>
      <c r="T130" s="18">
        <f t="shared" ref="T130:T193" si="101">P130/Q130</f>
        <v>0.5</v>
      </c>
      <c r="U130" s="15">
        <v>10</v>
      </c>
      <c r="V130" s="15">
        <v>49</v>
      </c>
      <c r="W130" s="17">
        <f t="shared" ref="W130:W193" si="102">U130/$E130</f>
        <v>0.3125</v>
      </c>
      <c r="X130" s="17">
        <f t="shared" ref="X130:X193" si="103">V130/$E130</f>
        <v>1.53125</v>
      </c>
      <c r="Y130" s="18">
        <f t="shared" ref="Y130:Y193" si="104">U130/V130</f>
        <v>0.20408163265306123</v>
      </c>
      <c r="Z130" s="15">
        <v>17</v>
      </c>
      <c r="AA130" s="15">
        <v>21</v>
      </c>
      <c r="AB130" s="17">
        <f t="shared" ref="AB130:AB193" si="105">Z130/$E130</f>
        <v>0.53125</v>
      </c>
      <c r="AC130" s="17">
        <f t="shared" ref="AC130:AC193" si="106">AA130/$E130</f>
        <v>0.65625</v>
      </c>
      <c r="AD130" s="18">
        <f t="shared" ref="AD130:AD193" si="107">Z130/AA130</f>
        <v>0.80952380952380953</v>
      </c>
      <c r="AE130" s="15">
        <v>22</v>
      </c>
      <c r="AF130" s="17">
        <f t="shared" ref="AF130:AF193" si="108">AE130/$E130</f>
        <v>0.6875</v>
      </c>
      <c r="AG130" s="15">
        <v>5</v>
      </c>
      <c r="AH130" s="17">
        <f t="shared" ref="AH130:AH193" si="109">AG130/$E130</f>
        <v>0.15625</v>
      </c>
      <c r="AI130" s="15">
        <v>17</v>
      </c>
      <c r="AJ130" s="17">
        <f t="shared" ref="AJ130:AJ193" si="110">AI130/$E130</f>
        <v>0.53125</v>
      </c>
      <c r="AK130" s="15">
        <v>2</v>
      </c>
      <c r="AL130" s="17">
        <f t="shared" ref="AL130:AL193" si="111">AK130/$E130</f>
        <v>6.25E-2</v>
      </c>
      <c r="AM130" s="15">
        <v>3</v>
      </c>
      <c r="AN130" s="17">
        <f t="shared" ref="AN130:AN193" si="112">AM130/$E130</f>
        <v>9.375E-2</v>
      </c>
      <c r="AO130" s="15">
        <v>1</v>
      </c>
      <c r="AP130" s="17">
        <f t="shared" si="71"/>
        <v>3.125E-2</v>
      </c>
      <c r="AQ130" s="4">
        <v>6</v>
      </c>
      <c r="AR130" s="17">
        <f t="shared" ref="AR130:AR193" si="113">AQ130/$E130</f>
        <v>0.1875</v>
      </c>
      <c r="AS130" s="15">
        <v>24</v>
      </c>
      <c r="AT130" s="17">
        <f t="shared" ref="AT130:AT193" si="114">AS130/$E130</f>
        <v>0.75</v>
      </c>
      <c r="AU130" s="19">
        <v>-0.34955374188407939</v>
      </c>
      <c r="AV130" s="19">
        <v>-6.5377881898518592E-2</v>
      </c>
      <c r="AW130" s="19">
        <v>-0.26647488079453002</v>
      </c>
      <c r="AX130" s="19">
        <v>-8.3078861089549427E-2</v>
      </c>
      <c r="AY130" s="19">
        <v>89.97535816538867</v>
      </c>
      <c r="AZ130" s="19">
        <v>123.235434205602</v>
      </c>
      <c r="BA130" s="19">
        <v>1.7353269237203059</v>
      </c>
      <c r="BB130" s="19">
        <v>1.28125</v>
      </c>
      <c r="BC130" s="19">
        <v>7.6683291770573554</v>
      </c>
      <c r="BD130" s="65">
        <f t="shared" ref="BD130:BD193" si="115">IFERROR((I130/(2*(L130+(0.44*AA130))))*100,"")</f>
        <v>43.631006346328199</v>
      </c>
      <c r="BE130" s="65">
        <f t="shared" ref="BE130:BE193" si="116">IFERROR(((P130+(1.5*U130))/L130)*100,"")</f>
        <v>37.974683544303801</v>
      </c>
      <c r="BF130" s="66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12.45484090418744</v>
      </c>
      <c r="BG130" s="38">
        <f t="shared" ref="BG130:BG193" si="117">IFERROR(V130/L130,"")</f>
        <v>0.620253164556962</v>
      </c>
      <c r="BH130" s="38">
        <f t="shared" ref="BH130:BH193" si="118">IFERROR(AA130/L130,"")</f>
        <v>0.26582278481012656</v>
      </c>
      <c r="BI130" s="67">
        <f>IFERROR(((AG130*(12000/5))/((F130*60+G130)*(SUMIFS(팀공격력!X:X,팀공격력!A:A,B130,팀공격력!B:B,D130)+SUMIFS(팀수비력!X:X,팀수비력!A:A,B130,팀수비력!B:B,D130))))*100,"")</f>
        <v>0.75340350031266246</v>
      </c>
      <c r="BJ130" s="67">
        <f>IFERROR(((AI130*(12000/5))/((F130*60+G130)*(SUMIFS(팀공격력!V:V,팀공격력!A:A,B130,팀공격력!B:B,D130)+SUMIFS(팀수비력!W:W,팀수비력!A:A,B130,팀수비력!B:B,D130))))*100,"")</f>
        <v>5.3325804984394365</v>
      </c>
      <c r="BK130" s="67">
        <f>IFERROR(((AE130*(12000/5))/((F130*60+G130)*(SUMIFS(팀공격력!X:X,팀공격력!A:A,B130,팀공격력!B:B,D130)+SUMIFS(팀수비력!X:X,팀수비력!A:A,B130,팀수비력!B:B,D130))))*100,"")</f>
        <v>3.3149754013757144</v>
      </c>
      <c r="BL130" s="67">
        <f>IFERROR(100*AK130/(((((F130*60+G130)/(12000/5))*SUMIFS(팀공격력!P:P,팀공격력!A:A,B130,팀공격력!B:B,D130))-K130)),"")</f>
        <v>0.79043052115719037</v>
      </c>
      <c r="BM130" s="67">
        <f>IFERROR(100*((AM130/E130*(2400))/((F130*60+G130)*SUMIFS(팀공격력!AR:AR,팀공격력!A:A,B130,팀공격력!B:B,D130))),"")</f>
        <v>0.77061938193010071</v>
      </c>
      <c r="BN130" s="67">
        <f>IFERROR((AO130*40)/(((F130*60+G130)/60)*(SUMIFS(팀수비력!Q:Q,팀수비력!A:A,B130,팀수비력!B:B,D130)-SUMIFS(팀수비력!N:N,팀수비력!A:A,B130,팀수비력!B:B,D130)))*100,"")</f>
        <v>0.25489937847034883</v>
      </c>
      <c r="BO130" s="67">
        <f t="shared" ref="BO130:BO193" si="119">IFERROR(100*AQ130/(L130+0.44*AA130+AQ130),"")</f>
        <v>6.3667232597623089</v>
      </c>
      <c r="BP130" s="19"/>
      <c r="BQ130" s="19"/>
      <c r="BR130" s="19"/>
      <c r="BS130" s="19"/>
      <c r="BT130" s="20" t="s">
        <v>89</v>
      </c>
      <c r="BU130" s="21">
        <v>65000</v>
      </c>
      <c r="BV130" s="30" t="s">
        <v>90</v>
      </c>
      <c r="BW130" s="30">
        <v>104.16</v>
      </c>
      <c r="BX130" s="30">
        <v>166.46</v>
      </c>
      <c r="BY130" s="30">
        <v>62.3</v>
      </c>
      <c r="BZ130" s="35">
        <f t="shared" si="88"/>
        <v>3.2550000000000003</v>
      </c>
      <c r="CA130" s="35">
        <f t="shared" si="89"/>
        <v>5.2018750000000002</v>
      </c>
      <c r="CB130" s="35">
        <f t="shared" si="90"/>
        <v>1.9468749999999999</v>
      </c>
      <c r="CC130" s="36">
        <f t="shared" si="91"/>
        <v>19.481296758104737</v>
      </c>
      <c r="CD130" s="36">
        <f t="shared" si="92"/>
        <v>31.133416458852867</v>
      </c>
      <c r="CE130" s="36">
        <f t="shared" si="93"/>
        <v>11.652119700748131</v>
      </c>
      <c r="CF130" s="30">
        <v>9</v>
      </c>
      <c r="CG130" s="30">
        <v>23</v>
      </c>
    </row>
    <row r="131" spans="1:85" x14ac:dyDescent="0.4">
      <c r="A131" s="11" t="s">
        <v>85</v>
      </c>
      <c r="B131" s="11" t="s">
        <v>224</v>
      </c>
      <c r="C131" s="11" t="s">
        <v>226</v>
      </c>
      <c r="D131" s="46" t="s">
        <v>88</v>
      </c>
      <c r="E131" s="15">
        <v>39</v>
      </c>
      <c r="F131" s="15">
        <v>13</v>
      </c>
      <c r="G131" s="15">
        <v>25</v>
      </c>
      <c r="H131" s="16">
        <f t="shared" si="94"/>
        <v>31395</v>
      </c>
      <c r="I131" s="16">
        <v>209</v>
      </c>
      <c r="J131" s="17">
        <f t="shared" si="95"/>
        <v>5.3589743589743586</v>
      </c>
      <c r="K131" s="15">
        <v>90</v>
      </c>
      <c r="L131" s="15">
        <v>155</v>
      </c>
      <c r="M131" s="17">
        <f t="shared" si="96"/>
        <v>2.3076923076923075</v>
      </c>
      <c r="N131" s="17">
        <f t="shared" si="97"/>
        <v>3.9743589743589745</v>
      </c>
      <c r="O131" s="18">
        <f t="shared" si="98"/>
        <v>0.58064516129032262</v>
      </c>
      <c r="P131" s="16">
        <v>83</v>
      </c>
      <c r="Q131" s="15">
        <v>133</v>
      </c>
      <c r="R131" s="17">
        <f t="shared" si="99"/>
        <v>2.1282051282051282</v>
      </c>
      <c r="S131" s="17">
        <f t="shared" si="100"/>
        <v>3.4102564102564101</v>
      </c>
      <c r="T131" s="18">
        <f t="shared" si="101"/>
        <v>0.62406015037593987</v>
      </c>
      <c r="U131" s="15">
        <v>7</v>
      </c>
      <c r="V131" s="15">
        <v>22</v>
      </c>
      <c r="W131" s="17">
        <f t="shared" si="102"/>
        <v>0.17948717948717949</v>
      </c>
      <c r="X131" s="17">
        <f t="shared" si="103"/>
        <v>0.5641025641025641</v>
      </c>
      <c r="Y131" s="18">
        <f t="shared" si="104"/>
        <v>0.31818181818181818</v>
      </c>
      <c r="Z131" s="15">
        <v>22</v>
      </c>
      <c r="AA131" s="15">
        <v>34</v>
      </c>
      <c r="AB131" s="17">
        <f t="shared" si="105"/>
        <v>0.5641025641025641</v>
      </c>
      <c r="AC131" s="17">
        <f t="shared" si="106"/>
        <v>0.87179487179487181</v>
      </c>
      <c r="AD131" s="18">
        <f t="shared" si="107"/>
        <v>0.6470588235294118</v>
      </c>
      <c r="AE131" s="15">
        <v>121</v>
      </c>
      <c r="AF131" s="17">
        <f t="shared" si="108"/>
        <v>3.1025641025641026</v>
      </c>
      <c r="AG131" s="15">
        <v>61</v>
      </c>
      <c r="AH131" s="17">
        <f t="shared" si="109"/>
        <v>1.5641025641025641</v>
      </c>
      <c r="AI131" s="15">
        <v>60</v>
      </c>
      <c r="AJ131" s="17">
        <f t="shared" si="110"/>
        <v>1.5384615384615385</v>
      </c>
      <c r="AK131" s="15">
        <v>19</v>
      </c>
      <c r="AL131" s="17">
        <f t="shared" si="111"/>
        <v>0.48717948717948717</v>
      </c>
      <c r="AM131" s="15">
        <v>21</v>
      </c>
      <c r="AN131" s="17">
        <f t="shared" si="112"/>
        <v>0.53846153846153844</v>
      </c>
      <c r="AO131" s="15">
        <v>25</v>
      </c>
      <c r="AP131" s="17">
        <f t="shared" si="71"/>
        <v>0.64102564102564108</v>
      </c>
      <c r="AQ131" s="4">
        <v>15</v>
      </c>
      <c r="AR131" s="17">
        <f t="shared" si="113"/>
        <v>0.38461538461538464</v>
      </c>
      <c r="AS131" s="15">
        <v>65</v>
      </c>
      <c r="AT131" s="17">
        <f t="shared" si="114"/>
        <v>1.6666666666666667</v>
      </c>
      <c r="AU131" s="19">
        <v>1.3432956697919509</v>
      </c>
      <c r="AV131" s="19">
        <v>0.1026886321866757</v>
      </c>
      <c r="AW131" s="19">
        <v>1.156289577166276</v>
      </c>
      <c r="AX131" s="19">
        <v>0.1870060926256748</v>
      </c>
      <c r="AY131" s="19">
        <v>125.6178892738517</v>
      </c>
      <c r="AZ131" s="19">
        <v>116.26072363820811</v>
      </c>
      <c r="BA131" s="19">
        <v>10.81476977656409</v>
      </c>
      <c r="BB131" s="19">
        <v>7.7692307692307692</v>
      </c>
      <c r="BC131" s="19">
        <v>23.162924032489251</v>
      </c>
      <c r="BD131" s="65">
        <f t="shared" si="115"/>
        <v>61.485055307131084</v>
      </c>
      <c r="BE131" s="65">
        <f t="shared" si="116"/>
        <v>60.322580645161295</v>
      </c>
      <c r="BF131" s="66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12.176689051200608</v>
      </c>
      <c r="BG131" s="38">
        <f t="shared" si="117"/>
        <v>0.14193548387096774</v>
      </c>
      <c r="BH131" s="38">
        <f t="shared" si="118"/>
        <v>0.21935483870967742</v>
      </c>
      <c r="BI131" s="67">
        <f>IFERROR(((AG131*(12000/5))/((F131*60+G131)*(SUMIFS(팀공격력!X:X,팀공격력!A:A,B131,팀공격력!B:B,D131)+SUMIFS(팀수비력!X:X,팀수비력!A:A,B131,팀수비력!B:B,D131))))*100,"")</f>
        <v>4.5786342909684565</v>
      </c>
      <c r="BJ131" s="67">
        <f>IFERROR(((AI131*(12000/5))/((F131*60+G131)*(SUMIFS(팀공격력!V:V,팀공격력!A:A,B131,팀공격력!B:B,D131)+SUMIFS(팀수비력!W:W,팀수비력!A:A,B131,팀수비력!B:B,D131))))*100,"")</f>
        <v>9.3753662252431731</v>
      </c>
      <c r="BK131" s="67">
        <f>IFERROR(((AE131*(12000/5))/((F131*60+G131)*(SUMIFS(팀공격력!X:X,팀공격력!A:A,B131,팀공격력!B:B,D131)+SUMIFS(팀수비력!X:X,팀수비력!A:A,B131,팀수비력!B:B,D131))))*100,"")</f>
        <v>9.0822090033964464</v>
      </c>
      <c r="BL131" s="67">
        <f>IFERROR(100*AK131/(((((F131*60+G131)/(12000/5))*SUMIFS(팀공격력!P:P,팀공격력!A:A,B131,팀공격력!B:B,D131))-K131)),"")</f>
        <v>4.0586727428083167</v>
      </c>
      <c r="BM131" s="67">
        <f>IFERROR(100*((AM131/E131*(2400))/((F131*60+G131)*SUMIFS(팀공격력!AR:AR,팀공격력!A:A,B131,팀공격력!B:B,D131))),"")</f>
        <v>2.2048133576203015</v>
      </c>
      <c r="BN131" s="67">
        <f>IFERROR((AO131*40)/(((F131*60+G131)/60)*(SUMIFS(팀수비력!Q:Q,팀수비력!A:A,B131,팀수비력!B:B,D131)-SUMIFS(팀수비력!N:N,팀수비력!A:A,B131,팀수비력!B:B,D131)))*100,"")</f>
        <v>3.1743680362301205</v>
      </c>
      <c r="BO131" s="67">
        <f t="shared" si="119"/>
        <v>8.1098615916955019</v>
      </c>
      <c r="BP131" s="19"/>
      <c r="BQ131" s="19"/>
      <c r="BR131" s="19"/>
      <c r="BS131" s="19"/>
      <c r="BT131" s="20" t="s">
        <v>89</v>
      </c>
      <c r="BU131" s="21">
        <v>560000</v>
      </c>
      <c r="BV131" s="30" t="s">
        <v>102</v>
      </c>
      <c r="BW131" s="30">
        <v>471.69</v>
      </c>
      <c r="BX131" s="30">
        <v>567.29</v>
      </c>
      <c r="BY131" s="30">
        <v>95.6</v>
      </c>
      <c r="BZ131" s="35">
        <f t="shared" si="88"/>
        <v>12.094615384615384</v>
      </c>
      <c r="CA131" s="35">
        <f t="shared" si="89"/>
        <v>14.545897435897436</v>
      </c>
      <c r="CB131" s="35">
        <f t="shared" si="90"/>
        <v>2.451282051282051</v>
      </c>
      <c r="CC131" s="36">
        <f t="shared" si="91"/>
        <v>36.058480649784997</v>
      </c>
      <c r="CD131" s="36">
        <f t="shared" si="92"/>
        <v>43.366650740563784</v>
      </c>
      <c r="CE131" s="36">
        <f t="shared" si="93"/>
        <v>7.3081700907787868</v>
      </c>
      <c r="CF131" s="30">
        <v>14</v>
      </c>
      <c r="CG131" s="30">
        <v>25</v>
      </c>
    </row>
    <row r="132" spans="1:85" x14ac:dyDescent="0.4">
      <c r="A132" s="11" t="s">
        <v>85</v>
      </c>
      <c r="B132" s="11" t="s">
        <v>224</v>
      </c>
      <c r="C132" s="11" t="s">
        <v>227</v>
      </c>
      <c r="D132" s="46" t="s">
        <v>88</v>
      </c>
      <c r="E132" s="15">
        <v>14</v>
      </c>
      <c r="F132" s="15">
        <v>7</v>
      </c>
      <c r="G132" s="15">
        <v>38</v>
      </c>
      <c r="H132" s="16">
        <f t="shared" si="94"/>
        <v>6412</v>
      </c>
      <c r="I132" s="16">
        <v>24</v>
      </c>
      <c r="J132" s="17">
        <f t="shared" si="95"/>
        <v>1.7142857142857142</v>
      </c>
      <c r="K132" s="15">
        <v>9</v>
      </c>
      <c r="L132" s="15">
        <v>19</v>
      </c>
      <c r="M132" s="17">
        <f t="shared" si="96"/>
        <v>0.6428571428571429</v>
      </c>
      <c r="N132" s="17">
        <f t="shared" si="97"/>
        <v>1.3571428571428572</v>
      </c>
      <c r="O132" s="18">
        <f t="shared" si="98"/>
        <v>0.47368421052631576</v>
      </c>
      <c r="P132" s="16">
        <v>4</v>
      </c>
      <c r="Q132" s="15">
        <v>8</v>
      </c>
      <c r="R132" s="17">
        <f t="shared" si="99"/>
        <v>0.2857142857142857</v>
      </c>
      <c r="S132" s="17">
        <f t="shared" si="100"/>
        <v>0.5714285714285714</v>
      </c>
      <c r="T132" s="18">
        <f t="shared" si="101"/>
        <v>0.5</v>
      </c>
      <c r="U132" s="15">
        <v>5</v>
      </c>
      <c r="V132" s="15">
        <v>11</v>
      </c>
      <c r="W132" s="17">
        <f t="shared" si="102"/>
        <v>0.35714285714285715</v>
      </c>
      <c r="X132" s="17">
        <f t="shared" si="103"/>
        <v>0.7857142857142857</v>
      </c>
      <c r="Y132" s="18">
        <f t="shared" si="104"/>
        <v>0.45454545454545453</v>
      </c>
      <c r="Z132" s="15">
        <v>1</v>
      </c>
      <c r="AA132" s="15">
        <v>4</v>
      </c>
      <c r="AB132" s="17">
        <f t="shared" si="105"/>
        <v>7.1428571428571425E-2</v>
      </c>
      <c r="AC132" s="17">
        <f t="shared" si="106"/>
        <v>0.2857142857142857</v>
      </c>
      <c r="AD132" s="18">
        <f t="shared" si="107"/>
        <v>0.25</v>
      </c>
      <c r="AE132" s="15">
        <v>9</v>
      </c>
      <c r="AF132" s="17">
        <f t="shared" si="108"/>
        <v>0.6428571428571429</v>
      </c>
      <c r="AG132" s="15">
        <v>3</v>
      </c>
      <c r="AH132" s="17">
        <f t="shared" si="109"/>
        <v>0.21428571428571427</v>
      </c>
      <c r="AI132" s="15">
        <v>6</v>
      </c>
      <c r="AJ132" s="17">
        <f t="shared" si="110"/>
        <v>0.42857142857142855</v>
      </c>
      <c r="AK132" s="15">
        <v>6</v>
      </c>
      <c r="AL132" s="17">
        <f t="shared" si="111"/>
        <v>0.42857142857142855</v>
      </c>
      <c r="AM132" s="15">
        <v>1</v>
      </c>
      <c r="AN132" s="17">
        <f t="shared" si="112"/>
        <v>7.1428571428571425E-2</v>
      </c>
      <c r="AO132" s="15">
        <v>1</v>
      </c>
      <c r="AP132" s="17">
        <f t="shared" si="71"/>
        <v>7.1428571428571425E-2</v>
      </c>
      <c r="AQ132" s="4">
        <v>1</v>
      </c>
      <c r="AR132" s="17">
        <f t="shared" si="113"/>
        <v>7.1428571428571425E-2</v>
      </c>
      <c r="AS132" s="15">
        <v>11</v>
      </c>
      <c r="AT132" s="17">
        <f t="shared" si="114"/>
        <v>0.7857142857142857</v>
      </c>
      <c r="AU132" s="19">
        <v>6.4450039022349803E-2</v>
      </c>
      <c r="AV132" s="19">
        <v>2.4123533008989329E-2</v>
      </c>
      <c r="AW132" s="19">
        <v>0.12274301028998109</v>
      </c>
      <c r="AX132" s="19">
        <v>-5.8292971267631277E-2</v>
      </c>
      <c r="AY132" s="19">
        <v>123.59611138249321</v>
      </c>
      <c r="AZ132" s="19">
        <v>124.70370879912289</v>
      </c>
      <c r="BA132" s="19">
        <v>1.4772448051533</v>
      </c>
      <c r="BB132" s="19">
        <v>1.928571428571429</v>
      </c>
      <c r="BC132" s="19">
        <v>10.10605115408609</v>
      </c>
      <c r="BD132" s="65">
        <f t="shared" si="115"/>
        <v>57.803468208092482</v>
      </c>
      <c r="BE132" s="65">
        <f t="shared" si="116"/>
        <v>60.526315789473685</v>
      </c>
      <c r="BF132" s="66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2.5179128400247857</v>
      </c>
      <c r="BG132" s="38">
        <f t="shared" si="117"/>
        <v>0.57894736842105265</v>
      </c>
      <c r="BH132" s="38">
        <f t="shared" si="118"/>
        <v>0.21052631578947367</v>
      </c>
      <c r="BI132" s="67">
        <f>IFERROR(((AG132*(12000/5))/((F132*60+G132)*(SUMIFS(팀공격력!X:X,팀공격력!A:A,B132,팀공격력!B:B,D132)+SUMIFS(팀수비력!X:X,팀수비력!A:A,B132,팀수비력!B:B,D132))))*100,"")</f>
        <v>0.39578358553542925</v>
      </c>
      <c r="BJ132" s="67">
        <f>IFERROR(((AI132*(12000/5))/((F132*60+G132)*(SUMIFS(팀공격력!V:V,팀공격력!A:A,B132,팀공격력!B:B,D132)+SUMIFS(팀수비력!W:W,팀수비력!A:A,B132,팀수비력!B:B,D132))))*100,"")</f>
        <v>1.6478536705940512</v>
      </c>
      <c r="BK132" s="67">
        <f>IFERROR(((AE132*(12000/5))/((F132*60+G132)*(SUMIFS(팀공격력!X:X,팀공격력!A:A,B132,팀공격력!B:B,D132)+SUMIFS(팀수비력!X:X,팀수비력!A:A,B132,팀수비력!B:B,D132))))*100,"")</f>
        <v>1.1873507566062877</v>
      </c>
      <c r="BL132" s="67">
        <f>IFERROR(100*AK132/(((((F132*60+G132)/(12000/5))*SUMIFS(팀공격력!P:P,팀공격력!A:A,B132,팀공격력!B:B,D132))-K132)),"")</f>
        <v>1.9446004926321248</v>
      </c>
      <c r="BM132" s="67">
        <f>IFERROR(100*((AM132/E132*(2400))/((F132*60+G132)*SUMIFS(팀공격력!AR:AR,팀공격력!A:A,B132,팀공격력!B:B,D132))),"")</f>
        <v>0.51406674510953687</v>
      </c>
      <c r="BN132" s="67">
        <f>IFERROR((AO132*40)/(((F132*60+G132)/60)*(SUMIFS(팀수비력!Q:Q,팀수비력!A:A,B132,팀수비력!B:B,D132)-SUMIFS(팀수비력!N:N,팀수비력!A:A,B132,팀수비력!B:B,D132)))*100,"")</f>
        <v>0.22317609337687744</v>
      </c>
      <c r="BO132" s="67">
        <f t="shared" si="119"/>
        <v>4.5955882352941178</v>
      </c>
      <c r="BP132" s="19"/>
      <c r="BQ132" s="19"/>
      <c r="BR132" s="19"/>
      <c r="BS132" s="19"/>
      <c r="BT132" s="20" t="s">
        <v>89</v>
      </c>
      <c r="BU132" s="21">
        <v>27083</v>
      </c>
      <c r="BV132" s="30" t="s">
        <v>93</v>
      </c>
      <c r="BW132" s="30">
        <v>61.92</v>
      </c>
      <c r="BX132" s="30">
        <v>75.22</v>
      </c>
      <c r="BY132" s="30">
        <v>13.3</v>
      </c>
      <c r="BZ132" s="35">
        <f t="shared" si="88"/>
        <v>4.4228571428571426</v>
      </c>
      <c r="CA132" s="35">
        <f t="shared" si="89"/>
        <v>5.3728571428571428</v>
      </c>
      <c r="CB132" s="35">
        <f t="shared" si="90"/>
        <v>0.95000000000000007</v>
      </c>
      <c r="CC132" s="36">
        <f t="shared" si="91"/>
        <v>23.17654398003743</v>
      </c>
      <c r="CD132" s="36">
        <f t="shared" si="92"/>
        <v>28.154709918902057</v>
      </c>
      <c r="CE132" s="36">
        <f t="shared" si="93"/>
        <v>4.9781659388646284</v>
      </c>
      <c r="CF132" s="30">
        <v>2</v>
      </c>
      <c r="CG132" s="30">
        <v>12</v>
      </c>
    </row>
    <row r="133" spans="1:85" x14ac:dyDescent="0.4">
      <c r="A133" s="11" t="s">
        <v>85</v>
      </c>
      <c r="B133" s="11" t="s">
        <v>224</v>
      </c>
      <c r="C133" s="11" t="s">
        <v>228</v>
      </c>
      <c r="D133" s="46" t="s">
        <v>88</v>
      </c>
      <c r="E133" s="15">
        <v>22</v>
      </c>
      <c r="F133" s="15">
        <v>8</v>
      </c>
      <c r="G133" s="15">
        <v>16</v>
      </c>
      <c r="H133" s="16">
        <f t="shared" si="94"/>
        <v>10912</v>
      </c>
      <c r="I133" s="16">
        <v>76</v>
      </c>
      <c r="J133" s="17">
        <f t="shared" si="95"/>
        <v>3.4545454545454546</v>
      </c>
      <c r="K133" s="15">
        <v>27</v>
      </c>
      <c r="L133" s="15">
        <v>53</v>
      </c>
      <c r="M133" s="17">
        <f t="shared" si="96"/>
        <v>1.2272727272727273</v>
      </c>
      <c r="N133" s="17">
        <f t="shared" si="97"/>
        <v>2.4090909090909092</v>
      </c>
      <c r="O133" s="18">
        <f t="shared" si="98"/>
        <v>0.50943396226415094</v>
      </c>
      <c r="P133" s="16">
        <v>10</v>
      </c>
      <c r="Q133" s="15">
        <v>20</v>
      </c>
      <c r="R133" s="17">
        <f t="shared" si="99"/>
        <v>0.45454545454545453</v>
      </c>
      <c r="S133" s="17">
        <f t="shared" si="100"/>
        <v>0.90909090909090906</v>
      </c>
      <c r="T133" s="18">
        <f t="shared" si="101"/>
        <v>0.5</v>
      </c>
      <c r="U133" s="15">
        <v>17</v>
      </c>
      <c r="V133" s="15">
        <v>33</v>
      </c>
      <c r="W133" s="17">
        <f t="shared" si="102"/>
        <v>0.77272727272727271</v>
      </c>
      <c r="X133" s="17">
        <f t="shared" si="103"/>
        <v>1.5</v>
      </c>
      <c r="Y133" s="18">
        <f t="shared" si="104"/>
        <v>0.51515151515151514</v>
      </c>
      <c r="Z133" s="15">
        <v>5</v>
      </c>
      <c r="AA133" s="15">
        <v>8</v>
      </c>
      <c r="AB133" s="17">
        <f t="shared" si="105"/>
        <v>0.22727272727272727</v>
      </c>
      <c r="AC133" s="17">
        <f t="shared" si="106"/>
        <v>0.36363636363636365</v>
      </c>
      <c r="AD133" s="18">
        <f t="shared" si="107"/>
        <v>0.625</v>
      </c>
      <c r="AE133" s="15">
        <v>36</v>
      </c>
      <c r="AF133" s="17">
        <f t="shared" si="108"/>
        <v>1.6363636363636365</v>
      </c>
      <c r="AG133" s="15">
        <v>9</v>
      </c>
      <c r="AH133" s="17">
        <f t="shared" si="109"/>
        <v>0.40909090909090912</v>
      </c>
      <c r="AI133" s="15">
        <v>27</v>
      </c>
      <c r="AJ133" s="17">
        <f t="shared" si="110"/>
        <v>1.2272727272727273</v>
      </c>
      <c r="AK133" s="15">
        <v>8</v>
      </c>
      <c r="AL133" s="17">
        <f t="shared" si="111"/>
        <v>0.36363636363636365</v>
      </c>
      <c r="AM133" s="15">
        <v>2</v>
      </c>
      <c r="AN133" s="17">
        <f t="shared" si="112"/>
        <v>9.0909090909090912E-2</v>
      </c>
      <c r="AO133" s="15">
        <v>2</v>
      </c>
      <c r="AP133" s="17">
        <f t="shared" si="71"/>
        <v>9.0909090909090912E-2</v>
      </c>
      <c r="AQ133" s="4">
        <v>3</v>
      </c>
      <c r="AR133" s="17">
        <f t="shared" si="113"/>
        <v>0.13636363636363635</v>
      </c>
      <c r="AS133" s="15">
        <v>40</v>
      </c>
      <c r="AT133" s="17">
        <f t="shared" si="114"/>
        <v>1.8181818181818181</v>
      </c>
      <c r="AU133" s="19">
        <v>0.46527358755825382</v>
      </c>
      <c r="AV133" s="19">
        <v>0.10233290048935199</v>
      </c>
      <c r="AW133" s="19">
        <v>0.4676771918156144</v>
      </c>
      <c r="AX133" s="19">
        <v>-2.4036042573605761E-3</v>
      </c>
      <c r="AY133" s="19">
        <v>133.93126125390671</v>
      </c>
      <c r="AZ133" s="19">
        <v>119.726407191913</v>
      </c>
      <c r="BA133" s="19">
        <v>4.0336286805465846</v>
      </c>
      <c r="BB133" s="19">
        <v>4.1818181818181817</v>
      </c>
      <c r="BC133" s="19">
        <v>20.234604105571851</v>
      </c>
      <c r="BD133" s="65">
        <f t="shared" si="115"/>
        <v>67.232837933474883</v>
      </c>
      <c r="BE133" s="65">
        <f t="shared" si="116"/>
        <v>66.981132075471692</v>
      </c>
      <c r="BF133" s="66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6.3595813275626023</v>
      </c>
      <c r="BG133" s="38">
        <f t="shared" si="117"/>
        <v>0.62264150943396224</v>
      </c>
      <c r="BH133" s="38">
        <f t="shared" si="118"/>
        <v>0.15094339622641509</v>
      </c>
      <c r="BI133" s="67">
        <f>IFERROR(((AG133*(12000/5))/((F133*60+G133)*(SUMIFS(팀공격력!X:X,팀공격력!A:A,B133,팀공격력!B:B,D133)+SUMIFS(팀수비력!X:X,팀수비력!A:A,B133,팀수비력!B:B,D133))))*100,"")</f>
        <v>1.0963843679953222</v>
      </c>
      <c r="BJ133" s="67">
        <f>IFERROR(((AI133*(12000/5))/((F133*60+G133)*(SUMIFS(팀공격력!V:V,팀공격력!A:A,B133,팀공격력!B:B,D133)+SUMIFS(팀수비력!W:W,팀수비력!A:A,B133,팀수비력!B:B,D133))))*100,"")</f>
        <v>6.8472306755934271</v>
      </c>
      <c r="BK133" s="67">
        <f>IFERROR(((AE133*(12000/5))/((F133*60+G133)*(SUMIFS(팀공격력!X:X,팀공격력!A:A,B133,팀공격력!B:B,D133)+SUMIFS(팀수비력!X:X,팀수비력!A:A,B133,팀수비력!B:B,D133))))*100,"")</f>
        <v>4.385537471981289</v>
      </c>
      <c r="BL133" s="67">
        <f>IFERROR(100*AK133/(((((F133*60+G133)/(12000/5))*SUMIFS(팀공격력!P:P,팀공격력!A:A,B133,팀공격력!B:B,D133))-K133)),"")</f>
        <v>2.5245087726679851</v>
      </c>
      <c r="BM133" s="67">
        <f>IFERROR(100*((AM133/E133*(2400))/((F133*60+G133)*SUMIFS(팀공격력!AR:AR,팀공격력!A:A,B133,팀공격력!B:B,D133))),"")</f>
        <v>0.60414149003708784</v>
      </c>
      <c r="BN133" s="67">
        <f>IFERROR((AO133*40)/(((F133*60+G133)/60)*(SUMIFS(팀수비력!Q:Q,팀수비력!A:A,B133,팀수비력!B:B,D133)-SUMIFS(팀수비력!N:N,팀수비력!A:A,B133,팀수비력!B:B,D133)))*100,"")</f>
        <v>0.41215584986536236</v>
      </c>
      <c r="BO133" s="67">
        <f t="shared" si="119"/>
        <v>5.040322580645161</v>
      </c>
      <c r="BP133" s="19"/>
      <c r="BQ133" s="19"/>
      <c r="BR133" s="19"/>
      <c r="BS133" s="19"/>
      <c r="BT133" s="20" t="s">
        <v>89</v>
      </c>
      <c r="BU133" s="21">
        <v>190000</v>
      </c>
      <c r="BV133" s="30" t="s">
        <v>102</v>
      </c>
      <c r="BW133" s="30">
        <v>151.19</v>
      </c>
      <c r="BX133" s="30">
        <v>182.49</v>
      </c>
      <c r="BY133" s="30">
        <v>31.3</v>
      </c>
      <c r="BZ133" s="35">
        <f t="shared" si="88"/>
        <v>6.8722727272727271</v>
      </c>
      <c r="CA133" s="35">
        <f t="shared" si="89"/>
        <v>8.2949999999999999</v>
      </c>
      <c r="CB133" s="35">
        <f t="shared" si="90"/>
        <v>1.4227272727272728</v>
      </c>
      <c r="CC133" s="36">
        <f t="shared" si="91"/>
        <v>33.252932551319653</v>
      </c>
      <c r="CD133" s="36">
        <f t="shared" si="92"/>
        <v>40.137096774193552</v>
      </c>
      <c r="CE133" s="36">
        <f t="shared" si="93"/>
        <v>6.8841642228739</v>
      </c>
      <c r="CF133" s="30">
        <v>6</v>
      </c>
      <c r="CG133" s="30">
        <v>16</v>
      </c>
    </row>
    <row r="134" spans="1:85" x14ac:dyDescent="0.4">
      <c r="A134" s="11" t="s">
        <v>85</v>
      </c>
      <c r="B134" s="11" t="s">
        <v>224</v>
      </c>
      <c r="C134" s="11" t="s">
        <v>229</v>
      </c>
      <c r="D134" s="46" t="s">
        <v>88</v>
      </c>
      <c r="E134" s="15">
        <v>14</v>
      </c>
      <c r="F134" s="15">
        <v>4</v>
      </c>
      <c r="G134" s="15">
        <v>13</v>
      </c>
      <c r="H134" s="16">
        <f t="shared" si="94"/>
        <v>3542</v>
      </c>
      <c r="I134" s="16">
        <v>9</v>
      </c>
      <c r="J134" s="17">
        <f t="shared" si="95"/>
        <v>0.6428571428571429</v>
      </c>
      <c r="K134" s="15">
        <v>4</v>
      </c>
      <c r="L134" s="15">
        <v>14</v>
      </c>
      <c r="M134" s="17">
        <f t="shared" si="96"/>
        <v>0.2857142857142857</v>
      </c>
      <c r="N134" s="17">
        <f t="shared" si="97"/>
        <v>1</v>
      </c>
      <c r="O134" s="18">
        <f t="shared" si="98"/>
        <v>0.2857142857142857</v>
      </c>
      <c r="P134" s="16">
        <v>3</v>
      </c>
      <c r="Q134" s="15">
        <v>7</v>
      </c>
      <c r="R134" s="17">
        <f t="shared" si="99"/>
        <v>0.21428571428571427</v>
      </c>
      <c r="S134" s="17">
        <f t="shared" si="100"/>
        <v>0.5</v>
      </c>
      <c r="T134" s="18">
        <f t="shared" si="101"/>
        <v>0.42857142857142855</v>
      </c>
      <c r="U134" s="15">
        <v>1</v>
      </c>
      <c r="V134" s="15">
        <v>7</v>
      </c>
      <c r="W134" s="17">
        <f t="shared" si="102"/>
        <v>7.1428571428571425E-2</v>
      </c>
      <c r="X134" s="17">
        <f t="shared" si="103"/>
        <v>0.5</v>
      </c>
      <c r="Y134" s="18">
        <f t="shared" si="104"/>
        <v>0.14285714285714285</v>
      </c>
      <c r="Z134" s="15">
        <v>0</v>
      </c>
      <c r="AA134" s="15">
        <v>2</v>
      </c>
      <c r="AB134" s="17">
        <f t="shared" si="105"/>
        <v>0</v>
      </c>
      <c r="AC134" s="17">
        <f t="shared" si="106"/>
        <v>0.14285714285714285</v>
      </c>
      <c r="AD134" s="18">
        <f t="shared" si="107"/>
        <v>0</v>
      </c>
      <c r="AE134" s="15">
        <v>9</v>
      </c>
      <c r="AF134" s="17">
        <f t="shared" si="108"/>
        <v>0.6428571428571429</v>
      </c>
      <c r="AG134" s="15">
        <v>3</v>
      </c>
      <c r="AH134" s="17">
        <f t="shared" si="109"/>
        <v>0.21428571428571427</v>
      </c>
      <c r="AI134" s="15">
        <v>6</v>
      </c>
      <c r="AJ134" s="17">
        <f t="shared" si="110"/>
        <v>0.42857142857142855</v>
      </c>
      <c r="AK134" s="15">
        <v>0</v>
      </c>
      <c r="AL134" s="17">
        <f t="shared" si="111"/>
        <v>0</v>
      </c>
      <c r="AM134" s="15">
        <v>1</v>
      </c>
      <c r="AN134" s="17">
        <f t="shared" si="112"/>
        <v>7.1428571428571425E-2</v>
      </c>
      <c r="AO134" s="15">
        <v>0</v>
      </c>
      <c r="AP134" s="17">
        <f t="shared" ref="AP134:AP197" si="120">AO134/$E134</f>
        <v>0</v>
      </c>
      <c r="AQ134" s="4">
        <v>2</v>
      </c>
      <c r="AR134" s="17">
        <f t="shared" si="113"/>
        <v>0.14285714285714285</v>
      </c>
      <c r="AS134" s="15">
        <v>18</v>
      </c>
      <c r="AT134" s="17">
        <f t="shared" si="114"/>
        <v>1.2857142857142858</v>
      </c>
      <c r="AU134" s="19">
        <v>-0.16875603862525079</v>
      </c>
      <c r="AV134" s="19">
        <v>-0.11434627123111291</v>
      </c>
      <c r="AW134" s="19">
        <v>-0.15707850260229439</v>
      </c>
      <c r="AX134" s="19">
        <v>-1.167753602295642E-2</v>
      </c>
      <c r="AY134" s="19">
        <v>64.951712967194482</v>
      </c>
      <c r="AZ134" s="19">
        <v>121.4526229720268</v>
      </c>
      <c r="BA134" s="19">
        <v>-1.5308407892363569</v>
      </c>
      <c r="BB134" s="19">
        <v>0.35714285714285721</v>
      </c>
      <c r="BC134" s="19">
        <v>3.387916431394693</v>
      </c>
      <c r="BD134" s="65">
        <f t="shared" si="115"/>
        <v>30.241935483870968</v>
      </c>
      <c r="BE134" s="65">
        <f t="shared" si="116"/>
        <v>32.142857142857146</v>
      </c>
      <c r="BF134" s="66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3.5358937025446884</v>
      </c>
      <c r="BG134" s="38">
        <f t="shared" si="117"/>
        <v>0.5</v>
      </c>
      <c r="BH134" s="38">
        <f t="shared" si="118"/>
        <v>0.14285714285714285</v>
      </c>
      <c r="BI134" s="67">
        <f>IFERROR(((AG134*(12000/5))/((F134*60+G134)*(SUMIFS(팀공격력!X:X,팀공격력!A:A,B134,팀공격력!B:B,D134)+SUMIFS(팀수비력!X:X,팀수비력!A:A,B134,팀수비력!B:B,D134))))*100,"")</f>
        <v>0.71647779515899834</v>
      </c>
      <c r="BJ134" s="67">
        <f>IFERROR(((AI134*(12000/5))/((F134*60+G134)*(SUMIFS(팀공격력!V:V,팀공격력!A:A,B134,팀공격력!B:B,D134)+SUMIFS(팀수비력!W:W,팀수비력!A:A,B134,팀수비력!B:B,D134))))*100,"")</f>
        <v>2.9830710716682822</v>
      </c>
      <c r="BK134" s="67">
        <f>IFERROR(((AE134*(12000/5))/((F134*60+G134)*(SUMIFS(팀공격력!X:X,팀공격력!A:A,B134,팀공격력!B:B,D134)+SUMIFS(팀수비력!X:X,팀수비력!A:A,B134,팀수비력!B:B,D134))))*100,"")</f>
        <v>2.1494333854769949</v>
      </c>
      <c r="BL134" s="67">
        <f>IFERROR(100*AK134/(((((F134*60+G134)/(12000/5))*SUMIFS(팀공격력!P:P,팀공격력!A:A,B134,팀공격력!B:B,D134))-K134)),"")</f>
        <v>0</v>
      </c>
      <c r="BM134" s="67">
        <f>IFERROR(100*((AM134/E134*(2400))/((F134*60+G134)*SUMIFS(팀공격력!AR:AR,팀공격력!A:A,B134,팀공격력!B:B,D134))),"")</f>
        <v>0.93060304055402332</v>
      </c>
      <c r="BN134" s="67">
        <f>IFERROR((AO134*40)/(((F134*60+G134)/60)*(SUMIFS(팀수비력!Q:Q,팀수비력!A:A,B134,팀수비력!B:B,D134)-SUMIFS(팀수비력!N:N,팀수비력!A:A,B134,팀수비력!B:B,D134)))*100,"")</f>
        <v>0</v>
      </c>
      <c r="BO134" s="67">
        <f t="shared" si="119"/>
        <v>11.848341232227487</v>
      </c>
      <c r="BP134" s="19"/>
      <c r="BQ134" s="19"/>
      <c r="BR134" s="19"/>
      <c r="BS134" s="19"/>
      <c r="BT134" s="20" t="s">
        <v>89</v>
      </c>
      <c r="BU134" s="21">
        <v>48000</v>
      </c>
      <c r="BV134" s="31" t="s">
        <v>93</v>
      </c>
      <c r="BW134" s="31">
        <v>22.75</v>
      </c>
      <c r="BX134" s="31">
        <v>36.75</v>
      </c>
      <c r="BY134" s="31">
        <v>14</v>
      </c>
      <c r="BZ134" s="35">
        <f t="shared" si="88"/>
        <v>1.625</v>
      </c>
      <c r="CA134" s="35">
        <f t="shared" si="89"/>
        <v>2.625</v>
      </c>
      <c r="CB134" s="35">
        <f t="shared" si="90"/>
        <v>1</v>
      </c>
      <c r="CC134" s="36">
        <f t="shared" si="91"/>
        <v>15.41501976284585</v>
      </c>
      <c r="CD134" s="36">
        <f t="shared" si="92"/>
        <v>24.901185770750988</v>
      </c>
      <c r="CE134" s="36">
        <f t="shared" si="93"/>
        <v>9.4861660079051386</v>
      </c>
      <c r="CF134" s="30">
        <v>4</v>
      </c>
      <c r="CG134" s="30">
        <v>10</v>
      </c>
    </row>
    <row r="135" spans="1:85" x14ac:dyDescent="0.4">
      <c r="A135" s="11" t="s">
        <v>85</v>
      </c>
      <c r="B135" s="11" t="s">
        <v>224</v>
      </c>
      <c r="C135" s="14" t="s">
        <v>95</v>
      </c>
      <c r="D135" s="46" t="s">
        <v>88</v>
      </c>
      <c r="E135" s="15">
        <v>13</v>
      </c>
      <c r="F135" s="15">
        <v>15</v>
      </c>
      <c r="G135" s="15">
        <v>9</v>
      </c>
      <c r="H135" s="16">
        <f t="shared" si="94"/>
        <v>11817</v>
      </c>
      <c r="I135" s="16">
        <v>103</v>
      </c>
      <c r="J135" s="17">
        <f t="shared" si="95"/>
        <v>7.9230769230769234</v>
      </c>
      <c r="K135" s="15">
        <v>44</v>
      </c>
      <c r="L135" s="15">
        <v>79</v>
      </c>
      <c r="M135" s="17">
        <f t="shared" si="96"/>
        <v>3.3846153846153846</v>
      </c>
      <c r="N135" s="17">
        <f t="shared" si="97"/>
        <v>6.0769230769230766</v>
      </c>
      <c r="O135" s="18">
        <f t="shared" si="98"/>
        <v>0.55696202531645567</v>
      </c>
      <c r="P135" s="16">
        <v>44</v>
      </c>
      <c r="Q135" s="15">
        <v>75</v>
      </c>
      <c r="R135" s="17">
        <f t="shared" si="99"/>
        <v>3.3846153846153846</v>
      </c>
      <c r="S135" s="17">
        <f t="shared" si="100"/>
        <v>5.7692307692307692</v>
      </c>
      <c r="T135" s="18">
        <f t="shared" si="101"/>
        <v>0.58666666666666667</v>
      </c>
      <c r="U135" s="15">
        <v>0</v>
      </c>
      <c r="V135" s="15">
        <v>4</v>
      </c>
      <c r="W135" s="17">
        <f t="shared" si="102"/>
        <v>0</v>
      </c>
      <c r="X135" s="17">
        <f t="shared" si="103"/>
        <v>0.30769230769230771</v>
      </c>
      <c r="Y135" s="18">
        <f t="shared" si="104"/>
        <v>0</v>
      </c>
      <c r="Z135" s="15">
        <v>15</v>
      </c>
      <c r="AA135" s="15">
        <v>23</v>
      </c>
      <c r="AB135" s="17">
        <f t="shared" si="105"/>
        <v>1.1538461538461537</v>
      </c>
      <c r="AC135" s="17">
        <f t="shared" si="106"/>
        <v>1.7692307692307692</v>
      </c>
      <c r="AD135" s="18">
        <f t="shared" si="107"/>
        <v>0.65217391304347827</v>
      </c>
      <c r="AE135" s="15">
        <v>57</v>
      </c>
      <c r="AF135" s="17">
        <f t="shared" si="108"/>
        <v>4.384615384615385</v>
      </c>
      <c r="AG135" s="15">
        <v>14</v>
      </c>
      <c r="AH135" s="17">
        <f t="shared" si="109"/>
        <v>1.0769230769230769</v>
      </c>
      <c r="AI135" s="15">
        <v>43</v>
      </c>
      <c r="AJ135" s="17">
        <f t="shared" si="110"/>
        <v>3.3076923076923075</v>
      </c>
      <c r="AK135" s="15">
        <v>17</v>
      </c>
      <c r="AL135" s="17">
        <f t="shared" si="111"/>
        <v>1.3076923076923077</v>
      </c>
      <c r="AM135" s="15">
        <v>11</v>
      </c>
      <c r="AN135" s="17">
        <f t="shared" si="112"/>
        <v>0.84615384615384615</v>
      </c>
      <c r="AO135" s="15">
        <v>19</v>
      </c>
      <c r="AP135" s="17">
        <f t="shared" si="120"/>
        <v>1.4615384615384615</v>
      </c>
      <c r="AQ135" s="4">
        <v>16</v>
      </c>
      <c r="AR135" s="17">
        <f t="shared" si="113"/>
        <v>1.2307692307692308</v>
      </c>
      <c r="AS135" s="15">
        <v>35</v>
      </c>
      <c r="AT135" s="17">
        <f t="shared" si="114"/>
        <v>2.6923076923076925</v>
      </c>
      <c r="AU135" s="19">
        <v>0.41005274137655662</v>
      </c>
      <c r="AV135" s="19">
        <v>8.3280577075715984E-2</v>
      </c>
      <c r="AW135" s="19">
        <v>0.14353973095602421</v>
      </c>
      <c r="AX135" s="19">
        <v>0.26651301042053238</v>
      </c>
      <c r="AY135" s="19">
        <v>107.1729920171679</v>
      </c>
      <c r="AZ135" s="19">
        <v>106.9486213933954</v>
      </c>
      <c r="BA135" s="19">
        <v>4.0808361913304676</v>
      </c>
      <c r="BB135" s="19">
        <v>11.38461538461539</v>
      </c>
      <c r="BC135" s="19">
        <v>30.058390454430061</v>
      </c>
      <c r="BD135" s="65">
        <f t="shared" si="115"/>
        <v>57.787253141831243</v>
      </c>
      <c r="BE135" s="65">
        <f t="shared" si="116"/>
        <v>55.696202531645568</v>
      </c>
      <c r="BF135" s="66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6.1287054377831014</v>
      </c>
      <c r="BG135" s="38">
        <f t="shared" si="117"/>
        <v>5.0632911392405063E-2</v>
      </c>
      <c r="BH135" s="38">
        <f t="shared" si="118"/>
        <v>0.29113924050632911</v>
      </c>
      <c r="BI135" s="67">
        <f>IFERROR(((AG135*(12000/5))/((F135*60+G135)*(SUMIFS(팀공격력!X:X,팀공격력!A:A,B135,팀공격력!B:B,D135)+SUMIFS(팀수비력!X:X,팀수비력!A:A,B135,팀수비력!B:B,D135))))*100,"")</f>
        <v>0.93060665583174629</v>
      </c>
      <c r="BJ135" s="67">
        <f>IFERROR(((AI135*(12000/5))/((F135*60+G135)*(SUMIFS(팀공격력!V:V,팀공격력!A:A,B135,팀공격력!B:B,D135)+SUMIFS(팀수비력!W:W,팀수비력!A:A,B135,팀수비력!B:B,D135))))*100,"")</f>
        <v>5.9502805626474604</v>
      </c>
      <c r="BK135" s="67">
        <f>IFERROR(((AE135*(12000/5))/((F135*60+G135)*(SUMIFS(팀공격력!X:X,팀공격력!A:A,B135,팀공격력!B:B,D135)+SUMIFS(팀수비력!X:X,팀수비력!A:A,B135,팀수비력!B:B,D135))))*100,"")</f>
        <v>3.7888985273149669</v>
      </c>
      <c r="BL135" s="67">
        <f>IFERROR(100*AK135/(((((F135*60+G135)/(12000/5))*SUMIFS(팀공격력!P:P,팀공격력!A:A,B135,팀공격력!B:B,D135))-K135)),"")</f>
        <v>2.8998362445414845</v>
      </c>
      <c r="BM135" s="67">
        <f>IFERROR(100*((AM135/E135*(2400))/((F135*60+G135)*SUMIFS(팀공격력!AR:AR,팀공격력!A:A,B135,팀공격력!B:B,D135))),"")</f>
        <v>3.068304617590409</v>
      </c>
      <c r="BN135" s="67">
        <f>IFERROR((AO135*40)/(((F135*60+G135)/60)*(SUMIFS(팀수비력!Q:Q,팀수비력!A:A,B135,팀수비력!B:B,D135)-SUMIFS(팀수비력!N:N,팀수비력!A:A,B135,팀수비력!B:B,D135)))*100,"")</f>
        <v>2.136499851007247</v>
      </c>
      <c r="BO135" s="67">
        <f t="shared" si="119"/>
        <v>15.220700152207002</v>
      </c>
      <c r="BP135" s="19"/>
      <c r="BQ135" s="19"/>
      <c r="BR135" s="19"/>
      <c r="BS135" s="19"/>
      <c r="BT135" s="20" t="s">
        <v>96</v>
      </c>
      <c r="BU135" s="21">
        <v>100000</v>
      </c>
      <c r="BV135" s="31" t="s">
        <v>93</v>
      </c>
      <c r="BW135" s="31"/>
      <c r="BX135" s="31"/>
      <c r="BY135" s="31"/>
      <c r="BZ135" s="35"/>
      <c r="CA135" s="35"/>
      <c r="CB135" s="35"/>
      <c r="CC135" s="36"/>
      <c r="CD135" s="36"/>
      <c r="CE135" s="36"/>
      <c r="CF135" s="31">
        <v>9</v>
      </c>
      <c r="CG135" s="31">
        <v>4</v>
      </c>
    </row>
    <row r="136" spans="1:85" x14ac:dyDescent="0.4">
      <c r="A136" s="11" t="s">
        <v>85</v>
      </c>
      <c r="B136" s="11" t="s">
        <v>224</v>
      </c>
      <c r="C136" s="11" t="s">
        <v>230</v>
      </c>
      <c r="D136" s="46" t="s">
        <v>88</v>
      </c>
      <c r="E136" s="10">
        <v>22</v>
      </c>
      <c r="F136" s="10">
        <v>24</v>
      </c>
      <c r="G136" s="10">
        <v>16</v>
      </c>
      <c r="H136" s="16">
        <f t="shared" si="94"/>
        <v>32032</v>
      </c>
      <c r="I136" s="16">
        <v>242</v>
      </c>
      <c r="J136" s="17">
        <f t="shared" si="95"/>
        <v>11</v>
      </c>
      <c r="K136" s="15">
        <v>93</v>
      </c>
      <c r="L136" s="15">
        <v>194</v>
      </c>
      <c r="M136" s="17">
        <f t="shared" si="96"/>
        <v>4.2272727272727275</v>
      </c>
      <c r="N136" s="17">
        <f t="shared" si="97"/>
        <v>8.8181818181818183</v>
      </c>
      <c r="O136" s="18">
        <f t="shared" si="98"/>
        <v>0.47938144329896909</v>
      </c>
      <c r="P136" s="16">
        <v>68</v>
      </c>
      <c r="Q136" s="15">
        <v>134</v>
      </c>
      <c r="R136" s="17">
        <f t="shared" si="99"/>
        <v>3.0909090909090908</v>
      </c>
      <c r="S136" s="17">
        <f t="shared" si="100"/>
        <v>6.0909090909090908</v>
      </c>
      <c r="T136" s="18">
        <f t="shared" si="101"/>
        <v>0.5074626865671642</v>
      </c>
      <c r="U136" s="15">
        <v>25</v>
      </c>
      <c r="V136" s="15">
        <v>60</v>
      </c>
      <c r="W136" s="17">
        <f t="shared" si="102"/>
        <v>1.1363636363636365</v>
      </c>
      <c r="X136" s="17">
        <f t="shared" si="103"/>
        <v>2.7272727272727271</v>
      </c>
      <c r="Y136" s="18">
        <f t="shared" si="104"/>
        <v>0.41666666666666669</v>
      </c>
      <c r="Z136" s="9">
        <v>31</v>
      </c>
      <c r="AA136" s="9">
        <v>37</v>
      </c>
      <c r="AB136" s="17">
        <f t="shared" si="105"/>
        <v>1.4090909090909092</v>
      </c>
      <c r="AC136" s="17">
        <f t="shared" si="106"/>
        <v>1.6818181818181819</v>
      </c>
      <c r="AD136" s="18">
        <f t="shared" si="107"/>
        <v>0.83783783783783783</v>
      </c>
      <c r="AE136" s="15">
        <v>154</v>
      </c>
      <c r="AF136" s="17">
        <f t="shared" si="108"/>
        <v>7</v>
      </c>
      <c r="AG136" s="15">
        <v>41</v>
      </c>
      <c r="AH136" s="17">
        <f t="shared" si="109"/>
        <v>1.8636363636363635</v>
      </c>
      <c r="AI136" s="15">
        <v>113</v>
      </c>
      <c r="AJ136" s="17">
        <f t="shared" si="110"/>
        <v>5.1363636363636367</v>
      </c>
      <c r="AK136" s="15">
        <v>83</v>
      </c>
      <c r="AL136" s="17">
        <f t="shared" si="111"/>
        <v>3.7727272727272729</v>
      </c>
      <c r="AM136" s="15">
        <v>16</v>
      </c>
      <c r="AN136" s="17">
        <f t="shared" si="112"/>
        <v>0.72727272727272729</v>
      </c>
      <c r="AO136" s="7">
        <v>6</v>
      </c>
      <c r="AP136" s="17">
        <f t="shared" si="120"/>
        <v>0.27272727272727271</v>
      </c>
      <c r="AQ136" s="6">
        <v>25</v>
      </c>
      <c r="AR136" s="17">
        <f t="shared" si="113"/>
        <v>1.1363636363636365</v>
      </c>
      <c r="AS136" s="15">
        <v>43</v>
      </c>
      <c r="AT136" s="17">
        <f t="shared" si="114"/>
        <v>1.9545454545454546</v>
      </c>
      <c r="AU136" s="19">
        <v>1.563903981241801</v>
      </c>
      <c r="AV136" s="19">
        <v>0.1171756229701649</v>
      </c>
      <c r="AW136" s="19">
        <v>1.2939759162641371</v>
      </c>
      <c r="AX136" s="19">
        <v>0.26992806497766358</v>
      </c>
      <c r="AY136" s="19">
        <v>121.8761995331095</v>
      </c>
      <c r="AZ136" s="19">
        <v>114.8747097790409</v>
      </c>
      <c r="BA136" s="19">
        <v>6.9808275019429891</v>
      </c>
      <c r="BB136" s="19">
        <v>16.77272727272727</v>
      </c>
      <c r="BC136" s="19">
        <v>27.647352647352651</v>
      </c>
      <c r="BD136" s="65">
        <f t="shared" si="115"/>
        <v>57.542324519688037</v>
      </c>
      <c r="BE136" s="65">
        <f t="shared" si="116"/>
        <v>54.381443298969067</v>
      </c>
      <c r="BF136" s="66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8.5638867602388338</v>
      </c>
      <c r="BG136" s="38">
        <f t="shared" si="117"/>
        <v>0.30927835051546393</v>
      </c>
      <c r="BH136" s="38">
        <f t="shared" si="118"/>
        <v>0.19072164948453607</v>
      </c>
      <c r="BI136" s="67">
        <f>IFERROR(((AG136*(12000/5))/((F136*60+G136)*(SUMIFS(팀공격력!X:X,팀공격력!A:A,B136,팀공격력!B:B,D136)+SUMIFS(팀수비력!X:X,팀수비력!A:A,B136,팀수비력!B:B,D136))))*100,"")</f>
        <v>1.7014707347033631</v>
      </c>
      <c r="BJ136" s="67">
        <f>IFERROR(((AI136*(12000/5))/((F136*60+G136)*(SUMIFS(팀공격력!V:V,팀공격력!A:A,B136,팀공격력!B:B,D136)+SUMIFS(팀수비력!W:W,팀수비력!A:A,B136,팀수비력!B:B,D136))))*100,"")</f>
        <v>9.7622503282880633</v>
      </c>
      <c r="BK136" s="67">
        <f>IFERROR(((AE136*(12000/5))/((F136*60+G136)*(SUMIFS(팀공격력!X:X,팀공격력!A:A,B136,팀공격력!B:B,D136)+SUMIFS(팀수비력!X:X,팀수비력!A:A,B136,팀수비력!B:B,D136))))*100,"")</f>
        <v>6.3908900766906811</v>
      </c>
      <c r="BL136" s="67">
        <f>IFERROR(100*AK136/(((((F136*60+G136)/(12000/5))*SUMIFS(팀공격력!P:P,팀공격력!A:A,B136,팀공격력!B:B,D136))-K136)),"")</f>
        <v>9.0562579105867282</v>
      </c>
      <c r="BM136" s="67">
        <f>IFERROR(100*((AM136/E136*(2400))/((F136*60+G136)*SUMIFS(팀공격력!AR:AR,팀공격력!A:A,B136,팀공격력!B:B,D136))),"")</f>
        <v>1.6464515332878875</v>
      </c>
      <c r="BN136" s="67">
        <f>IFERROR((AO136*40)/(((F136*60+G136)/60)*(SUMIFS(팀수비력!Q:Q,팀수비력!A:A,B136,팀수비력!B:B,D136)-SUMIFS(팀수비력!N:N,팀수비력!A:A,B136,팀수비력!B:B,D136)))*100,"")</f>
        <v>0.42121422019207372</v>
      </c>
      <c r="BO136" s="67">
        <f t="shared" si="119"/>
        <v>10.625637538252295</v>
      </c>
      <c r="BP136" s="19"/>
      <c r="BQ136" s="19"/>
      <c r="BR136" s="19"/>
      <c r="BS136" s="19"/>
      <c r="BT136" s="20" t="s">
        <v>96</v>
      </c>
      <c r="BU136" s="21">
        <v>150000</v>
      </c>
      <c r="BV136" s="31" t="s">
        <v>102</v>
      </c>
      <c r="BW136" s="31">
        <v>561.13</v>
      </c>
      <c r="BX136" s="31">
        <v>700.93</v>
      </c>
      <c r="BY136" s="31">
        <v>139.80000000000001</v>
      </c>
      <c r="BZ136" s="35">
        <f t="shared" ref="BZ136:BZ148" si="121">CA136-CB136</f>
        <v>25.505909090909089</v>
      </c>
      <c r="CA136" s="35">
        <f t="shared" ref="CA136:CA148" si="122">BX136/$E136</f>
        <v>31.860454545454544</v>
      </c>
      <c r="CB136" s="35">
        <f t="shared" ref="CB136:CB148" si="123">BY136/$E136</f>
        <v>6.3545454545454554</v>
      </c>
      <c r="CC136" s="36">
        <f t="shared" ref="CC136:CC148" si="124">CD136-CE136</f>
        <v>42.042707292707291</v>
      </c>
      <c r="CD136" s="36">
        <f t="shared" ref="CD136:CD148" si="125">BX136*2400/$H136</f>
        <v>52.517232767232763</v>
      </c>
      <c r="CE136" s="36">
        <f t="shared" ref="CE136:CE148" si="126">BY136*2400/$H136</f>
        <v>10.474525474525475</v>
      </c>
      <c r="CF136" s="31">
        <v>10</v>
      </c>
      <c r="CG136" s="31">
        <v>12</v>
      </c>
    </row>
    <row r="137" spans="1:85" x14ac:dyDescent="0.4">
      <c r="A137" s="11" t="s">
        <v>85</v>
      </c>
      <c r="B137" s="11" t="s">
        <v>224</v>
      </c>
      <c r="C137" s="11" t="s">
        <v>231</v>
      </c>
      <c r="D137" s="46" t="s">
        <v>88</v>
      </c>
      <c r="E137" s="15">
        <v>30</v>
      </c>
      <c r="F137" s="15">
        <v>24</v>
      </c>
      <c r="G137" s="15">
        <v>9</v>
      </c>
      <c r="H137" s="16">
        <f t="shared" si="94"/>
        <v>43470</v>
      </c>
      <c r="I137" s="16">
        <v>298</v>
      </c>
      <c r="J137" s="17">
        <f t="shared" si="95"/>
        <v>9.9333333333333336</v>
      </c>
      <c r="K137" s="15">
        <v>117</v>
      </c>
      <c r="L137" s="15">
        <v>252</v>
      </c>
      <c r="M137" s="17">
        <f t="shared" si="96"/>
        <v>3.9</v>
      </c>
      <c r="N137" s="17">
        <f t="shared" si="97"/>
        <v>8.4</v>
      </c>
      <c r="O137" s="18">
        <f t="shared" si="98"/>
        <v>0.4642857142857143</v>
      </c>
      <c r="P137" s="16">
        <v>104</v>
      </c>
      <c r="Q137" s="15">
        <v>187</v>
      </c>
      <c r="R137" s="17">
        <f t="shared" si="99"/>
        <v>3.4666666666666668</v>
      </c>
      <c r="S137" s="17">
        <f t="shared" si="100"/>
        <v>6.2333333333333334</v>
      </c>
      <c r="T137" s="18">
        <f t="shared" si="101"/>
        <v>0.55614973262032086</v>
      </c>
      <c r="U137" s="15">
        <v>13</v>
      </c>
      <c r="V137" s="15">
        <v>65</v>
      </c>
      <c r="W137" s="17">
        <f t="shared" si="102"/>
        <v>0.43333333333333335</v>
      </c>
      <c r="X137" s="17">
        <f t="shared" si="103"/>
        <v>2.1666666666666665</v>
      </c>
      <c r="Y137" s="18">
        <f t="shared" si="104"/>
        <v>0.2</v>
      </c>
      <c r="Z137" s="15">
        <v>51</v>
      </c>
      <c r="AA137" s="15">
        <v>62</v>
      </c>
      <c r="AB137" s="17">
        <f t="shared" si="105"/>
        <v>1.7</v>
      </c>
      <c r="AC137" s="17">
        <f t="shared" si="106"/>
        <v>2.0666666666666669</v>
      </c>
      <c r="AD137" s="18">
        <f t="shared" si="107"/>
        <v>0.82258064516129037</v>
      </c>
      <c r="AE137" s="15">
        <v>129</v>
      </c>
      <c r="AF137" s="17">
        <f t="shared" si="108"/>
        <v>4.3</v>
      </c>
      <c r="AG137" s="15">
        <v>48</v>
      </c>
      <c r="AH137" s="17">
        <f t="shared" si="109"/>
        <v>1.6</v>
      </c>
      <c r="AI137" s="15">
        <v>81</v>
      </c>
      <c r="AJ137" s="17">
        <f t="shared" si="110"/>
        <v>2.7</v>
      </c>
      <c r="AK137" s="15">
        <v>34</v>
      </c>
      <c r="AL137" s="17">
        <f t="shared" si="111"/>
        <v>1.1333333333333333</v>
      </c>
      <c r="AM137" s="15">
        <v>24</v>
      </c>
      <c r="AN137" s="17">
        <f t="shared" si="112"/>
        <v>0.8</v>
      </c>
      <c r="AO137" s="15">
        <v>31</v>
      </c>
      <c r="AP137" s="17">
        <f t="shared" si="120"/>
        <v>1.0333333333333334</v>
      </c>
      <c r="AQ137" s="4">
        <v>40</v>
      </c>
      <c r="AR137" s="17">
        <f t="shared" si="113"/>
        <v>1.3333333333333333</v>
      </c>
      <c r="AS137" s="15">
        <v>52</v>
      </c>
      <c r="AT137" s="17">
        <f t="shared" si="114"/>
        <v>1.7333333333333334</v>
      </c>
      <c r="AU137" s="19">
        <v>0.34603643401455481</v>
      </c>
      <c r="AV137" s="19">
        <v>1.9104841077408129E-2</v>
      </c>
      <c r="AW137" s="19">
        <v>0.1957609547334925</v>
      </c>
      <c r="AX137" s="19">
        <v>0.1502754792810623</v>
      </c>
      <c r="AY137" s="19">
        <v>104.2853840393165</v>
      </c>
      <c r="AZ137" s="19">
        <v>117.6631742973382</v>
      </c>
      <c r="BA137" s="19">
        <v>6.4340642148812597</v>
      </c>
      <c r="BB137" s="19">
        <v>11</v>
      </c>
      <c r="BC137" s="19">
        <v>18.219461697722569</v>
      </c>
      <c r="BD137" s="65">
        <f t="shared" si="115"/>
        <v>53.351475221999436</v>
      </c>
      <c r="BE137" s="65">
        <f t="shared" si="116"/>
        <v>49.007936507936506</v>
      </c>
      <c r="BF137" s="66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11.677519704762981</v>
      </c>
      <c r="BG137" s="38">
        <f t="shared" si="117"/>
        <v>0.25793650793650796</v>
      </c>
      <c r="BH137" s="38">
        <f t="shared" si="118"/>
        <v>0.24603174603174602</v>
      </c>
      <c r="BI137" s="67">
        <f>IFERROR(((AG137*(12000/5))/((F137*60+G137)*(SUMIFS(팀공격력!X:X,팀공격력!A:A,B137,팀공격력!B:B,D137)+SUMIFS(팀수비력!X:X,팀수비력!A:A,B137,팀수비력!B:B,D137))))*100,"")</f>
        <v>2.0015887610791068</v>
      </c>
      <c r="BJ137" s="67">
        <f>IFERROR(((AI137*(12000/5))/((F137*60+G137)*(SUMIFS(팀공격력!V:V,팀공격력!A:A,B137,팀공격력!B:B,D137)+SUMIFS(팀수비력!W:W,팀수비력!A:A,B137,팀수비력!B:B,D137))))*100,"")</f>
        <v>7.0315246689323807</v>
      </c>
      <c r="BK137" s="67">
        <f>IFERROR(((AE137*(12000/5))/((F137*60+G137)*(SUMIFS(팀공격력!X:X,팀공격력!A:A,B137,팀공격력!B:B,D137)+SUMIFS(팀수비력!X:X,팀수비력!A:A,B137,팀수비력!B:B,D137))))*100,"")</f>
        <v>5.3792697954000985</v>
      </c>
      <c r="BL137" s="67">
        <f>IFERROR(100*AK137/(((((F137*60+G137)/(12000/5))*SUMIFS(팀공격력!P:P,팀공격력!A:A,B137,팀공격력!B:B,D137))-K137)),"")</f>
        <v>3.8303816862692082</v>
      </c>
      <c r="BM137" s="67">
        <f>IFERROR(100*((AM137/E137*(2400))/((F137*60+G137)*SUMIFS(팀공격력!AR:AR,팀공격력!A:A,B137,팀공격력!B:B,D137))),"")</f>
        <v>1.8198459459723129</v>
      </c>
      <c r="BN137" s="67">
        <f>IFERROR((AO137*40)/(((F137*60+G137)/60)*(SUMIFS(팀수비력!Q:Q,팀수비력!A:A,B137,팀수비력!B:B,D137)-SUMIFS(팀수비력!N:N,팀수비력!A:A,B137,팀수비력!B:B,D137)))*100,"")</f>
        <v>2.186786869402972</v>
      </c>
      <c r="BO137" s="67">
        <f t="shared" si="119"/>
        <v>12.528188423953898</v>
      </c>
      <c r="BP137" s="19"/>
      <c r="BQ137" s="19"/>
      <c r="BR137" s="19"/>
      <c r="BS137" s="19"/>
      <c r="BT137" s="20" t="s">
        <v>113</v>
      </c>
      <c r="BU137" s="21">
        <v>19500</v>
      </c>
      <c r="BV137" s="31" t="s">
        <v>90</v>
      </c>
      <c r="BW137" s="31">
        <v>544</v>
      </c>
      <c r="BX137" s="31">
        <v>742.6</v>
      </c>
      <c r="BY137" s="31">
        <v>198.6</v>
      </c>
      <c r="BZ137" s="35">
        <f t="shared" si="121"/>
        <v>18.133333333333333</v>
      </c>
      <c r="CA137" s="35">
        <f t="shared" si="122"/>
        <v>24.753333333333334</v>
      </c>
      <c r="CB137" s="35">
        <f t="shared" si="123"/>
        <v>6.62</v>
      </c>
      <c r="CC137" s="36">
        <f t="shared" si="124"/>
        <v>30.034506556245688</v>
      </c>
      <c r="CD137" s="36">
        <f t="shared" si="125"/>
        <v>40.999309868875088</v>
      </c>
      <c r="CE137" s="36">
        <f t="shared" si="126"/>
        <v>10.9648033126294</v>
      </c>
      <c r="CF137" s="30">
        <v>13</v>
      </c>
      <c r="CG137" s="30">
        <v>17</v>
      </c>
    </row>
    <row r="138" spans="1:85" x14ac:dyDescent="0.4">
      <c r="A138" s="11" t="s">
        <v>85</v>
      </c>
      <c r="B138" s="11" t="s">
        <v>224</v>
      </c>
      <c r="C138" s="11" t="s">
        <v>232</v>
      </c>
      <c r="D138" s="46" t="s">
        <v>88</v>
      </c>
      <c r="E138" s="15">
        <v>32</v>
      </c>
      <c r="F138" s="15">
        <v>27</v>
      </c>
      <c r="G138" s="15">
        <v>29</v>
      </c>
      <c r="H138" s="16">
        <f t="shared" si="94"/>
        <v>52768</v>
      </c>
      <c r="I138" s="16">
        <v>526</v>
      </c>
      <c r="J138" s="17">
        <f t="shared" si="95"/>
        <v>16.4375</v>
      </c>
      <c r="K138" s="15">
        <v>210</v>
      </c>
      <c r="L138" s="15">
        <v>465</v>
      </c>
      <c r="M138" s="17">
        <f t="shared" si="96"/>
        <v>6.5625</v>
      </c>
      <c r="N138" s="17">
        <f t="shared" si="97"/>
        <v>14.53125</v>
      </c>
      <c r="O138" s="18">
        <f t="shared" si="98"/>
        <v>0.45161290322580644</v>
      </c>
      <c r="P138" s="16">
        <v>153</v>
      </c>
      <c r="Q138" s="15">
        <v>279</v>
      </c>
      <c r="R138" s="17">
        <f t="shared" si="99"/>
        <v>4.78125</v>
      </c>
      <c r="S138" s="17">
        <f t="shared" si="100"/>
        <v>8.71875</v>
      </c>
      <c r="T138" s="18">
        <f t="shared" si="101"/>
        <v>0.54838709677419351</v>
      </c>
      <c r="U138" s="15">
        <v>57</v>
      </c>
      <c r="V138" s="15">
        <v>186</v>
      </c>
      <c r="W138" s="17">
        <f t="shared" si="102"/>
        <v>1.78125</v>
      </c>
      <c r="X138" s="17">
        <f t="shared" si="103"/>
        <v>5.8125</v>
      </c>
      <c r="Y138" s="18">
        <f t="shared" si="104"/>
        <v>0.30645161290322581</v>
      </c>
      <c r="Z138" s="15">
        <v>49</v>
      </c>
      <c r="AA138" s="15">
        <v>74</v>
      </c>
      <c r="AB138" s="17">
        <f t="shared" si="105"/>
        <v>1.53125</v>
      </c>
      <c r="AC138" s="17">
        <f t="shared" si="106"/>
        <v>2.3125</v>
      </c>
      <c r="AD138" s="18">
        <f t="shared" si="107"/>
        <v>0.66216216216216217</v>
      </c>
      <c r="AE138" s="15">
        <v>221</v>
      </c>
      <c r="AF138" s="17">
        <f t="shared" si="108"/>
        <v>6.90625</v>
      </c>
      <c r="AG138" s="15">
        <v>39</v>
      </c>
      <c r="AH138" s="17">
        <f t="shared" si="109"/>
        <v>1.21875</v>
      </c>
      <c r="AI138" s="15">
        <v>182</v>
      </c>
      <c r="AJ138" s="17">
        <f t="shared" si="110"/>
        <v>5.6875</v>
      </c>
      <c r="AK138" s="15">
        <v>71</v>
      </c>
      <c r="AL138" s="17">
        <f t="shared" si="111"/>
        <v>2.21875</v>
      </c>
      <c r="AM138" s="15">
        <v>30</v>
      </c>
      <c r="AN138" s="17">
        <f t="shared" si="112"/>
        <v>0.9375</v>
      </c>
      <c r="AO138" s="15">
        <v>17</v>
      </c>
      <c r="AP138" s="17">
        <f t="shared" si="120"/>
        <v>0.53125</v>
      </c>
      <c r="AQ138" s="4">
        <v>64</v>
      </c>
      <c r="AR138" s="17">
        <f t="shared" si="113"/>
        <v>2</v>
      </c>
      <c r="AS138" s="15">
        <v>75</v>
      </c>
      <c r="AT138" s="17">
        <f t="shared" si="114"/>
        <v>2.34375</v>
      </c>
      <c r="AU138" s="19">
        <v>0.4043329479111375</v>
      </c>
      <c r="AV138" s="19">
        <v>1.8389915763089942E-2</v>
      </c>
      <c r="AW138" s="19">
        <v>-0.1055916608647333</v>
      </c>
      <c r="AX138" s="19">
        <v>0.50992460877587076</v>
      </c>
      <c r="AY138" s="19">
        <v>101.1230216737663</v>
      </c>
      <c r="AZ138" s="19">
        <v>114.18082746288511</v>
      </c>
      <c r="BA138" s="19">
        <v>8.6890574113655958</v>
      </c>
      <c r="BB138" s="19">
        <v>16.28125</v>
      </c>
      <c r="BC138" s="19">
        <v>23.696179502728931</v>
      </c>
      <c r="BD138" s="65">
        <f t="shared" si="115"/>
        <v>52.857946780287804</v>
      </c>
      <c r="BE138" s="65">
        <f t="shared" si="116"/>
        <v>51.290322580645167</v>
      </c>
      <c r="BF138" s="66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18.047738479412036</v>
      </c>
      <c r="BG138" s="38">
        <f t="shared" si="117"/>
        <v>0.4</v>
      </c>
      <c r="BH138" s="38">
        <f t="shared" si="118"/>
        <v>0.15913978494623657</v>
      </c>
      <c r="BI138" s="67">
        <f>IFERROR(((AG138*(12000/5))/((F138*60+G138)*(SUMIFS(팀공격력!X:X,팀공격력!A:A,B138,팀공격력!B:B,D138)+SUMIFS(팀수비력!X:X,팀수비력!A:A,B138,팀수비력!B:B,D138))))*100,"")</f>
        <v>1.4290451596591545</v>
      </c>
      <c r="BJ138" s="67">
        <f>IFERROR(((AI138*(12000/5))/((F138*60+G138)*(SUMIFS(팀공격력!V:V,팀공격력!A:A,B138,팀공격력!B:B,D138)+SUMIFS(팀수비력!W:W,팀수비력!A:A,B138,팀수비력!B:B,D138))))*100,"")</f>
        <v>13.883008951489561</v>
      </c>
      <c r="BK138" s="67">
        <f>IFERROR(((AE138*(12000/5))/((F138*60+G138)*(SUMIFS(팀공격력!X:X,팀공격력!A:A,B138,팀공격력!B:B,D138)+SUMIFS(팀수비력!X:X,팀수비력!A:A,B138,팀수비력!B:B,D138))))*100,"")</f>
        <v>8.0979225714018757</v>
      </c>
      <c r="BL138" s="67">
        <f>IFERROR(100*AK138/(((((F138*60+G138)/(12000/5))*SUMIFS(팀공격력!P:P,팀공격력!A:A,B138,팀공격력!B:B,D138))-K138)),"")</f>
        <v>7.6073602102917208</v>
      </c>
      <c r="BM138" s="67">
        <f>IFERROR(100*((AM138/E138*(2400))/((F138*60+G138)*SUMIFS(팀공격력!AR:AR,팀공격력!A:A,B138,팀공격력!B:B,D138))),"")</f>
        <v>1.8739743611520341</v>
      </c>
      <c r="BN138" s="67">
        <f>IFERROR((AO138*40)/(((F138*60+G138)/60)*(SUMIFS(팀수비력!Q:Q,팀수비력!A:A,B138,팀수비력!B:B,D138)-SUMIFS(팀수비력!N:N,팀수비력!A:A,B138,팀수비력!B:B,D138)))*100,"")</f>
        <v>1.0537592862537102</v>
      </c>
      <c r="BO138" s="67">
        <f t="shared" si="119"/>
        <v>11.396823135550965</v>
      </c>
      <c r="BP138" s="19"/>
      <c r="BQ138" s="19"/>
      <c r="BR138" s="19"/>
      <c r="BS138" s="19"/>
      <c r="BT138" s="20" t="s">
        <v>96</v>
      </c>
      <c r="BU138" s="21">
        <v>50000</v>
      </c>
      <c r="BV138" s="30" t="s">
        <v>93</v>
      </c>
      <c r="BW138" s="30">
        <v>784.72</v>
      </c>
      <c r="BX138" s="30">
        <v>1142.82</v>
      </c>
      <c r="BY138" s="30">
        <v>358.1</v>
      </c>
      <c r="BZ138" s="35">
        <f t="shared" si="121"/>
        <v>24.522499999999997</v>
      </c>
      <c r="CA138" s="35">
        <f t="shared" si="122"/>
        <v>35.713124999999998</v>
      </c>
      <c r="CB138" s="35">
        <f t="shared" si="123"/>
        <v>11.190625000000001</v>
      </c>
      <c r="CC138" s="36">
        <f t="shared" si="124"/>
        <v>35.69072164948453</v>
      </c>
      <c r="CD138" s="36">
        <f t="shared" si="125"/>
        <v>51.977865372953303</v>
      </c>
      <c r="CE138" s="36">
        <f t="shared" si="126"/>
        <v>16.28714372346877</v>
      </c>
      <c r="CF138" s="31">
        <v>8</v>
      </c>
      <c r="CG138" s="31">
        <v>24</v>
      </c>
    </row>
    <row r="139" spans="1:85" x14ac:dyDescent="0.4">
      <c r="A139" s="11" t="s">
        <v>85</v>
      </c>
      <c r="B139" s="11" t="s">
        <v>224</v>
      </c>
      <c r="C139" s="11" t="s">
        <v>233</v>
      </c>
      <c r="D139" s="46" t="s">
        <v>88</v>
      </c>
      <c r="E139" s="15">
        <v>53</v>
      </c>
      <c r="F139" s="15">
        <v>28</v>
      </c>
      <c r="G139" s="15">
        <v>59</v>
      </c>
      <c r="H139" s="16">
        <f t="shared" si="94"/>
        <v>92167</v>
      </c>
      <c r="I139" s="16">
        <v>639</v>
      </c>
      <c r="J139" s="17">
        <f t="shared" si="95"/>
        <v>12.056603773584905</v>
      </c>
      <c r="K139" s="15">
        <v>262</v>
      </c>
      <c r="L139" s="15">
        <v>528</v>
      </c>
      <c r="M139" s="17">
        <f t="shared" si="96"/>
        <v>4.9433962264150946</v>
      </c>
      <c r="N139" s="17">
        <f t="shared" si="97"/>
        <v>9.9622641509433958</v>
      </c>
      <c r="O139" s="18">
        <f t="shared" si="98"/>
        <v>0.49621212121212122</v>
      </c>
      <c r="P139" s="16">
        <v>209</v>
      </c>
      <c r="Q139" s="15">
        <v>357</v>
      </c>
      <c r="R139" s="17">
        <f t="shared" si="99"/>
        <v>3.9433962264150941</v>
      </c>
      <c r="S139" s="17">
        <f t="shared" si="100"/>
        <v>6.7358490566037732</v>
      </c>
      <c r="T139" s="18">
        <f t="shared" si="101"/>
        <v>0.58543417366946782</v>
      </c>
      <c r="U139" s="15">
        <v>53</v>
      </c>
      <c r="V139" s="15">
        <v>171</v>
      </c>
      <c r="W139" s="17">
        <f t="shared" si="102"/>
        <v>1</v>
      </c>
      <c r="X139" s="17">
        <f t="shared" si="103"/>
        <v>3.2264150943396226</v>
      </c>
      <c r="Y139" s="18">
        <f t="shared" si="104"/>
        <v>0.30994152046783624</v>
      </c>
      <c r="Z139" s="15">
        <v>62</v>
      </c>
      <c r="AA139" s="15">
        <v>81</v>
      </c>
      <c r="AB139" s="17">
        <f t="shared" si="105"/>
        <v>1.1698113207547169</v>
      </c>
      <c r="AC139" s="17">
        <f t="shared" si="106"/>
        <v>1.5283018867924529</v>
      </c>
      <c r="AD139" s="18">
        <f t="shared" si="107"/>
        <v>0.76543209876543206</v>
      </c>
      <c r="AE139" s="15">
        <v>191</v>
      </c>
      <c r="AF139" s="17">
        <f t="shared" si="108"/>
        <v>3.6037735849056602</v>
      </c>
      <c r="AG139" s="15">
        <v>58</v>
      </c>
      <c r="AH139" s="17">
        <f t="shared" si="109"/>
        <v>1.0943396226415094</v>
      </c>
      <c r="AI139" s="15">
        <v>133</v>
      </c>
      <c r="AJ139" s="17">
        <f t="shared" si="110"/>
        <v>2.5094339622641511</v>
      </c>
      <c r="AK139" s="15">
        <v>231</v>
      </c>
      <c r="AL139" s="17">
        <f t="shared" si="111"/>
        <v>4.3584905660377355</v>
      </c>
      <c r="AM139" s="15">
        <v>75</v>
      </c>
      <c r="AN139" s="17">
        <f t="shared" si="112"/>
        <v>1.4150943396226414</v>
      </c>
      <c r="AO139" s="15">
        <v>5</v>
      </c>
      <c r="AP139" s="17">
        <f t="shared" si="120"/>
        <v>9.4339622641509441E-2</v>
      </c>
      <c r="AQ139" s="4">
        <v>95</v>
      </c>
      <c r="AR139" s="17">
        <f t="shared" si="113"/>
        <v>1.7924528301886793</v>
      </c>
      <c r="AS139" s="15">
        <v>154</v>
      </c>
      <c r="AT139" s="17">
        <f t="shared" si="114"/>
        <v>2.9056603773584904</v>
      </c>
      <c r="AU139" s="19">
        <v>2.079704757933682</v>
      </c>
      <c r="AV139" s="19">
        <v>5.4154864745959368E-2</v>
      </c>
      <c r="AW139" s="19">
        <v>1.9389151950419681</v>
      </c>
      <c r="AX139" s="19">
        <v>0.14078956289171499</v>
      </c>
      <c r="AY139" s="19">
        <v>112.7894073451091</v>
      </c>
      <c r="AZ139" s="19">
        <v>118.7457434313913</v>
      </c>
      <c r="BA139" s="19">
        <v>12.31001104444255</v>
      </c>
      <c r="BB139" s="19">
        <v>14.358490566037741</v>
      </c>
      <c r="BC139" s="19">
        <v>19.816203196371809</v>
      </c>
      <c r="BD139" s="65">
        <f t="shared" si="115"/>
        <v>56.685118160528006</v>
      </c>
      <c r="BE139" s="65">
        <f t="shared" si="116"/>
        <v>54.640151515151516</v>
      </c>
      <c r="BF139" s="66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20.072238094622541</v>
      </c>
      <c r="BG139" s="38">
        <f t="shared" si="117"/>
        <v>0.32386363636363635</v>
      </c>
      <c r="BH139" s="38">
        <f t="shared" si="118"/>
        <v>0.15340909090909091</v>
      </c>
      <c r="BI139" s="67">
        <f>IFERROR(((AG139*(12000/5))/((F139*60+G139)*(SUMIFS(팀공격력!X:X,팀공격력!A:A,B139,팀공격력!B:B,D139)+SUMIFS(팀수비력!X:X,팀수비력!A:A,B139,팀수비력!B:B,D139))))*100,"")</f>
        <v>2.0152568844476022</v>
      </c>
      <c r="BJ139" s="67">
        <f>IFERROR(((AI139*(12000/5))/((F139*60+G139)*(SUMIFS(팀공격력!V:V,팀공격력!A:A,B139,팀공격력!B:B,D139)+SUMIFS(팀수비력!W:W,팀수비력!A:A,B139,팀수비력!B:B,D139))))*100,"")</f>
        <v>9.6202183717237926</v>
      </c>
      <c r="BK139" s="67">
        <f>IFERROR(((AE139*(12000/5))/((F139*60+G139)*(SUMIFS(팀공격력!X:X,팀공격력!A:A,B139,팀공격력!B:B,D139)+SUMIFS(팀수비력!X:X,팀수비력!A:A,B139,팀수비력!B:B,D139))))*100,"")</f>
        <v>6.6364493953360704</v>
      </c>
      <c r="BL139" s="67">
        <f>IFERROR(100*AK139/(((((F139*60+G139)/(12000/5))*SUMIFS(팀공격력!P:P,팀공격력!A:A,B139,팀공격력!B:B,D139))-K139)),"")</f>
        <v>24.47794512419113</v>
      </c>
      <c r="BM139" s="67">
        <f>IFERROR(100*((AM139/E139*(2400))/((F139*60+G139)*SUMIFS(팀공격력!AR:AR,팀공격력!A:A,B139,팀공격력!B:B,D139))),"")</f>
        <v>2.6822474174398243</v>
      </c>
      <c r="BN139" s="67">
        <f>IFERROR((AO139*40)/(((F139*60+G139)/60)*(SUMIFS(팀수비력!Q:Q,팀수비력!A:A,B139,팀수비력!B:B,D139)-SUMIFS(팀수비력!N:N,팀수비력!A:A,B139,팀수비력!B:B,D139)))*100,"")</f>
        <v>0.29388916264120152</v>
      </c>
      <c r="BO139" s="67">
        <f t="shared" si="119"/>
        <v>14.423660876958582</v>
      </c>
      <c r="BP139" s="19"/>
      <c r="BQ139" s="19"/>
      <c r="BR139" s="19"/>
      <c r="BS139" s="19"/>
      <c r="BT139" s="20" t="s">
        <v>89</v>
      </c>
      <c r="BU139" s="21">
        <v>600000</v>
      </c>
      <c r="BV139" s="31" t="s">
        <v>90</v>
      </c>
      <c r="BW139" s="31">
        <v>1274.24</v>
      </c>
      <c r="BX139" s="31">
        <v>1686.14</v>
      </c>
      <c r="BY139" s="31">
        <v>411.9</v>
      </c>
      <c r="BZ139" s="35">
        <f t="shared" si="121"/>
        <v>24.042264150943396</v>
      </c>
      <c r="CA139" s="35">
        <f t="shared" si="122"/>
        <v>31.813962264150945</v>
      </c>
      <c r="CB139" s="35">
        <f t="shared" si="123"/>
        <v>7.7716981132075471</v>
      </c>
      <c r="CC139" s="36">
        <f t="shared" si="124"/>
        <v>33.180813089283589</v>
      </c>
      <c r="CD139" s="36">
        <f t="shared" si="125"/>
        <v>43.906560916597051</v>
      </c>
      <c r="CE139" s="36">
        <f t="shared" si="126"/>
        <v>10.725747827313464</v>
      </c>
      <c r="CF139" s="31">
        <v>18</v>
      </c>
      <c r="CG139" s="31">
        <v>35</v>
      </c>
    </row>
    <row r="140" spans="1:85" x14ac:dyDescent="0.4">
      <c r="A140" s="11" t="s">
        <v>85</v>
      </c>
      <c r="B140" s="11" t="s">
        <v>224</v>
      </c>
      <c r="C140" s="11" t="s">
        <v>234</v>
      </c>
      <c r="D140" s="46" t="s">
        <v>88</v>
      </c>
      <c r="E140" s="10">
        <v>36</v>
      </c>
      <c r="F140" s="10">
        <v>25</v>
      </c>
      <c r="G140" s="10">
        <v>8</v>
      </c>
      <c r="H140" s="16">
        <f t="shared" si="94"/>
        <v>54288</v>
      </c>
      <c r="I140" s="16">
        <v>329</v>
      </c>
      <c r="J140" s="17">
        <f t="shared" si="95"/>
        <v>9.1388888888888893</v>
      </c>
      <c r="K140" s="15">
        <v>121</v>
      </c>
      <c r="L140" s="15">
        <v>304</v>
      </c>
      <c r="M140" s="17">
        <f t="shared" si="96"/>
        <v>3.3611111111111112</v>
      </c>
      <c r="N140" s="17">
        <f t="shared" si="97"/>
        <v>8.4444444444444446</v>
      </c>
      <c r="O140" s="18">
        <f t="shared" si="98"/>
        <v>0.39802631578947367</v>
      </c>
      <c r="P140" s="16">
        <v>63</v>
      </c>
      <c r="Q140" s="15">
        <v>135</v>
      </c>
      <c r="R140" s="17">
        <f t="shared" si="99"/>
        <v>1.75</v>
      </c>
      <c r="S140" s="17">
        <f t="shared" si="100"/>
        <v>3.75</v>
      </c>
      <c r="T140" s="18">
        <f t="shared" si="101"/>
        <v>0.46666666666666667</v>
      </c>
      <c r="U140" s="15">
        <v>58</v>
      </c>
      <c r="V140" s="15">
        <v>169</v>
      </c>
      <c r="W140" s="17">
        <f t="shared" si="102"/>
        <v>1.6111111111111112</v>
      </c>
      <c r="X140" s="17">
        <f t="shared" si="103"/>
        <v>4.6944444444444446</v>
      </c>
      <c r="Y140" s="18">
        <f t="shared" si="104"/>
        <v>0.34319526627218933</v>
      </c>
      <c r="Z140" s="9">
        <v>29</v>
      </c>
      <c r="AA140" s="9">
        <v>30</v>
      </c>
      <c r="AB140" s="17">
        <f t="shared" si="105"/>
        <v>0.80555555555555558</v>
      </c>
      <c r="AC140" s="17">
        <f t="shared" si="106"/>
        <v>0.83333333333333337</v>
      </c>
      <c r="AD140" s="18">
        <f t="shared" si="107"/>
        <v>0.96666666666666667</v>
      </c>
      <c r="AE140" s="15">
        <v>66</v>
      </c>
      <c r="AF140" s="17">
        <f t="shared" si="108"/>
        <v>1.8333333333333333</v>
      </c>
      <c r="AG140" s="15">
        <v>12</v>
      </c>
      <c r="AH140" s="17">
        <f t="shared" si="109"/>
        <v>0.33333333333333331</v>
      </c>
      <c r="AI140" s="15">
        <v>54</v>
      </c>
      <c r="AJ140" s="17">
        <f t="shared" si="110"/>
        <v>1.5</v>
      </c>
      <c r="AK140" s="15">
        <v>49</v>
      </c>
      <c r="AL140" s="17">
        <f t="shared" si="111"/>
        <v>1.3611111111111112</v>
      </c>
      <c r="AM140" s="15">
        <v>20</v>
      </c>
      <c r="AN140" s="17">
        <f t="shared" si="112"/>
        <v>0.55555555555555558</v>
      </c>
      <c r="AO140" s="7">
        <v>4</v>
      </c>
      <c r="AP140" s="17">
        <f t="shared" si="120"/>
        <v>0.1111111111111111</v>
      </c>
      <c r="AQ140" s="2">
        <v>29</v>
      </c>
      <c r="AR140" s="17">
        <f t="shared" si="113"/>
        <v>0.80555555555555558</v>
      </c>
      <c r="AS140" s="15">
        <v>51</v>
      </c>
      <c r="AT140" s="17">
        <f t="shared" si="114"/>
        <v>1.4166666666666667</v>
      </c>
      <c r="AU140" s="19">
        <v>-0.22151432428502049</v>
      </c>
      <c r="AV140" s="19">
        <v>-9.7928525324942756E-3</v>
      </c>
      <c r="AW140" s="19">
        <v>0.14239081947536569</v>
      </c>
      <c r="AX140" s="19">
        <v>-0.36390514376038618</v>
      </c>
      <c r="AY140" s="19">
        <v>103.5744777984907</v>
      </c>
      <c r="AZ140" s="19">
        <v>123.3638556981216</v>
      </c>
      <c r="BA140" s="19">
        <v>5.0439694712115299</v>
      </c>
      <c r="BB140" s="19">
        <v>7.083333333333333</v>
      </c>
      <c r="BC140" s="19">
        <v>11.27320954907162</v>
      </c>
      <c r="BD140" s="65">
        <f t="shared" si="115"/>
        <v>51.86002522068096</v>
      </c>
      <c r="BE140" s="65">
        <f t="shared" si="116"/>
        <v>49.34210526315789</v>
      </c>
      <c r="BF140" s="66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12.166705656510679</v>
      </c>
      <c r="BG140" s="38">
        <f t="shared" si="117"/>
        <v>0.55592105263157898</v>
      </c>
      <c r="BH140" s="38">
        <f t="shared" si="118"/>
        <v>9.8684210526315791E-2</v>
      </c>
      <c r="BI140" s="67">
        <f>IFERROR(((AG140*(12000/5))/((F140*60+G140)*(SUMIFS(팀공격력!X:X,팀공격력!A:A,B140,팀공격력!B:B,D140)+SUMIFS(팀수비력!X:X,팀수비력!A:A,B140,팀수비력!B:B,D140))))*100,"")</f>
        <v>0.48081931611465939</v>
      </c>
      <c r="BJ140" s="67">
        <f>IFERROR(((AI140*(12000/5))/((F140*60+G140)*(SUMIFS(팀공격력!V:V,팀공격력!A:A,B140,팀공격력!B:B,D140)+SUMIFS(팀수비력!W:W,팀수비력!A:A,B140,팀수비력!B:B,D140))))*100,"")</f>
        <v>4.5042790651118558</v>
      </c>
      <c r="BK140" s="67">
        <f>IFERROR(((AE140*(12000/5))/((F140*60+G140)*(SUMIFS(팀공격력!X:X,팀공격력!A:A,B140,팀공격력!B:B,D140)+SUMIFS(팀수비력!X:X,팀수비력!A:A,B140,팀수비력!B:B,D140))))*100,"")</f>
        <v>2.6445062386306266</v>
      </c>
      <c r="BL140" s="67">
        <f>IFERROR(100*AK140/(((((F140*60+G140)/(12000/5))*SUMIFS(팀공격력!P:P,팀공격력!A:A,B140,팀공격력!B:B,D140))-K140)),"")</f>
        <v>5.2998947231796487</v>
      </c>
      <c r="BM140" s="67">
        <f>IFERROR(100*((AM140/E140*(2400))/((F140*60+G140)*SUMIFS(팀공격력!AR:AR,팀공격력!A:A,B140,팀공격력!B:B,D140))),"")</f>
        <v>1.2143368588425991</v>
      </c>
      <c r="BN140" s="67">
        <f>IFERROR((AO140*40)/(((F140*60+G140)/60)*(SUMIFS(팀수비력!Q:Q,팀수비력!A:A,B140,팀수비력!B:B,D140)-SUMIFS(팀수비력!N:N,팀수비력!A:A,B140,팀수비력!B:B,D140)))*100,"")</f>
        <v>0.27112639460639226</v>
      </c>
      <c r="BO140" s="67">
        <f t="shared" si="119"/>
        <v>8.3766608896591563</v>
      </c>
      <c r="BP140" s="19"/>
      <c r="BQ140" s="19"/>
      <c r="BR140" s="19"/>
      <c r="BS140" s="19"/>
      <c r="BT140" s="20" t="s">
        <v>89</v>
      </c>
      <c r="BU140" s="21">
        <v>500000</v>
      </c>
      <c r="BV140" s="30" t="s">
        <v>90</v>
      </c>
      <c r="BW140" s="30">
        <v>510.07</v>
      </c>
      <c r="BX140" s="30">
        <v>726.27</v>
      </c>
      <c r="BY140" s="30">
        <v>216.2</v>
      </c>
      <c r="BZ140" s="35">
        <f t="shared" si="121"/>
        <v>14.168611111111108</v>
      </c>
      <c r="CA140" s="35">
        <f t="shared" si="122"/>
        <v>20.174166666666665</v>
      </c>
      <c r="CB140" s="35">
        <f t="shared" si="123"/>
        <v>6.0055555555555555</v>
      </c>
      <c r="CC140" s="36">
        <f t="shared" si="124"/>
        <v>22.54951370468612</v>
      </c>
      <c r="CD140" s="36">
        <f t="shared" si="125"/>
        <v>32.107427055702921</v>
      </c>
      <c r="CE140" s="36">
        <f t="shared" si="126"/>
        <v>9.5579133510167988</v>
      </c>
      <c r="CF140" s="30">
        <v>12</v>
      </c>
      <c r="CG140" s="30">
        <v>24</v>
      </c>
    </row>
    <row r="141" spans="1:85" x14ac:dyDescent="0.4">
      <c r="A141" s="11" t="s">
        <v>85</v>
      </c>
      <c r="B141" s="11" t="s">
        <v>224</v>
      </c>
      <c r="C141" s="11" t="s">
        <v>235</v>
      </c>
      <c r="D141" s="46" t="s">
        <v>88</v>
      </c>
      <c r="E141" s="15">
        <v>5</v>
      </c>
      <c r="F141" s="15">
        <v>22</v>
      </c>
      <c r="G141" s="15">
        <v>34</v>
      </c>
      <c r="H141" s="16">
        <f t="shared" si="94"/>
        <v>6770</v>
      </c>
      <c r="I141" s="16">
        <v>40</v>
      </c>
      <c r="J141" s="17">
        <f t="shared" si="95"/>
        <v>8</v>
      </c>
      <c r="K141" s="15">
        <v>16</v>
      </c>
      <c r="L141" s="15">
        <v>53</v>
      </c>
      <c r="M141" s="17">
        <f t="shared" si="96"/>
        <v>3.2</v>
      </c>
      <c r="N141" s="17">
        <f t="shared" si="97"/>
        <v>10.6</v>
      </c>
      <c r="O141" s="18">
        <f t="shared" si="98"/>
        <v>0.30188679245283018</v>
      </c>
      <c r="P141" s="16">
        <v>11</v>
      </c>
      <c r="Q141" s="15">
        <v>31</v>
      </c>
      <c r="R141" s="17">
        <f t="shared" si="99"/>
        <v>2.2000000000000002</v>
      </c>
      <c r="S141" s="17">
        <f t="shared" si="100"/>
        <v>6.2</v>
      </c>
      <c r="T141" s="18">
        <f t="shared" si="101"/>
        <v>0.35483870967741937</v>
      </c>
      <c r="U141" s="15">
        <v>5</v>
      </c>
      <c r="V141" s="15">
        <v>22</v>
      </c>
      <c r="W141" s="17">
        <f t="shared" si="102"/>
        <v>1</v>
      </c>
      <c r="X141" s="17">
        <f t="shared" si="103"/>
        <v>4.4000000000000004</v>
      </c>
      <c r="Y141" s="18">
        <f t="shared" si="104"/>
        <v>0.22727272727272727</v>
      </c>
      <c r="Z141" s="15">
        <v>3</v>
      </c>
      <c r="AA141" s="15">
        <v>8</v>
      </c>
      <c r="AB141" s="17">
        <f t="shared" si="105"/>
        <v>0.6</v>
      </c>
      <c r="AC141" s="17">
        <f t="shared" si="106"/>
        <v>1.6</v>
      </c>
      <c r="AD141" s="18">
        <f t="shared" si="107"/>
        <v>0.375</v>
      </c>
      <c r="AE141" s="15">
        <v>27</v>
      </c>
      <c r="AF141" s="17">
        <f t="shared" si="108"/>
        <v>5.4</v>
      </c>
      <c r="AG141" s="15">
        <v>7</v>
      </c>
      <c r="AH141" s="17">
        <f t="shared" si="109"/>
        <v>1.4</v>
      </c>
      <c r="AI141" s="15">
        <v>20</v>
      </c>
      <c r="AJ141" s="17">
        <f t="shared" si="110"/>
        <v>4</v>
      </c>
      <c r="AK141" s="15">
        <v>8</v>
      </c>
      <c r="AL141" s="17">
        <f t="shared" si="111"/>
        <v>1.6</v>
      </c>
      <c r="AM141" s="15">
        <v>0</v>
      </c>
      <c r="AN141" s="17">
        <f t="shared" si="112"/>
        <v>0</v>
      </c>
      <c r="AO141" s="15">
        <v>2</v>
      </c>
      <c r="AP141" s="17">
        <f t="shared" si="120"/>
        <v>0.4</v>
      </c>
      <c r="AQ141" s="4">
        <v>3</v>
      </c>
      <c r="AR141" s="17">
        <f t="shared" si="113"/>
        <v>0.6</v>
      </c>
      <c r="AS141" s="15">
        <v>5</v>
      </c>
      <c r="AT141" s="17">
        <f t="shared" si="114"/>
        <v>1</v>
      </c>
      <c r="AU141" s="19">
        <v>-0.28428134186494008</v>
      </c>
      <c r="AV141" s="19">
        <v>-0.1007792053878665</v>
      </c>
      <c r="AW141" s="19">
        <v>-0.27996570757397787</v>
      </c>
      <c r="AX141" s="19">
        <v>-4.3156342909621863E-3</v>
      </c>
      <c r="AY141" s="19">
        <v>83.156605050942517</v>
      </c>
      <c r="AZ141" s="19">
        <v>119.9604849674909</v>
      </c>
      <c r="BA141" s="19">
        <v>0.55334535137341967</v>
      </c>
      <c r="BB141" s="19">
        <v>6.4</v>
      </c>
      <c r="BC141" s="19">
        <v>11.344165435745939</v>
      </c>
      <c r="BD141" s="65">
        <f t="shared" si="115"/>
        <v>35.385704175513091</v>
      </c>
      <c r="BE141" s="65">
        <f t="shared" si="116"/>
        <v>34.905660377358487</v>
      </c>
      <c r="BF141" s="66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2.3296546074379987</v>
      </c>
      <c r="BG141" s="38">
        <f t="shared" si="117"/>
        <v>0.41509433962264153</v>
      </c>
      <c r="BH141" s="38">
        <f t="shared" si="118"/>
        <v>0.15094339622641509</v>
      </c>
      <c r="BI141" s="67">
        <f>IFERROR(((AG141*(12000/5))/((F141*60+G141)*(SUMIFS(팀공격력!X:X,팀공격력!A:A,B141,팀공격력!B:B,D141)+SUMIFS(팀수비력!X:X,팀수비력!A:A,B141,팀수비력!B:B,D141))))*100,"")</f>
        <v>0.31237867435415712</v>
      </c>
      <c r="BJ141" s="67">
        <f>IFERROR(((AI141*(12000/5))/((F141*60+G141)*(SUMIFS(팀공격력!V:V,팀공격력!A:A,B141,팀공격력!B:B,D141)+SUMIFS(팀수비력!W:W,팀수비력!A:A,B141,팀수비력!B:B,D141))))*100,"")</f>
        <v>1.8579935527623719</v>
      </c>
      <c r="BK141" s="67">
        <f>IFERROR(((AE141*(12000/5))/((F141*60+G141)*(SUMIFS(팀공격력!X:X,팀공격력!A:A,B141,팀공격력!B:B,D141)+SUMIFS(팀수비력!X:X,팀수비력!A:A,B141,팀수비력!B:B,D141))))*100,"")</f>
        <v>1.2048891725088917</v>
      </c>
      <c r="BL141" s="67">
        <f>IFERROR(100*AK141/(((((F141*60+G141)/(12000/5))*SUMIFS(팀공격력!P:P,팀공격력!A:A,B141,팀공격력!B:B,D141))-K141)),"")</f>
        <v>0.86695179748006002</v>
      </c>
      <c r="BM141" s="67">
        <f>IFERROR(100*((AM141/E141*(2400))/((F141*60+G141)*SUMIFS(팀공격력!AR:AR,팀공격력!A:A,B141,팀공격력!B:B,D141))),"")</f>
        <v>0</v>
      </c>
      <c r="BN141" s="67">
        <f>IFERROR((AO141*40)/(((F141*60+G141)/60)*(SUMIFS(팀수비력!Q:Q,팀수비력!A:A,B141,팀수비력!B:B,D141)-SUMIFS(팀수비력!N:N,팀수비력!A:A,B141,팀수비력!B:B,D141)))*100,"")</f>
        <v>0.15098175888716378</v>
      </c>
      <c r="BO141" s="67">
        <f t="shared" si="119"/>
        <v>5.040322580645161</v>
      </c>
      <c r="BP141" s="19"/>
      <c r="BQ141" s="19"/>
      <c r="BR141" s="19"/>
      <c r="BS141" s="19"/>
      <c r="BT141" s="20" t="s">
        <v>96</v>
      </c>
      <c r="BU141" s="21">
        <v>200000</v>
      </c>
      <c r="BV141" s="31" t="s">
        <v>93</v>
      </c>
      <c r="BW141" s="31">
        <v>68.900000000000006</v>
      </c>
      <c r="BX141" s="31">
        <v>112.7</v>
      </c>
      <c r="BY141" s="31">
        <v>43.8</v>
      </c>
      <c r="BZ141" s="35">
        <f t="shared" si="121"/>
        <v>13.78</v>
      </c>
      <c r="CA141" s="35">
        <f t="shared" si="122"/>
        <v>22.54</v>
      </c>
      <c r="CB141" s="35">
        <f t="shared" si="123"/>
        <v>8.76</v>
      </c>
      <c r="CC141" s="36">
        <f t="shared" si="124"/>
        <v>24.425406203840467</v>
      </c>
      <c r="CD141" s="36">
        <f t="shared" si="125"/>
        <v>39.952732644017722</v>
      </c>
      <c r="CE141" s="36">
        <f t="shared" si="126"/>
        <v>15.527326440177253</v>
      </c>
      <c r="CF141" s="31">
        <v>0</v>
      </c>
      <c r="CG141" s="31">
        <v>5</v>
      </c>
    </row>
    <row r="142" spans="1:85" x14ac:dyDescent="0.4">
      <c r="A142" s="11" t="s">
        <v>85</v>
      </c>
      <c r="B142" s="11" t="s">
        <v>224</v>
      </c>
      <c r="C142" s="11" t="s">
        <v>236</v>
      </c>
      <c r="D142" s="46" t="s">
        <v>88</v>
      </c>
      <c r="E142" s="15">
        <v>1</v>
      </c>
      <c r="F142" s="15">
        <v>2</v>
      </c>
      <c r="G142" s="15">
        <v>31</v>
      </c>
      <c r="H142" s="16">
        <f t="shared" si="94"/>
        <v>151</v>
      </c>
      <c r="I142" s="16">
        <v>0</v>
      </c>
      <c r="J142" s="17">
        <f t="shared" si="95"/>
        <v>0</v>
      </c>
      <c r="K142" s="15">
        <v>0</v>
      </c>
      <c r="L142" s="15">
        <v>2</v>
      </c>
      <c r="M142" s="17">
        <f t="shared" si="96"/>
        <v>0</v>
      </c>
      <c r="N142" s="17">
        <f t="shared" si="97"/>
        <v>2</v>
      </c>
      <c r="O142" s="18">
        <f t="shared" si="98"/>
        <v>0</v>
      </c>
      <c r="P142" s="16">
        <v>0</v>
      </c>
      <c r="Q142" s="15">
        <v>0</v>
      </c>
      <c r="R142" s="17">
        <f t="shared" si="99"/>
        <v>0</v>
      </c>
      <c r="S142" s="17">
        <f t="shared" si="100"/>
        <v>0</v>
      </c>
      <c r="T142" s="18" t="e">
        <f t="shared" si="101"/>
        <v>#DIV/0!</v>
      </c>
      <c r="U142" s="15">
        <v>0</v>
      </c>
      <c r="V142" s="15">
        <v>2</v>
      </c>
      <c r="W142" s="17">
        <f t="shared" si="102"/>
        <v>0</v>
      </c>
      <c r="X142" s="17">
        <f t="shared" si="103"/>
        <v>2</v>
      </c>
      <c r="Y142" s="18">
        <f t="shared" si="104"/>
        <v>0</v>
      </c>
      <c r="Z142" s="15">
        <v>0</v>
      </c>
      <c r="AA142" s="15">
        <v>0</v>
      </c>
      <c r="AB142" s="17">
        <f t="shared" si="105"/>
        <v>0</v>
      </c>
      <c r="AC142" s="17">
        <f t="shared" si="106"/>
        <v>0</v>
      </c>
      <c r="AD142" s="18" t="e">
        <f t="shared" si="107"/>
        <v>#DIV/0!</v>
      </c>
      <c r="AE142" s="15">
        <v>0</v>
      </c>
      <c r="AF142" s="17">
        <f t="shared" si="108"/>
        <v>0</v>
      </c>
      <c r="AG142" s="15">
        <v>0</v>
      </c>
      <c r="AH142" s="17">
        <f t="shared" si="109"/>
        <v>0</v>
      </c>
      <c r="AI142" s="15">
        <v>0</v>
      </c>
      <c r="AJ142" s="17">
        <f t="shared" si="110"/>
        <v>0</v>
      </c>
      <c r="AK142" s="15">
        <v>0</v>
      </c>
      <c r="AL142" s="17">
        <f t="shared" si="111"/>
        <v>0</v>
      </c>
      <c r="AM142" s="15">
        <v>0</v>
      </c>
      <c r="AN142" s="17">
        <f t="shared" si="112"/>
        <v>0</v>
      </c>
      <c r="AO142" s="15">
        <v>0</v>
      </c>
      <c r="AP142" s="17">
        <f t="shared" si="120"/>
        <v>0</v>
      </c>
      <c r="AQ142" s="4">
        <v>0</v>
      </c>
      <c r="AR142" s="17">
        <f t="shared" si="113"/>
        <v>0</v>
      </c>
      <c r="AS142" s="15">
        <v>0</v>
      </c>
      <c r="AT142" s="17">
        <f t="shared" si="114"/>
        <v>0</v>
      </c>
      <c r="AU142" s="19">
        <v>-4.7122816085336479E-2</v>
      </c>
      <c r="AV142" s="19">
        <v>-0.7489719112901162</v>
      </c>
      <c r="AW142" s="19">
        <v>-4.4523255782797783E-2</v>
      </c>
      <c r="AX142" s="19">
        <v>-2.599560302538701E-3</v>
      </c>
      <c r="AY142" s="19">
        <v>0</v>
      </c>
      <c r="AZ142" s="19">
        <v>129.26213265493121</v>
      </c>
      <c r="BA142" s="19">
        <v>-0.48761344409150081</v>
      </c>
      <c r="BB142" s="19">
        <v>-2</v>
      </c>
      <c r="BC142" s="19">
        <v>-31.788079470198682</v>
      </c>
      <c r="BD142" s="65">
        <f t="shared" si="115"/>
        <v>0</v>
      </c>
      <c r="BE142" s="65">
        <f t="shared" si="116"/>
        <v>0</v>
      </c>
      <c r="BF142" s="66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0.70194054388108185</v>
      </c>
      <c r="BG142" s="38">
        <f t="shared" si="117"/>
        <v>1</v>
      </c>
      <c r="BH142" s="38">
        <f t="shared" si="118"/>
        <v>0</v>
      </c>
      <c r="BI142" s="67">
        <f>IFERROR(((AG142*(12000/5))/((F142*60+G142)*(SUMIFS(팀공격력!X:X,팀공격력!A:A,B142,팀공격력!B:B,D142)+SUMIFS(팀수비력!X:X,팀수비력!A:A,B142,팀수비력!B:B,D142))))*100,"")</f>
        <v>0</v>
      </c>
      <c r="BJ142" s="67">
        <f>IFERROR(((AI142*(12000/5))/((F142*60+G142)*(SUMIFS(팀공격력!V:V,팀공격력!A:A,B142,팀공격력!B:B,D142)+SUMIFS(팀수비력!W:W,팀수비력!A:A,B142,팀수비력!B:B,D142))))*100,"")</f>
        <v>0</v>
      </c>
      <c r="BK142" s="67">
        <f>IFERROR(((AE142*(12000/5))/((F142*60+G142)*(SUMIFS(팀공격력!X:X,팀공격력!A:A,B142,팀공격력!B:B,D142)+SUMIFS(팀수비력!X:X,팀수비력!A:A,B142,팀수비력!B:B,D142))))*100,"")</f>
        <v>0</v>
      </c>
      <c r="BL142" s="67">
        <f>IFERROR(100*AK142/(((((F142*60+G142)/(12000/5))*SUMIFS(팀공격력!P:P,팀공격력!A:A,B142,팀공격력!B:B,D142))-K142)),"")</f>
        <v>0</v>
      </c>
      <c r="BM142" s="67">
        <f>IFERROR(100*((AM142/E142*(2400))/((F142*60+G142)*SUMIFS(팀공격력!AR:AR,팀공격력!A:A,B142,팀공격력!B:B,D142))),"")</f>
        <v>0</v>
      </c>
      <c r="BN142" s="67">
        <f>IFERROR((AO142*40)/(((F142*60+G142)/60)*(SUMIFS(팀수비력!Q:Q,팀수비력!A:A,B142,팀수비력!B:B,D142)-SUMIFS(팀수비력!N:N,팀수비력!A:A,B142,팀수비력!B:B,D142)))*100,"")</f>
        <v>0</v>
      </c>
      <c r="BO142" s="67">
        <f t="shared" si="119"/>
        <v>0</v>
      </c>
      <c r="BP142" s="19"/>
      <c r="BQ142" s="19"/>
      <c r="BR142" s="19"/>
      <c r="BS142" s="19"/>
      <c r="BT142" s="20" t="s">
        <v>89</v>
      </c>
      <c r="BU142" s="21">
        <v>150000</v>
      </c>
      <c r="BV142" s="31" t="s">
        <v>93</v>
      </c>
      <c r="BW142" s="31">
        <v>-1.17</v>
      </c>
      <c r="BX142" s="31">
        <v>0.63</v>
      </c>
      <c r="BY142" s="31">
        <v>1.8</v>
      </c>
      <c r="BZ142" s="35">
        <f t="shared" si="121"/>
        <v>-1.17</v>
      </c>
      <c r="CA142" s="35">
        <f t="shared" si="122"/>
        <v>0.63</v>
      </c>
      <c r="CB142" s="35">
        <f t="shared" si="123"/>
        <v>1.8</v>
      </c>
      <c r="CC142" s="36">
        <f t="shared" si="124"/>
        <v>-18.596026490066226</v>
      </c>
      <c r="CD142" s="36">
        <f t="shared" si="125"/>
        <v>10.013245033112582</v>
      </c>
      <c r="CE142" s="36">
        <f t="shared" si="126"/>
        <v>28.609271523178808</v>
      </c>
      <c r="CF142" s="30">
        <v>1</v>
      </c>
      <c r="CG142" s="30">
        <v>0</v>
      </c>
    </row>
    <row r="143" spans="1:85" x14ac:dyDescent="0.4">
      <c r="A143" s="11" t="s">
        <v>85</v>
      </c>
      <c r="B143" s="11" t="s">
        <v>224</v>
      </c>
      <c r="C143" s="11" t="s">
        <v>237</v>
      </c>
      <c r="D143" s="46" t="s">
        <v>88</v>
      </c>
      <c r="E143" s="15">
        <v>27</v>
      </c>
      <c r="F143" s="15">
        <v>7</v>
      </c>
      <c r="G143" s="15">
        <v>13</v>
      </c>
      <c r="H143" s="16">
        <f t="shared" si="94"/>
        <v>11691</v>
      </c>
      <c r="I143" s="16">
        <v>55</v>
      </c>
      <c r="J143" s="17">
        <f t="shared" si="95"/>
        <v>2.0370370370370372</v>
      </c>
      <c r="K143" s="15">
        <v>17</v>
      </c>
      <c r="L143" s="15">
        <v>55</v>
      </c>
      <c r="M143" s="17">
        <f t="shared" si="96"/>
        <v>0.62962962962962965</v>
      </c>
      <c r="N143" s="17">
        <f t="shared" si="97"/>
        <v>2.0370370370370372</v>
      </c>
      <c r="O143" s="18">
        <f t="shared" si="98"/>
        <v>0.30909090909090908</v>
      </c>
      <c r="P143" s="16">
        <v>5</v>
      </c>
      <c r="Q143" s="15">
        <v>22</v>
      </c>
      <c r="R143" s="17">
        <f t="shared" si="99"/>
        <v>0.18518518518518517</v>
      </c>
      <c r="S143" s="17">
        <f t="shared" si="100"/>
        <v>0.81481481481481477</v>
      </c>
      <c r="T143" s="18">
        <f t="shared" si="101"/>
        <v>0.22727272727272727</v>
      </c>
      <c r="U143" s="15">
        <v>12</v>
      </c>
      <c r="V143" s="15">
        <v>33</v>
      </c>
      <c r="W143" s="17">
        <f t="shared" si="102"/>
        <v>0.44444444444444442</v>
      </c>
      <c r="X143" s="17">
        <f t="shared" si="103"/>
        <v>1.2222222222222223</v>
      </c>
      <c r="Y143" s="18">
        <f t="shared" si="104"/>
        <v>0.36363636363636365</v>
      </c>
      <c r="Z143" s="15">
        <v>9</v>
      </c>
      <c r="AA143" s="15">
        <v>12</v>
      </c>
      <c r="AB143" s="17">
        <f t="shared" si="105"/>
        <v>0.33333333333333331</v>
      </c>
      <c r="AC143" s="17">
        <f t="shared" si="106"/>
        <v>0.44444444444444442</v>
      </c>
      <c r="AD143" s="18">
        <f t="shared" si="107"/>
        <v>0.75</v>
      </c>
      <c r="AE143" s="15">
        <v>24</v>
      </c>
      <c r="AF143" s="17">
        <f t="shared" si="108"/>
        <v>0.88888888888888884</v>
      </c>
      <c r="AG143" s="15">
        <v>7</v>
      </c>
      <c r="AH143" s="17">
        <f t="shared" si="109"/>
        <v>0.25925925925925924</v>
      </c>
      <c r="AI143" s="15">
        <v>17</v>
      </c>
      <c r="AJ143" s="17">
        <f t="shared" si="110"/>
        <v>0.62962962962962965</v>
      </c>
      <c r="AK143" s="15">
        <v>25</v>
      </c>
      <c r="AL143" s="17">
        <f t="shared" si="111"/>
        <v>0.92592592592592593</v>
      </c>
      <c r="AM143" s="15">
        <v>9</v>
      </c>
      <c r="AN143" s="17">
        <f t="shared" si="112"/>
        <v>0.33333333333333331</v>
      </c>
      <c r="AO143" s="15">
        <v>1</v>
      </c>
      <c r="AP143" s="17">
        <f t="shared" si="120"/>
        <v>3.7037037037037035E-2</v>
      </c>
      <c r="AQ143" s="4">
        <v>11</v>
      </c>
      <c r="AR143" s="17">
        <f t="shared" si="113"/>
        <v>0.40740740740740738</v>
      </c>
      <c r="AS143" s="15">
        <v>30</v>
      </c>
      <c r="AT143" s="17">
        <f t="shared" si="114"/>
        <v>1.1111111111111112</v>
      </c>
      <c r="AU143" s="19">
        <v>-5.5629720965130018E-2</v>
      </c>
      <c r="AV143" s="19">
        <v>-1.1420009436003079E-2</v>
      </c>
      <c r="AW143" s="19">
        <v>-7.2877734792830551E-2</v>
      </c>
      <c r="AX143" s="19">
        <v>1.7248013827700529E-2</v>
      </c>
      <c r="AY143" s="19">
        <v>98.124432086517217</v>
      </c>
      <c r="AZ143" s="19">
        <v>118.7750454155712</v>
      </c>
      <c r="BA143" s="19">
        <v>2.7131335277361921</v>
      </c>
      <c r="BB143" s="19">
        <v>2.2962962962962958</v>
      </c>
      <c r="BC143" s="19">
        <v>12.72773928663074</v>
      </c>
      <c r="BD143" s="65">
        <f t="shared" si="115"/>
        <v>45.620437956204377</v>
      </c>
      <c r="BE143" s="65">
        <f t="shared" si="116"/>
        <v>41.818181818181813</v>
      </c>
      <c r="BF143" s="66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8.7242293500512371</v>
      </c>
      <c r="BG143" s="38">
        <f t="shared" si="117"/>
        <v>0.6</v>
      </c>
      <c r="BH143" s="38">
        <f t="shared" si="118"/>
        <v>0.21818181818181817</v>
      </c>
      <c r="BI143" s="67">
        <f>IFERROR(((AG143*(12000/5))/((F143*60+G143)*(SUMIFS(팀공격력!X:X,팀공격력!A:A,B143,팀공격력!B:B,D143)+SUMIFS(팀수비력!X:X,팀수비력!A:A,B143,팀수비력!B:B,D143))))*100,"")</f>
        <v>0.97681460756473149</v>
      </c>
      <c r="BJ143" s="67">
        <f>IFERROR(((AI143*(12000/5))/((F143*60+G143)*(SUMIFS(팀공격력!V:V,팀공격력!A:A,B143,팀공격력!B:B,D143)+SUMIFS(팀수비력!W:W,팀수비력!A:A,B143,팀수비력!B:B,D143))))*100,"")</f>
        <v>4.9384867895478379</v>
      </c>
      <c r="BK143" s="67">
        <f>IFERROR(((AE143*(12000/5))/((F143*60+G143)*(SUMIFS(팀공격력!X:X,팀공격력!A:A,B143,팀공격력!B:B,D143)+SUMIFS(팀수비력!X:X,팀수비력!A:A,B143,팀수비력!B:B,D143))))*100,"")</f>
        <v>3.3490786545076507</v>
      </c>
      <c r="BL143" s="67">
        <f>IFERROR(100*AK143/(((((F143*60+G143)/(12000/5))*SUMIFS(팀공격력!P:P,팀공격력!A:A,B143,팀공격력!B:B,D143))-K143)),"")</f>
        <v>8.827268019396449</v>
      </c>
      <c r="BM143" s="67">
        <f>IFERROR(100*((AM143/E143*(2400))/((F143*60+G143)*SUMIFS(팀공격력!AR:AR,팀공격력!A:A,B143,팀공격력!B:B,D143))),"")</f>
        <v>2.5374872745514634</v>
      </c>
      <c r="BN143" s="67">
        <f>IFERROR((AO143*40)/(((F143*60+G143)/60)*(SUMIFS(팀수비력!Q:Q,팀수비력!A:A,B143,팀수비력!B:B,D143)-SUMIFS(팀수비력!N:N,팀수비력!A:A,B143,팀수비력!B:B,D143)))*100,"")</f>
        <v>0.23606154911457247</v>
      </c>
      <c r="BO143" s="67">
        <f t="shared" si="119"/>
        <v>15.432098765432098</v>
      </c>
      <c r="BP143" s="19"/>
      <c r="BQ143" s="19"/>
      <c r="BR143" s="19"/>
      <c r="BS143" s="19"/>
      <c r="BT143" s="20" t="s">
        <v>89</v>
      </c>
      <c r="BU143" s="21"/>
      <c r="BV143" s="31" t="s">
        <v>90</v>
      </c>
      <c r="BW143" s="31">
        <v>125.44</v>
      </c>
      <c r="BX143" s="31">
        <v>180.24</v>
      </c>
      <c r="BY143" s="31">
        <v>54.8</v>
      </c>
      <c r="BZ143" s="35">
        <f t="shared" si="121"/>
        <v>4.6459259259259262</v>
      </c>
      <c r="CA143" s="35">
        <f t="shared" si="122"/>
        <v>6.6755555555555555</v>
      </c>
      <c r="CB143" s="35">
        <f t="shared" si="123"/>
        <v>2.0296296296296297</v>
      </c>
      <c r="CC143" s="36">
        <f t="shared" si="124"/>
        <v>25.751090582499359</v>
      </c>
      <c r="CD143" s="36">
        <f t="shared" si="125"/>
        <v>37.000769822940725</v>
      </c>
      <c r="CE143" s="36">
        <f t="shared" si="126"/>
        <v>11.249679240441365</v>
      </c>
      <c r="CF143" s="30">
        <v>8</v>
      </c>
      <c r="CG143" s="30">
        <v>19</v>
      </c>
    </row>
    <row r="144" spans="1:85" x14ac:dyDescent="0.4">
      <c r="A144" s="11" t="s">
        <v>85</v>
      </c>
      <c r="B144" s="11" t="s">
        <v>224</v>
      </c>
      <c r="C144" s="11" t="s">
        <v>238</v>
      </c>
      <c r="D144" s="46" t="s">
        <v>88</v>
      </c>
      <c r="E144" s="15">
        <v>52</v>
      </c>
      <c r="F144" s="15">
        <v>22</v>
      </c>
      <c r="G144" s="15">
        <v>4</v>
      </c>
      <c r="H144" s="16">
        <f t="shared" si="94"/>
        <v>68848</v>
      </c>
      <c r="I144" s="16">
        <v>379</v>
      </c>
      <c r="J144" s="17">
        <f t="shared" si="95"/>
        <v>7.2884615384615383</v>
      </c>
      <c r="K144" s="15">
        <v>152</v>
      </c>
      <c r="L144" s="15">
        <v>285</v>
      </c>
      <c r="M144" s="17">
        <f t="shared" si="96"/>
        <v>2.9230769230769229</v>
      </c>
      <c r="N144" s="17">
        <f t="shared" si="97"/>
        <v>5.4807692307692308</v>
      </c>
      <c r="O144" s="18">
        <f t="shared" si="98"/>
        <v>0.53333333333333333</v>
      </c>
      <c r="P144" s="16">
        <v>136</v>
      </c>
      <c r="Q144" s="15">
        <v>234</v>
      </c>
      <c r="R144" s="17">
        <f t="shared" si="99"/>
        <v>2.6153846153846154</v>
      </c>
      <c r="S144" s="17">
        <f t="shared" si="100"/>
        <v>4.5</v>
      </c>
      <c r="T144" s="18">
        <f t="shared" si="101"/>
        <v>0.58119658119658124</v>
      </c>
      <c r="U144" s="15">
        <v>16</v>
      </c>
      <c r="V144" s="15">
        <v>51</v>
      </c>
      <c r="W144" s="17">
        <f t="shared" si="102"/>
        <v>0.30769230769230771</v>
      </c>
      <c r="X144" s="17">
        <f t="shared" si="103"/>
        <v>0.98076923076923073</v>
      </c>
      <c r="Y144" s="18">
        <f t="shared" si="104"/>
        <v>0.31372549019607843</v>
      </c>
      <c r="Z144" s="15">
        <v>59</v>
      </c>
      <c r="AA144" s="15">
        <v>75</v>
      </c>
      <c r="AB144" s="17">
        <f t="shared" si="105"/>
        <v>1.1346153846153846</v>
      </c>
      <c r="AC144" s="17">
        <f t="shared" si="106"/>
        <v>1.4423076923076923</v>
      </c>
      <c r="AD144" s="18">
        <f t="shared" si="107"/>
        <v>0.78666666666666663</v>
      </c>
      <c r="AE144" s="15">
        <v>271</v>
      </c>
      <c r="AF144" s="17">
        <f t="shared" si="108"/>
        <v>5.2115384615384617</v>
      </c>
      <c r="AG144" s="15">
        <v>83</v>
      </c>
      <c r="AH144" s="17">
        <f t="shared" si="109"/>
        <v>1.5961538461538463</v>
      </c>
      <c r="AI144" s="15">
        <v>188</v>
      </c>
      <c r="AJ144" s="17">
        <f t="shared" si="110"/>
        <v>3.6153846153846154</v>
      </c>
      <c r="AK144" s="15">
        <v>54</v>
      </c>
      <c r="AL144" s="17">
        <f t="shared" si="111"/>
        <v>1.0384615384615385</v>
      </c>
      <c r="AM144" s="15">
        <v>36</v>
      </c>
      <c r="AN144" s="17">
        <f t="shared" si="112"/>
        <v>0.69230769230769229</v>
      </c>
      <c r="AO144" s="15">
        <v>45</v>
      </c>
      <c r="AP144" s="17">
        <f t="shared" si="120"/>
        <v>0.86538461538461542</v>
      </c>
      <c r="AQ144" s="3">
        <v>52</v>
      </c>
      <c r="AR144" s="17">
        <f t="shared" si="113"/>
        <v>1</v>
      </c>
      <c r="AS144" s="15">
        <v>89</v>
      </c>
      <c r="AT144" s="17">
        <f t="shared" si="114"/>
        <v>1.7115384615384615</v>
      </c>
      <c r="AU144" s="19">
        <v>1.7475898085046859</v>
      </c>
      <c r="AV144" s="19">
        <v>6.0919932901627442E-2</v>
      </c>
      <c r="AW144" s="19">
        <v>1.255883127669182</v>
      </c>
      <c r="AX144" s="19">
        <v>0.49170668083550412</v>
      </c>
      <c r="AY144" s="19">
        <v>114.7098427876724</v>
      </c>
      <c r="AZ144" s="19">
        <v>115.5956439126014</v>
      </c>
      <c r="BA144" s="19">
        <v>11.73066729526079</v>
      </c>
      <c r="BB144" s="19">
        <v>11.23076923076923</v>
      </c>
      <c r="BC144" s="19">
        <v>20.357889844294679</v>
      </c>
      <c r="BD144" s="65">
        <f t="shared" si="115"/>
        <v>59.591194968553459</v>
      </c>
      <c r="BE144" s="65">
        <f t="shared" si="116"/>
        <v>56.140350877192979</v>
      </c>
      <c r="BF144" s="66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14.810203242687328</v>
      </c>
      <c r="BG144" s="38">
        <f t="shared" si="117"/>
        <v>0.17894736842105263</v>
      </c>
      <c r="BH144" s="38">
        <f t="shared" si="118"/>
        <v>0.26315789473684209</v>
      </c>
      <c r="BI144" s="67">
        <f>IFERROR(((AG144*(12000/5))/((F144*60+G144)*(SUMIFS(팀공격력!X:X,팀공격력!A:A,B144,팀공격력!B:B,D144)+SUMIFS(팀수비력!X:X,팀수비력!A:A,B144,팀수비력!B:B,D144))))*100,"")</f>
        <v>3.787844214638421</v>
      </c>
      <c r="BJ144" s="67">
        <f>IFERROR(((AI144*(12000/5))/((F144*60+G144)*(SUMIFS(팀공격력!V:V,팀공격력!A:A,B144,팀공격력!B:B,D144)+SUMIFS(팀수비력!W:W,팀수비력!A:A,B144,팀수비력!B:B,D144))))*100,"")</f>
        <v>17.860875182883962</v>
      </c>
      <c r="BK144" s="67">
        <f>IFERROR(((AE144*(12000/5))/((F144*60+G144)*(SUMIFS(팀공격력!X:X,팀공격력!A:A,B144,팀공격력!B:B,D144)+SUMIFS(팀수비력!X:X,팀수비력!A:A,B144,팀수비력!B:B,D144))))*100,"")</f>
        <v>12.367539544180866</v>
      </c>
      <c r="BL144" s="67">
        <f>IFERROR(100*AK144/(((((F144*60+G144)/(12000/5))*SUMIFS(팀공격력!P:P,팀공격력!A:A,B144,팀공격력!B:B,D144))-K144)),"")</f>
        <v>7.0498537808104729</v>
      </c>
      <c r="BM144" s="67">
        <f>IFERROR(100*((AM144/E144*(2400))/((F144*60+G144)*SUMIFS(팀공격력!AR:AR,팀공격력!A:A,B144,팀공격력!B:B,D144))),"")</f>
        <v>1.7235512274448732</v>
      </c>
      <c r="BN144" s="67">
        <f>IFERROR((AO144*40)/(((F144*60+G144)/60)*(SUMIFS(팀수비력!Q:Q,팀수비력!A:A,B144,팀수비력!B:B,D144)-SUMIFS(팀수비력!N:N,팀수비력!A:A,B144,팀수비력!B:B,D144)))*100,"")</f>
        <v>3.4740629036989761</v>
      </c>
      <c r="BO144" s="67">
        <f t="shared" si="119"/>
        <v>14.054054054054054</v>
      </c>
      <c r="BP144" s="19"/>
      <c r="BQ144" s="19"/>
      <c r="BR144" s="19"/>
      <c r="BS144" s="19"/>
      <c r="BT144" s="20" t="s">
        <v>89</v>
      </c>
      <c r="BU144" s="21">
        <v>50000</v>
      </c>
      <c r="BV144" s="31" t="s">
        <v>102</v>
      </c>
      <c r="BW144" s="31">
        <v>923</v>
      </c>
      <c r="BX144" s="31">
        <v>1143.3</v>
      </c>
      <c r="BY144" s="31">
        <v>220.3</v>
      </c>
      <c r="BZ144" s="35">
        <f t="shared" si="121"/>
        <v>17.75</v>
      </c>
      <c r="CA144" s="35">
        <f t="shared" si="122"/>
        <v>21.986538461538462</v>
      </c>
      <c r="CB144" s="35">
        <f t="shared" si="123"/>
        <v>4.236538461538462</v>
      </c>
      <c r="CC144" s="36">
        <f t="shared" si="124"/>
        <v>32.175226586102717</v>
      </c>
      <c r="CD144" s="36">
        <f t="shared" si="125"/>
        <v>39.854752498257028</v>
      </c>
      <c r="CE144" s="36">
        <f t="shared" si="126"/>
        <v>7.6795259121543111</v>
      </c>
      <c r="CF144" s="30">
        <v>18</v>
      </c>
      <c r="CG144" s="30">
        <v>34</v>
      </c>
    </row>
    <row r="145" spans="1:85" x14ac:dyDescent="0.4">
      <c r="A145" s="11" t="s">
        <v>85</v>
      </c>
      <c r="B145" s="11" t="s">
        <v>224</v>
      </c>
      <c r="C145" s="11" t="s">
        <v>239</v>
      </c>
      <c r="D145" s="46" t="s">
        <v>88</v>
      </c>
      <c r="E145" s="15">
        <v>17</v>
      </c>
      <c r="F145" s="15">
        <v>18</v>
      </c>
      <c r="G145" s="15">
        <v>54</v>
      </c>
      <c r="H145" s="16">
        <f t="shared" si="94"/>
        <v>19278</v>
      </c>
      <c r="I145" s="16">
        <v>183</v>
      </c>
      <c r="J145" s="17">
        <f t="shared" si="95"/>
        <v>10.764705882352942</v>
      </c>
      <c r="K145" s="15">
        <v>68</v>
      </c>
      <c r="L145" s="15">
        <v>135</v>
      </c>
      <c r="M145" s="17">
        <f t="shared" si="96"/>
        <v>4</v>
      </c>
      <c r="N145" s="17">
        <f t="shared" si="97"/>
        <v>7.9411764705882355</v>
      </c>
      <c r="O145" s="18">
        <f t="shared" si="98"/>
        <v>0.50370370370370365</v>
      </c>
      <c r="P145" s="16">
        <v>41</v>
      </c>
      <c r="Q145" s="15">
        <v>78</v>
      </c>
      <c r="R145" s="17">
        <f t="shared" si="99"/>
        <v>2.4117647058823528</v>
      </c>
      <c r="S145" s="17">
        <f t="shared" si="100"/>
        <v>4.5882352941176467</v>
      </c>
      <c r="T145" s="18">
        <f t="shared" si="101"/>
        <v>0.52564102564102566</v>
      </c>
      <c r="U145" s="15">
        <v>27</v>
      </c>
      <c r="V145" s="15">
        <v>57</v>
      </c>
      <c r="W145" s="17">
        <f t="shared" si="102"/>
        <v>1.588235294117647</v>
      </c>
      <c r="X145" s="17">
        <f t="shared" si="103"/>
        <v>3.3529411764705883</v>
      </c>
      <c r="Y145" s="18">
        <f t="shared" si="104"/>
        <v>0.47368421052631576</v>
      </c>
      <c r="Z145" s="15">
        <v>20</v>
      </c>
      <c r="AA145" s="15">
        <v>27</v>
      </c>
      <c r="AB145" s="17">
        <f t="shared" si="105"/>
        <v>1.1764705882352942</v>
      </c>
      <c r="AC145" s="17">
        <f t="shared" si="106"/>
        <v>1.588235294117647</v>
      </c>
      <c r="AD145" s="18">
        <f t="shared" si="107"/>
        <v>0.7407407407407407</v>
      </c>
      <c r="AE145" s="15">
        <v>62</v>
      </c>
      <c r="AF145" s="17">
        <f t="shared" si="108"/>
        <v>3.6470588235294117</v>
      </c>
      <c r="AG145" s="15">
        <v>7</v>
      </c>
      <c r="AH145" s="17">
        <f t="shared" si="109"/>
        <v>0.41176470588235292</v>
      </c>
      <c r="AI145" s="15">
        <v>55</v>
      </c>
      <c r="AJ145" s="17">
        <f t="shared" si="110"/>
        <v>3.2352941176470589</v>
      </c>
      <c r="AK145" s="15">
        <v>25</v>
      </c>
      <c r="AL145" s="17">
        <f t="shared" si="111"/>
        <v>1.4705882352941178</v>
      </c>
      <c r="AM145" s="15">
        <v>9</v>
      </c>
      <c r="AN145" s="17">
        <f t="shared" si="112"/>
        <v>0.52941176470588236</v>
      </c>
      <c r="AO145" s="15">
        <v>10</v>
      </c>
      <c r="AP145" s="17">
        <f t="shared" si="120"/>
        <v>0.58823529411764708</v>
      </c>
      <c r="AQ145" s="4">
        <v>21</v>
      </c>
      <c r="AR145" s="17">
        <f t="shared" si="113"/>
        <v>1.2352941176470589</v>
      </c>
      <c r="AS145" s="15">
        <v>39</v>
      </c>
      <c r="AT145" s="17">
        <f t="shared" si="114"/>
        <v>2.2941176470588234</v>
      </c>
      <c r="AU145" s="19">
        <v>0.59222166452139369</v>
      </c>
      <c r="AV145" s="19">
        <v>7.3728187304250695E-2</v>
      </c>
      <c r="AW145" s="19">
        <v>0.46555874448328782</v>
      </c>
      <c r="AX145" s="19">
        <v>0.12666292003810589</v>
      </c>
      <c r="AY145" s="19">
        <v>113.22923097115169</v>
      </c>
      <c r="AZ145" s="19">
        <v>115.9163458790599</v>
      </c>
      <c r="BA145" s="19">
        <v>4.6465721011245167</v>
      </c>
      <c r="BB145" s="19">
        <v>11.41176470588235</v>
      </c>
      <c r="BC145" s="19">
        <v>24.151882975412381</v>
      </c>
      <c r="BD145" s="65">
        <f t="shared" si="115"/>
        <v>62.295751633986931</v>
      </c>
      <c r="BE145" s="65">
        <f t="shared" si="116"/>
        <v>60.370370370370374</v>
      </c>
      <c r="BF145" s="66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7.8457268758907226</v>
      </c>
      <c r="BG145" s="38">
        <f t="shared" si="117"/>
        <v>0.42222222222222222</v>
      </c>
      <c r="BH145" s="38">
        <f t="shared" si="118"/>
        <v>0.2</v>
      </c>
      <c r="BI145" s="67">
        <f>IFERROR(((AG145*(12000/5))/((F145*60+G145)*(SUMIFS(팀공격력!X:X,팀공격력!A:A,B145,팀공격력!B:B,D145)+SUMIFS(팀수비력!X:X,팀수비력!A:A,B145,팀수비력!B:B,D145))))*100,"")</f>
        <v>0.37298123904367608</v>
      </c>
      <c r="BJ145" s="67">
        <f>IFERROR(((AI145*(12000/5))/((F145*60+G145)*(SUMIFS(팀공격력!V:V,팀공격력!A:A,B145,팀공격력!B:B,D145)+SUMIFS(팀수비력!W:W,팀수비력!A:A,B145,팀수비력!B:B,D145))))*100,"")</f>
        <v>6.1007398533603983</v>
      </c>
      <c r="BK145" s="67">
        <f>IFERROR(((AE145*(12000/5))/((F145*60+G145)*(SUMIFS(팀공격력!X:X,팀공격력!A:A,B145,팀공격력!B:B,D145)+SUMIFS(팀수비력!X:X,팀수비력!A:A,B145,팀수비력!B:B,D145))))*100,"")</f>
        <v>3.303548117243988</v>
      </c>
      <c r="BL145" s="67">
        <f>IFERROR(100*AK145/(((((F145*60+G145)/(12000/5))*SUMIFS(팀공격력!P:P,팀공격력!A:A,B145,팀공격력!B:B,D145))-K145)),"")</f>
        <v>3.4807306749832922</v>
      </c>
      <c r="BM145" s="67">
        <f>IFERROR(100*((AM145/E145*(2400))/((F145*60+G145)*SUMIFS(팀공격력!AR:AR,팀공격력!A:A,B145,팀공격력!B:B,D145))),"")</f>
        <v>1.538840321961882</v>
      </c>
      <c r="BN145" s="67">
        <f>IFERROR((AO145*40)/(((F145*60+G145)/60)*(SUMIFS(팀수비력!Q:Q,팀수비력!A:A,B145,팀수비력!B:B,D145)-SUMIFS(팀수비력!N:N,팀수비력!A:A,B145,팀수비력!B:B,D145)))*100,"")</f>
        <v>0.90136376337398483</v>
      </c>
      <c r="BO145" s="67">
        <f t="shared" si="119"/>
        <v>12.508934953538242</v>
      </c>
      <c r="BP145" s="19"/>
      <c r="BQ145" s="19"/>
      <c r="BR145" s="19"/>
      <c r="BS145" s="19"/>
      <c r="BT145" s="20" t="s">
        <v>96</v>
      </c>
      <c r="BU145" s="21">
        <v>40000</v>
      </c>
      <c r="BV145" s="31" t="s">
        <v>93</v>
      </c>
      <c r="BW145" s="31">
        <v>284.2</v>
      </c>
      <c r="BX145" s="31">
        <v>385.3</v>
      </c>
      <c r="BY145" s="31">
        <v>101.1</v>
      </c>
      <c r="BZ145" s="35">
        <f t="shared" si="121"/>
        <v>16.71764705882353</v>
      </c>
      <c r="CA145" s="35">
        <f t="shared" si="122"/>
        <v>22.664705882352941</v>
      </c>
      <c r="CB145" s="35">
        <f t="shared" si="123"/>
        <v>5.9470588235294111</v>
      </c>
      <c r="CC145" s="36">
        <f t="shared" si="124"/>
        <v>35.381263616557739</v>
      </c>
      <c r="CD145" s="36">
        <f t="shared" si="125"/>
        <v>47.967631497043264</v>
      </c>
      <c r="CE145" s="36">
        <f t="shared" si="126"/>
        <v>12.586367880485527</v>
      </c>
      <c r="CF145" s="31">
        <v>4</v>
      </c>
      <c r="CG145" s="31">
        <v>13</v>
      </c>
    </row>
    <row r="146" spans="1:85" x14ac:dyDescent="0.4">
      <c r="A146" s="11" t="s">
        <v>85</v>
      </c>
      <c r="B146" s="11" t="s">
        <v>224</v>
      </c>
      <c r="C146" s="11" t="s">
        <v>240</v>
      </c>
      <c r="D146" s="46" t="s">
        <v>88</v>
      </c>
      <c r="E146" s="15">
        <v>11</v>
      </c>
      <c r="F146" s="15">
        <v>3</v>
      </c>
      <c r="G146" s="15">
        <v>43</v>
      </c>
      <c r="H146" s="16">
        <f t="shared" si="94"/>
        <v>2453</v>
      </c>
      <c r="I146" s="16">
        <v>14</v>
      </c>
      <c r="J146" s="17">
        <f t="shared" si="95"/>
        <v>1.2727272727272727</v>
      </c>
      <c r="K146" s="15">
        <v>6</v>
      </c>
      <c r="L146" s="15">
        <v>12</v>
      </c>
      <c r="M146" s="17">
        <f t="shared" si="96"/>
        <v>0.54545454545454541</v>
      </c>
      <c r="N146" s="17">
        <f t="shared" si="97"/>
        <v>1.0909090909090908</v>
      </c>
      <c r="O146" s="18">
        <f t="shared" si="98"/>
        <v>0.5</v>
      </c>
      <c r="P146" s="16">
        <v>5</v>
      </c>
      <c r="Q146" s="15">
        <v>8</v>
      </c>
      <c r="R146" s="17">
        <f t="shared" si="99"/>
        <v>0.45454545454545453</v>
      </c>
      <c r="S146" s="17">
        <f t="shared" si="100"/>
        <v>0.72727272727272729</v>
      </c>
      <c r="T146" s="18">
        <f t="shared" si="101"/>
        <v>0.625</v>
      </c>
      <c r="U146" s="15">
        <v>1</v>
      </c>
      <c r="V146" s="15">
        <v>4</v>
      </c>
      <c r="W146" s="17">
        <f t="shared" si="102"/>
        <v>9.0909090909090912E-2</v>
      </c>
      <c r="X146" s="17">
        <f t="shared" si="103"/>
        <v>0.36363636363636365</v>
      </c>
      <c r="Y146" s="18">
        <f t="shared" si="104"/>
        <v>0.25</v>
      </c>
      <c r="Z146" s="15">
        <v>1</v>
      </c>
      <c r="AA146" s="15">
        <v>2</v>
      </c>
      <c r="AB146" s="17">
        <f t="shared" si="105"/>
        <v>9.0909090909090912E-2</v>
      </c>
      <c r="AC146" s="17">
        <f t="shared" si="106"/>
        <v>0.18181818181818182</v>
      </c>
      <c r="AD146" s="18">
        <f t="shared" si="107"/>
        <v>0.5</v>
      </c>
      <c r="AE146" s="15">
        <v>4</v>
      </c>
      <c r="AF146" s="17">
        <f t="shared" si="108"/>
        <v>0.36363636363636365</v>
      </c>
      <c r="AG146" s="15">
        <v>0</v>
      </c>
      <c r="AH146" s="17">
        <f t="shared" si="109"/>
        <v>0</v>
      </c>
      <c r="AI146" s="15">
        <v>4</v>
      </c>
      <c r="AJ146" s="17">
        <f t="shared" si="110"/>
        <v>0.36363636363636365</v>
      </c>
      <c r="AK146" s="15">
        <v>4</v>
      </c>
      <c r="AL146" s="17">
        <f t="shared" si="111"/>
        <v>0.36363636363636365</v>
      </c>
      <c r="AM146" s="15">
        <v>2</v>
      </c>
      <c r="AN146" s="17">
        <f t="shared" si="112"/>
        <v>0.18181818181818182</v>
      </c>
      <c r="AO146" s="15">
        <v>0</v>
      </c>
      <c r="AP146" s="17">
        <f t="shared" si="120"/>
        <v>0</v>
      </c>
      <c r="AQ146" s="4">
        <v>2</v>
      </c>
      <c r="AR146" s="17">
        <f t="shared" si="113"/>
        <v>0.18181818181818182</v>
      </c>
      <c r="AS146" s="15">
        <v>10</v>
      </c>
      <c r="AT146" s="17">
        <f t="shared" si="114"/>
        <v>0.90909090909090906</v>
      </c>
      <c r="AU146" s="19">
        <v>1.350607331309484E-2</v>
      </c>
      <c r="AV146" s="19">
        <v>1.321425843922854E-2</v>
      </c>
      <c r="AW146" s="19">
        <v>6.0777207438685961E-3</v>
      </c>
      <c r="AX146" s="19">
        <v>7.4283525692262391E-3</v>
      </c>
      <c r="AY146" s="19">
        <v>103.4879051225375</v>
      </c>
      <c r="AZ146" s="19">
        <v>117.9037199055384</v>
      </c>
      <c r="BA146" s="19">
        <v>1.0088158847099331</v>
      </c>
      <c r="BB146" s="19">
        <v>1.363636363636364</v>
      </c>
      <c r="BC146" s="19">
        <v>14.67590705258867</v>
      </c>
      <c r="BD146" s="65">
        <f t="shared" si="115"/>
        <v>54.347826086956516</v>
      </c>
      <c r="BE146" s="65">
        <f t="shared" si="116"/>
        <v>54.166666666666664</v>
      </c>
      <c r="BF146" s="66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3.5362694377478143</v>
      </c>
      <c r="BG146" s="38">
        <f t="shared" si="117"/>
        <v>0.33333333333333331</v>
      </c>
      <c r="BH146" s="38">
        <f t="shared" si="118"/>
        <v>0.16666666666666666</v>
      </c>
      <c r="BI146" s="67">
        <f>IFERROR(((AG146*(12000/5))/((F146*60+G146)*(SUMIFS(팀공격력!X:X,팀공격력!A:A,B146,팀공격력!B:B,D146)+SUMIFS(팀수비력!X:X,팀수비력!A:A,B146,팀수비력!B:B,D146))))*100,"")</f>
        <v>0</v>
      </c>
      <c r="BJ146" s="67">
        <f>IFERROR(((AI146*(12000/5))/((F146*60+G146)*(SUMIFS(팀공격력!V:V,팀공격력!A:A,B146,팀공격력!B:B,D146)+SUMIFS(팀수비력!W:W,팀수비력!A:A,B146,팀수비력!B:B,D146))))*100,"")</f>
        <v>2.2562540542065039</v>
      </c>
      <c r="BK146" s="67">
        <f>IFERROR(((AE146*(12000/5))/((F146*60+G146)*(SUMIFS(팀공격력!X:X,팀공격력!A:A,B146,팀공격력!B:B,D146)+SUMIFS(팀수비력!X:X,팀수비력!A:A,B146,팀수비력!B:B,D146))))*100,"")</f>
        <v>1.0838199233197403</v>
      </c>
      <c r="BL146" s="67">
        <f>IFERROR(100*AK146/(((((F146*60+G146)/(12000/5))*SUMIFS(팀공격력!P:P,팀공격력!A:A,B146,팀공격력!B:B,D146))-K146)),"")</f>
        <v>2.6915485375919617</v>
      </c>
      <c r="BM146" s="67">
        <f>IFERROR(100*((AM146/E146*(2400))/((F146*60+G146)*SUMIFS(팀공격력!AR:AR,팀공격력!A:A,B146,팀공격력!B:B,D146))),"")</f>
        <v>2.6874814265326954</v>
      </c>
      <c r="BN146" s="67">
        <f>IFERROR((AO146*40)/(((F146*60+G146)/60)*(SUMIFS(팀수비력!Q:Q,팀수비력!A:A,B146,팀수비력!B:B,D146)-SUMIFS(팀수비력!N:N,팀수비력!A:A,B146,팀수비력!B:B,D146)))*100,"")</f>
        <v>0</v>
      </c>
      <c r="BO146" s="67">
        <f t="shared" si="119"/>
        <v>13.440860215053762</v>
      </c>
      <c r="BP146" s="19"/>
      <c r="BQ146" s="19"/>
      <c r="BR146" s="19"/>
      <c r="BS146" s="19"/>
      <c r="BT146" s="20" t="s">
        <v>89</v>
      </c>
      <c r="BU146" s="21">
        <v>70000</v>
      </c>
      <c r="BV146" s="31" t="s">
        <v>90</v>
      </c>
      <c r="BW146" s="31">
        <v>26.72</v>
      </c>
      <c r="BX146" s="31">
        <v>36.22</v>
      </c>
      <c r="BY146" s="31">
        <v>9.5</v>
      </c>
      <c r="BZ146" s="35">
        <f t="shared" si="121"/>
        <v>2.4290909090909087</v>
      </c>
      <c r="CA146" s="35">
        <f t="shared" si="122"/>
        <v>3.2927272727272725</v>
      </c>
      <c r="CB146" s="35">
        <f t="shared" si="123"/>
        <v>0.86363636363636365</v>
      </c>
      <c r="CC146" s="36">
        <f t="shared" si="124"/>
        <v>26.142682429677947</v>
      </c>
      <c r="CD146" s="36">
        <f t="shared" si="125"/>
        <v>35.437423562984101</v>
      </c>
      <c r="CE146" s="36">
        <f t="shared" si="126"/>
        <v>9.2947411333061556</v>
      </c>
      <c r="CF146" s="31">
        <v>3</v>
      </c>
      <c r="CG146" s="31">
        <v>8</v>
      </c>
    </row>
    <row r="147" spans="1:85" x14ac:dyDescent="0.4">
      <c r="A147" s="11" t="s">
        <v>85</v>
      </c>
      <c r="B147" s="11" t="s">
        <v>224</v>
      </c>
      <c r="C147" s="11" t="s">
        <v>241</v>
      </c>
      <c r="D147" s="46" t="s">
        <v>88</v>
      </c>
      <c r="E147" s="15">
        <v>45</v>
      </c>
      <c r="F147" s="15">
        <v>12</v>
      </c>
      <c r="G147" s="15">
        <v>12</v>
      </c>
      <c r="H147" s="16">
        <f t="shared" si="94"/>
        <v>32940</v>
      </c>
      <c r="I147" s="16">
        <v>165</v>
      </c>
      <c r="J147" s="17">
        <f t="shared" si="95"/>
        <v>3.6666666666666665</v>
      </c>
      <c r="K147" s="15">
        <v>65</v>
      </c>
      <c r="L147" s="15">
        <v>159</v>
      </c>
      <c r="M147" s="17">
        <f t="shared" si="96"/>
        <v>1.4444444444444444</v>
      </c>
      <c r="N147" s="17">
        <f t="shared" si="97"/>
        <v>3.5333333333333332</v>
      </c>
      <c r="O147" s="18">
        <f t="shared" si="98"/>
        <v>0.4088050314465409</v>
      </c>
      <c r="P147" s="16">
        <v>48</v>
      </c>
      <c r="Q147" s="15">
        <v>97</v>
      </c>
      <c r="R147" s="17">
        <f t="shared" si="99"/>
        <v>1.0666666666666667</v>
      </c>
      <c r="S147" s="17">
        <f t="shared" si="100"/>
        <v>2.1555555555555554</v>
      </c>
      <c r="T147" s="18">
        <f t="shared" si="101"/>
        <v>0.49484536082474229</v>
      </c>
      <c r="U147" s="15">
        <v>17</v>
      </c>
      <c r="V147" s="15">
        <v>62</v>
      </c>
      <c r="W147" s="17">
        <f t="shared" si="102"/>
        <v>0.37777777777777777</v>
      </c>
      <c r="X147" s="17">
        <f t="shared" si="103"/>
        <v>1.3777777777777778</v>
      </c>
      <c r="Y147" s="18">
        <f t="shared" si="104"/>
        <v>0.27419354838709675</v>
      </c>
      <c r="Z147" s="15">
        <v>18</v>
      </c>
      <c r="AA147" s="15">
        <v>27</v>
      </c>
      <c r="AB147" s="17">
        <f t="shared" si="105"/>
        <v>0.4</v>
      </c>
      <c r="AC147" s="17">
        <f t="shared" si="106"/>
        <v>0.6</v>
      </c>
      <c r="AD147" s="18">
        <f t="shared" si="107"/>
        <v>0.66666666666666663</v>
      </c>
      <c r="AE147" s="15">
        <v>66</v>
      </c>
      <c r="AF147" s="17">
        <f t="shared" si="108"/>
        <v>1.4666666666666666</v>
      </c>
      <c r="AG147" s="15">
        <v>30</v>
      </c>
      <c r="AH147" s="17">
        <f t="shared" si="109"/>
        <v>0.66666666666666663</v>
      </c>
      <c r="AI147" s="15">
        <v>36</v>
      </c>
      <c r="AJ147" s="17">
        <f t="shared" si="110"/>
        <v>0.8</v>
      </c>
      <c r="AK147" s="15">
        <v>12</v>
      </c>
      <c r="AL147" s="17">
        <f t="shared" si="111"/>
        <v>0.26666666666666666</v>
      </c>
      <c r="AM147" s="15">
        <v>14</v>
      </c>
      <c r="AN147" s="17">
        <f t="shared" si="112"/>
        <v>0.31111111111111112</v>
      </c>
      <c r="AO147" s="15">
        <v>6</v>
      </c>
      <c r="AP147" s="17">
        <f t="shared" si="120"/>
        <v>0.13333333333333333</v>
      </c>
      <c r="AQ147" s="4">
        <v>19</v>
      </c>
      <c r="AR147" s="17">
        <f t="shared" si="113"/>
        <v>0.42222222222222222</v>
      </c>
      <c r="AS147" s="15">
        <v>61</v>
      </c>
      <c r="AT147" s="17">
        <f t="shared" si="114"/>
        <v>1.3555555555555556</v>
      </c>
      <c r="AU147" s="19">
        <v>-0.35725040613287179</v>
      </c>
      <c r="AV147" s="19">
        <v>-2.602917348873383E-2</v>
      </c>
      <c r="AW147" s="19">
        <v>-0.2058686653869671</v>
      </c>
      <c r="AX147" s="19">
        <v>-0.15138174074590471</v>
      </c>
      <c r="AY147" s="19">
        <v>97.564393893213605</v>
      </c>
      <c r="AZ147" s="19">
        <v>122.1813540761577</v>
      </c>
      <c r="BA147" s="19">
        <v>4.3925278637357534</v>
      </c>
      <c r="BB147" s="19">
        <v>3.1333333333333329</v>
      </c>
      <c r="BC147" s="19">
        <v>10.27322404371585</v>
      </c>
      <c r="BD147" s="65">
        <f t="shared" si="115"/>
        <v>48.279494382022477</v>
      </c>
      <c r="BE147" s="65">
        <f t="shared" si="116"/>
        <v>46.226415094339622</v>
      </c>
      <c r="BF147" s="66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13.747237050063601</v>
      </c>
      <c r="BG147" s="38">
        <f t="shared" si="117"/>
        <v>0.38993710691823902</v>
      </c>
      <c r="BH147" s="38">
        <f t="shared" si="118"/>
        <v>0.16981132075471697</v>
      </c>
      <c r="BI147" s="67">
        <f>IFERROR(((AG147*(12000/5))/((F147*60+G147)*(SUMIFS(팀공격력!X:X,팀공격력!A:A,B147,팀공격력!B:B,D147)+SUMIFS(팀수비력!X:X,팀수비력!A:A,B147,팀수비력!B:B,D147))))*100,"")</f>
        <v>2.4763508493883415</v>
      </c>
      <c r="BJ147" s="67">
        <f>IFERROR(((AI147*(12000/5))/((F147*60+G147)*(SUMIFS(팀공격력!V:V,팀공격력!A:A,B147,팀공격력!B:B,D147)+SUMIFS(팀수비력!W:W,팀수비력!A:A,B147,팀수비력!B:B,D147))))*100,"")</f>
        <v>6.1862047633776678</v>
      </c>
      <c r="BK147" s="67">
        <f>IFERROR(((AE147*(12000/5))/((F147*60+G147)*(SUMIFS(팀공격력!X:X,팀공격력!A:A,B147,팀공격력!B:B,D147)+SUMIFS(팀수비력!X:X,팀수비력!A:A,B147,팀수비력!B:B,D147))))*100,"")</f>
        <v>5.447971868654351</v>
      </c>
      <c r="BL147" s="67">
        <f>IFERROR(100*AK147/(((((F147*60+G147)/(12000/5))*SUMIFS(팀공격력!P:P,팀공격력!A:A,B147,팀공격력!B:B,D147))-K147)),"")</f>
        <v>2.7117418421766248</v>
      </c>
      <c r="BM147" s="67">
        <f>IFERROR(100*((AM147/E147*(2400))/((F147*60+G147)*SUMIFS(팀공격력!AR:AR,팀공격력!A:A,B147,팀공격력!B:B,D147))),"")</f>
        <v>1.4009333204308716</v>
      </c>
      <c r="BN147" s="67">
        <f>IFERROR((AO147*40)/(((F147*60+G147)/60)*(SUMIFS(팀수비력!Q:Q,팀수비력!A:A,B147,팀수비력!B:B,D147)-SUMIFS(팀수비력!N:N,팀수비력!A:A,B147,팀수비력!B:B,D147)))*100,"")</f>
        <v>0.83782500628368761</v>
      </c>
      <c r="BO147" s="67">
        <f t="shared" si="119"/>
        <v>10.006319780914263</v>
      </c>
      <c r="BP147" s="19"/>
      <c r="BQ147" s="19"/>
      <c r="BR147" s="19"/>
      <c r="BS147" s="19"/>
      <c r="BT147" s="20" t="s">
        <v>89</v>
      </c>
      <c r="BU147" s="21">
        <v>105000</v>
      </c>
      <c r="BV147" s="30" t="s">
        <v>93</v>
      </c>
      <c r="BW147" s="30">
        <v>297.5</v>
      </c>
      <c r="BX147" s="30">
        <v>422.7</v>
      </c>
      <c r="BY147" s="30">
        <v>125.2</v>
      </c>
      <c r="BZ147" s="35">
        <f t="shared" si="121"/>
        <v>6.6111111111111107</v>
      </c>
      <c r="CA147" s="35">
        <f t="shared" si="122"/>
        <v>9.3933333333333326</v>
      </c>
      <c r="CB147" s="35">
        <f t="shared" si="123"/>
        <v>2.7822222222222224</v>
      </c>
      <c r="CC147" s="36">
        <f t="shared" si="124"/>
        <v>21.67577413479053</v>
      </c>
      <c r="CD147" s="36">
        <f t="shared" si="125"/>
        <v>30.797814207650273</v>
      </c>
      <c r="CE147" s="36">
        <f t="shared" si="126"/>
        <v>9.1220400728597451</v>
      </c>
      <c r="CF147" s="31">
        <v>15</v>
      </c>
      <c r="CG147" s="31">
        <v>30</v>
      </c>
    </row>
    <row r="148" spans="1:85" x14ac:dyDescent="0.4">
      <c r="A148" s="11" t="s">
        <v>85</v>
      </c>
      <c r="B148" s="11" t="s">
        <v>224</v>
      </c>
      <c r="C148" s="11" t="s">
        <v>242</v>
      </c>
      <c r="D148" s="46" t="s">
        <v>88</v>
      </c>
      <c r="E148" s="15">
        <v>49</v>
      </c>
      <c r="F148" s="15">
        <v>23</v>
      </c>
      <c r="G148" s="15">
        <v>16</v>
      </c>
      <c r="H148" s="16">
        <f t="shared" si="94"/>
        <v>68404</v>
      </c>
      <c r="I148" s="16">
        <v>428</v>
      </c>
      <c r="J148" s="17">
        <f t="shared" si="95"/>
        <v>8.7346938775510203</v>
      </c>
      <c r="K148" s="15">
        <v>150</v>
      </c>
      <c r="L148" s="15">
        <v>383</v>
      </c>
      <c r="M148" s="17">
        <f t="shared" si="96"/>
        <v>3.0612244897959182</v>
      </c>
      <c r="N148" s="17">
        <f t="shared" si="97"/>
        <v>7.8163265306122449</v>
      </c>
      <c r="O148" s="18">
        <f t="shared" si="98"/>
        <v>0.391644908616188</v>
      </c>
      <c r="P148" s="16">
        <v>100</v>
      </c>
      <c r="Q148" s="15">
        <v>214</v>
      </c>
      <c r="R148" s="17">
        <f t="shared" si="99"/>
        <v>2.0408163265306123</v>
      </c>
      <c r="S148" s="17">
        <f t="shared" si="100"/>
        <v>4.3673469387755102</v>
      </c>
      <c r="T148" s="18">
        <f t="shared" si="101"/>
        <v>0.46728971962616822</v>
      </c>
      <c r="U148" s="15">
        <v>50</v>
      </c>
      <c r="V148" s="15">
        <v>169</v>
      </c>
      <c r="W148" s="17">
        <f t="shared" si="102"/>
        <v>1.0204081632653061</v>
      </c>
      <c r="X148" s="17">
        <f t="shared" si="103"/>
        <v>3.4489795918367347</v>
      </c>
      <c r="Y148" s="18">
        <f t="shared" si="104"/>
        <v>0.29585798816568049</v>
      </c>
      <c r="Z148" s="15">
        <v>78</v>
      </c>
      <c r="AA148" s="15">
        <v>112</v>
      </c>
      <c r="AB148" s="17">
        <f t="shared" si="105"/>
        <v>1.5918367346938775</v>
      </c>
      <c r="AC148" s="17">
        <f t="shared" si="106"/>
        <v>2.2857142857142856</v>
      </c>
      <c r="AD148" s="18">
        <f t="shared" si="107"/>
        <v>0.6964285714285714</v>
      </c>
      <c r="AE148" s="15">
        <v>204</v>
      </c>
      <c r="AF148" s="17">
        <f t="shared" si="108"/>
        <v>4.1632653061224492</v>
      </c>
      <c r="AG148" s="15">
        <v>50</v>
      </c>
      <c r="AH148" s="17">
        <f t="shared" si="109"/>
        <v>1.0204081632653061</v>
      </c>
      <c r="AI148" s="15">
        <v>154</v>
      </c>
      <c r="AJ148" s="17">
        <f t="shared" si="110"/>
        <v>3.1428571428571428</v>
      </c>
      <c r="AK148" s="15">
        <v>81</v>
      </c>
      <c r="AL148" s="17">
        <f t="shared" si="111"/>
        <v>1.653061224489796</v>
      </c>
      <c r="AM148" s="15">
        <v>33</v>
      </c>
      <c r="AN148" s="17">
        <f t="shared" si="112"/>
        <v>0.67346938775510201</v>
      </c>
      <c r="AO148" s="15">
        <v>14</v>
      </c>
      <c r="AP148" s="17">
        <f t="shared" si="120"/>
        <v>0.2857142857142857</v>
      </c>
      <c r="AQ148" s="4">
        <v>46</v>
      </c>
      <c r="AR148" s="17">
        <f t="shared" si="113"/>
        <v>0.93877551020408168</v>
      </c>
      <c r="AS148" s="15">
        <v>118</v>
      </c>
      <c r="AT148" s="17">
        <f t="shared" si="114"/>
        <v>2.4081632653061225</v>
      </c>
      <c r="AU148" s="19">
        <v>0.29377740191966412</v>
      </c>
      <c r="AV148" s="19">
        <v>1.0307376244184459E-2</v>
      </c>
      <c r="AW148" s="19">
        <v>0.15480955117532719</v>
      </c>
      <c r="AX148" s="19">
        <v>0.1389678507443369</v>
      </c>
      <c r="AY148" s="19">
        <v>103.15084208143691</v>
      </c>
      <c r="AZ148" s="19">
        <v>118.462945204747</v>
      </c>
      <c r="BA148" s="19">
        <v>7.8749117823153618</v>
      </c>
      <c r="BB148" s="19">
        <v>9.1224489795918373</v>
      </c>
      <c r="BC148" s="19">
        <v>15.683293374656451</v>
      </c>
      <c r="BD148" s="65">
        <f t="shared" si="115"/>
        <v>49.504950495049513</v>
      </c>
      <c r="BE148" s="65">
        <f t="shared" si="116"/>
        <v>45.691906005221931</v>
      </c>
      <c r="BF148" s="66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18.156999506606024</v>
      </c>
      <c r="BG148" s="38">
        <f t="shared" si="117"/>
        <v>0.44125326370757179</v>
      </c>
      <c r="BH148" s="38">
        <f t="shared" si="118"/>
        <v>0.29242819843342038</v>
      </c>
      <c r="BI148" s="67">
        <f>IFERROR(((AG148*(12000/5))/((F148*60+G148)*(SUMIFS(팀공격력!X:X,팀공격력!A:A,B148,팀공격력!B:B,D148)+SUMIFS(팀수비력!X:X,팀수비력!A:A,B148,팀수비력!B:B,D148))))*100,"")</f>
        <v>2.1641461577749115</v>
      </c>
      <c r="BJ148" s="67">
        <f>IFERROR(((AI148*(12000/5))/((F148*60+G148)*(SUMIFS(팀공격력!V:V,팀공격력!A:A,B148,팀공격력!B:B,D148)+SUMIFS(팀수비력!W:W,팀수비력!A:A,B148,팀수비력!B:B,D148))))*100,"")</f>
        <v>13.87612405615325</v>
      </c>
      <c r="BK148" s="67">
        <f>IFERROR(((AE148*(12000/5))/((F148*60+G148)*(SUMIFS(팀공격력!X:X,팀공격력!A:A,B148,팀공격력!B:B,D148)+SUMIFS(팀수비력!X:X,팀수비력!A:A,B148,팀수비력!B:B,D148))))*100,"")</f>
        <v>8.8297163237216392</v>
      </c>
      <c r="BL148" s="67">
        <f>IFERROR(100*AK148/(((((F148*60+G148)/(12000/5))*SUMIFS(팀공격력!P:P,팀공격력!A:A,B148,팀공격력!B:B,D148))-K148)),"")</f>
        <v>9.9034918978839954</v>
      </c>
      <c r="BM148" s="67">
        <f>IFERROR(100*((AM148/E148*(2400))/((F148*60+G148)*SUMIFS(팀공격력!AR:AR,팀공격력!A:A,B148,팀공격력!B:B,D148))),"")</f>
        <v>1.590176992547184</v>
      </c>
      <c r="BN148" s="67">
        <f>IFERROR((AO148*40)/(((F148*60+G148)/60)*(SUMIFS(팀수비력!Q:Q,팀수비력!A:A,B148,팀수비력!B:B,D148)-SUMIFS(팀수비력!N:N,팀수비력!A:A,B148,팀수비력!B:B,D148)))*100,"")</f>
        <v>1.0250752942210162</v>
      </c>
      <c r="BO148" s="67">
        <f t="shared" si="119"/>
        <v>9.6177971062975676</v>
      </c>
      <c r="BP148" s="19"/>
      <c r="BQ148" s="19"/>
      <c r="BR148" s="19"/>
      <c r="BS148" s="19"/>
      <c r="BT148" s="20" t="s">
        <v>89</v>
      </c>
      <c r="BU148" s="21">
        <v>40000</v>
      </c>
      <c r="BV148" s="31" t="s">
        <v>93</v>
      </c>
      <c r="BW148" s="31">
        <v>799.26</v>
      </c>
      <c r="BX148" s="31">
        <v>1116.56</v>
      </c>
      <c r="BY148" s="31">
        <v>317.3</v>
      </c>
      <c r="BZ148" s="35">
        <f t="shared" si="121"/>
        <v>16.311428571428571</v>
      </c>
      <c r="CA148" s="35">
        <f t="shared" si="122"/>
        <v>22.786938775510205</v>
      </c>
      <c r="CB148" s="35">
        <f t="shared" si="123"/>
        <v>6.4755102040816332</v>
      </c>
      <c r="CC148" s="36">
        <f t="shared" si="124"/>
        <v>28.042570609905852</v>
      </c>
      <c r="CD148" s="36">
        <f t="shared" si="125"/>
        <v>39.175252909186597</v>
      </c>
      <c r="CE148" s="36">
        <f t="shared" si="126"/>
        <v>11.132682299280743</v>
      </c>
      <c r="CF148" s="30">
        <v>15</v>
      </c>
      <c r="CG148" s="30">
        <v>34</v>
      </c>
    </row>
    <row r="149" spans="1:85" x14ac:dyDescent="0.4">
      <c r="A149" s="11" t="s">
        <v>85</v>
      </c>
      <c r="B149" s="11" t="s">
        <v>224</v>
      </c>
      <c r="C149" s="14" t="s">
        <v>98</v>
      </c>
      <c r="D149" s="46" t="s">
        <v>88</v>
      </c>
      <c r="E149" s="15">
        <v>1</v>
      </c>
      <c r="F149" s="15">
        <v>2</v>
      </c>
      <c r="G149" s="15">
        <v>17</v>
      </c>
      <c r="H149" s="16">
        <f t="shared" si="94"/>
        <v>137</v>
      </c>
      <c r="I149" s="16">
        <v>0</v>
      </c>
      <c r="J149" s="17">
        <f t="shared" si="95"/>
        <v>0</v>
      </c>
      <c r="K149" s="15">
        <v>0</v>
      </c>
      <c r="L149" s="15">
        <v>0</v>
      </c>
      <c r="M149" s="17">
        <f t="shared" si="96"/>
        <v>0</v>
      </c>
      <c r="N149" s="17">
        <f t="shared" si="97"/>
        <v>0</v>
      </c>
      <c r="O149" s="18" t="e">
        <f t="shared" si="98"/>
        <v>#DIV/0!</v>
      </c>
      <c r="P149" s="16">
        <v>0</v>
      </c>
      <c r="Q149" s="15">
        <v>0</v>
      </c>
      <c r="R149" s="17">
        <f t="shared" si="99"/>
        <v>0</v>
      </c>
      <c r="S149" s="17">
        <f t="shared" si="100"/>
        <v>0</v>
      </c>
      <c r="T149" s="18" t="e">
        <f t="shared" si="101"/>
        <v>#DIV/0!</v>
      </c>
      <c r="U149" s="15">
        <v>0</v>
      </c>
      <c r="V149" s="15">
        <v>0</v>
      </c>
      <c r="W149" s="17">
        <f t="shared" si="102"/>
        <v>0</v>
      </c>
      <c r="X149" s="17">
        <f t="shared" si="103"/>
        <v>0</v>
      </c>
      <c r="Y149" s="18" t="e">
        <f t="shared" si="104"/>
        <v>#DIV/0!</v>
      </c>
      <c r="Z149" s="15">
        <v>0</v>
      </c>
      <c r="AA149" s="15">
        <v>0</v>
      </c>
      <c r="AB149" s="17">
        <f t="shared" si="105"/>
        <v>0</v>
      </c>
      <c r="AC149" s="17">
        <f t="shared" si="106"/>
        <v>0</v>
      </c>
      <c r="AD149" s="18" t="e">
        <f t="shared" si="107"/>
        <v>#DIV/0!</v>
      </c>
      <c r="AE149" s="15">
        <v>0</v>
      </c>
      <c r="AF149" s="17">
        <f t="shared" si="108"/>
        <v>0</v>
      </c>
      <c r="AG149" s="15">
        <v>0</v>
      </c>
      <c r="AH149" s="17">
        <f t="shared" si="109"/>
        <v>0</v>
      </c>
      <c r="AI149" s="15">
        <v>0</v>
      </c>
      <c r="AJ149" s="17">
        <f t="shared" si="110"/>
        <v>0</v>
      </c>
      <c r="AK149" s="15">
        <v>1</v>
      </c>
      <c r="AL149" s="17">
        <f t="shared" si="111"/>
        <v>1</v>
      </c>
      <c r="AM149" s="15">
        <v>0</v>
      </c>
      <c r="AN149" s="17">
        <f t="shared" si="112"/>
        <v>0</v>
      </c>
      <c r="AO149" s="15">
        <v>0</v>
      </c>
      <c r="AP149" s="17">
        <f t="shared" si="120"/>
        <v>0</v>
      </c>
      <c r="AQ149" s="4">
        <v>0</v>
      </c>
      <c r="AR149" s="17">
        <f t="shared" si="113"/>
        <v>0</v>
      </c>
      <c r="AS149" s="15">
        <v>0</v>
      </c>
      <c r="AT149" s="17">
        <f t="shared" si="114"/>
        <v>0</v>
      </c>
      <c r="AU149" s="19">
        <v>6.5012501267523396E-3</v>
      </c>
      <c r="AV149" s="19">
        <v>0.1138905131693841</v>
      </c>
      <c r="AW149" s="19">
        <v>8.8597915932940759E-3</v>
      </c>
      <c r="AX149" s="19">
        <v>-2.358541466541735E-3</v>
      </c>
      <c r="AY149" s="19">
        <v>228.6057692307692</v>
      </c>
      <c r="AZ149" s="19">
        <v>129.26213265493121</v>
      </c>
      <c r="BA149" s="19">
        <v>0.22144933504764119</v>
      </c>
      <c r="BB149" s="19">
        <v>1</v>
      </c>
      <c r="BC149" s="19">
        <v>17.518248175182482</v>
      </c>
      <c r="BD149" s="65" t="str">
        <f t="shared" si="115"/>
        <v/>
      </c>
      <c r="BE149" s="65" t="str">
        <f t="shared" si="116"/>
        <v/>
      </c>
      <c r="BF149" s="66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0</v>
      </c>
      <c r="BG149" s="38" t="str">
        <f t="shared" si="117"/>
        <v/>
      </c>
      <c r="BH149" s="38" t="str">
        <f t="shared" si="118"/>
        <v/>
      </c>
      <c r="BI149" s="67">
        <f>IFERROR(((AG149*(12000/5))/((F149*60+G149)*(SUMIFS(팀공격력!X:X,팀공격력!A:A,B149,팀공격력!B:B,D149)+SUMIFS(팀수비력!X:X,팀수비력!A:A,B149,팀수비력!B:B,D149))))*100,"")</f>
        <v>0</v>
      </c>
      <c r="BJ149" s="67">
        <f>IFERROR(((AI149*(12000/5))/((F149*60+G149)*(SUMIFS(팀공격력!V:V,팀공격력!A:A,B149,팀공격력!B:B,D149)+SUMIFS(팀수비력!W:W,팀수비력!A:A,B149,팀수비력!B:B,D149))))*100,"")</f>
        <v>0</v>
      </c>
      <c r="BK149" s="67">
        <f>IFERROR(((AE149*(12000/5))/((F149*60+G149)*(SUMIFS(팀공격력!X:X,팀공격력!A:A,B149,팀공격력!B:B,D149)+SUMIFS(팀수비력!X:X,팀수비력!A:A,B149,팀수비력!B:B,D149))))*100,"")</f>
        <v>0</v>
      </c>
      <c r="BL149" s="67">
        <f>IFERROR(100*AK149/(((((F149*60+G149)/(12000/5))*SUMIFS(팀공격력!P:P,팀공격력!A:A,B149,팀공격력!B:B,D149))-K149)),"")</f>
        <v>1.0527793374508703</v>
      </c>
      <c r="BM149" s="67">
        <f>IFERROR(100*((AM149/E149*(2400))/((F149*60+G149)*SUMIFS(팀공격력!AR:AR,팀공격력!A:A,B149,팀공격력!B:B,D149))),"")</f>
        <v>0</v>
      </c>
      <c r="BN149" s="67">
        <f>IFERROR((AO149*40)/(((F149*60+G149)/60)*(SUMIFS(팀수비력!Q:Q,팀수비력!A:A,B149,팀수비력!B:B,D149)-SUMIFS(팀수비력!N:N,팀수비력!A:A,B149,팀수비력!B:B,D149)))*100,"")</f>
        <v>0</v>
      </c>
      <c r="BO149" s="67" t="str">
        <f t="shared" si="119"/>
        <v/>
      </c>
      <c r="BP149" s="19"/>
      <c r="BQ149" s="19"/>
      <c r="BR149" s="19"/>
      <c r="BS149" s="19"/>
      <c r="BT149" s="20" t="s">
        <v>89</v>
      </c>
      <c r="BU149" s="21">
        <v>240000</v>
      </c>
      <c r="BV149" s="31" t="s">
        <v>90</v>
      </c>
      <c r="BZ149" s="35"/>
      <c r="CA149" s="35"/>
      <c r="CB149" s="35"/>
      <c r="CC149" s="36"/>
      <c r="CD149" s="36"/>
      <c r="CE149" s="36"/>
      <c r="CF149" s="45">
        <v>0</v>
      </c>
      <c r="CG149" s="45">
        <v>1</v>
      </c>
    </row>
    <row r="150" spans="1:85" x14ac:dyDescent="0.4">
      <c r="A150" s="11" t="s">
        <v>85</v>
      </c>
      <c r="B150" s="11" t="s">
        <v>224</v>
      </c>
      <c r="C150" s="11" t="s">
        <v>243</v>
      </c>
      <c r="D150" s="46" t="s">
        <v>88</v>
      </c>
      <c r="E150" s="15">
        <v>49</v>
      </c>
      <c r="F150" s="15">
        <v>28</v>
      </c>
      <c r="G150" s="15">
        <v>51</v>
      </c>
      <c r="H150" s="16">
        <f t="shared" si="94"/>
        <v>84819</v>
      </c>
      <c r="I150" s="16">
        <v>564</v>
      </c>
      <c r="J150" s="17">
        <f t="shared" si="95"/>
        <v>11.510204081632653</v>
      </c>
      <c r="K150" s="15">
        <v>186</v>
      </c>
      <c r="L150" s="15">
        <v>449</v>
      </c>
      <c r="M150" s="17">
        <f t="shared" si="96"/>
        <v>3.795918367346939</v>
      </c>
      <c r="N150" s="17">
        <f t="shared" si="97"/>
        <v>9.1632653061224492</v>
      </c>
      <c r="O150" s="18">
        <f t="shared" si="98"/>
        <v>0.41425389755011138</v>
      </c>
      <c r="P150" s="16">
        <v>84</v>
      </c>
      <c r="Q150" s="15">
        <v>186</v>
      </c>
      <c r="R150" s="17">
        <f t="shared" si="99"/>
        <v>1.7142857142857142</v>
      </c>
      <c r="S150" s="17">
        <f t="shared" si="100"/>
        <v>3.795918367346939</v>
      </c>
      <c r="T150" s="18">
        <f t="shared" si="101"/>
        <v>0.45161290322580644</v>
      </c>
      <c r="U150" s="15">
        <v>102</v>
      </c>
      <c r="V150" s="15">
        <v>263</v>
      </c>
      <c r="W150" s="17">
        <f t="shared" si="102"/>
        <v>2.0816326530612246</v>
      </c>
      <c r="X150" s="17">
        <f t="shared" si="103"/>
        <v>5.3673469387755102</v>
      </c>
      <c r="Y150" s="18">
        <f t="shared" si="104"/>
        <v>0.38783269961977185</v>
      </c>
      <c r="Z150" s="15">
        <v>90</v>
      </c>
      <c r="AA150" s="15">
        <v>101</v>
      </c>
      <c r="AB150" s="17">
        <f t="shared" si="105"/>
        <v>1.8367346938775511</v>
      </c>
      <c r="AC150" s="17">
        <f t="shared" si="106"/>
        <v>2.0612244897959182</v>
      </c>
      <c r="AD150" s="18">
        <f t="shared" si="107"/>
        <v>0.8910891089108911</v>
      </c>
      <c r="AE150" s="15">
        <v>80</v>
      </c>
      <c r="AF150" s="17">
        <f t="shared" si="108"/>
        <v>1.6326530612244898</v>
      </c>
      <c r="AG150" s="15">
        <v>16</v>
      </c>
      <c r="AH150" s="17">
        <f t="shared" si="109"/>
        <v>0.32653061224489793</v>
      </c>
      <c r="AI150" s="15">
        <v>64</v>
      </c>
      <c r="AJ150" s="17">
        <f t="shared" si="110"/>
        <v>1.3061224489795917</v>
      </c>
      <c r="AK150" s="15">
        <v>199</v>
      </c>
      <c r="AL150" s="17">
        <f t="shared" si="111"/>
        <v>4.0612244897959187</v>
      </c>
      <c r="AM150" s="15">
        <v>32</v>
      </c>
      <c r="AN150" s="17">
        <f t="shared" si="112"/>
        <v>0.65306122448979587</v>
      </c>
      <c r="AO150" s="15">
        <v>0</v>
      </c>
      <c r="AP150" s="17">
        <f t="shared" si="120"/>
        <v>0</v>
      </c>
      <c r="AQ150" s="4">
        <v>69</v>
      </c>
      <c r="AR150" s="17">
        <f t="shared" si="113"/>
        <v>1.4081632653061225</v>
      </c>
      <c r="AS150" s="15">
        <v>87</v>
      </c>
      <c r="AT150" s="17">
        <f t="shared" si="114"/>
        <v>1.7755102040816326</v>
      </c>
      <c r="AU150" s="19">
        <v>1.2996220873715409</v>
      </c>
      <c r="AV150" s="19">
        <v>3.6773517840244498E-2</v>
      </c>
      <c r="AW150" s="19">
        <v>1.9902299999581401</v>
      </c>
      <c r="AX150" s="19">
        <v>-0.69060791258659859</v>
      </c>
      <c r="AY150" s="19">
        <v>115.3373175069468</v>
      </c>
      <c r="AZ150" s="19">
        <v>124.1711929893554</v>
      </c>
      <c r="BA150" s="19">
        <v>9.3292551936434194</v>
      </c>
      <c r="BB150" s="19">
        <v>10.857142857142859</v>
      </c>
      <c r="BC150" s="19">
        <v>15.05323099777172</v>
      </c>
      <c r="BD150" s="65">
        <f t="shared" si="115"/>
        <v>57.149805447470811</v>
      </c>
      <c r="BE150" s="65">
        <f t="shared" si="116"/>
        <v>52.783964365256118</v>
      </c>
      <c r="BF150" s="66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17.219732918709372</v>
      </c>
      <c r="BG150" s="38">
        <f t="shared" si="117"/>
        <v>0.58574610244988867</v>
      </c>
      <c r="BH150" s="38">
        <f t="shared" si="118"/>
        <v>0.22494432071269488</v>
      </c>
      <c r="BI150" s="67">
        <f>IFERROR(((AG150*(12000/5))/((F150*60+G150)*(SUMIFS(팀공격력!X:X,팀공격력!A:A,B150,팀공격력!B:B,D150)+SUMIFS(팀수비력!X:X,팀수비력!A:A,B150,팀수비력!B:B,D150))))*100,"")</f>
        <v>0.55850223662692577</v>
      </c>
      <c r="BJ150" s="67">
        <f>IFERROR(((AI150*(12000/5))/((F150*60+G150)*(SUMIFS(팀공격력!V:V,팀공격력!A:A,B150,팀공격력!B:B,D150)+SUMIFS(팀수비력!W:W,팀수비력!A:A,B150,팀수비력!B:B,D150))))*100,"")</f>
        <v>4.6506727125411924</v>
      </c>
      <c r="BK150" s="67">
        <f>IFERROR(((AE150*(12000/5))/((F150*60+G150)*(SUMIFS(팀공격력!X:X,팀공격력!A:A,B150,팀공격력!B:B,D150)+SUMIFS(팀수비력!X:X,팀수비력!A:A,B150,팀수비력!B:B,D150))))*100,"")</f>
        <v>2.7925111831346285</v>
      </c>
      <c r="BL150" s="67">
        <f>IFERROR(100*AK150/(((((F150*60+G150)/(12000/5))*SUMIFS(팀공격력!P:P,팀공격력!A:A,B150,팀공격력!B:B,D150))-K150)),"")</f>
        <v>19.622150351029426</v>
      </c>
      <c r="BM150" s="67">
        <f>IFERROR(100*((AM150/E150*(2400))/((F150*60+G150)*SUMIFS(팀공격력!AR:AR,팀공격력!A:A,B150,팀공격력!B:B,D150))),"")</f>
        <v>1.2435689058884829</v>
      </c>
      <c r="BN150" s="67">
        <f>IFERROR((AO150*40)/(((F150*60+G150)/60)*(SUMIFS(팀수비력!Q:Q,팀수비력!A:A,B150,팀수비력!B:B,D150)-SUMIFS(팀수비력!N:N,팀수비력!A:A,B150,팀수비력!B:B,D150)))*100,"")</f>
        <v>0</v>
      </c>
      <c r="BO150" s="67">
        <f t="shared" si="119"/>
        <v>12.267975250693405</v>
      </c>
      <c r="BP150" s="19"/>
      <c r="BQ150" s="19"/>
      <c r="BR150" s="19"/>
      <c r="BS150" s="19"/>
      <c r="BT150" s="20" t="s">
        <v>89</v>
      </c>
      <c r="BU150" s="21">
        <v>40000</v>
      </c>
      <c r="BV150" s="31" t="s">
        <v>90</v>
      </c>
      <c r="BW150" s="31">
        <v>981.12</v>
      </c>
      <c r="BX150" s="31">
        <v>1340.32</v>
      </c>
      <c r="BY150" s="31">
        <v>359.2</v>
      </c>
      <c r="BZ150" s="35">
        <f t="shared" ref="BZ150:BZ181" si="127">CA150-CB150</f>
        <v>20.022857142857141</v>
      </c>
      <c r="CA150" s="35">
        <f t="shared" ref="CA150:CA181" si="128">BX150/$E150</f>
        <v>27.353469387755101</v>
      </c>
      <c r="CB150" s="35">
        <f t="shared" ref="CB150:CB181" si="129">BY150/$E150</f>
        <v>7.3306122448979592</v>
      </c>
      <c r="CC150" s="36">
        <f t="shared" ref="CC150:CC181" si="130">CD150-CE150</f>
        <v>27.76132706115375</v>
      </c>
      <c r="CD150" s="36">
        <f t="shared" ref="CD150:CD181" si="131">BX150*2400/$H150</f>
        <v>37.925087539348496</v>
      </c>
      <c r="CE150" s="36">
        <f t="shared" ref="CE150:CE181" si="132">BY150*2400/$H150</f>
        <v>10.163760478194744</v>
      </c>
      <c r="CF150" s="30">
        <v>16</v>
      </c>
      <c r="CG150" s="30">
        <v>33</v>
      </c>
    </row>
    <row r="151" spans="1:85" x14ac:dyDescent="0.4">
      <c r="A151" s="11" t="s">
        <v>85</v>
      </c>
      <c r="B151" s="11" t="s">
        <v>224</v>
      </c>
      <c r="C151" s="11" t="s">
        <v>244</v>
      </c>
      <c r="D151" s="46" t="s">
        <v>88</v>
      </c>
      <c r="E151" s="10">
        <v>5</v>
      </c>
      <c r="F151" s="10">
        <v>2</v>
      </c>
      <c r="G151" s="10">
        <v>58</v>
      </c>
      <c r="H151" s="16">
        <f t="shared" si="94"/>
        <v>890</v>
      </c>
      <c r="I151" s="16">
        <v>4</v>
      </c>
      <c r="J151" s="17">
        <f t="shared" si="95"/>
        <v>0.8</v>
      </c>
      <c r="K151" s="15">
        <v>2</v>
      </c>
      <c r="L151" s="15">
        <v>9</v>
      </c>
      <c r="M151" s="17">
        <f t="shared" si="96"/>
        <v>0.4</v>
      </c>
      <c r="N151" s="17">
        <f t="shared" si="97"/>
        <v>1.8</v>
      </c>
      <c r="O151" s="18">
        <f t="shared" si="98"/>
        <v>0.22222222222222221</v>
      </c>
      <c r="P151" s="16">
        <v>2</v>
      </c>
      <c r="Q151" s="15">
        <v>6</v>
      </c>
      <c r="R151" s="17">
        <f t="shared" si="99"/>
        <v>0.4</v>
      </c>
      <c r="S151" s="17">
        <f t="shared" si="100"/>
        <v>1.2</v>
      </c>
      <c r="T151" s="18">
        <f t="shared" si="101"/>
        <v>0.33333333333333331</v>
      </c>
      <c r="U151" s="15">
        <v>0</v>
      </c>
      <c r="V151" s="15">
        <v>3</v>
      </c>
      <c r="W151" s="17">
        <f t="shared" si="102"/>
        <v>0</v>
      </c>
      <c r="X151" s="17">
        <f t="shared" si="103"/>
        <v>0.6</v>
      </c>
      <c r="Y151" s="18">
        <f t="shared" si="104"/>
        <v>0</v>
      </c>
      <c r="Z151" s="9">
        <v>0</v>
      </c>
      <c r="AA151" s="9">
        <v>0</v>
      </c>
      <c r="AB151" s="17">
        <f t="shared" si="105"/>
        <v>0</v>
      </c>
      <c r="AC151" s="17">
        <f t="shared" si="106"/>
        <v>0</v>
      </c>
      <c r="AD151" s="18" t="e">
        <f t="shared" si="107"/>
        <v>#DIV/0!</v>
      </c>
      <c r="AE151" s="15">
        <v>4</v>
      </c>
      <c r="AF151" s="17">
        <f t="shared" si="108"/>
        <v>0.8</v>
      </c>
      <c r="AG151" s="15">
        <v>3</v>
      </c>
      <c r="AH151" s="17">
        <f t="shared" si="109"/>
        <v>0.6</v>
      </c>
      <c r="AI151" s="15">
        <v>1</v>
      </c>
      <c r="AJ151" s="17">
        <f t="shared" si="110"/>
        <v>0.2</v>
      </c>
      <c r="AK151" s="15">
        <v>0</v>
      </c>
      <c r="AL151" s="17">
        <f t="shared" si="111"/>
        <v>0</v>
      </c>
      <c r="AM151" s="15">
        <v>2</v>
      </c>
      <c r="AN151" s="17">
        <f t="shared" si="112"/>
        <v>0.4</v>
      </c>
      <c r="AO151" s="7">
        <v>0</v>
      </c>
      <c r="AP151" s="17">
        <f t="shared" si="120"/>
        <v>0</v>
      </c>
      <c r="AQ151" s="6">
        <v>0</v>
      </c>
      <c r="AR151" s="17">
        <f t="shared" si="113"/>
        <v>0</v>
      </c>
      <c r="AS151" s="15">
        <v>0</v>
      </c>
      <c r="AT151" s="17">
        <f t="shared" si="114"/>
        <v>0</v>
      </c>
      <c r="AU151" s="19">
        <v>-6.1689967486792598E-2</v>
      </c>
      <c r="AV151" s="19">
        <v>-0.1663549685037104</v>
      </c>
      <c r="AW151" s="19">
        <v>-7.7587670374442225E-2</v>
      </c>
      <c r="AX151" s="19">
        <v>1.589770288764962E-2</v>
      </c>
      <c r="AY151" s="19">
        <v>68.142777503263176</v>
      </c>
      <c r="AZ151" s="19">
        <v>109.5805093852979</v>
      </c>
      <c r="BA151" s="19">
        <v>0.73152953420056466</v>
      </c>
      <c r="BB151" s="19">
        <v>0.6</v>
      </c>
      <c r="BC151" s="19">
        <v>8.0898876404494384</v>
      </c>
      <c r="BD151" s="65">
        <f t="shared" si="115"/>
        <v>22.222222222222221</v>
      </c>
      <c r="BE151" s="65">
        <f t="shared" si="116"/>
        <v>22.222222222222221</v>
      </c>
      <c r="BF151" s="66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2.6795988739730063</v>
      </c>
      <c r="BG151" s="38">
        <f t="shared" si="117"/>
        <v>0.33333333333333331</v>
      </c>
      <c r="BH151" s="38">
        <f t="shared" si="118"/>
        <v>0</v>
      </c>
      <c r="BI151" s="67">
        <f>IFERROR(((AG151*(12000/5))/((F151*60+G151)*(SUMIFS(팀공격력!X:X,팀공격력!A:A,B151,팀공격력!B:B,D151)+SUMIFS(팀수비력!X:X,팀수비력!A:A,B151,팀수비력!B:B,D151))))*100,"")</f>
        <v>1.0183645066023965</v>
      </c>
      <c r="BJ151" s="67">
        <f>IFERROR(((AI151*(12000/5))/((F151*60+G151)*(SUMIFS(팀공격력!V:V,팀공격력!A:A,B151,팀공격력!B:B,D151)+SUMIFS(팀수비력!W:W,팀수비력!A:A,B151,팀수비력!B:B,D151))))*100,"")</f>
        <v>0.70666384001130655</v>
      </c>
      <c r="BK151" s="67">
        <f>IFERROR(((AE151*(12000/5))/((F151*60+G151)*(SUMIFS(팀공격력!X:X,팀공격력!A:A,B151,팀공격력!B:B,D151)+SUMIFS(팀수비력!X:X,팀수비력!A:A,B151,팀수비력!B:B,D151))))*100,"")</f>
        <v>1.3578193421365288</v>
      </c>
      <c r="BL151" s="67">
        <f>IFERROR(100*AK151/(((((F151*60+G151)/(12000/5))*SUMIFS(팀공격력!P:P,팀공격력!A:A,B151,팀공격력!B:B,D151))-K151)),"")</f>
        <v>0</v>
      </c>
      <c r="BM151" s="67">
        <f>IFERROR(100*((AM151/E151*(2400))/((F151*60+G151)*SUMIFS(팀공격력!AR:AR,팀공격력!A:A,B151,팀공격력!B:B,D151))),"")</f>
        <v>7.4071819542524748</v>
      </c>
      <c r="BN151" s="67">
        <f>IFERROR((AO151*40)/(((F151*60+G151)/60)*(SUMIFS(팀수비력!Q:Q,팀수비력!A:A,B151,팀수비력!B:B,D151)-SUMIFS(팀수비력!N:N,팀수비력!A:A,B151,팀수비력!B:B,D151)))*100,"")</f>
        <v>0</v>
      </c>
      <c r="BO151" s="67">
        <f t="shared" si="119"/>
        <v>0</v>
      </c>
      <c r="BP151" s="19"/>
      <c r="BQ151" s="19"/>
      <c r="BR151" s="19"/>
      <c r="BS151" s="19"/>
      <c r="BT151" s="20" t="s">
        <v>89</v>
      </c>
      <c r="BU151" s="21">
        <v>105000</v>
      </c>
      <c r="BV151" s="30" t="s">
        <v>93</v>
      </c>
      <c r="BW151" s="30">
        <v>8.52</v>
      </c>
      <c r="BX151" s="30">
        <v>15.22</v>
      </c>
      <c r="BY151" s="30">
        <v>6.7</v>
      </c>
      <c r="BZ151" s="35">
        <f t="shared" si="127"/>
        <v>1.704</v>
      </c>
      <c r="CA151" s="35">
        <f t="shared" si="128"/>
        <v>3.044</v>
      </c>
      <c r="CB151" s="35">
        <f t="shared" si="129"/>
        <v>1.34</v>
      </c>
      <c r="CC151" s="36">
        <f t="shared" si="130"/>
        <v>22.975280898876402</v>
      </c>
      <c r="CD151" s="36">
        <f t="shared" si="131"/>
        <v>41.042696629213481</v>
      </c>
      <c r="CE151" s="36">
        <f t="shared" si="132"/>
        <v>18.067415730337078</v>
      </c>
      <c r="CF151" s="30">
        <v>0</v>
      </c>
      <c r="CG151" s="30">
        <v>5</v>
      </c>
    </row>
    <row r="152" spans="1:85" x14ac:dyDescent="0.4">
      <c r="A152" s="11" t="s">
        <v>85</v>
      </c>
      <c r="B152" s="11" t="s">
        <v>245</v>
      </c>
      <c r="C152" s="11" t="s">
        <v>246</v>
      </c>
      <c r="D152" s="46" t="s">
        <v>88</v>
      </c>
      <c r="E152" s="15">
        <v>54</v>
      </c>
      <c r="F152" s="15">
        <v>23</v>
      </c>
      <c r="G152" s="15">
        <v>52</v>
      </c>
      <c r="H152" s="16">
        <f t="shared" si="94"/>
        <v>77328</v>
      </c>
      <c r="I152" s="16">
        <v>1104</v>
      </c>
      <c r="J152" s="17">
        <f t="shared" si="95"/>
        <v>20.444444444444443</v>
      </c>
      <c r="K152" s="15">
        <v>439</v>
      </c>
      <c r="L152" s="15">
        <v>783</v>
      </c>
      <c r="M152" s="17">
        <f t="shared" si="96"/>
        <v>8.1296296296296298</v>
      </c>
      <c r="N152" s="17">
        <f t="shared" si="97"/>
        <v>14.5</v>
      </c>
      <c r="O152" s="18">
        <f t="shared" si="98"/>
        <v>0.56066411238825031</v>
      </c>
      <c r="P152" s="16">
        <v>430</v>
      </c>
      <c r="Q152" s="15">
        <v>736</v>
      </c>
      <c r="R152" s="17">
        <f t="shared" si="99"/>
        <v>7.9629629629629628</v>
      </c>
      <c r="S152" s="17">
        <f t="shared" si="100"/>
        <v>13.62962962962963</v>
      </c>
      <c r="T152" s="18">
        <f t="shared" si="101"/>
        <v>0.58423913043478259</v>
      </c>
      <c r="U152" s="15">
        <v>9</v>
      </c>
      <c r="V152" s="15">
        <v>47</v>
      </c>
      <c r="W152" s="17">
        <f t="shared" si="102"/>
        <v>0.16666666666666666</v>
      </c>
      <c r="X152" s="17">
        <f t="shared" si="103"/>
        <v>0.87037037037037035</v>
      </c>
      <c r="Y152" s="18">
        <f t="shared" si="104"/>
        <v>0.19148936170212766</v>
      </c>
      <c r="Z152" s="15">
        <v>217</v>
      </c>
      <c r="AA152" s="15">
        <v>270</v>
      </c>
      <c r="AB152" s="17">
        <f t="shared" si="105"/>
        <v>4.0185185185185182</v>
      </c>
      <c r="AC152" s="17">
        <f t="shared" si="106"/>
        <v>5</v>
      </c>
      <c r="AD152" s="18">
        <f t="shared" si="107"/>
        <v>0.8037037037037037</v>
      </c>
      <c r="AE152" s="15">
        <v>423</v>
      </c>
      <c r="AF152" s="17">
        <f t="shared" si="108"/>
        <v>7.833333333333333</v>
      </c>
      <c r="AG152" s="15">
        <v>144</v>
      </c>
      <c r="AH152" s="17">
        <f t="shared" si="109"/>
        <v>2.6666666666666665</v>
      </c>
      <c r="AI152" s="15">
        <v>279</v>
      </c>
      <c r="AJ152" s="17">
        <f t="shared" si="110"/>
        <v>5.166666666666667</v>
      </c>
      <c r="AK152" s="15">
        <v>88</v>
      </c>
      <c r="AL152" s="17">
        <f t="shared" si="111"/>
        <v>1.6296296296296295</v>
      </c>
      <c r="AM152" s="15">
        <v>47</v>
      </c>
      <c r="AN152" s="17">
        <f t="shared" si="112"/>
        <v>0.87037037037037035</v>
      </c>
      <c r="AO152" s="15">
        <v>25</v>
      </c>
      <c r="AP152" s="17">
        <f t="shared" si="120"/>
        <v>0.46296296296296297</v>
      </c>
      <c r="AQ152" s="4">
        <v>86</v>
      </c>
      <c r="AR152" s="17">
        <f t="shared" si="113"/>
        <v>1.5925925925925926</v>
      </c>
      <c r="AS152" s="15">
        <v>121</v>
      </c>
      <c r="AT152" s="17">
        <f t="shared" si="114"/>
        <v>2.2407407407407409</v>
      </c>
      <c r="AU152" s="19">
        <v>5.8592763274252482</v>
      </c>
      <c r="AV152" s="19">
        <v>0.1818521516891759</v>
      </c>
      <c r="AW152" s="19">
        <v>4.4794369205535176</v>
      </c>
      <c r="AX152" s="19">
        <v>1.379839406871729</v>
      </c>
      <c r="AY152" s="19">
        <v>121.7196712297077</v>
      </c>
      <c r="AZ152" s="19">
        <v>109.5774486128508</v>
      </c>
      <c r="BA152" s="19">
        <v>23.93353988984466</v>
      </c>
      <c r="BB152" s="19">
        <v>22.296296296296301</v>
      </c>
      <c r="BC152" s="19">
        <v>37.368094351334577</v>
      </c>
      <c r="BD152" s="65">
        <f t="shared" si="115"/>
        <v>61.210911510312712</v>
      </c>
      <c r="BE152" s="65">
        <f t="shared" si="116"/>
        <v>56.641123882503194</v>
      </c>
      <c r="BF152" s="66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34.533678342267841</v>
      </c>
      <c r="BG152" s="38">
        <f t="shared" si="117"/>
        <v>6.0025542784163471E-2</v>
      </c>
      <c r="BH152" s="38">
        <f t="shared" si="118"/>
        <v>0.34482758620689657</v>
      </c>
      <c r="BI152" s="67">
        <f>IFERROR(((AG152*(12000/5))/((F152*60+G152)*(SUMIFS(팀공격력!X:X,팀공격력!A:A,B152,팀공격력!B:B,D152)+SUMIFS(팀수비력!X:X,팀수비력!A:A,B152,팀수비력!B:B,D152))))*100,"")</f>
        <v>6.022979339228975</v>
      </c>
      <c r="BJ152" s="67">
        <f>IFERROR(((AI152*(12000/5))/((F152*60+G152)*(SUMIFS(팀공격력!V:V,팀공격력!A:A,B152,팀공격력!B:B,D152)+SUMIFS(팀수비력!W:W,팀수비력!A:A,B152,팀수비력!B:B,D152))))*100,"")</f>
        <v>24.507220406872563</v>
      </c>
      <c r="BK152" s="67">
        <f>IFERROR(((AE152*(12000/5))/((F152*60+G152)*(SUMIFS(팀공격력!X:X,팀공격력!A:A,B152,팀공격력!B:B,D152)+SUMIFS(팀수비력!X:X,팀수비력!A:A,B152,팀수비력!B:B,D152))))*100,"")</f>
        <v>17.692501808985114</v>
      </c>
      <c r="BL152" s="67">
        <f>IFERROR(100*AK152/(((((F152*60+G152)/(12000/5))*SUMIFS(팀공격력!P:P,팀공격력!A:A,B152,팀공격력!B:B,D152))-K152)),"")</f>
        <v>13.8063760354782</v>
      </c>
      <c r="BM152" s="67">
        <f>IFERROR(100*((AM152/E152*(2400))/((F152*60+G152)*SUMIFS(팀공격력!AR:AR,팀공격력!A:A,B152,팀공격력!B:B,D152))),"")</f>
        <v>1.9496223090081903</v>
      </c>
      <c r="BN152" s="67">
        <f>IFERROR((AO152*40)/(((F152*60+G152)/60)*(SUMIFS(팀수비력!Q:Q,팀수비력!A:A,B152,팀수비력!B:B,D152)-SUMIFS(팀수비력!N:N,팀수비력!A:A,B152,팀수비력!B:B,D152)))*100,"")</f>
        <v>1.6620167132400683</v>
      </c>
      <c r="BO152" s="67">
        <f t="shared" si="119"/>
        <v>8.7062158331646078</v>
      </c>
      <c r="BP152" s="19"/>
      <c r="BQ152" s="19"/>
      <c r="BR152" s="19"/>
      <c r="BS152" s="19"/>
      <c r="BT152" s="20" t="s">
        <v>96</v>
      </c>
      <c r="BU152" s="21"/>
      <c r="BV152" s="31" t="s">
        <v>102</v>
      </c>
      <c r="BW152" s="31">
        <v>1615.19</v>
      </c>
      <c r="BX152" s="31">
        <v>2126.79</v>
      </c>
      <c r="BY152" s="31">
        <v>511.6</v>
      </c>
      <c r="BZ152" s="35">
        <f t="shared" si="127"/>
        <v>29.910925925925923</v>
      </c>
      <c r="CA152" s="35">
        <f t="shared" si="128"/>
        <v>39.384999999999998</v>
      </c>
      <c r="CB152" s="35">
        <f t="shared" si="129"/>
        <v>9.4740740740740748</v>
      </c>
      <c r="CC152" s="36">
        <f t="shared" si="130"/>
        <v>50.130043451272499</v>
      </c>
      <c r="CD152" s="36">
        <f t="shared" si="131"/>
        <v>66.008379888268152</v>
      </c>
      <c r="CE152" s="36">
        <f t="shared" si="132"/>
        <v>15.878336436995655</v>
      </c>
      <c r="CF152" s="31">
        <v>26</v>
      </c>
      <c r="CG152" s="31">
        <v>28</v>
      </c>
    </row>
    <row r="153" spans="1:85" x14ac:dyDescent="0.4">
      <c r="A153" s="11" t="s">
        <v>85</v>
      </c>
      <c r="B153" s="11" t="s">
        <v>245</v>
      </c>
      <c r="C153" s="11" t="s">
        <v>247</v>
      </c>
      <c r="D153" s="46" t="s">
        <v>88</v>
      </c>
      <c r="E153" s="15">
        <v>52</v>
      </c>
      <c r="F153" s="15">
        <v>21</v>
      </c>
      <c r="G153" s="15">
        <v>35</v>
      </c>
      <c r="H153" s="16">
        <f t="shared" si="94"/>
        <v>67340</v>
      </c>
      <c r="I153" s="16">
        <v>366</v>
      </c>
      <c r="J153" s="17">
        <f t="shared" si="95"/>
        <v>7.0384615384615383</v>
      </c>
      <c r="K153" s="15">
        <v>125</v>
      </c>
      <c r="L153" s="15">
        <v>294</v>
      </c>
      <c r="M153" s="17">
        <f t="shared" si="96"/>
        <v>2.4038461538461537</v>
      </c>
      <c r="N153" s="17">
        <f t="shared" si="97"/>
        <v>5.6538461538461542</v>
      </c>
      <c r="O153" s="18">
        <f t="shared" si="98"/>
        <v>0.42517006802721086</v>
      </c>
      <c r="P153" s="16">
        <v>49</v>
      </c>
      <c r="Q153" s="15">
        <v>97</v>
      </c>
      <c r="R153" s="17">
        <f t="shared" si="99"/>
        <v>0.94230769230769229</v>
      </c>
      <c r="S153" s="17">
        <f t="shared" si="100"/>
        <v>1.8653846153846154</v>
      </c>
      <c r="T153" s="18">
        <f t="shared" si="101"/>
        <v>0.50515463917525771</v>
      </c>
      <c r="U153" s="15">
        <v>76</v>
      </c>
      <c r="V153" s="15">
        <v>197</v>
      </c>
      <c r="W153" s="17">
        <f t="shared" si="102"/>
        <v>1.4615384615384615</v>
      </c>
      <c r="X153" s="17">
        <f t="shared" si="103"/>
        <v>3.7884615384615383</v>
      </c>
      <c r="Y153" s="18">
        <f t="shared" si="104"/>
        <v>0.38578680203045684</v>
      </c>
      <c r="Z153" s="15">
        <v>40</v>
      </c>
      <c r="AA153" s="15">
        <v>51</v>
      </c>
      <c r="AB153" s="17">
        <f t="shared" si="105"/>
        <v>0.76923076923076927</v>
      </c>
      <c r="AC153" s="17">
        <f t="shared" si="106"/>
        <v>0.98076923076923073</v>
      </c>
      <c r="AD153" s="18">
        <f t="shared" si="107"/>
        <v>0.78431372549019607</v>
      </c>
      <c r="AE153" s="15">
        <v>153</v>
      </c>
      <c r="AF153" s="17">
        <f t="shared" si="108"/>
        <v>2.9423076923076925</v>
      </c>
      <c r="AG153" s="15">
        <v>37</v>
      </c>
      <c r="AH153" s="17">
        <f t="shared" si="109"/>
        <v>0.71153846153846156</v>
      </c>
      <c r="AI153" s="15">
        <v>116</v>
      </c>
      <c r="AJ153" s="17">
        <f t="shared" si="110"/>
        <v>2.2307692307692308</v>
      </c>
      <c r="AK153" s="15">
        <v>73</v>
      </c>
      <c r="AL153" s="17">
        <f t="shared" si="111"/>
        <v>1.4038461538461537</v>
      </c>
      <c r="AM153" s="15">
        <v>36</v>
      </c>
      <c r="AN153" s="17">
        <f t="shared" si="112"/>
        <v>0.69230769230769229</v>
      </c>
      <c r="AO153" s="15">
        <v>2</v>
      </c>
      <c r="AP153" s="17">
        <f t="shared" si="120"/>
        <v>3.8461538461538464E-2</v>
      </c>
      <c r="AQ153" s="4">
        <v>59</v>
      </c>
      <c r="AR153" s="17">
        <f t="shared" si="113"/>
        <v>1.1346153846153846</v>
      </c>
      <c r="AS153" s="15">
        <v>137</v>
      </c>
      <c r="AT153" s="17">
        <f t="shared" si="114"/>
        <v>2.6346153846153846</v>
      </c>
      <c r="AU153" s="19">
        <v>1.106891228166478</v>
      </c>
      <c r="AV153" s="19">
        <v>3.9449642821496107E-2</v>
      </c>
      <c r="AW153" s="19">
        <v>0.61076079823046436</v>
      </c>
      <c r="AX153" s="19">
        <v>0.49613042993601381</v>
      </c>
      <c r="AY153" s="19">
        <v>108.7334699979007</v>
      </c>
      <c r="AZ153" s="19">
        <v>115.46347517567639</v>
      </c>
      <c r="BA153" s="19">
        <v>6.4569197010363606</v>
      </c>
      <c r="BB153" s="19">
        <v>7.5192307692307692</v>
      </c>
      <c r="BC153" s="19">
        <v>13.93525393525394</v>
      </c>
      <c r="BD153" s="65">
        <f t="shared" si="115"/>
        <v>57.83086841107319</v>
      </c>
      <c r="BE153" s="65">
        <f t="shared" si="116"/>
        <v>55.442176870748291</v>
      </c>
      <c r="BF153" s="66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14.514016366347215</v>
      </c>
      <c r="BG153" s="38">
        <f t="shared" si="117"/>
        <v>0.67006802721088432</v>
      </c>
      <c r="BH153" s="38">
        <f t="shared" si="118"/>
        <v>0.17346938775510204</v>
      </c>
      <c r="BI153" s="67">
        <f>IFERROR(((AG153*(12000/5))/((F153*60+G153)*(SUMIFS(팀공격력!X:X,팀공격력!A:A,B153,팀공격력!B:B,D153)+SUMIFS(팀수비력!X:X,팀수비력!A:A,B153,팀수비력!B:B,D153))))*100,"")</f>
        <v>1.7112909551142645</v>
      </c>
      <c r="BJ153" s="67">
        <f>IFERROR(((AI153*(12000/5))/((F153*60+G153)*(SUMIFS(팀공격력!V:V,팀공격력!A:A,B153,팀공격력!B:B,D153)+SUMIFS(팀수비력!W:W,팀수비력!A:A,B153,팀수비력!B:B,D153))))*100,"")</f>
        <v>11.267332022049004</v>
      </c>
      <c r="BK153" s="67">
        <f>IFERROR(((AE153*(12000/5))/((F153*60+G153)*(SUMIFS(팀공격력!X:X,팀공격력!A:A,B153,팀공격력!B:B,D153)+SUMIFS(팀수비력!X:X,팀수비력!A:A,B153,팀수비력!B:B,D153))))*100,"")</f>
        <v>7.0764193549319581</v>
      </c>
      <c r="BL153" s="67">
        <f>IFERROR(100*AK153/(((((F153*60+G153)/(12000/5))*SUMIFS(팀공격력!P:P,팀공격력!A:A,B153,팀공격력!B:B,D153))-K153)),"")</f>
        <v>8.604347356324098</v>
      </c>
      <c r="BM153" s="67">
        <f>IFERROR(100*((AM153/E153*(2400))/((F153*60+G153)*SUMIFS(팀공격력!AR:AR,팀공격력!A:A,B153,팀공격력!B:B,D153))),"")</f>
        <v>1.7148210038595735</v>
      </c>
      <c r="BN153" s="67">
        <f>IFERROR((AO153*40)/(((F153*60+G153)/60)*(SUMIFS(팀수비력!Q:Q,팀수비력!A:A,B153,팀수비력!B:B,D153)-SUMIFS(팀수비력!N:N,팀수비력!A:A,B153,팀수비력!B:B,D153)))*100,"")</f>
        <v>0.14702751711875078</v>
      </c>
      <c r="BO153" s="67">
        <f t="shared" si="119"/>
        <v>15.71489452375879</v>
      </c>
      <c r="BP153" s="19"/>
      <c r="BQ153" s="19"/>
      <c r="BR153" s="19"/>
      <c r="BS153" s="19"/>
      <c r="BT153" s="20" t="s">
        <v>89</v>
      </c>
      <c r="BU153" s="21"/>
      <c r="BV153" s="31" t="s">
        <v>93</v>
      </c>
      <c r="BW153" s="31">
        <v>720.39</v>
      </c>
      <c r="BX153" s="31">
        <v>974.59</v>
      </c>
      <c r="BY153" s="31">
        <v>254.2</v>
      </c>
      <c r="BZ153" s="35">
        <f t="shared" si="127"/>
        <v>13.853653846153847</v>
      </c>
      <c r="CA153" s="35">
        <f t="shared" si="128"/>
        <v>18.742115384615385</v>
      </c>
      <c r="CB153" s="35">
        <f t="shared" si="129"/>
        <v>4.888461538461538</v>
      </c>
      <c r="CC153" s="36">
        <f t="shared" si="130"/>
        <v>25.674725274725276</v>
      </c>
      <c r="CD153" s="36">
        <f t="shared" si="131"/>
        <v>34.734422334422334</v>
      </c>
      <c r="CE153" s="36">
        <f t="shared" si="132"/>
        <v>9.0596970596970596</v>
      </c>
      <c r="CF153" s="31">
        <v>25</v>
      </c>
      <c r="CG153" s="31">
        <v>27</v>
      </c>
    </row>
    <row r="154" spans="1:85" x14ac:dyDescent="0.4">
      <c r="A154" s="11" t="s">
        <v>85</v>
      </c>
      <c r="B154" s="11" t="s">
        <v>245</v>
      </c>
      <c r="C154" s="11" t="s">
        <v>248</v>
      </c>
      <c r="D154" s="46" t="s">
        <v>88</v>
      </c>
      <c r="E154" s="15">
        <v>39</v>
      </c>
      <c r="F154" s="15">
        <v>11</v>
      </c>
      <c r="G154" s="15">
        <v>14</v>
      </c>
      <c r="H154" s="16">
        <f t="shared" si="94"/>
        <v>26286</v>
      </c>
      <c r="I154" s="16">
        <v>159</v>
      </c>
      <c r="J154" s="17">
        <f t="shared" si="95"/>
        <v>4.0769230769230766</v>
      </c>
      <c r="K154" s="15">
        <v>56</v>
      </c>
      <c r="L154" s="15">
        <v>114</v>
      </c>
      <c r="M154" s="17">
        <f t="shared" si="96"/>
        <v>1.4358974358974359</v>
      </c>
      <c r="N154" s="17">
        <f t="shared" si="97"/>
        <v>2.9230769230769229</v>
      </c>
      <c r="O154" s="18">
        <f t="shared" si="98"/>
        <v>0.49122807017543857</v>
      </c>
      <c r="P154" s="16">
        <v>55</v>
      </c>
      <c r="Q154" s="15">
        <v>112</v>
      </c>
      <c r="R154" s="17">
        <f t="shared" si="99"/>
        <v>1.4102564102564104</v>
      </c>
      <c r="S154" s="17">
        <f t="shared" si="100"/>
        <v>2.8717948717948718</v>
      </c>
      <c r="T154" s="18">
        <f t="shared" si="101"/>
        <v>0.49107142857142855</v>
      </c>
      <c r="U154" s="15">
        <v>1</v>
      </c>
      <c r="V154" s="15">
        <v>2</v>
      </c>
      <c r="W154" s="17">
        <f t="shared" si="102"/>
        <v>2.564102564102564E-2</v>
      </c>
      <c r="X154" s="17">
        <f t="shared" si="103"/>
        <v>5.128205128205128E-2</v>
      </c>
      <c r="Y154" s="18">
        <f t="shared" si="104"/>
        <v>0.5</v>
      </c>
      <c r="Z154" s="15">
        <v>46</v>
      </c>
      <c r="AA154" s="15">
        <v>60</v>
      </c>
      <c r="AB154" s="17">
        <f t="shared" si="105"/>
        <v>1.1794871794871795</v>
      </c>
      <c r="AC154" s="17">
        <f t="shared" si="106"/>
        <v>1.5384615384615385</v>
      </c>
      <c r="AD154" s="18">
        <f t="shared" si="107"/>
        <v>0.76666666666666672</v>
      </c>
      <c r="AE154" s="15">
        <v>96</v>
      </c>
      <c r="AF154" s="17">
        <f t="shared" si="108"/>
        <v>2.4615384615384617</v>
      </c>
      <c r="AG154" s="15">
        <v>40</v>
      </c>
      <c r="AH154" s="17">
        <f t="shared" si="109"/>
        <v>1.0256410256410255</v>
      </c>
      <c r="AI154" s="15">
        <v>56</v>
      </c>
      <c r="AJ154" s="17">
        <f t="shared" si="110"/>
        <v>1.4358974358974359</v>
      </c>
      <c r="AK154" s="15">
        <v>46</v>
      </c>
      <c r="AL154" s="17">
        <f t="shared" si="111"/>
        <v>1.1794871794871795</v>
      </c>
      <c r="AM154" s="15">
        <v>14</v>
      </c>
      <c r="AN154" s="17">
        <f t="shared" si="112"/>
        <v>0.35897435897435898</v>
      </c>
      <c r="AO154" s="15">
        <v>6</v>
      </c>
      <c r="AP154" s="17">
        <f t="shared" si="120"/>
        <v>0.15384615384615385</v>
      </c>
      <c r="AQ154" s="4">
        <v>32</v>
      </c>
      <c r="AR154" s="17">
        <f t="shared" si="113"/>
        <v>0.82051282051282048</v>
      </c>
      <c r="AS154" s="15">
        <v>76</v>
      </c>
      <c r="AT154" s="17">
        <f t="shared" si="114"/>
        <v>1.9487179487179487</v>
      </c>
      <c r="AU154" s="19">
        <v>0.72358295714651399</v>
      </c>
      <c r="AV154" s="19">
        <v>6.6065551896508923E-2</v>
      </c>
      <c r="AW154" s="19">
        <v>0.44671339034669799</v>
      </c>
      <c r="AX154" s="19">
        <v>0.276869566799816</v>
      </c>
      <c r="AY154" s="19">
        <v>111.7363888728735</v>
      </c>
      <c r="AZ154" s="19">
        <v>113.685030751459</v>
      </c>
      <c r="BA154" s="19">
        <v>6.3242310465284914</v>
      </c>
      <c r="BB154" s="19">
        <v>5.5641025641025639</v>
      </c>
      <c r="BC154" s="19">
        <v>19.812828121433459</v>
      </c>
      <c r="BD154" s="65">
        <f t="shared" si="115"/>
        <v>56.623931623931625</v>
      </c>
      <c r="BE154" s="65">
        <f t="shared" si="116"/>
        <v>49.561403508771932</v>
      </c>
      <c r="BF154" s="66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12.805431008103595</v>
      </c>
      <c r="BG154" s="38">
        <f t="shared" si="117"/>
        <v>1.7543859649122806E-2</v>
      </c>
      <c r="BH154" s="38">
        <f t="shared" si="118"/>
        <v>0.52631578947368418</v>
      </c>
      <c r="BI154" s="67">
        <f>IFERROR(((AG154*(12000/5))/((F154*60+G154)*(SUMIFS(팀공격력!X:X,팀공격력!A:A,B154,팀공격력!B:B,D154)+SUMIFS(팀수비력!X:X,팀수비력!A:A,B154,팀수비력!B:B,D154))))*100,"")</f>
        <v>3.5546102925222112</v>
      </c>
      <c r="BJ154" s="67">
        <f>IFERROR(((AI154*(12000/5))/((F154*60+G154)*(SUMIFS(팀공격력!V:V,팀공격력!A:A,B154,팀공격력!B:B,D154)+SUMIFS(팀수비력!W:W,팀수비력!A:A,B154,팀수비력!B:B,D154))))*100,"")</f>
        <v>10.451075900938731</v>
      </c>
      <c r="BK154" s="67">
        <f>IFERROR(((AE154*(12000/5))/((F154*60+G154)*(SUMIFS(팀공격력!X:X,팀공격력!A:A,B154,팀공격력!B:B,D154)+SUMIFS(팀수비력!X:X,팀수비력!A:A,B154,팀수비력!B:B,D154))))*100,"")</f>
        <v>8.5310647020533068</v>
      </c>
      <c r="BL154" s="67">
        <f>IFERROR(100*AK154/(((((F154*60+G154)/(12000/5))*SUMIFS(팀공격력!P:P,팀공격력!A:A,B154,팀공격력!B:B,D154))-K154)),"")</f>
        <v>10.208082138075406</v>
      </c>
      <c r="BM154" s="67">
        <f>IFERROR(100*((AM154/E154*(2400))/((F154*60+G154)*SUMIFS(팀공격력!AR:AR,팀공격력!A:A,B154,팀공격력!B:B,D154))),"")</f>
        <v>1.7084132761827711</v>
      </c>
      <c r="BN154" s="67">
        <f>IFERROR((AO154*40)/(((F154*60+G154)/60)*(SUMIFS(팀수비력!Q:Q,팀수비력!A:A,B154,팀수비력!B:B,D154)-SUMIFS(팀수비력!N:N,팀수비력!A:A,B154,팀수비력!B:B,D154)))*100,"")</f>
        <v>0.84748056974235431</v>
      </c>
      <c r="BO154" s="67">
        <f t="shared" si="119"/>
        <v>18.561484918793504</v>
      </c>
      <c r="BP154" s="19"/>
      <c r="BQ154" s="19"/>
      <c r="BR154" s="19"/>
      <c r="BS154" s="19"/>
      <c r="BT154" s="20" t="s">
        <v>89</v>
      </c>
      <c r="BU154" s="21">
        <v>330000</v>
      </c>
      <c r="BV154" s="30" t="s">
        <v>102</v>
      </c>
      <c r="BW154" s="30">
        <v>357.9</v>
      </c>
      <c r="BX154" s="30">
        <v>475</v>
      </c>
      <c r="BY154" s="30">
        <v>117.1</v>
      </c>
      <c r="BZ154" s="35">
        <f t="shared" si="127"/>
        <v>9.1769230769230763</v>
      </c>
      <c r="CA154" s="35">
        <f t="shared" si="128"/>
        <v>12.179487179487179</v>
      </c>
      <c r="CB154" s="35">
        <f t="shared" si="129"/>
        <v>3.0025641025641026</v>
      </c>
      <c r="CC154" s="36">
        <f t="shared" si="130"/>
        <v>32.677470897055464</v>
      </c>
      <c r="CD154" s="36">
        <f t="shared" si="131"/>
        <v>43.369093814197669</v>
      </c>
      <c r="CE154" s="36">
        <f t="shared" si="132"/>
        <v>10.691622917142205</v>
      </c>
      <c r="CF154" s="30">
        <v>20</v>
      </c>
      <c r="CG154" s="30">
        <v>19</v>
      </c>
    </row>
    <row r="155" spans="1:85" x14ac:dyDescent="0.4">
      <c r="A155" s="11" t="s">
        <v>85</v>
      </c>
      <c r="B155" s="11" t="s">
        <v>245</v>
      </c>
      <c r="C155" s="11" t="s">
        <v>249</v>
      </c>
      <c r="D155" s="46" t="s">
        <v>88</v>
      </c>
      <c r="E155" s="15">
        <v>43</v>
      </c>
      <c r="F155" s="15">
        <v>22</v>
      </c>
      <c r="G155" s="15">
        <v>18</v>
      </c>
      <c r="H155" s="16">
        <f t="shared" si="94"/>
        <v>57534</v>
      </c>
      <c r="I155" s="16">
        <v>221</v>
      </c>
      <c r="J155" s="17">
        <f t="shared" si="95"/>
        <v>5.1395348837209305</v>
      </c>
      <c r="K155" s="15">
        <v>82</v>
      </c>
      <c r="L155" s="15">
        <v>207</v>
      </c>
      <c r="M155" s="17">
        <f t="shared" si="96"/>
        <v>1.9069767441860466</v>
      </c>
      <c r="N155" s="17">
        <f t="shared" si="97"/>
        <v>4.8139534883720927</v>
      </c>
      <c r="O155" s="18">
        <f t="shared" si="98"/>
        <v>0.39613526570048307</v>
      </c>
      <c r="P155" s="16">
        <v>42</v>
      </c>
      <c r="Q155" s="15">
        <v>82</v>
      </c>
      <c r="R155" s="17">
        <f t="shared" si="99"/>
        <v>0.97674418604651159</v>
      </c>
      <c r="S155" s="17">
        <f t="shared" si="100"/>
        <v>1.9069767441860466</v>
      </c>
      <c r="T155" s="18">
        <f t="shared" si="101"/>
        <v>0.51219512195121952</v>
      </c>
      <c r="U155" s="15">
        <v>40</v>
      </c>
      <c r="V155" s="15">
        <v>125</v>
      </c>
      <c r="W155" s="17">
        <f t="shared" si="102"/>
        <v>0.93023255813953487</v>
      </c>
      <c r="X155" s="17">
        <f t="shared" si="103"/>
        <v>2.9069767441860463</v>
      </c>
      <c r="Y155" s="18">
        <f t="shared" si="104"/>
        <v>0.32</v>
      </c>
      <c r="Z155" s="15">
        <v>17</v>
      </c>
      <c r="AA155" s="15">
        <v>20</v>
      </c>
      <c r="AB155" s="17">
        <f t="shared" si="105"/>
        <v>0.39534883720930231</v>
      </c>
      <c r="AC155" s="17">
        <f t="shared" si="106"/>
        <v>0.46511627906976744</v>
      </c>
      <c r="AD155" s="18">
        <f t="shared" si="107"/>
        <v>0.85</v>
      </c>
      <c r="AE155" s="15">
        <v>77</v>
      </c>
      <c r="AF155" s="17">
        <f t="shared" si="108"/>
        <v>1.7906976744186047</v>
      </c>
      <c r="AG155" s="15">
        <v>18</v>
      </c>
      <c r="AH155" s="17">
        <f t="shared" si="109"/>
        <v>0.41860465116279072</v>
      </c>
      <c r="AI155" s="15">
        <v>59</v>
      </c>
      <c r="AJ155" s="17">
        <f t="shared" si="110"/>
        <v>1.3720930232558139</v>
      </c>
      <c r="AK155" s="15">
        <v>123</v>
      </c>
      <c r="AL155" s="17">
        <f t="shared" si="111"/>
        <v>2.86046511627907</v>
      </c>
      <c r="AM155" s="15">
        <v>19</v>
      </c>
      <c r="AN155" s="17">
        <f t="shared" si="112"/>
        <v>0.44186046511627908</v>
      </c>
      <c r="AO155" s="15">
        <v>0</v>
      </c>
      <c r="AP155" s="17">
        <f t="shared" si="120"/>
        <v>0</v>
      </c>
      <c r="AQ155" s="4">
        <v>41</v>
      </c>
      <c r="AR155" s="17">
        <f t="shared" si="113"/>
        <v>0.95348837209302328</v>
      </c>
      <c r="AS155" s="15">
        <v>93</v>
      </c>
      <c r="AT155" s="17">
        <f t="shared" si="114"/>
        <v>2.1627906976744184</v>
      </c>
      <c r="AU155" s="19">
        <v>0.52360620206899933</v>
      </c>
      <c r="AV155" s="19">
        <v>2.1841952323245359E-2</v>
      </c>
      <c r="AW155" s="19">
        <v>0.43708676399816537</v>
      </c>
      <c r="AX155" s="19">
        <v>8.6519438070833926E-2</v>
      </c>
      <c r="AY155" s="19">
        <v>108.5141511278417</v>
      </c>
      <c r="AZ155" s="19">
        <v>118.75793233992781</v>
      </c>
      <c r="BA155" s="19">
        <v>4.2234750555761229</v>
      </c>
      <c r="BB155" s="19">
        <v>6.3023255813953476</v>
      </c>
      <c r="BC155" s="19">
        <v>11.304619876942329</v>
      </c>
      <c r="BD155" s="65">
        <f t="shared" si="115"/>
        <v>51.204819277108427</v>
      </c>
      <c r="BE155" s="65">
        <f t="shared" si="116"/>
        <v>49.275362318840585</v>
      </c>
      <c r="BF155" s="66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9.6085032559842585</v>
      </c>
      <c r="BG155" s="38">
        <f t="shared" si="117"/>
        <v>0.60386473429951693</v>
      </c>
      <c r="BH155" s="38">
        <f t="shared" si="118"/>
        <v>9.6618357487922704E-2</v>
      </c>
      <c r="BI155" s="67">
        <f>IFERROR(((AG155*(12000/5))/((F155*60+G155)*(SUMIFS(팀공격력!X:X,팀공격력!A:A,B155,팀공격력!B:B,D155)+SUMIFS(팀수비력!X:X,팀수비력!A:A,B155,팀수비력!B:B,D155))))*100,"")</f>
        <v>0.80576479949326341</v>
      </c>
      <c r="BJ155" s="67">
        <f>IFERROR(((AI155*(12000/5))/((F155*60+G155)*(SUMIFS(팀공격력!V:V,팀공격력!A:A,B155,팀공격력!B:B,D155)+SUMIFS(팀수비력!W:W,팀수비력!A:A,B155,팀수비력!B:B,D155))))*100,"")</f>
        <v>5.5466245499243216</v>
      </c>
      <c r="BK155" s="67">
        <f>IFERROR(((AE155*(12000/5))/((F155*60+G155)*(SUMIFS(팀공격력!X:X,팀공격력!A:A,B155,팀공격력!B:B,D155)+SUMIFS(팀수비력!X:X,팀수비력!A:A,B155,팀수비력!B:B,D155))))*100,"")</f>
        <v>3.446882753387849</v>
      </c>
      <c r="BL155" s="67">
        <f>IFERROR(100*AK155/(((((F155*60+G155)/(12000/5))*SUMIFS(팀공격력!P:P,팀공격력!A:A,B155,팀공격력!B:B,D155))-K155)),"")</f>
        <v>13.315579227696405</v>
      </c>
      <c r="BM155" s="67">
        <f>IFERROR(100*((AM155/E155*(2400))/((F155*60+G155)*SUMIFS(팀공격력!AR:AR,팀공격력!A:A,B155,팀공격력!B:B,D155))),"")</f>
        <v>1.0592986956496111</v>
      </c>
      <c r="BN155" s="67">
        <f>IFERROR((AO155*40)/(((F155*60+G155)/60)*(SUMIFS(팀수비력!Q:Q,팀수비력!A:A,B155,팀수비력!B:B,D155)-SUMIFS(팀수비력!N:N,팀수비력!A:A,B155,팀수비력!B:B,D155)))*100,"")</f>
        <v>0</v>
      </c>
      <c r="BO155" s="67">
        <f t="shared" si="119"/>
        <v>15.965732087227414</v>
      </c>
      <c r="BP155" s="19"/>
      <c r="BQ155" s="19"/>
      <c r="BR155" s="19"/>
      <c r="BS155" s="19"/>
      <c r="BT155" s="20" t="s">
        <v>89</v>
      </c>
      <c r="BU155" s="21">
        <v>40000</v>
      </c>
      <c r="BV155" s="31" t="s">
        <v>90</v>
      </c>
      <c r="BW155" s="31">
        <v>572.85</v>
      </c>
      <c r="BX155" s="31">
        <v>753.25</v>
      </c>
      <c r="BY155" s="31">
        <v>180.4</v>
      </c>
      <c r="BZ155" s="35">
        <f t="shared" si="127"/>
        <v>13.322093023255814</v>
      </c>
      <c r="CA155" s="35">
        <f t="shared" si="128"/>
        <v>17.517441860465116</v>
      </c>
      <c r="CB155" s="35">
        <f t="shared" si="129"/>
        <v>4.1953488372093029</v>
      </c>
      <c r="CC155" s="36">
        <f t="shared" si="130"/>
        <v>23.896130983418502</v>
      </c>
      <c r="CD155" s="36">
        <f t="shared" si="131"/>
        <v>31.421420377515904</v>
      </c>
      <c r="CE155" s="36">
        <f t="shared" si="132"/>
        <v>7.5252893940974035</v>
      </c>
      <c r="CF155" s="30">
        <v>21</v>
      </c>
      <c r="CG155" s="30">
        <v>22</v>
      </c>
    </row>
    <row r="156" spans="1:85" x14ac:dyDescent="0.4">
      <c r="A156" s="11" t="s">
        <v>85</v>
      </c>
      <c r="B156" s="11" t="s">
        <v>245</v>
      </c>
      <c r="C156" s="11" t="s">
        <v>250</v>
      </c>
      <c r="D156" s="46" t="s">
        <v>88</v>
      </c>
      <c r="E156" s="15">
        <v>39</v>
      </c>
      <c r="F156" s="15">
        <v>14</v>
      </c>
      <c r="G156" s="15">
        <v>6</v>
      </c>
      <c r="H156" s="16">
        <f t="shared" si="94"/>
        <v>32994</v>
      </c>
      <c r="I156" s="16">
        <v>101</v>
      </c>
      <c r="J156" s="17">
        <f t="shared" si="95"/>
        <v>2.5897435897435899</v>
      </c>
      <c r="K156" s="15">
        <v>37</v>
      </c>
      <c r="L156" s="15">
        <v>113</v>
      </c>
      <c r="M156" s="17">
        <f t="shared" si="96"/>
        <v>0.94871794871794868</v>
      </c>
      <c r="N156" s="17">
        <f t="shared" si="97"/>
        <v>2.8974358974358974</v>
      </c>
      <c r="O156" s="18">
        <f t="shared" si="98"/>
        <v>0.32743362831858408</v>
      </c>
      <c r="P156" s="16">
        <v>20</v>
      </c>
      <c r="Q156" s="15">
        <v>60</v>
      </c>
      <c r="R156" s="17">
        <f t="shared" si="99"/>
        <v>0.51282051282051277</v>
      </c>
      <c r="S156" s="17">
        <f t="shared" si="100"/>
        <v>1.5384615384615385</v>
      </c>
      <c r="T156" s="18">
        <f t="shared" si="101"/>
        <v>0.33333333333333331</v>
      </c>
      <c r="U156" s="15">
        <v>17</v>
      </c>
      <c r="V156" s="15">
        <v>53</v>
      </c>
      <c r="W156" s="17">
        <f t="shared" si="102"/>
        <v>0.4358974358974359</v>
      </c>
      <c r="X156" s="17">
        <f t="shared" si="103"/>
        <v>1.358974358974359</v>
      </c>
      <c r="Y156" s="18">
        <f t="shared" si="104"/>
        <v>0.32075471698113206</v>
      </c>
      <c r="Z156" s="15">
        <v>10</v>
      </c>
      <c r="AA156" s="15">
        <v>17</v>
      </c>
      <c r="AB156" s="17">
        <f t="shared" si="105"/>
        <v>0.25641025641025639</v>
      </c>
      <c r="AC156" s="17">
        <f t="shared" si="106"/>
        <v>0.4358974358974359</v>
      </c>
      <c r="AD156" s="18">
        <f t="shared" si="107"/>
        <v>0.58823529411764708</v>
      </c>
      <c r="AE156" s="15">
        <v>45</v>
      </c>
      <c r="AF156" s="17">
        <f t="shared" si="108"/>
        <v>1.1538461538461537</v>
      </c>
      <c r="AG156" s="15">
        <v>12</v>
      </c>
      <c r="AH156" s="17">
        <f t="shared" si="109"/>
        <v>0.30769230769230771</v>
      </c>
      <c r="AI156" s="15">
        <v>33</v>
      </c>
      <c r="AJ156" s="17">
        <f t="shared" si="110"/>
        <v>0.84615384615384615</v>
      </c>
      <c r="AK156" s="15">
        <v>48</v>
      </c>
      <c r="AL156" s="17">
        <f t="shared" si="111"/>
        <v>1.2307692307692308</v>
      </c>
      <c r="AM156" s="15">
        <v>22</v>
      </c>
      <c r="AN156" s="17">
        <f t="shared" si="112"/>
        <v>0.5641025641025641</v>
      </c>
      <c r="AO156" s="15">
        <v>2</v>
      </c>
      <c r="AP156" s="17">
        <f t="shared" si="120"/>
        <v>5.128205128205128E-2</v>
      </c>
      <c r="AQ156" s="4">
        <v>28</v>
      </c>
      <c r="AR156" s="17">
        <f t="shared" si="113"/>
        <v>0.71794871794871795</v>
      </c>
      <c r="AS156" s="15">
        <v>59</v>
      </c>
      <c r="AT156" s="17">
        <f t="shared" si="114"/>
        <v>1.5128205128205128</v>
      </c>
      <c r="AU156" s="19">
        <v>-0.30668091343261777</v>
      </c>
      <c r="AV156" s="19">
        <v>-2.230812245372742E-2</v>
      </c>
      <c r="AW156" s="19">
        <v>-0.50487445518074592</v>
      </c>
      <c r="AX156" s="19">
        <v>0.19819354174812809</v>
      </c>
      <c r="AY156" s="19">
        <v>88.27278259719526</v>
      </c>
      <c r="AZ156" s="19">
        <v>116.2279003346648</v>
      </c>
      <c r="BA156" s="19">
        <v>1.890107152782398</v>
      </c>
      <c r="BB156" s="19">
        <v>2.7435897435897441</v>
      </c>
      <c r="BC156" s="19">
        <v>7.7832333151482089</v>
      </c>
      <c r="BD156" s="65">
        <f t="shared" si="115"/>
        <v>41.915670650730405</v>
      </c>
      <c r="BE156" s="65">
        <f t="shared" si="116"/>
        <v>40.26548672566372</v>
      </c>
      <c r="BF156" s="66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8.7864700196920378</v>
      </c>
      <c r="BG156" s="38">
        <f t="shared" si="117"/>
        <v>0.46902654867256638</v>
      </c>
      <c r="BH156" s="38">
        <f t="shared" si="118"/>
        <v>0.15044247787610621</v>
      </c>
      <c r="BI156" s="67">
        <f>IFERROR(((AG156*(12000/5))/((F156*60+G156)*(SUMIFS(팀공격력!X:X,팀공격력!A:A,B156,팀공격력!B:B,D156)+SUMIFS(팀수비력!X:X,팀수비력!A:A,B156,팀수비력!B:B,D156))))*100,"")</f>
        <v>0.84957706991488302</v>
      </c>
      <c r="BJ156" s="67">
        <f>IFERROR(((AI156*(12000/5))/((F156*60+G156)*(SUMIFS(팀공격력!V:V,팀공격력!A:A,B156,팀공격력!B:B,D156)+SUMIFS(팀수비력!W:W,팀수비력!A:A,B156,팀수비력!B:B,D156))))*100,"")</f>
        <v>4.9065524778090017</v>
      </c>
      <c r="BK156" s="67">
        <f>IFERROR(((AE156*(12000/5))/((F156*60+G156)*(SUMIFS(팀공격력!X:X,팀공격력!A:A,B156,팀공격력!B:B,D156)+SUMIFS(팀수비력!X:X,팀수비력!A:A,B156,팀수비력!B:B,D156))))*100,"")</f>
        <v>3.1859140121808114</v>
      </c>
      <c r="BL156" s="67">
        <f>IFERROR(100*AK156/(((((F156*60+G156)/(12000/5))*SUMIFS(팀공격력!P:P,팀공격력!A:A,B156,팀공격력!B:B,D156))-K156)),"")</f>
        <v>8.0145597836068863</v>
      </c>
      <c r="BM156" s="67">
        <f>IFERROR(100*((AM156/E156*(2400))/((F156*60+G156)*SUMIFS(팀공격력!AR:AR,팀공격력!A:A,B156,팀공격력!B:B,D156))),"")</f>
        <v>2.138834182644219</v>
      </c>
      <c r="BN156" s="67">
        <f>IFERROR((AO156*40)/(((F156*60+G156)/60)*(SUMIFS(팀수비력!Q:Q,팀수비력!A:A,B156,팀수비력!B:B,D156)-SUMIFS(팀수비력!N:N,팀수비력!A:A,B156,팀수비력!B:B,D156)))*100,"")</f>
        <v>0.22505985185435254</v>
      </c>
      <c r="BO156" s="67">
        <f t="shared" si="119"/>
        <v>18.857758620689651</v>
      </c>
      <c r="BP156" s="19"/>
      <c r="BQ156" s="19"/>
      <c r="BR156" s="19"/>
      <c r="BS156" s="19"/>
      <c r="BT156" s="20" t="s">
        <v>89</v>
      </c>
      <c r="BU156" s="21"/>
      <c r="BV156" s="31" t="s">
        <v>90</v>
      </c>
      <c r="BW156" s="31">
        <v>271.41000000000003</v>
      </c>
      <c r="BX156" s="31">
        <v>391.41</v>
      </c>
      <c r="BY156" s="31">
        <v>120</v>
      </c>
      <c r="BZ156" s="35">
        <f t="shared" si="127"/>
        <v>6.9592307692307696</v>
      </c>
      <c r="CA156" s="35">
        <f t="shared" si="128"/>
        <v>10.036153846153846</v>
      </c>
      <c r="CB156" s="35">
        <f t="shared" si="129"/>
        <v>3.0769230769230771</v>
      </c>
      <c r="CC156" s="36">
        <f t="shared" si="130"/>
        <v>19.742498636115663</v>
      </c>
      <c r="CD156" s="36">
        <f t="shared" si="131"/>
        <v>28.471358428805242</v>
      </c>
      <c r="CE156" s="36">
        <f t="shared" si="132"/>
        <v>8.7288597926895797</v>
      </c>
      <c r="CF156" s="31">
        <v>19</v>
      </c>
      <c r="CG156" s="31">
        <v>20</v>
      </c>
    </row>
    <row r="157" spans="1:85" x14ac:dyDescent="0.4">
      <c r="A157" s="11" t="s">
        <v>85</v>
      </c>
      <c r="B157" s="11" t="s">
        <v>245</v>
      </c>
      <c r="C157" s="11" t="s">
        <v>251</v>
      </c>
      <c r="D157" s="46" t="s">
        <v>88</v>
      </c>
      <c r="E157" s="15">
        <v>6</v>
      </c>
      <c r="F157" s="15">
        <v>3</v>
      </c>
      <c r="G157" s="15">
        <v>28</v>
      </c>
      <c r="H157" s="16">
        <f t="shared" si="94"/>
        <v>1248</v>
      </c>
      <c r="I157" s="16">
        <v>8</v>
      </c>
      <c r="J157" s="17">
        <f t="shared" si="95"/>
        <v>1.3333333333333333</v>
      </c>
      <c r="K157" s="15">
        <v>4</v>
      </c>
      <c r="L157" s="15">
        <v>8</v>
      </c>
      <c r="M157" s="17">
        <f t="shared" si="96"/>
        <v>0.66666666666666663</v>
      </c>
      <c r="N157" s="17">
        <f t="shared" si="97"/>
        <v>1.3333333333333333</v>
      </c>
      <c r="O157" s="18">
        <f t="shared" si="98"/>
        <v>0.5</v>
      </c>
      <c r="P157" s="16">
        <v>4</v>
      </c>
      <c r="Q157" s="15">
        <v>5</v>
      </c>
      <c r="R157" s="17">
        <f t="shared" si="99"/>
        <v>0.66666666666666663</v>
      </c>
      <c r="S157" s="17">
        <f t="shared" si="100"/>
        <v>0.83333333333333337</v>
      </c>
      <c r="T157" s="18">
        <f t="shared" si="101"/>
        <v>0.8</v>
      </c>
      <c r="U157" s="15">
        <v>0</v>
      </c>
      <c r="V157" s="15">
        <v>3</v>
      </c>
      <c r="W157" s="17">
        <f t="shared" si="102"/>
        <v>0</v>
      </c>
      <c r="X157" s="17">
        <f t="shared" si="103"/>
        <v>0.5</v>
      </c>
      <c r="Y157" s="18">
        <f t="shared" si="104"/>
        <v>0</v>
      </c>
      <c r="Z157" s="15">
        <v>0</v>
      </c>
      <c r="AA157" s="15">
        <v>0</v>
      </c>
      <c r="AB157" s="17">
        <f t="shared" si="105"/>
        <v>0</v>
      </c>
      <c r="AC157" s="17">
        <f t="shared" si="106"/>
        <v>0</v>
      </c>
      <c r="AD157" s="18" t="e">
        <f t="shared" si="107"/>
        <v>#DIV/0!</v>
      </c>
      <c r="AE157" s="15">
        <v>7</v>
      </c>
      <c r="AF157" s="17">
        <f t="shared" si="108"/>
        <v>1.1666666666666667</v>
      </c>
      <c r="AG157" s="15">
        <v>5</v>
      </c>
      <c r="AH157" s="17">
        <f t="shared" si="109"/>
        <v>0.83333333333333337</v>
      </c>
      <c r="AI157" s="15">
        <v>2</v>
      </c>
      <c r="AJ157" s="17">
        <f t="shared" si="110"/>
        <v>0.33333333333333331</v>
      </c>
      <c r="AK157" s="15">
        <v>3</v>
      </c>
      <c r="AL157" s="17">
        <f t="shared" si="111"/>
        <v>0.5</v>
      </c>
      <c r="AM157" s="15">
        <v>2</v>
      </c>
      <c r="AN157" s="17">
        <f t="shared" si="112"/>
        <v>0.33333333333333331</v>
      </c>
      <c r="AO157" s="15">
        <v>0</v>
      </c>
      <c r="AP157" s="17">
        <f t="shared" si="120"/>
        <v>0</v>
      </c>
      <c r="AQ157" s="4">
        <v>1</v>
      </c>
      <c r="AR157" s="17">
        <f t="shared" si="113"/>
        <v>0.16666666666666666</v>
      </c>
      <c r="AS157" s="15">
        <v>4</v>
      </c>
      <c r="AT157" s="17">
        <f t="shared" si="114"/>
        <v>0.66666666666666663</v>
      </c>
      <c r="AU157" s="19">
        <v>7.2168654164566415E-2</v>
      </c>
      <c r="AV157" s="19">
        <v>0.13878587339339701</v>
      </c>
      <c r="AW157" s="19">
        <v>4.6628365581523862E-2</v>
      </c>
      <c r="AX157" s="19">
        <v>2.554028858304256E-2</v>
      </c>
      <c r="AY157" s="19">
        <v>120.11497613179461</v>
      </c>
      <c r="AZ157" s="19">
        <v>108.1048835169088</v>
      </c>
      <c r="BA157" s="19">
        <v>1.9123550145115631</v>
      </c>
      <c r="BB157" s="19">
        <v>2.5</v>
      </c>
      <c r="BC157" s="19">
        <v>28.84615384615385</v>
      </c>
      <c r="BD157" s="65">
        <f t="shared" si="115"/>
        <v>50</v>
      </c>
      <c r="BE157" s="65">
        <f t="shared" si="116"/>
        <v>50</v>
      </c>
      <c r="BF157" s="66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2.1661873241777956</v>
      </c>
      <c r="BG157" s="38">
        <f t="shared" si="117"/>
        <v>0.375</v>
      </c>
      <c r="BH157" s="38">
        <f t="shared" si="118"/>
        <v>0</v>
      </c>
      <c r="BI157" s="67">
        <f>IFERROR(((AG157*(12000/5))/((F157*60+G157)*(SUMIFS(팀공격력!X:X,팀공격력!A:A,B157,팀공격력!B:B,D157)+SUMIFS(팀수비력!X:X,팀수비력!A:A,B157,팀수비력!B:B,D157))))*100,"")</f>
        <v>1.4397880631970974</v>
      </c>
      <c r="BJ157" s="67">
        <f>IFERROR(((AI157*(12000/5))/((F157*60+G157)*(SUMIFS(팀공격력!V:V,팀공격력!A:A,B157,팀공격력!B:B,D157)+SUMIFS(팀수비력!W:W,팀수비력!A:A,B157,팀수비력!B:B,D157))))*100,"")</f>
        <v>1.2094823415578131</v>
      </c>
      <c r="BK157" s="67">
        <f>IFERROR(((AE157*(12000/5))/((F157*60+G157)*(SUMIFS(팀공격력!X:X,팀공격력!A:A,B157,팀공격력!B:B,D157)+SUMIFS(팀수비력!X:X,팀수비력!A:A,B157,팀수비력!B:B,D157))))*100,"")</f>
        <v>2.0157032884759363</v>
      </c>
      <c r="BL157" s="67">
        <f>IFERROR(100*AK157/(((((F157*60+G157)/(12000/5))*SUMIFS(팀공격력!P:P,팀공격력!A:A,B157,팀공격력!B:B,D157))-K157)),"")</f>
        <v>1.9691930684403991</v>
      </c>
      <c r="BM157" s="67">
        <f>IFERROR(100*((AM157/E157*(2400))/((F157*60+G157)*SUMIFS(팀공격력!AR:AR,팀공격력!A:A,B157,팀공격력!B:B,D157))),"")</f>
        <v>5.1404935185142309</v>
      </c>
      <c r="BN157" s="67">
        <f>IFERROR((AO157*40)/(((F157*60+G157)/60)*(SUMIFS(팀수비력!Q:Q,팀수비력!A:A,B157,팀수비력!B:B,D157)-SUMIFS(팀수비력!N:N,팀수비력!A:A,B157,팀수비력!B:B,D157)))*100,"")</f>
        <v>0</v>
      </c>
      <c r="BO157" s="67">
        <f t="shared" si="119"/>
        <v>11.111111111111111</v>
      </c>
      <c r="BP157" s="19"/>
      <c r="BQ157" s="19"/>
      <c r="BR157" s="19"/>
      <c r="BS157" s="19"/>
      <c r="BT157" s="20" t="s">
        <v>89</v>
      </c>
      <c r="BU157" s="21"/>
      <c r="BV157" s="30" t="s">
        <v>102</v>
      </c>
      <c r="BW157" s="30">
        <v>24</v>
      </c>
      <c r="BX157" s="30">
        <v>29.2</v>
      </c>
      <c r="BY157" s="30">
        <v>5.2</v>
      </c>
      <c r="BZ157" s="35">
        <f t="shared" si="127"/>
        <v>3.9999999999999996</v>
      </c>
      <c r="CA157" s="35">
        <f t="shared" si="128"/>
        <v>4.8666666666666663</v>
      </c>
      <c r="CB157" s="35">
        <f t="shared" si="129"/>
        <v>0.8666666666666667</v>
      </c>
      <c r="CC157" s="36">
        <f t="shared" si="130"/>
        <v>46.153846153846153</v>
      </c>
      <c r="CD157" s="36">
        <f t="shared" si="131"/>
        <v>56.153846153846153</v>
      </c>
      <c r="CE157" s="36">
        <f t="shared" si="132"/>
        <v>10</v>
      </c>
      <c r="CF157" s="30">
        <v>1</v>
      </c>
      <c r="CG157" s="30">
        <v>5</v>
      </c>
    </row>
    <row r="158" spans="1:85" x14ac:dyDescent="0.4">
      <c r="A158" s="11" t="s">
        <v>85</v>
      </c>
      <c r="B158" s="11" t="s">
        <v>245</v>
      </c>
      <c r="C158" s="11" t="s">
        <v>252</v>
      </c>
      <c r="D158" s="46" t="s">
        <v>88</v>
      </c>
      <c r="E158" s="15">
        <v>24</v>
      </c>
      <c r="F158" s="15">
        <v>4</v>
      </c>
      <c r="G158" s="15">
        <v>33</v>
      </c>
      <c r="H158" s="16">
        <f t="shared" si="94"/>
        <v>6552</v>
      </c>
      <c r="I158" s="16">
        <v>34</v>
      </c>
      <c r="J158" s="17">
        <f t="shared" si="95"/>
        <v>1.4166666666666667</v>
      </c>
      <c r="K158" s="15">
        <v>13</v>
      </c>
      <c r="L158" s="15">
        <v>27</v>
      </c>
      <c r="M158" s="17">
        <f t="shared" si="96"/>
        <v>0.54166666666666663</v>
      </c>
      <c r="N158" s="17">
        <f t="shared" si="97"/>
        <v>1.125</v>
      </c>
      <c r="O158" s="18">
        <f t="shared" si="98"/>
        <v>0.48148148148148145</v>
      </c>
      <c r="P158" s="16">
        <v>8</v>
      </c>
      <c r="Q158" s="15">
        <v>12</v>
      </c>
      <c r="R158" s="17">
        <f t="shared" si="99"/>
        <v>0.33333333333333331</v>
      </c>
      <c r="S158" s="17">
        <f t="shared" si="100"/>
        <v>0.5</v>
      </c>
      <c r="T158" s="18">
        <f t="shared" si="101"/>
        <v>0.66666666666666663</v>
      </c>
      <c r="U158" s="15">
        <v>5</v>
      </c>
      <c r="V158" s="15">
        <v>15</v>
      </c>
      <c r="W158" s="17">
        <f t="shared" si="102"/>
        <v>0.20833333333333334</v>
      </c>
      <c r="X158" s="17">
        <f t="shared" si="103"/>
        <v>0.625</v>
      </c>
      <c r="Y158" s="18">
        <f t="shared" si="104"/>
        <v>0.33333333333333331</v>
      </c>
      <c r="Z158" s="15">
        <v>3</v>
      </c>
      <c r="AA158" s="15">
        <v>3</v>
      </c>
      <c r="AB158" s="17">
        <f t="shared" si="105"/>
        <v>0.125</v>
      </c>
      <c r="AC158" s="17">
        <f t="shared" si="106"/>
        <v>0.125</v>
      </c>
      <c r="AD158" s="18">
        <f t="shared" si="107"/>
        <v>1</v>
      </c>
      <c r="AE158" s="15">
        <v>9</v>
      </c>
      <c r="AF158" s="17">
        <f t="shared" si="108"/>
        <v>0.375</v>
      </c>
      <c r="AG158" s="15">
        <v>3</v>
      </c>
      <c r="AH158" s="17">
        <f t="shared" si="109"/>
        <v>0.125</v>
      </c>
      <c r="AI158" s="15">
        <v>6</v>
      </c>
      <c r="AJ158" s="17">
        <f t="shared" si="110"/>
        <v>0.25</v>
      </c>
      <c r="AK158" s="15">
        <v>9</v>
      </c>
      <c r="AL158" s="17">
        <f t="shared" si="111"/>
        <v>0.375</v>
      </c>
      <c r="AM158" s="15">
        <v>4</v>
      </c>
      <c r="AN158" s="17">
        <f t="shared" si="112"/>
        <v>0.16666666666666666</v>
      </c>
      <c r="AO158" s="15">
        <v>0</v>
      </c>
      <c r="AP158" s="17">
        <f t="shared" si="120"/>
        <v>0</v>
      </c>
      <c r="AQ158" s="4">
        <v>3</v>
      </c>
      <c r="AR158" s="17">
        <f t="shared" si="113"/>
        <v>0.125</v>
      </c>
      <c r="AS158" s="15">
        <v>8</v>
      </c>
      <c r="AT158" s="17">
        <f t="shared" si="114"/>
        <v>0.33333333333333331</v>
      </c>
      <c r="AU158" s="19">
        <v>0.19292174126697831</v>
      </c>
      <c r="AV158" s="19">
        <v>7.0667304493398642E-2</v>
      </c>
      <c r="AW158" s="19">
        <v>0.16417694795346349</v>
      </c>
      <c r="AX158" s="19">
        <v>2.8744793313514781E-2</v>
      </c>
      <c r="AY158" s="19">
        <v>123.8097410866455</v>
      </c>
      <c r="AZ158" s="19">
        <v>117.1379482476888</v>
      </c>
      <c r="BA158" s="19">
        <v>4.0300592815134477</v>
      </c>
      <c r="BB158" s="19">
        <v>1.625</v>
      </c>
      <c r="BC158" s="19">
        <v>14.28571428571429</v>
      </c>
      <c r="BD158" s="65">
        <f t="shared" si="115"/>
        <v>60.028248587570623</v>
      </c>
      <c r="BE158" s="65">
        <f t="shared" si="116"/>
        <v>57.407407407407405</v>
      </c>
      <c r="BF158" s="66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5.7434909623914114</v>
      </c>
      <c r="BG158" s="38">
        <f t="shared" si="117"/>
        <v>0.55555555555555558</v>
      </c>
      <c r="BH158" s="38">
        <f t="shared" si="118"/>
        <v>0.1111111111111111</v>
      </c>
      <c r="BI158" s="67">
        <f>IFERROR(((AG158*(12000/5))/((F158*60+G158)*(SUMIFS(팀공격력!X:X,팀공격력!A:A,B158,팀공격력!B:B,D158)+SUMIFS(팀수비력!X:X,팀수비력!A:A,B158,팀수비력!B:B,D158))))*100,"")</f>
        <v>0.65818882889010166</v>
      </c>
      <c r="BJ158" s="67">
        <f>IFERROR(((AI158*(12000/5))/((F158*60+G158)*(SUMIFS(팀공격력!V:V,팀공격력!A:A,B158,팀공격력!B:B,D158)+SUMIFS(팀수비력!W:W,팀수비력!A:A,B158,팀수비력!B:B,D158))))*100,"")</f>
        <v>2.7645310664178591</v>
      </c>
      <c r="BK158" s="67">
        <f>IFERROR(((AE158*(12000/5))/((F158*60+G158)*(SUMIFS(팀공격력!X:X,팀공격력!A:A,B158,팀공격력!B:B,D158)+SUMIFS(팀수비력!X:X,팀수비력!A:A,B158,팀수비력!B:B,D158))))*100,"")</f>
        <v>1.974566486670305</v>
      </c>
      <c r="BL158" s="67">
        <f>IFERROR(100*AK158/(((((F158*60+G158)/(12000/5))*SUMIFS(팀공격력!P:P,팀공격력!A:A,B158,팀공격력!B:B,D158))-K158)),"")</f>
        <v>4.6825004552430993</v>
      </c>
      <c r="BM158" s="67">
        <f>IFERROR(100*((AM158/E158*(2400))/((F158*60+G158)*SUMIFS(팀공격력!AR:AR,팀공격력!A:A,B158,팀공격력!B:B,D158))),"")</f>
        <v>1.9582832451482786</v>
      </c>
      <c r="BN158" s="67">
        <f>IFERROR((AO158*40)/(((F158*60+G158)/60)*(SUMIFS(팀수비력!Q:Q,팀수비력!A:A,B158,팀수비력!B:B,D158)-SUMIFS(팀수비력!N:N,팀수비력!A:A,B158,팀수비력!B:B,D158)))*100,"")</f>
        <v>0</v>
      </c>
      <c r="BO158" s="67">
        <f t="shared" si="119"/>
        <v>9.5785440613026811</v>
      </c>
      <c r="BP158" s="19"/>
      <c r="BQ158" s="19"/>
      <c r="BR158" s="19"/>
      <c r="BS158" s="19"/>
      <c r="BT158" s="20" t="s">
        <v>89</v>
      </c>
      <c r="BU158" s="21">
        <v>750000</v>
      </c>
      <c r="BV158" s="31" t="s">
        <v>90</v>
      </c>
      <c r="BW158" s="31">
        <v>73.3</v>
      </c>
      <c r="BX158" s="31">
        <v>90.8</v>
      </c>
      <c r="BY158" s="31">
        <v>17.5</v>
      </c>
      <c r="BZ158" s="35">
        <f t="shared" si="127"/>
        <v>3.0541666666666667</v>
      </c>
      <c r="CA158" s="35">
        <f t="shared" si="128"/>
        <v>3.7833333333333332</v>
      </c>
      <c r="CB158" s="35">
        <f t="shared" si="129"/>
        <v>0.72916666666666663</v>
      </c>
      <c r="CC158" s="36">
        <f t="shared" si="130"/>
        <v>26.849816849816854</v>
      </c>
      <c r="CD158" s="36">
        <f t="shared" si="131"/>
        <v>33.260073260073263</v>
      </c>
      <c r="CE158" s="36">
        <f t="shared" si="132"/>
        <v>6.4102564102564106</v>
      </c>
      <c r="CF158" s="31">
        <v>11</v>
      </c>
      <c r="CG158" s="31">
        <v>13</v>
      </c>
    </row>
    <row r="159" spans="1:85" x14ac:dyDescent="0.4">
      <c r="A159" s="11" t="s">
        <v>85</v>
      </c>
      <c r="B159" s="11" t="s">
        <v>245</v>
      </c>
      <c r="C159" s="11" t="s">
        <v>253</v>
      </c>
      <c r="D159" s="46" t="s">
        <v>88</v>
      </c>
      <c r="E159" s="15">
        <v>21</v>
      </c>
      <c r="F159" s="15">
        <v>23</v>
      </c>
      <c r="G159" s="15">
        <v>18</v>
      </c>
      <c r="H159" s="16">
        <f t="shared" si="94"/>
        <v>29358</v>
      </c>
      <c r="I159" s="16">
        <v>199</v>
      </c>
      <c r="J159" s="17">
        <f t="shared" si="95"/>
        <v>9.4761904761904763</v>
      </c>
      <c r="K159" s="15">
        <v>75</v>
      </c>
      <c r="L159" s="15">
        <v>187</v>
      </c>
      <c r="M159" s="17">
        <f t="shared" si="96"/>
        <v>3.5714285714285716</v>
      </c>
      <c r="N159" s="17">
        <f t="shared" si="97"/>
        <v>8.9047619047619051</v>
      </c>
      <c r="O159" s="18">
        <f t="shared" si="98"/>
        <v>0.40106951871657753</v>
      </c>
      <c r="P159" s="16">
        <v>49</v>
      </c>
      <c r="Q159" s="15">
        <v>96</v>
      </c>
      <c r="R159" s="17">
        <f t="shared" si="99"/>
        <v>2.3333333333333335</v>
      </c>
      <c r="S159" s="17">
        <f t="shared" si="100"/>
        <v>4.5714285714285712</v>
      </c>
      <c r="T159" s="18">
        <f t="shared" si="101"/>
        <v>0.51041666666666663</v>
      </c>
      <c r="U159" s="15">
        <v>26</v>
      </c>
      <c r="V159" s="15">
        <v>91</v>
      </c>
      <c r="W159" s="17">
        <f t="shared" si="102"/>
        <v>1.2380952380952381</v>
      </c>
      <c r="X159" s="17">
        <f t="shared" si="103"/>
        <v>4.333333333333333</v>
      </c>
      <c r="Y159" s="18">
        <f t="shared" si="104"/>
        <v>0.2857142857142857</v>
      </c>
      <c r="Z159" s="15">
        <v>23</v>
      </c>
      <c r="AA159" s="15">
        <v>33</v>
      </c>
      <c r="AB159" s="17">
        <f t="shared" si="105"/>
        <v>1.0952380952380953</v>
      </c>
      <c r="AC159" s="17">
        <f t="shared" si="106"/>
        <v>1.5714285714285714</v>
      </c>
      <c r="AD159" s="18">
        <f t="shared" si="107"/>
        <v>0.69696969696969702</v>
      </c>
      <c r="AE159" s="15">
        <v>45</v>
      </c>
      <c r="AF159" s="17">
        <f t="shared" si="108"/>
        <v>2.1428571428571428</v>
      </c>
      <c r="AG159" s="15">
        <v>13</v>
      </c>
      <c r="AH159" s="17">
        <f t="shared" si="109"/>
        <v>0.61904761904761907</v>
      </c>
      <c r="AI159" s="15">
        <v>32</v>
      </c>
      <c r="AJ159" s="17">
        <f t="shared" si="110"/>
        <v>1.5238095238095237</v>
      </c>
      <c r="AK159" s="15">
        <v>79</v>
      </c>
      <c r="AL159" s="17">
        <f t="shared" si="111"/>
        <v>3.7619047619047619</v>
      </c>
      <c r="AM159" s="15">
        <v>9</v>
      </c>
      <c r="AN159" s="17">
        <f t="shared" si="112"/>
        <v>0.42857142857142855</v>
      </c>
      <c r="AO159" s="15">
        <v>6</v>
      </c>
      <c r="AP159" s="17">
        <f t="shared" si="120"/>
        <v>0.2857142857142857</v>
      </c>
      <c r="AQ159" s="4">
        <v>35</v>
      </c>
      <c r="AR159" s="17">
        <f t="shared" si="113"/>
        <v>1.6666666666666667</v>
      </c>
      <c r="AS159" s="15">
        <v>41</v>
      </c>
      <c r="AT159" s="17">
        <f t="shared" si="114"/>
        <v>1.9523809523809523</v>
      </c>
      <c r="AU159" s="19">
        <v>0.1222043365522572</v>
      </c>
      <c r="AV159" s="19">
        <v>9.9901358309631878E-3</v>
      </c>
      <c r="AW159" s="19">
        <v>4.71046724791057E-2</v>
      </c>
      <c r="AX159" s="19">
        <v>7.5099664073151495E-2</v>
      </c>
      <c r="AY159" s="19">
        <v>102.6916934765013</v>
      </c>
      <c r="AZ159" s="19">
        <v>118.16560791552131</v>
      </c>
      <c r="BA159" s="19">
        <v>3.2025399865614008</v>
      </c>
      <c r="BB159" s="19">
        <v>8.6190476190476186</v>
      </c>
      <c r="BC159" s="19">
        <v>14.79664827304312</v>
      </c>
      <c r="BD159" s="65">
        <f t="shared" si="115"/>
        <v>49.374751885668914</v>
      </c>
      <c r="BE159" s="65">
        <f t="shared" si="116"/>
        <v>47.058823529411761</v>
      </c>
      <c r="BF159" s="66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8.4698854069482348</v>
      </c>
      <c r="BG159" s="38">
        <f t="shared" si="117"/>
        <v>0.48663101604278075</v>
      </c>
      <c r="BH159" s="38">
        <f t="shared" si="118"/>
        <v>0.17647058823529413</v>
      </c>
      <c r="BI159" s="67">
        <f>IFERROR(((AG159*(12000/5))/((F159*60+G159)*(SUMIFS(팀공격력!X:X,팀공격력!A:A,B159,팀공격력!B:B,D159)+SUMIFS(팀수비력!X:X,팀수비력!A:A,B159,팀수비력!B:B,D159))))*100,"")</f>
        <v>0.55696522501930634</v>
      </c>
      <c r="BJ159" s="67">
        <f>IFERROR(((AI159*(12000/5))/((F159*60+G159)*(SUMIFS(팀공격력!V:V,팀공격력!A:A,B159,팀공격력!B:B,D159)+SUMIFS(팀수비력!W:W,팀수비력!A:A,B159,팀수비력!B:B,D159))))*100,"")</f>
        <v>2.8792254883436357</v>
      </c>
      <c r="BK159" s="67">
        <f>IFERROR(((AE159*(12000/5))/((F159*60+G159)*(SUMIFS(팀공격력!X:X,팀공격력!A:A,B159,팀공격력!B:B,D159)+SUMIFS(팀수비력!X:X,팀수비력!A:A,B159,팀수비력!B:B,D159))))*100,"")</f>
        <v>1.9279565481437526</v>
      </c>
      <c r="BL159" s="67">
        <f>IFERROR(100*AK159/(((((F159*60+G159)/(12000/5))*SUMIFS(팀공격력!P:P,팀공격력!A:A,B159,팀공격력!B:B,D159))-K159)),"")</f>
        <v>8.0956724019552588</v>
      </c>
      <c r="BM159" s="67">
        <f>IFERROR(100*((AM159/E159*(2400))/((F159*60+G159)*SUMIFS(팀공격력!AR:AR,팀공격력!A:A,B159,팀공격력!B:B,D159))),"")</f>
        <v>0.98334394713454309</v>
      </c>
      <c r="BN159" s="67">
        <f>IFERROR((AO159*40)/(((F159*60+G159)/60)*(SUMIFS(팀수비력!Q:Q,팀수비력!A:A,B159,팀수비력!B:B,D159)-SUMIFS(팀수비력!N:N,팀수비력!A:A,B159,팀수비력!B:B,D159)))*100,"")</f>
        <v>0.40858505293730091</v>
      </c>
      <c r="BO159" s="67">
        <f t="shared" si="119"/>
        <v>14.797902925756807</v>
      </c>
      <c r="BP159" s="19"/>
      <c r="BQ159" s="19"/>
      <c r="BR159" s="19"/>
      <c r="BS159" s="19"/>
      <c r="BT159" s="20" t="s">
        <v>113</v>
      </c>
      <c r="BU159" s="21">
        <v>60000</v>
      </c>
      <c r="BV159" s="31" t="s">
        <v>90</v>
      </c>
      <c r="BW159" s="31">
        <v>344.78</v>
      </c>
      <c r="BX159" s="31">
        <v>510.78</v>
      </c>
      <c r="BY159" s="31">
        <v>166</v>
      </c>
      <c r="BZ159" s="35">
        <f t="shared" si="127"/>
        <v>16.418095238095237</v>
      </c>
      <c r="CA159" s="35">
        <f t="shared" si="128"/>
        <v>24.322857142857142</v>
      </c>
      <c r="CB159" s="35">
        <f t="shared" si="129"/>
        <v>7.9047619047619051</v>
      </c>
      <c r="CC159" s="36">
        <f t="shared" si="130"/>
        <v>28.185571224197837</v>
      </c>
      <c r="CD159" s="36">
        <f t="shared" si="131"/>
        <v>41.755977927651749</v>
      </c>
      <c r="CE159" s="36">
        <f t="shared" si="132"/>
        <v>13.570406703453914</v>
      </c>
      <c r="CF159" s="30">
        <v>11</v>
      </c>
      <c r="CG159" s="30">
        <v>10</v>
      </c>
    </row>
    <row r="160" spans="1:85" x14ac:dyDescent="0.4">
      <c r="A160" s="11" t="s">
        <v>85</v>
      </c>
      <c r="B160" s="11" t="s">
        <v>245</v>
      </c>
      <c r="C160" s="11" t="s">
        <v>254</v>
      </c>
      <c r="D160" s="46" t="s">
        <v>88</v>
      </c>
      <c r="E160" s="15">
        <v>32</v>
      </c>
      <c r="F160" s="15">
        <v>24</v>
      </c>
      <c r="G160" s="15">
        <v>32</v>
      </c>
      <c r="H160" s="16">
        <f t="shared" si="94"/>
        <v>47104</v>
      </c>
      <c r="I160" s="16">
        <v>292</v>
      </c>
      <c r="J160" s="17">
        <f t="shared" si="95"/>
        <v>9.125</v>
      </c>
      <c r="K160" s="15">
        <v>108</v>
      </c>
      <c r="L160" s="15">
        <v>258</v>
      </c>
      <c r="M160" s="17">
        <f t="shared" si="96"/>
        <v>3.375</v>
      </c>
      <c r="N160" s="17">
        <f t="shared" si="97"/>
        <v>8.0625</v>
      </c>
      <c r="O160" s="18">
        <f t="shared" si="98"/>
        <v>0.41860465116279072</v>
      </c>
      <c r="P160" s="16">
        <v>74</v>
      </c>
      <c r="Q160" s="15">
        <v>148</v>
      </c>
      <c r="R160" s="17">
        <f t="shared" si="99"/>
        <v>2.3125</v>
      </c>
      <c r="S160" s="17">
        <f t="shared" si="100"/>
        <v>4.625</v>
      </c>
      <c r="T160" s="18">
        <f t="shared" si="101"/>
        <v>0.5</v>
      </c>
      <c r="U160" s="15">
        <v>34</v>
      </c>
      <c r="V160" s="15">
        <v>110</v>
      </c>
      <c r="W160" s="17">
        <f t="shared" si="102"/>
        <v>1.0625</v>
      </c>
      <c r="X160" s="17">
        <f t="shared" si="103"/>
        <v>3.4375</v>
      </c>
      <c r="Y160" s="18">
        <f t="shared" si="104"/>
        <v>0.30909090909090908</v>
      </c>
      <c r="Z160" s="15">
        <v>42</v>
      </c>
      <c r="AA160" s="15">
        <v>58</v>
      </c>
      <c r="AB160" s="17">
        <f t="shared" si="105"/>
        <v>1.3125</v>
      </c>
      <c r="AC160" s="17">
        <f t="shared" si="106"/>
        <v>1.8125</v>
      </c>
      <c r="AD160" s="18">
        <f t="shared" si="107"/>
        <v>0.72413793103448276</v>
      </c>
      <c r="AE160" s="15">
        <v>102</v>
      </c>
      <c r="AF160" s="17">
        <f t="shared" si="108"/>
        <v>3.1875</v>
      </c>
      <c r="AG160" s="15">
        <v>34</v>
      </c>
      <c r="AH160" s="17">
        <f t="shared" si="109"/>
        <v>1.0625</v>
      </c>
      <c r="AI160" s="15">
        <v>68</v>
      </c>
      <c r="AJ160" s="17">
        <f t="shared" si="110"/>
        <v>2.125</v>
      </c>
      <c r="AK160" s="15">
        <v>136</v>
      </c>
      <c r="AL160" s="17">
        <f t="shared" si="111"/>
        <v>4.25</v>
      </c>
      <c r="AM160" s="15">
        <v>20</v>
      </c>
      <c r="AN160" s="17">
        <f t="shared" si="112"/>
        <v>0.625</v>
      </c>
      <c r="AO160" s="15">
        <v>0</v>
      </c>
      <c r="AP160" s="17">
        <f t="shared" si="120"/>
        <v>0</v>
      </c>
      <c r="AQ160" s="4">
        <v>67</v>
      </c>
      <c r="AR160" s="17">
        <f t="shared" si="113"/>
        <v>2.09375</v>
      </c>
      <c r="AS160" s="15">
        <v>78</v>
      </c>
      <c r="AT160" s="17">
        <f t="shared" si="114"/>
        <v>2.4375</v>
      </c>
      <c r="AU160" s="19">
        <v>0.36598037010408019</v>
      </c>
      <c r="AV160" s="19">
        <v>1.8647097661553001E-2</v>
      </c>
      <c r="AW160" s="19">
        <v>0.15455131997696619</v>
      </c>
      <c r="AX160" s="19">
        <v>0.2114290501271141</v>
      </c>
      <c r="AY160" s="19">
        <v>103.59311698374</v>
      </c>
      <c r="AZ160" s="19">
        <v>117.0809895345906</v>
      </c>
      <c r="BA160" s="19">
        <v>4.8872131914902814</v>
      </c>
      <c r="BB160" s="19">
        <v>9.90625</v>
      </c>
      <c r="BC160" s="19">
        <v>16.151494565217391</v>
      </c>
      <c r="BD160" s="65">
        <f t="shared" si="115"/>
        <v>51.495485327313773</v>
      </c>
      <c r="BE160" s="65">
        <f t="shared" si="116"/>
        <v>48.449612403100772</v>
      </c>
      <c r="BF160" s="66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11.921250907391801</v>
      </c>
      <c r="BG160" s="38">
        <f t="shared" si="117"/>
        <v>0.4263565891472868</v>
      </c>
      <c r="BH160" s="38">
        <f t="shared" si="118"/>
        <v>0.22480620155038761</v>
      </c>
      <c r="BI160" s="67">
        <f>IFERROR(((AG160*(12000/5))/((F160*60+G160)*(SUMIFS(팀공격력!X:X,팀공격력!A:A,B160,팀공격력!B:B,D160)+SUMIFS(팀수비력!X:X,팀수비력!A:A,B160,팀수비력!B:B,D160))))*100,"")</f>
        <v>1.3834485302893849</v>
      </c>
      <c r="BJ160" s="67">
        <f>IFERROR(((AI160*(12000/5))/((F160*60+G160)*(SUMIFS(팀공격력!V:V,팀공격력!A:A,B160,팀공격력!B:B,D160)+SUMIFS(팀수비력!W:W,팀수비력!A:A,B160,팀수비력!B:B,D160))))*100,"")</f>
        <v>5.8107738583538415</v>
      </c>
      <c r="BK160" s="67">
        <f>IFERROR(((AE160*(12000/5))/((F160*60+G160)*(SUMIFS(팀공격력!X:X,팀공격력!A:A,B160,팀공격력!B:B,D160)+SUMIFS(팀수비력!X:X,팀수비력!A:A,B160,팀수비력!B:B,D160))))*100,"")</f>
        <v>4.150345590868155</v>
      </c>
      <c r="BL160" s="67">
        <f>IFERROR(100*AK160/(((((F160*60+G160)/(12000/5))*SUMIFS(팀공격력!P:P,팀공격력!A:A,B160,팀공격력!B:B,D160))-K160)),"")</f>
        <v>13.621067250681056</v>
      </c>
      <c r="BM160" s="67">
        <f>IFERROR(100*((AM160/E160*(2400))/((F160*60+G160)*SUMIFS(팀공격력!AR:AR,팀공격력!A:A,B160,팀공격력!B:B,D160))),"")</f>
        <v>1.361951407758526</v>
      </c>
      <c r="BN160" s="67">
        <f>IFERROR((AO160*40)/(((F160*60+G160)/60)*(SUMIFS(팀수비력!Q:Q,팀수비력!A:A,B160,팀수비력!B:B,D160)-SUMIFS(팀수비력!N:N,팀수비력!A:A,B160,팀수비력!B:B,D160)))*100,"")</f>
        <v>0</v>
      </c>
      <c r="BO160" s="67">
        <f t="shared" si="119"/>
        <v>19.114458518772111</v>
      </c>
      <c r="BP160" s="19"/>
      <c r="BQ160" s="19"/>
      <c r="BR160" s="19"/>
      <c r="BS160" s="19"/>
      <c r="BT160" s="20" t="s">
        <v>89</v>
      </c>
      <c r="BU160" s="21">
        <v>100000</v>
      </c>
      <c r="BV160" s="30" t="s">
        <v>90</v>
      </c>
      <c r="BW160" s="30">
        <v>589.13</v>
      </c>
      <c r="BX160" s="30">
        <v>844.83</v>
      </c>
      <c r="BY160" s="30">
        <v>255.7</v>
      </c>
      <c r="BZ160" s="35">
        <f t="shared" si="127"/>
        <v>18.410312500000003</v>
      </c>
      <c r="CA160" s="35">
        <f t="shared" si="128"/>
        <v>26.400937500000001</v>
      </c>
      <c r="CB160" s="35">
        <f t="shared" si="129"/>
        <v>7.9906249999999996</v>
      </c>
      <c r="CC160" s="36">
        <f t="shared" si="130"/>
        <v>30.016813858695649</v>
      </c>
      <c r="CD160" s="36">
        <f t="shared" si="131"/>
        <v>43.045006793478258</v>
      </c>
      <c r="CE160" s="36">
        <f t="shared" si="132"/>
        <v>13.028192934782609</v>
      </c>
      <c r="CF160" s="31">
        <v>16</v>
      </c>
      <c r="CG160" s="31">
        <v>16</v>
      </c>
    </row>
    <row r="161" spans="1:85" x14ac:dyDescent="0.4">
      <c r="A161" s="11" t="s">
        <v>85</v>
      </c>
      <c r="B161" s="11" t="s">
        <v>245</v>
      </c>
      <c r="C161" s="11" t="s">
        <v>255</v>
      </c>
      <c r="D161" s="46" t="s">
        <v>88</v>
      </c>
      <c r="E161" s="15">
        <v>7</v>
      </c>
      <c r="F161" s="15">
        <v>6</v>
      </c>
      <c r="G161" s="15">
        <v>2</v>
      </c>
      <c r="H161" s="16">
        <f t="shared" si="94"/>
        <v>2534</v>
      </c>
      <c r="I161" s="16">
        <v>8</v>
      </c>
      <c r="J161" s="17">
        <f t="shared" si="95"/>
        <v>1.1428571428571428</v>
      </c>
      <c r="K161" s="15">
        <v>3</v>
      </c>
      <c r="L161" s="15">
        <v>12</v>
      </c>
      <c r="M161" s="17">
        <f t="shared" si="96"/>
        <v>0.42857142857142855</v>
      </c>
      <c r="N161" s="17">
        <f t="shared" si="97"/>
        <v>1.7142857142857142</v>
      </c>
      <c r="O161" s="18">
        <f t="shared" si="98"/>
        <v>0.25</v>
      </c>
      <c r="P161" s="16">
        <v>1</v>
      </c>
      <c r="Q161" s="15">
        <v>3</v>
      </c>
      <c r="R161" s="17">
        <f t="shared" si="99"/>
        <v>0.14285714285714285</v>
      </c>
      <c r="S161" s="17">
        <f t="shared" si="100"/>
        <v>0.42857142857142855</v>
      </c>
      <c r="T161" s="18">
        <f t="shared" si="101"/>
        <v>0.33333333333333331</v>
      </c>
      <c r="U161" s="15">
        <v>2</v>
      </c>
      <c r="V161" s="15">
        <v>9</v>
      </c>
      <c r="W161" s="17">
        <f t="shared" si="102"/>
        <v>0.2857142857142857</v>
      </c>
      <c r="X161" s="17">
        <f t="shared" si="103"/>
        <v>1.2857142857142858</v>
      </c>
      <c r="Y161" s="18">
        <f t="shared" si="104"/>
        <v>0.22222222222222221</v>
      </c>
      <c r="Z161" s="15">
        <v>0</v>
      </c>
      <c r="AA161" s="15">
        <v>0</v>
      </c>
      <c r="AB161" s="17">
        <f t="shared" si="105"/>
        <v>0</v>
      </c>
      <c r="AC161" s="17">
        <f t="shared" si="106"/>
        <v>0</v>
      </c>
      <c r="AD161" s="18" t="e">
        <f t="shared" si="107"/>
        <v>#DIV/0!</v>
      </c>
      <c r="AE161" s="15">
        <v>6</v>
      </c>
      <c r="AF161" s="17">
        <f t="shared" si="108"/>
        <v>0.8571428571428571</v>
      </c>
      <c r="AG161" s="15">
        <v>1</v>
      </c>
      <c r="AH161" s="17">
        <f t="shared" si="109"/>
        <v>0.14285714285714285</v>
      </c>
      <c r="AI161" s="15">
        <v>5</v>
      </c>
      <c r="AJ161" s="17">
        <f t="shared" si="110"/>
        <v>0.7142857142857143</v>
      </c>
      <c r="AK161" s="15">
        <v>1</v>
      </c>
      <c r="AL161" s="17">
        <f t="shared" si="111"/>
        <v>0.14285714285714285</v>
      </c>
      <c r="AM161" s="15">
        <v>0</v>
      </c>
      <c r="AN161" s="17">
        <f t="shared" si="112"/>
        <v>0</v>
      </c>
      <c r="AO161" s="15">
        <v>0</v>
      </c>
      <c r="AP161" s="17">
        <f t="shared" si="120"/>
        <v>0</v>
      </c>
      <c r="AQ161" s="4">
        <v>3</v>
      </c>
      <c r="AR161" s="17">
        <f t="shared" si="113"/>
        <v>0.42857142857142855</v>
      </c>
      <c r="AS161" s="15">
        <v>6</v>
      </c>
      <c r="AT161" s="17">
        <f t="shared" si="114"/>
        <v>0.8571428571428571</v>
      </c>
      <c r="AU161" s="19">
        <v>-0.127113329858213</v>
      </c>
      <c r="AV161" s="19">
        <v>-0.12039147263603441</v>
      </c>
      <c r="AW161" s="19">
        <v>-0.13146888423881389</v>
      </c>
      <c r="AX161" s="19">
        <v>4.3555543806009884E-3</v>
      </c>
      <c r="AY161" s="19">
        <v>63.492549124787658</v>
      </c>
      <c r="AZ161" s="19">
        <v>118.6371104641417</v>
      </c>
      <c r="BA161" s="19">
        <v>-0.47798530152141772</v>
      </c>
      <c r="BB161" s="19">
        <v>0.42857142857142849</v>
      </c>
      <c r="BC161" s="19">
        <v>2.8413575374901341</v>
      </c>
      <c r="BD161" s="65">
        <f t="shared" si="115"/>
        <v>33.333333333333329</v>
      </c>
      <c r="BE161" s="65">
        <f t="shared" si="116"/>
        <v>33.333333333333329</v>
      </c>
      <c r="BF161" s="66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2.0744335332826034</v>
      </c>
      <c r="BG161" s="38">
        <f t="shared" si="117"/>
        <v>0.75</v>
      </c>
      <c r="BH161" s="38">
        <f t="shared" si="118"/>
        <v>0</v>
      </c>
      <c r="BI161" s="67">
        <f>IFERROR(((AG161*(12000/5))/((F161*60+G161)*(SUMIFS(팀공격력!X:X,팀공격력!A:A,B161,팀공격력!B:B,D161)+SUMIFS(팀수비력!X:X,팀수비력!A:A,B161,팀수비력!B:B,D161))))*100,"")</f>
        <v>0.16545630781491505</v>
      </c>
      <c r="BJ161" s="67">
        <f>IFERROR(((AI161*(12000/5))/((F161*60+G161)*(SUMIFS(팀공격력!V:V,팀공격력!A:A,B161,팀공격력!B:B,D161)+SUMIFS(팀수비력!W:W,팀수비력!A:A,B161,팀수비력!B:B,D161))))*100,"")</f>
        <v>1.7373779491990686</v>
      </c>
      <c r="BK161" s="67">
        <f>IFERROR(((AE161*(12000/5))/((F161*60+G161)*(SUMIFS(팀공격력!X:X,팀공격력!A:A,B161,팀공격력!B:B,D161)+SUMIFS(팀수비력!X:X,팀수비력!A:A,B161,팀수비력!B:B,D161))))*100,"")</f>
        <v>0.99273784688949041</v>
      </c>
      <c r="BL161" s="67">
        <f>IFERROR(100*AK161/(((((F161*60+G161)/(12000/5))*SUMIFS(팀공격력!P:P,팀공격력!A:A,B161,팀공격력!B:B,D161))-K161)),"")</f>
        <v>0.37160446420829668</v>
      </c>
      <c r="BM161" s="67">
        <f>IFERROR(100*((AM161/E161*(2400))/((F161*60+G161)*SUMIFS(팀공격력!AR:AR,팀공격력!A:A,B161,팀공격력!B:B,D161))),"")</f>
        <v>0</v>
      </c>
      <c r="BN161" s="67">
        <f>IFERROR((AO161*40)/(((F161*60+G161)/60)*(SUMIFS(팀수비력!Q:Q,팀수비력!A:A,B161,팀수비력!B:B,D161)-SUMIFS(팀수비력!N:N,팀수비력!A:A,B161,팀수비력!B:B,D161)))*100,"")</f>
        <v>0</v>
      </c>
      <c r="BO161" s="67">
        <f t="shared" si="119"/>
        <v>20</v>
      </c>
      <c r="BP161" s="19"/>
      <c r="BQ161" s="19"/>
      <c r="BR161" s="19"/>
      <c r="BS161" s="19"/>
      <c r="BT161" s="20" t="s">
        <v>89</v>
      </c>
      <c r="BU161" s="21">
        <v>265000</v>
      </c>
      <c r="BV161" s="30" t="s">
        <v>93</v>
      </c>
      <c r="BW161" s="30">
        <v>13.76</v>
      </c>
      <c r="BX161" s="30">
        <v>26.56</v>
      </c>
      <c r="BY161" s="30">
        <v>12.8</v>
      </c>
      <c r="BZ161" s="35">
        <f t="shared" si="127"/>
        <v>1.9657142857142853</v>
      </c>
      <c r="CA161" s="35">
        <f t="shared" si="128"/>
        <v>3.794285714285714</v>
      </c>
      <c r="CB161" s="35">
        <f t="shared" si="129"/>
        <v>1.8285714285714287</v>
      </c>
      <c r="CC161" s="36">
        <f t="shared" si="130"/>
        <v>13.032359905288084</v>
      </c>
      <c r="CD161" s="36">
        <f t="shared" si="131"/>
        <v>25.155485398579323</v>
      </c>
      <c r="CE161" s="36">
        <f t="shared" si="132"/>
        <v>12.123125493291239</v>
      </c>
      <c r="CF161" s="30">
        <v>4</v>
      </c>
      <c r="CG161" s="30">
        <v>3</v>
      </c>
    </row>
    <row r="162" spans="1:85" x14ac:dyDescent="0.4">
      <c r="A162" s="11" t="s">
        <v>85</v>
      </c>
      <c r="B162" s="11" t="s">
        <v>245</v>
      </c>
      <c r="C162" s="11" t="s">
        <v>256</v>
      </c>
      <c r="D162" s="46" t="s">
        <v>88</v>
      </c>
      <c r="E162" s="10">
        <v>4</v>
      </c>
      <c r="F162" s="10">
        <v>19</v>
      </c>
      <c r="G162" s="10">
        <v>50</v>
      </c>
      <c r="H162" s="16">
        <f t="shared" si="94"/>
        <v>4760</v>
      </c>
      <c r="I162" s="16">
        <v>23</v>
      </c>
      <c r="J162" s="17">
        <f t="shared" si="95"/>
        <v>5.75</v>
      </c>
      <c r="K162" s="15">
        <v>9</v>
      </c>
      <c r="L162" s="15">
        <v>29</v>
      </c>
      <c r="M162" s="17">
        <f t="shared" si="96"/>
        <v>2.25</v>
      </c>
      <c r="N162" s="17">
        <f t="shared" si="97"/>
        <v>7.25</v>
      </c>
      <c r="O162" s="18">
        <f t="shared" si="98"/>
        <v>0.31034482758620691</v>
      </c>
      <c r="P162" s="16">
        <v>4</v>
      </c>
      <c r="Q162" s="15">
        <v>12</v>
      </c>
      <c r="R162" s="17">
        <f t="shared" si="99"/>
        <v>1</v>
      </c>
      <c r="S162" s="17">
        <f t="shared" si="100"/>
        <v>3</v>
      </c>
      <c r="T162" s="18">
        <f t="shared" si="101"/>
        <v>0.33333333333333331</v>
      </c>
      <c r="U162" s="15">
        <v>5</v>
      </c>
      <c r="V162" s="15">
        <v>17</v>
      </c>
      <c r="W162" s="17">
        <f t="shared" si="102"/>
        <v>1.25</v>
      </c>
      <c r="X162" s="17">
        <f t="shared" si="103"/>
        <v>4.25</v>
      </c>
      <c r="Y162" s="18">
        <f t="shared" si="104"/>
        <v>0.29411764705882354</v>
      </c>
      <c r="Z162" s="9">
        <v>0</v>
      </c>
      <c r="AA162" s="9">
        <v>0</v>
      </c>
      <c r="AB162" s="17">
        <f t="shared" si="105"/>
        <v>0</v>
      </c>
      <c r="AC162" s="17">
        <f t="shared" si="106"/>
        <v>0</v>
      </c>
      <c r="AD162" s="18" t="e">
        <f t="shared" si="107"/>
        <v>#DIV/0!</v>
      </c>
      <c r="AE162" s="15">
        <v>6</v>
      </c>
      <c r="AF162" s="17">
        <f t="shared" si="108"/>
        <v>1.5</v>
      </c>
      <c r="AG162" s="15">
        <v>1</v>
      </c>
      <c r="AH162" s="17">
        <f t="shared" si="109"/>
        <v>0.25</v>
      </c>
      <c r="AI162" s="15">
        <v>5</v>
      </c>
      <c r="AJ162" s="17">
        <f t="shared" si="110"/>
        <v>1.25</v>
      </c>
      <c r="AK162" s="15">
        <v>10</v>
      </c>
      <c r="AL162" s="17">
        <f t="shared" si="111"/>
        <v>2.5</v>
      </c>
      <c r="AM162" s="15">
        <v>3</v>
      </c>
      <c r="AN162" s="17">
        <f t="shared" si="112"/>
        <v>0.75</v>
      </c>
      <c r="AO162" s="7">
        <v>1</v>
      </c>
      <c r="AP162" s="17">
        <f t="shared" si="120"/>
        <v>0.25</v>
      </c>
      <c r="AQ162" s="6">
        <v>5</v>
      </c>
      <c r="AR162" s="17">
        <f t="shared" si="113"/>
        <v>1.25</v>
      </c>
      <c r="AS162" s="15">
        <v>7</v>
      </c>
      <c r="AT162" s="17">
        <f t="shared" si="114"/>
        <v>1.75</v>
      </c>
      <c r="AU162" s="19">
        <v>-9.4179425111054899E-2</v>
      </c>
      <c r="AV162" s="19">
        <v>-4.7485424425741968E-2</v>
      </c>
      <c r="AW162" s="19">
        <v>-0.12508313114362221</v>
      </c>
      <c r="AX162" s="19">
        <v>3.0903706032567261E-2</v>
      </c>
      <c r="AY162" s="19">
        <v>86.446135570855972</v>
      </c>
      <c r="AZ162" s="19">
        <v>115.9551755535318</v>
      </c>
      <c r="BA162" s="19">
        <v>0.29712708897867862</v>
      </c>
      <c r="BB162" s="19">
        <v>4.5</v>
      </c>
      <c r="BC162" s="19">
        <v>9.0756302521008418</v>
      </c>
      <c r="BD162" s="65">
        <f t="shared" si="115"/>
        <v>39.655172413793103</v>
      </c>
      <c r="BE162" s="65">
        <f t="shared" si="116"/>
        <v>39.655172413793103</v>
      </c>
      <c r="BF162" s="66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1.4303713124729569</v>
      </c>
      <c r="BG162" s="38">
        <f t="shared" si="117"/>
        <v>0.58620689655172409</v>
      </c>
      <c r="BH162" s="38">
        <f t="shared" si="118"/>
        <v>0</v>
      </c>
      <c r="BI162" s="67">
        <f>IFERROR(((AG162*(12000/5))/((F162*60+G162)*(SUMIFS(팀공격력!X:X,팀공격력!A:A,B162,팀공격력!B:B,D162)+SUMIFS(팀수비력!X:X,팀수비력!A:A,B162,팀수비력!B:B,D162))))*100,"")</f>
        <v>5.0332086915125425E-2</v>
      </c>
      <c r="BJ162" s="67">
        <f>IFERROR(((AI162*(12000/5))/((F162*60+G162)*(SUMIFS(팀공격력!V:V,팀공격력!A:A,B162,팀공격력!B:B,D162)+SUMIFS(팀수비력!W:W,팀수비력!A:A,B162,팀수비력!B:B,D162))))*100,"")</f>
        <v>0.52851329210929654</v>
      </c>
      <c r="BK162" s="67">
        <f>IFERROR(((AE162*(12000/5))/((F162*60+G162)*(SUMIFS(팀공격력!X:X,팀공격력!A:A,B162,팀공격력!B:B,D162)+SUMIFS(팀수비력!X:X,팀수비력!A:A,B162,팀수비력!B:B,D162))))*100,"")</f>
        <v>0.30199252149075251</v>
      </c>
      <c r="BL162" s="67">
        <f>IFERROR(100*AK162/(((((F162*60+G162)/(12000/5))*SUMIFS(팀공격력!P:P,팀공격력!A:A,B162,팀공격력!B:B,D162))-K162)),"")</f>
        <v>1.1293267330459824</v>
      </c>
      <c r="BM162" s="67">
        <f>IFERROR(100*((AM162/E162*(2400))/((F162*60+G162)*SUMIFS(팀공격력!AR:AR,팀공격력!A:A,B162,팀공격력!B:B,D162))),"")</f>
        <v>2.021639467785429</v>
      </c>
      <c r="BN162" s="67">
        <f>IFERROR((AO162*40)/(((F162*60+G162)/60)*(SUMIFS(팀수비력!Q:Q,팀수비력!A:A,B162,팀수비력!B:B,D162)-SUMIFS(팀수비력!N:N,팀수비력!A:A,B162,팀수비력!B:B,D162)))*100,"")</f>
        <v>8.0000266667555567E-2</v>
      </c>
      <c r="BO162" s="67">
        <f t="shared" si="119"/>
        <v>14.705882352941176</v>
      </c>
      <c r="BP162" s="19"/>
      <c r="BQ162" s="19"/>
      <c r="BR162" s="19"/>
      <c r="BS162" s="19"/>
      <c r="BT162" s="20" t="s">
        <v>89</v>
      </c>
      <c r="BU162" s="21">
        <v>90000</v>
      </c>
      <c r="BV162" s="30" t="s">
        <v>90</v>
      </c>
      <c r="BW162" s="30">
        <v>43.53</v>
      </c>
      <c r="BX162" s="30">
        <v>69.83</v>
      </c>
      <c r="BY162" s="30">
        <v>26.3</v>
      </c>
      <c r="BZ162" s="35">
        <f t="shared" si="127"/>
        <v>10.8825</v>
      </c>
      <c r="CA162" s="35">
        <f t="shared" si="128"/>
        <v>17.4575</v>
      </c>
      <c r="CB162" s="35">
        <f t="shared" si="129"/>
        <v>6.5750000000000002</v>
      </c>
      <c r="CC162" s="36">
        <f t="shared" si="130"/>
        <v>21.947899159663862</v>
      </c>
      <c r="CD162" s="36">
        <f t="shared" si="131"/>
        <v>35.208403361344537</v>
      </c>
      <c r="CE162" s="36">
        <f t="shared" si="132"/>
        <v>13.260504201680673</v>
      </c>
      <c r="CF162" s="30">
        <v>3</v>
      </c>
      <c r="CG162" s="30">
        <v>1</v>
      </c>
    </row>
    <row r="163" spans="1:85" x14ac:dyDescent="0.4">
      <c r="A163" s="11" t="s">
        <v>85</v>
      </c>
      <c r="B163" s="11" t="s">
        <v>245</v>
      </c>
      <c r="C163" s="11" t="s">
        <v>257</v>
      </c>
      <c r="D163" s="46" t="s">
        <v>88</v>
      </c>
      <c r="E163" s="10">
        <v>27</v>
      </c>
      <c r="F163" s="10">
        <v>11</v>
      </c>
      <c r="G163" s="10">
        <v>33</v>
      </c>
      <c r="H163" s="16">
        <f t="shared" si="94"/>
        <v>18711</v>
      </c>
      <c r="I163" s="16">
        <v>91</v>
      </c>
      <c r="J163" s="17">
        <f t="shared" si="95"/>
        <v>3.3703703703703702</v>
      </c>
      <c r="K163" s="15">
        <v>38</v>
      </c>
      <c r="L163" s="15">
        <v>99</v>
      </c>
      <c r="M163" s="17">
        <f t="shared" si="96"/>
        <v>1.4074074074074074</v>
      </c>
      <c r="N163" s="17">
        <f t="shared" si="97"/>
        <v>3.6666666666666665</v>
      </c>
      <c r="O163" s="18">
        <f t="shared" si="98"/>
        <v>0.38383838383838381</v>
      </c>
      <c r="P163" s="16">
        <v>26</v>
      </c>
      <c r="Q163" s="15">
        <v>44</v>
      </c>
      <c r="R163" s="17">
        <f t="shared" si="99"/>
        <v>0.96296296296296291</v>
      </c>
      <c r="S163" s="17">
        <f t="shared" si="100"/>
        <v>1.6296296296296295</v>
      </c>
      <c r="T163" s="18">
        <f t="shared" si="101"/>
        <v>0.59090909090909094</v>
      </c>
      <c r="U163" s="15">
        <v>12</v>
      </c>
      <c r="V163" s="15">
        <v>55</v>
      </c>
      <c r="W163" s="17">
        <f t="shared" si="102"/>
        <v>0.44444444444444442</v>
      </c>
      <c r="X163" s="17">
        <f t="shared" si="103"/>
        <v>2.0370370370370372</v>
      </c>
      <c r="Y163" s="18">
        <f t="shared" si="104"/>
        <v>0.21818181818181817</v>
      </c>
      <c r="Z163" s="9">
        <v>3</v>
      </c>
      <c r="AA163" s="9">
        <v>4</v>
      </c>
      <c r="AB163" s="17">
        <f t="shared" si="105"/>
        <v>0.1111111111111111</v>
      </c>
      <c r="AC163" s="17">
        <f t="shared" si="106"/>
        <v>0.14814814814814814</v>
      </c>
      <c r="AD163" s="18">
        <f t="shared" si="107"/>
        <v>0.75</v>
      </c>
      <c r="AE163" s="15">
        <v>54</v>
      </c>
      <c r="AF163" s="17">
        <f t="shared" si="108"/>
        <v>2</v>
      </c>
      <c r="AG163" s="15">
        <v>21</v>
      </c>
      <c r="AH163" s="17">
        <f t="shared" si="109"/>
        <v>0.77777777777777779</v>
      </c>
      <c r="AI163" s="15">
        <v>33</v>
      </c>
      <c r="AJ163" s="17">
        <f t="shared" si="110"/>
        <v>1.2222222222222223</v>
      </c>
      <c r="AK163" s="15">
        <v>17</v>
      </c>
      <c r="AL163" s="17">
        <f t="shared" si="111"/>
        <v>0.62962962962962965</v>
      </c>
      <c r="AM163" s="15">
        <v>13</v>
      </c>
      <c r="AN163" s="17">
        <f t="shared" si="112"/>
        <v>0.48148148148148145</v>
      </c>
      <c r="AO163" s="7">
        <v>1</v>
      </c>
      <c r="AP163" s="17">
        <f t="shared" si="120"/>
        <v>3.7037037037037035E-2</v>
      </c>
      <c r="AQ163" s="34">
        <v>10</v>
      </c>
      <c r="AR163" s="17">
        <f t="shared" si="113"/>
        <v>0.37037037037037035</v>
      </c>
      <c r="AS163" s="15">
        <v>34</v>
      </c>
      <c r="AT163" s="17">
        <f t="shared" si="114"/>
        <v>1.2592592592592593</v>
      </c>
      <c r="AU163" s="19">
        <v>0.1442809145130996</v>
      </c>
      <c r="AV163" s="19">
        <v>1.8506450474664048E-2</v>
      </c>
      <c r="AW163" s="19">
        <v>-3.5300021179540161E-2</v>
      </c>
      <c r="AX163" s="19">
        <v>0.17958093569263969</v>
      </c>
      <c r="AY163" s="19">
        <v>100.5404861591791</v>
      </c>
      <c r="AZ163" s="19">
        <v>114.21054508823561</v>
      </c>
      <c r="BA163" s="19">
        <v>3.357944544961339</v>
      </c>
      <c r="BB163" s="19">
        <v>3.8518518518518521</v>
      </c>
      <c r="BC163" s="19">
        <v>13.339746673080009</v>
      </c>
      <c r="BD163" s="65">
        <f t="shared" si="115"/>
        <v>45.156808257244933</v>
      </c>
      <c r="BE163" s="65">
        <f t="shared" si="116"/>
        <v>44.444444444444443</v>
      </c>
      <c r="BF163" s="66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8.0014104328032687</v>
      </c>
      <c r="BG163" s="38">
        <f t="shared" si="117"/>
        <v>0.55555555555555558</v>
      </c>
      <c r="BH163" s="38">
        <f t="shared" si="118"/>
        <v>4.0404040404040407E-2</v>
      </c>
      <c r="BI163" s="67">
        <f>IFERROR(((AG163*(12000/5))/((F163*60+G163)*(SUMIFS(팀공격력!X:X,팀공격력!A:A,B163,팀공격력!B:B,D163)+SUMIFS(팀수비력!X:X,팀수비력!A:A,B163,팀수비력!B:B,D163))))*100,"")</f>
        <v>1.8150055584545226</v>
      </c>
      <c r="BJ163" s="67">
        <f>IFERROR(((AI163*(12000/5))/((F163*60+G163)*(SUMIFS(팀공격력!V:V,팀공격력!A:A,B163,팀공격력!B:B,D163)+SUMIFS(팀수비력!W:W,팀수비력!A:A,B163,팀수비력!B:B,D163))))*100,"")</f>
        <v>5.989817310572028</v>
      </c>
      <c r="BK163" s="67">
        <f>IFERROR(((AE163*(12000/5))/((F163*60+G163)*(SUMIFS(팀공격력!X:X,팀공격력!A:A,B163,팀공격력!B:B,D163)+SUMIFS(팀수비력!X:X,팀수비력!A:A,B163,팀수비력!B:B,D163))))*100,"")</f>
        <v>4.6671571503116303</v>
      </c>
      <c r="BL163" s="67">
        <f>IFERROR(100*AK163/(((((F163*60+G163)/(12000/5))*SUMIFS(팀공격력!P:P,팀공격력!A:A,B163,팀공격력!B:B,D163))-K163)),"")</f>
        <v>3.5203611476377343</v>
      </c>
      <c r="BM163" s="67">
        <f>IFERROR(100*((AM163/E163*(2400))/((F163*60+G163)*SUMIFS(팀공격력!AR:AR,팀공격력!A:A,B163,팀공격력!B:B,D163))),"")</f>
        <v>2.2286186426266603</v>
      </c>
      <c r="BN163" s="67">
        <f>IFERROR((AO163*40)/(((F163*60+G163)/60)*(SUMIFS(팀수비력!Q:Q,팀수비력!A:A,B163,팀수비력!B:B,D163)-SUMIFS(팀수비력!N:N,팀수비력!A:A,B163,팀수비력!B:B,D163)))*100,"")</f>
        <v>0.13737419528772166</v>
      </c>
      <c r="BO163" s="67">
        <f t="shared" si="119"/>
        <v>9.0285301552907189</v>
      </c>
      <c r="BP163" s="19"/>
      <c r="BQ163" s="19"/>
      <c r="BR163" s="19"/>
      <c r="BS163" s="19"/>
      <c r="BT163" s="20" t="s">
        <v>89</v>
      </c>
      <c r="BU163" s="21">
        <v>110000</v>
      </c>
      <c r="BV163" s="31" t="s">
        <v>93</v>
      </c>
      <c r="BW163" s="31">
        <v>200.51</v>
      </c>
      <c r="BX163" s="31">
        <v>273.01</v>
      </c>
      <c r="BY163" s="31">
        <v>72.5</v>
      </c>
      <c r="BZ163" s="35">
        <f t="shared" si="127"/>
        <v>7.4262962962962966</v>
      </c>
      <c r="CA163" s="35">
        <f t="shared" si="128"/>
        <v>10.111481481481482</v>
      </c>
      <c r="CB163" s="35">
        <f t="shared" si="129"/>
        <v>2.6851851851851851</v>
      </c>
      <c r="CC163" s="36">
        <f t="shared" si="130"/>
        <v>25.718775052108384</v>
      </c>
      <c r="CD163" s="36">
        <f t="shared" si="131"/>
        <v>35.01811768478435</v>
      </c>
      <c r="CE163" s="36">
        <f t="shared" si="132"/>
        <v>9.2993426326759661</v>
      </c>
      <c r="CF163" s="30">
        <v>10</v>
      </c>
      <c r="CG163" s="30">
        <v>17</v>
      </c>
    </row>
    <row r="164" spans="1:85" x14ac:dyDescent="0.4">
      <c r="A164" s="11" t="s">
        <v>85</v>
      </c>
      <c r="B164" s="11" t="s">
        <v>245</v>
      </c>
      <c r="C164" s="11" t="s">
        <v>258</v>
      </c>
      <c r="D164" s="46" t="s">
        <v>88</v>
      </c>
      <c r="E164" s="15">
        <v>52</v>
      </c>
      <c r="F164" s="15">
        <v>30</v>
      </c>
      <c r="G164" s="15">
        <v>49</v>
      </c>
      <c r="H164" s="16">
        <f t="shared" si="94"/>
        <v>96148</v>
      </c>
      <c r="I164" s="16">
        <v>589</v>
      </c>
      <c r="J164" s="17">
        <f t="shared" si="95"/>
        <v>11.326923076923077</v>
      </c>
      <c r="K164" s="15">
        <v>254</v>
      </c>
      <c r="L164" s="15">
        <v>534</v>
      </c>
      <c r="M164" s="17">
        <f t="shared" si="96"/>
        <v>4.884615384615385</v>
      </c>
      <c r="N164" s="17">
        <f t="shared" si="97"/>
        <v>10.26923076923077</v>
      </c>
      <c r="O164" s="18">
        <f t="shared" si="98"/>
        <v>0.47565543071161048</v>
      </c>
      <c r="P164" s="16">
        <v>202</v>
      </c>
      <c r="Q164" s="15">
        <v>387</v>
      </c>
      <c r="R164" s="17">
        <f t="shared" si="99"/>
        <v>3.8846153846153846</v>
      </c>
      <c r="S164" s="17">
        <f t="shared" si="100"/>
        <v>7.4423076923076925</v>
      </c>
      <c r="T164" s="18">
        <f t="shared" si="101"/>
        <v>0.52196382428940569</v>
      </c>
      <c r="U164" s="15">
        <v>52</v>
      </c>
      <c r="V164" s="15">
        <v>147</v>
      </c>
      <c r="W164" s="17">
        <f t="shared" si="102"/>
        <v>1</v>
      </c>
      <c r="X164" s="17">
        <f t="shared" si="103"/>
        <v>2.8269230769230771</v>
      </c>
      <c r="Y164" s="18">
        <f t="shared" si="104"/>
        <v>0.35374149659863946</v>
      </c>
      <c r="Z164" s="15">
        <v>29</v>
      </c>
      <c r="AA164" s="15">
        <v>55</v>
      </c>
      <c r="AB164" s="17">
        <f t="shared" si="105"/>
        <v>0.55769230769230771</v>
      </c>
      <c r="AC164" s="17">
        <f t="shared" si="106"/>
        <v>1.0576923076923077</v>
      </c>
      <c r="AD164" s="18">
        <f t="shared" si="107"/>
        <v>0.52727272727272723</v>
      </c>
      <c r="AE164" s="15">
        <v>265</v>
      </c>
      <c r="AF164" s="17">
        <f t="shared" si="108"/>
        <v>5.0961538461538458</v>
      </c>
      <c r="AG164" s="15">
        <v>44</v>
      </c>
      <c r="AH164" s="17">
        <f t="shared" si="109"/>
        <v>0.84615384615384615</v>
      </c>
      <c r="AI164" s="15">
        <v>221</v>
      </c>
      <c r="AJ164" s="17">
        <f t="shared" si="110"/>
        <v>4.25</v>
      </c>
      <c r="AK164" s="15">
        <v>171</v>
      </c>
      <c r="AL164" s="17">
        <f t="shared" si="111"/>
        <v>3.2884615384615383</v>
      </c>
      <c r="AM164" s="15">
        <v>52</v>
      </c>
      <c r="AN164" s="17">
        <f t="shared" si="112"/>
        <v>1</v>
      </c>
      <c r="AO164" s="15">
        <v>8</v>
      </c>
      <c r="AP164" s="17">
        <f t="shared" si="120"/>
        <v>0.15384615384615385</v>
      </c>
      <c r="AQ164" s="4">
        <v>59</v>
      </c>
      <c r="AR164" s="17">
        <f t="shared" si="113"/>
        <v>1.1346153846153846</v>
      </c>
      <c r="AS164" s="15">
        <v>100</v>
      </c>
      <c r="AT164" s="17">
        <f t="shared" si="114"/>
        <v>1.9230769230769231</v>
      </c>
      <c r="AU164" s="19">
        <v>2.2825821724696098</v>
      </c>
      <c r="AV164" s="19">
        <v>5.6976715209126172E-2</v>
      </c>
      <c r="AW164" s="19">
        <v>1.3361424445811521</v>
      </c>
      <c r="AX164" s="19">
        <v>0.94643972788845776</v>
      </c>
      <c r="AY164" s="19">
        <v>110.9680647384638</v>
      </c>
      <c r="AZ164" s="19">
        <v>114.07235693139501</v>
      </c>
      <c r="BA164" s="19">
        <v>10.346999112864729</v>
      </c>
      <c r="BB164" s="19">
        <v>13.84615384615385</v>
      </c>
      <c r="BC164" s="19">
        <v>17.972292715397099</v>
      </c>
      <c r="BD164" s="65">
        <f t="shared" si="115"/>
        <v>52.758867789322814</v>
      </c>
      <c r="BE164" s="65">
        <f t="shared" si="116"/>
        <v>52.434456928838948</v>
      </c>
      <c r="BF164" s="66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16.711130931336299</v>
      </c>
      <c r="BG164" s="38">
        <f t="shared" si="117"/>
        <v>0.2752808988764045</v>
      </c>
      <c r="BH164" s="38">
        <f t="shared" si="118"/>
        <v>0.10299625468164794</v>
      </c>
      <c r="BI164" s="67">
        <f>IFERROR(((AG164*(12000/5))/((F164*60+G164)*(SUMIFS(팀공격력!X:X,팀공격력!A:A,B164,팀공격력!B:B,D164)+SUMIFS(팀수비력!X:X,팀수비력!A:A,B164,팀수비력!B:B,D164))))*100,"")</f>
        <v>1.4253045272449794</v>
      </c>
      <c r="BJ164" s="67">
        <f>IFERROR(((AI164*(12000/5))/((F164*60+G164)*(SUMIFS(팀공격력!V:V,팀공격력!A:A,B164,팀공격력!B:B,D164)+SUMIFS(팀수비력!W:W,팀수비력!A:A,B164,팀수비력!B:B,D164))))*100,"")</f>
        <v>15.034473844437416</v>
      </c>
      <c r="BK164" s="67">
        <f>IFERROR(((AE164*(12000/5))/((F164*60+G164)*(SUMIFS(팀공격력!X:X,팀공격력!A:A,B164,팀공격력!B:B,D164)+SUMIFS(팀수비력!X:X,팀수비력!A:A,B164,팀수비력!B:B,D164))))*100,"")</f>
        <v>8.5842204481799893</v>
      </c>
      <c r="BL164" s="67">
        <f>IFERROR(100*AK164/(((((F164*60+G164)/(12000/5))*SUMIFS(팀공격력!P:P,팀공격력!A:A,B164,팀공격력!B:B,D164))-K164)),"")</f>
        <v>15.05504776969592</v>
      </c>
      <c r="BM164" s="67">
        <f>IFERROR(100*((AM164/E164*(2400))/((F164*60+G164)*SUMIFS(팀공격력!AR:AR,팀공격력!A:A,B164,팀공격력!B:B,D164))),"")</f>
        <v>1.7348123069512604</v>
      </c>
      <c r="BN164" s="67">
        <f>IFERROR((AO164*40)/(((F164*60+G164)/60)*(SUMIFS(팀수비력!Q:Q,팀수비력!A:A,B164,팀수비력!B:B,D164)-SUMIFS(팀수비력!N:N,팀수비력!A:A,B164,팀수비력!B:B,D164)))*100,"")</f>
        <v>0.41189969641705193</v>
      </c>
      <c r="BO164" s="67">
        <f t="shared" si="119"/>
        <v>9.5593000648088129</v>
      </c>
      <c r="BP164" s="19"/>
      <c r="BQ164" s="19"/>
      <c r="BR164" s="19"/>
      <c r="BS164" s="19"/>
      <c r="BT164" s="20" t="s">
        <v>89</v>
      </c>
      <c r="BU164" s="21">
        <v>200000</v>
      </c>
      <c r="BV164" s="30" t="s">
        <v>93</v>
      </c>
      <c r="BW164" s="30">
        <v>1213.3</v>
      </c>
      <c r="BX164" s="30">
        <v>1593.1</v>
      </c>
      <c r="BY164" s="30">
        <v>379.8</v>
      </c>
      <c r="BZ164" s="35">
        <f t="shared" si="127"/>
        <v>23.332692307692305</v>
      </c>
      <c r="CA164" s="35">
        <f t="shared" si="128"/>
        <v>30.636538461538461</v>
      </c>
      <c r="CB164" s="35">
        <f t="shared" si="129"/>
        <v>7.3038461538461537</v>
      </c>
      <c r="CC164" s="36">
        <f t="shared" si="130"/>
        <v>30.285809377210132</v>
      </c>
      <c r="CD164" s="36">
        <f t="shared" si="131"/>
        <v>39.7661937845821</v>
      </c>
      <c r="CE164" s="36">
        <f t="shared" si="132"/>
        <v>9.4803844073719681</v>
      </c>
      <c r="CF164" s="30">
        <v>25</v>
      </c>
      <c r="CG164" s="30">
        <v>27</v>
      </c>
    </row>
    <row r="165" spans="1:85" x14ac:dyDescent="0.4">
      <c r="A165" s="11" t="s">
        <v>85</v>
      </c>
      <c r="B165" s="11" t="s">
        <v>245</v>
      </c>
      <c r="C165" s="11" t="s">
        <v>259</v>
      </c>
      <c r="D165" s="46" t="s">
        <v>88</v>
      </c>
      <c r="E165" s="15">
        <v>50</v>
      </c>
      <c r="F165" s="15">
        <v>13</v>
      </c>
      <c r="G165" s="15">
        <v>40</v>
      </c>
      <c r="H165" s="16">
        <f t="shared" si="94"/>
        <v>41000</v>
      </c>
      <c r="I165" s="16">
        <v>277</v>
      </c>
      <c r="J165" s="17">
        <f t="shared" si="95"/>
        <v>5.54</v>
      </c>
      <c r="K165" s="15">
        <v>116</v>
      </c>
      <c r="L165" s="15">
        <v>212</v>
      </c>
      <c r="M165" s="17">
        <f t="shared" si="96"/>
        <v>2.3199999999999998</v>
      </c>
      <c r="N165" s="17">
        <f t="shared" si="97"/>
        <v>4.24</v>
      </c>
      <c r="O165" s="18">
        <f t="shared" si="98"/>
        <v>0.54716981132075471</v>
      </c>
      <c r="P165" s="16">
        <v>115</v>
      </c>
      <c r="Q165" s="15">
        <v>210</v>
      </c>
      <c r="R165" s="17">
        <f t="shared" si="99"/>
        <v>2.2999999999999998</v>
      </c>
      <c r="S165" s="17">
        <f t="shared" si="100"/>
        <v>4.2</v>
      </c>
      <c r="T165" s="18">
        <f t="shared" si="101"/>
        <v>0.54761904761904767</v>
      </c>
      <c r="U165" s="15">
        <v>1</v>
      </c>
      <c r="V165" s="15">
        <v>2</v>
      </c>
      <c r="W165" s="17">
        <f t="shared" si="102"/>
        <v>0.02</v>
      </c>
      <c r="X165" s="17">
        <f t="shared" si="103"/>
        <v>0.04</v>
      </c>
      <c r="Y165" s="18">
        <f t="shared" si="104"/>
        <v>0.5</v>
      </c>
      <c r="Z165" s="15">
        <v>44</v>
      </c>
      <c r="AA165" s="15">
        <v>74</v>
      </c>
      <c r="AB165" s="17">
        <f t="shared" si="105"/>
        <v>0.88</v>
      </c>
      <c r="AC165" s="17">
        <f t="shared" si="106"/>
        <v>1.48</v>
      </c>
      <c r="AD165" s="18">
        <f t="shared" si="107"/>
        <v>0.59459459459459463</v>
      </c>
      <c r="AE165" s="15">
        <v>150</v>
      </c>
      <c r="AF165" s="17">
        <f t="shared" si="108"/>
        <v>3</v>
      </c>
      <c r="AG165" s="15">
        <v>58</v>
      </c>
      <c r="AH165" s="17">
        <f t="shared" si="109"/>
        <v>1.1599999999999999</v>
      </c>
      <c r="AI165" s="15">
        <v>92</v>
      </c>
      <c r="AJ165" s="17">
        <f t="shared" si="110"/>
        <v>1.84</v>
      </c>
      <c r="AK165" s="15">
        <v>69</v>
      </c>
      <c r="AL165" s="17">
        <f t="shared" si="111"/>
        <v>1.38</v>
      </c>
      <c r="AM165" s="15">
        <v>30</v>
      </c>
      <c r="AN165" s="17">
        <f t="shared" si="112"/>
        <v>0.6</v>
      </c>
      <c r="AO165" s="15">
        <v>19</v>
      </c>
      <c r="AP165" s="17">
        <f t="shared" si="120"/>
        <v>0.38</v>
      </c>
      <c r="AQ165" s="4">
        <v>35</v>
      </c>
      <c r="AR165" s="17">
        <f t="shared" si="113"/>
        <v>0.7</v>
      </c>
      <c r="AS165" s="15">
        <v>111</v>
      </c>
      <c r="AT165" s="17">
        <f t="shared" si="114"/>
        <v>2.2200000000000002</v>
      </c>
      <c r="AU165" s="19">
        <v>1.577009264131739</v>
      </c>
      <c r="AV165" s="19">
        <v>9.2312737412589607E-2</v>
      </c>
      <c r="AW165" s="19">
        <v>0.97152887413592937</v>
      </c>
      <c r="AX165" s="19">
        <v>0.60548038999580989</v>
      </c>
      <c r="AY165" s="19">
        <v>115.66345837323949</v>
      </c>
      <c r="AZ165" s="19">
        <v>111.3057462377343</v>
      </c>
      <c r="BA165" s="19">
        <v>11.05832561725973</v>
      </c>
      <c r="BB165" s="19">
        <v>7.68</v>
      </c>
      <c r="BC165" s="19">
        <v>22.4780487804878</v>
      </c>
      <c r="BD165" s="65">
        <f t="shared" si="115"/>
        <v>56.632319267255482</v>
      </c>
      <c r="BE165" s="65">
        <f t="shared" si="116"/>
        <v>54.952830188679243</v>
      </c>
      <c r="BF165" s="66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17.067818468320603</v>
      </c>
      <c r="BG165" s="38">
        <f t="shared" si="117"/>
        <v>9.433962264150943E-3</v>
      </c>
      <c r="BH165" s="38">
        <f t="shared" si="118"/>
        <v>0.34905660377358488</v>
      </c>
      <c r="BI165" s="67">
        <f>IFERROR(((AG165*(12000/5))/((F165*60+G165)*(SUMIFS(팀공격력!X:X,팀공격력!A:A,B165,팀공격력!B:B,D165)+SUMIFS(팀수비력!X:X,팀수비력!A:A,B165,팀수비력!B:B,D165))))*100,"")</f>
        <v>4.2364885840023865</v>
      </c>
      <c r="BJ165" s="67">
        <f>IFERROR(((AI165*(12000/5))/((F165*60+G165)*(SUMIFS(팀공격력!V:V,팀공격력!A:A,B165,팀공격력!B:B,D165)+SUMIFS(팀수비력!W:W,팀수비력!A:A,B165,팀수비력!B:B,D165))))*100,"")</f>
        <v>14.112593956128242</v>
      </c>
      <c r="BK165" s="67">
        <f>IFERROR(((AE165*(12000/5))/((F165*60+G165)*(SUMIFS(팀공격력!X:X,팀공격력!A:A,B165,팀공격력!B:B,D165)+SUMIFS(팀수비력!X:X,팀수비력!A:A,B165,팀수비력!B:B,D165))))*100,"")</f>
        <v>10.956435993109618</v>
      </c>
      <c r="BL165" s="67">
        <f>IFERROR(100*AK165/(((((F165*60+G165)/(12000/5))*SUMIFS(팀공격력!P:P,팀공격력!A:A,B165,팀공격력!B:B,D165))-K165)),"")</f>
        <v>13.789887415895009</v>
      </c>
      <c r="BM165" s="67">
        <f>IFERROR(100*((AM165/E165*(2400))/((F165*60+G165)*SUMIFS(팀공격력!AR:AR,팀공격력!A:A,B165,팀공격력!B:B,D165))),"")</f>
        <v>2.3470741138191809</v>
      </c>
      <c r="BN165" s="67">
        <f>IFERROR((AO165*40)/(((F165*60+G165)/60)*(SUMIFS(팀수비력!Q:Q,팀수비력!A:A,B165,팀수비력!B:B,D165)-SUMIFS(팀수비력!N:N,팀수비력!A:A,B165,팀수비력!B:B,D165)))*100,"")</f>
        <v>2.2058610114066237</v>
      </c>
      <c r="BO165" s="67">
        <f t="shared" si="119"/>
        <v>12.51967377307197</v>
      </c>
      <c r="BP165" s="19"/>
      <c r="BQ165" s="19"/>
      <c r="BR165" s="19"/>
      <c r="BS165" s="19"/>
      <c r="BT165" s="20" t="s">
        <v>89</v>
      </c>
      <c r="BU165" s="21">
        <v>500000</v>
      </c>
      <c r="BV165" s="30" t="s">
        <v>102</v>
      </c>
      <c r="BW165" s="30">
        <v>608.36</v>
      </c>
      <c r="BX165" s="30">
        <v>780.76</v>
      </c>
      <c r="BY165" s="30">
        <v>172.4</v>
      </c>
      <c r="BZ165" s="35">
        <f t="shared" si="127"/>
        <v>12.167199999999999</v>
      </c>
      <c r="CA165" s="35">
        <f t="shared" si="128"/>
        <v>15.6152</v>
      </c>
      <c r="CB165" s="35">
        <f t="shared" si="129"/>
        <v>3.448</v>
      </c>
      <c r="CC165" s="36">
        <f t="shared" si="130"/>
        <v>35.611317073170731</v>
      </c>
      <c r="CD165" s="36">
        <f t="shared" si="131"/>
        <v>45.703024390243904</v>
      </c>
      <c r="CE165" s="36">
        <f t="shared" si="132"/>
        <v>10.091707317073171</v>
      </c>
      <c r="CF165" s="30">
        <v>25</v>
      </c>
      <c r="CG165" s="30">
        <v>25</v>
      </c>
    </row>
    <row r="166" spans="1:85" x14ac:dyDescent="0.4">
      <c r="A166" s="11" t="s">
        <v>85</v>
      </c>
      <c r="B166" s="11" t="s">
        <v>245</v>
      </c>
      <c r="C166" s="11" t="s">
        <v>260</v>
      </c>
      <c r="D166" s="46" t="s">
        <v>88</v>
      </c>
      <c r="E166" s="15">
        <v>41</v>
      </c>
      <c r="F166" s="15">
        <v>13</v>
      </c>
      <c r="G166" s="15">
        <v>59</v>
      </c>
      <c r="H166" s="16">
        <f t="shared" si="94"/>
        <v>34399</v>
      </c>
      <c r="I166" s="16">
        <v>163</v>
      </c>
      <c r="J166" s="17">
        <f t="shared" si="95"/>
        <v>3.975609756097561</v>
      </c>
      <c r="K166" s="15">
        <v>63</v>
      </c>
      <c r="L166" s="15">
        <v>160</v>
      </c>
      <c r="M166" s="17">
        <f t="shared" si="96"/>
        <v>1.5365853658536586</v>
      </c>
      <c r="N166" s="17">
        <f t="shared" si="97"/>
        <v>3.9024390243902438</v>
      </c>
      <c r="O166" s="18">
        <f t="shared" si="98"/>
        <v>0.39374999999999999</v>
      </c>
      <c r="P166" s="16">
        <v>42</v>
      </c>
      <c r="Q166" s="15">
        <v>88</v>
      </c>
      <c r="R166" s="17">
        <f t="shared" si="99"/>
        <v>1.024390243902439</v>
      </c>
      <c r="S166" s="17">
        <f t="shared" si="100"/>
        <v>2.1463414634146343</v>
      </c>
      <c r="T166" s="18">
        <f t="shared" si="101"/>
        <v>0.47727272727272729</v>
      </c>
      <c r="U166" s="15">
        <v>21</v>
      </c>
      <c r="V166" s="15">
        <v>72</v>
      </c>
      <c r="W166" s="17">
        <f t="shared" si="102"/>
        <v>0.51219512195121952</v>
      </c>
      <c r="X166" s="17">
        <f t="shared" si="103"/>
        <v>1.7560975609756098</v>
      </c>
      <c r="Y166" s="18">
        <f t="shared" si="104"/>
        <v>0.29166666666666669</v>
      </c>
      <c r="Z166" s="15">
        <v>16</v>
      </c>
      <c r="AA166" s="15">
        <v>23</v>
      </c>
      <c r="AB166" s="17">
        <f t="shared" si="105"/>
        <v>0.3902439024390244</v>
      </c>
      <c r="AC166" s="17">
        <f t="shared" si="106"/>
        <v>0.56097560975609762</v>
      </c>
      <c r="AD166" s="18">
        <f t="shared" si="107"/>
        <v>0.69565217391304346</v>
      </c>
      <c r="AE166" s="15">
        <v>72</v>
      </c>
      <c r="AF166" s="17">
        <f t="shared" si="108"/>
        <v>1.7560975609756098</v>
      </c>
      <c r="AG166" s="15">
        <v>29</v>
      </c>
      <c r="AH166" s="17">
        <f t="shared" si="109"/>
        <v>0.70731707317073167</v>
      </c>
      <c r="AI166" s="15">
        <v>43</v>
      </c>
      <c r="AJ166" s="17">
        <f t="shared" si="110"/>
        <v>1.0487804878048781</v>
      </c>
      <c r="AK166" s="15">
        <v>45</v>
      </c>
      <c r="AL166" s="17">
        <f t="shared" si="111"/>
        <v>1.0975609756097562</v>
      </c>
      <c r="AM166" s="15">
        <v>23</v>
      </c>
      <c r="AN166" s="17">
        <f t="shared" si="112"/>
        <v>0.56097560975609762</v>
      </c>
      <c r="AO166" s="15">
        <v>11</v>
      </c>
      <c r="AP166" s="17">
        <f t="shared" si="120"/>
        <v>0.26829268292682928</v>
      </c>
      <c r="AQ166" s="4">
        <v>18</v>
      </c>
      <c r="AR166" s="17">
        <f t="shared" si="113"/>
        <v>0.43902439024390244</v>
      </c>
      <c r="AS166" s="15">
        <v>67</v>
      </c>
      <c r="AT166" s="17">
        <f t="shared" si="114"/>
        <v>1.6341463414634145</v>
      </c>
      <c r="AU166" s="19">
        <v>0.50643722935577085</v>
      </c>
      <c r="AV166" s="19">
        <v>3.5333857102062563E-2</v>
      </c>
      <c r="AW166" s="19">
        <v>0.20972222601086909</v>
      </c>
      <c r="AX166" s="19">
        <v>0.2967150033449017</v>
      </c>
      <c r="AY166" s="19">
        <v>106.4819429459404</v>
      </c>
      <c r="AZ166" s="19">
        <v>114.75660691843611</v>
      </c>
      <c r="BA166" s="19">
        <v>5.3319013584121198</v>
      </c>
      <c r="BB166" s="19">
        <v>4.6829268292682924</v>
      </c>
      <c r="BC166" s="19">
        <v>13.395738248204889</v>
      </c>
      <c r="BD166" s="65">
        <f t="shared" si="115"/>
        <v>47.907359510933453</v>
      </c>
      <c r="BE166" s="65">
        <f t="shared" si="116"/>
        <v>45.9375</v>
      </c>
      <c r="BF166" s="66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11.225090340386704</v>
      </c>
      <c r="BG166" s="38">
        <f t="shared" si="117"/>
        <v>0.45</v>
      </c>
      <c r="BH166" s="38">
        <f t="shared" si="118"/>
        <v>0.14374999999999999</v>
      </c>
      <c r="BI166" s="67">
        <f>IFERROR(((AG166*(12000/5))/((F166*60+G166)*(SUMIFS(팀공격력!X:X,팀공격력!A:A,B166,팀공격력!B:B,D166)+SUMIFS(팀수비력!X:X,팀수비력!A:A,B166,팀수비력!B:B,D166))))*100,"")</f>
        <v>2.070274516616184</v>
      </c>
      <c r="BJ166" s="67">
        <f>IFERROR(((AI166*(12000/5))/((F166*60+G166)*(SUMIFS(팀공격력!V:V,팀공격력!A:A,B166,팀공격력!B:B,D166)+SUMIFS(팀수비력!W:W,팀수비력!A:A,B166,팀수비력!B:B,D166))))*100,"")</f>
        <v>6.446728285395162</v>
      </c>
      <c r="BK166" s="67">
        <f>IFERROR(((AE166*(12000/5))/((F166*60+G166)*(SUMIFS(팀공격력!X:X,팀공격력!A:A,B166,팀공격력!B:B,D166)+SUMIFS(팀수비력!X:X,팀수비력!A:A,B166,팀수비력!B:B,D166))))*100,"")</f>
        <v>5.1399919033229393</v>
      </c>
      <c r="BL166" s="67">
        <f>IFERROR(100*AK166/(((((F166*60+G166)/(12000/5))*SUMIFS(팀공격력!P:P,팀공격력!A:A,B166,팀공격력!B:B,D166))-K166)),"")</f>
        <v>7.9274433408007878</v>
      </c>
      <c r="BM166" s="67">
        <f>IFERROR(100*((AM166/E166*(2400))/((F166*60+G166)*SUMIFS(팀공격력!AR:AR,팀공격력!A:A,B166,팀공격력!B:B,D166))),"")</f>
        <v>2.144724061098179</v>
      </c>
      <c r="BN166" s="67">
        <f>IFERROR((AO166*40)/(((F166*60+G166)/60)*(SUMIFS(팀수비력!Q:Q,팀수비력!A:A,B166,팀수비력!B:B,D166)-SUMIFS(팀수비력!N:N,팀수비력!A:A,B166,팀수비력!B:B,D166)))*100,"")</f>
        <v>1.248156723096904</v>
      </c>
      <c r="BO166" s="67">
        <f t="shared" si="119"/>
        <v>9.5683606208802896</v>
      </c>
      <c r="BP166" s="19"/>
      <c r="BQ166" s="19"/>
      <c r="BR166" s="19"/>
      <c r="BS166" s="19"/>
      <c r="BT166" s="20" t="s">
        <v>89</v>
      </c>
      <c r="BU166" s="21">
        <v>220000</v>
      </c>
      <c r="BV166" s="30" t="s">
        <v>93</v>
      </c>
      <c r="BW166" s="30">
        <v>369.82</v>
      </c>
      <c r="BX166" s="30">
        <v>494.32</v>
      </c>
      <c r="BY166" s="30">
        <v>124.5</v>
      </c>
      <c r="BZ166" s="35">
        <f t="shared" si="127"/>
        <v>9.02</v>
      </c>
      <c r="CA166" s="35">
        <f t="shared" si="128"/>
        <v>12.056585365853659</v>
      </c>
      <c r="CB166" s="35">
        <f t="shared" si="129"/>
        <v>3.0365853658536586</v>
      </c>
      <c r="CC166" s="36">
        <f t="shared" si="130"/>
        <v>25.802145411203814</v>
      </c>
      <c r="CD166" s="36">
        <f t="shared" si="131"/>
        <v>34.488444431524172</v>
      </c>
      <c r="CE166" s="36">
        <f t="shared" si="132"/>
        <v>8.6862990203203587</v>
      </c>
      <c r="CF166" s="31">
        <v>20</v>
      </c>
      <c r="CG166" s="31">
        <v>21</v>
      </c>
    </row>
    <row r="167" spans="1:85" x14ac:dyDescent="0.4">
      <c r="A167" s="11" t="s">
        <v>85</v>
      </c>
      <c r="B167" s="11" t="s">
        <v>245</v>
      </c>
      <c r="C167" s="11" t="s">
        <v>261</v>
      </c>
      <c r="D167" s="46" t="s">
        <v>88</v>
      </c>
      <c r="E167" s="15">
        <v>48</v>
      </c>
      <c r="F167" s="15">
        <v>17</v>
      </c>
      <c r="G167" s="15">
        <v>45</v>
      </c>
      <c r="H167" s="16">
        <f t="shared" si="94"/>
        <v>51120</v>
      </c>
      <c r="I167" s="16">
        <v>669</v>
      </c>
      <c r="J167" s="17">
        <f t="shared" si="95"/>
        <v>13.9375</v>
      </c>
      <c r="K167" s="15">
        <v>250</v>
      </c>
      <c r="L167" s="15">
        <v>521</v>
      </c>
      <c r="M167" s="17">
        <f t="shared" si="96"/>
        <v>5.208333333333333</v>
      </c>
      <c r="N167" s="17">
        <f t="shared" si="97"/>
        <v>10.854166666666666</v>
      </c>
      <c r="O167" s="18">
        <f t="shared" si="98"/>
        <v>0.47984644913627639</v>
      </c>
      <c r="P167" s="16">
        <v>190</v>
      </c>
      <c r="Q167" s="15">
        <v>336</v>
      </c>
      <c r="R167" s="17">
        <f t="shared" si="99"/>
        <v>3.9583333333333335</v>
      </c>
      <c r="S167" s="17">
        <f t="shared" si="100"/>
        <v>7</v>
      </c>
      <c r="T167" s="18">
        <f t="shared" si="101"/>
        <v>0.56547619047619047</v>
      </c>
      <c r="U167" s="15">
        <v>60</v>
      </c>
      <c r="V167" s="15">
        <v>185</v>
      </c>
      <c r="W167" s="17">
        <f t="shared" si="102"/>
        <v>1.25</v>
      </c>
      <c r="X167" s="17">
        <f t="shared" si="103"/>
        <v>3.8541666666666665</v>
      </c>
      <c r="Y167" s="18">
        <f t="shared" si="104"/>
        <v>0.32432432432432434</v>
      </c>
      <c r="Z167" s="15">
        <v>109</v>
      </c>
      <c r="AA167" s="15">
        <v>148</v>
      </c>
      <c r="AB167" s="17">
        <f t="shared" si="105"/>
        <v>2.2708333333333335</v>
      </c>
      <c r="AC167" s="17">
        <f t="shared" si="106"/>
        <v>3.0833333333333335</v>
      </c>
      <c r="AD167" s="18">
        <f t="shared" si="107"/>
        <v>0.73648648648648651</v>
      </c>
      <c r="AE167" s="15">
        <v>316</v>
      </c>
      <c r="AF167" s="17">
        <f t="shared" si="108"/>
        <v>6.583333333333333</v>
      </c>
      <c r="AG167" s="15">
        <v>102</v>
      </c>
      <c r="AH167" s="17">
        <f t="shared" si="109"/>
        <v>2.125</v>
      </c>
      <c r="AI167" s="15">
        <v>214</v>
      </c>
      <c r="AJ167" s="17">
        <f t="shared" si="110"/>
        <v>4.458333333333333</v>
      </c>
      <c r="AK167" s="15">
        <v>68</v>
      </c>
      <c r="AL167" s="17">
        <f t="shared" si="111"/>
        <v>1.4166666666666667</v>
      </c>
      <c r="AM167" s="15">
        <v>26</v>
      </c>
      <c r="AN167" s="17">
        <f t="shared" si="112"/>
        <v>0.54166666666666663</v>
      </c>
      <c r="AO167" s="15">
        <v>24</v>
      </c>
      <c r="AP167" s="17">
        <f t="shared" si="120"/>
        <v>0.5</v>
      </c>
      <c r="AQ167" s="4">
        <v>74</v>
      </c>
      <c r="AR167" s="17">
        <f t="shared" si="113"/>
        <v>1.5416666666666667</v>
      </c>
      <c r="AS167" s="15">
        <v>93</v>
      </c>
      <c r="AT167" s="17">
        <f t="shared" si="114"/>
        <v>1.9375</v>
      </c>
      <c r="AU167" s="19">
        <v>2.5712465868242158</v>
      </c>
      <c r="AV167" s="19">
        <v>0.12071580219832</v>
      </c>
      <c r="AW167" s="19">
        <v>1.5486532445448979</v>
      </c>
      <c r="AX167" s="19">
        <v>1.0225933422793181</v>
      </c>
      <c r="AY167" s="19">
        <v>111.9874770066719</v>
      </c>
      <c r="AZ167" s="19">
        <v>108.3639976032573</v>
      </c>
      <c r="BA167" s="19">
        <v>18.079531764110019</v>
      </c>
      <c r="BB167" s="19">
        <v>14.97916666666667</v>
      </c>
      <c r="BC167" s="19">
        <v>33.755868544600943</v>
      </c>
      <c r="BD167" s="65">
        <f t="shared" si="115"/>
        <v>57.070224527400541</v>
      </c>
      <c r="BE167" s="65">
        <f t="shared" si="116"/>
        <v>53.742802303262962</v>
      </c>
      <c r="BF167" s="66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31.030596129237271</v>
      </c>
      <c r="BG167" s="38">
        <f t="shared" si="117"/>
        <v>0.3550863723608445</v>
      </c>
      <c r="BH167" s="38">
        <f t="shared" si="118"/>
        <v>0.28406909788867563</v>
      </c>
      <c r="BI167" s="67">
        <f>IFERROR(((AG167*(12000/5))/((F167*60+G167)*(SUMIFS(팀공격력!X:X,팀공격력!A:A,B167,팀공격력!B:B,D167)+SUMIFS(팀수비력!X:X,팀수비력!A:A,B167,팀수비력!B:B,D167))))*100,"")</f>
        <v>5.736440103059083</v>
      </c>
      <c r="BJ167" s="67">
        <f>IFERROR(((AI167*(12000/5))/((F167*60+G167)*(SUMIFS(팀공격력!V:V,팀공격력!A:A,B167,팀공격력!B:B,D167)+SUMIFS(팀수비력!W:W,팀수비력!A:A,B167,팀수비력!B:B,D167))))*100,"")</f>
        <v>25.275341778132105</v>
      </c>
      <c r="BK167" s="67">
        <f>IFERROR(((AE167*(12000/5))/((F167*60+G167)*(SUMIFS(팀공격력!X:X,팀공격력!A:A,B167,팀공격력!B:B,D167)+SUMIFS(팀수비력!X:X,팀수비력!A:A,B167,팀수비력!B:B,D167))))*100,"")</f>
        <v>17.771716397712453</v>
      </c>
      <c r="BL167" s="67">
        <f>IFERROR(100*AK167/(((((F167*60+G167)/(12000/5))*SUMIFS(팀공격력!P:P,팀공격력!A:A,B167,팀공격력!B:B,D167))-K167)),"")</f>
        <v>12.351845965215022</v>
      </c>
      <c r="BM167" s="67">
        <f>IFERROR(100*((AM167/E167*(2400))/((F167*60+G167)*SUMIFS(팀공격력!AR:AR,팀공격력!A:A,B167,팀공격력!B:B,D167))),"")</f>
        <v>1.631443013387615</v>
      </c>
      <c r="BN167" s="67">
        <f>IFERROR((AO167*40)/(((F167*60+G167)/60)*(SUMIFS(팀수비력!Q:Q,팀수비력!A:A,B167,팀수비력!B:B,D167)-SUMIFS(팀수비력!N:N,팀수비력!A:A,B167,팀수비력!B:B,D167)))*100,"")</f>
        <v>2.1453592638736025</v>
      </c>
      <c r="BO167" s="67">
        <f t="shared" si="119"/>
        <v>11.210083015209356</v>
      </c>
      <c r="BP167" s="19"/>
      <c r="BQ167" s="19"/>
      <c r="BR167" s="19"/>
      <c r="BS167" s="19"/>
      <c r="BT167" s="20" t="s">
        <v>96</v>
      </c>
      <c r="BU167" s="21"/>
      <c r="BV167" s="31" t="s">
        <v>93</v>
      </c>
      <c r="BW167" s="31">
        <v>1009.2</v>
      </c>
      <c r="BX167" s="31">
        <v>1409.9</v>
      </c>
      <c r="BY167" s="31">
        <v>400.7</v>
      </c>
      <c r="BZ167" s="35">
        <f t="shared" si="127"/>
        <v>21.025000000000002</v>
      </c>
      <c r="CA167" s="35">
        <f t="shared" si="128"/>
        <v>29.372916666666669</v>
      </c>
      <c r="CB167" s="35">
        <f t="shared" si="129"/>
        <v>8.3479166666666664</v>
      </c>
      <c r="CC167" s="36">
        <f t="shared" si="130"/>
        <v>47.380281690140848</v>
      </c>
      <c r="CD167" s="36">
        <f t="shared" si="131"/>
        <v>66.1924882629108</v>
      </c>
      <c r="CE167" s="36">
        <f t="shared" si="132"/>
        <v>18.812206572769952</v>
      </c>
      <c r="CF167" s="31">
        <v>25</v>
      </c>
      <c r="CG167" s="31">
        <v>23</v>
      </c>
    </row>
    <row r="168" spans="1:85" x14ac:dyDescent="0.4">
      <c r="A168" s="11" t="s">
        <v>85</v>
      </c>
      <c r="B168" s="11" t="s">
        <v>245</v>
      </c>
      <c r="C168" s="11" t="s">
        <v>262</v>
      </c>
      <c r="D168" s="46" t="s">
        <v>88</v>
      </c>
      <c r="E168" s="10">
        <v>53</v>
      </c>
      <c r="F168" s="10">
        <v>18</v>
      </c>
      <c r="G168" s="10">
        <v>45</v>
      </c>
      <c r="H168" s="16">
        <f t="shared" si="94"/>
        <v>59625</v>
      </c>
      <c r="I168" s="16">
        <v>354</v>
      </c>
      <c r="J168" s="17">
        <f t="shared" si="95"/>
        <v>6.6792452830188678</v>
      </c>
      <c r="K168" s="15">
        <v>132</v>
      </c>
      <c r="L168" s="15">
        <v>246</v>
      </c>
      <c r="M168" s="17">
        <f t="shared" si="96"/>
        <v>2.4905660377358489</v>
      </c>
      <c r="N168" s="17">
        <f t="shared" si="97"/>
        <v>4.6415094339622645</v>
      </c>
      <c r="O168" s="18">
        <f t="shared" si="98"/>
        <v>0.53658536585365857</v>
      </c>
      <c r="P168" s="16">
        <v>109</v>
      </c>
      <c r="Q168" s="15">
        <v>194</v>
      </c>
      <c r="R168" s="17">
        <f t="shared" si="99"/>
        <v>2.0566037735849059</v>
      </c>
      <c r="S168" s="17">
        <f t="shared" si="100"/>
        <v>3.6603773584905661</v>
      </c>
      <c r="T168" s="18">
        <f t="shared" si="101"/>
        <v>0.56185567010309279</v>
      </c>
      <c r="U168" s="15">
        <v>23</v>
      </c>
      <c r="V168" s="15">
        <v>52</v>
      </c>
      <c r="W168" s="17">
        <f t="shared" si="102"/>
        <v>0.43396226415094341</v>
      </c>
      <c r="X168" s="17">
        <f t="shared" si="103"/>
        <v>0.98113207547169812</v>
      </c>
      <c r="Y168" s="18">
        <f t="shared" si="104"/>
        <v>0.44230769230769229</v>
      </c>
      <c r="Z168" s="9">
        <v>67</v>
      </c>
      <c r="AA168" s="9">
        <v>93</v>
      </c>
      <c r="AB168" s="17">
        <f t="shared" si="105"/>
        <v>1.2641509433962264</v>
      </c>
      <c r="AC168" s="17">
        <f t="shared" si="106"/>
        <v>1.7547169811320755</v>
      </c>
      <c r="AD168" s="18">
        <f t="shared" si="107"/>
        <v>0.72043010752688175</v>
      </c>
      <c r="AE168" s="15">
        <v>174</v>
      </c>
      <c r="AF168" s="17">
        <f t="shared" si="108"/>
        <v>3.2830188679245285</v>
      </c>
      <c r="AG168" s="15">
        <v>86</v>
      </c>
      <c r="AH168" s="17">
        <f t="shared" si="109"/>
        <v>1.6226415094339623</v>
      </c>
      <c r="AI168" s="15">
        <v>88</v>
      </c>
      <c r="AJ168" s="17">
        <f t="shared" si="110"/>
        <v>1.6603773584905661</v>
      </c>
      <c r="AK168" s="15">
        <v>150</v>
      </c>
      <c r="AL168" s="17">
        <f t="shared" si="111"/>
        <v>2.8301886792452828</v>
      </c>
      <c r="AM168" s="15">
        <v>28</v>
      </c>
      <c r="AN168" s="17">
        <f t="shared" si="112"/>
        <v>0.52830188679245282</v>
      </c>
      <c r="AO168" s="7">
        <v>18</v>
      </c>
      <c r="AP168" s="17">
        <f t="shared" si="120"/>
        <v>0.33962264150943394</v>
      </c>
      <c r="AQ168" s="6">
        <v>34</v>
      </c>
      <c r="AR168" s="17">
        <f t="shared" si="113"/>
        <v>0.64150943396226412</v>
      </c>
      <c r="AS168" s="15">
        <v>63</v>
      </c>
      <c r="AT168" s="17">
        <f t="shared" si="114"/>
        <v>1.1886792452830188</v>
      </c>
      <c r="AU168" s="19">
        <v>3.1846260039618262</v>
      </c>
      <c r="AV168" s="19">
        <v>0.1281862039330546</v>
      </c>
      <c r="AW168" s="19">
        <v>2.7867758359733541</v>
      </c>
      <c r="AX168" s="19">
        <v>0.397850167988472</v>
      </c>
      <c r="AY168" s="19">
        <v>133.84942573274151</v>
      </c>
      <c r="AZ168" s="19">
        <v>115.8539529953907</v>
      </c>
      <c r="BA168" s="19">
        <v>14.23763501520402</v>
      </c>
      <c r="BB168" s="19">
        <v>10.37735849056604</v>
      </c>
      <c r="BC168" s="19">
        <v>22.138364779874209</v>
      </c>
      <c r="BD168" s="65">
        <f t="shared" si="115"/>
        <v>61.689669594312001</v>
      </c>
      <c r="BE168" s="65">
        <f t="shared" si="116"/>
        <v>58.333333333333336</v>
      </c>
      <c r="BF168" s="66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14.281081471963331</v>
      </c>
      <c r="BG168" s="38">
        <f t="shared" si="117"/>
        <v>0.21138211382113822</v>
      </c>
      <c r="BH168" s="38">
        <f t="shared" si="118"/>
        <v>0.37804878048780488</v>
      </c>
      <c r="BI168" s="67">
        <f>IFERROR(((AG168*(12000/5))/((F168*60+G168)*(SUMIFS(팀공격력!X:X,팀공격력!A:A,B168,팀공격력!B:B,D168)+SUMIFS(팀수비력!X:X,팀수비력!A:A,B168,팀수비력!B:B,D168))))*100,"")</f>
        <v>4.5786540221279424</v>
      </c>
      <c r="BJ168" s="67">
        <f>IFERROR(((AI168*(12000/5))/((F168*60+G168)*(SUMIFS(팀공격력!V:V,팀공격력!A:A,B168,팀공격력!B:B,D168)+SUMIFS(팀수비력!W:W,팀수비력!A:A,B168,팀수비력!B:B,D168))))*100,"")</f>
        <v>9.8392732354996504</v>
      </c>
      <c r="BK168" s="67">
        <f>IFERROR(((AE168*(12000/5))/((F168*60+G168)*(SUMIFS(팀공격력!X:X,팀공격력!A:A,B168,팀공격력!B:B,D168)+SUMIFS(팀수비력!X:X,팀수비력!A:A,B168,팀수비력!B:B,D168))))*100,"")</f>
        <v>9.2637883703518842</v>
      </c>
      <c r="BL168" s="67">
        <f>IFERROR(100*AK168/(((((F168*60+G168)/(12000/5))*SUMIFS(팀공격력!P:P,팀공격력!A:A,B168,팀공격력!B:B,D168))-K168)),"")</f>
        <v>21.019442984760904</v>
      </c>
      <c r="BM168" s="67">
        <f>IFERROR(100*((AM168/E168*(2400))/((F168*60+G168)*SUMIFS(팀공격력!AR:AR,팀공격력!A:A,B168,팀공격력!B:B,D168))),"")</f>
        <v>1.5063262516642457</v>
      </c>
      <c r="BN168" s="67">
        <f>IFERROR((AO168*40)/(((F168*60+G168)/60)*(SUMIFS(팀수비력!Q:Q,팀수비력!A:A,B168,팀수비력!B:B,D168)-SUMIFS(팀수비력!N:N,팀수비력!A:A,B168,팀수비력!B:B,D168)))*100,"")</f>
        <v>1.5232050773502579</v>
      </c>
      <c r="BO168" s="67">
        <f t="shared" si="119"/>
        <v>10.594540695500436</v>
      </c>
      <c r="BP168" s="19"/>
      <c r="BQ168" s="19"/>
      <c r="BR168" s="19"/>
      <c r="BS168" s="19"/>
      <c r="BT168" s="20" t="s">
        <v>89</v>
      </c>
      <c r="BU168" s="21">
        <v>130000</v>
      </c>
      <c r="BV168" s="31" t="s">
        <v>93</v>
      </c>
      <c r="BW168" s="31">
        <v>908.98</v>
      </c>
      <c r="BX168" s="31">
        <v>1091.8800000000001</v>
      </c>
      <c r="BY168" s="31">
        <v>182.9</v>
      </c>
      <c r="BZ168" s="35">
        <f t="shared" si="127"/>
        <v>17.150566037735853</v>
      </c>
      <c r="CA168" s="35">
        <f t="shared" si="128"/>
        <v>20.601509433962267</v>
      </c>
      <c r="CB168" s="35">
        <f t="shared" si="129"/>
        <v>3.4509433962264153</v>
      </c>
      <c r="CC168" s="36">
        <f t="shared" si="130"/>
        <v>36.587874213836486</v>
      </c>
      <c r="CD168" s="36">
        <f t="shared" si="131"/>
        <v>43.949886792452837</v>
      </c>
      <c r="CE168" s="36">
        <f t="shared" si="132"/>
        <v>7.3620125786163522</v>
      </c>
      <c r="CF168" s="30">
        <v>25</v>
      </c>
      <c r="CG168" s="30">
        <v>28</v>
      </c>
    </row>
    <row r="169" spans="1:85" x14ac:dyDescent="0.4">
      <c r="A169" s="11" t="s">
        <v>85</v>
      </c>
      <c r="B169" s="11" t="s">
        <v>263</v>
      </c>
      <c r="C169" s="11" t="s">
        <v>264</v>
      </c>
      <c r="D169" s="46" t="s">
        <v>88</v>
      </c>
      <c r="E169" s="15">
        <v>51</v>
      </c>
      <c r="F169" s="15">
        <v>32</v>
      </c>
      <c r="G169" s="15">
        <v>59</v>
      </c>
      <c r="H169" s="16">
        <f t="shared" si="94"/>
        <v>100929</v>
      </c>
      <c r="I169" s="16">
        <v>712</v>
      </c>
      <c r="J169" s="17">
        <f t="shared" si="95"/>
        <v>13.96078431372549</v>
      </c>
      <c r="K169" s="15">
        <v>275</v>
      </c>
      <c r="L169" s="15">
        <v>520</v>
      </c>
      <c r="M169" s="17">
        <f t="shared" si="96"/>
        <v>5.3921568627450984</v>
      </c>
      <c r="N169" s="17">
        <f t="shared" si="97"/>
        <v>10.196078431372548</v>
      </c>
      <c r="O169" s="18">
        <f t="shared" si="98"/>
        <v>0.52884615384615385</v>
      </c>
      <c r="P169" s="16">
        <v>192</v>
      </c>
      <c r="Q169" s="15">
        <v>320</v>
      </c>
      <c r="R169" s="17">
        <f t="shared" si="99"/>
        <v>3.7647058823529411</v>
      </c>
      <c r="S169" s="17">
        <f t="shared" si="100"/>
        <v>6.2745098039215685</v>
      </c>
      <c r="T169" s="18">
        <f t="shared" si="101"/>
        <v>0.6</v>
      </c>
      <c r="U169" s="15">
        <v>83</v>
      </c>
      <c r="V169" s="15">
        <v>200</v>
      </c>
      <c r="W169" s="17">
        <f t="shared" si="102"/>
        <v>1.6274509803921569</v>
      </c>
      <c r="X169" s="17">
        <f t="shared" si="103"/>
        <v>3.9215686274509802</v>
      </c>
      <c r="Y169" s="18">
        <f t="shared" si="104"/>
        <v>0.41499999999999998</v>
      </c>
      <c r="Z169" s="15">
        <v>79</v>
      </c>
      <c r="AA169" s="15">
        <v>109</v>
      </c>
      <c r="AB169" s="17">
        <f t="shared" si="105"/>
        <v>1.5490196078431373</v>
      </c>
      <c r="AC169" s="17">
        <f t="shared" si="106"/>
        <v>2.1372549019607843</v>
      </c>
      <c r="AD169" s="18">
        <f t="shared" si="107"/>
        <v>0.72477064220183485</v>
      </c>
      <c r="AE169" s="15">
        <v>320</v>
      </c>
      <c r="AF169" s="17">
        <f t="shared" si="108"/>
        <v>6.2745098039215685</v>
      </c>
      <c r="AG169" s="15">
        <v>79</v>
      </c>
      <c r="AH169" s="17">
        <f t="shared" si="109"/>
        <v>1.5490196078431373</v>
      </c>
      <c r="AI169" s="15">
        <v>241</v>
      </c>
      <c r="AJ169" s="17">
        <f t="shared" si="110"/>
        <v>4.7254901960784315</v>
      </c>
      <c r="AK169" s="15">
        <v>220</v>
      </c>
      <c r="AL169" s="17">
        <f t="shared" si="111"/>
        <v>4.3137254901960782</v>
      </c>
      <c r="AM169" s="15">
        <v>48</v>
      </c>
      <c r="AN169" s="17">
        <f t="shared" si="112"/>
        <v>0.94117647058823528</v>
      </c>
      <c r="AO169" s="15">
        <v>18</v>
      </c>
      <c r="AP169" s="17">
        <f t="shared" si="120"/>
        <v>0.35294117647058826</v>
      </c>
      <c r="AQ169" s="4">
        <v>133</v>
      </c>
      <c r="AR169" s="17">
        <f t="shared" si="113"/>
        <v>2.607843137254902</v>
      </c>
      <c r="AS169" s="15">
        <v>127</v>
      </c>
      <c r="AT169" s="17">
        <f t="shared" si="114"/>
        <v>2.4901960784313726</v>
      </c>
      <c r="AU169" s="19">
        <v>4.7074857901894296</v>
      </c>
      <c r="AV169" s="19">
        <v>0.1119397387911763</v>
      </c>
      <c r="AW169" s="19">
        <v>2.9069828911625448</v>
      </c>
      <c r="AX169" s="19">
        <v>1.8005028990268861</v>
      </c>
      <c r="AY169" s="19">
        <v>115.72373095627439</v>
      </c>
      <c r="AZ169" s="19">
        <v>110.8919465722814</v>
      </c>
      <c r="BA169" s="19">
        <v>13.829231111766999</v>
      </c>
      <c r="BB169" s="19">
        <v>17.843137254901961</v>
      </c>
      <c r="BC169" s="19">
        <v>21.638973932170138</v>
      </c>
      <c r="BD169" s="65">
        <f t="shared" si="115"/>
        <v>62.68047045566589</v>
      </c>
      <c r="BE169" s="65">
        <f t="shared" si="116"/>
        <v>60.865384615384613</v>
      </c>
      <c r="BF169" s="66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18.144515672850883</v>
      </c>
      <c r="BG169" s="38">
        <f t="shared" si="117"/>
        <v>0.38461538461538464</v>
      </c>
      <c r="BH169" s="38">
        <f t="shared" si="118"/>
        <v>0.20961538461538462</v>
      </c>
      <c r="BI169" s="67">
        <f>IFERROR(((AG169*(12000/5))/((F169*60+G169)*(SUMIFS(팀공격력!X:X,팀공격력!A:A,B169,팀공격력!B:B,D169)+SUMIFS(팀수비력!X:X,팀수비력!A:A,B169,팀수비력!B:B,D169))))*100,"")</f>
        <v>2.3361609999360513</v>
      </c>
      <c r="BJ169" s="67">
        <f>IFERROR(((AI169*(12000/5))/((F169*60+G169)*(SUMIFS(팀공격력!V:V,팀공격력!A:A,B169,팀공격력!B:B,D169)+SUMIFS(팀수비력!W:W,팀수비력!A:A,B169,팀수비력!B:B,D169))))*100,"")</f>
        <v>16.336993998753261</v>
      </c>
      <c r="BK169" s="67">
        <f>IFERROR(((AE169*(12000/5))/((F169*60+G169)*(SUMIFS(팀공격력!X:X,팀공격력!A:A,B169,팀공격력!B:B,D169)+SUMIFS(팀수비력!X:X,팀수비력!A:A,B169,팀수비력!B:B,D169))))*100,"")</f>
        <v>9.462930632652359</v>
      </c>
      <c r="BL169" s="67">
        <f>IFERROR(100*AK169/(((((F169*60+G169)/(12000/5))*SUMIFS(팀공격력!P:P,팀공격력!A:A,B169,팀공격력!B:B,D169))-K169)),"")</f>
        <v>17.686558014925044</v>
      </c>
      <c r="BM169" s="67">
        <f>IFERROR(100*((AM169/E169*(2400))/((F169*60+G169)*SUMIFS(팀공격력!AR:AR,팀공격력!A:A,B169,팀공격력!B:B,D169))),"")</f>
        <v>1.5292131105491931</v>
      </c>
      <c r="BN169" s="67">
        <f>IFERROR((AO169*40)/(((F169*60+G169)/60)*(SUMIFS(팀수비력!Q:Q,팀수비력!A:A,B169,팀수비력!B:B,D169)-SUMIFS(팀수비력!N:N,팀수비력!A:A,B169,팀수비력!B:B,D169)))*100,"")</f>
        <v>0.86009482545450644</v>
      </c>
      <c r="BO169" s="67">
        <f t="shared" si="119"/>
        <v>18.973978543711482</v>
      </c>
      <c r="BP169" s="19"/>
      <c r="BQ169" s="19"/>
      <c r="BR169" s="19"/>
      <c r="BS169" s="19"/>
      <c r="BT169" s="20" t="s">
        <v>89</v>
      </c>
      <c r="BU169" s="21"/>
      <c r="BV169" s="31" t="s">
        <v>93</v>
      </c>
      <c r="BW169" s="31">
        <v>1434.14</v>
      </c>
      <c r="BX169" s="31">
        <v>1890.94</v>
      </c>
      <c r="BY169" s="31">
        <v>456.8</v>
      </c>
      <c r="BZ169" s="35">
        <f t="shared" si="127"/>
        <v>28.120392156862746</v>
      </c>
      <c r="CA169" s="35">
        <f t="shared" si="128"/>
        <v>37.077254901960785</v>
      </c>
      <c r="CB169" s="35">
        <f t="shared" si="129"/>
        <v>8.9568627450980394</v>
      </c>
      <c r="CC169" s="36">
        <f t="shared" si="130"/>
        <v>34.10254733525548</v>
      </c>
      <c r="CD169" s="36">
        <f t="shared" si="131"/>
        <v>44.964836667360224</v>
      </c>
      <c r="CE169" s="36">
        <f t="shared" si="132"/>
        <v>10.862289332104748</v>
      </c>
      <c r="CF169" s="31">
        <v>39</v>
      </c>
      <c r="CG169" s="31">
        <v>12</v>
      </c>
    </row>
    <row r="170" spans="1:85" x14ac:dyDescent="0.4">
      <c r="A170" s="11" t="s">
        <v>85</v>
      </c>
      <c r="B170" s="11" t="s">
        <v>263</v>
      </c>
      <c r="C170" s="11" t="s">
        <v>265</v>
      </c>
      <c r="D170" s="46" t="s">
        <v>88</v>
      </c>
      <c r="E170" s="15">
        <v>1</v>
      </c>
      <c r="F170" s="15">
        <v>3</v>
      </c>
      <c r="G170" s="15">
        <v>50</v>
      </c>
      <c r="H170" s="16">
        <f t="shared" si="94"/>
        <v>230</v>
      </c>
      <c r="I170" s="16">
        <v>3</v>
      </c>
      <c r="J170" s="17">
        <f t="shared" si="95"/>
        <v>3</v>
      </c>
      <c r="K170" s="15">
        <v>1</v>
      </c>
      <c r="L170" s="15">
        <v>1</v>
      </c>
      <c r="M170" s="17">
        <f t="shared" si="96"/>
        <v>1</v>
      </c>
      <c r="N170" s="17">
        <f t="shared" si="97"/>
        <v>1</v>
      </c>
      <c r="O170" s="18">
        <f t="shared" si="98"/>
        <v>1</v>
      </c>
      <c r="P170" s="16">
        <v>1</v>
      </c>
      <c r="Q170" s="15">
        <v>1</v>
      </c>
      <c r="R170" s="17">
        <f t="shared" si="99"/>
        <v>1</v>
      </c>
      <c r="S170" s="17">
        <f t="shared" si="100"/>
        <v>1</v>
      </c>
      <c r="T170" s="18">
        <f t="shared" si="101"/>
        <v>1</v>
      </c>
      <c r="U170" s="15">
        <v>0</v>
      </c>
      <c r="V170" s="15">
        <v>0</v>
      </c>
      <c r="W170" s="17">
        <f t="shared" si="102"/>
        <v>0</v>
      </c>
      <c r="X170" s="17">
        <f t="shared" si="103"/>
        <v>0</v>
      </c>
      <c r="Y170" s="18" t="e">
        <f t="shared" si="104"/>
        <v>#DIV/0!</v>
      </c>
      <c r="Z170" s="15">
        <v>1</v>
      </c>
      <c r="AA170" s="15">
        <v>2</v>
      </c>
      <c r="AB170" s="17">
        <f t="shared" si="105"/>
        <v>1</v>
      </c>
      <c r="AC170" s="17">
        <f t="shared" si="106"/>
        <v>2</v>
      </c>
      <c r="AD170" s="18">
        <f t="shared" si="107"/>
        <v>0.5</v>
      </c>
      <c r="AE170" s="15">
        <v>2</v>
      </c>
      <c r="AF170" s="17">
        <f t="shared" si="108"/>
        <v>2</v>
      </c>
      <c r="AG170" s="15">
        <v>1</v>
      </c>
      <c r="AH170" s="17">
        <f t="shared" si="109"/>
        <v>1</v>
      </c>
      <c r="AI170" s="15">
        <v>1</v>
      </c>
      <c r="AJ170" s="17">
        <f t="shared" si="110"/>
        <v>1</v>
      </c>
      <c r="AK170" s="15">
        <v>1</v>
      </c>
      <c r="AL170" s="17">
        <f t="shared" si="111"/>
        <v>1</v>
      </c>
      <c r="AM170" s="15">
        <v>0</v>
      </c>
      <c r="AN170" s="17">
        <f t="shared" si="112"/>
        <v>0</v>
      </c>
      <c r="AO170" s="15">
        <v>0</v>
      </c>
      <c r="AP170" s="17">
        <f t="shared" si="120"/>
        <v>0</v>
      </c>
      <c r="AQ170" s="4">
        <v>1</v>
      </c>
      <c r="AR170" s="17">
        <f t="shared" si="113"/>
        <v>1</v>
      </c>
      <c r="AS170" s="15">
        <v>3</v>
      </c>
      <c r="AT170" s="17">
        <f t="shared" si="114"/>
        <v>3</v>
      </c>
      <c r="AU170" s="19">
        <v>2.2797460696123348E-2</v>
      </c>
      <c r="AV170" s="19">
        <v>0.23788654639433049</v>
      </c>
      <c r="AW170" s="19">
        <v>1.7153820395666802E-2</v>
      </c>
      <c r="AX170" s="19">
        <v>5.6436403004565469E-3</v>
      </c>
      <c r="AY170" s="19">
        <v>118.9595465125811</v>
      </c>
      <c r="AZ170" s="19">
        <v>107.6212065126943</v>
      </c>
      <c r="BA170" s="19">
        <v>0.19223352323807921</v>
      </c>
      <c r="BB170" s="19">
        <v>4</v>
      </c>
      <c r="BC170" s="19">
        <v>41.739130434782609</v>
      </c>
      <c r="BD170" s="65">
        <f t="shared" si="115"/>
        <v>79.787234042553195</v>
      </c>
      <c r="BE170" s="65">
        <f t="shared" si="116"/>
        <v>100</v>
      </c>
      <c r="BF170" s="66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0.64144967626836658</v>
      </c>
      <c r="BG170" s="38">
        <f t="shared" si="117"/>
        <v>0</v>
      </c>
      <c r="BH170" s="38">
        <f t="shared" si="118"/>
        <v>2</v>
      </c>
      <c r="BI170" s="67">
        <f>IFERROR(((AG170*(12000/5))/((F170*60+G170)*(SUMIFS(팀공격력!X:X,팀공격력!A:A,B170,팀공격력!B:B,D170)+SUMIFS(팀수비력!X:X,팀수비력!A:A,B170,팀수비력!B:B,D170))))*100,"")</f>
        <v>0.25444483317960626</v>
      </c>
      <c r="BJ170" s="67">
        <f>IFERROR(((AI170*(12000/5))/((F170*60+G170)*(SUMIFS(팀공격력!V:V,팀공격력!A:A,B170,팀공격력!B:B,D170)+SUMIFS(팀수비력!W:W,팀수비력!A:A,B170,팀수비력!B:B,D170))))*100,"")</f>
        <v>0.58327460082144511</v>
      </c>
      <c r="BK170" s="67">
        <f>IFERROR(((AE170*(12000/5))/((F170*60+G170)*(SUMIFS(팀공격력!X:X,팀공격력!A:A,B170,팀공격력!B:B,D170)+SUMIFS(팀수비력!X:X,팀수비력!A:A,B170,팀수비력!B:B,D170))))*100,"")</f>
        <v>0.50888966635921251</v>
      </c>
      <c r="BL170" s="67">
        <f>IFERROR(100*AK170/(((((F170*60+G170)/(12000/5))*SUMIFS(팀공격력!P:P,팀공격력!A:A,B170,팀공격력!B:B,D170))-K170)),"")</f>
        <v>0.56971941318900443</v>
      </c>
      <c r="BM170" s="67">
        <f>IFERROR(100*((AM170/E170*(2400))/((F170*60+G170)*SUMIFS(팀공격력!AR:AR,팀공격력!A:A,B170,팀공격력!B:B,D170))),"")</f>
        <v>0</v>
      </c>
      <c r="BN170" s="67">
        <f>IFERROR((AO170*40)/(((F170*60+G170)/60)*(SUMIFS(팀수비력!Q:Q,팀수비력!A:A,B170,팀수비력!B:B,D170)-SUMIFS(팀수비력!N:N,팀수비력!A:A,B170,팀수비력!B:B,D170)))*100,"")</f>
        <v>0</v>
      </c>
      <c r="BO170" s="67">
        <f t="shared" si="119"/>
        <v>34.722222222222221</v>
      </c>
      <c r="BP170" s="19"/>
      <c r="BQ170" s="19"/>
      <c r="BR170" s="19"/>
      <c r="BS170" s="19"/>
      <c r="BT170" s="20" t="s">
        <v>96</v>
      </c>
      <c r="BU170" s="21"/>
      <c r="BV170" s="31" t="s">
        <v>102</v>
      </c>
      <c r="BW170" s="31">
        <v>5.66</v>
      </c>
      <c r="BX170" s="31">
        <v>7.96</v>
      </c>
      <c r="BY170" s="31">
        <v>2.2999999999999998</v>
      </c>
      <c r="BZ170" s="35">
        <f t="shared" si="127"/>
        <v>5.66</v>
      </c>
      <c r="CA170" s="35">
        <f t="shared" si="128"/>
        <v>7.96</v>
      </c>
      <c r="CB170" s="35">
        <f t="shared" si="129"/>
        <v>2.2999999999999998</v>
      </c>
      <c r="CC170" s="36">
        <f t="shared" si="130"/>
        <v>59.060869565217388</v>
      </c>
      <c r="CD170" s="36">
        <f t="shared" si="131"/>
        <v>83.060869565217388</v>
      </c>
      <c r="CE170" s="36">
        <f t="shared" si="132"/>
        <v>24</v>
      </c>
      <c r="CF170" s="31">
        <v>1</v>
      </c>
      <c r="CG170" s="31">
        <v>0</v>
      </c>
    </row>
    <row r="171" spans="1:85" x14ac:dyDescent="0.4">
      <c r="A171" s="11" t="s">
        <v>85</v>
      </c>
      <c r="B171" s="11" t="s">
        <v>263</v>
      </c>
      <c r="C171" s="11" t="s">
        <v>266</v>
      </c>
      <c r="D171" s="46" t="s">
        <v>88</v>
      </c>
      <c r="E171" s="15">
        <v>46</v>
      </c>
      <c r="F171" s="15">
        <v>14</v>
      </c>
      <c r="G171" s="15">
        <v>40</v>
      </c>
      <c r="H171" s="16">
        <f t="shared" si="94"/>
        <v>40480</v>
      </c>
      <c r="I171" s="16">
        <v>166</v>
      </c>
      <c r="J171" s="17">
        <f t="shared" si="95"/>
        <v>3.6086956521739131</v>
      </c>
      <c r="K171" s="15">
        <v>58</v>
      </c>
      <c r="L171" s="15">
        <v>144</v>
      </c>
      <c r="M171" s="17">
        <f t="shared" si="96"/>
        <v>1.2608695652173914</v>
      </c>
      <c r="N171" s="17">
        <f t="shared" si="97"/>
        <v>3.1304347826086958</v>
      </c>
      <c r="O171" s="18">
        <f t="shared" si="98"/>
        <v>0.40277777777777779</v>
      </c>
      <c r="P171" s="16">
        <v>16</v>
      </c>
      <c r="Q171" s="15">
        <v>37</v>
      </c>
      <c r="R171" s="17">
        <f t="shared" si="99"/>
        <v>0.34782608695652173</v>
      </c>
      <c r="S171" s="17">
        <f t="shared" si="100"/>
        <v>0.80434782608695654</v>
      </c>
      <c r="T171" s="18">
        <f t="shared" si="101"/>
        <v>0.43243243243243246</v>
      </c>
      <c r="U171" s="15">
        <v>42</v>
      </c>
      <c r="V171" s="15">
        <v>107</v>
      </c>
      <c r="W171" s="17">
        <f t="shared" si="102"/>
        <v>0.91304347826086951</v>
      </c>
      <c r="X171" s="17">
        <f t="shared" si="103"/>
        <v>2.3260869565217392</v>
      </c>
      <c r="Y171" s="18">
        <f t="shared" si="104"/>
        <v>0.3925233644859813</v>
      </c>
      <c r="Z171" s="15">
        <v>8</v>
      </c>
      <c r="AA171" s="15">
        <v>10</v>
      </c>
      <c r="AB171" s="17">
        <f t="shared" si="105"/>
        <v>0.17391304347826086</v>
      </c>
      <c r="AC171" s="17">
        <f t="shared" si="106"/>
        <v>0.21739130434782608</v>
      </c>
      <c r="AD171" s="18">
        <f t="shared" si="107"/>
        <v>0.8</v>
      </c>
      <c r="AE171" s="15">
        <v>63</v>
      </c>
      <c r="AF171" s="17">
        <f t="shared" si="108"/>
        <v>1.3695652173913044</v>
      </c>
      <c r="AG171" s="15">
        <v>20</v>
      </c>
      <c r="AH171" s="17">
        <f t="shared" si="109"/>
        <v>0.43478260869565216</v>
      </c>
      <c r="AI171" s="15">
        <v>43</v>
      </c>
      <c r="AJ171" s="17">
        <f t="shared" si="110"/>
        <v>0.93478260869565222</v>
      </c>
      <c r="AK171" s="15">
        <v>27</v>
      </c>
      <c r="AL171" s="17">
        <f t="shared" si="111"/>
        <v>0.58695652173913049</v>
      </c>
      <c r="AM171" s="15">
        <v>24</v>
      </c>
      <c r="AN171" s="17">
        <f t="shared" si="112"/>
        <v>0.52173913043478259</v>
      </c>
      <c r="AO171" s="15">
        <v>0</v>
      </c>
      <c r="AP171" s="17">
        <f t="shared" si="120"/>
        <v>0</v>
      </c>
      <c r="AQ171" s="4">
        <v>13</v>
      </c>
      <c r="AR171" s="17">
        <f t="shared" si="113"/>
        <v>0.28260869565217389</v>
      </c>
      <c r="AS171" s="15">
        <v>96</v>
      </c>
      <c r="AT171" s="17">
        <f t="shared" si="114"/>
        <v>2.0869565217391304</v>
      </c>
      <c r="AU171" s="19">
        <v>1.1088425916239191</v>
      </c>
      <c r="AV171" s="19">
        <v>6.5741655629876605E-2</v>
      </c>
      <c r="AW171" s="19">
        <v>0.63200779619585312</v>
      </c>
      <c r="AX171" s="19">
        <v>0.47683479542806539</v>
      </c>
      <c r="AY171" s="19">
        <v>116.1240684082435</v>
      </c>
      <c r="AZ171" s="19">
        <v>113.8509197464524</v>
      </c>
      <c r="BA171" s="19">
        <v>4.7204101922785124</v>
      </c>
      <c r="BB171" s="19">
        <v>3.8913043478260869</v>
      </c>
      <c r="BC171" s="19">
        <v>10.61264822134387</v>
      </c>
      <c r="BD171" s="65">
        <f t="shared" si="115"/>
        <v>55.9299191374663</v>
      </c>
      <c r="BE171" s="65">
        <f t="shared" si="116"/>
        <v>54.861111111111114</v>
      </c>
      <c r="BF171" s="66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9.3954762004554535</v>
      </c>
      <c r="BG171" s="38">
        <f t="shared" si="117"/>
        <v>0.74305555555555558</v>
      </c>
      <c r="BH171" s="38">
        <f t="shared" si="118"/>
        <v>6.9444444444444448E-2</v>
      </c>
      <c r="BI171" s="67">
        <f>IFERROR(((AG171*(12000/5))/((F171*60+G171)*(SUMIFS(팀공격력!X:X,팀공격력!A:A,B171,팀공격력!B:B,D171)+SUMIFS(팀수비력!X:X,팀수비력!A:A,B171,팀수비력!B:B,D171))))*100,"")</f>
        <v>1.3300525370752145</v>
      </c>
      <c r="BJ171" s="67">
        <f>IFERROR(((AI171*(12000/5))/((F171*60+G171)*(SUMIFS(팀공격력!V:V,팀공격력!A:A,B171,팀공격력!B:B,D171)+SUMIFS(팀수비력!W:W,팀수비력!A:A,B171,팀수비력!B:B,D171))))*100,"")</f>
        <v>6.555211138777377</v>
      </c>
      <c r="BK171" s="67">
        <f>IFERROR(((AE171*(12000/5))/((F171*60+G171)*(SUMIFS(팀공격력!X:X,팀공격력!A:A,B171,팀공격력!B:B,D171)+SUMIFS(팀수비력!X:X,팀수비력!A:A,B171,팀수비력!B:B,D171))))*100,"")</f>
        <v>4.1896654917869256</v>
      </c>
      <c r="BL171" s="67">
        <f>IFERROR(100*AK171/(((((F171*60+G171)/(12000/5))*SUMIFS(팀공격력!P:P,팀공격력!A:A,B171,팀공격력!B:B,D171))-K171)),"")</f>
        <v>4.3731778425655978</v>
      </c>
      <c r="BM171" s="67">
        <f>IFERROR(100*((AM171/E171*(2400))/((F171*60+G171)*SUMIFS(팀공격력!AR:AR,팀공격력!A:A,B171,팀공격력!B:B,D171))),"")</f>
        <v>1.906397604182553</v>
      </c>
      <c r="BN171" s="67">
        <f>IFERROR((AO171*40)/(((F171*60+G171)/60)*(SUMIFS(팀수비력!Q:Q,팀수비력!A:A,B171,팀수비력!B:B,D171)-SUMIFS(팀수비력!N:N,팀수비력!A:A,B171,팀수비력!B:B,D171)))*100,"")</f>
        <v>0</v>
      </c>
      <c r="BO171" s="67">
        <f t="shared" si="119"/>
        <v>8.0545229244113994</v>
      </c>
      <c r="BP171" s="19"/>
      <c r="BQ171" s="19"/>
      <c r="BR171" s="19"/>
      <c r="BS171" s="19"/>
      <c r="BT171" s="20" t="s">
        <v>89</v>
      </c>
      <c r="BU171" s="21"/>
      <c r="BV171" s="31" t="s">
        <v>90</v>
      </c>
      <c r="BW171" s="31">
        <v>376.07</v>
      </c>
      <c r="BX171" s="31">
        <v>476.67</v>
      </c>
      <c r="BY171" s="31">
        <v>100.6</v>
      </c>
      <c r="BZ171" s="35">
        <f t="shared" si="127"/>
        <v>8.1754347826086953</v>
      </c>
      <c r="CA171" s="35">
        <f t="shared" si="128"/>
        <v>10.362391304347826</v>
      </c>
      <c r="CB171" s="35">
        <f t="shared" si="129"/>
        <v>2.1869565217391305</v>
      </c>
      <c r="CC171" s="36">
        <f t="shared" si="130"/>
        <v>22.296640316205533</v>
      </c>
      <c r="CD171" s="36">
        <f t="shared" si="131"/>
        <v>28.261067193675888</v>
      </c>
      <c r="CE171" s="36">
        <f t="shared" si="132"/>
        <v>5.9644268774703555</v>
      </c>
      <c r="CF171" s="30">
        <v>34</v>
      </c>
      <c r="CG171" s="30">
        <v>12</v>
      </c>
    </row>
    <row r="172" spans="1:85" x14ac:dyDescent="0.4">
      <c r="A172" s="11" t="s">
        <v>85</v>
      </c>
      <c r="B172" s="11" t="s">
        <v>263</v>
      </c>
      <c r="C172" s="11" t="s">
        <v>267</v>
      </c>
      <c r="D172" s="46" t="s">
        <v>88</v>
      </c>
      <c r="E172" s="15">
        <v>49</v>
      </c>
      <c r="F172" s="15">
        <v>24</v>
      </c>
      <c r="G172" s="15">
        <v>21</v>
      </c>
      <c r="H172" s="16">
        <f t="shared" si="94"/>
        <v>71589</v>
      </c>
      <c r="I172" s="16">
        <v>581</v>
      </c>
      <c r="J172" s="17">
        <f t="shared" si="95"/>
        <v>11.857142857142858</v>
      </c>
      <c r="K172" s="15">
        <v>230</v>
      </c>
      <c r="L172" s="15">
        <v>385</v>
      </c>
      <c r="M172" s="17">
        <f t="shared" si="96"/>
        <v>4.6938775510204085</v>
      </c>
      <c r="N172" s="17">
        <f t="shared" si="97"/>
        <v>7.8571428571428568</v>
      </c>
      <c r="O172" s="18">
        <f t="shared" si="98"/>
        <v>0.59740259740259738</v>
      </c>
      <c r="P172" s="16">
        <v>221</v>
      </c>
      <c r="Q172" s="15">
        <v>361</v>
      </c>
      <c r="R172" s="17">
        <f t="shared" si="99"/>
        <v>4.5102040816326534</v>
      </c>
      <c r="S172" s="17">
        <f t="shared" si="100"/>
        <v>7.3673469387755102</v>
      </c>
      <c r="T172" s="18">
        <f t="shared" si="101"/>
        <v>0.61218836565096957</v>
      </c>
      <c r="U172" s="15">
        <v>9</v>
      </c>
      <c r="V172" s="15">
        <v>24</v>
      </c>
      <c r="W172" s="17">
        <f t="shared" si="102"/>
        <v>0.18367346938775511</v>
      </c>
      <c r="X172" s="17">
        <f t="shared" si="103"/>
        <v>0.48979591836734693</v>
      </c>
      <c r="Y172" s="18">
        <f t="shared" si="104"/>
        <v>0.375</v>
      </c>
      <c r="Z172" s="15">
        <v>112</v>
      </c>
      <c r="AA172" s="15">
        <v>132</v>
      </c>
      <c r="AB172" s="17">
        <f t="shared" si="105"/>
        <v>2.2857142857142856</v>
      </c>
      <c r="AC172" s="17">
        <f t="shared" si="106"/>
        <v>2.693877551020408</v>
      </c>
      <c r="AD172" s="18">
        <f t="shared" si="107"/>
        <v>0.84848484848484851</v>
      </c>
      <c r="AE172" s="15">
        <v>297</v>
      </c>
      <c r="AF172" s="17">
        <f t="shared" si="108"/>
        <v>6.0612244897959187</v>
      </c>
      <c r="AG172" s="15">
        <v>123</v>
      </c>
      <c r="AH172" s="17">
        <f t="shared" si="109"/>
        <v>2.510204081632653</v>
      </c>
      <c r="AI172" s="15">
        <v>174</v>
      </c>
      <c r="AJ172" s="17">
        <f t="shared" si="110"/>
        <v>3.5510204081632653</v>
      </c>
      <c r="AK172" s="15">
        <v>50</v>
      </c>
      <c r="AL172" s="17">
        <f t="shared" si="111"/>
        <v>1.0204081632653061</v>
      </c>
      <c r="AM172" s="15">
        <v>21</v>
      </c>
      <c r="AN172" s="17">
        <f t="shared" si="112"/>
        <v>0.42857142857142855</v>
      </c>
      <c r="AO172" s="15">
        <v>60</v>
      </c>
      <c r="AP172" s="17">
        <f t="shared" si="120"/>
        <v>1.2244897959183674</v>
      </c>
      <c r="AQ172" s="4">
        <v>56</v>
      </c>
      <c r="AR172" s="17">
        <f t="shared" si="113"/>
        <v>1.1428571428571428</v>
      </c>
      <c r="AS172" s="15">
        <v>129</v>
      </c>
      <c r="AT172" s="17">
        <f t="shared" si="114"/>
        <v>2.6326530612244898</v>
      </c>
      <c r="AU172" s="19">
        <v>5.1877389271993781</v>
      </c>
      <c r="AV172" s="19">
        <v>0.1739174094522693</v>
      </c>
      <c r="AW172" s="19">
        <v>3.7877249550811629</v>
      </c>
      <c r="AX172" s="19">
        <v>1.400013972118215</v>
      </c>
      <c r="AY172" s="19">
        <v>128.42710508161599</v>
      </c>
      <c r="AZ172" s="19">
        <v>110.0535557369962</v>
      </c>
      <c r="BA172" s="19">
        <v>16.333272735933448</v>
      </c>
      <c r="BB172" s="19">
        <v>15.877551020408159</v>
      </c>
      <c r="BC172" s="19">
        <v>26.082219335372749</v>
      </c>
      <c r="BD172" s="65">
        <f t="shared" si="115"/>
        <v>65.563780807077734</v>
      </c>
      <c r="BE172" s="65">
        <f t="shared" si="116"/>
        <v>60.909090909090914</v>
      </c>
      <c r="BF172" s="66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17.499187680470889</v>
      </c>
      <c r="BG172" s="38">
        <f t="shared" si="117"/>
        <v>6.2337662337662338E-2</v>
      </c>
      <c r="BH172" s="38">
        <f t="shared" si="118"/>
        <v>0.34285714285714286</v>
      </c>
      <c r="BI172" s="67">
        <f>IFERROR(((AG172*(12000/5))/((F172*60+G172)*(SUMIFS(팀공격력!X:X,팀공격력!A:A,B172,팀공격력!B:B,D172)+SUMIFS(팀수비력!X:X,팀수비력!A:A,B172,팀수비력!B:B,D172))))*100,"")</f>
        <v>4.9269297266605481</v>
      </c>
      <c r="BJ172" s="67">
        <f>IFERROR(((AI172*(12000/5))/((F172*60+G172)*(SUMIFS(팀공격력!V:V,팀공격력!A:A,B172,팀공격력!B:B,D172)+SUMIFS(팀수비력!W:W,팀수비력!A:A,B172,팀수비력!B:B,D172))))*100,"")</f>
        <v>15.977172843856421</v>
      </c>
      <c r="BK172" s="67">
        <f>IFERROR(((AE172*(12000/5))/((F172*60+G172)*(SUMIFS(팀공격력!X:X,팀공격력!A:A,B172,팀공격력!B:B,D172)+SUMIFS(팀수비력!X:X,팀수비력!A:A,B172,팀수비력!B:B,D172))))*100,"")</f>
        <v>11.896732754619373</v>
      </c>
      <c r="BL172" s="67">
        <f>IFERROR(100*AK172/(((((F172*60+G172)/(12000/5))*SUMIFS(팀공격력!P:P,팀공격력!A:A,B172,팀공격력!B:B,D172))-K172)),"")</f>
        <v>5.6096733206741698</v>
      </c>
      <c r="BM172" s="67">
        <f>IFERROR(100*((AM172/E172*(2400))/((F172*60+G172)*SUMIFS(팀공격력!AR:AR,팀공격력!A:A,B172,팀공격력!B:B,D172))),"")</f>
        <v>0.94322595845934454</v>
      </c>
      <c r="BN172" s="67">
        <f>IFERROR((AO172*40)/(((F172*60+G172)/60)*(SUMIFS(팀수비력!Q:Q,팀수비력!A:A,B172,팀수비력!B:B,D172)-SUMIFS(팀수비력!N:N,팀수비력!A:A,B172,팀수비력!B:B,D172)))*100,"")</f>
        <v>3.883476293804399</v>
      </c>
      <c r="BO172" s="67">
        <f t="shared" si="119"/>
        <v>11.22064598861906</v>
      </c>
      <c r="BP172" s="19"/>
      <c r="BQ172" s="19"/>
      <c r="BR172" s="19"/>
      <c r="BS172" s="19"/>
      <c r="BT172" s="20" t="s">
        <v>89</v>
      </c>
      <c r="BU172" s="21">
        <v>80000</v>
      </c>
      <c r="BV172" s="30" t="s">
        <v>102</v>
      </c>
      <c r="BW172" s="30">
        <v>1144.74</v>
      </c>
      <c r="BX172" s="30">
        <v>1398.24</v>
      </c>
      <c r="BY172" s="30">
        <v>253.5</v>
      </c>
      <c r="BZ172" s="35">
        <f t="shared" si="127"/>
        <v>23.36204081632653</v>
      </c>
      <c r="CA172" s="35">
        <f t="shared" si="128"/>
        <v>28.535510204081632</v>
      </c>
      <c r="CB172" s="35">
        <f t="shared" si="129"/>
        <v>5.1734693877551017</v>
      </c>
      <c r="CC172" s="36">
        <f t="shared" si="130"/>
        <v>38.377069102795119</v>
      </c>
      <c r="CD172" s="36">
        <f t="shared" si="131"/>
        <v>46.875581444076602</v>
      </c>
      <c r="CE172" s="36">
        <f t="shared" si="132"/>
        <v>8.4985123412814811</v>
      </c>
      <c r="CF172" s="30">
        <v>38</v>
      </c>
      <c r="CG172" s="30">
        <v>11</v>
      </c>
    </row>
    <row r="173" spans="1:85" x14ac:dyDescent="0.4">
      <c r="A173" s="11" t="s">
        <v>85</v>
      </c>
      <c r="B173" s="11" t="s">
        <v>263</v>
      </c>
      <c r="C173" s="11" t="s">
        <v>268</v>
      </c>
      <c r="D173" s="46" t="s">
        <v>88</v>
      </c>
      <c r="E173" s="15">
        <v>27</v>
      </c>
      <c r="F173" s="15">
        <v>4</v>
      </c>
      <c r="G173" s="15">
        <v>33</v>
      </c>
      <c r="H173" s="16">
        <f t="shared" si="94"/>
        <v>7371</v>
      </c>
      <c r="I173" s="16">
        <v>37</v>
      </c>
      <c r="J173" s="17">
        <f t="shared" si="95"/>
        <v>1.3703703703703705</v>
      </c>
      <c r="K173" s="15">
        <v>13</v>
      </c>
      <c r="L173" s="15">
        <v>27</v>
      </c>
      <c r="M173" s="17">
        <f t="shared" si="96"/>
        <v>0.48148148148148145</v>
      </c>
      <c r="N173" s="17">
        <f t="shared" si="97"/>
        <v>1</v>
      </c>
      <c r="O173" s="18">
        <f t="shared" si="98"/>
        <v>0.48148148148148145</v>
      </c>
      <c r="P173" s="16">
        <v>6</v>
      </c>
      <c r="Q173" s="15">
        <v>10</v>
      </c>
      <c r="R173" s="17">
        <f t="shared" si="99"/>
        <v>0.22222222222222221</v>
      </c>
      <c r="S173" s="17">
        <f t="shared" si="100"/>
        <v>0.37037037037037035</v>
      </c>
      <c r="T173" s="18">
        <f t="shared" si="101"/>
        <v>0.6</v>
      </c>
      <c r="U173" s="15">
        <v>7</v>
      </c>
      <c r="V173" s="15">
        <v>17</v>
      </c>
      <c r="W173" s="17">
        <f t="shared" si="102"/>
        <v>0.25925925925925924</v>
      </c>
      <c r="X173" s="17">
        <f t="shared" si="103"/>
        <v>0.62962962962962965</v>
      </c>
      <c r="Y173" s="18">
        <f t="shared" si="104"/>
        <v>0.41176470588235292</v>
      </c>
      <c r="Z173" s="15">
        <v>4</v>
      </c>
      <c r="AA173" s="15">
        <v>5</v>
      </c>
      <c r="AB173" s="17">
        <f t="shared" si="105"/>
        <v>0.14814814814814814</v>
      </c>
      <c r="AC173" s="17">
        <f t="shared" si="106"/>
        <v>0.18518518518518517</v>
      </c>
      <c r="AD173" s="18">
        <f t="shared" si="107"/>
        <v>0.8</v>
      </c>
      <c r="AE173" s="15">
        <v>13</v>
      </c>
      <c r="AF173" s="17">
        <f t="shared" si="108"/>
        <v>0.48148148148148145</v>
      </c>
      <c r="AG173" s="15">
        <v>0</v>
      </c>
      <c r="AH173" s="17">
        <f t="shared" si="109"/>
        <v>0</v>
      </c>
      <c r="AI173" s="15">
        <v>13</v>
      </c>
      <c r="AJ173" s="17">
        <f t="shared" si="110"/>
        <v>0.48148148148148145</v>
      </c>
      <c r="AK173" s="15">
        <v>11</v>
      </c>
      <c r="AL173" s="17">
        <f t="shared" si="111"/>
        <v>0.40740740740740738</v>
      </c>
      <c r="AM173" s="15">
        <v>1</v>
      </c>
      <c r="AN173" s="17">
        <f t="shared" si="112"/>
        <v>3.7037037037037035E-2</v>
      </c>
      <c r="AO173" s="15">
        <v>0</v>
      </c>
      <c r="AP173" s="17">
        <f t="shared" si="120"/>
        <v>0</v>
      </c>
      <c r="AQ173" s="4">
        <v>12</v>
      </c>
      <c r="AR173" s="17">
        <f t="shared" si="113"/>
        <v>0.44444444444444442</v>
      </c>
      <c r="AS173" s="15">
        <v>13</v>
      </c>
      <c r="AT173" s="17">
        <f t="shared" si="114"/>
        <v>0.48148148148148145</v>
      </c>
      <c r="AU173" s="19">
        <v>-7.1142064120660597E-4</v>
      </c>
      <c r="AV173" s="19">
        <v>-2.316387924156633E-4</v>
      </c>
      <c r="AW173" s="19">
        <v>-6.410331476488873E-2</v>
      </c>
      <c r="AX173" s="19">
        <v>6.3391894123682124E-2</v>
      </c>
      <c r="AY173" s="19">
        <v>96.536285355400608</v>
      </c>
      <c r="AZ173" s="19">
        <v>115.4033808188957</v>
      </c>
      <c r="BA173" s="19">
        <v>2.2551907891650398</v>
      </c>
      <c r="BB173" s="19">
        <v>1.2962962962962961</v>
      </c>
      <c r="BC173" s="19">
        <v>11.396011396011399</v>
      </c>
      <c r="BD173" s="65">
        <f t="shared" si="115"/>
        <v>63.356164383561641</v>
      </c>
      <c r="BE173" s="65">
        <f t="shared" si="116"/>
        <v>61.111111111111114</v>
      </c>
      <c r="BF173" s="66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7.7309436461119265</v>
      </c>
      <c r="BG173" s="38">
        <f t="shared" si="117"/>
        <v>0.62962962962962965</v>
      </c>
      <c r="BH173" s="38">
        <f t="shared" si="118"/>
        <v>0.18518518518518517</v>
      </c>
      <c r="BI173" s="67">
        <f>IFERROR(((AG173*(12000/5))/((F173*60+G173)*(SUMIFS(팀공격력!X:X,팀공격력!A:A,B173,팀공격력!B:B,D173)+SUMIFS(팀수비력!X:X,팀수비력!A:A,B173,팀수비력!B:B,D173))))*100,"")</f>
        <v>0</v>
      </c>
      <c r="BJ173" s="67">
        <f>IFERROR(((AI173*(12000/5))/((F173*60+G173)*(SUMIFS(팀공격력!V:V,팀공격력!A:A,B173,팀공격력!B:B,D173)+SUMIFS(팀수비력!W:W,팀수비력!A:A,B173,팀수비력!B:B,D173))))*100,"")</f>
        <v>6.3882456280443982</v>
      </c>
      <c r="BK173" s="67">
        <f>IFERROR(((AE173*(12000/5))/((F173*60+G173)*(SUMIFS(팀공격력!X:X,팀공격력!A:A,B173,팀공격력!B:B,D173)+SUMIFS(팀수비력!X:X,팀수비력!A:A,B173,팀수비력!B:B,D173))))*100,"")</f>
        <v>2.7867767443480682</v>
      </c>
      <c r="BL173" s="67">
        <f>IFERROR(100*AK173/(((((F173*60+G173)/(12000/5))*SUMIFS(팀공격력!P:P,팀공격력!A:A,B173,팀공격력!B:B,D173))-K173)),"")</f>
        <v>5.5971810560862982</v>
      </c>
      <c r="BM173" s="67">
        <f>IFERROR(100*((AM173/E173*(2400))/((F173*60+G173)*SUMIFS(팀공격력!AR:AR,팀공격력!A:A,B173,팀공격력!B:B,D173))),"")</f>
        <v>0.4362308088981014</v>
      </c>
      <c r="BN173" s="67">
        <f>IFERROR((AO173*40)/(((F173*60+G173)/60)*(SUMIFS(팀수비력!Q:Q,팀수비력!A:A,B173,팀수비력!B:B,D173)-SUMIFS(팀수비력!N:N,팀수비력!A:A,B173,팀수비력!B:B,D173)))*100,"")</f>
        <v>0</v>
      </c>
      <c r="BO173" s="67">
        <f t="shared" si="119"/>
        <v>29.126213592233007</v>
      </c>
      <c r="BP173" s="19"/>
      <c r="BQ173" s="19"/>
      <c r="BR173" s="19"/>
      <c r="BS173" s="19"/>
      <c r="BT173" s="20" t="s">
        <v>89</v>
      </c>
      <c r="BU173" s="21">
        <v>45000</v>
      </c>
      <c r="BV173" s="30" t="s">
        <v>90</v>
      </c>
      <c r="BW173" s="30">
        <v>69.38</v>
      </c>
      <c r="BX173" s="30">
        <v>101.18</v>
      </c>
      <c r="BY173" s="30">
        <v>31.8</v>
      </c>
      <c r="BZ173" s="35">
        <f t="shared" si="127"/>
        <v>2.5696296296296302</v>
      </c>
      <c r="CA173" s="35">
        <f t="shared" si="128"/>
        <v>3.7474074074074077</v>
      </c>
      <c r="CB173" s="35">
        <f t="shared" si="129"/>
        <v>1.1777777777777778</v>
      </c>
      <c r="CC173" s="36">
        <f t="shared" si="130"/>
        <v>22.590150590150593</v>
      </c>
      <c r="CD173" s="36">
        <f t="shared" si="131"/>
        <v>32.944240944240946</v>
      </c>
      <c r="CE173" s="36">
        <f t="shared" si="132"/>
        <v>10.354090354090355</v>
      </c>
      <c r="CF173" s="31">
        <v>22</v>
      </c>
      <c r="CG173" s="31">
        <v>5</v>
      </c>
    </row>
    <row r="174" spans="1:85" x14ac:dyDescent="0.4">
      <c r="A174" s="11" t="s">
        <v>85</v>
      </c>
      <c r="B174" s="11" t="s">
        <v>263</v>
      </c>
      <c r="C174" s="11" t="s">
        <v>269</v>
      </c>
      <c r="D174" s="46" t="s">
        <v>88</v>
      </c>
      <c r="E174" s="15">
        <v>2</v>
      </c>
      <c r="F174" s="15">
        <v>6</v>
      </c>
      <c r="G174" s="15">
        <v>58</v>
      </c>
      <c r="H174" s="16">
        <f t="shared" si="94"/>
        <v>836</v>
      </c>
      <c r="I174" s="16">
        <v>6</v>
      </c>
      <c r="J174" s="17">
        <f t="shared" si="95"/>
        <v>3</v>
      </c>
      <c r="K174" s="15">
        <v>2</v>
      </c>
      <c r="L174" s="15">
        <v>5</v>
      </c>
      <c r="M174" s="17">
        <f t="shared" si="96"/>
        <v>1</v>
      </c>
      <c r="N174" s="17">
        <f t="shared" si="97"/>
        <v>2.5</v>
      </c>
      <c r="O174" s="18">
        <f t="shared" si="98"/>
        <v>0.4</v>
      </c>
      <c r="P174" s="16">
        <v>0</v>
      </c>
      <c r="Q174" s="15">
        <v>1</v>
      </c>
      <c r="R174" s="17">
        <f t="shared" si="99"/>
        <v>0</v>
      </c>
      <c r="S174" s="17">
        <f t="shared" si="100"/>
        <v>0.5</v>
      </c>
      <c r="T174" s="18">
        <f t="shared" si="101"/>
        <v>0</v>
      </c>
      <c r="U174" s="15">
        <v>2</v>
      </c>
      <c r="V174" s="15">
        <v>4</v>
      </c>
      <c r="W174" s="17">
        <f t="shared" si="102"/>
        <v>1</v>
      </c>
      <c r="X174" s="17">
        <f t="shared" si="103"/>
        <v>2</v>
      </c>
      <c r="Y174" s="18">
        <f t="shared" si="104"/>
        <v>0.5</v>
      </c>
      <c r="Z174" s="15">
        <v>0</v>
      </c>
      <c r="AA174" s="15">
        <v>0</v>
      </c>
      <c r="AB174" s="17">
        <f t="shared" si="105"/>
        <v>0</v>
      </c>
      <c r="AC174" s="17">
        <f t="shared" si="106"/>
        <v>0</v>
      </c>
      <c r="AD174" s="18" t="e">
        <f t="shared" si="107"/>
        <v>#DIV/0!</v>
      </c>
      <c r="AE174" s="15">
        <v>1</v>
      </c>
      <c r="AF174" s="17">
        <f t="shared" si="108"/>
        <v>0.5</v>
      </c>
      <c r="AG174" s="15">
        <v>1</v>
      </c>
      <c r="AH174" s="17">
        <f t="shared" si="109"/>
        <v>0.5</v>
      </c>
      <c r="AI174" s="15">
        <v>0</v>
      </c>
      <c r="AJ174" s="17">
        <f t="shared" si="110"/>
        <v>0</v>
      </c>
      <c r="AK174" s="15">
        <v>0</v>
      </c>
      <c r="AL174" s="17">
        <f t="shared" si="111"/>
        <v>0</v>
      </c>
      <c r="AM174" s="15">
        <v>1</v>
      </c>
      <c r="AN174" s="17">
        <f t="shared" si="112"/>
        <v>0.5</v>
      </c>
      <c r="AO174" s="15">
        <v>0</v>
      </c>
      <c r="AP174" s="17">
        <f t="shared" si="120"/>
        <v>0</v>
      </c>
      <c r="AQ174" s="32">
        <v>2</v>
      </c>
      <c r="AR174" s="17">
        <f t="shared" si="113"/>
        <v>1</v>
      </c>
      <c r="AS174" s="15">
        <v>4</v>
      </c>
      <c r="AT174" s="17">
        <f t="shared" si="114"/>
        <v>2</v>
      </c>
      <c r="AU174" s="19">
        <v>-1.9912163319373979E-2</v>
      </c>
      <c r="AV174" s="19">
        <v>-5.7164105223083191E-2</v>
      </c>
      <c r="AW174" s="19">
        <v>-3.3139029774399337E-2</v>
      </c>
      <c r="AX174" s="19">
        <v>1.322686645502536E-2</v>
      </c>
      <c r="AY174" s="19">
        <v>84.749224104869853</v>
      </c>
      <c r="AZ174" s="19">
        <v>111.8771784280556</v>
      </c>
      <c r="BA174" s="19">
        <v>3.4347520352107697E-2</v>
      </c>
      <c r="BB174" s="19">
        <v>1.5</v>
      </c>
      <c r="BC174" s="19">
        <v>8.6124401913875595</v>
      </c>
      <c r="BD174" s="65">
        <f t="shared" si="115"/>
        <v>60</v>
      </c>
      <c r="BE174" s="65">
        <f t="shared" si="116"/>
        <v>60</v>
      </c>
      <c r="BF174" s="66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0.85786647626932988</v>
      </c>
      <c r="BG174" s="38">
        <f t="shared" si="117"/>
        <v>0.8</v>
      </c>
      <c r="BH174" s="38">
        <f t="shared" si="118"/>
        <v>0</v>
      </c>
      <c r="BI174" s="67">
        <f>IFERROR(((AG174*(12000/5))/((F174*60+G174)*(SUMIFS(팀공격력!X:X,팀공격력!A:A,B174,팀공격력!B:B,D174)+SUMIFS(팀수비력!X:X,팀수비력!A:A,B174,팀수비력!B:B,D174))))*100,"")</f>
        <v>0.14000553021844361</v>
      </c>
      <c r="BJ174" s="67">
        <f>IFERROR(((AI174*(12000/5))/((F174*60+G174)*(SUMIFS(팀공격력!V:V,팀공격력!A:A,B174,팀공격력!B:B,D174)+SUMIFS(팀수비력!W:W,팀수비력!A:A,B174,팀수비력!B:B,D174))))*100,"")</f>
        <v>0</v>
      </c>
      <c r="BK174" s="67">
        <f>IFERROR(((AE174*(12000/5))/((F174*60+G174)*(SUMIFS(팀공격력!X:X,팀공격력!A:A,B174,팀공격력!B:B,D174)+SUMIFS(팀수비력!X:X,팀수비력!A:A,B174,팀수비력!B:B,D174))))*100,"")</f>
        <v>0.14000553021844361</v>
      </c>
      <c r="BL174" s="67">
        <f>IFERROR(100*AK174/(((((F174*60+G174)/(12000/5))*SUMIFS(팀공격력!P:P,팀공격력!A:A,B174,팀공격력!B:B,D174))-K174)),"")</f>
        <v>0</v>
      </c>
      <c r="BM174" s="67">
        <f>IFERROR(100*((AM174/E174*(2400))/((F174*60+G174)*SUMIFS(팀공격력!AR:AR,팀공격력!A:A,B174,팀공격력!B:B,D174))),"")</f>
        <v>3.846240780368309</v>
      </c>
      <c r="BN174" s="67">
        <f>IFERROR((AO174*40)/(((F174*60+G174)/60)*(SUMIFS(팀수비력!Q:Q,팀수비력!A:A,B174,팀수비력!B:B,D174)-SUMIFS(팀수비력!N:N,팀수비력!A:A,B174,팀수비력!B:B,D174)))*100,"")</f>
        <v>0</v>
      </c>
      <c r="BO174" s="67">
        <f t="shared" si="119"/>
        <v>28.571428571428573</v>
      </c>
      <c r="BP174" s="19"/>
      <c r="BQ174" s="19"/>
      <c r="BR174" s="19"/>
      <c r="BS174" s="19"/>
      <c r="BT174" s="20" t="s">
        <v>89</v>
      </c>
      <c r="BU174" s="21">
        <v>45000</v>
      </c>
      <c r="BV174" s="30" t="s">
        <v>93</v>
      </c>
      <c r="BW174" s="30">
        <v>6.18</v>
      </c>
      <c r="BX174" s="30">
        <v>11.98</v>
      </c>
      <c r="BY174" s="30">
        <v>5.8</v>
      </c>
      <c r="BZ174" s="35">
        <f t="shared" si="127"/>
        <v>3.0900000000000003</v>
      </c>
      <c r="CA174" s="35">
        <f t="shared" si="128"/>
        <v>5.99</v>
      </c>
      <c r="CB174" s="35">
        <f t="shared" si="129"/>
        <v>2.9</v>
      </c>
      <c r="CC174" s="36">
        <f t="shared" si="130"/>
        <v>17.741626794258369</v>
      </c>
      <c r="CD174" s="36">
        <f t="shared" si="131"/>
        <v>34.392344497607652</v>
      </c>
      <c r="CE174" s="36">
        <f t="shared" si="132"/>
        <v>16.650717703349283</v>
      </c>
      <c r="CF174" s="31">
        <v>1</v>
      </c>
      <c r="CG174" s="31">
        <v>1</v>
      </c>
    </row>
    <row r="175" spans="1:85" x14ac:dyDescent="0.4">
      <c r="A175" s="11" t="s">
        <v>85</v>
      </c>
      <c r="B175" s="11" t="s">
        <v>263</v>
      </c>
      <c r="C175" s="11" t="s">
        <v>270</v>
      </c>
      <c r="D175" s="46" t="s">
        <v>88</v>
      </c>
      <c r="E175" s="15">
        <v>9</v>
      </c>
      <c r="F175" s="15">
        <v>6</v>
      </c>
      <c r="G175" s="15">
        <v>12</v>
      </c>
      <c r="H175" s="16">
        <f t="shared" si="94"/>
        <v>3348</v>
      </c>
      <c r="I175" s="16">
        <v>16</v>
      </c>
      <c r="J175" s="17">
        <f t="shared" si="95"/>
        <v>1.7777777777777777</v>
      </c>
      <c r="K175" s="15">
        <v>6</v>
      </c>
      <c r="L175" s="15">
        <v>15</v>
      </c>
      <c r="M175" s="17">
        <f t="shared" si="96"/>
        <v>0.66666666666666663</v>
      </c>
      <c r="N175" s="17">
        <f t="shared" si="97"/>
        <v>1.6666666666666667</v>
      </c>
      <c r="O175" s="18">
        <f t="shared" si="98"/>
        <v>0.4</v>
      </c>
      <c r="P175" s="16">
        <v>3</v>
      </c>
      <c r="Q175" s="15">
        <v>5</v>
      </c>
      <c r="R175" s="17">
        <f t="shared" si="99"/>
        <v>0.33333333333333331</v>
      </c>
      <c r="S175" s="17">
        <f t="shared" si="100"/>
        <v>0.55555555555555558</v>
      </c>
      <c r="T175" s="18">
        <f t="shared" si="101"/>
        <v>0.6</v>
      </c>
      <c r="U175" s="15">
        <v>3</v>
      </c>
      <c r="V175" s="15">
        <v>10</v>
      </c>
      <c r="W175" s="17">
        <f t="shared" si="102"/>
        <v>0.33333333333333331</v>
      </c>
      <c r="X175" s="17">
        <f t="shared" si="103"/>
        <v>1.1111111111111112</v>
      </c>
      <c r="Y175" s="18">
        <f t="shared" si="104"/>
        <v>0.3</v>
      </c>
      <c r="Z175" s="15">
        <v>1</v>
      </c>
      <c r="AA175" s="15">
        <v>2</v>
      </c>
      <c r="AB175" s="17">
        <f t="shared" si="105"/>
        <v>0.1111111111111111</v>
      </c>
      <c r="AC175" s="17">
        <f t="shared" si="106"/>
        <v>0.22222222222222221</v>
      </c>
      <c r="AD175" s="18">
        <f t="shared" si="107"/>
        <v>0.5</v>
      </c>
      <c r="AE175" s="15">
        <v>15</v>
      </c>
      <c r="AF175" s="17">
        <f t="shared" si="108"/>
        <v>1.6666666666666667</v>
      </c>
      <c r="AG175" s="15">
        <v>4</v>
      </c>
      <c r="AH175" s="17">
        <f t="shared" si="109"/>
        <v>0.44444444444444442</v>
      </c>
      <c r="AI175" s="15">
        <v>11</v>
      </c>
      <c r="AJ175" s="17">
        <f t="shared" si="110"/>
        <v>1.2222222222222223</v>
      </c>
      <c r="AK175" s="15">
        <v>0</v>
      </c>
      <c r="AL175" s="17">
        <f t="shared" si="111"/>
        <v>0</v>
      </c>
      <c r="AM175" s="15">
        <v>2</v>
      </c>
      <c r="AN175" s="17">
        <f t="shared" si="112"/>
        <v>0.22222222222222221</v>
      </c>
      <c r="AO175" s="15">
        <v>0</v>
      </c>
      <c r="AP175" s="17">
        <f t="shared" si="120"/>
        <v>0</v>
      </c>
      <c r="AQ175" s="4">
        <v>0</v>
      </c>
      <c r="AR175" s="17">
        <f t="shared" si="113"/>
        <v>0</v>
      </c>
      <c r="AS175" s="15">
        <v>7</v>
      </c>
      <c r="AT175" s="17">
        <f t="shared" si="114"/>
        <v>0.77777777777777779</v>
      </c>
      <c r="AU175" s="19">
        <v>0.1391880329296698</v>
      </c>
      <c r="AV175" s="19">
        <v>9.9776367691519569E-2</v>
      </c>
      <c r="AW175" s="19">
        <v>5.9928179754210047E-2</v>
      </c>
      <c r="AX175" s="19">
        <v>7.9259853175459749E-2</v>
      </c>
      <c r="AY175" s="19">
        <v>115.9428064249684</v>
      </c>
      <c r="AZ175" s="19">
        <v>108.0429850583225</v>
      </c>
      <c r="BA175" s="19">
        <v>1.56577524042784</v>
      </c>
      <c r="BB175" s="19">
        <v>2.5555555555555549</v>
      </c>
      <c r="BC175" s="19">
        <v>16.487455197132618</v>
      </c>
      <c r="BD175" s="65">
        <f t="shared" si="115"/>
        <v>50.377833753148614</v>
      </c>
      <c r="BE175" s="65">
        <f t="shared" si="116"/>
        <v>50</v>
      </c>
      <c r="BF175" s="66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2.186782031812446</v>
      </c>
      <c r="BG175" s="38">
        <f t="shared" si="117"/>
        <v>0.66666666666666663</v>
      </c>
      <c r="BH175" s="38">
        <f t="shared" si="118"/>
        <v>0.13333333333333333</v>
      </c>
      <c r="BI175" s="67">
        <f>IFERROR(((AG175*(12000/5))/((F175*60+G175)*(SUMIFS(팀공격력!X:X,팀공격력!A:A,B175,팀공격력!B:B,D175)+SUMIFS(팀수비력!X:X,팀수비력!A:A,B175,팀수비력!B:B,D175))))*100,"")</f>
        <v>0.62927216807859609</v>
      </c>
      <c r="BJ175" s="67">
        <f>IFERROR(((AI175*(12000/5))/((F175*60+G175)*(SUMIFS(팀공격력!V:V,팀공격력!A:A,B175,팀공격력!B:B,D175)+SUMIFS(팀수비력!W:W,팀수비력!A:A,B175,팀수비력!B:B,D175))))*100,"")</f>
        <v>3.9668944625759566</v>
      </c>
      <c r="BK175" s="67">
        <f>IFERROR(((AE175*(12000/5))/((F175*60+G175)*(SUMIFS(팀공격력!X:X,팀공격력!A:A,B175,팀공격력!B:B,D175)+SUMIFS(팀수비력!X:X,팀수비력!A:A,B175,팀수비력!B:B,D175))))*100,"")</f>
        <v>2.3597706302947352</v>
      </c>
      <c r="BL175" s="67">
        <f>IFERROR(100*AK175/(((((F175*60+G175)/(12000/5))*SUMIFS(팀공격력!P:P,팀공격력!A:A,B175,팀공격력!B:B,D175))-K175)),"")</f>
        <v>0</v>
      </c>
      <c r="BM175" s="67">
        <f>IFERROR(100*((AM175/E175*(2400))/((F175*60+G175)*SUMIFS(팀공격력!AR:AR,팀공격력!A:A,B175,팀공격력!B:B,D175))),"")</f>
        <v>1.9208227553093822</v>
      </c>
      <c r="BN175" s="67">
        <f>IFERROR((AO175*40)/(((F175*60+G175)/60)*(SUMIFS(팀수비력!Q:Q,팀수비력!A:A,B175,팀수비력!B:B,D175)-SUMIFS(팀수비력!N:N,팀수비력!A:A,B175,팀수비력!B:B,D175)))*100,"")</f>
        <v>0</v>
      </c>
      <c r="BO175" s="67">
        <f t="shared" si="119"/>
        <v>0</v>
      </c>
      <c r="BP175" s="19"/>
      <c r="BQ175" s="19"/>
      <c r="BR175" s="19"/>
      <c r="BS175" s="19"/>
      <c r="BT175" s="20" t="s">
        <v>89</v>
      </c>
      <c r="BU175" s="21">
        <v>45000</v>
      </c>
      <c r="BV175" s="31" t="s">
        <v>93</v>
      </c>
      <c r="BW175" s="31">
        <v>41.33</v>
      </c>
      <c r="BX175" s="31">
        <v>50.43</v>
      </c>
      <c r="BY175" s="31">
        <v>9.1</v>
      </c>
      <c r="BZ175" s="35">
        <f t="shared" si="127"/>
        <v>4.5922222222222224</v>
      </c>
      <c r="CA175" s="35">
        <f t="shared" si="128"/>
        <v>5.6033333333333335</v>
      </c>
      <c r="CB175" s="35">
        <f t="shared" si="129"/>
        <v>1.0111111111111111</v>
      </c>
      <c r="CC175" s="36">
        <f t="shared" si="130"/>
        <v>29.627240143369175</v>
      </c>
      <c r="CD175" s="36">
        <f t="shared" si="131"/>
        <v>36.1505376344086</v>
      </c>
      <c r="CE175" s="36">
        <f t="shared" si="132"/>
        <v>6.5232974910394264</v>
      </c>
      <c r="CF175" s="30">
        <v>7</v>
      </c>
      <c r="CG175" s="30">
        <v>2</v>
      </c>
    </row>
    <row r="176" spans="1:85" x14ac:dyDescent="0.4">
      <c r="A176" s="11" t="s">
        <v>85</v>
      </c>
      <c r="B176" s="11" t="s">
        <v>263</v>
      </c>
      <c r="C176" s="11" t="s">
        <v>271</v>
      </c>
      <c r="D176" s="46" t="s">
        <v>88</v>
      </c>
      <c r="E176" s="15">
        <v>11</v>
      </c>
      <c r="F176" s="15">
        <v>16</v>
      </c>
      <c r="G176" s="15">
        <v>10</v>
      </c>
      <c r="H176" s="16">
        <f t="shared" si="94"/>
        <v>10670</v>
      </c>
      <c r="I176" s="16">
        <v>68</v>
      </c>
      <c r="J176" s="17">
        <f t="shared" si="95"/>
        <v>6.1818181818181817</v>
      </c>
      <c r="K176" s="15">
        <v>20</v>
      </c>
      <c r="L176" s="15">
        <v>58</v>
      </c>
      <c r="M176" s="17">
        <f t="shared" si="96"/>
        <v>1.8181818181818181</v>
      </c>
      <c r="N176" s="17">
        <f t="shared" si="97"/>
        <v>5.2727272727272725</v>
      </c>
      <c r="O176" s="18">
        <f t="shared" si="98"/>
        <v>0.34482758620689657</v>
      </c>
      <c r="P176" s="16">
        <v>8</v>
      </c>
      <c r="Q176" s="15">
        <v>17</v>
      </c>
      <c r="R176" s="17">
        <f t="shared" si="99"/>
        <v>0.72727272727272729</v>
      </c>
      <c r="S176" s="17">
        <f t="shared" si="100"/>
        <v>1.5454545454545454</v>
      </c>
      <c r="T176" s="18">
        <f t="shared" si="101"/>
        <v>0.47058823529411764</v>
      </c>
      <c r="U176" s="15">
        <v>12</v>
      </c>
      <c r="V176" s="15">
        <v>41</v>
      </c>
      <c r="W176" s="17">
        <f t="shared" si="102"/>
        <v>1.0909090909090908</v>
      </c>
      <c r="X176" s="17">
        <f t="shared" si="103"/>
        <v>3.7272727272727271</v>
      </c>
      <c r="Y176" s="18">
        <f t="shared" si="104"/>
        <v>0.29268292682926828</v>
      </c>
      <c r="Z176" s="15">
        <v>16</v>
      </c>
      <c r="AA176" s="15">
        <v>21</v>
      </c>
      <c r="AB176" s="17">
        <f t="shared" si="105"/>
        <v>1.4545454545454546</v>
      </c>
      <c r="AC176" s="17">
        <f t="shared" si="106"/>
        <v>1.9090909090909092</v>
      </c>
      <c r="AD176" s="18">
        <f t="shared" si="107"/>
        <v>0.76190476190476186</v>
      </c>
      <c r="AE176" s="15">
        <v>19</v>
      </c>
      <c r="AF176" s="17">
        <f t="shared" si="108"/>
        <v>1.7272727272727273</v>
      </c>
      <c r="AG176" s="15">
        <v>3</v>
      </c>
      <c r="AH176" s="17">
        <f t="shared" si="109"/>
        <v>0.27272727272727271</v>
      </c>
      <c r="AI176" s="15">
        <v>16</v>
      </c>
      <c r="AJ176" s="17">
        <f t="shared" si="110"/>
        <v>1.4545454545454546</v>
      </c>
      <c r="AK176" s="15">
        <v>18</v>
      </c>
      <c r="AL176" s="17">
        <f t="shared" si="111"/>
        <v>1.6363636363636365</v>
      </c>
      <c r="AM176" s="15">
        <v>10</v>
      </c>
      <c r="AN176" s="17">
        <f t="shared" si="112"/>
        <v>0.90909090909090906</v>
      </c>
      <c r="AO176" s="15">
        <v>0</v>
      </c>
      <c r="AP176" s="17">
        <f t="shared" si="120"/>
        <v>0</v>
      </c>
      <c r="AQ176" s="4">
        <v>10</v>
      </c>
      <c r="AR176" s="17">
        <f t="shared" si="113"/>
        <v>0.90909090909090906</v>
      </c>
      <c r="AS176" s="15">
        <v>19</v>
      </c>
      <c r="AT176" s="17">
        <f t="shared" si="114"/>
        <v>1.7272727272727273</v>
      </c>
      <c r="AU176" s="19">
        <v>0.25500099045233432</v>
      </c>
      <c r="AV176" s="19">
        <v>5.7357298695932743E-2</v>
      </c>
      <c r="AW176" s="19">
        <v>5.2523453187681243E-2</v>
      </c>
      <c r="AX176" s="19">
        <v>0.20247753726465309</v>
      </c>
      <c r="AY176" s="19">
        <v>104.29134346948091</v>
      </c>
      <c r="AZ176" s="19">
        <v>110.3367351693291</v>
      </c>
      <c r="BA176" s="19">
        <v>1.7929027862984379</v>
      </c>
      <c r="BB176" s="19">
        <v>5.6363636363636367</v>
      </c>
      <c r="BC176" s="19">
        <v>13.9456419868791</v>
      </c>
      <c r="BD176" s="65">
        <f t="shared" si="115"/>
        <v>50.565139797739448</v>
      </c>
      <c r="BE176" s="65">
        <f t="shared" si="116"/>
        <v>44.827586206896555</v>
      </c>
      <c r="BF176" s="66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4.0791386701184082</v>
      </c>
      <c r="BG176" s="38">
        <f t="shared" si="117"/>
        <v>0.7068965517241379</v>
      </c>
      <c r="BH176" s="38">
        <f t="shared" si="118"/>
        <v>0.36206896551724138</v>
      </c>
      <c r="BI176" s="67">
        <f>IFERROR(((AG176*(12000/5))/((F176*60+G176)*(SUMIFS(팀공격력!X:X,팀공격력!A:A,B176,팀공격력!B:B,D176)+SUMIFS(팀수비력!X:X,팀수비력!A:A,B176,팀수비력!B:B,D176))))*100,"")</f>
        <v>0.18099684009683331</v>
      </c>
      <c r="BJ176" s="67">
        <f>IFERROR(((AI176*(12000/5))/((F176*60+G176)*(SUMIFS(팀공격력!V:V,팀공격력!A:A,B176,팀공격력!B:B,D176)+SUMIFS(팀수비력!W:W,팀수비력!A:A,B176,팀수비력!B:B,D176))))*100,"")</f>
        <v>2.2128355989926987</v>
      </c>
      <c r="BK176" s="67">
        <f>IFERROR(((AE176*(12000/5))/((F176*60+G176)*(SUMIFS(팀공격력!X:X,팀공격력!A:A,B176,팀공격력!B:B,D176)+SUMIFS(팀수비력!X:X,팀수비력!A:A,B176,팀수비력!B:B,D176))))*100,"")</f>
        <v>1.1463133206132776</v>
      </c>
      <c r="BL176" s="67">
        <f>IFERROR(100*AK176/(((((F176*60+G176)/(12000/5))*SUMIFS(팀공격력!P:P,팀공격력!A:A,B176,팀공격력!B:B,D176))-K176)),"")</f>
        <v>2.4845577832223333</v>
      </c>
      <c r="BM176" s="67">
        <f>IFERROR(100*((AM176/E176*(2400))/((F176*60+G176)*SUMIFS(팀공격력!AR:AR,팀공격력!A:A,B176,팀공격력!B:B,D176))),"")</f>
        <v>3.0135494774019733</v>
      </c>
      <c r="BN176" s="67">
        <f>IFERROR((AO176*40)/(((F176*60+G176)/60)*(SUMIFS(팀수비력!Q:Q,팀수비력!A:A,B176,팀수비력!B:B,D176)-SUMIFS(팀수비력!N:N,팀수비력!A:A,B176,팀수비력!B:B,D176)))*100,"")</f>
        <v>0</v>
      </c>
      <c r="BO176" s="67">
        <f t="shared" si="119"/>
        <v>12.946659761781461</v>
      </c>
      <c r="BP176" s="19"/>
      <c r="BQ176" s="19"/>
      <c r="BR176" s="19"/>
      <c r="BS176" s="19"/>
      <c r="BT176" s="20" t="s">
        <v>89</v>
      </c>
      <c r="BU176" s="21">
        <v>65000</v>
      </c>
      <c r="BV176" s="30" t="s">
        <v>90</v>
      </c>
      <c r="BW176" s="30">
        <v>115.86</v>
      </c>
      <c r="BX176" s="30">
        <v>169.96</v>
      </c>
      <c r="BY176" s="30">
        <v>54.1</v>
      </c>
      <c r="BZ176" s="35">
        <f t="shared" si="127"/>
        <v>10.532727272727273</v>
      </c>
      <c r="CA176" s="35">
        <f t="shared" si="128"/>
        <v>15.450909090909091</v>
      </c>
      <c r="CB176" s="35">
        <f t="shared" si="129"/>
        <v>4.918181818181818</v>
      </c>
      <c r="CC176" s="36">
        <f t="shared" si="130"/>
        <v>26.060356138706652</v>
      </c>
      <c r="CD176" s="36">
        <f t="shared" si="131"/>
        <v>38.229053420805997</v>
      </c>
      <c r="CE176" s="36">
        <f t="shared" si="132"/>
        <v>12.168697282099345</v>
      </c>
      <c r="CF176" s="30">
        <v>8</v>
      </c>
      <c r="CG176" s="30">
        <v>3</v>
      </c>
    </row>
    <row r="177" spans="1:85" x14ac:dyDescent="0.4">
      <c r="A177" s="11" t="s">
        <v>85</v>
      </c>
      <c r="B177" s="11" t="s">
        <v>263</v>
      </c>
      <c r="C177" s="11" t="s">
        <v>272</v>
      </c>
      <c r="D177" s="46" t="s">
        <v>88</v>
      </c>
      <c r="E177" s="15">
        <v>53</v>
      </c>
      <c r="F177" s="15">
        <v>30</v>
      </c>
      <c r="G177" s="15">
        <v>41</v>
      </c>
      <c r="H177" s="16">
        <f t="shared" si="94"/>
        <v>97573</v>
      </c>
      <c r="I177" s="16">
        <v>1157</v>
      </c>
      <c r="J177" s="17">
        <f t="shared" si="95"/>
        <v>21.830188679245282</v>
      </c>
      <c r="K177" s="15">
        <v>418</v>
      </c>
      <c r="L177" s="15">
        <v>894</v>
      </c>
      <c r="M177" s="17">
        <f t="shared" si="96"/>
        <v>7.8867924528301883</v>
      </c>
      <c r="N177" s="17">
        <f t="shared" si="97"/>
        <v>16.867924528301888</v>
      </c>
      <c r="O177" s="18">
        <f t="shared" si="98"/>
        <v>0.46756152125279643</v>
      </c>
      <c r="P177" s="16">
        <v>285</v>
      </c>
      <c r="Q177" s="15">
        <v>516</v>
      </c>
      <c r="R177" s="17">
        <f t="shared" si="99"/>
        <v>5.3773584905660377</v>
      </c>
      <c r="S177" s="17">
        <f t="shared" si="100"/>
        <v>9.7358490566037741</v>
      </c>
      <c r="T177" s="18">
        <f t="shared" si="101"/>
        <v>0.55232558139534882</v>
      </c>
      <c r="U177" s="15">
        <v>133</v>
      </c>
      <c r="V177" s="15">
        <v>378</v>
      </c>
      <c r="W177" s="17">
        <f t="shared" si="102"/>
        <v>2.5094339622641511</v>
      </c>
      <c r="X177" s="17">
        <f t="shared" si="103"/>
        <v>7.132075471698113</v>
      </c>
      <c r="Y177" s="18">
        <f t="shared" si="104"/>
        <v>0.35185185185185186</v>
      </c>
      <c r="Z177" s="15">
        <v>188</v>
      </c>
      <c r="AA177" s="15">
        <v>249</v>
      </c>
      <c r="AB177" s="17">
        <f t="shared" si="105"/>
        <v>3.5471698113207548</v>
      </c>
      <c r="AC177" s="17">
        <f t="shared" si="106"/>
        <v>4.6981132075471699</v>
      </c>
      <c r="AD177" s="18">
        <f t="shared" si="107"/>
        <v>0.75502008032128509</v>
      </c>
      <c r="AE177" s="15">
        <v>520</v>
      </c>
      <c r="AF177" s="17">
        <f t="shared" si="108"/>
        <v>9.8113207547169807</v>
      </c>
      <c r="AG177" s="15">
        <v>102</v>
      </c>
      <c r="AH177" s="17">
        <f t="shared" si="109"/>
        <v>1.9245283018867925</v>
      </c>
      <c r="AI177" s="15">
        <v>418</v>
      </c>
      <c r="AJ177" s="17">
        <f t="shared" si="110"/>
        <v>7.8867924528301883</v>
      </c>
      <c r="AK177" s="15">
        <v>238</v>
      </c>
      <c r="AL177" s="17">
        <f t="shared" si="111"/>
        <v>4.4905660377358494</v>
      </c>
      <c r="AM177" s="15">
        <v>65</v>
      </c>
      <c r="AN177" s="17">
        <f t="shared" si="112"/>
        <v>1.2264150943396226</v>
      </c>
      <c r="AO177" s="15">
        <v>53</v>
      </c>
      <c r="AP177" s="17">
        <f t="shared" si="120"/>
        <v>1</v>
      </c>
      <c r="AQ177" s="4">
        <v>109</v>
      </c>
      <c r="AR177" s="17">
        <f t="shared" si="113"/>
        <v>2.0566037735849059</v>
      </c>
      <c r="AS177" s="15">
        <v>104</v>
      </c>
      <c r="AT177" s="17">
        <f t="shared" si="114"/>
        <v>1.9622641509433962</v>
      </c>
      <c r="AU177" s="19">
        <v>8.58109424850627</v>
      </c>
      <c r="AV177" s="19">
        <v>0.21106890427080291</v>
      </c>
      <c r="AW177" s="19">
        <v>5.3667350076803073</v>
      </c>
      <c r="AX177" s="19">
        <v>3.2143592408259631</v>
      </c>
      <c r="AY177" s="19">
        <v>118.9025779988331</v>
      </c>
      <c r="AZ177" s="19">
        <v>103.516802104262</v>
      </c>
      <c r="BA177" s="19">
        <v>24.70538326128246</v>
      </c>
      <c r="BB177" s="19">
        <v>26.169811320754722</v>
      </c>
      <c r="BC177" s="19">
        <v>34.115995203591147</v>
      </c>
      <c r="BD177" s="65">
        <f t="shared" si="115"/>
        <v>57.644784566941688</v>
      </c>
      <c r="BE177" s="65">
        <f t="shared" si="116"/>
        <v>54.194630872483216</v>
      </c>
      <c r="BF177" s="66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30.957621899462243</v>
      </c>
      <c r="BG177" s="38">
        <f t="shared" si="117"/>
        <v>0.42281879194630873</v>
      </c>
      <c r="BH177" s="38">
        <f t="shared" si="118"/>
        <v>0.27852348993288589</v>
      </c>
      <c r="BI177" s="67">
        <f>IFERROR(((AG177*(12000/5))/((F177*60+G177)*(SUMIFS(팀공격력!X:X,팀공격력!A:A,B177,팀공격력!B:B,D177)+SUMIFS(팀수비력!X:X,팀수비력!A:A,B177,팀수비력!B:B,D177))))*100,"")</f>
        <v>3.2424094439943305</v>
      </c>
      <c r="BJ177" s="67">
        <f>IFERROR(((AI177*(12000/5))/((F177*60+G177)*(SUMIFS(팀공격력!V:V,팀공격력!A:A,B177,팀공격력!B:B,D177)+SUMIFS(팀수비력!W:W,팀수비력!A:A,B177,팀수비력!B:B,D177))))*100,"")</f>
        <v>30.459543793032989</v>
      </c>
      <c r="BK177" s="67">
        <f>IFERROR(((AE177*(12000/5))/((F177*60+G177)*(SUMIFS(팀공격력!X:X,팀공격력!A:A,B177,팀공격력!B:B,D177)+SUMIFS(팀수비력!X:X,팀수비력!A:A,B177,팀수비력!B:B,D177))))*100,"")</f>
        <v>16.529930498794627</v>
      </c>
      <c r="BL177" s="67">
        <f>IFERROR(100*AK177/(((((F177*60+G177)/(12000/5))*SUMIFS(팀공격력!P:P,팀공격력!A:A,B177,팀공격력!B:B,D177))-K177)),"")</f>
        <v>23.920379308871897</v>
      </c>
      <c r="BM177" s="67">
        <f>IFERROR(100*((AM177/E177*(2400))/((F177*60+G177)*SUMIFS(팀공격력!AR:AR,팀공격력!A:A,B177,팀공격력!B:B,D177))),"")</f>
        <v>2.142034415311755</v>
      </c>
      <c r="BN177" s="67">
        <f>IFERROR((AO177*40)/(((F177*60+G177)/60)*(SUMIFS(팀수비력!Q:Q,팀수비력!A:A,B177,팀수비력!B:B,D177)-SUMIFS(팀수비력!N:N,팀수비력!A:A,B177,팀수비력!B:B,D177)))*100,"")</f>
        <v>2.7223358669034585</v>
      </c>
      <c r="BO177" s="67">
        <f t="shared" si="119"/>
        <v>9.7972244193571587</v>
      </c>
      <c r="BP177" s="19"/>
      <c r="BQ177" s="19"/>
      <c r="BR177" s="19"/>
      <c r="BS177" s="19"/>
      <c r="BT177" s="20" t="s">
        <v>96</v>
      </c>
      <c r="BU177" s="21"/>
      <c r="BV177" s="30" t="s">
        <v>93</v>
      </c>
      <c r="BW177" s="30">
        <v>1947.22</v>
      </c>
      <c r="BX177" s="30">
        <v>2611.02</v>
      </c>
      <c r="BY177" s="30">
        <v>663.8</v>
      </c>
      <c r="BZ177" s="35">
        <f t="shared" si="127"/>
        <v>36.74</v>
      </c>
      <c r="CA177" s="35">
        <f t="shared" si="128"/>
        <v>49.264528301886791</v>
      </c>
      <c r="CB177" s="35">
        <f t="shared" si="129"/>
        <v>12.524528301886791</v>
      </c>
      <c r="CC177" s="36">
        <f t="shared" si="130"/>
        <v>47.895708853883761</v>
      </c>
      <c r="CD177" s="36">
        <f t="shared" si="131"/>
        <v>64.223176493497178</v>
      </c>
      <c r="CE177" s="36">
        <f t="shared" si="132"/>
        <v>16.327467639613417</v>
      </c>
      <c r="CF177" s="30">
        <v>40</v>
      </c>
      <c r="CG177" s="30">
        <v>13</v>
      </c>
    </row>
    <row r="178" spans="1:85" x14ac:dyDescent="0.4">
      <c r="A178" s="11" t="s">
        <v>85</v>
      </c>
      <c r="B178" s="11" t="s">
        <v>263</v>
      </c>
      <c r="C178" s="11" t="s">
        <v>273</v>
      </c>
      <c r="D178" s="46" t="s">
        <v>88</v>
      </c>
      <c r="E178" s="15">
        <v>24</v>
      </c>
      <c r="F178" s="15">
        <v>5</v>
      </c>
      <c r="G178" s="15">
        <v>55</v>
      </c>
      <c r="H178" s="16">
        <f t="shared" si="94"/>
        <v>8520</v>
      </c>
      <c r="I178" s="16">
        <v>56</v>
      </c>
      <c r="J178" s="17">
        <f t="shared" si="95"/>
        <v>2.3333333333333335</v>
      </c>
      <c r="K178" s="15">
        <v>24</v>
      </c>
      <c r="L178" s="15">
        <v>53</v>
      </c>
      <c r="M178" s="17">
        <f t="shared" si="96"/>
        <v>1</v>
      </c>
      <c r="N178" s="17">
        <f t="shared" si="97"/>
        <v>2.2083333333333335</v>
      </c>
      <c r="O178" s="18">
        <f t="shared" si="98"/>
        <v>0.45283018867924529</v>
      </c>
      <c r="P178" s="16">
        <v>16</v>
      </c>
      <c r="Q178" s="15">
        <v>35</v>
      </c>
      <c r="R178" s="17">
        <f t="shared" si="99"/>
        <v>0.66666666666666663</v>
      </c>
      <c r="S178" s="17">
        <f t="shared" si="100"/>
        <v>1.4583333333333333</v>
      </c>
      <c r="T178" s="18">
        <f t="shared" si="101"/>
        <v>0.45714285714285713</v>
      </c>
      <c r="U178" s="15">
        <v>8</v>
      </c>
      <c r="V178" s="15">
        <v>18</v>
      </c>
      <c r="W178" s="17">
        <f t="shared" si="102"/>
        <v>0.33333333333333331</v>
      </c>
      <c r="X178" s="17">
        <f t="shared" si="103"/>
        <v>0.75</v>
      </c>
      <c r="Y178" s="18">
        <f t="shared" si="104"/>
        <v>0.44444444444444442</v>
      </c>
      <c r="Z178" s="15">
        <v>0</v>
      </c>
      <c r="AA178" s="15">
        <v>1</v>
      </c>
      <c r="AB178" s="17">
        <f t="shared" si="105"/>
        <v>0</v>
      </c>
      <c r="AC178" s="17">
        <f t="shared" si="106"/>
        <v>4.1666666666666664E-2</v>
      </c>
      <c r="AD178" s="18">
        <f t="shared" si="107"/>
        <v>0</v>
      </c>
      <c r="AE178" s="15">
        <v>15</v>
      </c>
      <c r="AF178" s="17">
        <f t="shared" si="108"/>
        <v>0.625</v>
      </c>
      <c r="AG178" s="15">
        <v>7</v>
      </c>
      <c r="AH178" s="17">
        <f t="shared" si="109"/>
        <v>0.29166666666666669</v>
      </c>
      <c r="AI178" s="15">
        <v>8</v>
      </c>
      <c r="AJ178" s="17">
        <f t="shared" si="110"/>
        <v>0.33333333333333331</v>
      </c>
      <c r="AK178" s="15">
        <v>15</v>
      </c>
      <c r="AL178" s="17">
        <f t="shared" si="111"/>
        <v>0.625</v>
      </c>
      <c r="AM178" s="15">
        <v>3</v>
      </c>
      <c r="AN178" s="17">
        <f t="shared" si="112"/>
        <v>0.125</v>
      </c>
      <c r="AO178" s="15">
        <v>0</v>
      </c>
      <c r="AP178" s="17">
        <f t="shared" si="120"/>
        <v>0</v>
      </c>
      <c r="AQ178" s="4">
        <v>15</v>
      </c>
      <c r="AR178" s="17">
        <f t="shared" si="113"/>
        <v>0.625</v>
      </c>
      <c r="AS178" s="15">
        <v>17</v>
      </c>
      <c r="AT178" s="17">
        <f t="shared" si="114"/>
        <v>0.70833333333333337</v>
      </c>
      <c r="AU178" s="19">
        <v>-9.5346745027635987E-2</v>
      </c>
      <c r="AV178" s="19">
        <v>-2.6858238035953799E-2</v>
      </c>
      <c r="AW178" s="19">
        <v>-0.15874916160233979</v>
      </c>
      <c r="AX178" s="19">
        <v>6.3402416574703802E-2</v>
      </c>
      <c r="AY178" s="19">
        <v>93.918626741874675</v>
      </c>
      <c r="AZ178" s="19">
        <v>115.9691102500897</v>
      </c>
      <c r="BA178" s="19">
        <v>2.8453650654279041</v>
      </c>
      <c r="BB178" s="19">
        <v>1.833333333333333</v>
      </c>
      <c r="BC178" s="19">
        <v>12.3943661971831</v>
      </c>
      <c r="BD178" s="65">
        <f t="shared" si="115"/>
        <v>52.395209580838319</v>
      </c>
      <c r="BE178" s="65">
        <f t="shared" si="116"/>
        <v>52.830188679245282</v>
      </c>
      <c r="BF178" s="66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9.8759660055512626</v>
      </c>
      <c r="BG178" s="38">
        <f t="shared" si="117"/>
        <v>0.33962264150943394</v>
      </c>
      <c r="BH178" s="38">
        <f t="shared" si="118"/>
        <v>1.8867924528301886E-2</v>
      </c>
      <c r="BI178" s="67">
        <f>IFERROR(((AG178*(12000/5))/((F178*60+G178)*(SUMIFS(팀공격력!X:X,팀공격력!A:A,B178,팀공격력!B:B,D178)+SUMIFS(팀수비력!X:X,팀수비력!A:A,B178,팀수비력!B:B,D178))))*100,"")</f>
        <v>1.153961074420186</v>
      </c>
      <c r="BJ178" s="67">
        <f>IFERROR(((AI178*(12000/5))/((F178*60+G178)*(SUMIFS(팀공격력!V:V,팀공격력!A:A,B178,팀공격력!B:B,D178)+SUMIFS(팀수비력!W:W,팀수비력!A:A,B178,팀수비력!B:B,D178))))*100,"")</f>
        <v>3.0231697620041098</v>
      </c>
      <c r="BK178" s="67">
        <f>IFERROR(((AE178*(12000/5))/((F178*60+G178)*(SUMIFS(팀공격력!X:X,팀공격력!A:A,B178,팀공격력!B:B,D178)+SUMIFS(팀수비력!X:X,팀수비력!A:A,B178,팀수비력!B:B,D178))))*100,"")</f>
        <v>2.472773730900399</v>
      </c>
      <c r="BL178" s="67">
        <f>IFERROR(100*AK178/(((((F178*60+G178)/(12000/5))*SUMIFS(팀공격력!P:P,팀공격력!A:A,B178,팀공격력!B:B,D178))-K178)),"")</f>
        <v>6.0371283392866131</v>
      </c>
      <c r="BM178" s="67">
        <f>IFERROR(100*((AM178/E178*(2400))/((F178*60+G178)*SUMIFS(팀공격력!AR:AR,팀공격력!A:A,B178,팀공격력!B:B,D178))),"")</f>
        <v>1.1322032719675725</v>
      </c>
      <c r="BN178" s="67">
        <f>IFERROR((AO178*40)/(((F178*60+G178)/60)*(SUMIFS(팀수비력!Q:Q,팀수비력!A:A,B178,팀수비력!B:B,D178)-SUMIFS(팀수비력!N:N,팀수비력!A:A,B178,팀수비력!B:B,D178)))*100,"")</f>
        <v>0</v>
      </c>
      <c r="BO178" s="67">
        <f t="shared" si="119"/>
        <v>21.917007597895967</v>
      </c>
      <c r="BP178" s="19"/>
      <c r="BQ178" s="19"/>
      <c r="BR178" s="19"/>
      <c r="BS178" s="19"/>
      <c r="BT178" s="20" t="s">
        <v>89</v>
      </c>
      <c r="BU178" s="21">
        <v>70000</v>
      </c>
      <c r="BV178" s="31" t="s">
        <v>90</v>
      </c>
      <c r="BW178" s="31">
        <v>87.23</v>
      </c>
      <c r="BX178" s="31">
        <v>138.53</v>
      </c>
      <c r="BY178" s="31">
        <v>51.3</v>
      </c>
      <c r="BZ178" s="35">
        <f t="shared" si="127"/>
        <v>3.6345833333333339</v>
      </c>
      <c r="CA178" s="35">
        <f t="shared" si="128"/>
        <v>5.7720833333333337</v>
      </c>
      <c r="CB178" s="35">
        <f t="shared" si="129"/>
        <v>2.1374999999999997</v>
      </c>
      <c r="CC178" s="36">
        <f t="shared" si="130"/>
        <v>24.571830985915497</v>
      </c>
      <c r="CD178" s="36">
        <f t="shared" si="131"/>
        <v>39.022535211267609</v>
      </c>
      <c r="CE178" s="36">
        <f t="shared" si="132"/>
        <v>14.450704225352112</v>
      </c>
      <c r="CF178" s="31">
        <v>23</v>
      </c>
      <c r="CG178" s="31">
        <v>1</v>
      </c>
    </row>
    <row r="179" spans="1:85" x14ac:dyDescent="0.4">
      <c r="A179" s="11" t="s">
        <v>85</v>
      </c>
      <c r="B179" s="11" t="s">
        <v>263</v>
      </c>
      <c r="C179" s="11" t="s">
        <v>274</v>
      </c>
      <c r="D179" s="46" t="s">
        <v>88</v>
      </c>
      <c r="E179" s="15">
        <v>54</v>
      </c>
      <c r="F179" s="15">
        <v>21</v>
      </c>
      <c r="G179" s="15">
        <v>6</v>
      </c>
      <c r="H179" s="16">
        <f t="shared" si="94"/>
        <v>68364</v>
      </c>
      <c r="I179" s="16">
        <v>417</v>
      </c>
      <c r="J179" s="17">
        <f t="shared" si="95"/>
        <v>7.7222222222222223</v>
      </c>
      <c r="K179" s="15">
        <v>160</v>
      </c>
      <c r="L179" s="15">
        <v>311</v>
      </c>
      <c r="M179" s="17">
        <f t="shared" si="96"/>
        <v>2.9629629629629628</v>
      </c>
      <c r="N179" s="17">
        <f t="shared" si="97"/>
        <v>5.7592592592592595</v>
      </c>
      <c r="O179" s="18">
        <f t="shared" si="98"/>
        <v>0.51446945337620575</v>
      </c>
      <c r="P179" s="16">
        <v>88</v>
      </c>
      <c r="Q179" s="15">
        <v>136</v>
      </c>
      <c r="R179" s="17">
        <f t="shared" si="99"/>
        <v>1.6296296296296295</v>
      </c>
      <c r="S179" s="17">
        <f t="shared" si="100"/>
        <v>2.5185185185185186</v>
      </c>
      <c r="T179" s="18">
        <f t="shared" si="101"/>
        <v>0.6470588235294118</v>
      </c>
      <c r="U179" s="15">
        <v>72</v>
      </c>
      <c r="V179" s="15">
        <v>175</v>
      </c>
      <c r="W179" s="17">
        <f t="shared" si="102"/>
        <v>1.3333333333333333</v>
      </c>
      <c r="X179" s="17">
        <f t="shared" si="103"/>
        <v>3.2407407407407409</v>
      </c>
      <c r="Y179" s="18">
        <f t="shared" si="104"/>
        <v>0.41142857142857142</v>
      </c>
      <c r="Z179" s="15">
        <v>25</v>
      </c>
      <c r="AA179" s="15">
        <v>31</v>
      </c>
      <c r="AB179" s="17">
        <f t="shared" si="105"/>
        <v>0.46296296296296297</v>
      </c>
      <c r="AC179" s="17">
        <f t="shared" si="106"/>
        <v>0.57407407407407407</v>
      </c>
      <c r="AD179" s="18">
        <f t="shared" si="107"/>
        <v>0.80645161290322576</v>
      </c>
      <c r="AE179" s="15">
        <v>120</v>
      </c>
      <c r="AF179" s="17">
        <f t="shared" si="108"/>
        <v>2.2222222222222223</v>
      </c>
      <c r="AG179" s="15">
        <v>42</v>
      </c>
      <c r="AH179" s="17">
        <f t="shared" si="109"/>
        <v>0.77777777777777779</v>
      </c>
      <c r="AI179" s="15">
        <v>78</v>
      </c>
      <c r="AJ179" s="17">
        <f t="shared" si="110"/>
        <v>1.4444444444444444</v>
      </c>
      <c r="AK179" s="15">
        <v>38</v>
      </c>
      <c r="AL179" s="17">
        <f t="shared" si="111"/>
        <v>0.70370370370370372</v>
      </c>
      <c r="AM179" s="15">
        <v>25</v>
      </c>
      <c r="AN179" s="17">
        <f t="shared" si="112"/>
        <v>0.46296296296296297</v>
      </c>
      <c r="AO179" s="15">
        <v>1</v>
      </c>
      <c r="AP179" s="17">
        <f t="shared" si="120"/>
        <v>1.8518518518518517E-2</v>
      </c>
      <c r="AQ179" s="4">
        <v>24</v>
      </c>
      <c r="AR179" s="17">
        <f t="shared" si="113"/>
        <v>0.44444444444444442</v>
      </c>
      <c r="AS179" s="15">
        <v>111</v>
      </c>
      <c r="AT179" s="17">
        <f t="shared" si="114"/>
        <v>2.0555555555555554</v>
      </c>
      <c r="AU179" s="19">
        <v>2.9220475473963998</v>
      </c>
      <c r="AV179" s="19">
        <v>0.1025819746321362</v>
      </c>
      <c r="AW179" s="19">
        <v>2.3287086628830571</v>
      </c>
      <c r="AX179" s="19">
        <v>0.59333888451334305</v>
      </c>
      <c r="AY179" s="19">
        <v>127.0540179639566</v>
      </c>
      <c r="AZ179" s="19">
        <v>115.3648359134486</v>
      </c>
      <c r="BA179" s="19">
        <v>10.494602154470581</v>
      </c>
      <c r="BB179" s="19">
        <v>7.7777777777777777</v>
      </c>
      <c r="BC179" s="19">
        <v>14.74460242232754</v>
      </c>
      <c r="BD179" s="65">
        <f t="shared" si="115"/>
        <v>64.224987678659446</v>
      </c>
      <c r="BE179" s="65">
        <f t="shared" si="116"/>
        <v>63.022508038585215</v>
      </c>
      <c r="BF179" s="66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14.107220214824348</v>
      </c>
      <c r="BG179" s="38">
        <f t="shared" si="117"/>
        <v>0.56270096463022512</v>
      </c>
      <c r="BH179" s="38">
        <f t="shared" si="118"/>
        <v>9.9678456591639875E-2</v>
      </c>
      <c r="BI179" s="67">
        <f>IFERROR(((AG179*(12000/5))/((F179*60+G179)*(SUMIFS(팀공격력!X:X,팀공격력!A:A,B179,팀공격력!B:B,D179)+SUMIFS(팀수비력!X:X,팀수비력!A:A,B179,팀수비력!B:B,D179))))*100,"")</f>
        <v>1.9414984901382277</v>
      </c>
      <c r="BJ179" s="67">
        <f>IFERROR(((AI179*(12000/5))/((F179*60+G179)*(SUMIFS(팀공격력!V:V,팀공격력!A:A,B179,팀공격력!B:B,D179)+SUMIFS(팀수비력!W:W,팀수비력!A:A,B179,팀수비력!B:B,D179))))*100,"")</f>
        <v>8.2653604571380122</v>
      </c>
      <c r="BK179" s="67">
        <f>IFERROR(((AE179*(12000/5))/((F179*60+G179)*(SUMIFS(팀공격력!X:X,팀공격력!A:A,B179,팀공격력!B:B,D179)+SUMIFS(팀수비력!X:X,팀수비력!A:A,B179,팀수비력!B:B,D179))))*100,"")</f>
        <v>5.5471385432520792</v>
      </c>
      <c r="BL179" s="67">
        <f>IFERROR(100*AK179/(((((F179*60+G179)/(12000/5))*SUMIFS(팀공격력!P:P,팀공격력!A:A,B179,팀공격력!B:B,D179))-K179)),"")</f>
        <v>4.6817921407494563</v>
      </c>
      <c r="BM179" s="67">
        <f>IFERROR(100*((AM179/E179*(2400))/((F179*60+G179)*SUMIFS(팀공격력!AR:AR,팀공격력!A:A,B179,팀공격력!B:B,D179))),"")</f>
        <v>1.1758591116625365</v>
      </c>
      <c r="BN179" s="67">
        <f>IFERROR((AO179*40)/(((F179*60+G179)/60)*(SUMIFS(팀수비력!Q:Q,팀수비력!A:A,B179,팀수비력!B:B,D179)-SUMIFS(팀수비력!N:N,팀수비력!A:A,B179,팀수비력!B:B,D179)))*100,"")</f>
        <v>7.4694034560929795E-2</v>
      </c>
      <c r="BO179" s="67">
        <f t="shared" si="119"/>
        <v>6.8838916934373566</v>
      </c>
      <c r="BP179" s="19"/>
      <c r="BQ179" s="19"/>
      <c r="BR179" s="19"/>
      <c r="BS179" s="19"/>
      <c r="BT179" s="20" t="s">
        <v>89</v>
      </c>
      <c r="BU179" s="21">
        <v>240000</v>
      </c>
      <c r="BV179" s="31" t="s">
        <v>93</v>
      </c>
      <c r="BW179" s="31">
        <v>750.33</v>
      </c>
      <c r="BX179" s="31">
        <v>931.83</v>
      </c>
      <c r="BY179" s="31">
        <v>181.5</v>
      </c>
      <c r="BZ179" s="35">
        <f t="shared" si="127"/>
        <v>13.895</v>
      </c>
      <c r="CA179" s="35">
        <f t="shared" si="128"/>
        <v>17.25611111111111</v>
      </c>
      <c r="CB179" s="35">
        <f t="shared" si="129"/>
        <v>3.3611111111111112</v>
      </c>
      <c r="CC179" s="36">
        <f t="shared" si="130"/>
        <v>26.341232227488149</v>
      </c>
      <c r="CD179" s="36">
        <f t="shared" si="131"/>
        <v>32.713006845708264</v>
      </c>
      <c r="CE179" s="36">
        <f t="shared" si="132"/>
        <v>6.3717746182201163</v>
      </c>
      <c r="CF179" s="30">
        <v>41</v>
      </c>
      <c r="CG179" s="30">
        <v>13</v>
      </c>
    </row>
    <row r="180" spans="1:85" x14ac:dyDescent="0.4">
      <c r="A180" s="11" t="s">
        <v>85</v>
      </c>
      <c r="B180" s="11" t="s">
        <v>263</v>
      </c>
      <c r="C180" s="11" t="s">
        <v>275</v>
      </c>
      <c r="D180" s="46" t="s">
        <v>88</v>
      </c>
      <c r="E180" s="15">
        <v>9</v>
      </c>
      <c r="F180" s="15">
        <v>5</v>
      </c>
      <c r="G180" s="15">
        <v>10</v>
      </c>
      <c r="H180" s="16">
        <f t="shared" si="94"/>
        <v>2790</v>
      </c>
      <c r="I180" s="16">
        <v>21</v>
      </c>
      <c r="J180" s="17">
        <f t="shared" si="95"/>
        <v>2.3333333333333335</v>
      </c>
      <c r="K180" s="15">
        <v>8</v>
      </c>
      <c r="L180" s="15">
        <v>20</v>
      </c>
      <c r="M180" s="17">
        <f t="shared" si="96"/>
        <v>0.88888888888888884</v>
      </c>
      <c r="N180" s="17">
        <f t="shared" si="97"/>
        <v>2.2222222222222223</v>
      </c>
      <c r="O180" s="18">
        <f t="shared" si="98"/>
        <v>0.4</v>
      </c>
      <c r="P180" s="16">
        <v>3</v>
      </c>
      <c r="Q180" s="15">
        <v>7</v>
      </c>
      <c r="R180" s="17">
        <f t="shared" si="99"/>
        <v>0.33333333333333331</v>
      </c>
      <c r="S180" s="17">
        <f t="shared" si="100"/>
        <v>0.77777777777777779</v>
      </c>
      <c r="T180" s="18">
        <f t="shared" si="101"/>
        <v>0.42857142857142855</v>
      </c>
      <c r="U180" s="15">
        <v>5</v>
      </c>
      <c r="V180" s="15">
        <v>13</v>
      </c>
      <c r="W180" s="17">
        <f t="shared" si="102"/>
        <v>0.55555555555555558</v>
      </c>
      <c r="X180" s="17">
        <f t="shared" si="103"/>
        <v>1.4444444444444444</v>
      </c>
      <c r="Y180" s="18">
        <f t="shared" si="104"/>
        <v>0.38461538461538464</v>
      </c>
      <c r="Z180" s="15">
        <v>0</v>
      </c>
      <c r="AA180" s="15">
        <v>0</v>
      </c>
      <c r="AB180" s="17">
        <f t="shared" si="105"/>
        <v>0</v>
      </c>
      <c r="AC180" s="17">
        <f t="shared" si="106"/>
        <v>0</v>
      </c>
      <c r="AD180" s="18" t="e">
        <f t="shared" si="107"/>
        <v>#DIV/0!</v>
      </c>
      <c r="AE180" s="15">
        <v>4</v>
      </c>
      <c r="AF180" s="17">
        <f t="shared" si="108"/>
        <v>0.44444444444444442</v>
      </c>
      <c r="AG180" s="15">
        <v>1</v>
      </c>
      <c r="AH180" s="17">
        <f t="shared" si="109"/>
        <v>0.1111111111111111</v>
      </c>
      <c r="AI180" s="15">
        <v>3</v>
      </c>
      <c r="AJ180" s="17">
        <f t="shared" si="110"/>
        <v>0.33333333333333331</v>
      </c>
      <c r="AK180" s="15">
        <v>3</v>
      </c>
      <c r="AL180" s="17">
        <f t="shared" si="111"/>
        <v>0.33333333333333331</v>
      </c>
      <c r="AM180" s="15">
        <v>0</v>
      </c>
      <c r="AN180" s="17">
        <f t="shared" si="112"/>
        <v>0</v>
      </c>
      <c r="AO180" s="15">
        <v>1</v>
      </c>
      <c r="AP180" s="17">
        <f t="shared" si="120"/>
        <v>0.1111111111111111</v>
      </c>
      <c r="AQ180" s="4">
        <v>2</v>
      </c>
      <c r="AR180" s="17">
        <f t="shared" si="113"/>
        <v>0.22222222222222221</v>
      </c>
      <c r="AS180" s="15">
        <v>5</v>
      </c>
      <c r="AT180" s="17">
        <f t="shared" si="114"/>
        <v>0.55555555555555558</v>
      </c>
      <c r="AU180" s="19">
        <v>2.7350770630625579E-2</v>
      </c>
      <c r="AV180" s="19">
        <v>2.3527544628495121E-2</v>
      </c>
      <c r="AW180" s="19">
        <v>1.31797006277734E-2</v>
      </c>
      <c r="AX180" s="19">
        <v>1.4171070002852179E-2</v>
      </c>
      <c r="AY180" s="19">
        <v>104.1538216050362</v>
      </c>
      <c r="AZ180" s="19">
        <v>117.1226434743724</v>
      </c>
      <c r="BA180" s="19">
        <v>1.3939507967938021</v>
      </c>
      <c r="BB180" s="19">
        <v>1.666666666666667</v>
      </c>
      <c r="BC180" s="19">
        <v>12.90322580645161</v>
      </c>
      <c r="BD180" s="65">
        <f t="shared" si="115"/>
        <v>52.5</v>
      </c>
      <c r="BE180" s="65">
        <f t="shared" si="116"/>
        <v>52.5</v>
      </c>
      <c r="BF180" s="66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3.6354562745496581</v>
      </c>
      <c r="BG180" s="38">
        <f t="shared" si="117"/>
        <v>0.65</v>
      </c>
      <c r="BH180" s="38">
        <f t="shared" si="118"/>
        <v>0</v>
      </c>
      <c r="BI180" s="67">
        <f>IFERROR(((AG180*(12000/5))/((F180*60+G180)*(SUMIFS(팀공격력!X:X,팀공격력!A:A,B180,팀공격력!B:B,D180)+SUMIFS(팀수비력!X:X,팀수비력!A:A,B180,팀수비력!B:B,D180))))*100,"")</f>
        <v>0.18878165042357883</v>
      </c>
      <c r="BJ180" s="67">
        <f>IFERROR(((AI180*(12000/5))/((F180*60+G180)*(SUMIFS(팀공격력!V:V,팀공격력!A:A,B180,팀공격력!B:B,D180)+SUMIFS(팀수비력!W:W,팀수비력!A:A,B180,팀수비력!B:B,D180))))*100,"")</f>
        <v>1.2982563695703131</v>
      </c>
      <c r="BK180" s="67">
        <f>IFERROR(((AE180*(12000/5))/((F180*60+G180)*(SUMIFS(팀공격력!X:X,팀공격력!A:A,B180,팀공격력!B:B,D180)+SUMIFS(팀수비력!X:X,팀수비력!A:A,B180,팀수비력!B:B,D180))))*100,"")</f>
        <v>0.75512660169431534</v>
      </c>
      <c r="BL180" s="67">
        <f>IFERROR(100*AK180/(((((F180*60+G180)/(12000/5))*SUMIFS(팀공격력!P:P,팀공격력!A:A,B180,팀공격력!B:B,D180))-K180)),"")</f>
        <v>1.3047732956398825</v>
      </c>
      <c r="BM180" s="67">
        <f>IFERROR(100*((AM180/E180*(2400))/((F180*60+G180)*SUMIFS(팀공격력!AR:AR,팀공격력!A:A,B180,팀공격력!B:B,D180))),"")</f>
        <v>0</v>
      </c>
      <c r="BN180" s="67">
        <f>IFERROR((AO180*40)/(((F180*60+G180)/60)*(SUMIFS(팀수비력!Q:Q,팀수비력!A:A,B180,팀수비력!B:B,D180)-SUMIFS(팀수비력!N:N,팀수비력!A:A,B180,팀수비력!B:B,D180)))*100,"")</f>
        <v>0.30504079920689392</v>
      </c>
      <c r="BO180" s="67">
        <f t="shared" si="119"/>
        <v>9.0909090909090917</v>
      </c>
      <c r="BP180" s="19"/>
      <c r="BQ180" s="19"/>
      <c r="BR180" s="19"/>
      <c r="BS180" s="19"/>
      <c r="BT180" s="20" t="s">
        <v>89</v>
      </c>
      <c r="BU180" s="21">
        <v>310000</v>
      </c>
      <c r="BV180" s="30" t="s">
        <v>90</v>
      </c>
      <c r="BW180" s="30">
        <v>28.41</v>
      </c>
      <c r="BX180" s="30">
        <v>42.61</v>
      </c>
      <c r="BY180" s="30">
        <v>14.2</v>
      </c>
      <c r="BZ180" s="35">
        <f t="shared" si="127"/>
        <v>3.1566666666666672</v>
      </c>
      <c r="CA180" s="35">
        <f t="shared" si="128"/>
        <v>4.7344444444444447</v>
      </c>
      <c r="CB180" s="35">
        <f t="shared" si="129"/>
        <v>1.5777777777777777</v>
      </c>
      <c r="CC180" s="36">
        <f t="shared" si="130"/>
        <v>24.438709677419357</v>
      </c>
      <c r="CD180" s="36">
        <f t="shared" si="131"/>
        <v>36.653763440860217</v>
      </c>
      <c r="CE180" s="36">
        <f t="shared" si="132"/>
        <v>12.21505376344086</v>
      </c>
      <c r="CF180" s="31">
        <v>7</v>
      </c>
      <c r="CG180" s="31">
        <v>2</v>
      </c>
    </row>
    <row r="181" spans="1:85" x14ac:dyDescent="0.4">
      <c r="A181" s="11" t="s">
        <v>85</v>
      </c>
      <c r="B181" s="11" t="s">
        <v>263</v>
      </c>
      <c r="C181" s="11" t="s">
        <v>276</v>
      </c>
      <c r="D181" s="46" t="s">
        <v>88</v>
      </c>
      <c r="E181" s="15">
        <v>44</v>
      </c>
      <c r="F181" s="15">
        <v>10</v>
      </c>
      <c r="G181" s="15">
        <v>6</v>
      </c>
      <c r="H181" s="16">
        <f t="shared" si="94"/>
        <v>26664</v>
      </c>
      <c r="I181" s="16">
        <v>112</v>
      </c>
      <c r="J181" s="17">
        <f t="shared" si="95"/>
        <v>2.5454545454545454</v>
      </c>
      <c r="K181" s="15">
        <v>46</v>
      </c>
      <c r="L181" s="15">
        <v>104</v>
      </c>
      <c r="M181" s="17">
        <f t="shared" si="96"/>
        <v>1.0454545454545454</v>
      </c>
      <c r="N181" s="17">
        <f t="shared" si="97"/>
        <v>2.3636363636363638</v>
      </c>
      <c r="O181" s="18">
        <f t="shared" si="98"/>
        <v>0.44230769230769229</v>
      </c>
      <c r="P181" s="16">
        <v>32</v>
      </c>
      <c r="Q181" s="15">
        <v>51</v>
      </c>
      <c r="R181" s="17">
        <f t="shared" si="99"/>
        <v>0.72727272727272729</v>
      </c>
      <c r="S181" s="17">
        <f t="shared" si="100"/>
        <v>1.1590909090909092</v>
      </c>
      <c r="T181" s="18">
        <f t="shared" si="101"/>
        <v>0.62745098039215685</v>
      </c>
      <c r="U181" s="15">
        <v>14</v>
      </c>
      <c r="V181" s="15">
        <v>53</v>
      </c>
      <c r="W181" s="17">
        <f t="shared" si="102"/>
        <v>0.31818181818181818</v>
      </c>
      <c r="X181" s="17">
        <f t="shared" si="103"/>
        <v>1.2045454545454546</v>
      </c>
      <c r="Y181" s="18">
        <f t="shared" si="104"/>
        <v>0.26415094339622641</v>
      </c>
      <c r="Z181" s="15">
        <v>6</v>
      </c>
      <c r="AA181" s="15">
        <v>17</v>
      </c>
      <c r="AB181" s="17">
        <f t="shared" si="105"/>
        <v>0.13636363636363635</v>
      </c>
      <c r="AC181" s="17">
        <f t="shared" si="106"/>
        <v>0.38636363636363635</v>
      </c>
      <c r="AD181" s="18">
        <f t="shared" si="107"/>
        <v>0.35294117647058826</v>
      </c>
      <c r="AE181" s="15">
        <v>80</v>
      </c>
      <c r="AF181" s="17">
        <f t="shared" si="108"/>
        <v>1.8181818181818181</v>
      </c>
      <c r="AG181" s="15">
        <v>22</v>
      </c>
      <c r="AH181" s="17">
        <f t="shared" si="109"/>
        <v>0.5</v>
      </c>
      <c r="AI181" s="15">
        <v>58</v>
      </c>
      <c r="AJ181" s="17">
        <f t="shared" si="110"/>
        <v>1.3181818181818181</v>
      </c>
      <c r="AK181" s="15">
        <v>14</v>
      </c>
      <c r="AL181" s="17">
        <f t="shared" si="111"/>
        <v>0.31818181818181818</v>
      </c>
      <c r="AM181" s="15">
        <v>7</v>
      </c>
      <c r="AN181" s="17">
        <f t="shared" si="112"/>
        <v>0.15909090909090909</v>
      </c>
      <c r="AO181" s="15">
        <v>2</v>
      </c>
      <c r="AP181" s="17">
        <f t="shared" si="120"/>
        <v>4.5454545454545456E-2</v>
      </c>
      <c r="AQ181" s="4">
        <v>19</v>
      </c>
      <c r="AR181" s="17">
        <f t="shared" si="113"/>
        <v>0.43181818181818182</v>
      </c>
      <c r="AS181" s="15">
        <v>70</v>
      </c>
      <c r="AT181" s="17">
        <f t="shared" si="114"/>
        <v>1.5909090909090908</v>
      </c>
      <c r="AU181" s="19">
        <v>0.20657116561905889</v>
      </c>
      <c r="AV181" s="19">
        <v>1.8593264232138512E-2</v>
      </c>
      <c r="AW181" s="19">
        <v>-0.1516905163906892</v>
      </c>
      <c r="AX181" s="19">
        <v>0.35826168200974812</v>
      </c>
      <c r="AY181" s="19">
        <v>97.78295449339852</v>
      </c>
      <c r="AZ181" s="19">
        <v>113.0419875308276</v>
      </c>
      <c r="BA181" s="19">
        <v>3.2178081507352689</v>
      </c>
      <c r="BB181" s="19">
        <v>2.8863636363636358</v>
      </c>
      <c r="BC181" s="19">
        <v>11.43114311431143</v>
      </c>
      <c r="BD181" s="65">
        <f t="shared" si="115"/>
        <v>50.233225690706853</v>
      </c>
      <c r="BE181" s="65">
        <f t="shared" si="116"/>
        <v>50.96153846153846</v>
      </c>
      <c r="BF181" s="66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11.029841265976916</v>
      </c>
      <c r="BG181" s="38">
        <f t="shared" si="117"/>
        <v>0.50961538461538458</v>
      </c>
      <c r="BH181" s="38">
        <f t="shared" si="118"/>
        <v>0.16346153846153846</v>
      </c>
      <c r="BI181" s="67">
        <f>IFERROR(((AG181*(12000/5))/((F181*60+G181)*(SUMIFS(팀공격력!X:X,팀공격력!A:A,B181,팀공격력!B:B,D181)+SUMIFS(팀수비력!X:X,팀수비력!A:A,B181,팀수비력!B:B,D181))))*100,"")</f>
        <v>2.1245723694534777</v>
      </c>
      <c r="BJ181" s="67">
        <f>IFERROR(((AI181*(12000/5))/((F181*60+G181)*(SUMIFS(팀공격력!V:V,팀공격력!A:A,B181,팀공격력!B:B,D181)+SUMIFS(팀수비력!W:W,팀수비력!A:A,B181,팀수비력!B:B,D181))))*100,"")</f>
        <v>12.839741212802108</v>
      </c>
      <c r="BK181" s="67">
        <f>IFERROR(((AE181*(12000/5))/((F181*60+G181)*(SUMIFS(팀공격력!X:X,팀공격력!A:A,B181,팀공격력!B:B,D181)+SUMIFS(팀수비력!X:X,팀수비력!A:A,B181,팀수비력!B:B,D181))))*100,"")</f>
        <v>7.7257177071035565</v>
      </c>
      <c r="BL181" s="67">
        <f>IFERROR(100*AK181/(((((F181*60+G181)/(12000/5))*SUMIFS(팀공격력!P:P,팀공격력!A:A,B181,팀공격력!B:B,D181))-K181)),"")</f>
        <v>3.3404516767874397</v>
      </c>
      <c r="BM181" s="67">
        <f>IFERROR(100*((AM181/E181*(2400))/((F181*60+G181)*SUMIFS(팀공격력!AR:AR,팀공격력!A:A,B181,팀공격력!B:B,D181))),"")</f>
        <v>0.84414195344717002</v>
      </c>
      <c r="BN181" s="67">
        <f>IFERROR((AO181*40)/(((F181*60+G181)/60)*(SUMIFS(팀수비력!Q:Q,팀수비력!A:A,B181,팀수비력!B:B,D181)-SUMIFS(팀수비력!N:N,팀수비력!A:A,B181,팀수비력!B:B,D181)))*100,"")</f>
        <v>0.31208794638329085</v>
      </c>
      <c r="BO181" s="67">
        <f t="shared" si="119"/>
        <v>14.561618638871856</v>
      </c>
      <c r="BP181" s="19"/>
      <c r="BQ181" s="19"/>
      <c r="BR181" s="19"/>
      <c r="BS181" s="19"/>
      <c r="BT181" s="20" t="s">
        <v>89</v>
      </c>
      <c r="BU181" s="21">
        <v>95000</v>
      </c>
      <c r="BV181" s="30" t="s">
        <v>93</v>
      </c>
      <c r="BW181" s="30">
        <v>255.65</v>
      </c>
      <c r="BX181" s="30">
        <v>347.05</v>
      </c>
      <c r="BY181" s="30">
        <v>91.4</v>
      </c>
      <c r="BZ181" s="35">
        <f t="shared" si="127"/>
        <v>5.810227272727273</v>
      </c>
      <c r="CA181" s="35">
        <f t="shared" si="128"/>
        <v>7.8875000000000002</v>
      </c>
      <c r="CB181" s="35">
        <f t="shared" si="129"/>
        <v>2.0772727272727276</v>
      </c>
      <c r="CC181" s="36">
        <f t="shared" si="130"/>
        <v>23.01080108010801</v>
      </c>
      <c r="CD181" s="36">
        <f t="shared" si="131"/>
        <v>31.237623762376238</v>
      </c>
      <c r="CE181" s="36">
        <f t="shared" si="132"/>
        <v>8.2268226822682262</v>
      </c>
      <c r="CF181" s="30">
        <v>36</v>
      </c>
      <c r="CG181" s="30">
        <v>8</v>
      </c>
    </row>
    <row r="182" spans="1:85" x14ac:dyDescent="0.4">
      <c r="A182" s="11" t="s">
        <v>85</v>
      </c>
      <c r="B182" s="11" t="s">
        <v>263</v>
      </c>
      <c r="C182" s="11" t="s">
        <v>277</v>
      </c>
      <c r="D182" s="46" t="s">
        <v>88</v>
      </c>
      <c r="E182" s="15">
        <v>21</v>
      </c>
      <c r="F182" s="15">
        <v>11</v>
      </c>
      <c r="G182" s="15">
        <v>56</v>
      </c>
      <c r="H182" s="16">
        <f t="shared" si="94"/>
        <v>15036</v>
      </c>
      <c r="I182" s="16">
        <v>77</v>
      </c>
      <c r="J182" s="17">
        <f t="shared" si="95"/>
        <v>3.6666666666666665</v>
      </c>
      <c r="K182" s="15">
        <v>25</v>
      </c>
      <c r="L182" s="15">
        <v>65</v>
      </c>
      <c r="M182" s="17">
        <f t="shared" si="96"/>
        <v>1.1904761904761905</v>
      </c>
      <c r="N182" s="17">
        <f t="shared" si="97"/>
        <v>3.0952380952380953</v>
      </c>
      <c r="O182" s="18">
        <f t="shared" si="98"/>
        <v>0.38461538461538464</v>
      </c>
      <c r="P182" s="16">
        <v>10</v>
      </c>
      <c r="Q182" s="15">
        <v>20</v>
      </c>
      <c r="R182" s="17">
        <f t="shared" si="99"/>
        <v>0.47619047619047616</v>
      </c>
      <c r="S182" s="17">
        <f t="shared" si="100"/>
        <v>0.95238095238095233</v>
      </c>
      <c r="T182" s="18">
        <f t="shared" si="101"/>
        <v>0.5</v>
      </c>
      <c r="U182" s="15">
        <v>15</v>
      </c>
      <c r="V182" s="15">
        <v>45</v>
      </c>
      <c r="W182" s="17">
        <f t="shared" si="102"/>
        <v>0.7142857142857143</v>
      </c>
      <c r="X182" s="17">
        <f t="shared" si="103"/>
        <v>2.1428571428571428</v>
      </c>
      <c r="Y182" s="18">
        <f t="shared" si="104"/>
        <v>0.33333333333333331</v>
      </c>
      <c r="Z182" s="15">
        <v>12</v>
      </c>
      <c r="AA182" s="15">
        <v>14</v>
      </c>
      <c r="AB182" s="17">
        <f t="shared" si="105"/>
        <v>0.5714285714285714</v>
      </c>
      <c r="AC182" s="17">
        <f t="shared" si="106"/>
        <v>0.66666666666666663</v>
      </c>
      <c r="AD182" s="18">
        <f t="shared" si="107"/>
        <v>0.8571428571428571</v>
      </c>
      <c r="AE182" s="15">
        <v>18</v>
      </c>
      <c r="AF182" s="17">
        <f t="shared" si="108"/>
        <v>0.8571428571428571</v>
      </c>
      <c r="AG182" s="15">
        <v>3</v>
      </c>
      <c r="AH182" s="17">
        <f t="shared" si="109"/>
        <v>0.14285714285714285</v>
      </c>
      <c r="AI182" s="15">
        <v>15</v>
      </c>
      <c r="AJ182" s="17">
        <f t="shared" si="110"/>
        <v>0.7142857142857143</v>
      </c>
      <c r="AK182" s="15">
        <v>56</v>
      </c>
      <c r="AL182" s="17">
        <f t="shared" si="111"/>
        <v>2.6666666666666665</v>
      </c>
      <c r="AM182" s="15">
        <v>14</v>
      </c>
      <c r="AN182" s="17">
        <f t="shared" si="112"/>
        <v>0.66666666666666663</v>
      </c>
      <c r="AO182" s="15">
        <v>2</v>
      </c>
      <c r="AP182" s="17">
        <f t="shared" si="120"/>
        <v>9.5238095238095233E-2</v>
      </c>
      <c r="AQ182" s="4">
        <v>18</v>
      </c>
      <c r="AR182" s="17">
        <f t="shared" si="113"/>
        <v>0.8571428571428571</v>
      </c>
      <c r="AS182" s="15">
        <v>26</v>
      </c>
      <c r="AT182" s="17">
        <f t="shared" si="114"/>
        <v>1.2380952380952381</v>
      </c>
      <c r="AU182" s="19">
        <v>0.60827228913865128</v>
      </c>
      <c r="AV182" s="19">
        <v>9.7090548944716887E-2</v>
      </c>
      <c r="AW182" s="19">
        <v>0.35302901720950858</v>
      </c>
      <c r="AX182" s="19">
        <v>0.2552432719291427</v>
      </c>
      <c r="AY182" s="19">
        <v>114.13620324598899</v>
      </c>
      <c r="AZ182" s="19">
        <v>111.31374935661999</v>
      </c>
      <c r="BA182" s="19">
        <v>4.3484295680820484</v>
      </c>
      <c r="BB182" s="19">
        <v>5.0952380952380949</v>
      </c>
      <c r="BC182" s="19">
        <v>17.07901037509976</v>
      </c>
      <c r="BD182" s="65">
        <f t="shared" si="115"/>
        <v>54.103428892636316</v>
      </c>
      <c r="BE182" s="65">
        <f t="shared" si="116"/>
        <v>50</v>
      </c>
      <c r="BF182" s="66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6.379034868336892</v>
      </c>
      <c r="BG182" s="38">
        <f t="shared" si="117"/>
        <v>0.69230769230769229</v>
      </c>
      <c r="BH182" s="38">
        <f t="shared" si="118"/>
        <v>0.2153846153846154</v>
      </c>
      <c r="BI182" s="67">
        <f>IFERROR(((AG182*(12000/5))/((F182*60+G182)*(SUMIFS(팀공격력!X:X,팀공격력!A:A,B182,팀공격력!B:B,D182)+SUMIFS(팀수비력!X:X,팀수비력!A:A,B182,팀수비력!B:B,D182))))*100,"")</f>
        <v>0.24520521633230211</v>
      </c>
      <c r="BJ182" s="67">
        <f>IFERROR(((AI182*(12000/5))/((F182*60+G182)*(SUMIFS(팀공격력!V:V,팀공격력!A:A,B182,팀공격력!B:B,D182)+SUMIFS(팀수비력!W:W,팀수비력!A:A,B182,팀수비력!B:B,D182))))*100,"")</f>
        <v>2.8104711911089182</v>
      </c>
      <c r="BK182" s="67">
        <f>IFERROR(((AE182*(12000/5))/((F182*60+G182)*(SUMIFS(팀공격력!X:X,팀공격력!A:A,B182,팀공격력!B:B,D182)+SUMIFS(팀수비력!X:X,팀수비력!A:A,B182,팀수비력!B:B,D182))))*100,"")</f>
        <v>1.4712312979938127</v>
      </c>
      <c r="BL182" s="67">
        <f>IFERROR(100*AK182/(((((F182*60+G182)/(12000/5))*SUMIFS(팀공격력!P:P,팀공격력!A:A,B182,팀공격력!B:B,D182))-K182)),"")</f>
        <v>10.676224429489258</v>
      </c>
      <c r="BM182" s="67">
        <f>IFERROR(100*((AM182/E182*(2400))/((F182*60+G182)*SUMIFS(팀공격력!AR:AR,팀공격력!A:A,B182,팀공격력!B:B,D182))),"")</f>
        <v>2.9939080934710485</v>
      </c>
      <c r="BN182" s="67">
        <f>IFERROR((AO182*40)/(((F182*60+G182)/60)*(SUMIFS(팀수비력!Q:Q,팀수비력!A:A,B182,팀수비력!B:B,D182)-SUMIFS(팀수비력!N:N,팀수비력!A:A,B182,팀수비력!B:B,D182)))*100,"")</f>
        <v>0.26414147417356737</v>
      </c>
      <c r="BO182" s="67">
        <f t="shared" si="119"/>
        <v>20.188425302826381</v>
      </c>
      <c r="BP182" s="19"/>
      <c r="BQ182" s="19"/>
      <c r="BR182" s="19"/>
      <c r="BS182" s="19"/>
      <c r="BT182" s="20" t="s">
        <v>89</v>
      </c>
      <c r="BU182" s="21">
        <v>400000</v>
      </c>
      <c r="BV182" s="30" t="s">
        <v>90</v>
      </c>
      <c r="BW182" s="30">
        <v>195.03</v>
      </c>
      <c r="BX182" s="30">
        <v>260.63</v>
      </c>
      <c r="BY182" s="30">
        <v>65.599999999999994</v>
      </c>
      <c r="BZ182" s="35">
        <f t="shared" ref="BZ182:BZ213" si="133">CA182-CB182</f>
        <v>9.2871428571428574</v>
      </c>
      <c r="CA182" s="35">
        <f t="shared" ref="CA182:CA209" si="134">BX182/$E182</f>
        <v>12.410952380952381</v>
      </c>
      <c r="CB182" s="35">
        <f t="shared" ref="CB182:CB209" si="135">BY182/$E182</f>
        <v>3.1238095238095234</v>
      </c>
      <c r="CC182" s="36">
        <f t="shared" ref="CC182:CC213" si="136">CD182-CE182</f>
        <v>31.130087789305662</v>
      </c>
      <c r="CD182" s="36">
        <f t="shared" ref="CD182:CD209" si="137">BX182*2400/$H182</f>
        <v>41.600957701516357</v>
      </c>
      <c r="CE182" s="36">
        <f t="shared" ref="CE182:CE209" si="138">BY182*2400/$H182</f>
        <v>10.470869912210695</v>
      </c>
      <c r="CF182" s="31">
        <v>14</v>
      </c>
      <c r="CG182" s="31">
        <v>7</v>
      </c>
    </row>
    <row r="183" spans="1:85" x14ac:dyDescent="0.4">
      <c r="A183" s="11" t="s">
        <v>85</v>
      </c>
      <c r="B183" s="11" t="s">
        <v>263</v>
      </c>
      <c r="C183" s="11" t="s">
        <v>278</v>
      </c>
      <c r="D183" s="46" t="s">
        <v>88</v>
      </c>
      <c r="E183" s="15">
        <v>54</v>
      </c>
      <c r="F183" s="15">
        <v>31</v>
      </c>
      <c r="G183" s="15">
        <v>47</v>
      </c>
      <c r="H183" s="16">
        <f t="shared" si="94"/>
        <v>102978</v>
      </c>
      <c r="I183" s="16">
        <v>861</v>
      </c>
      <c r="J183" s="17">
        <f t="shared" si="95"/>
        <v>15.944444444444445</v>
      </c>
      <c r="K183" s="15">
        <v>328</v>
      </c>
      <c r="L183" s="15">
        <v>660</v>
      </c>
      <c r="M183" s="17">
        <f t="shared" si="96"/>
        <v>6.0740740740740744</v>
      </c>
      <c r="N183" s="17">
        <f t="shared" si="97"/>
        <v>12.222222222222221</v>
      </c>
      <c r="O183" s="18">
        <f t="shared" si="98"/>
        <v>0.49696969696969695</v>
      </c>
      <c r="P183" s="16">
        <v>237</v>
      </c>
      <c r="Q183" s="15">
        <v>436</v>
      </c>
      <c r="R183" s="17">
        <f t="shared" si="99"/>
        <v>4.3888888888888893</v>
      </c>
      <c r="S183" s="17">
        <f t="shared" si="100"/>
        <v>8.0740740740740744</v>
      </c>
      <c r="T183" s="18">
        <f t="shared" si="101"/>
        <v>0.54357798165137616</v>
      </c>
      <c r="U183" s="15">
        <v>91</v>
      </c>
      <c r="V183" s="15">
        <v>224</v>
      </c>
      <c r="W183" s="17">
        <f t="shared" si="102"/>
        <v>1.6851851851851851</v>
      </c>
      <c r="X183" s="17">
        <f t="shared" si="103"/>
        <v>4.1481481481481479</v>
      </c>
      <c r="Y183" s="18">
        <f t="shared" si="104"/>
        <v>0.40625</v>
      </c>
      <c r="Z183" s="15">
        <v>114</v>
      </c>
      <c r="AA183" s="15">
        <v>153</v>
      </c>
      <c r="AB183" s="17">
        <f t="shared" si="105"/>
        <v>2.1111111111111112</v>
      </c>
      <c r="AC183" s="17">
        <f t="shared" si="106"/>
        <v>2.8333333333333335</v>
      </c>
      <c r="AD183" s="18">
        <f t="shared" si="107"/>
        <v>0.74509803921568629</v>
      </c>
      <c r="AE183" s="15">
        <v>160</v>
      </c>
      <c r="AF183" s="17">
        <f t="shared" si="108"/>
        <v>2.9629629629629628</v>
      </c>
      <c r="AG183" s="15">
        <v>36</v>
      </c>
      <c r="AH183" s="17">
        <f t="shared" si="109"/>
        <v>0.66666666666666663</v>
      </c>
      <c r="AI183" s="15">
        <v>124</v>
      </c>
      <c r="AJ183" s="17">
        <f t="shared" si="110"/>
        <v>2.2962962962962963</v>
      </c>
      <c r="AK183" s="15">
        <v>356</v>
      </c>
      <c r="AL183" s="17">
        <f t="shared" si="111"/>
        <v>6.5925925925925926</v>
      </c>
      <c r="AM183" s="15">
        <v>79</v>
      </c>
      <c r="AN183" s="17">
        <f t="shared" si="112"/>
        <v>1.462962962962963</v>
      </c>
      <c r="AO183" s="15">
        <v>8</v>
      </c>
      <c r="AP183" s="17">
        <f t="shared" si="120"/>
        <v>0.14814814814814814</v>
      </c>
      <c r="AQ183" s="4">
        <v>108</v>
      </c>
      <c r="AR183" s="17">
        <f t="shared" si="113"/>
        <v>2</v>
      </c>
      <c r="AS183" s="15">
        <v>131</v>
      </c>
      <c r="AT183" s="17">
        <f t="shared" si="114"/>
        <v>2.425925925925926</v>
      </c>
      <c r="AU183" s="19">
        <v>6.7527506979761798</v>
      </c>
      <c r="AV183" s="19">
        <v>0.15737926231955199</v>
      </c>
      <c r="AW183" s="19">
        <v>5.190070215477169</v>
      </c>
      <c r="AX183" s="19">
        <v>1.562680482499011</v>
      </c>
      <c r="AY183" s="19">
        <v>122.5109074531404</v>
      </c>
      <c r="AZ183" s="19">
        <v>112.1929667843128</v>
      </c>
      <c r="BA183" s="19">
        <v>17.616023822053201</v>
      </c>
      <c r="BB183" s="19">
        <v>18.24074074074074</v>
      </c>
      <c r="BC183" s="19">
        <v>22.95635961079066</v>
      </c>
      <c r="BD183" s="65">
        <f t="shared" si="115"/>
        <v>59.189902656327334</v>
      </c>
      <c r="BE183" s="65">
        <f t="shared" si="116"/>
        <v>56.590909090909093</v>
      </c>
      <c r="BF183" s="66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22.438825712199421</v>
      </c>
      <c r="BG183" s="38">
        <f t="shared" si="117"/>
        <v>0.33939393939393941</v>
      </c>
      <c r="BH183" s="38">
        <f t="shared" si="118"/>
        <v>0.23181818181818181</v>
      </c>
      <c r="BI183" s="67">
        <f>IFERROR(((AG183*(12000/5))/((F183*60+G183)*(SUMIFS(팀공격력!X:X,팀공격력!A:A,B183,팀공격력!B:B,D183)+SUMIFS(팀수비력!X:X,팀수비력!A:A,B183,팀수비력!B:B,D183))))*100,"")</f>
        <v>1.1047735808742212</v>
      </c>
      <c r="BJ183" s="67">
        <f>IFERROR(((AI183*(12000/5))/((F183*60+G183)*(SUMIFS(팀공격력!V:V,팀공격력!A:A,B183,팀공격력!B:B,D183)+SUMIFS(팀수비력!W:W,팀수비력!A:A,B183,팀수비력!B:B,D183))))*100,"")</f>
        <v>8.7231209310055657</v>
      </c>
      <c r="BK183" s="67">
        <f>IFERROR(((AE183*(12000/5))/((F183*60+G183)*(SUMIFS(팀공격력!X:X,팀공격력!A:A,B183,팀공격력!B:B,D183)+SUMIFS(팀수비력!X:X,팀수비력!A:A,B183,팀수비력!B:B,D183))))*100,"")</f>
        <v>4.9101048038854271</v>
      </c>
      <c r="BL183" s="67">
        <f>IFERROR(100*AK183/(((((F183*60+G183)/(12000/5))*SUMIFS(팀공격력!P:P,팀공격력!A:A,B183,팀공격력!B:B,D183))-K183)),"")</f>
        <v>31.348445456126488</v>
      </c>
      <c r="BM183" s="67">
        <f>IFERROR(100*((AM183/E183*(2400))/((F183*60+G183)*SUMIFS(팀공격력!AR:AR,팀공격력!A:A,B183,팀공격력!B:B,D183))),"")</f>
        <v>2.4667514041702558</v>
      </c>
      <c r="BN183" s="67">
        <f>IFERROR((AO183*40)/(((F183*60+G183)/60)*(SUMIFS(팀수비력!Q:Q,팀수비력!A:A,B183,팀수비력!B:B,D183)-SUMIFS(팀수비력!N:N,팀수비력!A:A,B183,팀수비력!B:B,D183)))*100,"")</f>
        <v>0.39669700159050703</v>
      </c>
      <c r="BO183" s="67">
        <f t="shared" si="119"/>
        <v>12.929176842407699</v>
      </c>
      <c r="BP183" s="19"/>
      <c r="BQ183" s="19"/>
      <c r="BR183" s="19"/>
      <c r="BS183" s="19"/>
      <c r="BT183" s="20" t="s">
        <v>113</v>
      </c>
      <c r="BU183" s="21"/>
      <c r="BV183" s="30" t="s">
        <v>90</v>
      </c>
      <c r="BW183" s="30">
        <v>1586.08</v>
      </c>
      <c r="BX183" s="30">
        <v>2097.98</v>
      </c>
      <c r="BY183" s="30">
        <v>511.9</v>
      </c>
      <c r="BZ183" s="35">
        <f t="shared" si="133"/>
        <v>29.371851851851851</v>
      </c>
      <c r="CA183" s="35">
        <f t="shared" si="134"/>
        <v>38.851481481481478</v>
      </c>
      <c r="CB183" s="35">
        <f t="shared" si="135"/>
        <v>9.4796296296296294</v>
      </c>
      <c r="CC183" s="36">
        <f t="shared" si="136"/>
        <v>36.965099341606944</v>
      </c>
      <c r="CD183" s="36">
        <f t="shared" si="137"/>
        <v>48.89541455456505</v>
      </c>
      <c r="CE183" s="36">
        <f t="shared" si="138"/>
        <v>11.930315212958108</v>
      </c>
      <c r="CF183" s="31">
        <v>41</v>
      </c>
      <c r="CG183" s="31">
        <v>13</v>
      </c>
    </row>
    <row r="184" spans="1:85" x14ac:dyDescent="0.4">
      <c r="A184" s="11" t="s">
        <v>85</v>
      </c>
      <c r="B184" s="11" t="s">
        <v>263</v>
      </c>
      <c r="C184" s="11" t="s">
        <v>279</v>
      </c>
      <c r="D184" s="46" t="s">
        <v>88</v>
      </c>
      <c r="E184" s="15">
        <v>18</v>
      </c>
      <c r="F184" s="15">
        <v>8</v>
      </c>
      <c r="G184" s="15">
        <v>46</v>
      </c>
      <c r="H184" s="16">
        <f t="shared" si="94"/>
        <v>9468</v>
      </c>
      <c r="I184" s="16">
        <v>59</v>
      </c>
      <c r="J184" s="17">
        <f t="shared" si="95"/>
        <v>3.2777777777777777</v>
      </c>
      <c r="K184" s="15">
        <v>22</v>
      </c>
      <c r="L184" s="15">
        <v>52</v>
      </c>
      <c r="M184" s="17">
        <f t="shared" si="96"/>
        <v>1.2222222222222223</v>
      </c>
      <c r="N184" s="17">
        <f t="shared" si="97"/>
        <v>2.8888888888888888</v>
      </c>
      <c r="O184" s="18">
        <f t="shared" si="98"/>
        <v>0.42307692307692307</v>
      </c>
      <c r="P184" s="16">
        <v>10</v>
      </c>
      <c r="Q184" s="15">
        <v>15</v>
      </c>
      <c r="R184" s="17">
        <f t="shared" si="99"/>
        <v>0.55555555555555558</v>
      </c>
      <c r="S184" s="17">
        <f t="shared" si="100"/>
        <v>0.83333333333333337</v>
      </c>
      <c r="T184" s="18">
        <f t="shared" si="101"/>
        <v>0.66666666666666663</v>
      </c>
      <c r="U184" s="15">
        <v>12</v>
      </c>
      <c r="V184" s="15">
        <v>37</v>
      </c>
      <c r="W184" s="17">
        <f t="shared" si="102"/>
        <v>0.66666666666666663</v>
      </c>
      <c r="X184" s="17">
        <f t="shared" si="103"/>
        <v>2.0555555555555554</v>
      </c>
      <c r="Y184" s="18">
        <f t="shared" si="104"/>
        <v>0.32432432432432434</v>
      </c>
      <c r="Z184" s="15">
        <v>3</v>
      </c>
      <c r="AA184" s="15">
        <v>5</v>
      </c>
      <c r="AB184" s="17">
        <f t="shared" si="105"/>
        <v>0.16666666666666666</v>
      </c>
      <c r="AC184" s="17">
        <f t="shared" si="106"/>
        <v>0.27777777777777779</v>
      </c>
      <c r="AD184" s="18">
        <f t="shared" si="107"/>
        <v>0.6</v>
      </c>
      <c r="AE184" s="15">
        <v>17</v>
      </c>
      <c r="AF184" s="17">
        <f t="shared" si="108"/>
        <v>0.94444444444444442</v>
      </c>
      <c r="AG184" s="15">
        <v>10</v>
      </c>
      <c r="AH184" s="17">
        <f t="shared" si="109"/>
        <v>0.55555555555555558</v>
      </c>
      <c r="AI184" s="15">
        <v>7</v>
      </c>
      <c r="AJ184" s="17">
        <f t="shared" si="110"/>
        <v>0.3888888888888889</v>
      </c>
      <c r="AK184" s="15">
        <v>8</v>
      </c>
      <c r="AL184" s="17">
        <f t="shared" si="111"/>
        <v>0.44444444444444442</v>
      </c>
      <c r="AM184" s="15">
        <v>4</v>
      </c>
      <c r="AN184" s="17">
        <f t="shared" si="112"/>
        <v>0.22222222222222221</v>
      </c>
      <c r="AO184" s="15">
        <v>0</v>
      </c>
      <c r="AP184" s="17">
        <f t="shared" si="120"/>
        <v>0</v>
      </c>
      <c r="AQ184" s="4">
        <v>9</v>
      </c>
      <c r="AR184" s="17">
        <f t="shared" si="113"/>
        <v>0.5</v>
      </c>
      <c r="AS184" s="15">
        <v>16</v>
      </c>
      <c r="AT184" s="17">
        <f t="shared" si="114"/>
        <v>0.88888888888888884</v>
      </c>
      <c r="AU184" s="19">
        <v>0.12259843970450809</v>
      </c>
      <c r="AV184" s="19">
        <v>3.1076917542334121E-2</v>
      </c>
      <c r="AW184" s="19">
        <v>5.3528824936814372E-2</v>
      </c>
      <c r="AX184" s="19">
        <v>6.9069614767693743E-2</v>
      </c>
      <c r="AY184" s="19">
        <v>104.8960512960617</v>
      </c>
      <c r="AZ184" s="19">
        <v>116.040665040872</v>
      </c>
      <c r="BA184" s="19">
        <v>2.653598213885588</v>
      </c>
      <c r="BB184" s="19">
        <v>2.6111111111111112</v>
      </c>
      <c r="BC184" s="19">
        <v>11.913814955640049</v>
      </c>
      <c r="BD184" s="65">
        <f t="shared" si="115"/>
        <v>54.428044280442798</v>
      </c>
      <c r="BE184" s="65">
        <f t="shared" si="116"/>
        <v>53.846153846153847</v>
      </c>
      <c r="BF184" s="66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6.1550172252831743</v>
      </c>
      <c r="BG184" s="38">
        <f t="shared" si="117"/>
        <v>0.71153846153846156</v>
      </c>
      <c r="BH184" s="38">
        <f t="shared" si="118"/>
        <v>9.6153846153846159E-2</v>
      </c>
      <c r="BI184" s="67">
        <f>IFERROR(((AG184*(12000/5))/((F184*60+G184)*(SUMIFS(팀공격력!X:X,팀공격력!A:A,B184,팀공격력!B:B,D184)+SUMIFS(팀수비력!X:X,팀수비력!A:A,B184,팀수비력!B:B,D184))))*100,"")</f>
        <v>1.1125914758804076</v>
      </c>
      <c r="BJ184" s="67">
        <f>IFERROR(((AI184*(12000/5))/((F184*60+G184)*(SUMIFS(팀공격력!V:V,팀공격력!A:A,B184,팀공격력!B:B,D184)+SUMIFS(팀수비력!W:W,팀수비력!A:A,B184,팀수비력!B:B,D184))))*100,"")</f>
        <v>1.7853081888260962</v>
      </c>
      <c r="BK184" s="67">
        <f>IFERROR(((AE184*(12000/5))/((F184*60+G184)*(SUMIFS(팀공격력!X:X,팀공격력!A:A,B184,팀공격력!B:B,D184)+SUMIFS(팀수비력!X:X,팀수비력!A:A,B184,팀수비력!B:B,D184))))*100,"")</f>
        <v>1.8914055089966928</v>
      </c>
      <c r="BL184" s="67">
        <f>IFERROR(100*AK184/(((((F184*60+G184)/(12000/5))*SUMIFS(팀공격력!P:P,팀공격력!A:A,B184,팀공격력!B:B,D184))-K184)),"")</f>
        <v>2.0958593678364181</v>
      </c>
      <c r="BM184" s="67">
        <f>IFERROR(100*((AM184/E184*(2400))/((F184*60+G184)*SUMIFS(팀공격력!AR:AR,팀공격력!A:A,B184,팀공격력!B:B,D184))),"")</f>
        <v>1.3584525950096773</v>
      </c>
      <c r="BN184" s="67">
        <f>IFERROR((AO184*40)/(((F184*60+G184)/60)*(SUMIFS(팀수비력!Q:Q,팀수비력!A:A,B184,팀수비력!B:B,D184)-SUMIFS(팀수비력!N:N,팀수비력!A:A,B184,팀수비력!B:B,D184)))*100,"")</f>
        <v>0</v>
      </c>
      <c r="BO184" s="67">
        <f t="shared" si="119"/>
        <v>14.240506329113924</v>
      </c>
      <c r="BP184" s="19"/>
      <c r="BQ184" s="19"/>
      <c r="BR184" s="19"/>
      <c r="BS184" s="19"/>
      <c r="BT184" s="20" t="s">
        <v>89</v>
      </c>
      <c r="BU184" s="21">
        <v>177000</v>
      </c>
      <c r="BV184" s="31" t="s">
        <v>90</v>
      </c>
      <c r="BW184" s="31">
        <v>95.34</v>
      </c>
      <c r="BX184" s="31">
        <v>137.94</v>
      </c>
      <c r="BY184" s="31">
        <v>42.6</v>
      </c>
      <c r="BZ184" s="35">
        <f t="shared" si="133"/>
        <v>5.2966666666666669</v>
      </c>
      <c r="CA184" s="35">
        <f t="shared" si="134"/>
        <v>7.6633333333333331</v>
      </c>
      <c r="CB184" s="35">
        <f t="shared" si="135"/>
        <v>2.3666666666666667</v>
      </c>
      <c r="CC184" s="36">
        <f t="shared" si="136"/>
        <v>24.167300380228134</v>
      </c>
      <c r="CD184" s="36">
        <f t="shared" si="137"/>
        <v>34.965779467680605</v>
      </c>
      <c r="CE184" s="36">
        <f t="shared" si="138"/>
        <v>10.798479087452472</v>
      </c>
      <c r="CF184" s="30">
        <v>14</v>
      </c>
      <c r="CG184" s="30">
        <v>4</v>
      </c>
    </row>
    <row r="185" spans="1:85" x14ac:dyDescent="0.4">
      <c r="A185" s="11" t="s">
        <v>85</v>
      </c>
      <c r="B185" s="11" t="s">
        <v>263</v>
      </c>
      <c r="C185" s="11" t="s">
        <v>280</v>
      </c>
      <c r="D185" s="46" t="s">
        <v>88</v>
      </c>
      <c r="E185" s="15">
        <v>4</v>
      </c>
      <c r="F185" s="15">
        <v>2</v>
      </c>
      <c r="G185" s="15">
        <v>55</v>
      </c>
      <c r="H185" s="16">
        <f t="shared" si="94"/>
        <v>700</v>
      </c>
      <c r="I185" s="16">
        <v>2</v>
      </c>
      <c r="J185" s="17">
        <f t="shared" si="95"/>
        <v>0.5</v>
      </c>
      <c r="K185" s="15">
        <v>1</v>
      </c>
      <c r="L185" s="15">
        <v>3</v>
      </c>
      <c r="M185" s="17">
        <f t="shared" si="96"/>
        <v>0.25</v>
      </c>
      <c r="N185" s="17">
        <f t="shared" si="97"/>
        <v>0.75</v>
      </c>
      <c r="O185" s="18">
        <f t="shared" si="98"/>
        <v>0.33333333333333331</v>
      </c>
      <c r="P185" s="16">
        <v>1</v>
      </c>
      <c r="Q185" s="15">
        <v>3</v>
      </c>
      <c r="R185" s="17">
        <f t="shared" si="99"/>
        <v>0.25</v>
      </c>
      <c r="S185" s="17">
        <f t="shared" si="100"/>
        <v>0.75</v>
      </c>
      <c r="T185" s="18">
        <f t="shared" si="101"/>
        <v>0.33333333333333331</v>
      </c>
      <c r="U185" s="15">
        <v>0</v>
      </c>
      <c r="V185" s="15">
        <v>0</v>
      </c>
      <c r="W185" s="17">
        <f t="shared" si="102"/>
        <v>0</v>
      </c>
      <c r="X185" s="17">
        <f t="shared" si="103"/>
        <v>0</v>
      </c>
      <c r="Y185" s="18" t="e">
        <f t="shared" si="104"/>
        <v>#DIV/0!</v>
      </c>
      <c r="Z185" s="15">
        <v>0</v>
      </c>
      <c r="AA185" s="15">
        <v>2</v>
      </c>
      <c r="AB185" s="17">
        <f t="shared" si="105"/>
        <v>0</v>
      </c>
      <c r="AC185" s="17">
        <f t="shared" si="106"/>
        <v>0.5</v>
      </c>
      <c r="AD185" s="18">
        <f t="shared" si="107"/>
        <v>0</v>
      </c>
      <c r="AE185" s="15">
        <v>5</v>
      </c>
      <c r="AF185" s="17">
        <f t="shared" si="108"/>
        <v>1.25</v>
      </c>
      <c r="AG185" s="15">
        <v>3</v>
      </c>
      <c r="AH185" s="17">
        <f t="shared" si="109"/>
        <v>0.75</v>
      </c>
      <c r="AI185" s="15">
        <v>2</v>
      </c>
      <c r="AJ185" s="17">
        <f t="shared" si="110"/>
        <v>0.5</v>
      </c>
      <c r="AK185" s="15">
        <v>0</v>
      </c>
      <c r="AL185" s="17">
        <f t="shared" si="111"/>
        <v>0</v>
      </c>
      <c r="AM185" s="15">
        <v>0</v>
      </c>
      <c r="AN185" s="17">
        <f t="shared" si="112"/>
        <v>0</v>
      </c>
      <c r="AO185" s="15">
        <v>0</v>
      </c>
      <c r="AP185" s="17">
        <f t="shared" si="120"/>
        <v>0</v>
      </c>
      <c r="AQ185" s="4">
        <v>1</v>
      </c>
      <c r="AR185" s="17">
        <f t="shared" si="113"/>
        <v>0.25</v>
      </c>
      <c r="AS185" s="15">
        <v>4</v>
      </c>
      <c r="AT185" s="17">
        <f t="shared" si="114"/>
        <v>1</v>
      </c>
      <c r="AU185" s="19">
        <v>-3.7031396356345621E-2</v>
      </c>
      <c r="AV185" s="19">
        <v>-0.1269647875074707</v>
      </c>
      <c r="AW185" s="19">
        <v>-4.6759045566666137E-2</v>
      </c>
      <c r="AX185" s="19">
        <v>9.7276492103205159E-3</v>
      </c>
      <c r="AY185" s="19">
        <v>73.450960912162387</v>
      </c>
      <c r="AZ185" s="19">
        <v>112.8171342382534</v>
      </c>
      <c r="BA185" s="19">
        <v>-0.35516112175141062</v>
      </c>
      <c r="BB185" s="19">
        <v>0.5</v>
      </c>
      <c r="BC185" s="19">
        <v>6.8571428571428577</v>
      </c>
      <c r="BD185" s="65">
        <f t="shared" si="115"/>
        <v>25.773195876288664</v>
      </c>
      <c r="BE185" s="65">
        <f t="shared" si="116"/>
        <v>33.333333333333329</v>
      </c>
      <c r="BF185" s="66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1.4284982473087591</v>
      </c>
      <c r="BG185" s="38">
        <f t="shared" si="117"/>
        <v>0</v>
      </c>
      <c r="BH185" s="38">
        <f t="shared" si="118"/>
        <v>0.66666666666666663</v>
      </c>
      <c r="BI185" s="67">
        <f>IFERROR(((AG185*(12000/5))/((F185*60+G185)*(SUMIFS(팀공격력!X:X,팀공격력!A:A,B185,팀공격력!B:B,D185)+SUMIFS(팀수비력!X:X,팀수비력!A:A,B185,팀수비력!B:B,D185))))*100,"")</f>
        <v>1.0032396279653046</v>
      </c>
      <c r="BJ185" s="67">
        <f>IFERROR(((AI185*(12000/5))/((F185*60+G185)*(SUMIFS(팀공격력!V:V,팀공격력!A:A,B185,팀공격력!B:B,D185)+SUMIFS(팀수비력!W:W,팀수비력!A:A,B185,팀수비력!B:B,D185))))*100,"")</f>
        <v>1.5331789507306557</v>
      </c>
      <c r="BK185" s="67">
        <f>IFERROR(((AE185*(12000/5))/((F185*60+G185)*(SUMIFS(팀공격력!X:X,팀공격력!A:A,B185,팀공격력!B:B,D185)+SUMIFS(팀수비력!X:X,팀수비력!A:A,B185,팀수비력!B:B,D185))))*100,"")</f>
        <v>1.6720660466088408</v>
      </c>
      <c r="BL185" s="67">
        <f>IFERROR(100*AK185/(((((F185*60+G185)/(12000/5))*SUMIFS(팀공격력!P:P,팀공격력!A:A,B185,팀공격력!B:B,D185))-K185)),"")</f>
        <v>0</v>
      </c>
      <c r="BM185" s="67">
        <f>IFERROR(100*((AM185/E185*(2400))/((F185*60+G185)*SUMIFS(팀공격력!AR:AR,팀공격력!A:A,B185,팀공격력!B:B,D185))),"")</f>
        <v>0</v>
      </c>
      <c r="BN185" s="67">
        <f>IFERROR((AO185*40)/(((F185*60+G185)/60)*(SUMIFS(팀수비력!Q:Q,팀수비력!A:A,B185,팀수비력!B:B,D185)-SUMIFS(팀수비력!N:N,팀수비력!A:A,B185,팀수비력!B:B,D185)))*100,"")</f>
        <v>0</v>
      </c>
      <c r="BO185" s="67">
        <f t="shared" si="119"/>
        <v>20.491803278688526</v>
      </c>
      <c r="BP185" s="19"/>
      <c r="BQ185" s="19"/>
      <c r="BR185" s="19"/>
      <c r="BS185" s="19"/>
      <c r="BT185" s="20" t="s">
        <v>89</v>
      </c>
      <c r="BU185" s="21">
        <v>130000</v>
      </c>
      <c r="BV185" s="31" t="s">
        <v>102</v>
      </c>
      <c r="BW185" s="31">
        <v>6.32</v>
      </c>
      <c r="BX185" s="31">
        <v>11.42</v>
      </c>
      <c r="BY185" s="31">
        <v>5.0999999999999996</v>
      </c>
      <c r="BZ185" s="35">
        <f t="shared" si="133"/>
        <v>1.58</v>
      </c>
      <c r="CA185" s="35">
        <f t="shared" si="134"/>
        <v>2.855</v>
      </c>
      <c r="CB185" s="35">
        <f t="shared" si="135"/>
        <v>1.2749999999999999</v>
      </c>
      <c r="CC185" s="36">
        <f t="shared" si="136"/>
        <v>21.668571428571429</v>
      </c>
      <c r="CD185" s="36">
        <f t="shared" si="137"/>
        <v>39.154285714285713</v>
      </c>
      <c r="CE185" s="36">
        <f t="shared" si="138"/>
        <v>17.485714285714284</v>
      </c>
      <c r="CF185" s="31">
        <v>2</v>
      </c>
      <c r="CG185" s="31">
        <v>2</v>
      </c>
    </row>
    <row r="186" spans="1:85" x14ac:dyDescent="0.4">
      <c r="A186" s="11" t="s">
        <v>85</v>
      </c>
      <c r="B186" s="11" t="s">
        <v>263</v>
      </c>
      <c r="C186" s="11" t="s">
        <v>281</v>
      </c>
      <c r="D186" s="46" t="s">
        <v>88</v>
      </c>
      <c r="E186" s="15">
        <v>3</v>
      </c>
      <c r="F186" s="15">
        <v>4</v>
      </c>
      <c r="G186" s="15">
        <v>14</v>
      </c>
      <c r="H186" s="16">
        <f t="shared" si="94"/>
        <v>762</v>
      </c>
      <c r="I186" s="16">
        <v>3</v>
      </c>
      <c r="J186" s="17">
        <f t="shared" si="95"/>
        <v>1</v>
      </c>
      <c r="K186" s="15">
        <v>1</v>
      </c>
      <c r="L186" s="15">
        <v>9</v>
      </c>
      <c r="M186" s="17">
        <f t="shared" si="96"/>
        <v>0.33333333333333331</v>
      </c>
      <c r="N186" s="17">
        <f t="shared" si="97"/>
        <v>3</v>
      </c>
      <c r="O186" s="18">
        <f t="shared" si="98"/>
        <v>0.1111111111111111</v>
      </c>
      <c r="P186" s="16">
        <v>1</v>
      </c>
      <c r="Q186" s="15">
        <v>7</v>
      </c>
      <c r="R186" s="17">
        <f t="shared" si="99"/>
        <v>0.33333333333333331</v>
      </c>
      <c r="S186" s="17">
        <f t="shared" si="100"/>
        <v>2.3333333333333335</v>
      </c>
      <c r="T186" s="18">
        <f t="shared" si="101"/>
        <v>0.14285714285714285</v>
      </c>
      <c r="U186" s="15">
        <v>0</v>
      </c>
      <c r="V186" s="15">
        <v>2</v>
      </c>
      <c r="W186" s="17">
        <f t="shared" si="102"/>
        <v>0</v>
      </c>
      <c r="X186" s="17">
        <f t="shared" si="103"/>
        <v>0.66666666666666663</v>
      </c>
      <c r="Y186" s="18">
        <f t="shared" si="104"/>
        <v>0</v>
      </c>
      <c r="Z186" s="15">
        <v>1</v>
      </c>
      <c r="AA186" s="15">
        <v>2</v>
      </c>
      <c r="AB186" s="17">
        <f t="shared" si="105"/>
        <v>0.33333333333333331</v>
      </c>
      <c r="AC186" s="17">
        <f t="shared" si="106"/>
        <v>0.66666666666666663</v>
      </c>
      <c r="AD186" s="18">
        <f t="shared" si="107"/>
        <v>0.5</v>
      </c>
      <c r="AE186" s="15">
        <v>1</v>
      </c>
      <c r="AF186" s="17">
        <f t="shared" si="108"/>
        <v>0.33333333333333331</v>
      </c>
      <c r="AG186" s="15">
        <v>1</v>
      </c>
      <c r="AH186" s="17">
        <f t="shared" si="109"/>
        <v>0.33333333333333331</v>
      </c>
      <c r="AI186" s="15">
        <v>0</v>
      </c>
      <c r="AJ186" s="17">
        <f t="shared" si="110"/>
        <v>0</v>
      </c>
      <c r="AK186" s="15">
        <v>2</v>
      </c>
      <c r="AL186" s="17">
        <f t="shared" si="111"/>
        <v>0.66666666666666663</v>
      </c>
      <c r="AM186" s="15">
        <v>0</v>
      </c>
      <c r="AN186" s="17">
        <f t="shared" si="112"/>
        <v>0</v>
      </c>
      <c r="AO186" s="15">
        <v>0</v>
      </c>
      <c r="AP186" s="17">
        <f t="shared" si="120"/>
        <v>0</v>
      </c>
      <c r="AQ186" s="4">
        <v>1</v>
      </c>
      <c r="AR186" s="17">
        <f t="shared" si="113"/>
        <v>0.33333333333333331</v>
      </c>
      <c r="AS186" s="15">
        <v>1</v>
      </c>
      <c r="AT186" s="17">
        <f t="shared" si="114"/>
        <v>0.33333333333333331</v>
      </c>
      <c r="AU186" s="19">
        <v>-0.1579594848484096</v>
      </c>
      <c r="AV186" s="19">
        <v>-0.49751018849892797</v>
      </c>
      <c r="AW186" s="19">
        <v>-0.15565751842988221</v>
      </c>
      <c r="AX186" s="19">
        <v>-2.301966418527483E-3</v>
      </c>
      <c r="AY186" s="19">
        <v>50.159617139883864</v>
      </c>
      <c r="AZ186" s="19">
        <v>121.0779388942285</v>
      </c>
      <c r="BA186" s="19">
        <v>-0.79469671360186411</v>
      </c>
      <c r="BB186" s="19">
        <v>-1.333333333333333</v>
      </c>
      <c r="BC186" s="19">
        <v>-12.598425196850391</v>
      </c>
      <c r="BD186" s="65">
        <f t="shared" si="115"/>
        <v>15.182186234817813</v>
      </c>
      <c r="BE186" s="65">
        <f t="shared" si="116"/>
        <v>11.111111111111111</v>
      </c>
      <c r="BF186" s="66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2.1942854192557424</v>
      </c>
      <c r="BG186" s="38">
        <f t="shared" si="117"/>
        <v>0.22222222222222221</v>
      </c>
      <c r="BH186" s="38">
        <f t="shared" si="118"/>
        <v>0.22222222222222221</v>
      </c>
      <c r="BI186" s="67">
        <f>IFERROR(((AG186*(12000/5))/((F186*60+G186)*(SUMIFS(팀공격력!X:X,팀공격력!A:A,B186,팀공격력!B:B,D186)+SUMIFS(팀수비력!X:X,팀수비력!A:A,B186,팀수비력!B:B,D186))))*100,"")</f>
        <v>0.23040280169806865</v>
      </c>
      <c r="BJ186" s="67">
        <f>IFERROR(((AI186*(12000/5))/((F186*60+G186)*(SUMIFS(팀공격력!V:V,팀공격력!A:A,B186,팀공격력!B:B,D186)+SUMIFS(팀수비력!W:W,팀수비력!A:A,B186,팀수비력!B:B,D186))))*100,"")</f>
        <v>0</v>
      </c>
      <c r="BK186" s="67">
        <f>IFERROR(((AE186*(12000/5))/((F186*60+G186)*(SUMIFS(팀공격력!X:X,팀공격력!A:A,B186,팀공격력!B:B,D186)+SUMIFS(팀수비력!X:X,팀수비력!A:A,B186,팀수비력!B:B,D186))))*100,"")</f>
        <v>0.23040280169806865</v>
      </c>
      <c r="BL186" s="67">
        <f>IFERROR(100*AK186/(((((F186*60+G186)/(12000/5))*SUMIFS(팀공격력!P:P,팀공격력!A:A,B186,팀공격력!B:B,D186))-K186)),"")</f>
        <v>1.0312201912913455</v>
      </c>
      <c r="BM186" s="67">
        <f>IFERROR(100*((AM186/E186*(2400))/((F186*60+G186)*SUMIFS(팀공격력!AR:AR,팀공격력!A:A,B186,팀공격력!B:B,D186))),"")</f>
        <v>0</v>
      </c>
      <c r="BN186" s="67">
        <f>IFERROR((AO186*40)/(((F186*60+G186)/60)*(SUMIFS(팀수비력!Q:Q,팀수비력!A:A,B186,팀수비력!B:B,D186)-SUMIFS(팀수비력!N:N,팀수비력!A:A,B186,팀수비력!B:B,D186)))*100,"")</f>
        <v>0</v>
      </c>
      <c r="BO186" s="67">
        <f t="shared" si="119"/>
        <v>9.1911764705882355</v>
      </c>
      <c r="BP186" s="19"/>
      <c r="BQ186" s="19"/>
      <c r="BR186" s="19"/>
      <c r="BS186" s="19"/>
      <c r="BT186" s="20" t="s">
        <v>89</v>
      </c>
      <c r="BU186" s="21">
        <v>200000</v>
      </c>
      <c r="BV186" s="30" t="s">
        <v>90</v>
      </c>
      <c r="BW186" s="30">
        <v>0.57999999999999996</v>
      </c>
      <c r="BX186" s="30">
        <v>10.68</v>
      </c>
      <c r="BY186" s="30">
        <v>10.1</v>
      </c>
      <c r="BZ186" s="35">
        <f t="shared" si="133"/>
        <v>0.19333333333333336</v>
      </c>
      <c r="CA186" s="35">
        <f t="shared" si="134"/>
        <v>3.56</v>
      </c>
      <c r="CB186" s="35">
        <f t="shared" si="135"/>
        <v>3.3666666666666667</v>
      </c>
      <c r="CC186" s="36">
        <f t="shared" si="136"/>
        <v>1.8267716535433038</v>
      </c>
      <c r="CD186" s="36">
        <f t="shared" si="137"/>
        <v>33.637795275590548</v>
      </c>
      <c r="CE186" s="36">
        <f t="shared" si="138"/>
        <v>31.811023622047244</v>
      </c>
      <c r="CF186" s="30">
        <v>2</v>
      </c>
      <c r="CG186" s="30">
        <v>1</v>
      </c>
    </row>
    <row r="187" spans="1:85" x14ac:dyDescent="0.4">
      <c r="A187" s="11" t="s">
        <v>85</v>
      </c>
      <c r="B187" s="11" t="s">
        <v>263</v>
      </c>
      <c r="C187" s="11" t="s">
        <v>282</v>
      </c>
      <c r="D187" s="46" t="s">
        <v>88</v>
      </c>
      <c r="E187" s="15">
        <v>2</v>
      </c>
      <c r="F187" s="15">
        <v>6</v>
      </c>
      <c r="G187" s="15">
        <v>42</v>
      </c>
      <c r="H187" s="16">
        <f t="shared" si="94"/>
        <v>804</v>
      </c>
      <c r="I187" s="16">
        <v>0</v>
      </c>
      <c r="J187" s="17">
        <f t="shared" si="95"/>
        <v>0</v>
      </c>
      <c r="K187" s="15">
        <v>0</v>
      </c>
      <c r="L187" s="15">
        <v>1</v>
      </c>
      <c r="M187" s="17">
        <f t="shared" si="96"/>
        <v>0</v>
      </c>
      <c r="N187" s="17">
        <f t="shared" si="97"/>
        <v>0.5</v>
      </c>
      <c r="O187" s="18">
        <f t="shared" si="98"/>
        <v>0</v>
      </c>
      <c r="P187" s="16">
        <v>0</v>
      </c>
      <c r="Q187" s="15">
        <v>1</v>
      </c>
      <c r="R187" s="17">
        <f t="shared" si="99"/>
        <v>0</v>
      </c>
      <c r="S187" s="17">
        <f t="shared" si="100"/>
        <v>0.5</v>
      </c>
      <c r="T187" s="18">
        <f t="shared" si="101"/>
        <v>0</v>
      </c>
      <c r="U187" s="15">
        <v>0</v>
      </c>
      <c r="V187" s="15">
        <v>0</v>
      </c>
      <c r="W187" s="17">
        <f t="shared" si="102"/>
        <v>0</v>
      </c>
      <c r="X187" s="17">
        <f t="shared" si="103"/>
        <v>0</v>
      </c>
      <c r="Y187" s="18" t="e">
        <f t="shared" si="104"/>
        <v>#DIV/0!</v>
      </c>
      <c r="Z187" s="15">
        <v>0</v>
      </c>
      <c r="AA187" s="15">
        <v>0</v>
      </c>
      <c r="AB187" s="17">
        <f t="shared" si="105"/>
        <v>0</v>
      </c>
      <c r="AC187" s="17">
        <f t="shared" si="106"/>
        <v>0</v>
      </c>
      <c r="AD187" s="18" t="e">
        <f t="shared" si="107"/>
        <v>#DIV/0!</v>
      </c>
      <c r="AE187" s="15">
        <v>0</v>
      </c>
      <c r="AF187" s="17">
        <f t="shared" si="108"/>
        <v>0</v>
      </c>
      <c r="AG187" s="15">
        <v>0</v>
      </c>
      <c r="AH187" s="17">
        <f t="shared" si="109"/>
        <v>0</v>
      </c>
      <c r="AI187" s="15">
        <v>0</v>
      </c>
      <c r="AJ187" s="17">
        <f t="shared" si="110"/>
        <v>0</v>
      </c>
      <c r="AK187" s="15">
        <v>0</v>
      </c>
      <c r="AL187" s="17">
        <f t="shared" si="111"/>
        <v>0</v>
      </c>
      <c r="AM187" s="15">
        <v>0</v>
      </c>
      <c r="AN187" s="17">
        <f t="shared" si="112"/>
        <v>0</v>
      </c>
      <c r="AO187" s="15">
        <v>0</v>
      </c>
      <c r="AP187" s="17">
        <f t="shared" si="120"/>
        <v>0</v>
      </c>
      <c r="AQ187" s="4">
        <v>0</v>
      </c>
      <c r="AR187" s="17">
        <f t="shared" si="113"/>
        <v>0</v>
      </c>
      <c r="AS187" s="15">
        <v>2</v>
      </c>
      <c r="AT187" s="17">
        <f t="shared" si="114"/>
        <v>1</v>
      </c>
      <c r="AU187" s="19">
        <v>-2.5778763959866269E-2</v>
      </c>
      <c r="AV187" s="19">
        <v>-7.6951534208556022E-2</v>
      </c>
      <c r="AW187" s="19">
        <v>-2.3690571623891921E-2</v>
      </c>
      <c r="AX187" s="19">
        <v>-2.0881923359743408E-3</v>
      </c>
      <c r="AY187" s="19">
        <v>0</v>
      </c>
      <c r="AZ187" s="19">
        <v>120.8710480239254</v>
      </c>
      <c r="BA187" s="19">
        <v>-0.25351618594139019</v>
      </c>
      <c r="BB187" s="19">
        <v>-0.5</v>
      </c>
      <c r="BC187" s="19">
        <v>-2.9850746268656709</v>
      </c>
      <c r="BD187" s="65">
        <f t="shared" si="115"/>
        <v>0</v>
      </c>
      <c r="BE187" s="65">
        <f t="shared" si="116"/>
        <v>0</v>
      </c>
      <c r="BF187" s="66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0.12743005937476187</v>
      </c>
      <c r="BG187" s="38">
        <f t="shared" si="117"/>
        <v>0</v>
      </c>
      <c r="BH187" s="38">
        <f t="shared" si="118"/>
        <v>0</v>
      </c>
      <c r="BI187" s="67">
        <f>IFERROR(((AG187*(12000/5))/((F187*60+G187)*(SUMIFS(팀공격력!X:X,팀공격력!A:A,B187,팀공격력!B:B,D187)+SUMIFS(팀수비력!X:X,팀수비력!A:A,B187,팀수비력!B:B,D187))))*100,"")</f>
        <v>0</v>
      </c>
      <c r="BJ187" s="67">
        <f>IFERROR(((AI187*(12000/5))/((F187*60+G187)*(SUMIFS(팀공격력!V:V,팀공격력!A:A,B187,팀공격력!B:B,D187)+SUMIFS(팀수비력!W:W,팀수비력!A:A,B187,팀수비력!B:B,D187))))*100,"")</f>
        <v>0</v>
      </c>
      <c r="BK187" s="67">
        <f>IFERROR(((AE187*(12000/5))/((F187*60+G187)*(SUMIFS(팀공격력!X:X,팀공격력!A:A,B187,팀공격력!B:B,D187)+SUMIFS(팀수비력!X:X,팀수비력!A:A,B187,팀수비력!B:B,D187))))*100,"")</f>
        <v>0</v>
      </c>
      <c r="BL187" s="67">
        <f>IFERROR(100*AK187/(((((F187*60+G187)/(12000/5))*SUMIFS(팀공격력!P:P,팀공격력!A:A,B187,팀공격력!B:B,D187))-K187)),"")</f>
        <v>0</v>
      </c>
      <c r="BM187" s="67">
        <f>IFERROR(100*((AM187/E187*(2400))/((F187*60+G187)*SUMIFS(팀공격력!AR:AR,팀공격력!A:A,B187,팀공격력!B:B,D187))),"")</f>
        <v>0</v>
      </c>
      <c r="BN187" s="67">
        <f>IFERROR((AO187*40)/(((F187*60+G187)/60)*(SUMIFS(팀수비력!Q:Q,팀수비력!A:A,B187,팀수비력!B:B,D187)-SUMIFS(팀수비력!N:N,팀수비력!A:A,B187,팀수비력!B:B,D187)))*100,"")</f>
        <v>0</v>
      </c>
      <c r="BO187" s="67">
        <f t="shared" si="119"/>
        <v>0</v>
      </c>
      <c r="BP187" s="19"/>
      <c r="BQ187" s="19"/>
      <c r="BR187" s="19"/>
      <c r="BS187" s="19"/>
      <c r="BT187" s="20" t="s">
        <v>89</v>
      </c>
      <c r="BU187" s="21">
        <v>40000</v>
      </c>
      <c r="BV187" s="30" t="s">
        <v>93</v>
      </c>
      <c r="BW187" s="30">
        <v>2.35</v>
      </c>
      <c r="BX187" s="30">
        <v>3.35</v>
      </c>
      <c r="BY187" s="30">
        <v>1</v>
      </c>
      <c r="BZ187" s="35">
        <f t="shared" si="133"/>
        <v>1.175</v>
      </c>
      <c r="CA187" s="35">
        <f t="shared" si="134"/>
        <v>1.675</v>
      </c>
      <c r="CB187" s="35">
        <f t="shared" si="135"/>
        <v>0.5</v>
      </c>
      <c r="CC187" s="36">
        <f t="shared" si="136"/>
        <v>7.0149253731343286</v>
      </c>
      <c r="CD187" s="36">
        <f t="shared" si="137"/>
        <v>10</v>
      </c>
      <c r="CE187" s="36">
        <f t="shared" si="138"/>
        <v>2.9850746268656718</v>
      </c>
      <c r="CF187" s="30">
        <v>1</v>
      </c>
      <c r="CG187" s="30">
        <v>1</v>
      </c>
    </row>
    <row r="188" spans="1:85" x14ac:dyDescent="0.4">
      <c r="A188" s="11" t="s">
        <v>85</v>
      </c>
      <c r="B188" s="11" t="s">
        <v>263</v>
      </c>
      <c r="C188" s="11" t="s">
        <v>283</v>
      </c>
      <c r="D188" s="46" t="s">
        <v>88</v>
      </c>
      <c r="E188" s="15">
        <v>48</v>
      </c>
      <c r="F188" s="15">
        <v>10</v>
      </c>
      <c r="G188" s="15">
        <v>30</v>
      </c>
      <c r="H188" s="16">
        <f t="shared" si="94"/>
        <v>30240</v>
      </c>
      <c r="I188" s="16">
        <v>294</v>
      </c>
      <c r="J188" s="17">
        <f t="shared" si="95"/>
        <v>6.125</v>
      </c>
      <c r="K188" s="15">
        <v>118</v>
      </c>
      <c r="L188" s="15">
        <v>216</v>
      </c>
      <c r="M188" s="17">
        <f t="shared" si="96"/>
        <v>2.4583333333333335</v>
      </c>
      <c r="N188" s="17">
        <f t="shared" si="97"/>
        <v>4.5</v>
      </c>
      <c r="O188" s="18">
        <f t="shared" si="98"/>
        <v>0.54629629629629628</v>
      </c>
      <c r="P188" s="16">
        <v>105</v>
      </c>
      <c r="Q188" s="15">
        <v>186</v>
      </c>
      <c r="R188" s="17">
        <f t="shared" si="99"/>
        <v>2.1875</v>
      </c>
      <c r="S188" s="17">
        <f t="shared" si="100"/>
        <v>3.875</v>
      </c>
      <c r="T188" s="18">
        <f t="shared" si="101"/>
        <v>0.56451612903225812</v>
      </c>
      <c r="U188" s="15">
        <v>13</v>
      </c>
      <c r="V188" s="15">
        <v>30</v>
      </c>
      <c r="W188" s="17">
        <f t="shared" si="102"/>
        <v>0.27083333333333331</v>
      </c>
      <c r="X188" s="17">
        <f t="shared" si="103"/>
        <v>0.625</v>
      </c>
      <c r="Y188" s="18">
        <f t="shared" si="104"/>
        <v>0.43333333333333335</v>
      </c>
      <c r="Z188" s="15">
        <v>45</v>
      </c>
      <c r="AA188" s="15">
        <v>64</v>
      </c>
      <c r="AB188" s="17">
        <f t="shared" si="105"/>
        <v>0.9375</v>
      </c>
      <c r="AC188" s="17">
        <f t="shared" si="106"/>
        <v>1.3333333333333333</v>
      </c>
      <c r="AD188" s="18">
        <f t="shared" si="107"/>
        <v>0.703125</v>
      </c>
      <c r="AE188" s="15">
        <v>213</v>
      </c>
      <c r="AF188" s="17">
        <f t="shared" si="108"/>
        <v>4.4375</v>
      </c>
      <c r="AG188" s="15">
        <v>48</v>
      </c>
      <c r="AH188" s="17">
        <f t="shared" si="109"/>
        <v>1</v>
      </c>
      <c r="AI188" s="15">
        <v>165</v>
      </c>
      <c r="AJ188" s="17">
        <f t="shared" si="110"/>
        <v>3.4375</v>
      </c>
      <c r="AK188" s="15">
        <v>23</v>
      </c>
      <c r="AL188" s="17">
        <f t="shared" si="111"/>
        <v>0.47916666666666669</v>
      </c>
      <c r="AM188" s="15">
        <v>19</v>
      </c>
      <c r="AN188" s="17">
        <f t="shared" si="112"/>
        <v>0.39583333333333331</v>
      </c>
      <c r="AO188" s="15">
        <v>44</v>
      </c>
      <c r="AP188" s="17">
        <f t="shared" si="120"/>
        <v>0.91666666666666663</v>
      </c>
      <c r="AQ188" s="3">
        <v>43</v>
      </c>
      <c r="AR188" s="17">
        <f t="shared" si="113"/>
        <v>0.89583333333333337</v>
      </c>
      <c r="AS188" s="15">
        <v>41</v>
      </c>
      <c r="AT188" s="17">
        <f t="shared" si="114"/>
        <v>0.85416666666666663</v>
      </c>
      <c r="AU188" s="19">
        <v>2.0048796676754428</v>
      </c>
      <c r="AV188" s="19">
        <v>0.15911743394249539</v>
      </c>
      <c r="AW188" s="19">
        <v>0.66613527866838151</v>
      </c>
      <c r="AX188" s="19">
        <v>1.3387443890070609</v>
      </c>
      <c r="AY188" s="19">
        <v>110.2297328077875</v>
      </c>
      <c r="AZ188" s="19">
        <v>97.985609418225067</v>
      </c>
      <c r="BA188" s="19">
        <v>20.468466942803921</v>
      </c>
      <c r="BB188" s="19">
        <v>9.0208333333333339</v>
      </c>
      <c r="BC188" s="19">
        <v>34.36507936507936</v>
      </c>
      <c r="BD188" s="65">
        <f t="shared" si="115"/>
        <v>60.206422018348626</v>
      </c>
      <c r="BE188" s="65">
        <f t="shared" si="116"/>
        <v>57.638888888888886</v>
      </c>
      <c r="BF188" s="66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23.349701542417073</v>
      </c>
      <c r="BG188" s="38">
        <f t="shared" si="117"/>
        <v>0.1388888888888889</v>
      </c>
      <c r="BH188" s="38">
        <f t="shared" si="118"/>
        <v>0.29629629629629628</v>
      </c>
      <c r="BI188" s="67">
        <f>IFERROR(((AG188*(12000/5))/((F188*60+G188)*(SUMIFS(팀공격력!X:X,팀공격력!A:A,B188,팀공격력!B:B,D188)+SUMIFS(팀수비력!X:X,팀수비력!A:A,B188,팀수비력!B:B,D188))))*100,"")</f>
        <v>4.4588427909569095</v>
      </c>
      <c r="BJ188" s="67">
        <f>IFERROR(((AI188*(12000/5))/((F188*60+G188)*(SUMIFS(팀공격력!V:V,팀공격력!A:A,B188,팀공격력!B:B,D188)+SUMIFS(팀수비력!W:W,팀수비력!A:A,B188,팀수비력!B:B,D188))))*100,"")</f>
        <v>35.135350954244196</v>
      </c>
      <c r="BK188" s="67">
        <f>IFERROR(((AE188*(12000/5))/((F188*60+G188)*(SUMIFS(팀공격력!X:X,팀공격력!A:A,B188,팀공격력!B:B,D188)+SUMIFS(팀수비력!X:X,팀수비력!A:A,B188,팀수비력!B:B,D188))))*100,"")</f>
        <v>19.786114884871285</v>
      </c>
      <c r="BL188" s="67">
        <f>IFERROR(100*AK188/(((((F188*60+G188)/(12000/5))*SUMIFS(팀공격력!P:P,팀공격력!A:A,B188,팀공격력!B:B,D188))-K188)),"")</f>
        <v>6.2923192668080157</v>
      </c>
      <c r="BM188" s="67">
        <f>IFERROR(100*((AM188/E188*(2400))/((F188*60+G188)*SUMIFS(팀공격력!AR:AR,팀공격력!A:A,B188,팀공격력!B:B,D188))),"")</f>
        <v>2.0202939337093326</v>
      </c>
      <c r="BN188" s="67">
        <f>IFERROR((AO188*40)/(((F188*60+G188)/60)*(SUMIFS(팀수비력!Q:Q,팀수비력!A:A,B188,팀수비력!B:B,D188)-SUMIFS(팀수비력!N:N,팀수비력!A:A,B188,팀수비력!B:B,D188)))*100,"")</f>
        <v>6.6043753987016398</v>
      </c>
      <c r="BO188" s="67">
        <f t="shared" si="119"/>
        <v>14.974230394205323</v>
      </c>
      <c r="BP188" s="19"/>
      <c r="BQ188" s="19"/>
      <c r="BR188" s="19"/>
      <c r="BS188" s="19"/>
      <c r="BT188" s="20" t="s">
        <v>96</v>
      </c>
      <c r="BU188" s="21">
        <v>600000</v>
      </c>
      <c r="BV188" s="30" t="s">
        <v>102</v>
      </c>
      <c r="BW188" s="30">
        <v>578.45000000000005</v>
      </c>
      <c r="BX188" s="30">
        <v>754.45</v>
      </c>
      <c r="BY188" s="30">
        <v>176</v>
      </c>
      <c r="BZ188" s="35">
        <f t="shared" si="133"/>
        <v>12.051041666666668</v>
      </c>
      <c r="CA188" s="35">
        <f t="shared" si="134"/>
        <v>15.717708333333334</v>
      </c>
      <c r="CB188" s="35">
        <f t="shared" si="135"/>
        <v>3.6666666666666665</v>
      </c>
      <c r="CC188" s="36">
        <f t="shared" si="136"/>
        <v>45.908730158730158</v>
      </c>
      <c r="CD188" s="36">
        <f t="shared" si="137"/>
        <v>59.876984126984127</v>
      </c>
      <c r="CE188" s="36">
        <f t="shared" si="138"/>
        <v>13.968253968253968</v>
      </c>
      <c r="CF188" s="30">
        <v>35</v>
      </c>
      <c r="CG188" s="30">
        <v>13</v>
      </c>
    </row>
    <row r="189" spans="1:85" x14ac:dyDescent="0.4">
      <c r="A189" s="11" t="s">
        <v>85</v>
      </c>
      <c r="B189" s="11" t="s">
        <v>263</v>
      </c>
      <c r="C189" s="11" t="s">
        <v>284</v>
      </c>
      <c r="D189" s="46" t="s">
        <v>88</v>
      </c>
      <c r="E189" s="15">
        <v>1</v>
      </c>
      <c r="F189" s="15">
        <v>0</v>
      </c>
      <c r="G189" s="15">
        <v>53</v>
      </c>
      <c r="H189" s="16">
        <f t="shared" si="94"/>
        <v>53</v>
      </c>
      <c r="I189" s="16">
        <v>0</v>
      </c>
      <c r="J189" s="17">
        <f t="shared" si="95"/>
        <v>0</v>
      </c>
      <c r="K189" s="15">
        <v>0</v>
      </c>
      <c r="L189" s="15">
        <v>0</v>
      </c>
      <c r="M189" s="17">
        <f t="shared" si="96"/>
        <v>0</v>
      </c>
      <c r="N189" s="17">
        <f t="shared" si="97"/>
        <v>0</v>
      </c>
      <c r="O189" s="18" t="e">
        <f t="shared" si="98"/>
        <v>#DIV/0!</v>
      </c>
      <c r="P189" s="16">
        <v>0</v>
      </c>
      <c r="Q189" s="15">
        <v>0</v>
      </c>
      <c r="R189" s="17">
        <f t="shared" si="99"/>
        <v>0</v>
      </c>
      <c r="S189" s="17">
        <f t="shared" si="100"/>
        <v>0</v>
      </c>
      <c r="T189" s="18" t="e">
        <f t="shared" si="101"/>
        <v>#DIV/0!</v>
      </c>
      <c r="U189" s="15">
        <v>0</v>
      </c>
      <c r="V189" s="15">
        <v>0</v>
      </c>
      <c r="W189" s="17">
        <f t="shared" si="102"/>
        <v>0</v>
      </c>
      <c r="X189" s="17">
        <f t="shared" si="103"/>
        <v>0</v>
      </c>
      <c r="Y189" s="18" t="e">
        <f t="shared" si="104"/>
        <v>#DIV/0!</v>
      </c>
      <c r="Z189" s="15">
        <v>0</v>
      </c>
      <c r="AA189" s="15">
        <v>0</v>
      </c>
      <c r="AB189" s="17">
        <f t="shared" si="105"/>
        <v>0</v>
      </c>
      <c r="AC189" s="17">
        <f t="shared" si="106"/>
        <v>0</v>
      </c>
      <c r="AD189" s="18" t="e">
        <f t="shared" si="107"/>
        <v>#DIV/0!</v>
      </c>
      <c r="AE189" s="15">
        <v>0</v>
      </c>
      <c r="AF189" s="17">
        <f t="shared" si="108"/>
        <v>0</v>
      </c>
      <c r="AG189" s="15">
        <v>0</v>
      </c>
      <c r="AH189" s="17">
        <f t="shared" si="109"/>
        <v>0</v>
      </c>
      <c r="AI189" s="15">
        <v>0</v>
      </c>
      <c r="AJ189" s="17">
        <f t="shared" si="110"/>
        <v>0</v>
      </c>
      <c r="AK189" s="15">
        <v>0</v>
      </c>
      <c r="AL189" s="17">
        <f t="shared" si="111"/>
        <v>0</v>
      </c>
      <c r="AM189" s="15">
        <v>0</v>
      </c>
      <c r="AN189" s="17">
        <f t="shared" si="112"/>
        <v>0</v>
      </c>
      <c r="AO189" s="15">
        <v>0</v>
      </c>
      <c r="AP189" s="17">
        <f t="shared" si="120"/>
        <v>0</v>
      </c>
      <c r="AQ189" s="4">
        <v>0</v>
      </c>
      <c r="AR189" s="17">
        <f t="shared" si="113"/>
        <v>0</v>
      </c>
      <c r="AS189" s="15">
        <v>0</v>
      </c>
      <c r="AT189" s="17">
        <f t="shared" si="114"/>
        <v>0</v>
      </c>
      <c r="AU189" s="19">
        <v>-1.8518645355176751E-4</v>
      </c>
      <c r="AV189" s="19">
        <v>-8.3858016702687155E-3</v>
      </c>
      <c r="AW189" s="19">
        <v>0</v>
      </c>
      <c r="AX189" s="19">
        <v>-1.8518645355176751E-4</v>
      </c>
      <c r="AY189" s="19">
        <v>0</v>
      </c>
      <c r="AZ189" s="19">
        <v>121.3089670327337</v>
      </c>
      <c r="BA189" s="19">
        <v>1.1867386005356421E-2</v>
      </c>
      <c r="BB189" s="19">
        <v>0</v>
      </c>
      <c r="BC189" s="19">
        <v>0</v>
      </c>
      <c r="BD189" s="65" t="str">
        <f t="shared" si="115"/>
        <v/>
      </c>
      <c r="BE189" s="65" t="str">
        <f t="shared" si="116"/>
        <v/>
      </c>
      <c r="BF189" s="66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0</v>
      </c>
      <c r="BG189" s="38" t="str">
        <f t="shared" si="117"/>
        <v/>
      </c>
      <c r="BH189" s="38" t="str">
        <f t="shared" si="118"/>
        <v/>
      </c>
      <c r="BI189" s="67">
        <f>IFERROR(((AG189*(12000/5))/((F189*60+G189)*(SUMIFS(팀공격력!X:X,팀공격력!A:A,B189,팀공격력!B:B,D189)+SUMIFS(팀수비력!X:X,팀수비력!A:A,B189,팀수비력!B:B,D189))))*100,"")</f>
        <v>0</v>
      </c>
      <c r="BJ189" s="67">
        <f>IFERROR(((AI189*(12000/5))/((F189*60+G189)*(SUMIFS(팀공격력!V:V,팀공격력!A:A,B189,팀공격력!B:B,D189)+SUMIFS(팀수비력!W:W,팀수비력!A:A,B189,팀수비력!B:B,D189))))*100,"")</f>
        <v>0</v>
      </c>
      <c r="BK189" s="67">
        <f>IFERROR(((AE189*(12000/5))/((F189*60+G189)*(SUMIFS(팀공격력!X:X,팀공격력!A:A,B189,팀공격력!B:B,D189)+SUMIFS(팀수비력!X:X,팀수비력!A:A,B189,팀수비력!B:B,D189))))*100,"")</f>
        <v>0</v>
      </c>
      <c r="BL189" s="67">
        <f>IFERROR(100*AK189/(((((F189*60+G189)/(12000/5))*SUMIFS(팀공격력!P:P,팀공격력!A:A,B189,팀공격력!B:B,D189))-K189)),"")</f>
        <v>0</v>
      </c>
      <c r="BM189" s="67">
        <f>IFERROR(100*((AM189/E189*(2400))/((F189*60+G189)*SUMIFS(팀공격력!AR:AR,팀공격력!A:A,B189,팀공격력!B:B,D189))),"")</f>
        <v>0</v>
      </c>
      <c r="BN189" s="67">
        <f>IFERROR((AO189*40)/(((F189*60+G189)/60)*(SUMIFS(팀수비력!Q:Q,팀수비력!A:A,B189,팀수비력!B:B,D189)-SUMIFS(팀수비력!N:N,팀수비력!A:A,B189,팀수비력!B:B,D189)))*100,"")</f>
        <v>0</v>
      </c>
      <c r="BO189" s="67" t="str">
        <f t="shared" si="119"/>
        <v/>
      </c>
      <c r="BP189" s="19"/>
      <c r="BQ189" s="19"/>
      <c r="BR189" s="19"/>
      <c r="BS189" s="19"/>
      <c r="BT189" s="20" t="s">
        <v>89</v>
      </c>
      <c r="BU189" s="21">
        <v>45000</v>
      </c>
      <c r="BV189" s="30" t="s">
        <v>93</v>
      </c>
      <c r="BW189" s="30">
        <v>0.22</v>
      </c>
      <c r="BX189" s="30">
        <v>0.22</v>
      </c>
      <c r="BY189" s="30">
        <v>0</v>
      </c>
      <c r="BZ189" s="35">
        <f t="shared" si="133"/>
        <v>0.22</v>
      </c>
      <c r="CA189" s="35">
        <f t="shared" si="134"/>
        <v>0.22</v>
      </c>
      <c r="CB189" s="35">
        <f t="shared" si="135"/>
        <v>0</v>
      </c>
      <c r="CC189" s="36">
        <f t="shared" si="136"/>
        <v>9.9622641509433958</v>
      </c>
      <c r="CD189" s="36">
        <f t="shared" si="137"/>
        <v>9.9622641509433958</v>
      </c>
      <c r="CE189" s="36">
        <f t="shared" si="138"/>
        <v>0</v>
      </c>
      <c r="CF189" s="31">
        <v>1</v>
      </c>
      <c r="CG189" s="31">
        <v>0</v>
      </c>
    </row>
    <row r="190" spans="1:85" x14ac:dyDescent="0.4">
      <c r="A190" s="11" t="s">
        <v>85</v>
      </c>
      <c r="B190" s="11" t="s">
        <v>263</v>
      </c>
      <c r="C190" s="11" t="s">
        <v>285</v>
      </c>
      <c r="D190" s="46" t="s">
        <v>88</v>
      </c>
      <c r="E190" s="15">
        <v>52</v>
      </c>
      <c r="F190" s="15">
        <v>16</v>
      </c>
      <c r="G190" s="15">
        <v>34</v>
      </c>
      <c r="H190" s="16">
        <f t="shared" si="94"/>
        <v>51688</v>
      </c>
      <c r="I190" s="16">
        <v>205</v>
      </c>
      <c r="J190" s="17">
        <f t="shared" si="95"/>
        <v>3.9423076923076925</v>
      </c>
      <c r="K190" s="15">
        <v>86</v>
      </c>
      <c r="L190" s="15">
        <v>180</v>
      </c>
      <c r="M190" s="17">
        <f t="shared" si="96"/>
        <v>1.6538461538461537</v>
      </c>
      <c r="N190" s="17">
        <f t="shared" si="97"/>
        <v>3.4615384615384617</v>
      </c>
      <c r="O190" s="18">
        <f t="shared" si="98"/>
        <v>0.4777777777777778</v>
      </c>
      <c r="P190" s="16">
        <v>67</v>
      </c>
      <c r="Q190" s="15">
        <v>117</v>
      </c>
      <c r="R190" s="17">
        <f t="shared" si="99"/>
        <v>1.2884615384615385</v>
      </c>
      <c r="S190" s="17">
        <f t="shared" si="100"/>
        <v>2.25</v>
      </c>
      <c r="T190" s="18">
        <f t="shared" si="101"/>
        <v>0.57264957264957261</v>
      </c>
      <c r="U190" s="15">
        <v>19</v>
      </c>
      <c r="V190" s="15">
        <v>63</v>
      </c>
      <c r="W190" s="17">
        <f t="shared" si="102"/>
        <v>0.36538461538461536</v>
      </c>
      <c r="X190" s="17">
        <f t="shared" si="103"/>
        <v>1.2115384615384615</v>
      </c>
      <c r="Y190" s="18">
        <f t="shared" si="104"/>
        <v>0.30158730158730157</v>
      </c>
      <c r="Z190" s="15">
        <v>14</v>
      </c>
      <c r="AA190" s="15">
        <v>22</v>
      </c>
      <c r="AB190" s="17">
        <f t="shared" si="105"/>
        <v>0.26923076923076922</v>
      </c>
      <c r="AC190" s="17">
        <f t="shared" si="106"/>
        <v>0.42307692307692307</v>
      </c>
      <c r="AD190" s="18">
        <f t="shared" si="107"/>
        <v>0.63636363636363635</v>
      </c>
      <c r="AE190" s="15">
        <v>75</v>
      </c>
      <c r="AF190" s="17">
        <f t="shared" si="108"/>
        <v>1.4423076923076923</v>
      </c>
      <c r="AG190" s="15">
        <v>39</v>
      </c>
      <c r="AH190" s="17">
        <f t="shared" si="109"/>
        <v>0.75</v>
      </c>
      <c r="AI190" s="15">
        <v>36</v>
      </c>
      <c r="AJ190" s="17">
        <f t="shared" si="110"/>
        <v>0.69230769230769229</v>
      </c>
      <c r="AK190" s="15">
        <v>44</v>
      </c>
      <c r="AL190" s="17">
        <f t="shared" si="111"/>
        <v>0.84615384615384615</v>
      </c>
      <c r="AM190" s="15">
        <v>35</v>
      </c>
      <c r="AN190" s="17">
        <f t="shared" si="112"/>
        <v>0.67307692307692313</v>
      </c>
      <c r="AO190" s="15">
        <v>6</v>
      </c>
      <c r="AP190" s="17">
        <f t="shared" si="120"/>
        <v>0.11538461538461539</v>
      </c>
      <c r="AQ190" s="4">
        <v>16</v>
      </c>
      <c r="AR190" s="17">
        <f t="shared" si="113"/>
        <v>0.30769230769230771</v>
      </c>
      <c r="AS190" s="15">
        <v>77</v>
      </c>
      <c r="AT190" s="17">
        <f t="shared" si="114"/>
        <v>1.4807692307692308</v>
      </c>
      <c r="AU190" s="19">
        <v>1.5059332349623671</v>
      </c>
      <c r="AV190" s="19">
        <v>6.9924155779091501E-2</v>
      </c>
      <c r="AW190" s="19">
        <v>0.91478707062055153</v>
      </c>
      <c r="AX190" s="19">
        <v>0.59114616434181577</v>
      </c>
      <c r="AY190" s="19">
        <v>117.3024585992945</v>
      </c>
      <c r="AZ190" s="19">
        <v>114.0182586751596</v>
      </c>
      <c r="BA190" s="19">
        <v>7.702004472800823</v>
      </c>
      <c r="BB190" s="19">
        <v>4.75</v>
      </c>
      <c r="BC190" s="19">
        <v>11.468812877263581</v>
      </c>
      <c r="BD190" s="65">
        <f t="shared" si="115"/>
        <v>54.038380430198231</v>
      </c>
      <c r="BE190" s="65">
        <f t="shared" si="116"/>
        <v>53.055555555555557</v>
      </c>
      <c r="BF190" s="66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10.599945144974658</v>
      </c>
      <c r="BG190" s="38">
        <f t="shared" si="117"/>
        <v>0.35</v>
      </c>
      <c r="BH190" s="38">
        <f t="shared" si="118"/>
        <v>0.12222222222222222</v>
      </c>
      <c r="BI190" s="67">
        <f>IFERROR(((AG190*(12000/5))/((F190*60+G190)*(SUMIFS(팀공격력!X:X,팀공격력!A:A,B190,팀공격력!B:B,D190)+SUMIFS(팀수비력!X:X,팀수비력!A:A,B190,팀수비력!B:B,D190))))*100,"")</f>
        <v>2.2961470358360847</v>
      </c>
      <c r="BJ190" s="67">
        <f>IFERROR(((AI190*(12000/5))/((F190*60+G190)*(SUMIFS(팀공격력!V:V,팀공격력!A:A,B190,팀공격력!B:B,D190)+SUMIFS(팀수비력!W:W,팀수비력!A:A,B190,팀수비력!B:B,D190))))*100,"")</f>
        <v>4.8586656889351767</v>
      </c>
      <c r="BK190" s="67">
        <f>IFERROR(((AE190*(12000/5))/((F190*60+G190)*(SUMIFS(팀공격력!X:X,팀공격력!A:A,B190,팀공격력!B:B,D190)+SUMIFS(팀수비력!X:X,팀수비력!A:A,B190,팀수비력!B:B,D190))))*100,"")</f>
        <v>4.4156673766078551</v>
      </c>
      <c r="BL190" s="67">
        <f>IFERROR(100*AK190/(((((F190*60+G190)/(12000/5))*SUMIFS(팀공격력!P:P,팀공격력!A:A,B190,팀공격력!B:B,D190))-K190)),"")</f>
        <v>6.5002696134555586</v>
      </c>
      <c r="BM190" s="67">
        <f>IFERROR(100*((AM190/E190*(2400))/((F190*60+G190)*SUMIFS(팀공격력!AR:AR,팀공격력!A:A,B190,팀공격력!B:B,D190))),"")</f>
        <v>2.1773139845530243</v>
      </c>
      <c r="BN190" s="67">
        <f>IFERROR((AO190*40)/(((F190*60+G190)/60)*(SUMIFS(팀수비력!Q:Q,팀수비력!A:A,B190,팀수비력!B:B,D190)-SUMIFS(팀수비력!N:N,팀수비력!A:A,B190,팀수비력!B:B,D190)))*100,"")</f>
        <v>0.57080069066883576</v>
      </c>
      <c r="BO190" s="67">
        <f t="shared" si="119"/>
        <v>7.7790742901594712</v>
      </c>
      <c r="BP190" s="19"/>
      <c r="BQ190" s="19"/>
      <c r="BR190" s="19"/>
      <c r="BS190" s="19"/>
      <c r="BT190" s="20" t="s">
        <v>89</v>
      </c>
      <c r="BU190" s="21">
        <v>350000</v>
      </c>
      <c r="BV190" s="31" t="s">
        <v>93</v>
      </c>
      <c r="BW190" s="31">
        <v>504.93</v>
      </c>
      <c r="BX190" s="31">
        <v>624.92999999999995</v>
      </c>
      <c r="BY190" s="31">
        <v>120</v>
      </c>
      <c r="BZ190" s="35">
        <f t="shared" si="133"/>
        <v>9.7101923076923065</v>
      </c>
      <c r="CA190" s="35">
        <f t="shared" si="134"/>
        <v>12.017884615384615</v>
      </c>
      <c r="CB190" s="35">
        <f t="shared" si="135"/>
        <v>2.3076923076923075</v>
      </c>
      <c r="CC190" s="36">
        <f t="shared" si="136"/>
        <v>23.445132332456271</v>
      </c>
      <c r="CD190" s="36">
        <f t="shared" si="137"/>
        <v>29.01702522829283</v>
      </c>
      <c r="CE190" s="36">
        <f t="shared" si="138"/>
        <v>5.5718928958365579</v>
      </c>
      <c r="CF190" s="30">
        <v>39</v>
      </c>
      <c r="CG190" s="30">
        <v>13</v>
      </c>
    </row>
    <row r="191" spans="1:85" x14ac:dyDescent="0.4">
      <c r="A191" s="11" t="s">
        <v>85</v>
      </c>
      <c r="B191" s="11" t="s">
        <v>286</v>
      </c>
      <c r="C191" s="11" t="s">
        <v>287</v>
      </c>
      <c r="D191" s="46" t="s">
        <v>88</v>
      </c>
      <c r="E191" s="15">
        <v>2</v>
      </c>
      <c r="F191" s="15">
        <v>4</v>
      </c>
      <c r="G191" s="15">
        <v>23</v>
      </c>
      <c r="H191" s="16">
        <f t="shared" si="94"/>
        <v>526</v>
      </c>
      <c r="I191" s="16">
        <v>0</v>
      </c>
      <c r="J191" s="17">
        <f t="shared" si="95"/>
        <v>0</v>
      </c>
      <c r="K191" s="15">
        <v>0</v>
      </c>
      <c r="L191" s="15">
        <v>3</v>
      </c>
      <c r="M191" s="17">
        <f t="shared" si="96"/>
        <v>0</v>
      </c>
      <c r="N191" s="17">
        <f t="shared" si="97"/>
        <v>1.5</v>
      </c>
      <c r="O191" s="18">
        <f t="shared" si="98"/>
        <v>0</v>
      </c>
      <c r="P191" s="16">
        <v>0</v>
      </c>
      <c r="Q191" s="15">
        <v>1</v>
      </c>
      <c r="R191" s="17">
        <f t="shared" si="99"/>
        <v>0</v>
      </c>
      <c r="S191" s="17">
        <f t="shared" si="100"/>
        <v>0.5</v>
      </c>
      <c r="T191" s="18">
        <f t="shared" si="101"/>
        <v>0</v>
      </c>
      <c r="U191" s="15">
        <v>0</v>
      </c>
      <c r="V191" s="15">
        <v>2</v>
      </c>
      <c r="W191" s="17">
        <f t="shared" si="102"/>
        <v>0</v>
      </c>
      <c r="X191" s="17">
        <f t="shared" si="103"/>
        <v>1</v>
      </c>
      <c r="Y191" s="18">
        <f t="shared" si="104"/>
        <v>0</v>
      </c>
      <c r="Z191" s="15">
        <v>0</v>
      </c>
      <c r="AA191" s="15">
        <v>0</v>
      </c>
      <c r="AB191" s="17">
        <f t="shared" si="105"/>
        <v>0</v>
      </c>
      <c r="AC191" s="17">
        <f t="shared" si="106"/>
        <v>0</v>
      </c>
      <c r="AD191" s="18" t="e">
        <f t="shared" si="107"/>
        <v>#DIV/0!</v>
      </c>
      <c r="AE191" s="15">
        <v>1</v>
      </c>
      <c r="AF191" s="17">
        <f t="shared" si="108"/>
        <v>0.5</v>
      </c>
      <c r="AG191" s="15">
        <v>1</v>
      </c>
      <c r="AH191" s="17">
        <f t="shared" si="109"/>
        <v>0.5</v>
      </c>
      <c r="AI191" s="15">
        <v>0</v>
      </c>
      <c r="AJ191" s="17">
        <f t="shared" si="110"/>
        <v>0</v>
      </c>
      <c r="AK191" s="15">
        <v>0</v>
      </c>
      <c r="AL191" s="17">
        <f t="shared" si="111"/>
        <v>0</v>
      </c>
      <c r="AM191" s="15">
        <v>0</v>
      </c>
      <c r="AN191" s="17">
        <f t="shared" si="112"/>
        <v>0</v>
      </c>
      <c r="AO191" s="15">
        <v>0</v>
      </c>
      <c r="AP191" s="17">
        <f t="shared" si="120"/>
        <v>0</v>
      </c>
      <c r="AQ191" s="4">
        <v>1</v>
      </c>
      <c r="AR191" s="17">
        <f t="shared" si="113"/>
        <v>0.5</v>
      </c>
      <c r="AS191" s="15">
        <v>0</v>
      </c>
      <c r="AT191" s="17">
        <f t="shared" si="114"/>
        <v>0</v>
      </c>
      <c r="AU191" s="19">
        <v>-7.8434128401366598E-2</v>
      </c>
      <c r="AV191" s="19">
        <v>-0.35787435012030377</v>
      </c>
      <c r="AW191" s="19">
        <v>-8.1056991544321624E-2</v>
      </c>
      <c r="AX191" s="19">
        <v>2.6228631429550241E-3</v>
      </c>
      <c r="AY191" s="19">
        <v>18.21845112521363</v>
      </c>
      <c r="AZ191" s="19">
        <v>116.7495707002186</v>
      </c>
      <c r="BA191" s="19">
        <v>-0.46956418931144811</v>
      </c>
      <c r="BB191" s="19">
        <v>-1.5</v>
      </c>
      <c r="BC191" s="19">
        <v>-13.68821292775665</v>
      </c>
      <c r="BD191" s="65">
        <f t="shared" si="115"/>
        <v>0</v>
      </c>
      <c r="BE191" s="65">
        <f t="shared" si="116"/>
        <v>0</v>
      </c>
      <c r="BF191" s="66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0.79349889004383378</v>
      </c>
      <c r="BG191" s="38">
        <f t="shared" si="117"/>
        <v>0.66666666666666663</v>
      </c>
      <c r="BH191" s="38">
        <f t="shared" si="118"/>
        <v>0</v>
      </c>
      <c r="BI191" s="67">
        <f>IFERROR(((AG191*(12000/5))/((F191*60+G191)*(SUMIFS(팀공격력!X:X,팀공격력!A:A,B191,팀공격력!B:B,D191)+SUMIFS(팀수비력!X:X,팀수비력!A:A,B191,팀수비력!B:B,D191))))*100,"")</f>
        <v>0.22922570422434321</v>
      </c>
      <c r="BJ191" s="67">
        <f>IFERROR(((AI191*(12000/5))/((F191*60+G191)*(SUMIFS(팀공격력!V:V,팀공격력!A:A,B191,팀공격력!B:B,D191)+SUMIFS(팀수비력!W:W,팀수비력!A:A,B191,팀수비력!B:B,D191))))*100,"")</f>
        <v>0</v>
      </c>
      <c r="BK191" s="67">
        <f>IFERROR(((AE191*(12000/5))/((F191*60+G191)*(SUMIFS(팀공격력!X:X,팀공격력!A:A,B191,팀공격력!B:B,D191)+SUMIFS(팀수비력!X:X,팀수비력!A:A,B191,팀수비력!B:B,D191))))*100,"")</f>
        <v>0.22922570422434321</v>
      </c>
      <c r="BL191" s="67">
        <f>IFERROR(100*AK191/(((((F191*60+G191)/(12000/5))*SUMIFS(팀공격력!P:P,팀공격력!A:A,B191,팀공격력!B:B,D191))-K191)),"")</f>
        <v>0</v>
      </c>
      <c r="BM191" s="67">
        <f>IFERROR(100*((AM191/E191*(2400))/((F191*60+G191)*SUMIFS(팀공격력!AR:AR,팀공격력!A:A,B191,팀공격력!B:B,D191))),"")</f>
        <v>0</v>
      </c>
      <c r="BN191" s="67">
        <f>IFERROR((AO191*40)/(((F191*60+G191)/60)*(SUMIFS(팀수비력!Q:Q,팀수비력!A:A,B191,팀수비력!B:B,D191)-SUMIFS(팀수비력!N:N,팀수비력!A:A,B191,팀수비력!B:B,D191)))*100,"")</f>
        <v>0</v>
      </c>
      <c r="BO191" s="67">
        <f t="shared" si="119"/>
        <v>25</v>
      </c>
      <c r="BP191" s="19"/>
      <c r="BQ191" s="19"/>
      <c r="BR191" s="19"/>
      <c r="BS191" s="19"/>
      <c r="BT191" s="20" t="s">
        <v>89</v>
      </c>
      <c r="BU191" s="21"/>
      <c r="BV191" s="30" t="s">
        <v>93</v>
      </c>
      <c r="BW191" s="30">
        <v>-0.61</v>
      </c>
      <c r="BX191" s="30">
        <v>3.69</v>
      </c>
      <c r="BY191" s="30">
        <v>4.3</v>
      </c>
      <c r="BZ191" s="35">
        <f t="shared" si="133"/>
        <v>-0.30499999999999994</v>
      </c>
      <c r="CA191" s="35">
        <f t="shared" si="134"/>
        <v>1.845</v>
      </c>
      <c r="CB191" s="35">
        <f t="shared" si="135"/>
        <v>2.15</v>
      </c>
      <c r="CC191" s="36">
        <f t="shared" si="136"/>
        <v>-2.7832699619771866</v>
      </c>
      <c r="CD191" s="36">
        <f t="shared" si="137"/>
        <v>16.836501901140686</v>
      </c>
      <c r="CE191" s="36">
        <f t="shared" si="138"/>
        <v>19.619771863117872</v>
      </c>
      <c r="CF191" s="31">
        <v>1</v>
      </c>
      <c r="CG191" s="31">
        <v>1</v>
      </c>
    </row>
    <row r="192" spans="1:85" x14ac:dyDescent="0.4">
      <c r="A192" s="11" t="s">
        <v>85</v>
      </c>
      <c r="B192" s="11" t="s">
        <v>286</v>
      </c>
      <c r="C192" s="11" t="s">
        <v>288</v>
      </c>
      <c r="D192" s="46" t="s">
        <v>88</v>
      </c>
      <c r="E192" s="15">
        <v>10</v>
      </c>
      <c r="F192" s="15">
        <v>13</v>
      </c>
      <c r="G192" s="15">
        <v>36</v>
      </c>
      <c r="H192" s="16">
        <f t="shared" si="94"/>
        <v>8160</v>
      </c>
      <c r="I192" s="16">
        <v>84</v>
      </c>
      <c r="J192" s="17">
        <f t="shared" si="95"/>
        <v>8.4</v>
      </c>
      <c r="K192" s="15">
        <v>37</v>
      </c>
      <c r="L192" s="15">
        <v>74</v>
      </c>
      <c r="M192" s="17">
        <f t="shared" si="96"/>
        <v>3.7</v>
      </c>
      <c r="N192" s="17">
        <f t="shared" si="97"/>
        <v>7.4</v>
      </c>
      <c r="O192" s="18">
        <f t="shared" si="98"/>
        <v>0.5</v>
      </c>
      <c r="P192" s="16">
        <v>36</v>
      </c>
      <c r="Q192" s="15">
        <v>73</v>
      </c>
      <c r="R192" s="17">
        <f t="shared" si="99"/>
        <v>3.6</v>
      </c>
      <c r="S192" s="17">
        <f t="shared" si="100"/>
        <v>7.3</v>
      </c>
      <c r="T192" s="18">
        <f t="shared" si="101"/>
        <v>0.49315068493150682</v>
      </c>
      <c r="U192" s="15">
        <v>1</v>
      </c>
      <c r="V192" s="15">
        <v>1</v>
      </c>
      <c r="W192" s="17">
        <f t="shared" si="102"/>
        <v>0.1</v>
      </c>
      <c r="X192" s="17">
        <f t="shared" si="103"/>
        <v>0.1</v>
      </c>
      <c r="Y192" s="18">
        <f t="shared" si="104"/>
        <v>1</v>
      </c>
      <c r="Z192" s="15">
        <v>9</v>
      </c>
      <c r="AA192" s="15">
        <v>12</v>
      </c>
      <c r="AB192" s="17">
        <f t="shared" si="105"/>
        <v>0.9</v>
      </c>
      <c r="AC192" s="17">
        <f t="shared" si="106"/>
        <v>1.2</v>
      </c>
      <c r="AD192" s="18">
        <f t="shared" si="107"/>
        <v>0.75</v>
      </c>
      <c r="AE192" s="15">
        <v>48</v>
      </c>
      <c r="AF192" s="17">
        <f t="shared" si="108"/>
        <v>4.8</v>
      </c>
      <c r="AG192" s="15">
        <v>13</v>
      </c>
      <c r="AH192" s="17">
        <f t="shared" si="109"/>
        <v>1.3</v>
      </c>
      <c r="AI192" s="15">
        <v>35</v>
      </c>
      <c r="AJ192" s="17">
        <f t="shared" si="110"/>
        <v>3.5</v>
      </c>
      <c r="AK192" s="15">
        <v>6</v>
      </c>
      <c r="AL192" s="17">
        <f t="shared" si="111"/>
        <v>0.6</v>
      </c>
      <c r="AM192" s="15">
        <v>12</v>
      </c>
      <c r="AN192" s="17">
        <f t="shared" si="112"/>
        <v>1.2</v>
      </c>
      <c r="AO192" s="15">
        <v>4</v>
      </c>
      <c r="AP192" s="17">
        <f t="shared" si="120"/>
        <v>0.4</v>
      </c>
      <c r="AQ192" s="4">
        <v>11</v>
      </c>
      <c r="AR192" s="17">
        <f t="shared" si="113"/>
        <v>1.1000000000000001</v>
      </c>
      <c r="AS192" s="15">
        <v>20</v>
      </c>
      <c r="AT192" s="17">
        <f t="shared" si="114"/>
        <v>2</v>
      </c>
      <c r="AU192" s="19">
        <v>0.35809735156969058</v>
      </c>
      <c r="AV192" s="19">
        <v>0.10532275046167371</v>
      </c>
      <c r="AW192" s="19">
        <v>-8.4998571736597302E-3</v>
      </c>
      <c r="AX192" s="19">
        <v>0.36659720874335028</v>
      </c>
      <c r="AY192" s="19">
        <v>101.4808320491138</v>
      </c>
      <c r="AZ192" s="19">
        <v>93.895991512067596</v>
      </c>
      <c r="BA192" s="19">
        <v>3.2194704897094288</v>
      </c>
      <c r="BB192" s="19">
        <v>10.3</v>
      </c>
      <c r="BC192" s="19">
        <v>30.294117647058819</v>
      </c>
      <c r="BD192" s="65">
        <f t="shared" si="115"/>
        <v>52.976791120080726</v>
      </c>
      <c r="BE192" s="65">
        <f t="shared" si="116"/>
        <v>50.675675675675677</v>
      </c>
      <c r="BF192" s="66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5.7722279367648213</v>
      </c>
      <c r="BG192" s="38">
        <f t="shared" si="117"/>
        <v>1.3513513513513514E-2</v>
      </c>
      <c r="BH192" s="38">
        <f t="shared" si="118"/>
        <v>0.16216216216216217</v>
      </c>
      <c r="BI192" s="67">
        <f>IFERROR(((AG192*(12000/5))/((F192*60+G192)*(SUMIFS(팀공격력!X:X,팀공격력!A:A,B192,팀공격력!B:B,D192)+SUMIFS(팀수비력!X:X,팀수비력!A:A,B192,팀수비력!B:B,D192))))*100,"")</f>
        <v>0.96044446414586937</v>
      </c>
      <c r="BJ192" s="67">
        <f>IFERROR(((AI192*(12000/5))/((F192*60+G192)*(SUMIFS(팀공격력!V:V,팀공격력!A:A,B192,팀공격력!B:B,D192)+SUMIFS(팀수비력!W:W,팀수비력!A:A,B192,팀수비력!B:B,D192))))*100,"")</f>
        <v>5.4236657782185578</v>
      </c>
      <c r="BK192" s="67">
        <f>IFERROR(((AE192*(12000/5))/((F192*60+G192)*(SUMIFS(팀공격력!X:X,팀공격력!A:A,B192,팀공격력!B:B,D192)+SUMIFS(팀수비력!X:X,팀수비력!A:A,B192,팀수비력!B:B,D192))))*100,"")</f>
        <v>3.5462564830001329</v>
      </c>
      <c r="BL192" s="67">
        <f>IFERROR(100*AK192/(((((F192*60+G192)/(12000/5))*SUMIFS(팀공격력!P:P,팀공격력!A:A,B192,팀공격력!B:B,D192))-K192)),"")</f>
        <v>1.0986998718183483</v>
      </c>
      <c r="BM192" s="67">
        <f>IFERROR(100*((AM192/E192*(2400))/((F192*60+G192)*SUMIFS(팀공격력!AR:AR,팀공격력!A:A,B192,팀공격력!B:B,D192))),"")</f>
        <v>4.908892580775559</v>
      </c>
      <c r="BN192" s="67">
        <f>IFERROR((AO192*40)/(((F192*60+G192)/60)*(SUMIFS(팀수비력!Q:Q,팀수비력!A:A,B192,팀수비력!B:B,D192)-SUMIFS(팀수비력!N:N,팀수비력!A:A,B192,팀수비력!B:B,D192)))*100,"")</f>
        <v>0.51486677822113525</v>
      </c>
      <c r="BO192" s="67">
        <f t="shared" si="119"/>
        <v>12.184315463003987</v>
      </c>
      <c r="BP192" s="19"/>
      <c r="BQ192" s="19"/>
      <c r="BR192" s="19"/>
      <c r="BS192" s="19"/>
      <c r="BT192" s="20" t="s">
        <v>96</v>
      </c>
      <c r="BU192" s="21"/>
      <c r="BV192" s="31" t="s">
        <v>93</v>
      </c>
      <c r="BW192" s="31">
        <v>141.6</v>
      </c>
      <c r="BX192" s="31">
        <v>197.5</v>
      </c>
      <c r="BY192" s="31">
        <v>55.9</v>
      </c>
      <c r="BZ192" s="35">
        <f t="shared" si="133"/>
        <v>14.16</v>
      </c>
      <c r="CA192" s="35">
        <f t="shared" si="134"/>
        <v>19.75</v>
      </c>
      <c r="CB192" s="35">
        <f t="shared" si="135"/>
        <v>5.59</v>
      </c>
      <c r="CC192" s="36">
        <f t="shared" si="136"/>
        <v>41.647058823529406</v>
      </c>
      <c r="CD192" s="36">
        <f t="shared" si="137"/>
        <v>58.088235294117645</v>
      </c>
      <c r="CE192" s="36">
        <f t="shared" si="138"/>
        <v>16.441176470588236</v>
      </c>
      <c r="CF192" s="30">
        <v>6</v>
      </c>
      <c r="CG192" s="30">
        <v>4</v>
      </c>
    </row>
    <row r="193" spans="1:85" x14ac:dyDescent="0.4">
      <c r="A193" s="11" t="s">
        <v>85</v>
      </c>
      <c r="B193" s="11" t="s">
        <v>286</v>
      </c>
      <c r="C193" s="11" t="s">
        <v>289</v>
      </c>
      <c r="D193" s="46" t="s">
        <v>88</v>
      </c>
      <c r="E193" s="15">
        <v>1</v>
      </c>
      <c r="F193" s="15">
        <v>0</v>
      </c>
      <c r="G193" s="15">
        <v>43</v>
      </c>
      <c r="H193" s="16">
        <f t="shared" si="94"/>
        <v>43</v>
      </c>
      <c r="I193" s="16">
        <v>0</v>
      </c>
      <c r="J193" s="17">
        <f t="shared" si="95"/>
        <v>0</v>
      </c>
      <c r="K193" s="15">
        <v>0</v>
      </c>
      <c r="L193" s="15">
        <v>0</v>
      </c>
      <c r="M193" s="17">
        <f t="shared" si="96"/>
        <v>0</v>
      </c>
      <c r="N193" s="17">
        <f t="shared" si="97"/>
        <v>0</v>
      </c>
      <c r="O193" s="18" t="e">
        <f t="shared" si="98"/>
        <v>#DIV/0!</v>
      </c>
      <c r="P193" s="16">
        <v>0</v>
      </c>
      <c r="Q193" s="15">
        <v>0</v>
      </c>
      <c r="R193" s="17">
        <f t="shared" si="99"/>
        <v>0</v>
      </c>
      <c r="S193" s="17">
        <f t="shared" si="100"/>
        <v>0</v>
      </c>
      <c r="T193" s="18" t="e">
        <f t="shared" si="101"/>
        <v>#DIV/0!</v>
      </c>
      <c r="U193" s="15">
        <v>0</v>
      </c>
      <c r="V193" s="15">
        <v>0</v>
      </c>
      <c r="W193" s="17">
        <f t="shared" si="102"/>
        <v>0</v>
      </c>
      <c r="X193" s="17">
        <f t="shared" si="103"/>
        <v>0</v>
      </c>
      <c r="Y193" s="18" t="e">
        <f t="shared" si="104"/>
        <v>#DIV/0!</v>
      </c>
      <c r="Z193" s="15">
        <v>0</v>
      </c>
      <c r="AA193" s="15">
        <v>0</v>
      </c>
      <c r="AB193" s="17">
        <f t="shared" si="105"/>
        <v>0</v>
      </c>
      <c r="AC193" s="17">
        <f t="shared" si="106"/>
        <v>0</v>
      </c>
      <c r="AD193" s="18" t="e">
        <f t="shared" si="107"/>
        <v>#DIV/0!</v>
      </c>
      <c r="AE193" s="15">
        <v>0</v>
      </c>
      <c r="AF193" s="17">
        <f t="shared" si="108"/>
        <v>0</v>
      </c>
      <c r="AG193" s="15">
        <v>0</v>
      </c>
      <c r="AH193" s="17">
        <f t="shared" si="109"/>
        <v>0</v>
      </c>
      <c r="AI193" s="15">
        <v>0</v>
      </c>
      <c r="AJ193" s="17">
        <f t="shared" si="110"/>
        <v>0</v>
      </c>
      <c r="AK193" s="15">
        <v>0</v>
      </c>
      <c r="AL193" s="17">
        <f t="shared" si="111"/>
        <v>0</v>
      </c>
      <c r="AM193" s="15">
        <v>0</v>
      </c>
      <c r="AN193" s="17">
        <f t="shared" si="112"/>
        <v>0</v>
      </c>
      <c r="AO193" s="15">
        <v>0</v>
      </c>
      <c r="AP193" s="17">
        <f t="shared" si="120"/>
        <v>0</v>
      </c>
      <c r="AQ193" s="4">
        <v>0</v>
      </c>
      <c r="AR193" s="17">
        <f t="shared" si="113"/>
        <v>0</v>
      </c>
      <c r="AS193" s="15">
        <v>1</v>
      </c>
      <c r="AT193" s="17">
        <f t="shared" si="114"/>
        <v>1</v>
      </c>
      <c r="AU193" s="19">
        <v>5.853326546528876E-4</v>
      </c>
      <c r="AV193" s="19">
        <v>3.2669729562021632E-2</v>
      </c>
      <c r="AW193" s="19">
        <v>0</v>
      </c>
      <c r="AX193" s="19">
        <v>5.853326546528876E-4</v>
      </c>
      <c r="AY193" s="19">
        <v>0</v>
      </c>
      <c r="AZ193" s="19">
        <v>111.8137806687523</v>
      </c>
      <c r="BA193" s="19">
        <v>-0.62887599729333665</v>
      </c>
      <c r="BB193" s="19">
        <v>0</v>
      </c>
      <c r="BC193" s="19">
        <v>0</v>
      </c>
      <c r="BD193" s="65" t="str">
        <f t="shared" si="115"/>
        <v/>
      </c>
      <c r="BE193" s="65" t="str">
        <f t="shared" si="116"/>
        <v/>
      </c>
      <c r="BF193" s="66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0</v>
      </c>
      <c r="BG193" s="38" t="str">
        <f t="shared" si="117"/>
        <v/>
      </c>
      <c r="BH193" s="38" t="str">
        <f t="shared" si="118"/>
        <v/>
      </c>
      <c r="BI193" s="67">
        <f>IFERROR(((AG193*(12000/5))/((F193*60+G193)*(SUMIFS(팀공격력!X:X,팀공격력!A:A,B193,팀공격력!B:B,D193)+SUMIFS(팀수비력!X:X,팀수비력!A:A,B193,팀수비력!B:B,D193))))*100,"")</f>
        <v>0</v>
      </c>
      <c r="BJ193" s="67">
        <f>IFERROR(((AI193*(12000/5))/((F193*60+G193)*(SUMIFS(팀공격력!V:V,팀공격력!A:A,B193,팀공격력!B:B,D193)+SUMIFS(팀수비력!W:W,팀수비력!A:A,B193,팀수비력!B:B,D193))))*100,"")</f>
        <v>0</v>
      </c>
      <c r="BK193" s="67">
        <f>IFERROR(((AE193*(12000/5))/((F193*60+G193)*(SUMIFS(팀공격력!X:X,팀공격력!A:A,B193,팀공격력!B:B,D193)+SUMIFS(팀수비력!X:X,팀수비력!A:A,B193,팀수비력!B:B,D193))))*100,"")</f>
        <v>0</v>
      </c>
      <c r="BL193" s="67">
        <f>IFERROR(100*AK193/(((((F193*60+G193)/(12000/5))*SUMIFS(팀공격력!P:P,팀공격력!A:A,B193,팀공격력!B:B,D193))-K193)),"")</f>
        <v>0</v>
      </c>
      <c r="BM193" s="67">
        <f>IFERROR(100*((AM193/E193*(2400))/((F193*60+G193)*SUMIFS(팀공격력!AR:AR,팀공격력!A:A,B193,팀공격력!B:B,D193))),"")</f>
        <v>0</v>
      </c>
      <c r="BN193" s="67">
        <f>IFERROR((AO193*40)/(((F193*60+G193)/60)*(SUMIFS(팀수비력!Q:Q,팀수비력!A:A,B193,팀수비력!B:B,D193)-SUMIFS(팀수비력!N:N,팀수비력!A:A,B193,팀수비력!B:B,D193)))*100,"")</f>
        <v>0</v>
      </c>
      <c r="BO193" s="67" t="str">
        <f t="shared" si="119"/>
        <v/>
      </c>
      <c r="BP193" s="19"/>
      <c r="BQ193" s="19"/>
      <c r="BR193" s="19"/>
      <c r="BS193" s="19"/>
      <c r="BT193" s="20" t="s">
        <v>89</v>
      </c>
      <c r="BU193" s="21"/>
      <c r="BV193" s="31" t="s">
        <v>102</v>
      </c>
      <c r="BW193" s="31">
        <v>0.18</v>
      </c>
      <c r="BX193" s="31">
        <v>0.18</v>
      </c>
      <c r="BY193" s="31">
        <v>0</v>
      </c>
      <c r="BZ193" s="35">
        <f t="shared" si="133"/>
        <v>0.18</v>
      </c>
      <c r="CA193" s="35">
        <f t="shared" si="134"/>
        <v>0.18</v>
      </c>
      <c r="CB193" s="35">
        <f t="shared" si="135"/>
        <v>0</v>
      </c>
      <c r="CC193" s="36">
        <f t="shared" si="136"/>
        <v>10.046511627906977</v>
      </c>
      <c r="CD193" s="36">
        <f t="shared" si="137"/>
        <v>10.046511627906977</v>
      </c>
      <c r="CE193" s="36">
        <f t="shared" si="138"/>
        <v>0</v>
      </c>
      <c r="CF193" s="31">
        <v>0</v>
      </c>
      <c r="CG193" s="31">
        <v>1</v>
      </c>
    </row>
    <row r="194" spans="1:85" x14ac:dyDescent="0.4">
      <c r="A194" s="11" t="s">
        <v>85</v>
      </c>
      <c r="B194" s="11" t="s">
        <v>286</v>
      </c>
      <c r="C194" s="11" t="s">
        <v>290</v>
      </c>
      <c r="D194" s="46" t="s">
        <v>88</v>
      </c>
      <c r="E194" s="15">
        <v>31</v>
      </c>
      <c r="F194" s="15">
        <v>5</v>
      </c>
      <c r="G194" s="15">
        <v>37</v>
      </c>
      <c r="H194" s="16">
        <f t="shared" ref="H194:H257" si="139">(F194*60+G194)*E194</f>
        <v>10447</v>
      </c>
      <c r="I194" s="16">
        <v>50</v>
      </c>
      <c r="J194" s="17">
        <f t="shared" ref="J194:J257" si="140">I194/$E194</f>
        <v>1.6129032258064515</v>
      </c>
      <c r="K194" s="15">
        <v>20</v>
      </c>
      <c r="L194" s="15">
        <v>52</v>
      </c>
      <c r="M194" s="17">
        <f t="shared" ref="M194:M257" si="141">K194/$E194</f>
        <v>0.64516129032258063</v>
      </c>
      <c r="N194" s="17">
        <f t="shared" ref="N194:N257" si="142">L194/$E194</f>
        <v>1.6774193548387097</v>
      </c>
      <c r="O194" s="18">
        <f t="shared" ref="O194:O257" si="143">K194/L194</f>
        <v>0.38461538461538464</v>
      </c>
      <c r="P194" s="16">
        <v>19</v>
      </c>
      <c r="Q194" s="15">
        <v>45</v>
      </c>
      <c r="R194" s="17">
        <f t="shared" ref="R194:R257" si="144">P194/$E194</f>
        <v>0.61290322580645162</v>
      </c>
      <c r="S194" s="17">
        <f t="shared" ref="S194:S257" si="145">Q194/$E194</f>
        <v>1.4516129032258065</v>
      </c>
      <c r="T194" s="18">
        <f t="shared" ref="T194:T257" si="146">P194/Q194</f>
        <v>0.42222222222222222</v>
      </c>
      <c r="U194" s="15">
        <v>1</v>
      </c>
      <c r="V194" s="15">
        <v>7</v>
      </c>
      <c r="W194" s="17">
        <f t="shared" ref="W194:W257" si="147">U194/$E194</f>
        <v>3.2258064516129031E-2</v>
      </c>
      <c r="X194" s="17">
        <f t="shared" ref="X194:X257" si="148">V194/$E194</f>
        <v>0.22580645161290322</v>
      </c>
      <c r="Y194" s="18">
        <f t="shared" ref="Y194:Y257" si="149">U194/V194</f>
        <v>0.14285714285714285</v>
      </c>
      <c r="Z194" s="15">
        <v>9</v>
      </c>
      <c r="AA194" s="15">
        <v>13</v>
      </c>
      <c r="AB194" s="17">
        <f t="shared" ref="AB194:AB257" si="150">Z194/$E194</f>
        <v>0.29032258064516131</v>
      </c>
      <c r="AC194" s="17">
        <f t="shared" ref="AC194:AC257" si="151">AA194/$E194</f>
        <v>0.41935483870967744</v>
      </c>
      <c r="AD194" s="18">
        <f t="shared" ref="AD194:AD257" si="152">Z194/AA194</f>
        <v>0.69230769230769229</v>
      </c>
      <c r="AE194" s="15">
        <v>40</v>
      </c>
      <c r="AF194" s="17">
        <f t="shared" ref="AF194:AF257" si="153">AE194/$E194</f>
        <v>1.2903225806451613</v>
      </c>
      <c r="AG194" s="15">
        <v>13</v>
      </c>
      <c r="AH194" s="17">
        <f t="shared" ref="AH194:AH257" si="154">AG194/$E194</f>
        <v>0.41935483870967744</v>
      </c>
      <c r="AI194" s="15">
        <v>27</v>
      </c>
      <c r="AJ194" s="17">
        <f t="shared" ref="AJ194:AJ257" si="155">AI194/$E194</f>
        <v>0.87096774193548387</v>
      </c>
      <c r="AK194" s="15">
        <v>4</v>
      </c>
      <c r="AL194" s="17">
        <f t="shared" ref="AL194:AL257" si="156">AK194/$E194</f>
        <v>0.12903225806451613</v>
      </c>
      <c r="AM194" s="15">
        <v>2</v>
      </c>
      <c r="AN194" s="17">
        <f t="shared" ref="AN194:AN257" si="157">AM194/$E194</f>
        <v>6.4516129032258063E-2</v>
      </c>
      <c r="AO194" s="15">
        <v>3</v>
      </c>
      <c r="AP194" s="17">
        <f t="shared" si="120"/>
        <v>9.6774193548387094E-2</v>
      </c>
      <c r="AQ194" s="4">
        <v>12</v>
      </c>
      <c r="AR194" s="17">
        <f t="shared" ref="AR194:AR257" si="158">AQ194/$E194</f>
        <v>0.38709677419354838</v>
      </c>
      <c r="AS194" s="15">
        <v>34</v>
      </c>
      <c r="AT194" s="17">
        <f t="shared" ref="AT194:AT257" si="159">AS194/$E194</f>
        <v>1.096774193548387</v>
      </c>
      <c r="AU194" s="19">
        <v>-5.8416224032309311E-2</v>
      </c>
      <c r="AV194" s="19">
        <v>-1.3420018921943369E-2</v>
      </c>
      <c r="AW194" s="19">
        <v>-0.27528087098826731</v>
      </c>
      <c r="AX194" s="19">
        <v>0.216864646955958</v>
      </c>
      <c r="AY194" s="19">
        <v>85.87816596061117</v>
      </c>
      <c r="AZ194" s="19">
        <v>107.72472710592891</v>
      </c>
      <c r="BA194" s="19">
        <v>0.93263320651607462</v>
      </c>
      <c r="BB194" s="19">
        <v>1.645161290322581</v>
      </c>
      <c r="BC194" s="19">
        <v>11.71628218627357</v>
      </c>
      <c r="BD194" s="65">
        <f t="shared" ref="BD194:BD257" si="160">IFERROR((I194/(2*(L194+(0.44*AA194))))*100,"")</f>
        <v>43.312543312543312</v>
      </c>
      <c r="BE194" s="65">
        <f t="shared" ref="BE194:BE257" si="161">IFERROR(((P194+(1.5*U194))/L194)*100,"")</f>
        <v>39.42307692307692</v>
      </c>
      <c r="BF194" s="66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10.793680495136613</v>
      </c>
      <c r="BG194" s="38">
        <f t="shared" ref="BG194:BG257" si="162">IFERROR(V194/L194,"")</f>
        <v>0.13461538461538461</v>
      </c>
      <c r="BH194" s="38">
        <f t="shared" ref="BH194:BH257" si="163">IFERROR(AA194/L194,"")</f>
        <v>0.25</v>
      </c>
      <c r="BI194" s="67">
        <f>IFERROR(((AG194*(12000/5))/((F194*60+G194)*(SUMIFS(팀공격력!X:X,팀공격력!A:A,B194,팀공격력!B:B,D194)+SUMIFS(팀수비력!X:X,팀수비력!A:A,B194,팀수비력!B:B,D194))))*100,"")</f>
        <v>2.3255865956766453</v>
      </c>
      <c r="BJ194" s="67">
        <f>IFERROR(((AI194*(12000/5))/((F194*60+G194)*(SUMIFS(팀공격력!V:V,팀공격력!A:A,B194,팀공격력!B:B,D194)+SUMIFS(팀수비력!W:W,팀수비력!A:A,B194,팀수비력!B:B,D194))))*100,"")</f>
        <v>10.130920256524908</v>
      </c>
      <c r="BK194" s="67">
        <f>IFERROR(((AE194*(12000/5))/((F194*60+G194)*(SUMIFS(팀공격력!X:X,팀공격력!A:A,B194,팀공격력!B:B,D194)+SUMIFS(팀수비력!X:X,팀수비력!A:A,B194,팀수비력!B:B,D194))))*100,"")</f>
        <v>7.1556510636204465</v>
      </c>
      <c r="BL194" s="67">
        <f>IFERROR(100*AK194/(((((F194*60+G194)/(12000/5))*SUMIFS(팀공격력!P:P,팀공격력!A:A,B194,팀공격력!B:B,D194))-K194)),"")</f>
        <v>1.8114745591606836</v>
      </c>
      <c r="BM194" s="67">
        <f>IFERROR(100*((AM194/E194*(2400))/((F194*60+G194)*SUMIFS(팀공격력!AR:AR,팀공격력!A:A,B194,팀공격력!B:B,D194))),"")</f>
        <v>0.63904411887190204</v>
      </c>
      <c r="BN194" s="67">
        <f>IFERROR((AO194*40)/(((F194*60+G194)/60)*(SUMIFS(팀수비력!Q:Q,팀수비력!A:A,B194,팀수비력!B:B,D194)-SUMIFS(팀수비력!N:N,팀수비력!A:A,B194,팀수비력!B:B,D194)))*100,"")</f>
        <v>0.93501029160633475</v>
      </c>
      <c r="BO194" s="67">
        <f t="shared" ref="BO194:BO257" si="164">IFERROR(100*AQ194/(L194+0.44*AA194+AQ194),"")</f>
        <v>17.21170395869191</v>
      </c>
      <c r="BP194" s="19"/>
      <c r="BQ194" s="19"/>
      <c r="BR194" s="19"/>
      <c r="BS194" s="19"/>
      <c r="BT194" s="20" t="s">
        <v>89</v>
      </c>
      <c r="BU194" s="21"/>
      <c r="BV194" s="30" t="s">
        <v>102</v>
      </c>
      <c r="BW194" s="30">
        <v>98.37</v>
      </c>
      <c r="BX194" s="30">
        <v>150.97</v>
      </c>
      <c r="BY194" s="30">
        <v>52.6</v>
      </c>
      <c r="BZ194" s="35">
        <f t="shared" si="133"/>
        <v>3.173225806451613</v>
      </c>
      <c r="CA194" s="35">
        <f t="shared" si="134"/>
        <v>4.87</v>
      </c>
      <c r="CB194" s="35">
        <f t="shared" si="135"/>
        <v>1.6967741935483871</v>
      </c>
      <c r="CC194" s="36">
        <f t="shared" si="136"/>
        <v>22.598640758112378</v>
      </c>
      <c r="CD194" s="36">
        <f t="shared" si="137"/>
        <v>34.682492581602375</v>
      </c>
      <c r="CE194" s="36">
        <f t="shared" si="138"/>
        <v>12.083851823489997</v>
      </c>
      <c r="CF194" s="30">
        <v>21</v>
      </c>
      <c r="CG194" s="30">
        <v>10</v>
      </c>
    </row>
    <row r="195" spans="1:85" x14ac:dyDescent="0.4">
      <c r="A195" s="11" t="s">
        <v>85</v>
      </c>
      <c r="B195" s="11" t="s">
        <v>286</v>
      </c>
      <c r="C195" s="11" t="s">
        <v>291</v>
      </c>
      <c r="D195" s="46" t="s">
        <v>88</v>
      </c>
      <c r="E195" s="15">
        <v>40</v>
      </c>
      <c r="F195" s="15">
        <v>28</v>
      </c>
      <c r="G195" s="15">
        <v>41</v>
      </c>
      <c r="H195" s="16">
        <f t="shared" si="139"/>
        <v>68840</v>
      </c>
      <c r="I195" s="16">
        <v>637</v>
      </c>
      <c r="J195" s="17">
        <f t="shared" si="140"/>
        <v>15.925000000000001</v>
      </c>
      <c r="K195" s="15">
        <v>259</v>
      </c>
      <c r="L195" s="15">
        <v>450</v>
      </c>
      <c r="M195" s="17">
        <f t="shared" si="141"/>
        <v>6.4749999999999996</v>
      </c>
      <c r="N195" s="17">
        <f t="shared" si="142"/>
        <v>11.25</v>
      </c>
      <c r="O195" s="18">
        <f t="shared" si="143"/>
        <v>0.5755555555555556</v>
      </c>
      <c r="P195" s="16">
        <v>258</v>
      </c>
      <c r="Q195" s="15">
        <v>448</v>
      </c>
      <c r="R195" s="17">
        <f t="shared" si="144"/>
        <v>6.45</v>
      </c>
      <c r="S195" s="17">
        <f t="shared" si="145"/>
        <v>11.2</v>
      </c>
      <c r="T195" s="18">
        <f t="shared" si="146"/>
        <v>0.5758928571428571</v>
      </c>
      <c r="U195" s="15">
        <v>1</v>
      </c>
      <c r="V195" s="15">
        <v>2</v>
      </c>
      <c r="W195" s="17">
        <f t="shared" si="147"/>
        <v>2.5000000000000001E-2</v>
      </c>
      <c r="X195" s="17">
        <f t="shared" si="148"/>
        <v>0.05</v>
      </c>
      <c r="Y195" s="18">
        <f t="shared" si="149"/>
        <v>0.5</v>
      </c>
      <c r="Z195" s="15">
        <v>118</v>
      </c>
      <c r="AA195" s="15">
        <v>209</v>
      </c>
      <c r="AB195" s="17">
        <f t="shared" si="150"/>
        <v>2.95</v>
      </c>
      <c r="AC195" s="17">
        <f t="shared" si="151"/>
        <v>5.2249999999999996</v>
      </c>
      <c r="AD195" s="18">
        <f t="shared" si="152"/>
        <v>0.56459330143540665</v>
      </c>
      <c r="AE195" s="15">
        <v>575</v>
      </c>
      <c r="AF195" s="17">
        <f t="shared" si="153"/>
        <v>14.375</v>
      </c>
      <c r="AG195" s="15">
        <v>231</v>
      </c>
      <c r="AH195" s="17">
        <f t="shared" si="154"/>
        <v>5.7750000000000004</v>
      </c>
      <c r="AI195" s="15">
        <v>344</v>
      </c>
      <c r="AJ195" s="17">
        <f t="shared" si="155"/>
        <v>8.6</v>
      </c>
      <c r="AK195" s="15">
        <v>136</v>
      </c>
      <c r="AL195" s="17">
        <f t="shared" si="156"/>
        <v>3.4</v>
      </c>
      <c r="AM195" s="15">
        <v>62</v>
      </c>
      <c r="AN195" s="17">
        <f t="shared" si="157"/>
        <v>1.55</v>
      </c>
      <c r="AO195" s="15">
        <v>24</v>
      </c>
      <c r="AP195" s="17">
        <f t="shared" si="120"/>
        <v>0.6</v>
      </c>
      <c r="AQ195" s="4">
        <v>76</v>
      </c>
      <c r="AR195" s="17">
        <f t="shared" si="158"/>
        <v>1.9</v>
      </c>
      <c r="AS195" s="15">
        <v>101</v>
      </c>
      <c r="AT195" s="17">
        <f t="shared" si="159"/>
        <v>2.5249999999999999</v>
      </c>
      <c r="AU195" s="19">
        <v>6.3421194763595583</v>
      </c>
      <c r="AV195" s="19">
        <v>0.22110817465518509</v>
      </c>
      <c r="AW195" s="19">
        <v>3.6450325085410071</v>
      </c>
      <c r="AX195" s="19">
        <v>2.6970869678185521</v>
      </c>
      <c r="AY195" s="19">
        <v>123.5860794536197</v>
      </c>
      <c r="AZ195" s="19">
        <v>97.184472346003304</v>
      </c>
      <c r="BA195" s="19">
        <v>17.666220668524211</v>
      </c>
      <c r="BB195" s="19">
        <v>26.9</v>
      </c>
      <c r="BC195" s="19">
        <v>37.51307379430564</v>
      </c>
      <c r="BD195" s="65">
        <f t="shared" si="160"/>
        <v>58.768174773045978</v>
      </c>
      <c r="BE195" s="65">
        <f t="shared" si="161"/>
        <v>57.666666666666664</v>
      </c>
      <c r="BF195" s="66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18.733614321043177</v>
      </c>
      <c r="BG195" s="38">
        <f t="shared" si="162"/>
        <v>4.4444444444444444E-3</v>
      </c>
      <c r="BH195" s="38">
        <f t="shared" si="163"/>
        <v>0.46444444444444444</v>
      </c>
      <c r="BI195" s="67">
        <f>IFERROR(((AG195*(12000/5))/((F195*60+G195)*(SUMIFS(팀공격력!X:X,팀공격력!A:A,B195,팀공격력!B:B,D195)+SUMIFS(팀수비력!X:X,팀수비력!A:A,B195,팀수비력!B:B,D195))))*100,"")</f>
        <v>8.0918937877638122</v>
      </c>
      <c r="BJ195" s="67">
        <f>IFERROR(((AI195*(12000/5))/((F195*60+G195)*(SUMIFS(팀공격력!V:V,팀공격력!A:A,B195,팀공격력!B:B,D195)+SUMIFS(팀수비력!W:W,팀수비력!A:A,B195,팀수비력!B:B,D195))))*100,"")</f>
        <v>25.275083898216355</v>
      </c>
      <c r="BK195" s="67">
        <f>IFERROR(((AE195*(12000/5))/((F195*60+G195)*(SUMIFS(팀공격력!X:X,팀공격력!A:A,B195,팀공격력!B:B,D195)+SUMIFS(팀수비력!X:X,팀수비력!A:A,B195,팀수비력!B:B,D195))))*100,"")</f>
        <v>20.142159861316848</v>
      </c>
      <c r="BL195" s="67">
        <f>IFERROR(100*AK195/(((((F195*60+G195)/(12000/5))*SUMIFS(팀공격력!P:P,팀공격력!A:A,B195,팀공격력!B:B,D195))-K195)),"")</f>
        <v>14.009094752383671</v>
      </c>
      <c r="BM195" s="67">
        <f>IFERROR(100*((AM195/E195*(2400))/((F195*60+G195)*SUMIFS(팀공격력!AR:AR,팀공격력!A:A,B195,팀공격력!B:B,D195))),"")</f>
        <v>3.0063758164656824</v>
      </c>
      <c r="BN195" s="67">
        <f>IFERROR((AO195*40)/(((F195*60+G195)/60)*(SUMIFS(팀수비력!Q:Q,팀수비력!A:A,B195,팀수비력!B:B,D195)-SUMIFS(팀수비력!N:N,팀수비력!A:A,B195,팀수비력!B:B,D195)))*100,"")</f>
        <v>1.4647226880712829</v>
      </c>
      <c r="BO195" s="67">
        <f t="shared" si="164"/>
        <v>12.298530649232958</v>
      </c>
      <c r="BP195" s="19"/>
      <c r="BQ195" s="19"/>
      <c r="BR195" s="19"/>
      <c r="BS195" s="19"/>
      <c r="BT195" s="20" t="s">
        <v>96</v>
      </c>
      <c r="BU195" s="21"/>
      <c r="BV195" s="30" t="s">
        <v>102</v>
      </c>
      <c r="BW195" s="30">
        <v>1534.16</v>
      </c>
      <c r="BX195" s="30">
        <v>1911.86</v>
      </c>
      <c r="BY195" s="30">
        <v>377.7</v>
      </c>
      <c r="BZ195" s="35">
        <f t="shared" si="133"/>
        <v>38.353999999999999</v>
      </c>
      <c r="CA195" s="35">
        <f t="shared" si="134"/>
        <v>47.796499999999995</v>
      </c>
      <c r="CB195" s="35">
        <f t="shared" si="135"/>
        <v>9.442499999999999</v>
      </c>
      <c r="CC195" s="36">
        <f t="shared" si="136"/>
        <v>53.486112725159799</v>
      </c>
      <c r="CD195" s="36">
        <f t="shared" si="137"/>
        <v>66.654038349796636</v>
      </c>
      <c r="CE195" s="36">
        <f t="shared" si="138"/>
        <v>13.167925624636839</v>
      </c>
      <c r="CF195" s="30">
        <v>28</v>
      </c>
      <c r="CG195" s="30">
        <v>12</v>
      </c>
    </row>
    <row r="196" spans="1:85" x14ac:dyDescent="0.4">
      <c r="A196" s="11" t="s">
        <v>85</v>
      </c>
      <c r="B196" s="11" t="s">
        <v>286</v>
      </c>
      <c r="C196" s="11" t="s">
        <v>292</v>
      </c>
      <c r="D196" s="46" t="s">
        <v>88</v>
      </c>
      <c r="E196" s="10">
        <v>53</v>
      </c>
      <c r="F196" s="10">
        <v>14</v>
      </c>
      <c r="G196" s="10">
        <v>15</v>
      </c>
      <c r="H196" s="16">
        <f t="shared" si="139"/>
        <v>45315</v>
      </c>
      <c r="I196" s="16">
        <v>206</v>
      </c>
      <c r="J196" s="17">
        <f t="shared" si="140"/>
        <v>3.8867924528301887</v>
      </c>
      <c r="K196" s="15">
        <v>85</v>
      </c>
      <c r="L196" s="15">
        <v>205</v>
      </c>
      <c r="M196" s="17">
        <f t="shared" si="141"/>
        <v>1.6037735849056605</v>
      </c>
      <c r="N196" s="17">
        <f t="shared" si="142"/>
        <v>3.8679245283018866</v>
      </c>
      <c r="O196" s="18">
        <f t="shared" si="143"/>
        <v>0.41463414634146339</v>
      </c>
      <c r="P196" s="16">
        <v>67</v>
      </c>
      <c r="Q196" s="15">
        <v>140</v>
      </c>
      <c r="R196" s="17">
        <f t="shared" si="144"/>
        <v>1.2641509433962264</v>
      </c>
      <c r="S196" s="17">
        <f t="shared" si="145"/>
        <v>2.641509433962264</v>
      </c>
      <c r="T196" s="18">
        <f t="shared" si="146"/>
        <v>0.47857142857142859</v>
      </c>
      <c r="U196" s="15">
        <v>18</v>
      </c>
      <c r="V196" s="15">
        <v>65</v>
      </c>
      <c r="W196" s="17">
        <f t="shared" si="147"/>
        <v>0.33962264150943394</v>
      </c>
      <c r="X196" s="17">
        <f t="shared" si="148"/>
        <v>1.2264150943396226</v>
      </c>
      <c r="Y196" s="18">
        <f t="shared" si="149"/>
        <v>0.27692307692307694</v>
      </c>
      <c r="Z196" s="9">
        <v>18</v>
      </c>
      <c r="AA196" s="9">
        <v>24</v>
      </c>
      <c r="AB196" s="17">
        <f t="shared" si="150"/>
        <v>0.33962264150943394</v>
      </c>
      <c r="AC196" s="17">
        <f t="shared" si="151"/>
        <v>0.45283018867924529</v>
      </c>
      <c r="AD196" s="18">
        <f t="shared" si="152"/>
        <v>0.75</v>
      </c>
      <c r="AE196" s="15">
        <v>77</v>
      </c>
      <c r="AF196" s="17">
        <f t="shared" si="153"/>
        <v>1.4528301886792452</v>
      </c>
      <c r="AG196" s="15">
        <v>13</v>
      </c>
      <c r="AH196" s="17">
        <f t="shared" si="154"/>
        <v>0.24528301886792453</v>
      </c>
      <c r="AI196" s="15">
        <v>64</v>
      </c>
      <c r="AJ196" s="17">
        <f t="shared" si="155"/>
        <v>1.2075471698113207</v>
      </c>
      <c r="AK196" s="15">
        <v>115</v>
      </c>
      <c r="AL196" s="17">
        <f t="shared" si="156"/>
        <v>2.1698113207547172</v>
      </c>
      <c r="AM196" s="15">
        <v>23</v>
      </c>
      <c r="AN196" s="17">
        <f t="shared" si="157"/>
        <v>0.43396226415094341</v>
      </c>
      <c r="AO196" s="7">
        <v>1</v>
      </c>
      <c r="AP196" s="17">
        <f t="shared" si="120"/>
        <v>1.8867924528301886E-2</v>
      </c>
      <c r="AQ196" s="6">
        <v>40</v>
      </c>
      <c r="AR196" s="17">
        <f t="shared" si="158"/>
        <v>0.75471698113207553</v>
      </c>
      <c r="AS196" s="15">
        <v>87</v>
      </c>
      <c r="AT196" s="17">
        <f t="shared" si="159"/>
        <v>1.6415094339622642</v>
      </c>
      <c r="AU196" s="19">
        <v>0.95222485984589456</v>
      </c>
      <c r="AV196" s="19">
        <v>5.0432299760126822E-2</v>
      </c>
      <c r="AW196" s="19">
        <v>0.1381146070612646</v>
      </c>
      <c r="AX196" s="19">
        <v>0.81411025278463001</v>
      </c>
      <c r="AY196" s="19">
        <v>103.94371319499849</v>
      </c>
      <c r="AZ196" s="19">
        <v>109.3228746416124</v>
      </c>
      <c r="BA196" s="19">
        <v>6.2084032752179121</v>
      </c>
      <c r="BB196" s="19">
        <v>4.8301886792452828</v>
      </c>
      <c r="BC196" s="19">
        <v>13.558424362793779</v>
      </c>
      <c r="BD196" s="65">
        <f t="shared" si="160"/>
        <v>47.782519948042307</v>
      </c>
      <c r="BE196" s="65">
        <f t="shared" si="161"/>
        <v>45.853658536585371</v>
      </c>
      <c r="BF196" s="66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15.594406309156541</v>
      </c>
      <c r="BG196" s="38">
        <f t="shared" si="162"/>
        <v>0.31707317073170732</v>
      </c>
      <c r="BH196" s="38">
        <f t="shared" si="163"/>
        <v>0.11707317073170732</v>
      </c>
      <c r="BI196" s="67">
        <f>IFERROR(((AG196*(12000/5))/((F196*60+G196)*(SUMIFS(팀공격력!X:X,팀공격력!A:A,B196,팀공격력!B:B,D196)+SUMIFS(팀수비력!X:X,팀수비력!A:A,B196,팀수비력!B:B,D196))))*100,"")</f>
        <v>0.91663471665851404</v>
      </c>
      <c r="BJ196" s="67">
        <f>IFERROR(((AI196*(12000/5))/((F196*60+G196)*(SUMIFS(팀공격력!V:V,팀공격력!A:A,B196,팀공격력!B:B,D196)+SUMIFS(팀수비력!W:W,팀수비력!A:A,B196,팀수비력!B:B,D196))))*100,"")</f>
        <v>9.4651803375667836</v>
      </c>
      <c r="BK196" s="67">
        <f>IFERROR(((AE196*(12000/5))/((F196*60+G196)*(SUMIFS(팀공격력!X:X,팀공격력!A:A,B196,팀공격력!B:B,D196)+SUMIFS(팀수비력!X:X,팀수비력!A:A,B196,팀수비력!B:B,D196))))*100,"")</f>
        <v>5.4292979371311976</v>
      </c>
      <c r="BL196" s="67">
        <f>IFERROR(100*AK196/(((((F196*60+G196)/(12000/5))*SUMIFS(팀공격력!P:P,팀공격력!A:A,B196,팀공격력!B:B,D196))-K196)),"")</f>
        <v>21.864416849860376</v>
      </c>
      <c r="BM196" s="67">
        <f>IFERROR(100*((AM196/E196*(2400))/((F196*60+G196)*SUMIFS(팀공격력!AR:AR,팀공격력!A:A,B196,팀공격력!B:B,D196))),"")</f>
        <v>1.6942531162601731</v>
      </c>
      <c r="BN196" s="67">
        <f>IFERROR((AO196*40)/(((F196*60+G196)/60)*(SUMIFS(팀수비력!Q:Q,팀수비력!A:A,B196,팀수비력!B:B,D196)-SUMIFS(팀수비력!N:N,팀수비력!A:A,B196,팀수비력!B:B,D196)))*100,"")</f>
        <v>0.12284540673346386</v>
      </c>
      <c r="BO196" s="67">
        <f t="shared" si="164"/>
        <v>15.651901706057286</v>
      </c>
      <c r="BP196" s="19"/>
      <c r="BQ196" s="19"/>
      <c r="BR196" s="19"/>
      <c r="BS196" s="19"/>
      <c r="BT196" s="20" t="s">
        <v>89</v>
      </c>
      <c r="BU196" s="21"/>
      <c r="BV196" s="31" t="s">
        <v>90</v>
      </c>
      <c r="BW196" s="31">
        <v>500.7</v>
      </c>
      <c r="BX196" s="31">
        <v>680.8</v>
      </c>
      <c r="BY196" s="31">
        <v>180.1</v>
      </c>
      <c r="BZ196" s="35">
        <f t="shared" si="133"/>
        <v>9.4471698113207552</v>
      </c>
      <c r="CA196" s="35">
        <f t="shared" si="134"/>
        <v>12.845283018867924</v>
      </c>
      <c r="CB196" s="35">
        <f t="shared" si="135"/>
        <v>3.3981132075471696</v>
      </c>
      <c r="CC196" s="36">
        <f t="shared" si="136"/>
        <v>26.51837140019861</v>
      </c>
      <c r="CD196" s="36">
        <f t="shared" si="137"/>
        <v>36.0569347898047</v>
      </c>
      <c r="CE196" s="36">
        <f t="shared" si="138"/>
        <v>9.5385633896060913</v>
      </c>
      <c r="CF196" s="31">
        <v>35</v>
      </c>
      <c r="CG196" s="31">
        <v>18</v>
      </c>
    </row>
    <row r="197" spans="1:85" x14ac:dyDescent="0.4">
      <c r="A197" s="11" t="s">
        <v>85</v>
      </c>
      <c r="B197" s="11" t="s">
        <v>286</v>
      </c>
      <c r="C197" s="11" t="s">
        <v>293</v>
      </c>
      <c r="D197" s="46" t="s">
        <v>88</v>
      </c>
      <c r="E197" s="15">
        <v>54</v>
      </c>
      <c r="F197" s="15">
        <v>27</v>
      </c>
      <c r="G197" s="15">
        <v>36</v>
      </c>
      <c r="H197" s="16">
        <f t="shared" si="139"/>
        <v>89424</v>
      </c>
      <c r="I197" s="16">
        <v>698</v>
      </c>
      <c r="J197" s="17">
        <f t="shared" si="140"/>
        <v>12.925925925925926</v>
      </c>
      <c r="K197" s="15">
        <v>269</v>
      </c>
      <c r="L197" s="15">
        <v>590</v>
      </c>
      <c r="M197" s="17">
        <f t="shared" si="141"/>
        <v>4.9814814814814818</v>
      </c>
      <c r="N197" s="17">
        <f t="shared" si="142"/>
        <v>10.925925925925926</v>
      </c>
      <c r="O197" s="18">
        <f t="shared" si="143"/>
        <v>0.45593220338983048</v>
      </c>
      <c r="P197" s="16">
        <v>181</v>
      </c>
      <c r="Q197" s="15">
        <v>333</v>
      </c>
      <c r="R197" s="17">
        <f t="shared" si="144"/>
        <v>3.3518518518518516</v>
      </c>
      <c r="S197" s="17">
        <f t="shared" si="145"/>
        <v>6.166666666666667</v>
      </c>
      <c r="T197" s="18">
        <f t="shared" si="146"/>
        <v>0.54354354354354351</v>
      </c>
      <c r="U197" s="15">
        <v>88</v>
      </c>
      <c r="V197" s="15">
        <v>257</v>
      </c>
      <c r="W197" s="17">
        <f t="shared" si="147"/>
        <v>1.6296296296296295</v>
      </c>
      <c r="X197" s="17">
        <f t="shared" si="148"/>
        <v>4.7592592592592595</v>
      </c>
      <c r="Y197" s="18">
        <f t="shared" si="149"/>
        <v>0.34241245136186771</v>
      </c>
      <c r="Z197" s="15">
        <v>72</v>
      </c>
      <c r="AA197" s="15">
        <v>102</v>
      </c>
      <c r="AB197" s="17">
        <f t="shared" si="150"/>
        <v>1.3333333333333333</v>
      </c>
      <c r="AC197" s="17">
        <f t="shared" si="151"/>
        <v>1.8888888888888888</v>
      </c>
      <c r="AD197" s="18">
        <f t="shared" si="152"/>
        <v>0.70588235294117652</v>
      </c>
      <c r="AE197" s="15">
        <v>286</v>
      </c>
      <c r="AF197" s="17">
        <f t="shared" si="153"/>
        <v>5.2962962962962967</v>
      </c>
      <c r="AG197" s="15">
        <v>100</v>
      </c>
      <c r="AH197" s="17">
        <f t="shared" si="154"/>
        <v>1.8518518518518519</v>
      </c>
      <c r="AI197" s="15">
        <v>186</v>
      </c>
      <c r="AJ197" s="17">
        <f t="shared" si="155"/>
        <v>3.4444444444444446</v>
      </c>
      <c r="AK197" s="15">
        <v>160</v>
      </c>
      <c r="AL197" s="17">
        <f t="shared" si="156"/>
        <v>2.9629629629629628</v>
      </c>
      <c r="AM197" s="15">
        <v>40</v>
      </c>
      <c r="AN197" s="17">
        <f t="shared" si="157"/>
        <v>0.7407407407407407</v>
      </c>
      <c r="AO197" s="15">
        <v>10</v>
      </c>
      <c r="AP197" s="17">
        <f t="shared" si="120"/>
        <v>0.18518518518518517</v>
      </c>
      <c r="AQ197" s="4">
        <v>77</v>
      </c>
      <c r="AR197" s="17">
        <f t="shared" si="158"/>
        <v>1.4259259259259258</v>
      </c>
      <c r="AS197" s="15">
        <v>132</v>
      </c>
      <c r="AT197" s="17">
        <f t="shared" si="159"/>
        <v>2.4444444444444446</v>
      </c>
      <c r="AU197" s="19">
        <v>4.0713625361082313</v>
      </c>
      <c r="AV197" s="19">
        <v>0.10926898916017801</v>
      </c>
      <c r="AW197" s="19">
        <v>2.2599356113290692</v>
      </c>
      <c r="AX197" s="19">
        <v>1.8114269247791619</v>
      </c>
      <c r="AY197" s="19">
        <v>114.670095463744</v>
      </c>
      <c r="AZ197" s="19">
        <v>108.0119434267052</v>
      </c>
      <c r="BA197" s="19">
        <v>12.798072587730321</v>
      </c>
      <c r="BB197" s="19">
        <v>14.18518518518519</v>
      </c>
      <c r="BC197" s="19">
        <v>20.558239398819111</v>
      </c>
      <c r="BD197" s="65">
        <f t="shared" si="160"/>
        <v>54.971018145161288</v>
      </c>
      <c r="BE197" s="65">
        <f t="shared" si="161"/>
        <v>53.050847457627114</v>
      </c>
      <c r="BF197" s="66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22.427896335911591</v>
      </c>
      <c r="BG197" s="38">
        <f t="shared" si="162"/>
        <v>0.43559322033898307</v>
      </c>
      <c r="BH197" s="38">
        <f t="shared" si="163"/>
        <v>0.17288135593220338</v>
      </c>
      <c r="BI197" s="67">
        <f>IFERROR(((AG197*(12000/5))/((F197*60+G197)*(SUMIFS(팀공격력!X:X,팀공격력!A:A,B197,팀공격력!B:B,D197)+SUMIFS(팀수비력!X:X,팀수비력!A:A,B197,팀수비력!B:B,D197))))*100,"")</f>
        <v>3.6404806890701851</v>
      </c>
      <c r="BJ197" s="67">
        <f>IFERROR(((AI197*(12000/5))/((F197*60+G197)*(SUMIFS(팀공격력!V:V,팀공격력!A:A,B197,팀공격력!B:B,D197)+SUMIFS(팀수비력!W:W,팀수비력!A:A,B197,팀수비력!B:B,D197))))*100,"")</f>
        <v>14.202593118614558</v>
      </c>
      <c r="BK197" s="67">
        <f>IFERROR(((AE197*(12000/5))/((F197*60+G197)*(SUMIFS(팀공격력!X:X,팀공격력!A:A,B197,팀공격력!B:B,D197)+SUMIFS(팀수비력!X:X,팀수비력!A:A,B197,팀수비력!B:B,D197))))*100,"")</f>
        <v>10.411774770740728</v>
      </c>
      <c r="BL197" s="67">
        <f>IFERROR(100*AK197/(((((F197*60+G197)/(12000/5))*SUMIFS(팀공격력!P:P,팀공격력!A:A,B197,팀공격력!B:B,D197))-K197)),"")</f>
        <v>17.498769617761251</v>
      </c>
      <c r="BM197" s="67">
        <f>IFERROR(100*((AM197/E197*(2400))/((F197*60+G197)*SUMIFS(팀공격력!AR:AR,팀공격력!A:A,B197,팀공격력!B:B,D197))),"")</f>
        <v>1.4931324722344694</v>
      </c>
      <c r="BN197" s="67">
        <f>IFERROR((AO197*40)/(((F197*60+G197)/60)*(SUMIFS(팀수비력!Q:Q,팀수비력!A:A,B197,팀수비력!B:B,D197)-SUMIFS(팀수비력!N:N,팀수비력!A:A,B197,팀수비력!B:B,D197)))*100,"")</f>
        <v>0.63425617606951445</v>
      </c>
      <c r="BO197" s="67">
        <f t="shared" si="164"/>
        <v>10.816429735348654</v>
      </c>
      <c r="BP197" s="19"/>
      <c r="BQ197" s="19"/>
      <c r="BR197" s="19"/>
      <c r="BS197" s="19"/>
      <c r="BT197" s="20" t="s">
        <v>89</v>
      </c>
      <c r="BU197" s="21">
        <v>200000</v>
      </c>
      <c r="BV197" s="30" t="s">
        <v>93</v>
      </c>
      <c r="BW197" s="30">
        <v>1258.9000000000001</v>
      </c>
      <c r="BX197" s="30">
        <v>1702.5</v>
      </c>
      <c r="BY197" s="30">
        <v>443.6</v>
      </c>
      <c r="BZ197" s="35">
        <f t="shared" si="133"/>
        <v>23.312962962962963</v>
      </c>
      <c r="CA197" s="35">
        <f t="shared" si="134"/>
        <v>31.527777777777779</v>
      </c>
      <c r="CB197" s="35">
        <f t="shared" si="135"/>
        <v>8.2148148148148152</v>
      </c>
      <c r="CC197" s="36">
        <f t="shared" si="136"/>
        <v>33.786902844873858</v>
      </c>
      <c r="CD197" s="36">
        <f t="shared" si="137"/>
        <v>45.692431561996777</v>
      </c>
      <c r="CE197" s="36">
        <f t="shared" si="138"/>
        <v>11.90552871712292</v>
      </c>
      <c r="CF197" s="30">
        <v>36</v>
      </c>
      <c r="CG197" s="30">
        <v>18</v>
      </c>
    </row>
    <row r="198" spans="1:85" x14ac:dyDescent="0.4">
      <c r="A198" s="11" t="s">
        <v>85</v>
      </c>
      <c r="B198" s="11" t="s">
        <v>286</v>
      </c>
      <c r="C198" s="11" t="s">
        <v>294</v>
      </c>
      <c r="D198" s="46" t="s">
        <v>88</v>
      </c>
      <c r="E198" s="15">
        <v>52</v>
      </c>
      <c r="F198" s="15">
        <v>23</v>
      </c>
      <c r="G198" s="15">
        <v>34</v>
      </c>
      <c r="H198" s="16">
        <f t="shared" si="139"/>
        <v>73528</v>
      </c>
      <c r="I198" s="16">
        <v>419</v>
      </c>
      <c r="J198" s="17">
        <f t="shared" si="140"/>
        <v>8.0576923076923084</v>
      </c>
      <c r="K198" s="15">
        <v>137</v>
      </c>
      <c r="L198" s="15">
        <v>327</v>
      </c>
      <c r="M198" s="17">
        <f t="shared" si="141"/>
        <v>2.6346153846153846</v>
      </c>
      <c r="N198" s="17">
        <f t="shared" si="142"/>
        <v>6.2884615384615383</v>
      </c>
      <c r="O198" s="18">
        <f t="shared" si="143"/>
        <v>0.41896024464831805</v>
      </c>
      <c r="P198" s="16">
        <v>42</v>
      </c>
      <c r="Q198" s="15">
        <v>103</v>
      </c>
      <c r="R198" s="17">
        <f t="shared" si="144"/>
        <v>0.80769230769230771</v>
      </c>
      <c r="S198" s="17">
        <f t="shared" si="145"/>
        <v>1.9807692307692308</v>
      </c>
      <c r="T198" s="18">
        <f t="shared" si="146"/>
        <v>0.40776699029126212</v>
      </c>
      <c r="U198" s="15">
        <v>95</v>
      </c>
      <c r="V198" s="15">
        <v>224</v>
      </c>
      <c r="W198" s="17">
        <f t="shared" si="147"/>
        <v>1.8269230769230769</v>
      </c>
      <c r="X198" s="17">
        <f t="shared" si="148"/>
        <v>4.3076923076923075</v>
      </c>
      <c r="Y198" s="18">
        <f t="shared" si="149"/>
        <v>0.42410714285714285</v>
      </c>
      <c r="Z198" s="15">
        <v>50</v>
      </c>
      <c r="AA198" s="15">
        <v>67</v>
      </c>
      <c r="AB198" s="17">
        <f t="shared" si="150"/>
        <v>0.96153846153846156</v>
      </c>
      <c r="AC198" s="17">
        <f t="shared" si="151"/>
        <v>1.2884615384615385</v>
      </c>
      <c r="AD198" s="18">
        <f t="shared" si="152"/>
        <v>0.74626865671641796</v>
      </c>
      <c r="AE198" s="15">
        <v>115</v>
      </c>
      <c r="AF198" s="17">
        <f t="shared" si="153"/>
        <v>2.2115384615384617</v>
      </c>
      <c r="AG198" s="15">
        <v>43</v>
      </c>
      <c r="AH198" s="17">
        <f t="shared" si="154"/>
        <v>0.82692307692307687</v>
      </c>
      <c r="AI198" s="15">
        <v>72</v>
      </c>
      <c r="AJ198" s="17">
        <f t="shared" si="155"/>
        <v>1.3846153846153846</v>
      </c>
      <c r="AK198" s="15">
        <v>28</v>
      </c>
      <c r="AL198" s="17">
        <f t="shared" si="156"/>
        <v>0.53846153846153844</v>
      </c>
      <c r="AM198" s="15">
        <v>46</v>
      </c>
      <c r="AN198" s="17">
        <f t="shared" si="157"/>
        <v>0.88461538461538458</v>
      </c>
      <c r="AO198" s="15">
        <v>24</v>
      </c>
      <c r="AP198" s="17">
        <f t="shared" ref="AP198:AP261" si="165">AO198/$E198</f>
        <v>0.46153846153846156</v>
      </c>
      <c r="AQ198" s="4">
        <v>28</v>
      </c>
      <c r="AR198" s="17">
        <f t="shared" si="158"/>
        <v>0.53846153846153844</v>
      </c>
      <c r="AS198" s="15">
        <v>107</v>
      </c>
      <c r="AT198" s="17">
        <f t="shared" si="159"/>
        <v>2.0576923076923075</v>
      </c>
      <c r="AU198" s="19">
        <v>2.9454608839803078</v>
      </c>
      <c r="AV198" s="19">
        <v>9.6141689173549372E-2</v>
      </c>
      <c r="AW198" s="19">
        <v>1.5108203811381611</v>
      </c>
      <c r="AX198" s="19">
        <v>1.4346405028421469</v>
      </c>
      <c r="AY198" s="19">
        <v>119.0610744133263</v>
      </c>
      <c r="AZ198" s="19">
        <v>108.4383041958165</v>
      </c>
      <c r="BA198" s="19">
        <v>8.3284120665936108</v>
      </c>
      <c r="BB198" s="19">
        <v>7.634615384615385</v>
      </c>
      <c r="BC198" s="19">
        <v>12.958328799912961</v>
      </c>
      <c r="BD198" s="65">
        <f t="shared" si="160"/>
        <v>58.769075403949735</v>
      </c>
      <c r="BE198" s="65">
        <f t="shared" si="161"/>
        <v>56.422018348623851</v>
      </c>
      <c r="BF198" s="66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14.186211315980552</v>
      </c>
      <c r="BG198" s="38">
        <f t="shared" si="162"/>
        <v>0.68501529051987764</v>
      </c>
      <c r="BH198" s="38">
        <f t="shared" si="163"/>
        <v>0.20489296636085627</v>
      </c>
      <c r="BI198" s="67">
        <f>IFERROR(((AG198*(12000/5))/((F198*60+G198)*(SUMIFS(팀공격력!X:X,팀공격력!A:A,B198,팀공격력!B:B,D198)+SUMIFS(팀수비력!X:X,팀수비력!A:A,B198,팀수비력!B:B,D198))))*100,"")</f>
        <v>1.8333192992030389</v>
      </c>
      <c r="BJ198" s="67">
        <f>IFERROR(((AI198*(12000/5))/((F198*60+G198)*(SUMIFS(팀공격력!V:V,팀공격력!A:A,B198,팀공격력!B:B,D198)+SUMIFS(팀수비력!W:W,팀수비력!A:A,B198,팀수비력!B:B,D198))))*100,"")</f>
        <v>6.4386989654858908</v>
      </c>
      <c r="BK198" s="67">
        <f>IFERROR(((AE198*(12000/5))/((F198*60+G198)*(SUMIFS(팀공격력!X:X,팀공격력!A:A,B198,팀공격력!B:B,D198)+SUMIFS(팀수비력!X:X,팀수비력!A:A,B198,팀수비력!B:B,D198))))*100,"")</f>
        <v>4.9030632420546389</v>
      </c>
      <c r="BL198" s="67">
        <f>IFERROR(100*AK198/(((((F198*60+G198)/(12000/5))*SUMIFS(팀공격력!P:P,팀공격력!A:A,B198,팀공격력!B:B,D198))-K198)),"")</f>
        <v>3.2057856798698605</v>
      </c>
      <c r="BM198" s="67">
        <f>IFERROR(100*((AM198/E198*(2400))/((F198*60+G198)*SUMIFS(팀공격력!AR:AR,팀공격력!A:A,B198,팀공격력!B:B,D198))),"")</f>
        <v>2.0883222707901683</v>
      </c>
      <c r="BN198" s="67">
        <f>IFERROR((AO198*40)/(((F198*60+G198)/60)*(SUMIFS(팀수비력!Q:Q,팀수비력!A:A,B198,팀수비력!B:B,D198)-SUMIFS(팀수비력!N:N,팀수비력!A:A,B198,팀수비력!B:B,D198)))*100,"")</f>
        <v>1.7827353226100979</v>
      </c>
      <c r="BO198" s="67">
        <f t="shared" si="164"/>
        <v>7.282563462338743</v>
      </c>
      <c r="BP198" s="19"/>
      <c r="BQ198" s="19"/>
      <c r="BR198" s="19"/>
      <c r="BS198" s="19"/>
      <c r="BT198" s="20" t="s">
        <v>89</v>
      </c>
      <c r="BU198" s="21">
        <v>94000</v>
      </c>
      <c r="BV198" s="30" t="s">
        <v>90</v>
      </c>
      <c r="BW198" s="30">
        <v>745.58</v>
      </c>
      <c r="BX198" s="30">
        <v>978.28</v>
      </c>
      <c r="BY198" s="30">
        <v>232.7</v>
      </c>
      <c r="BZ198" s="35">
        <f t="shared" si="133"/>
        <v>14.338076923076924</v>
      </c>
      <c r="CA198" s="35">
        <f t="shared" si="134"/>
        <v>18.813076923076924</v>
      </c>
      <c r="CB198" s="35">
        <f t="shared" si="135"/>
        <v>4.4749999999999996</v>
      </c>
      <c r="CC198" s="36">
        <f t="shared" si="136"/>
        <v>24.336198455010337</v>
      </c>
      <c r="CD198" s="36">
        <f t="shared" si="137"/>
        <v>31.931672288107933</v>
      </c>
      <c r="CE198" s="36">
        <f t="shared" si="138"/>
        <v>7.5954738330975955</v>
      </c>
      <c r="CF198" s="31">
        <v>35</v>
      </c>
      <c r="CG198" s="31">
        <v>17</v>
      </c>
    </row>
    <row r="199" spans="1:85" x14ac:dyDescent="0.4">
      <c r="A199" s="11" t="s">
        <v>85</v>
      </c>
      <c r="B199" s="11" t="s">
        <v>286</v>
      </c>
      <c r="C199" s="11" t="s">
        <v>295</v>
      </c>
      <c r="D199" s="46" t="s">
        <v>88</v>
      </c>
      <c r="E199" s="15">
        <v>18</v>
      </c>
      <c r="F199" s="15">
        <v>10</v>
      </c>
      <c r="G199" s="15">
        <v>29</v>
      </c>
      <c r="H199" s="16">
        <f t="shared" si="139"/>
        <v>11322</v>
      </c>
      <c r="I199" s="16">
        <v>46</v>
      </c>
      <c r="J199" s="17">
        <f t="shared" si="140"/>
        <v>2.5555555555555554</v>
      </c>
      <c r="K199" s="15">
        <v>16</v>
      </c>
      <c r="L199" s="15">
        <v>54</v>
      </c>
      <c r="M199" s="17">
        <f t="shared" si="141"/>
        <v>0.88888888888888884</v>
      </c>
      <c r="N199" s="17">
        <f t="shared" si="142"/>
        <v>3</v>
      </c>
      <c r="O199" s="18">
        <f t="shared" si="143"/>
        <v>0.29629629629629628</v>
      </c>
      <c r="P199" s="16">
        <v>10</v>
      </c>
      <c r="Q199" s="15">
        <v>18</v>
      </c>
      <c r="R199" s="17">
        <f t="shared" si="144"/>
        <v>0.55555555555555558</v>
      </c>
      <c r="S199" s="17">
        <f t="shared" si="145"/>
        <v>1</v>
      </c>
      <c r="T199" s="18">
        <f t="shared" si="146"/>
        <v>0.55555555555555558</v>
      </c>
      <c r="U199" s="15">
        <v>6</v>
      </c>
      <c r="V199" s="15">
        <v>36</v>
      </c>
      <c r="W199" s="17">
        <f t="shared" si="147"/>
        <v>0.33333333333333331</v>
      </c>
      <c r="X199" s="17">
        <f t="shared" si="148"/>
        <v>2</v>
      </c>
      <c r="Y199" s="18">
        <f t="shared" si="149"/>
        <v>0.16666666666666666</v>
      </c>
      <c r="Z199" s="15">
        <v>8</v>
      </c>
      <c r="AA199" s="15">
        <v>10</v>
      </c>
      <c r="AB199" s="17">
        <f t="shared" si="150"/>
        <v>0.44444444444444442</v>
      </c>
      <c r="AC199" s="17">
        <f t="shared" si="151"/>
        <v>0.55555555555555558</v>
      </c>
      <c r="AD199" s="18">
        <f t="shared" si="152"/>
        <v>0.8</v>
      </c>
      <c r="AE199" s="15">
        <v>25</v>
      </c>
      <c r="AF199" s="17">
        <f t="shared" si="153"/>
        <v>1.3888888888888888</v>
      </c>
      <c r="AG199" s="15">
        <v>6</v>
      </c>
      <c r="AH199" s="17">
        <f t="shared" si="154"/>
        <v>0.33333333333333331</v>
      </c>
      <c r="AI199" s="15">
        <v>19</v>
      </c>
      <c r="AJ199" s="17">
        <f t="shared" si="155"/>
        <v>1.0555555555555556</v>
      </c>
      <c r="AK199" s="15">
        <v>8</v>
      </c>
      <c r="AL199" s="17">
        <f t="shared" si="156"/>
        <v>0.44444444444444442</v>
      </c>
      <c r="AM199" s="15">
        <v>4</v>
      </c>
      <c r="AN199" s="17">
        <f t="shared" si="157"/>
        <v>0.22222222222222221</v>
      </c>
      <c r="AO199" s="15">
        <v>0</v>
      </c>
      <c r="AP199" s="17">
        <f t="shared" si="165"/>
        <v>0</v>
      </c>
      <c r="AQ199" s="4">
        <v>3</v>
      </c>
      <c r="AR199" s="17">
        <f t="shared" si="158"/>
        <v>0.16666666666666666</v>
      </c>
      <c r="AS199" s="15">
        <v>13</v>
      </c>
      <c r="AT199" s="17">
        <f t="shared" si="159"/>
        <v>0.72222222222222221</v>
      </c>
      <c r="AU199" s="19">
        <v>7.6817958296061528E-2</v>
      </c>
      <c r="AV199" s="19">
        <v>1.6283615961009339E-2</v>
      </c>
      <c r="AW199" s="19">
        <v>-0.1113668191966536</v>
      </c>
      <c r="AX199" s="19">
        <v>0.1881847774927152</v>
      </c>
      <c r="AY199" s="19">
        <v>94.099255008728363</v>
      </c>
      <c r="AZ199" s="19">
        <v>110.09215435526021</v>
      </c>
      <c r="BA199" s="19">
        <v>1.297330104648587</v>
      </c>
      <c r="BB199" s="19">
        <v>2.2222222222222219</v>
      </c>
      <c r="BC199" s="19">
        <v>8.4790673025967145</v>
      </c>
      <c r="BD199" s="65">
        <f t="shared" si="160"/>
        <v>39.38356164383562</v>
      </c>
      <c r="BE199" s="65">
        <f t="shared" si="161"/>
        <v>35.185185185185183</v>
      </c>
      <c r="BF199" s="66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5.0928373514331629</v>
      </c>
      <c r="BG199" s="38">
        <f t="shared" si="162"/>
        <v>0.66666666666666663</v>
      </c>
      <c r="BH199" s="38">
        <f t="shared" si="163"/>
        <v>0.18518518518518517</v>
      </c>
      <c r="BI199" s="67">
        <f>IFERROR(((AG199*(12000/5))/((F199*60+G199)*(SUMIFS(팀공격력!X:X,팀공격력!A:A,B199,팀공격력!B:B,D199)+SUMIFS(팀수비력!X:X,팀수비력!A:A,B199,팀수비력!B:B,D199))))*100,"")</f>
        <v>0.57506861886488647</v>
      </c>
      <c r="BJ199" s="67">
        <f>IFERROR(((AI199*(12000/5))/((F199*60+G199)*(SUMIFS(팀공격력!V:V,팀공격력!A:A,B199,팀공격력!B:B,D199)+SUMIFS(팀수비력!W:W,팀수비력!A:A,B199,팀수비력!B:B,D199))))*100,"")</f>
        <v>3.8196009187145363</v>
      </c>
      <c r="BK199" s="67">
        <f>IFERROR(((AE199*(12000/5))/((F199*60+G199)*(SUMIFS(팀공격력!X:X,팀공격력!A:A,B199,팀공격력!B:B,D199)+SUMIFS(팀수비력!X:X,팀수비력!A:A,B199,팀수비력!B:B,D199))))*100,"")</f>
        <v>2.3961192452703601</v>
      </c>
      <c r="BL199" s="67">
        <f>IFERROR(100*AK199/(((((F199*60+G199)/(12000/5))*SUMIFS(팀공격력!P:P,팀공격력!A:A,B199,팀공격력!B:B,D199))-K199)),"")</f>
        <v>1.845559363089774</v>
      </c>
      <c r="BM199" s="67">
        <f>IFERROR(100*((AM199/E199*(2400))/((F199*60+G199)*SUMIFS(팀공격력!AR:AR,팀공격력!A:A,B199,팀공격력!B:B,D199))),"")</f>
        <v>1.1793135329190532</v>
      </c>
      <c r="BN199" s="67">
        <f>IFERROR((AO199*40)/(((F199*60+G199)/60)*(SUMIFS(팀수비력!Q:Q,팀수비력!A:A,B199,팀수비력!B:B,D199)-SUMIFS(팀수비력!N:N,팀수비력!A:A,B199,팀수비력!B:B,D199)))*100,"")</f>
        <v>0</v>
      </c>
      <c r="BO199" s="67">
        <f t="shared" si="164"/>
        <v>4.8859934853420199</v>
      </c>
      <c r="BP199" s="19"/>
      <c r="BQ199" s="19"/>
      <c r="BR199" s="19"/>
      <c r="BS199" s="19"/>
      <c r="BT199" s="20" t="s">
        <v>89</v>
      </c>
      <c r="BU199" s="21">
        <v>300000</v>
      </c>
      <c r="BV199" s="31" t="s">
        <v>90</v>
      </c>
      <c r="BW199" s="31">
        <v>97.55</v>
      </c>
      <c r="BX199" s="31">
        <v>138.65</v>
      </c>
      <c r="BY199" s="31">
        <v>41.1</v>
      </c>
      <c r="BZ199" s="35">
        <f t="shared" si="133"/>
        <v>5.4194444444444452</v>
      </c>
      <c r="CA199" s="35">
        <f t="shared" si="134"/>
        <v>7.7027777777777784</v>
      </c>
      <c r="CB199" s="35">
        <f t="shared" si="135"/>
        <v>2.2833333333333332</v>
      </c>
      <c r="CC199" s="36">
        <f t="shared" si="136"/>
        <v>20.678325384207739</v>
      </c>
      <c r="CD199" s="36">
        <f t="shared" si="137"/>
        <v>29.390567037625861</v>
      </c>
      <c r="CE199" s="36">
        <f t="shared" si="138"/>
        <v>8.7122416534181237</v>
      </c>
      <c r="CF199" s="30">
        <v>12</v>
      </c>
      <c r="CG199" s="30">
        <v>6</v>
      </c>
    </row>
    <row r="200" spans="1:85" x14ac:dyDescent="0.4">
      <c r="A200" s="11" t="s">
        <v>85</v>
      </c>
      <c r="B200" s="11" t="s">
        <v>286</v>
      </c>
      <c r="C200" s="11" t="s">
        <v>296</v>
      </c>
      <c r="D200" s="46" t="s">
        <v>88</v>
      </c>
      <c r="E200" s="15">
        <v>54</v>
      </c>
      <c r="F200" s="15">
        <v>19</v>
      </c>
      <c r="G200" s="15">
        <v>54</v>
      </c>
      <c r="H200" s="16">
        <f t="shared" si="139"/>
        <v>64476</v>
      </c>
      <c r="I200" s="16">
        <v>504</v>
      </c>
      <c r="J200" s="17">
        <f t="shared" si="140"/>
        <v>9.3333333333333339</v>
      </c>
      <c r="K200" s="15">
        <v>174</v>
      </c>
      <c r="L200" s="15">
        <v>456</v>
      </c>
      <c r="M200" s="17">
        <f t="shared" si="141"/>
        <v>3.2222222222222223</v>
      </c>
      <c r="N200" s="17">
        <f t="shared" si="142"/>
        <v>8.4444444444444446</v>
      </c>
      <c r="O200" s="18">
        <f t="shared" si="143"/>
        <v>0.38157894736842107</v>
      </c>
      <c r="P200" s="16">
        <v>95</v>
      </c>
      <c r="Q200" s="15">
        <v>218</v>
      </c>
      <c r="R200" s="17">
        <f t="shared" si="144"/>
        <v>1.7592592592592593</v>
      </c>
      <c r="S200" s="17">
        <f t="shared" si="145"/>
        <v>4.0370370370370372</v>
      </c>
      <c r="T200" s="18">
        <f t="shared" si="146"/>
        <v>0.43577981651376146</v>
      </c>
      <c r="U200" s="15">
        <v>79</v>
      </c>
      <c r="V200" s="15">
        <v>238</v>
      </c>
      <c r="W200" s="17">
        <f t="shared" si="147"/>
        <v>1.462962962962963</v>
      </c>
      <c r="X200" s="17">
        <f t="shared" si="148"/>
        <v>4.4074074074074074</v>
      </c>
      <c r="Y200" s="18">
        <f t="shared" si="149"/>
        <v>0.33193277310924368</v>
      </c>
      <c r="Z200" s="15">
        <v>77</v>
      </c>
      <c r="AA200" s="15">
        <v>90</v>
      </c>
      <c r="AB200" s="17">
        <f t="shared" si="150"/>
        <v>1.4259259259259258</v>
      </c>
      <c r="AC200" s="17">
        <f t="shared" si="151"/>
        <v>1.6666666666666667</v>
      </c>
      <c r="AD200" s="18">
        <f t="shared" si="152"/>
        <v>0.85555555555555551</v>
      </c>
      <c r="AE200" s="15">
        <v>103</v>
      </c>
      <c r="AF200" s="17">
        <f t="shared" si="153"/>
        <v>1.9074074074074074</v>
      </c>
      <c r="AG200" s="15">
        <v>17</v>
      </c>
      <c r="AH200" s="17">
        <f t="shared" si="154"/>
        <v>0.31481481481481483</v>
      </c>
      <c r="AI200" s="15">
        <v>86</v>
      </c>
      <c r="AJ200" s="17">
        <f t="shared" si="155"/>
        <v>1.5925925925925926</v>
      </c>
      <c r="AK200" s="15">
        <v>58</v>
      </c>
      <c r="AL200" s="17">
        <f t="shared" si="156"/>
        <v>1.0740740740740742</v>
      </c>
      <c r="AM200" s="15">
        <v>21</v>
      </c>
      <c r="AN200" s="17">
        <f t="shared" si="157"/>
        <v>0.3888888888888889</v>
      </c>
      <c r="AO200" s="15">
        <v>7</v>
      </c>
      <c r="AP200" s="17">
        <f t="shared" si="165"/>
        <v>0.12962962962962962</v>
      </c>
      <c r="AQ200" s="4">
        <v>39</v>
      </c>
      <c r="AR200" s="17">
        <f t="shared" si="158"/>
        <v>0.72222222222222221</v>
      </c>
      <c r="AS200" s="15">
        <v>47</v>
      </c>
      <c r="AT200" s="17">
        <f t="shared" si="159"/>
        <v>0.87037037037037035</v>
      </c>
      <c r="AU200" s="19">
        <v>1.500873050353025</v>
      </c>
      <c r="AV200" s="19">
        <v>5.5867226888257043E-2</v>
      </c>
      <c r="AW200" s="19">
        <v>0.50602977246006164</v>
      </c>
      <c r="AX200" s="19">
        <v>0.99484327789296345</v>
      </c>
      <c r="AY200" s="19">
        <v>106.0551622821671</v>
      </c>
      <c r="AZ200" s="19">
        <v>110.77392877162499</v>
      </c>
      <c r="BA200" s="19">
        <v>9.1102557502088466</v>
      </c>
      <c r="BB200" s="19">
        <v>6.6481481481481479</v>
      </c>
      <c r="BC200" s="19">
        <v>13.36311185557417</v>
      </c>
      <c r="BD200" s="65">
        <f t="shared" si="160"/>
        <v>50.847457627118644</v>
      </c>
      <c r="BE200" s="65">
        <f t="shared" si="161"/>
        <v>46.820175438596493</v>
      </c>
      <c r="BF200" s="66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23.359670276462527</v>
      </c>
      <c r="BG200" s="38">
        <f t="shared" si="162"/>
        <v>0.52192982456140347</v>
      </c>
      <c r="BH200" s="38">
        <f t="shared" si="163"/>
        <v>0.19736842105263158</v>
      </c>
      <c r="BI200" s="67">
        <f>IFERROR(((AG200*(12000/5))/((F200*60+G200)*(SUMIFS(팀공격력!X:X,팀공격력!A:A,B200,팀공격력!B:B,D200)+SUMIFS(팀수비력!X:X,팀수비력!A:A,B200,팀수비력!B:B,D200))))*100,"")</f>
        <v>0.85834851221695008</v>
      </c>
      <c r="BJ200" s="67">
        <f>IFERROR(((AI200*(12000/5))/((F200*60+G200)*(SUMIFS(팀공격력!V:V,팀공격력!A:A,B200,팀공격력!B:B,D200)+SUMIFS(팀수비력!W:W,팀수비력!A:A,B200,팀수비력!B:B,D200))))*100,"")</f>
        <v>9.1077092522676608</v>
      </c>
      <c r="BK200" s="67">
        <f>IFERROR(((AE200*(12000/5))/((F200*60+G200)*(SUMIFS(팀공격력!X:X,팀공격력!A:A,B200,팀공격력!B:B,D200)+SUMIFS(팀수비력!X:X,팀수비력!A:A,B200,팀수비력!B:B,D200))))*100,"")</f>
        <v>5.200582162255639</v>
      </c>
      <c r="BL200" s="67">
        <f>IFERROR(100*AK200/(((((F200*60+G200)/(12000/5))*SUMIFS(팀공격력!P:P,팀공격력!A:A,B200,팀공격력!B:B,D200))-K200)),"")</f>
        <v>8.53930102876493</v>
      </c>
      <c r="BM200" s="67">
        <f>IFERROR(100*((AM200/E200*(2400))/((F200*60+G200)*SUMIFS(팀공격력!AR:AR,팀공격력!A:A,B200,팀공격력!B:B,D200))),"")</f>
        <v>1.087210528777762</v>
      </c>
      <c r="BN200" s="67">
        <f>IFERROR((AO200*40)/(((F200*60+G200)/60)*(SUMIFS(팀수비력!Q:Q,팀수비력!A:A,B200,팀수비력!B:B,D200)-SUMIFS(팀수비력!N:N,팀수비력!A:A,B200,팀수비력!B:B,D200)))*100,"")</f>
        <v>0.61577031767150847</v>
      </c>
      <c r="BO200" s="67">
        <f t="shared" si="164"/>
        <v>7.2951739618406286</v>
      </c>
      <c r="BP200" s="19"/>
      <c r="BQ200" s="19"/>
      <c r="BR200" s="19"/>
      <c r="BS200" s="19"/>
      <c r="BT200" s="20" t="s">
        <v>89</v>
      </c>
      <c r="BU200" s="21">
        <v>275000</v>
      </c>
      <c r="BV200" s="31" t="s">
        <v>90</v>
      </c>
      <c r="BW200" s="31">
        <v>668.69</v>
      </c>
      <c r="BX200" s="31">
        <v>1003.69</v>
      </c>
      <c r="BY200" s="31">
        <v>335</v>
      </c>
      <c r="BZ200" s="35">
        <f t="shared" si="133"/>
        <v>12.383148148148152</v>
      </c>
      <c r="CA200" s="35">
        <f t="shared" si="134"/>
        <v>18.586851851851854</v>
      </c>
      <c r="CB200" s="35">
        <f t="shared" si="135"/>
        <v>6.2037037037037033</v>
      </c>
      <c r="CC200" s="36">
        <f t="shared" si="136"/>
        <v>24.890750046528943</v>
      </c>
      <c r="CD200" s="36">
        <f t="shared" si="137"/>
        <v>37.360506234878095</v>
      </c>
      <c r="CE200" s="36">
        <f t="shared" si="138"/>
        <v>12.469756188349153</v>
      </c>
      <c r="CF200" s="31">
        <v>36</v>
      </c>
      <c r="CG200" s="31">
        <v>18</v>
      </c>
    </row>
    <row r="201" spans="1:85" x14ac:dyDescent="0.4">
      <c r="A201" s="11" t="s">
        <v>85</v>
      </c>
      <c r="B201" s="11" t="s">
        <v>286</v>
      </c>
      <c r="C201" s="11" t="s">
        <v>297</v>
      </c>
      <c r="D201" s="46" t="s">
        <v>88</v>
      </c>
      <c r="E201" s="15">
        <v>21</v>
      </c>
      <c r="F201" s="15">
        <v>5</v>
      </c>
      <c r="G201" s="15">
        <v>14</v>
      </c>
      <c r="H201" s="16">
        <f t="shared" si="139"/>
        <v>6594</v>
      </c>
      <c r="I201" s="16">
        <v>41</v>
      </c>
      <c r="J201" s="17">
        <f t="shared" si="140"/>
        <v>1.9523809523809523</v>
      </c>
      <c r="K201" s="15">
        <v>13</v>
      </c>
      <c r="L201" s="15">
        <v>32</v>
      </c>
      <c r="M201" s="17">
        <f t="shared" si="141"/>
        <v>0.61904761904761907</v>
      </c>
      <c r="N201" s="17">
        <f t="shared" si="142"/>
        <v>1.5238095238095237</v>
      </c>
      <c r="O201" s="18">
        <f t="shared" si="143"/>
        <v>0.40625</v>
      </c>
      <c r="P201" s="16">
        <v>9</v>
      </c>
      <c r="Q201" s="15">
        <v>18</v>
      </c>
      <c r="R201" s="17">
        <f t="shared" si="144"/>
        <v>0.42857142857142855</v>
      </c>
      <c r="S201" s="17">
        <f t="shared" si="145"/>
        <v>0.8571428571428571</v>
      </c>
      <c r="T201" s="18">
        <f t="shared" si="146"/>
        <v>0.5</v>
      </c>
      <c r="U201" s="15">
        <v>4</v>
      </c>
      <c r="V201" s="15">
        <v>14</v>
      </c>
      <c r="W201" s="17">
        <f t="shared" si="147"/>
        <v>0.19047619047619047</v>
      </c>
      <c r="X201" s="17">
        <f t="shared" si="148"/>
        <v>0.66666666666666663</v>
      </c>
      <c r="Y201" s="18">
        <f t="shared" si="149"/>
        <v>0.2857142857142857</v>
      </c>
      <c r="Z201" s="15">
        <v>11</v>
      </c>
      <c r="AA201" s="15">
        <v>14</v>
      </c>
      <c r="AB201" s="17">
        <f t="shared" si="150"/>
        <v>0.52380952380952384</v>
      </c>
      <c r="AC201" s="17">
        <f t="shared" si="151"/>
        <v>0.66666666666666663</v>
      </c>
      <c r="AD201" s="18">
        <f t="shared" si="152"/>
        <v>0.7857142857142857</v>
      </c>
      <c r="AE201" s="15">
        <v>25</v>
      </c>
      <c r="AF201" s="17">
        <f t="shared" si="153"/>
        <v>1.1904761904761905</v>
      </c>
      <c r="AG201" s="15">
        <v>6</v>
      </c>
      <c r="AH201" s="17">
        <f t="shared" si="154"/>
        <v>0.2857142857142857</v>
      </c>
      <c r="AI201" s="15">
        <v>19</v>
      </c>
      <c r="AJ201" s="17">
        <f t="shared" si="155"/>
        <v>0.90476190476190477</v>
      </c>
      <c r="AK201" s="15">
        <v>9</v>
      </c>
      <c r="AL201" s="17">
        <f t="shared" si="156"/>
        <v>0.42857142857142855</v>
      </c>
      <c r="AM201" s="15">
        <v>3</v>
      </c>
      <c r="AN201" s="17">
        <f t="shared" si="157"/>
        <v>0.14285714285714285</v>
      </c>
      <c r="AO201" s="15">
        <v>2</v>
      </c>
      <c r="AP201" s="17">
        <f t="shared" si="165"/>
        <v>9.5238095238095233E-2</v>
      </c>
      <c r="AQ201" s="4">
        <v>3</v>
      </c>
      <c r="AR201" s="17">
        <f t="shared" si="158"/>
        <v>0.14285714285714285</v>
      </c>
      <c r="AS201" s="15">
        <v>21</v>
      </c>
      <c r="AT201" s="17">
        <f t="shared" si="159"/>
        <v>1</v>
      </c>
      <c r="AU201" s="19">
        <v>0.35359924962171502</v>
      </c>
      <c r="AV201" s="19">
        <v>0.12869854399334479</v>
      </c>
      <c r="AW201" s="19">
        <v>0.18615202937310699</v>
      </c>
      <c r="AX201" s="19">
        <v>0.167447220248608</v>
      </c>
      <c r="AY201" s="19">
        <v>120.0733700243786</v>
      </c>
      <c r="AZ201" s="19">
        <v>105.0723876822551</v>
      </c>
      <c r="BA201" s="19">
        <v>3.469799261008097</v>
      </c>
      <c r="BB201" s="19">
        <v>2.6190476190476191</v>
      </c>
      <c r="BC201" s="19">
        <v>20.018198362147398</v>
      </c>
      <c r="BD201" s="65">
        <f t="shared" si="160"/>
        <v>53.721174004192875</v>
      </c>
      <c r="BE201" s="65">
        <f t="shared" si="161"/>
        <v>46.875</v>
      </c>
      <c r="BF201" s="66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6.838924334901038</v>
      </c>
      <c r="BG201" s="38">
        <f t="shared" si="162"/>
        <v>0.4375</v>
      </c>
      <c r="BH201" s="38">
        <f t="shared" si="163"/>
        <v>0.4375</v>
      </c>
      <c r="BI201" s="67">
        <f>IFERROR(((AG201*(12000/5))/((F201*60+G201)*(SUMIFS(팀공격력!X:X,팀공격력!A:A,B201,팀공격력!B:B,D201)+SUMIFS(팀수비력!X:X,팀수비력!A:A,B201,팀수비력!B:B,D201))))*100,"")</f>
        <v>1.1519686664522724</v>
      </c>
      <c r="BJ201" s="67">
        <f>IFERROR(((AI201*(12000/5))/((F201*60+G201)*(SUMIFS(팀공격력!V:V,팀공격력!A:A,B201,팀공격력!B:B,D201)+SUMIFS(팀수비력!W:W,팀수비력!A:A,B201,팀수비력!B:B,D201))))*100,"")</f>
        <v>7.6513661715651073</v>
      </c>
      <c r="BK201" s="67">
        <f>IFERROR(((AE201*(12000/5))/((F201*60+G201)*(SUMIFS(팀공격력!X:X,팀공격력!A:A,B201,팀공격력!B:B,D201)+SUMIFS(팀수비력!X:X,팀수비력!A:A,B201,팀수비력!B:B,D201))))*100,"")</f>
        <v>4.7998694435511347</v>
      </c>
      <c r="BL201" s="67">
        <f>IFERROR(100*AK201/(((((F201*60+G201)/(12000/5))*SUMIFS(팀공격력!P:P,팀공격력!A:A,B201,팀공격력!B:B,D201))-K201)),"")</f>
        <v>4.2577516705761767</v>
      </c>
      <c r="BM201" s="67">
        <f>IFERROR(100*((AM201/E201*(2400))/((F201*60+G201)*SUMIFS(팀공격력!AR:AR,팀공격력!A:A,B201,팀공격력!B:B,D201))),"")</f>
        <v>1.5186746837704184</v>
      </c>
      <c r="BN201" s="67">
        <f>IFERROR((AO201*40)/(((F201*60+G201)/60)*(SUMIFS(팀수비력!Q:Q,팀수비력!A:A,B201,팀수비력!B:B,D201)-SUMIFS(팀수비력!N:N,팀수비력!A:A,B201,팀수비력!B:B,D201)))*100,"")</f>
        <v>0.66899887106440514</v>
      </c>
      <c r="BO201" s="67">
        <f t="shared" si="164"/>
        <v>7.2886297376093303</v>
      </c>
      <c r="BP201" s="19"/>
      <c r="BQ201" s="19"/>
      <c r="BR201" s="19"/>
      <c r="BS201" s="19"/>
      <c r="BT201" s="20" t="s">
        <v>89</v>
      </c>
      <c r="BU201" s="21">
        <v>80000</v>
      </c>
      <c r="BV201" s="30" t="s">
        <v>93</v>
      </c>
      <c r="BW201" s="30">
        <v>91.6</v>
      </c>
      <c r="BX201" s="30">
        <v>116.5</v>
      </c>
      <c r="BY201" s="30">
        <v>24.9</v>
      </c>
      <c r="BZ201" s="35">
        <f t="shared" si="133"/>
        <v>4.3619047619047615</v>
      </c>
      <c r="CA201" s="35">
        <f t="shared" si="134"/>
        <v>5.5476190476190474</v>
      </c>
      <c r="CB201" s="35">
        <f t="shared" si="135"/>
        <v>1.1857142857142857</v>
      </c>
      <c r="CC201" s="36">
        <f t="shared" si="136"/>
        <v>33.339399454049136</v>
      </c>
      <c r="CD201" s="36">
        <f t="shared" si="137"/>
        <v>42.402183803457689</v>
      </c>
      <c r="CE201" s="36">
        <f t="shared" si="138"/>
        <v>9.0627843494085525</v>
      </c>
      <c r="CF201" s="31">
        <v>15</v>
      </c>
      <c r="CG201" s="31">
        <v>6</v>
      </c>
    </row>
    <row r="202" spans="1:85" x14ac:dyDescent="0.4">
      <c r="A202" s="11" t="s">
        <v>85</v>
      </c>
      <c r="B202" s="11" t="s">
        <v>286</v>
      </c>
      <c r="C202" s="11" t="s">
        <v>298</v>
      </c>
      <c r="D202" s="46" t="s">
        <v>88</v>
      </c>
      <c r="E202" s="15">
        <v>54</v>
      </c>
      <c r="F202" s="15">
        <v>25</v>
      </c>
      <c r="G202" s="15">
        <v>15</v>
      </c>
      <c r="H202" s="16">
        <f t="shared" si="139"/>
        <v>81810</v>
      </c>
      <c r="I202" s="16">
        <v>595</v>
      </c>
      <c r="J202" s="17">
        <f t="shared" si="140"/>
        <v>11.018518518518519</v>
      </c>
      <c r="K202" s="15">
        <v>216</v>
      </c>
      <c r="L202" s="15">
        <v>471</v>
      </c>
      <c r="M202" s="17">
        <f t="shared" si="141"/>
        <v>4</v>
      </c>
      <c r="N202" s="17">
        <f t="shared" si="142"/>
        <v>8.7222222222222214</v>
      </c>
      <c r="O202" s="18">
        <f t="shared" si="143"/>
        <v>0.45859872611464969</v>
      </c>
      <c r="P202" s="16">
        <v>145</v>
      </c>
      <c r="Q202" s="15">
        <v>278</v>
      </c>
      <c r="R202" s="17">
        <f t="shared" si="144"/>
        <v>2.6851851851851851</v>
      </c>
      <c r="S202" s="17">
        <f t="shared" si="145"/>
        <v>5.1481481481481479</v>
      </c>
      <c r="T202" s="18">
        <f t="shared" si="146"/>
        <v>0.52158273381294962</v>
      </c>
      <c r="U202" s="15">
        <v>71</v>
      </c>
      <c r="V202" s="15">
        <v>193</v>
      </c>
      <c r="W202" s="17">
        <f t="shared" si="147"/>
        <v>1.3148148148148149</v>
      </c>
      <c r="X202" s="17">
        <f t="shared" si="148"/>
        <v>3.574074074074074</v>
      </c>
      <c r="Y202" s="18">
        <f t="shared" si="149"/>
        <v>0.36787564766839376</v>
      </c>
      <c r="Z202" s="15">
        <v>92</v>
      </c>
      <c r="AA202" s="15">
        <v>109</v>
      </c>
      <c r="AB202" s="17">
        <f t="shared" si="150"/>
        <v>1.7037037037037037</v>
      </c>
      <c r="AC202" s="17">
        <f t="shared" si="151"/>
        <v>2.0185185185185186</v>
      </c>
      <c r="AD202" s="18">
        <f t="shared" si="152"/>
        <v>0.84403669724770647</v>
      </c>
      <c r="AE202" s="15">
        <v>150</v>
      </c>
      <c r="AF202" s="17">
        <f t="shared" si="153"/>
        <v>2.7777777777777777</v>
      </c>
      <c r="AG202" s="15">
        <v>36</v>
      </c>
      <c r="AH202" s="17">
        <f t="shared" si="154"/>
        <v>0.66666666666666663</v>
      </c>
      <c r="AI202" s="15">
        <v>114</v>
      </c>
      <c r="AJ202" s="17">
        <f t="shared" si="155"/>
        <v>2.1111111111111112</v>
      </c>
      <c r="AK202" s="15">
        <v>231</v>
      </c>
      <c r="AL202" s="17">
        <f t="shared" si="156"/>
        <v>4.2777777777777777</v>
      </c>
      <c r="AM202" s="15">
        <v>49</v>
      </c>
      <c r="AN202" s="17">
        <f t="shared" si="157"/>
        <v>0.90740740740740744</v>
      </c>
      <c r="AO202" s="15">
        <v>6</v>
      </c>
      <c r="AP202" s="17">
        <f t="shared" si="165"/>
        <v>0.1111111111111111</v>
      </c>
      <c r="AQ202" s="4">
        <v>88</v>
      </c>
      <c r="AR202" s="17">
        <f t="shared" si="158"/>
        <v>1.6296296296296295</v>
      </c>
      <c r="AS202" s="15">
        <v>103</v>
      </c>
      <c r="AT202" s="17">
        <f t="shared" si="159"/>
        <v>1.9074074074074074</v>
      </c>
      <c r="AU202" s="19">
        <v>3.933925099390883</v>
      </c>
      <c r="AV202" s="19">
        <v>0.1154066769164909</v>
      </c>
      <c r="AW202" s="19">
        <v>2.3679558760891379</v>
      </c>
      <c r="AX202" s="19">
        <v>1.565969223301745</v>
      </c>
      <c r="AY202" s="19">
        <v>117.0268831800331</v>
      </c>
      <c r="AZ202" s="19">
        <v>108.6499889202284</v>
      </c>
      <c r="BA202" s="19">
        <v>12.51133213068756</v>
      </c>
      <c r="BB202" s="19">
        <v>12.425925925925929</v>
      </c>
      <c r="BC202" s="19">
        <v>19.684635130179689</v>
      </c>
      <c r="BD202" s="65">
        <f t="shared" si="160"/>
        <v>57.326190843224914</v>
      </c>
      <c r="BE202" s="65">
        <f t="shared" si="161"/>
        <v>53.397027600849256</v>
      </c>
      <c r="BF202" s="66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20.90208064309644</v>
      </c>
      <c r="BG202" s="38">
        <f t="shared" si="162"/>
        <v>0.40976645435244163</v>
      </c>
      <c r="BH202" s="38">
        <f t="shared" si="163"/>
        <v>0.23142250530785563</v>
      </c>
      <c r="BI202" s="67">
        <f>IFERROR(((AG202*(12000/5))/((F202*60+G202)*(SUMIFS(팀공격력!X:X,팀공격력!A:A,B202,팀공격력!B:B,D202)+SUMIFS(팀수비력!X:X,팀수비력!A:A,B202,팀수비력!B:B,D202))))*100,"")</f>
        <v>1.4325471733307469</v>
      </c>
      <c r="BJ202" s="67">
        <f>IFERROR(((AI202*(12000/5))/((F202*60+G202)*(SUMIFS(팀공격력!V:V,팀공격력!A:A,B202,팀공격력!B:B,D202)+SUMIFS(팀수비력!W:W,팀수비력!A:A,B202,팀수비력!B:B,D202))))*100,"")</f>
        <v>9.5149662489958171</v>
      </c>
      <c r="BK202" s="67">
        <f>IFERROR(((AE202*(12000/5))/((F202*60+G202)*(SUMIFS(팀공격력!X:X,팀공격력!A:A,B202,팀공격력!B:B,D202)+SUMIFS(팀수비력!X:X,팀수비력!A:A,B202,팀수비력!B:B,D202))))*100,"")</f>
        <v>5.968946555544778</v>
      </c>
      <c r="BL202" s="67">
        <f>IFERROR(100*AK202/(((((F202*60+G202)/(12000/5))*SUMIFS(팀공격력!P:P,팀공격력!A:A,B202,팀공격력!B:B,D202))-K202)),"")</f>
        <v>26.656088853629512</v>
      </c>
      <c r="BM202" s="67">
        <f>IFERROR(100*((AM202/E202*(2400))/((F202*60+G202)*SUMIFS(팀공격력!AR:AR,팀공격력!A:A,B202,팀공격력!B:B,D202))),"")</f>
        <v>1.9993191638117789</v>
      </c>
      <c r="BN202" s="67">
        <f>IFERROR((AO202*40)/(((F202*60+G202)/60)*(SUMIFS(팀수비력!Q:Q,팀수비력!A:A,B202,팀수비력!B:B,D202)-SUMIFS(팀수비력!N:N,팀수비력!A:A,B202,팀수비력!B:B,D202)))*100,"")</f>
        <v>0.41597157527568945</v>
      </c>
      <c r="BO202" s="67">
        <f t="shared" si="164"/>
        <v>14.498484249373929</v>
      </c>
      <c r="BP202" s="19"/>
      <c r="BQ202" s="19"/>
      <c r="BR202" s="19"/>
      <c r="BS202" s="19"/>
      <c r="BT202" s="20" t="s">
        <v>89</v>
      </c>
      <c r="BU202" s="21">
        <v>450000</v>
      </c>
      <c r="BV202" s="30" t="s">
        <v>90</v>
      </c>
      <c r="BW202" s="30">
        <v>1126.01</v>
      </c>
      <c r="BX202" s="30">
        <v>1514.41</v>
      </c>
      <c r="BY202" s="30">
        <v>388.4</v>
      </c>
      <c r="BZ202" s="35">
        <f t="shared" si="133"/>
        <v>20.852037037037039</v>
      </c>
      <c r="CA202" s="35">
        <f t="shared" si="134"/>
        <v>28.044629629629632</v>
      </c>
      <c r="CB202" s="35">
        <f t="shared" si="135"/>
        <v>7.1925925925925922</v>
      </c>
      <c r="CC202" s="36">
        <f t="shared" si="136"/>
        <v>33.032929959662631</v>
      </c>
      <c r="CD202" s="36">
        <f t="shared" si="137"/>
        <v>44.427136046938024</v>
      </c>
      <c r="CE202" s="36">
        <f t="shared" si="138"/>
        <v>11.394206087275395</v>
      </c>
      <c r="CF202" s="31">
        <v>36</v>
      </c>
      <c r="CG202" s="31">
        <v>18</v>
      </c>
    </row>
    <row r="203" spans="1:85" x14ac:dyDescent="0.4">
      <c r="A203" s="11" t="s">
        <v>85</v>
      </c>
      <c r="B203" s="11" t="s">
        <v>286</v>
      </c>
      <c r="C203" s="11" t="s">
        <v>299</v>
      </c>
      <c r="D203" s="46" t="s">
        <v>88</v>
      </c>
      <c r="E203" s="15">
        <v>18</v>
      </c>
      <c r="F203" s="15">
        <v>6</v>
      </c>
      <c r="G203" s="15">
        <v>0</v>
      </c>
      <c r="H203" s="16">
        <f t="shared" si="139"/>
        <v>6480</v>
      </c>
      <c r="I203" s="16">
        <v>41</v>
      </c>
      <c r="J203" s="17">
        <f t="shared" si="140"/>
        <v>2.2777777777777777</v>
      </c>
      <c r="K203" s="15">
        <v>13</v>
      </c>
      <c r="L203" s="15">
        <v>31</v>
      </c>
      <c r="M203" s="17">
        <f t="shared" si="141"/>
        <v>0.72222222222222221</v>
      </c>
      <c r="N203" s="17">
        <f t="shared" si="142"/>
        <v>1.7222222222222223</v>
      </c>
      <c r="O203" s="18">
        <f t="shared" si="143"/>
        <v>0.41935483870967744</v>
      </c>
      <c r="P203" s="16">
        <v>4</v>
      </c>
      <c r="Q203" s="15">
        <v>5</v>
      </c>
      <c r="R203" s="17">
        <f t="shared" si="144"/>
        <v>0.22222222222222221</v>
      </c>
      <c r="S203" s="17">
        <f t="shared" si="145"/>
        <v>0.27777777777777779</v>
      </c>
      <c r="T203" s="18">
        <f t="shared" si="146"/>
        <v>0.8</v>
      </c>
      <c r="U203" s="15">
        <v>9</v>
      </c>
      <c r="V203" s="15">
        <v>26</v>
      </c>
      <c r="W203" s="17">
        <f t="shared" si="147"/>
        <v>0.5</v>
      </c>
      <c r="X203" s="17">
        <f t="shared" si="148"/>
        <v>1.4444444444444444</v>
      </c>
      <c r="Y203" s="18">
        <f t="shared" si="149"/>
        <v>0.34615384615384615</v>
      </c>
      <c r="Z203" s="15">
        <v>6</v>
      </c>
      <c r="AA203" s="15">
        <v>7</v>
      </c>
      <c r="AB203" s="17">
        <f t="shared" si="150"/>
        <v>0.33333333333333331</v>
      </c>
      <c r="AC203" s="17">
        <f t="shared" si="151"/>
        <v>0.3888888888888889</v>
      </c>
      <c r="AD203" s="18">
        <f t="shared" si="152"/>
        <v>0.8571428571428571</v>
      </c>
      <c r="AE203" s="15">
        <v>11</v>
      </c>
      <c r="AF203" s="17">
        <f t="shared" si="153"/>
        <v>0.61111111111111116</v>
      </c>
      <c r="AG203" s="15">
        <v>6</v>
      </c>
      <c r="AH203" s="17">
        <f t="shared" si="154"/>
        <v>0.33333333333333331</v>
      </c>
      <c r="AI203" s="15">
        <v>5</v>
      </c>
      <c r="AJ203" s="17">
        <f t="shared" si="155"/>
        <v>0.27777777777777779</v>
      </c>
      <c r="AK203" s="15">
        <v>1</v>
      </c>
      <c r="AL203" s="17">
        <f t="shared" si="156"/>
        <v>5.5555555555555552E-2</v>
      </c>
      <c r="AM203" s="15">
        <v>4</v>
      </c>
      <c r="AN203" s="17">
        <f t="shared" si="157"/>
        <v>0.22222222222222221</v>
      </c>
      <c r="AO203" s="15">
        <v>1</v>
      </c>
      <c r="AP203" s="17">
        <f t="shared" si="165"/>
        <v>5.5555555555555552E-2</v>
      </c>
      <c r="AQ203" s="4">
        <v>3</v>
      </c>
      <c r="AR203" s="17">
        <f t="shared" si="158"/>
        <v>0.16666666666666666</v>
      </c>
      <c r="AS203" s="15">
        <v>16</v>
      </c>
      <c r="AT203" s="17">
        <f t="shared" si="159"/>
        <v>0.88888888888888884</v>
      </c>
      <c r="AU203" s="19">
        <v>0.27460232588760541</v>
      </c>
      <c r="AV203" s="19">
        <v>0.10170456514355759</v>
      </c>
      <c r="AW203" s="19">
        <v>0.1588514168345064</v>
      </c>
      <c r="AX203" s="19">
        <v>0.115750909053099</v>
      </c>
      <c r="AY203" s="19">
        <v>120.5197067698037</v>
      </c>
      <c r="AZ203" s="19">
        <v>109.38168859952521</v>
      </c>
      <c r="BA203" s="19">
        <v>2.545486195521506</v>
      </c>
      <c r="BB203" s="19">
        <v>2</v>
      </c>
      <c r="BC203" s="19">
        <v>13.33333333333333</v>
      </c>
      <c r="BD203" s="65">
        <f t="shared" si="160"/>
        <v>60.152582159624416</v>
      </c>
      <c r="BE203" s="65">
        <f t="shared" si="161"/>
        <v>56.451612903225815</v>
      </c>
      <c r="BF203" s="66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5.373772858099354</v>
      </c>
      <c r="BG203" s="38">
        <f t="shared" si="162"/>
        <v>0.83870967741935487</v>
      </c>
      <c r="BH203" s="38">
        <f t="shared" si="163"/>
        <v>0.22580645161290322</v>
      </c>
      <c r="BI203" s="67">
        <f>IFERROR(((AG203*(12000/5))/((F203*60+G203)*(SUMIFS(팀공격력!X:X,팀공격력!A:A,B203,팀공격력!B:B,D203)+SUMIFS(팀수비력!X:X,팀수비력!A:A,B203,팀수비력!B:B,D203))))*100,"")</f>
        <v>1.004772670183371</v>
      </c>
      <c r="BJ203" s="67">
        <f>IFERROR(((AI203*(12000/5))/((F203*60+G203)*(SUMIFS(팀공격력!V:V,팀공격력!A:A,B203,팀공격력!B:B,D203)+SUMIFS(팀수비력!W:W,팀수비력!A:A,B203,팀수비력!B:B,D203))))*100,"")</f>
        <v>1.7562346329469618</v>
      </c>
      <c r="BK203" s="67">
        <f>IFERROR(((AE203*(12000/5))/((F203*60+G203)*(SUMIFS(팀공격력!X:X,팀공격력!A:A,B203,팀공격력!B:B,D203)+SUMIFS(팀수비력!X:X,팀수비력!A:A,B203,팀수비력!B:B,D203))))*100,"")</f>
        <v>1.8420832286695135</v>
      </c>
      <c r="BL203" s="67">
        <f>IFERROR(100*AK203/(((((F203*60+G203)/(12000/5))*SUMIFS(팀공격력!P:P,팀공격력!A:A,B203,팀공격력!B:B,D203))-K203)),"")</f>
        <v>0.40941658137154557</v>
      </c>
      <c r="BM203" s="67">
        <f>IFERROR(100*((AM203/E203*(2400))/((F203*60+G203)*SUMIFS(팀공격력!AR:AR,팀공격력!A:A,B203,팀공격력!B:B,D203))),"")</f>
        <v>2.0605228116835677</v>
      </c>
      <c r="BN203" s="67">
        <f>IFERROR((AO203*40)/(((F203*60+G203)/60)*(SUMIFS(팀수비력!Q:Q,팀수비력!A:A,B203,팀수비력!B:B,D203)-SUMIFS(팀수비력!N:N,팀수비력!A:A,B203,팀수비력!B:B,D203)))*100,"")</f>
        <v>0.29175784099197666</v>
      </c>
      <c r="BO203" s="67">
        <f t="shared" si="164"/>
        <v>8.0906148867313927</v>
      </c>
      <c r="BP203" s="19"/>
      <c r="BQ203" s="19"/>
      <c r="BR203" s="19"/>
      <c r="BS203" s="19"/>
      <c r="BT203" s="20" t="s">
        <v>89</v>
      </c>
      <c r="BU203" s="21">
        <v>560000</v>
      </c>
      <c r="BV203" s="30" t="s">
        <v>93</v>
      </c>
      <c r="BW203" s="30">
        <v>68.430000000000007</v>
      </c>
      <c r="BX203" s="30">
        <v>90.03</v>
      </c>
      <c r="BY203" s="30">
        <v>21.6</v>
      </c>
      <c r="BZ203" s="35">
        <f t="shared" si="133"/>
        <v>3.8016666666666667</v>
      </c>
      <c r="CA203" s="35">
        <f t="shared" si="134"/>
        <v>5.0016666666666669</v>
      </c>
      <c r="CB203" s="35">
        <f t="shared" si="135"/>
        <v>1.2000000000000002</v>
      </c>
      <c r="CC203" s="36">
        <f t="shared" si="136"/>
        <v>25.344444444444441</v>
      </c>
      <c r="CD203" s="36">
        <f t="shared" si="137"/>
        <v>33.344444444444441</v>
      </c>
      <c r="CE203" s="36">
        <f t="shared" si="138"/>
        <v>8</v>
      </c>
      <c r="CF203" s="30">
        <v>12</v>
      </c>
      <c r="CG203" s="30">
        <v>6</v>
      </c>
    </row>
    <row r="204" spans="1:85" x14ac:dyDescent="0.4">
      <c r="A204" s="11" t="s">
        <v>85</v>
      </c>
      <c r="B204" s="11" t="s">
        <v>286</v>
      </c>
      <c r="C204" s="11" t="s">
        <v>300</v>
      </c>
      <c r="D204" s="46" t="s">
        <v>88</v>
      </c>
      <c r="E204" s="15">
        <v>53</v>
      </c>
      <c r="F204" s="15">
        <v>15</v>
      </c>
      <c r="G204" s="15">
        <v>45</v>
      </c>
      <c r="H204" s="16">
        <f t="shared" si="139"/>
        <v>50085</v>
      </c>
      <c r="I204" s="16">
        <v>453</v>
      </c>
      <c r="J204" s="17">
        <f t="shared" si="140"/>
        <v>8.5471698113207548</v>
      </c>
      <c r="K204" s="15">
        <v>187</v>
      </c>
      <c r="L204" s="15">
        <v>311</v>
      </c>
      <c r="M204" s="17">
        <f t="shared" si="141"/>
        <v>3.5283018867924527</v>
      </c>
      <c r="N204" s="17">
        <f t="shared" si="142"/>
        <v>5.867924528301887</v>
      </c>
      <c r="O204" s="18">
        <f t="shared" si="143"/>
        <v>0.6012861736334405</v>
      </c>
      <c r="P204" s="16">
        <v>152</v>
      </c>
      <c r="Q204" s="15">
        <v>247</v>
      </c>
      <c r="R204" s="17">
        <f t="shared" si="144"/>
        <v>2.8679245283018866</v>
      </c>
      <c r="S204" s="17">
        <f t="shared" si="145"/>
        <v>4.6603773584905657</v>
      </c>
      <c r="T204" s="18">
        <f t="shared" si="146"/>
        <v>0.61538461538461542</v>
      </c>
      <c r="U204" s="15">
        <v>35</v>
      </c>
      <c r="V204" s="15">
        <v>64</v>
      </c>
      <c r="W204" s="17">
        <f t="shared" si="147"/>
        <v>0.660377358490566</v>
      </c>
      <c r="X204" s="17">
        <f t="shared" si="148"/>
        <v>1.2075471698113207</v>
      </c>
      <c r="Y204" s="18">
        <f t="shared" si="149"/>
        <v>0.546875</v>
      </c>
      <c r="Z204" s="15">
        <v>44</v>
      </c>
      <c r="AA204" s="15">
        <v>60</v>
      </c>
      <c r="AB204" s="17">
        <f t="shared" si="150"/>
        <v>0.83018867924528306</v>
      </c>
      <c r="AC204" s="17">
        <f t="shared" si="151"/>
        <v>1.1320754716981132</v>
      </c>
      <c r="AD204" s="18">
        <f t="shared" si="152"/>
        <v>0.73333333333333328</v>
      </c>
      <c r="AE204" s="15">
        <v>162</v>
      </c>
      <c r="AF204" s="17">
        <f t="shared" si="153"/>
        <v>3.0566037735849059</v>
      </c>
      <c r="AG204" s="15">
        <v>36</v>
      </c>
      <c r="AH204" s="17">
        <f t="shared" si="154"/>
        <v>0.67924528301886788</v>
      </c>
      <c r="AI204" s="15">
        <v>126</v>
      </c>
      <c r="AJ204" s="17">
        <f t="shared" si="155"/>
        <v>2.3773584905660377</v>
      </c>
      <c r="AK204" s="15">
        <v>125</v>
      </c>
      <c r="AL204" s="17">
        <f t="shared" si="156"/>
        <v>2.358490566037736</v>
      </c>
      <c r="AM204" s="15">
        <v>30</v>
      </c>
      <c r="AN204" s="17">
        <f t="shared" si="157"/>
        <v>0.56603773584905659</v>
      </c>
      <c r="AO204" s="15">
        <v>10</v>
      </c>
      <c r="AP204" s="17">
        <f t="shared" si="165"/>
        <v>0.18867924528301888</v>
      </c>
      <c r="AQ204" s="4">
        <v>65</v>
      </c>
      <c r="AR204" s="17">
        <f t="shared" si="158"/>
        <v>1.2264150943396226</v>
      </c>
      <c r="AS204" s="15">
        <v>95</v>
      </c>
      <c r="AT204" s="17">
        <f t="shared" si="159"/>
        <v>1.7924528301886793</v>
      </c>
      <c r="AU204" s="19">
        <v>3.429578499257659</v>
      </c>
      <c r="AV204" s="19">
        <v>0.16434038930255329</v>
      </c>
      <c r="AW204" s="19">
        <v>2.195074766480928</v>
      </c>
      <c r="AX204" s="19">
        <v>1.2345037327767301</v>
      </c>
      <c r="AY204" s="19">
        <v>123.4998786312283</v>
      </c>
      <c r="AZ204" s="19">
        <v>105.49908082258381</v>
      </c>
      <c r="BA204" s="19">
        <v>16.598082923414669</v>
      </c>
      <c r="BB204" s="19">
        <v>10.84905660377358</v>
      </c>
      <c r="BC204" s="19">
        <v>27.553159628631331</v>
      </c>
      <c r="BD204" s="65">
        <f t="shared" si="160"/>
        <v>67.131001778304693</v>
      </c>
      <c r="BE204" s="65">
        <f t="shared" si="161"/>
        <v>65.755627009646304</v>
      </c>
      <c r="BF204" s="66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22.216121622224076</v>
      </c>
      <c r="BG204" s="38">
        <f t="shared" si="162"/>
        <v>0.20578778135048231</v>
      </c>
      <c r="BH204" s="38">
        <f t="shared" si="163"/>
        <v>0.19292604501607716</v>
      </c>
      <c r="BI204" s="67">
        <f>IFERROR(((AG204*(12000/5))/((F204*60+G204)*(SUMIFS(팀공격력!X:X,팀공격력!A:A,B204,팀공격력!B:B,D204)+SUMIFS(팀수비력!X:X,팀수비력!A:A,B204,팀수비력!B:B,D204))))*100,"")</f>
        <v>2.2966232461334197</v>
      </c>
      <c r="BJ204" s="67">
        <f>IFERROR(((AI204*(12000/5))/((F204*60+G204)*(SUMIFS(팀공격력!V:V,팀공격력!A:A,B204,팀공격력!B:B,D204)+SUMIFS(팀수비력!W:W,팀수비력!A:A,B204,팀수비력!B:B,D204))))*100,"")</f>
        <v>16.859852476290833</v>
      </c>
      <c r="BK204" s="67">
        <f>IFERROR(((AE204*(12000/5))/((F204*60+G204)*(SUMIFS(팀공격력!X:X,팀공격력!A:A,B204,팀공격력!B:B,D204)+SUMIFS(팀수비력!X:X,팀수비력!A:A,B204,팀수비력!B:B,D204))))*100,"")</f>
        <v>10.334804607600386</v>
      </c>
      <c r="BL204" s="67">
        <f>IFERROR(100*AK204/(((((F204*60+G204)/(12000/5))*SUMIFS(팀공격력!P:P,팀공격력!A:A,B204,팀공격력!B:B,D204))-K204)),"")</f>
        <v>25.6</v>
      </c>
      <c r="BM204" s="67">
        <f>IFERROR(100*((AM204/E204*(2400))/((F204*60+G204)*SUMIFS(팀공격력!AR:AR,팀공격력!A:A,B204,팀공격력!B:B,D204))),"")</f>
        <v>1.9994291434126268</v>
      </c>
      <c r="BN204" s="67">
        <f>IFERROR((AO204*40)/(((F204*60+G204)/60)*(SUMIFS(팀수비력!Q:Q,팀수비력!A:A,B204,팀수비력!B:B,D204)-SUMIFS(팀수비력!N:N,팀수비력!A:A,B204,팀수비력!B:B,D204)))*100,"")</f>
        <v>1.1114584418741968</v>
      </c>
      <c r="BO204" s="67">
        <f t="shared" si="164"/>
        <v>16.153081510934395</v>
      </c>
      <c r="BP204" s="19"/>
      <c r="BQ204" s="19"/>
      <c r="BR204" s="19"/>
      <c r="BS204" s="19"/>
      <c r="BT204" s="20" t="s">
        <v>113</v>
      </c>
      <c r="BU204" s="21">
        <v>270000</v>
      </c>
      <c r="BV204" s="31" t="s">
        <v>93</v>
      </c>
      <c r="BW204" s="31">
        <v>842.32</v>
      </c>
      <c r="BX204" s="31">
        <v>1073.72</v>
      </c>
      <c r="BY204" s="31">
        <v>231.4</v>
      </c>
      <c r="BZ204" s="35">
        <f t="shared" si="133"/>
        <v>15.892830188679246</v>
      </c>
      <c r="CA204" s="35">
        <f t="shared" si="134"/>
        <v>20.258867924528303</v>
      </c>
      <c r="CB204" s="35">
        <f t="shared" si="135"/>
        <v>4.3660377358490567</v>
      </c>
      <c r="CC204" s="36">
        <f t="shared" si="136"/>
        <v>40.362743336328244</v>
      </c>
      <c r="CD204" s="36">
        <f t="shared" si="137"/>
        <v>51.451093141659179</v>
      </c>
      <c r="CE204" s="36">
        <f t="shared" si="138"/>
        <v>11.088349805330937</v>
      </c>
      <c r="CF204" s="30">
        <v>35</v>
      </c>
      <c r="CG204" s="30">
        <v>18</v>
      </c>
    </row>
    <row r="205" spans="1:85" x14ac:dyDescent="0.4">
      <c r="A205" s="11" t="s">
        <v>85</v>
      </c>
      <c r="B205" s="11" t="s">
        <v>286</v>
      </c>
      <c r="C205" s="11" t="s">
        <v>301</v>
      </c>
      <c r="D205" s="46" t="s">
        <v>88</v>
      </c>
      <c r="E205" s="15">
        <v>47</v>
      </c>
      <c r="F205" s="15">
        <v>9</v>
      </c>
      <c r="G205" s="15">
        <v>26</v>
      </c>
      <c r="H205" s="16">
        <f t="shared" si="139"/>
        <v>26602</v>
      </c>
      <c r="I205" s="16">
        <v>130</v>
      </c>
      <c r="J205" s="17">
        <f t="shared" si="140"/>
        <v>2.7659574468085109</v>
      </c>
      <c r="K205" s="15">
        <v>49</v>
      </c>
      <c r="L205" s="15">
        <v>100</v>
      </c>
      <c r="M205" s="17">
        <f t="shared" si="141"/>
        <v>1.0425531914893618</v>
      </c>
      <c r="N205" s="17">
        <f t="shared" si="142"/>
        <v>2.1276595744680851</v>
      </c>
      <c r="O205" s="18">
        <f t="shared" si="143"/>
        <v>0.49</v>
      </c>
      <c r="P205" s="16">
        <v>27</v>
      </c>
      <c r="Q205" s="15">
        <v>50</v>
      </c>
      <c r="R205" s="17">
        <f t="shared" si="144"/>
        <v>0.57446808510638303</v>
      </c>
      <c r="S205" s="17">
        <f t="shared" si="145"/>
        <v>1.0638297872340425</v>
      </c>
      <c r="T205" s="18">
        <f t="shared" si="146"/>
        <v>0.54</v>
      </c>
      <c r="U205" s="15">
        <v>22</v>
      </c>
      <c r="V205" s="15">
        <v>50</v>
      </c>
      <c r="W205" s="17">
        <f t="shared" si="147"/>
        <v>0.46808510638297873</v>
      </c>
      <c r="X205" s="17">
        <f t="shared" si="148"/>
        <v>1.0638297872340425</v>
      </c>
      <c r="Y205" s="18">
        <f t="shared" si="149"/>
        <v>0.44</v>
      </c>
      <c r="Z205" s="15">
        <v>10</v>
      </c>
      <c r="AA205" s="15">
        <v>16</v>
      </c>
      <c r="AB205" s="17">
        <f t="shared" si="150"/>
        <v>0.21276595744680851</v>
      </c>
      <c r="AC205" s="17">
        <f t="shared" si="151"/>
        <v>0.34042553191489361</v>
      </c>
      <c r="AD205" s="18">
        <f t="shared" si="152"/>
        <v>0.625</v>
      </c>
      <c r="AE205" s="15">
        <v>42</v>
      </c>
      <c r="AF205" s="17">
        <f t="shared" si="153"/>
        <v>0.8936170212765957</v>
      </c>
      <c r="AG205" s="15">
        <v>8</v>
      </c>
      <c r="AH205" s="17">
        <f t="shared" si="154"/>
        <v>0.1702127659574468</v>
      </c>
      <c r="AI205" s="15">
        <v>34</v>
      </c>
      <c r="AJ205" s="17">
        <f t="shared" si="155"/>
        <v>0.72340425531914898</v>
      </c>
      <c r="AK205" s="15">
        <v>16</v>
      </c>
      <c r="AL205" s="17">
        <f t="shared" si="156"/>
        <v>0.34042553191489361</v>
      </c>
      <c r="AM205" s="15">
        <v>12</v>
      </c>
      <c r="AN205" s="17">
        <f t="shared" si="157"/>
        <v>0.25531914893617019</v>
      </c>
      <c r="AO205" s="15">
        <v>4</v>
      </c>
      <c r="AP205" s="17">
        <f t="shared" si="165"/>
        <v>8.5106382978723402E-2</v>
      </c>
      <c r="AQ205" s="4">
        <v>3</v>
      </c>
      <c r="AR205" s="17">
        <f t="shared" si="158"/>
        <v>6.3829787234042548E-2</v>
      </c>
      <c r="AS205" s="15">
        <v>44</v>
      </c>
      <c r="AT205" s="17">
        <f t="shared" si="159"/>
        <v>0.93617021276595747</v>
      </c>
      <c r="AU205" s="19">
        <v>1.1467156009231629</v>
      </c>
      <c r="AV205" s="19">
        <v>0.1034552831447106</v>
      </c>
      <c r="AW205" s="19">
        <v>0.68323837726053904</v>
      </c>
      <c r="AX205" s="19">
        <v>0.46347722366262373</v>
      </c>
      <c r="AY205" s="19">
        <v>129.29452225699629</v>
      </c>
      <c r="AZ205" s="19">
        <v>109.6335426787852</v>
      </c>
      <c r="BA205" s="19">
        <v>6.8345910094570241</v>
      </c>
      <c r="BB205" s="19">
        <v>3.063829787234043</v>
      </c>
      <c r="BC205" s="19">
        <v>12.991504398165549</v>
      </c>
      <c r="BD205" s="65">
        <f t="shared" si="160"/>
        <v>60.72496263079222</v>
      </c>
      <c r="BE205" s="65">
        <f t="shared" si="161"/>
        <v>60</v>
      </c>
      <c r="BF205" s="66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10.143229018238241</v>
      </c>
      <c r="BG205" s="38">
        <f t="shared" si="162"/>
        <v>0.5</v>
      </c>
      <c r="BH205" s="38">
        <f t="shared" si="163"/>
        <v>0.16</v>
      </c>
      <c r="BI205" s="67">
        <f>IFERROR(((AG205*(12000/5))/((F205*60+G205)*(SUMIFS(팀공격력!X:X,팀공격력!A:A,B205,팀공격력!B:B,D205)+SUMIFS(팀수비력!X:X,팀수비력!A:A,B205,팀수비력!B:B,D205))))*100,"")</f>
        <v>0.85210403125091527</v>
      </c>
      <c r="BJ205" s="67">
        <f>IFERROR(((AI205*(12000/5))/((F205*60+G205)*(SUMIFS(팀공격력!V:V,팀공격력!A:A,B205,팀공격력!B:B,D205)+SUMIFS(팀수비력!W:W,팀수비력!A:A,B205,팀수비력!B:B,D205))))*100,"")</f>
        <v>7.5958699318978127</v>
      </c>
      <c r="BK205" s="67">
        <f>IFERROR(((AE205*(12000/5))/((F205*60+G205)*(SUMIFS(팀공격력!X:X,팀공격력!A:A,B205,팀공격력!B:B,D205)+SUMIFS(팀수비력!X:X,팀수비력!A:A,B205,팀수비력!B:B,D205))))*100,"")</f>
        <v>4.4735461640673053</v>
      </c>
      <c r="BL205" s="67">
        <f>IFERROR(100*AK205/(((((F205*60+G205)/(12000/5))*SUMIFS(팀공격력!P:P,팀공격력!A:A,B205,팀공격력!B:B,D205))-K205)),"")</f>
        <v>4.501283569142764</v>
      </c>
      <c r="BM205" s="67">
        <f>IFERROR(100*((AM205/E205*(2400))/((F205*60+G205)*SUMIFS(팀공격력!AR:AR,팀공격력!A:A,B205,팀공격력!B:B,D205))),"")</f>
        <v>1.5057726283410482</v>
      </c>
      <c r="BN205" s="67">
        <f>IFERROR((AO205*40)/(((F205*60+G205)/60)*(SUMIFS(팀수비력!Q:Q,팀수비력!A:A,B205,팀수비력!B:B,D205)-SUMIFS(팀수비력!N:N,팀수비력!A:A,B205,팀수비력!B:B,D205)))*100,"")</f>
        <v>0.74228143291244941</v>
      </c>
      <c r="BO205" s="67">
        <f t="shared" si="164"/>
        <v>2.7262813522355507</v>
      </c>
      <c r="BP205" s="19"/>
      <c r="BQ205" s="19"/>
      <c r="BR205" s="19"/>
      <c r="BS205" s="19"/>
      <c r="BT205" s="20" t="s">
        <v>89</v>
      </c>
      <c r="BU205" s="21">
        <v>195288</v>
      </c>
      <c r="BV205" s="30" t="s">
        <v>93</v>
      </c>
      <c r="BW205" s="30">
        <v>270.81</v>
      </c>
      <c r="BX205" s="30">
        <v>328.31</v>
      </c>
      <c r="BY205" s="30">
        <v>57.5</v>
      </c>
      <c r="BZ205" s="35">
        <f t="shared" si="133"/>
        <v>5.7619148936170212</v>
      </c>
      <c r="CA205" s="35">
        <f t="shared" si="134"/>
        <v>6.9853191489361706</v>
      </c>
      <c r="CB205" s="35">
        <f t="shared" si="135"/>
        <v>1.2234042553191489</v>
      </c>
      <c r="CC205" s="36">
        <f t="shared" si="136"/>
        <v>24.43214795880009</v>
      </c>
      <c r="CD205" s="36">
        <f t="shared" si="137"/>
        <v>29.619727840012029</v>
      </c>
      <c r="CE205" s="36">
        <f t="shared" si="138"/>
        <v>5.1875798812119394</v>
      </c>
      <c r="CF205" s="30">
        <v>31</v>
      </c>
      <c r="CG205" s="30">
        <v>16</v>
      </c>
    </row>
    <row r="206" spans="1:85" ht="18" customHeight="1" x14ac:dyDescent="0.4">
      <c r="A206" s="11" t="s">
        <v>85</v>
      </c>
      <c r="B206" s="11" t="s">
        <v>286</v>
      </c>
      <c r="C206" s="11" t="s">
        <v>302</v>
      </c>
      <c r="D206" s="46" t="s">
        <v>88</v>
      </c>
      <c r="E206" s="15">
        <v>54</v>
      </c>
      <c r="F206" s="15">
        <v>18</v>
      </c>
      <c r="G206" s="15">
        <v>42</v>
      </c>
      <c r="H206" s="16">
        <f t="shared" si="139"/>
        <v>60588</v>
      </c>
      <c r="I206" s="16">
        <v>294</v>
      </c>
      <c r="J206" s="17">
        <f t="shared" si="140"/>
        <v>5.4444444444444446</v>
      </c>
      <c r="K206" s="15">
        <v>93</v>
      </c>
      <c r="L206" s="15">
        <v>229</v>
      </c>
      <c r="M206" s="17">
        <f t="shared" si="141"/>
        <v>1.7222222222222223</v>
      </c>
      <c r="N206" s="17">
        <f t="shared" si="142"/>
        <v>4.2407407407407405</v>
      </c>
      <c r="O206" s="18">
        <f t="shared" si="143"/>
        <v>0.40611353711790393</v>
      </c>
      <c r="P206" s="16">
        <v>39</v>
      </c>
      <c r="Q206" s="15">
        <v>71</v>
      </c>
      <c r="R206" s="17">
        <f t="shared" si="144"/>
        <v>0.72222222222222221</v>
      </c>
      <c r="S206" s="17">
        <f t="shared" si="145"/>
        <v>1.3148148148148149</v>
      </c>
      <c r="T206" s="18">
        <f t="shared" si="146"/>
        <v>0.54929577464788737</v>
      </c>
      <c r="U206" s="15">
        <v>54</v>
      </c>
      <c r="V206" s="15">
        <v>158</v>
      </c>
      <c r="W206" s="17">
        <f t="shared" si="147"/>
        <v>1</v>
      </c>
      <c r="X206" s="17">
        <f t="shared" si="148"/>
        <v>2.925925925925926</v>
      </c>
      <c r="Y206" s="18">
        <f t="shared" si="149"/>
        <v>0.34177215189873417</v>
      </c>
      <c r="Z206" s="15">
        <v>54</v>
      </c>
      <c r="AA206" s="15">
        <v>66</v>
      </c>
      <c r="AB206" s="17">
        <f t="shared" si="150"/>
        <v>1</v>
      </c>
      <c r="AC206" s="17">
        <f t="shared" si="151"/>
        <v>1.2222222222222223</v>
      </c>
      <c r="AD206" s="18">
        <f t="shared" si="152"/>
        <v>0.81818181818181823</v>
      </c>
      <c r="AE206" s="15">
        <v>110</v>
      </c>
      <c r="AF206" s="17">
        <f t="shared" si="153"/>
        <v>2.0370370370370372</v>
      </c>
      <c r="AG206" s="15">
        <v>30</v>
      </c>
      <c r="AH206" s="17">
        <f t="shared" si="154"/>
        <v>0.55555555555555558</v>
      </c>
      <c r="AI206" s="15">
        <v>80</v>
      </c>
      <c r="AJ206" s="17">
        <f t="shared" si="155"/>
        <v>1.4814814814814814</v>
      </c>
      <c r="AK206" s="15">
        <v>71</v>
      </c>
      <c r="AL206" s="17">
        <f t="shared" si="156"/>
        <v>1.3148148148148149</v>
      </c>
      <c r="AM206" s="15">
        <v>25</v>
      </c>
      <c r="AN206" s="17">
        <f t="shared" si="157"/>
        <v>0.46296296296296297</v>
      </c>
      <c r="AO206" s="15">
        <v>9</v>
      </c>
      <c r="AP206" s="17">
        <f t="shared" si="165"/>
        <v>0.16666666666666666</v>
      </c>
      <c r="AQ206" s="4">
        <v>28</v>
      </c>
      <c r="AR206" s="17">
        <f t="shared" si="158"/>
        <v>0.51851851851851849</v>
      </c>
      <c r="AS206" s="15">
        <v>161</v>
      </c>
      <c r="AT206" s="17">
        <f t="shared" si="159"/>
        <v>2.9814814814814814</v>
      </c>
      <c r="AU206" s="19">
        <v>2.3435166960284359</v>
      </c>
      <c r="AV206" s="19">
        <v>9.2830924778310009E-2</v>
      </c>
      <c r="AW206" s="19">
        <v>1.2857291307596239</v>
      </c>
      <c r="AX206" s="19">
        <v>1.057787565268812</v>
      </c>
      <c r="AY206" s="19">
        <v>120.16049800773651</v>
      </c>
      <c r="AZ206" s="19">
        <v>109.6129138107561</v>
      </c>
      <c r="BA206" s="19">
        <v>5.8518392540956148</v>
      </c>
      <c r="BB206" s="19">
        <v>6.166666666666667</v>
      </c>
      <c r="BC206" s="19">
        <v>13.19073083778966</v>
      </c>
      <c r="BD206" s="65">
        <f t="shared" si="160"/>
        <v>56.967911951635401</v>
      </c>
      <c r="BE206" s="65">
        <f t="shared" si="161"/>
        <v>52.401746724890828</v>
      </c>
      <c r="BF206" s="66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13.300745793146248</v>
      </c>
      <c r="BG206" s="38">
        <f t="shared" si="162"/>
        <v>0.68995633187772931</v>
      </c>
      <c r="BH206" s="38">
        <f t="shared" si="163"/>
        <v>0.28820960698689957</v>
      </c>
      <c r="BI206" s="67">
        <f>IFERROR(((AG206*(12000/5))/((F206*60+G206)*(SUMIFS(팀공격력!X:X,팀공격력!A:A,B206,팀공격력!B:B,D206)+SUMIFS(팀수비력!X:X,팀수비력!A:A,B206,팀수비력!B:B,D206))))*100,"")</f>
        <v>1.6119347650000604</v>
      </c>
      <c r="BJ206" s="67">
        <f>IFERROR(((AI206*(12000/5))/((F206*60+G206)*(SUMIFS(팀공격력!V:V,팀공격력!A:A,B206,팀공격력!B:B,D206)+SUMIFS(팀수비력!W:W,팀수비력!A:A,B206,팀수비력!B:B,D206))))*100,"")</f>
        <v>9.0159638910646152</v>
      </c>
      <c r="BK206" s="67">
        <f>IFERROR(((AE206*(12000/5))/((F206*60+G206)*(SUMIFS(팀공격력!X:X,팀공격력!A:A,B206,팀공격력!B:B,D206)+SUMIFS(팀수비력!X:X,팀수비력!A:A,B206,팀수비력!B:B,D206))))*100,"")</f>
        <v>5.9104274716668881</v>
      </c>
      <c r="BL206" s="67">
        <f>IFERROR(100*AK206/(((((F206*60+G206)/(12000/5))*SUMIFS(팀공격력!P:P,팀공격력!A:A,B206,팀공격력!B:B,D206))-K206)),"")</f>
        <v>10.01746000952364</v>
      </c>
      <c r="BM206" s="67">
        <f>IFERROR(100*((AM206/E206*(2400))/((F206*60+G206)*SUMIFS(팀공격력!AR:AR,팀공격력!A:A,B206,팀공격력!B:B,D206))),"")</f>
        <v>1.3773548206440964</v>
      </c>
      <c r="BN206" s="67">
        <f>IFERROR((AO206*40)/(((F206*60+G206)/60)*(SUMIFS(팀수비력!Q:Q,팀수비력!A:A,B206,팀수비력!B:B,D206)-SUMIFS(팀수비력!N:N,팀수비력!A:A,B206,팀수비력!B:B,D206)))*100,"")</f>
        <v>0.84250927345276683</v>
      </c>
      <c r="BO206" s="67">
        <f t="shared" si="164"/>
        <v>9.7888407215774009</v>
      </c>
      <c r="BP206" s="19"/>
      <c r="BQ206" s="19"/>
      <c r="BR206" s="19"/>
      <c r="BS206" s="19"/>
      <c r="BT206" s="20" t="s">
        <v>89</v>
      </c>
      <c r="BU206" s="21">
        <v>80000</v>
      </c>
      <c r="BV206" s="30" t="s">
        <v>93</v>
      </c>
      <c r="BW206" s="30">
        <v>645.28</v>
      </c>
      <c r="BX206" s="30">
        <v>822.48</v>
      </c>
      <c r="BY206" s="30">
        <v>177.2</v>
      </c>
      <c r="BZ206" s="35">
        <f t="shared" si="133"/>
        <v>11.94962962962963</v>
      </c>
      <c r="CA206" s="35">
        <f t="shared" si="134"/>
        <v>15.231111111111112</v>
      </c>
      <c r="CB206" s="35">
        <f t="shared" si="135"/>
        <v>3.2814814814814812</v>
      </c>
      <c r="CC206" s="36">
        <f t="shared" si="136"/>
        <v>25.560705090116858</v>
      </c>
      <c r="CD206" s="36">
        <f t="shared" si="137"/>
        <v>32.579916815210936</v>
      </c>
      <c r="CE206" s="36">
        <f t="shared" si="138"/>
        <v>7.0192117250940784</v>
      </c>
      <c r="CF206" s="31">
        <v>36</v>
      </c>
      <c r="CG206" s="31">
        <v>18</v>
      </c>
    </row>
    <row r="207" spans="1:85" x14ac:dyDescent="0.4">
      <c r="A207" s="11" t="s">
        <v>85</v>
      </c>
      <c r="B207" s="11" t="s">
        <v>286</v>
      </c>
      <c r="C207" s="11" t="s">
        <v>303</v>
      </c>
      <c r="D207" s="46" t="s">
        <v>88</v>
      </c>
      <c r="E207" s="15">
        <v>7</v>
      </c>
      <c r="F207" s="15">
        <v>18</v>
      </c>
      <c r="G207" s="15">
        <v>15</v>
      </c>
      <c r="H207" s="16">
        <f t="shared" si="139"/>
        <v>7665</v>
      </c>
      <c r="I207" s="16">
        <v>86</v>
      </c>
      <c r="J207" s="17">
        <f t="shared" si="140"/>
        <v>12.285714285714286</v>
      </c>
      <c r="K207" s="15">
        <v>37</v>
      </c>
      <c r="L207" s="15">
        <v>63</v>
      </c>
      <c r="M207" s="17">
        <f t="shared" si="141"/>
        <v>5.2857142857142856</v>
      </c>
      <c r="N207" s="17">
        <f t="shared" si="142"/>
        <v>9</v>
      </c>
      <c r="O207" s="18">
        <f t="shared" si="143"/>
        <v>0.58730158730158732</v>
      </c>
      <c r="P207" s="16">
        <v>37</v>
      </c>
      <c r="Q207" s="15">
        <v>63</v>
      </c>
      <c r="R207" s="17">
        <f t="shared" si="144"/>
        <v>5.2857142857142856</v>
      </c>
      <c r="S207" s="17">
        <f t="shared" si="145"/>
        <v>9</v>
      </c>
      <c r="T207" s="18">
        <f t="shared" si="146"/>
        <v>0.58730158730158732</v>
      </c>
      <c r="U207" s="15">
        <v>0</v>
      </c>
      <c r="V207" s="15">
        <v>0</v>
      </c>
      <c r="W207" s="17">
        <f t="shared" si="147"/>
        <v>0</v>
      </c>
      <c r="X207" s="17">
        <f t="shared" si="148"/>
        <v>0</v>
      </c>
      <c r="Y207" s="18" t="e">
        <f t="shared" si="149"/>
        <v>#DIV/0!</v>
      </c>
      <c r="Z207" s="15">
        <v>12</v>
      </c>
      <c r="AA207" s="15">
        <v>18</v>
      </c>
      <c r="AB207" s="17">
        <f t="shared" si="150"/>
        <v>1.7142857142857142</v>
      </c>
      <c r="AC207" s="17">
        <f t="shared" si="151"/>
        <v>2.5714285714285716</v>
      </c>
      <c r="AD207" s="18">
        <f t="shared" si="152"/>
        <v>0.66666666666666663</v>
      </c>
      <c r="AE207" s="15">
        <v>43</v>
      </c>
      <c r="AF207" s="17">
        <f t="shared" si="153"/>
        <v>6.1428571428571432</v>
      </c>
      <c r="AG207" s="15">
        <v>17</v>
      </c>
      <c r="AH207" s="17">
        <f t="shared" si="154"/>
        <v>2.4285714285714284</v>
      </c>
      <c r="AI207" s="15">
        <v>26</v>
      </c>
      <c r="AJ207" s="17">
        <f t="shared" si="155"/>
        <v>3.7142857142857144</v>
      </c>
      <c r="AK207" s="15">
        <v>12</v>
      </c>
      <c r="AL207" s="17">
        <f t="shared" si="156"/>
        <v>1.7142857142857142</v>
      </c>
      <c r="AM207" s="15">
        <v>6</v>
      </c>
      <c r="AN207" s="17">
        <f t="shared" si="157"/>
        <v>0.8571428571428571</v>
      </c>
      <c r="AO207" s="15">
        <v>4</v>
      </c>
      <c r="AP207" s="17">
        <f t="shared" si="165"/>
        <v>0.5714285714285714</v>
      </c>
      <c r="AQ207" s="32">
        <v>6</v>
      </c>
      <c r="AR207" s="17">
        <f t="shared" si="158"/>
        <v>0.8571428571428571</v>
      </c>
      <c r="AS207" s="15">
        <v>23</v>
      </c>
      <c r="AT207" s="17">
        <f t="shared" si="159"/>
        <v>3.2857142857142856</v>
      </c>
      <c r="AU207" s="19">
        <v>0.68320994706654492</v>
      </c>
      <c r="AV207" s="19">
        <v>0.21392092276056199</v>
      </c>
      <c r="AW207" s="19">
        <v>0.43068393878437511</v>
      </c>
      <c r="AX207" s="19">
        <v>0.25252600828216992</v>
      </c>
      <c r="AY207" s="19">
        <v>124.8847343787689</v>
      </c>
      <c r="AZ207" s="19">
        <v>100.751425827966</v>
      </c>
      <c r="BA207" s="19">
        <v>2.8063914841249269</v>
      </c>
      <c r="BB207" s="19">
        <v>16.142857142857139</v>
      </c>
      <c r="BC207" s="19">
        <v>35.381604696673193</v>
      </c>
      <c r="BD207" s="65">
        <f t="shared" si="160"/>
        <v>60.631697687535244</v>
      </c>
      <c r="BE207" s="65">
        <f t="shared" si="161"/>
        <v>58.730158730158735</v>
      </c>
      <c r="BF207" s="66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3.6649431063084839</v>
      </c>
      <c r="BG207" s="38">
        <f t="shared" si="162"/>
        <v>0</v>
      </c>
      <c r="BH207" s="38">
        <f t="shared" si="163"/>
        <v>0.2857142857142857</v>
      </c>
      <c r="BI207" s="67">
        <f>IFERROR(((AG207*(12000/5))/((F207*60+G207)*(SUMIFS(팀공격력!X:X,팀공격력!A:A,B207,팀공격력!B:B,D207)+SUMIFS(팀수비력!X:X,팀수비력!A:A,B207,팀수비력!B:B,D207))))*100,"")</f>
        <v>0.93595262428040038</v>
      </c>
      <c r="BJ207" s="67">
        <f>IFERROR(((AI207*(12000/5))/((F207*60+G207)*(SUMIFS(팀공격력!V:V,팀공격력!A:A,B207,팀공격력!B:B,D207)+SUMIFS(팀수비력!W:W,팀수비력!A:A,B207,팀수비력!B:B,D207))))*100,"")</f>
        <v>3.0024394820791893</v>
      </c>
      <c r="BK207" s="67">
        <f>IFERROR(((AE207*(12000/5))/((F207*60+G207)*(SUMIFS(팀공격력!X:X,팀공격력!A:A,B207,팀공격력!B:B,D207)+SUMIFS(팀수비력!X:X,팀수비력!A:A,B207,팀수비력!B:B,D207))))*100,"")</f>
        <v>2.3674095790621892</v>
      </c>
      <c r="BL207" s="67">
        <f>IFERROR(100*AK207/(((((F207*60+G207)/(12000/5))*SUMIFS(팀공격력!P:P,팀공격력!A:A,B207,팀공격력!B:B,D207))-K207)),"")</f>
        <v>1.6097254244393209</v>
      </c>
      <c r="BM207" s="67">
        <f>IFERROR(100*((AM207/E207*(2400))/((F207*60+G207)*SUMIFS(팀공격력!AR:AR,팀공격력!A:A,B207,팀공격력!B:B,D207))),"")</f>
        <v>2.612952606596775</v>
      </c>
      <c r="BN207" s="67">
        <f>IFERROR((AO207*40)/(((F207*60+G207)/60)*(SUMIFS(팀수비력!Q:Q,팀수비력!A:A,B207,팀수비력!B:B,D207)-SUMIFS(팀수비력!N:N,팀수비력!A:A,B207,팀수비력!B:B,D207)))*100,"")</f>
        <v>0.38368154431821588</v>
      </c>
      <c r="BO207" s="67">
        <f t="shared" si="164"/>
        <v>7.8003120124804992</v>
      </c>
      <c r="BP207" s="19"/>
      <c r="BQ207" s="19"/>
      <c r="BR207" s="19"/>
      <c r="BS207" s="19"/>
      <c r="BT207" s="20" t="s">
        <v>96</v>
      </c>
      <c r="BU207" s="21">
        <v>80000</v>
      </c>
      <c r="BV207" s="31" t="s">
        <v>102</v>
      </c>
      <c r="BW207" s="31">
        <v>157.63</v>
      </c>
      <c r="BX207" s="31">
        <v>197.43</v>
      </c>
      <c r="BY207" s="31">
        <v>39.799999999999997</v>
      </c>
      <c r="BZ207" s="35">
        <f t="shared" si="133"/>
        <v>22.518571428571427</v>
      </c>
      <c r="CA207" s="35">
        <f t="shared" si="134"/>
        <v>28.204285714285714</v>
      </c>
      <c r="CB207" s="35">
        <f t="shared" si="135"/>
        <v>5.6857142857142851</v>
      </c>
      <c r="CC207" s="36">
        <f t="shared" si="136"/>
        <v>49.355772994129154</v>
      </c>
      <c r="CD207" s="36">
        <f t="shared" si="137"/>
        <v>61.817612524461836</v>
      </c>
      <c r="CE207" s="36">
        <f t="shared" si="138"/>
        <v>12.46183953033268</v>
      </c>
      <c r="CF207" s="30">
        <v>3</v>
      </c>
      <c r="CG207" s="30">
        <v>4</v>
      </c>
    </row>
    <row r="208" spans="1:85" x14ac:dyDescent="0.4">
      <c r="A208" s="11" t="s">
        <v>85</v>
      </c>
      <c r="B208" s="11" t="s">
        <v>286</v>
      </c>
      <c r="C208" s="11" t="s">
        <v>304</v>
      </c>
      <c r="D208" s="46" t="s">
        <v>88</v>
      </c>
      <c r="E208" s="10">
        <v>4</v>
      </c>
      <c r="F208" s="10">
        <v>4</v>
      </c>
      <c r="G208" s="10">
        <v>33</v>
      </c>
      <c r="H208" s="16">
        <f t="shared" si="139"/>
        <v>1092</v>
      </c>
      <c r="I208" s="16">
        <v>6</v>
      </c>
      <c r="J208" s="17">
        <f t="shared" si="140"/>
        <v>1.5</v>
      </c>
      <c r="K208" s="15">
        <v>3</v>
      </c>
      <c r="L208" s="15">
        <v>4</v>
      </c>
      <c r="M208" s="17">
        <f t="shared" si="141"/>
        <v>0.75</v>
      </c>
      <c r="N208" s="17">
        <f t="shared" si="142"/>
        <v>1</v>
      </c>
      <c r="O208" s="18">
        <f t="shared" si="143"/>
        <v>0.75</v>
      </c>
      <c r="P208" s="16">
        <v>3</v>
      </c>
      <c r="Q208" s="15">
        <v>3</v>
      </c>
      <c r="R208" s="17">
        <f t="shared" si="144"/>
        <v>0.75</v>
      </c>
      <c r="S208" s="17">
        <f t="shared" si="145"/>
        <v>0.75</v>
      </c>
      <c r="T208" s="18">
        <f t="shared" si="146"/>
        <v>1</v>
      </c>
      <c r="U208" s="15">
        <v>0</v>
      </c>
      <c r="V208" s="15">
        <v>1</v>
      </c>
      <c r="W208" s="17">
        <f t="shared" si="147"/>
        <v>0</v>
      </c>
      <c r="X208" s="17">
        <f t="shared" si="148"/>
        <v>0.25</v>
      </c>
      <c r="Y208" s="18">
        <f t="shared" si="149"/>
        <v>0</v>
      </c>
      <c r="Z208" s="9">
        <v>0</v>
      </c>
      <c r="AA208" s="9">
        <v>0</v>
      </c>
      <c r="AB208" s="17">
        <f t="shared" si="150"/>
        <v>0</v>
      </c>
      <c r="AC208" s="17">
        <f t="shared" si="151"/>
        <v>0</v>
      </c>
      <c r="AD208" s="18" t="e">
        <f t="shared" si="152"/>
        <v>#DIV/0!</v>
      </c>
      <c r="AE208" s="15">
        <v>1</v>
      </c>
      <c r="AF208" s="17">
        <f t="shared" si="153"/>
        <v>0.25</v>
      </c>
      <c r="AG208" s="15">
        <v>0</v>
      </c>
      <c r="AH208" s="17">
        <f t="shared" si="154"/>
        <v>0</v>
      </c>
      <c r="AI208" s="15">
        <v>1</v>
      </c>
      <c r="AJ208" s="17">
        <f t="shared" si="155"/>
        <v>0.25</v>
      </c>
      <c r="AK208" s="15">
        <v>2</v>
      </c>
      <c r="AL208" s="17">
        <f t="shared" si="156"/>
        <v>0.5</v>
      </c>
      <c r="AM208" s="15">
        <v>0</v>
      </c>
      <c r="AN208" s="17">
        <f t="shared" si="157"/>
        <v>0</v>
      </c>
      <c r="AO208" s="7">
        <v>0</v>
      </c>
      <c r="AP208" s="17">
        <f t="shared" si="165"/>
        <v>0</v>
      </c>
      <c r="AQ208" s="6">
        <v>1</v>
      </c>
      <c r="AR208" s="17">
        <f t="shared" si="158"/>
        <v>0.25</v>
      </c>
      <c r="AS208" s="15">
        <v>1</v>
      </c>
      <c r="AT208" s="17">
        <f t="shared" si="159"/>
        <v>0.25</v>
      </c>
      <c r="AU208" s="19">
        <v>3.8753829185526882E-2</v>
      </c>
      <c r="AV208" s="19">
        <v>8.5173250957201949E-2</v>
      </c>
      <c r="AW208" s="19">
        <v>2.8955982575347278E-2</v>
      </c>
      <c r="AX208" s="19">
        <v>9.797846610179602E-3</v>
      </c>
      <c r="AY208" s="19">
        <v>125.0346528098777</v>
      </c>
      <c r="AZ208" s="19">
        <v>114.4687986920062</v>
      </c>
      <c r="BA208" s="19">
        <v>0.70309254657595943</v>
      </c>
      <c r="BB208" s="19">
        <v>1.75</v>
      </c>
      <c r="BC208" s="19">
        <v>15.38461538461539</v>
      </c>
      <c r="BD208" s="65">
        <f t="shared" si="160"/>
        <v>75</v>
      </c>
      <c r="BE208" s="65">
        <f t="shared" si="161"/>
        <v>75</v>
      </c>
      <c r="BF208" s="66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0.95554124579454358</v>
      </c>
      <c r="BG208" s="38">
        <f t="shared" si="162"/>
        <v>0.25</v>
      </c>
      <c r="BH208" s="38">
        <f t="shared" si="163"/>
        <v>0</v>
      </c>
      <c r="BI208" s="67">
        <f>IFERROR(((AG208*(12000/5))/((F208*60+G208)*(SUMIFS(팀공격력!X:X,팀공격력!A:A,B208,팀공격력!B:B,D208)+SUMIFS(팀수비력!X:X,팀수비력!A:A,B208,팀수비력!B:B,D208))))*100,"")</f>
        <v>0</v>
      </c>
      <c r="BJ208" s="67">
        <f>IFERROR(((AI208*(12000/5))/((F208*60+G208)*(SUMIFS(팀공격력!V:V,팀공격력!A:A,B208,팀공격력!B:B,D208)+SUMIFS(팀수비력!W:W,팀수비력!A:A,B208,팀수비력!B:B,D208))))*100,"")</f>
        <v>0.4631827603376602</v>
      </c>
      <c r="BK208" s="67">
        <f>IFERROR(((AE208*(12000/5))/((F208*60+G208)*(SUMIFS(팀공격력!X:X,팀공격력!A:A,B208,팀공격력!B:B,D208)+SUMIFS(팀수비력!X:X,팀수비력!A:A,B208,팀수비력!B:B,D208))))*100,"")</f>
        <v>0.22082915828205954</v>
      </c>
      <c r="BL208" s="67">
        <f>IFERROR(100*AK208/(((((F208*60+G208)/(12000/5))*SUMIFS(팀공격력!P:P,팀공격력!A:A,B208,팀공격력!B:B,D208))-K208)),"")</f>
        <v>1.0412260436664171</v>
      </c>
      <c r="BM208" s="67">
        <f>IFERROR(100*((AM208/E208*(2400))/((F208*60+G208)*SUMIFS(팀공격력!AR:AR,팀공격력!A:A,B208,팀공격력!B:B,D208))),"")</f>
        <v>0</v>
      </c>
      <c r="BN208" s="67">
        <f>IFERROR((AO208*40)/(((F208*60+G208)/60)*(SUMIFS(팀수비력!Q:Q,팀수비력!A:A,B208,팀수비력!B:B,D208)-SUMIFS(팀수비력!N:N,팀수비력!A:A,B208,팀수비력!B:B,D208)))*100,"")</f>
        <v>0</v>
      </c>
      <c r="BO208" s="67">
        <f t="shared" si="164"/>
        <v>20</v>
      </c>
      <c r="BP208" s="19"/>
      <c r="BQ208" s="19"/>
      <c r="BR208" s="19"/>
      <c r="BS208" s="19"/>
      <c r="BT208" s="20" t="s">
        <v>89</v>
      </c>
      <c r="BU208" s="21">
        <v>80000</v>
      </c>
      <c r="BV208" s="31" t="s">
        <v>90</v>
      </c>
      <c r="BW208" s="31">
        <v>12.15</v>
      </c>
      <c r="BX208" s="31">
        <v>14.55</v>
      </c>
      <c r="BY208" s="31">
        <v>2.4</v>
      </c>
      <c r="BZ208" s="35">
        <f t="shared" si="133"/>
        <v>3.0375000000000001</v>
      </c>
      <c r="CA208" s="35">
        <f t="shared" si="134"/>
        <v>3.6375000000000002</v>
      </c>
      <c r="CB208" s="35">
        <f t="shared" si="135"/>
        <v>0.6</v>
      </c>
      <c r="CC208" s="36">
        <f t="shared" si="136"/>
        <v>26.703296703296704</v>
      </c>
      <c r="CD208" s="36">
        <f t="shared" si="137"/>
        <v>31.978021978021978</v>
      </c>
      <c r="CE208" s="36">
        <f t="shared" si="138"/>
        <v>5.2747252747252746</v>
      </c>
      <c r="CF208" s="31">
        <v>4</v>
      </c>
      <c r="CG208" s="31">
        <v>0</v>
      </c>
    </row>
    <row r="209" spans="1:85" x14ac:dyDescent="0.4">
      <c r="A209" s="11" t="s">
        <v>85</v>
      </c>
      <c r="B209" s="11" t="s">
        <v>286</v>
      </c>
      <c r="C209" s="27" t="s">
        <v>305</v>
      </c>
      <c r="D209" s="46" t="s">
        <v>88</v>
      </c>
      <c r="E209" s="10">
        <v>34</v>
      </c>
      <c r="F209" s="10">
        <v>17</v>
      </c>
      <c r="G209" s="10">
        <v>10</v>
      </c>
      <c r="H209" s="16">
        <f t="shared" si="139"/>
        <v>35020</v>
      </c>
      <c r="I209" s="16">
        <v>245</v>
      </c>
      <c r="J209" s="17">
        <f t="shared" si="140"/>
        <v>7.2058823529411766</v>
      </c>
      <c r="K209" s="24">
        <v>107</v>
      </c>
      <c r="L209" s="24">
        <v>250</v>
      </c>
      <c r="M209" s="17">
        <f t="shared" si="141"/>
        <v>3.1470588235294117</v>
      </c>
      <c r="N209" s="17">
        <f t="shared" si="142"/>
        <v>7.3529411764705879</v>
      </c>
      <c r="O209" s="18">
        <f t="shared" si="143"/>
        <v>0.42799999999999999</v>
      </c>
      <c r="P209" s="16">
        <v>91</v>
      </c>
      <c r="Q209" s="15">
        <v>198</v>
      </c>
      <c r="R209" s="17">
        <f t="shared" si="144"/>
        <v>2.6764705882352939</v>
      </c>
      <c r="S209" s="17">
        <f t="shared" si="145"/>
        <v>5.8235294117647056</v>
      </c>
      <c r="T209" s="18">
        <f t="shared" si="146"/>
        <v>0.45959595959595961</v>
      </c>
      <c r="U209" s="15">
        <v>16</v>
      </c>
      <c r="V209" s="15">
        <v>52</v>
      </c>
      <c r="W209" s="17">
        <f t="shared" si="147"/>
        <v>0.47058823529411764</v>
      </c>
      <c r="X209" s="17">
        <f t="shared" si="148"/>
        <v>1.5294117647058822</v>
      </c>
      <c r="Y209" s="18">
        <f t="shared" si="149"/>
        <v>0.30769230769230771</v>
      </c>
      <c r="Z209" s="9">
        <v>15</v>
      </c>
      <c r="AA209" s="9">
        <v>31</v>
      </c>
      <c r="AB209" s="17">
        <f t="shared" si="150"/>
        <v>0.44117647058823528</v>
      </c>
      <c r="AC209" s="17">
        <f t="shared" si="151"/>
        <v>0.91176470588235292</v>
      </c>
      <c r="AD209" s="18">
        <f t="shared" si="152"/>
        <v>0.4838709677419355</v>
      </c>
      <c r="AE209" s="15">
        <v>203</v>
      </c>
      <c r="AF209" s="17">
        <f t="shared" si="153"/>
        <v>5.9705882352941178</v>
      </c>
      <c r="AG209" s="15">
        <v>57</v>
      </c>
      <c r="AH209" s="17">
        <f t="shared" si="154"/>
        <v>1.6764705882352942</v>
      </c>
      <c r="AI209" s="15">
        <v>146</v>
      </c>
      <c r="AJ209" s="17">
        <f t="shared" si="155"/>
        <v>4.2941176470588234</v>
      </c>
      <c r="AK209" s="15">
        <v>54</v>
      </c>
      <c r="AL209" s="17">
        <f t="shared" si="156"/>
        <v>1.588235294117647</v>
      </c>
      <c r="AM209" s="15">
        <v>28</v>
      </c>
      <c r="AN209" s="17">
        <f t="shared" si="157"/>
        <v>0.82352941176470584</v>
      </c>
      <c r="AO209" s="7">
        <v>8</v>
      </c>
      <c r="AP209" s="17">
        <f t="shared" si="165"/>
        <v>0.23529411764705882</v>
      </c>
      <c r="AQ209" s="28">
        <v>41</v>
      </c>
      <c r="AR209" s="17">
        <f t="shared" si="158"/>
        <v>1.2058823529411764</v>
      </c>
      <c r="AS209" s="15">
        <v>68</v>
      </c>
      <c r="AT209" s="17">
        <f t="shared" si="159"/>
        <v>2</v>
      </c>
      <c r="AU209" s="19">
        <v>0.89563208948349149</v>
      </c>
      <c r="AV209" s="19">
        <v>6.1379697737303819E-2</v>
      </c>
      <c r="AW209" s="19">
        <v>-0.29506031784310988</v>
      </c>
      <c r="AX209" s="19">
        <v>1.190692407326601</v>
      </c>
      <c r="AY209" s="19">
        <v>98.025167529653189</v>
      </c>
      <c r="AZ209" s="19">
        <v>100.1477427079118</v>
      </c>
      <c r="BA209" s="19">
        <v>7.5075832954996837</v>
      </c>
      <c r="BB209" s="19">
        <v>9.9411764705882355</v>
      </c>
      <c r="BC209" s="19">
        <v>23.163906339234721</v>
      </c>
      <c r="BD209" s="65">
        <f t="shared" si="160"/>
        <v>46.464876346533153</v>
      </c>
      <c r="BE209" s="65">
        <f t="shared" si="161"/>
        <v>46</v>
      </c>
      <c r="BF209" s="66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15.430918686882716</v>
      </c>
      <c r="BG209" s="38">
        <f t="shared" si="162"/>
        <v>0.20799999999999999</v>
      </c>
      <c r="BH209" s="38">
        <f t="shared" si="163"/>
        <v>0.124</v>
      </c>
      <c r="BI209" s="67">
        <f>IFERROR(((AG209*(12000/5))/((F209*60+G209)*(SUMIFS(팀공격력!X:X,팀공격력!A:A,B209,팀공격력!B:B,D209)+SUMIFS(팀수비력!X:X,팀수비력!A:A,B209,팀수비력!B:B,D209))))*100,"")</f>
        <v>3.3362354679875037</v>
      </c>
      <c r="BJ209" s="67">
        <f>IFERROR(((AI209*(12000/5))/((F209*60+G209)*(SUMIFS(팀공격력!V:V,팀공격력!A:A,B209,팀공격력!B:B,D209)+SUMIFS(팀수비력!W:W,팀수비력!A:A,B209,팀수비력!B:B,D209))))*100,"")</f>
        <v>17.923823749066468</v>
      </c>
      <c r="BK209" s="67">
        <f>IFERROR(((AE209*(12000/5))/((F209*60+G209)*(SUMIFS(팀공격력!X:X,팀공격력!A:A,B209,팀공격력!B:B,D209)+SUMIFS(팀수비력!X:X,팀수비력!A:A,B209,팀수비력!B:B,D209))))*100,"")</f>
        <v>11.881680701780057</v>
      </c>
      <c r="BL209" s="67">
        <f>IFERROR(100*AK209/(((((F209*60+G209)/(12000/5))*SUMIFS(팀공격력!P:P,팀공격력!A:A,B209,팀공격력!B:B,D209))-K209)),"")</f>
        <v>8.5847713046070293</v>
      </c>
      <c r="BM209" s="67">
        <f>IFERROR(100*((AM209/E209*(2400))/((F209*60+G209)*SUMIFS(팀공격력!AR:AR,팀공격력!A:A,B209,팀공격력!B:B,D209))),"")</f>
        <v>2.6689124711012742</v>
      </c>
      <c r="BN209" s="67">
        <f>IFERROR((AO209*40)/(((F209*60+G209)/60)*(SUMIFS(팀수비력!Q:Q,팀수비력!A:A,B209,팀수비력!B:B,D209)-SUMIFS(팀수비력!N:N,팀수비력!A:A,B209,팀수비력!B:B,D209)))*100,"")</f>
        <v>0.81578891461834246</v>
      </c>
      <c r="BO209" s="67">
        <f t="shared" si="164"/>
        <v>13.458508403361344</v>
      </c>
      <c r="BP209" s="19"/>
      <c r="BQ209" s="19"/>
      <c r="BR209" s="19"/>
      <c r="BS209" s="19"/>
      <c r="BT209" s="20" t="s">
        <v>96</v>
      </c>
      <c r="BU209" s="21"/>
      <c r="BV209" s="31" t="s">
        <v>102</v>
      </c>
      <c r="BW209" s="31">
        <v>525.73</v>
      </c>
      <c r="BX209" s="31">
        <v>739.43</v>
      </c>
      <c r="BY209" s="31">
        <v>213.7</v>
      </c>
      <c r="BZ209" s="35">
        <f t="shared" si="133"/>
        <v>15.462647058823528</v>
      </c>
      <c r="CA209" s="35">
        <f t="shared" si="134"/>
        <v>21.747941176470587</v>
      </c>
      <c r="CB209" s="35">
        <f t="shared" si="135"/>
        <v>6.2852941176470587</v>
      </c>
      <c r="CC209" s="36">
        <f t="shared" si="136"/>
        <v>36.029468874928611</v>
      </c>
      <c r="CD209" s="36">
        <f t="shared" si="137"/>
        <v>50.674814391776124</v>
      </c>
      <c r="CE209" s="36">
        <f t="shared" si="138"/>
        <v>14.645345516847515</v>
      </c>
      <c r="CF209" s="31">
        <v>21</v>
      </c>
      <c r="CG209" s="31">
        <v>13</v>
      </c>
    </row>
    <row r="210" spans="1:85" x14ac:dyDescent="0.4">
      <c r="A210" s="11" t="s">
        <v>85</v>
      </c>
      <c r="B210" t="s">
        <v>99</v>
      </c>
      <c r="C210" t="s">
        <v>100</v>
      </c>
      <c r="D210" s="46" t="s">
        <v>306</v>
      </c>
      <c r="E210">
        <v>9</v>
      </c>
      <c r="F210">
        <v>15</v>
      </c>
      <c r="G210" s="1">
        <v>38</v>
      </c>
      <c r="H210" s="16">
        <f t="shared" si="139"/>
        <v>8442</v>
      </c>
      <c r="I210">
        <v>35</v>
      </c>
      <c r="J210" s="17">
        <f t="shared" si="140"/>
        <v>3.8888888888888888</v>
      </c>
      <c r="K210">
        <v>12</v>
      </c>
      <c r="L210">
        <v>28</v>
      </c>
      <c r="M210" s="17">
        <f t="shared" si="141"/>
        <v>1.3333333333333333</v>
      </c>
      <c r="N210" s="17">
        <f t="shared" si="142"/>
        <v>3.1111111111111112</v>
      </c>
      <c r="O210" s="18">
        <f t="shared" si="143"/>
        <v>0.42857142857142855</v>
      </c>
      <c r="P210">
        <v>2</v>
      </c>
      <c r="Q210">
        <v>3</v>
      </c>
      <c r="R210" s="17">
        <f t="shared" si="144"/>
        <v>0.22222222222222221</v>
      </c>
      <c r="S210" s="17">
        <f t="shared" si="145"/>
        <v>0.33333333333333331</v>
      </c>
      <c r="T210" s="18">
        <f t="shared" si="146"/>
        <v>0.66666666666666663</v>
      </c>
      <c r="U210">
        <v>10</v>
      </c>
      <c r="V210">
        <v>25</v>
      </c>
      <c r="W210" s="17">
        <f t="shared" si="147"/>
        <v>1.1111111111111112</v>
      </c>
      <c r="X210" s="17">
        <f t="shared" si="148"/>
        <v>2.7777777777777777</v>
      </c>
      <c r="Y210" s="18">
        <f t="shared" si="149"/>
        <v>0.4</v>
      </c>
      <c r="Z210">
        <v>1</v>
      </c>
      <c r="AA210">
        <v>2</v>
      </c>
      <c r="AB210" s="17">
        <f t="shared" si="150"/>
        <v>0.1111111111111111</v>
      </c>
      <c r="AC210" s="17">
        <f t="shared" si="151"/>
        <v>0.22222222222222221</v>
      </c>
      <c r="AD210" s="18">
        <f t="shared" si="152"/>
        <v>0.5</v>
      </c>
      <c r="AE210">
        <v>20</v>
      </c>
      <c r="AF210" s="17">
        <f t="shared" si="153"/>
        <v>2.2222222222222223</v>
      </c>
      <c r="AG210">
        <v>6</v>
      </c>
      <c r="AH210" s="17">
        <f t="shared" si="154"/>
        <v>0.66666666666666663</v>
      </c>
      <c r="AI210">
        <v>14</v>
      </c>
      <c r="AJ210" s="17">
        <f t="shared" si="155"/>
        <v>1.5555555555555556</v>
      </c>
      <c r="AK210">
        <v>3</v>
      </c>
      <c r="AL210" s="17">
        <f t="shared" si="156"/>
        <v>0.33333333333333331</v>
      </c>
      <c r="AM210">
        <v>5</v>
      </c>
      <c r="AN210" s="17">
        <f t="shared" si="157"/>
        <v>0.55555555555555558</v>
      </c>
      <c r="AO210">
        <v>0</v>
      </c>
      <c r="AQ210">
        <v>1</v>
      </c>
      <c r="AR210" s="17">
        <f t="shared" si="158"/>
        <v>0.1111111111111111</v>
      </c>
      <c r="AS210">
        <v>17</v>
      </c>
      <c r="AT210" s="17">
        <f t="shared" si="159"/>
        <v>1.8888888888888888</v>
      </c>
      <c r="BD210" s="65">
        <f t="shared" si="160"/>
        <v>60.595567867036017</v>
      </c>
      <c r="BE210" s="65">
        <f t="shared" si="161"/>
        <v>60.714285714285708</v>
      </c>
      <c r="BF210" s="66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10.223045783369964</v>
      </c>
      <c r="BG210" s="38">
        <f t="shared" si="162"/>
        <v>0.8928571428571429</v>
      </c>
      <c r="BH210" s="38">
        <f t="shared" si="163"/>
        <v>7.1428571428571425E-2</v>
      </c>
      <c r="BI210" s="67">
        <f>IFERROR(((AG210*(12000/5))/((F210*60+G210)*(SUMIFS(팀공격력!X:X,팀공격력!A:A,B210,팀공격력!B:B,D210)+SUMIFS(팀수비력!X:X,팀수비력!A:A,B210,팀수비력!B:B,D210))))*100,"")</f>
        <v>2.5543780976269117</v>
      </c>
      <c r="BJ210" s="67">
        <f>IFERROR(((AI210*(12000/5))/((F210*60+G210)*(SUMIFS(팀공격력!V:V,팀공격력!A:A,B210,팀공격력!B:B,D210)+SUMIFS(팀수비력!W:W,팀수비력!A:A,B210,팀수비력!B:B,D210))))*100,"")</f>
        <v>11.194029850746269</v>
      </c>
      <c r="BK210" s="67">
        <f>IFERROR(((AE210*(12000/5))/((F210*60+G210)*(SUMIFS(팀공격력!X:X,팀공격력!A:A,B210,팀공격력!B:B,D210)+SUMIFS(팀수비력!X:X,팀수비력!A:A,B210,팀수비력!B:B,D210))))*100,"")</f>
        <v>8.5145936587563718</v>
      </c>
      <c r="BL210" s="67">
        <f>IFERROR(100*AK210/(((((F210*60+G210)/(12000/5))*SUMIFS(팀공격력!P:P,팀공격력!A:A,B210,팀공격력!B:B,D210))-K210)),"")</f>
        <v>3.2901952182496164</v>
      </c>
      <c r="BM210" s="67">
        <f>IFERROR(100*((AM210/E210*(2400))/((F210*60+G210)*SUMIFS(팀공격력!AR:AR,팀공격력!A:A,B210,팀공격력!B:B,D210))),"")</f>
        <v>1.9582550326076433</v>
      </c>
      <c r="BN210" s="67">
        <f>IFERROR((AO210*40)/(((F210*60+G210)/60)*(SUMIFS(팀수비력!Q:Q,팀수비력!A:A,B210,팀수비력!B:B,D210)-SUMIFS(팀수비력!N:N,팀수비력!A:A,B210,팀수비력!B:B,D210)))*100,"")</f>
        <v>0</v>
      </c>
      <c r="BO210" s="67">
        <f t="shared" si="164"/>
        <v>3.346720214190094</v>
      </c>
      <c r="BT210" t="s">
        <v>89</v>
      </c>
      <c r="BV210" t="s">
        <v>90</v>
      </c>
      <c r="CF210">
        <v>4</v>
      </c>
      <c r="CG210">
        <v>5</v>
      </c>
    </row>
    <row r="211" spans="1:85" x14ac:dyDescent="0.4">
      <c r="A211" s="11" t="s">
        <v>85</v>
      </c>
      <c r="B211" t="s">
        <v>99</v>
      </c>
      <c r="C211" t="s">
        <v>101</v>
      </c>
      <c r="D211" s="46" t="s">
        <v>306</v>
      </c>
      <c r="E211">
        <v>5</v>
      </c>
      <c r="F211">
        <v>9</v>
      </c>
      <c r="G211" s="1">
        <v>25</v>
      </c>
      <c r="H211" s="16">
        <f t="shared" si="139"/>
        <v>2825</v>
      </c>
      <c r="I211">
        <v>9</v>
      </c>
      <c r="J211" s="17">
        <f t="shared" si="140"/>
        <v>1.8</v>
      </c>
      <c r="K211">
        <v>3</v>
      </c>
      <c r="L211">
        <v>11</v>
      </c>
      <c r="M211" s="17">
        <f t="shared" si="141"/>
        <v>0.6</v>
      </c>
      <c r="N211" s="17">
        <f t="shared" si="142"/>
        <v>2.2000000000000002</v>
      </c>
      <c r="O211" s="18">
        <f t="shared" si="143"/>
        <v>0.27272727272727271</v>
      </c>
      <c r="P211">
        <v>1</v>
      </c>
      <c r="Q211">
        <v>3</v>
      </c>
      <c r="R211" s="17">
        <f t="shared" si="144"/>
        <v>0.2</v>
      </c>
      <c r="S211" s="17">
        <f t="shared" si="145"/>
        <v>0.6</v>
      </c>
      <c r="T211" s="18">
        <f t="shared" si="146"/>
        <v>0.33333333333333331</v>
      </c>
      <c r="U211">
        <v>2</v>
      </c>
      <c r="V211">
        <v>8</v>
      </c>
      <c r="W211" s="17">
        <f t="shared" si="147"/>
        <v>0.4</v>
      </c>
      <c r="X211" s="17">
        <f t="shared" si="148"/>
        <v>1.6</v>
      </c>
      <c r="Y211" s="18">
        <f t="shared" si="149"/>
        <v>0.25</v>
      </c>
      <c r="Z211">
        <v>1</v>
      </c>
      <c r="AA211">
        <v>2</v>
      </c>
      <c r="AB211" s="17">
        <f t="shared" si="150"/>
        <v>0.2</v>
      </c>
      <c r="AC211" s="17">
        <f t="shared" si="151"/>
        <v>0.4</v>
      </c>
      <c r="AD211" s="18">
        <f t="shared" si="152"/>
        <v>0.5</v>
      </c>
      <c r="AE211">
        <v>6</v>
      </c>
      <c r="AF211" s="17">
        <f t="shared" si="153"/>
        <v>1.2</v>
      </c>
      <c r="AG211">
        <v>3</v>
      </c>
      <c r="AH211" s="17">
        <f t="shared" si="154"/>
        <v>0.6</v>
      </c>
      <c r="AI211">
        <v>3</v>
      </c>
      <c r="AJ211" s="17">
        <f t="shared" si="155"/>
        <v>0.6</v>
      </c>
      <c r="AK211">
        <v>1</v>
      </c>
      <c r="AL211" s="17">
        <f t="shared" si="156"/>
        <v>0.2</v>
      </c>
      <c r="AM211">
        <v>2</v>
      </c>
      <c r="AN211" s="17">
        <f t="shared" si="157"/>
        <v>0.4</v>
      </c>
      <c r="AO211">
        <v>2</v>
      </c>
      <c r="AQ211">
        <v>0</v>
      </c>
      <c r="AR211" s="17">
        <f t="shared" si="158"/>
        <v>0</v>
      </c>
      <c r="AS211">
        <v>3</v>
      </c>
      <c r="AT211" s="17">
        <f t="shared" si="159"/>
        <v>0.6</v>
      </c>
      <c r="BD211" s="65">
        <f t="shared" si="160"/>
        <v>37.878787878787875</v>
      </c>
      <c r="BE211" s="65">
        <f t="shared" si="161"/>
        <v>36.363636363636367</v>
      </c>
      <c r="BF211" s="66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6.7479296125052546</v>
      </c>
      <c r="BG211" s="38">
        <f t="shared" si="162"/>
        <v>0.72727272727272729</v>
      </c>
      <c r="BH211" s="38">
        <f t="shared" si="163"/>
        <v>0.18181818181818182</v>
      </c>
      <c r="BI211" s="67">
        <f>IFERROR(((AG211*(12000/5))/((F211*60+G211)*(SUMIFS(팀공격력!X:X,팀공격력!A:A,B211,팀공격력!B:B,D211)+SUMIFS(팀수비력!X:X,팀수비력!A:A,B211,팀수비력!B:B,D211))))*100,"")</f>
        <v>2.1203598721894186</v>
      </c>
      <c r="BJ211" s="67">
        <f>IFERROR(((AI211*(12000/5))/((F211*60+G211)*(SUMIFS(팀공격력!V:V,팀공격력!A:A,B211,팀공격력!B:B,D211)+SUMIFS(팀수비력!W:W,팀수비력!A:A,B211,팀수비력!B:B,D211))))*100,"")</f>
        <v>3.9823008849557522</v>
      </c>
      <c r="BK211" s="67">
        <f>IFERROR(((AE211*(12000/5))/((F211*60+G211)*(SUMIFS(팀공격력!X:X,팀공격력!A:A,B211,팀공격력!B:B,D211)+SUMIFS(팀수비력!X:X,팀수비력!A:A,B211,팀수비력!B:B,D211))))*100,"")</f>
        <v>4.2407197443788371</v>
      </c>
      <c r="BL211" s="67">
        <f>IFERROR(100*AK211/(((((F211*60+G211)/(12000/5))*SUMIFS(팀공격력!P:P,팀공격력!A:A,B211,팀공격력!B:B,D211))-K211)),"")</f>
        <v>1.6906170752324599</v>
      </c>
      <c r="BM211" s="67">
        <f>IFERROR(100*((AM211/E211*(2400))/((F211*60+G211)*SUMIFS(팀공격력!AR:AR,팀공격력!A:A,B211,팀공격력!B:B,D211))),"")</f>
        <v>2.3407559625166336</v>
      </c>
      <c r="BN211" s="67">
        <f>IFERROR((AO211*40)/(((F211*60+G211)/60)*(SUMIFS(팀수비력!Q:Q,팀수비력!A:A,B211,팀수비력!B:B,D211)-SUMIFS(팀수비력!N:N,팀수비력!A:A,B211,팀수비력!B:B,D211)))*100,"")</f>
        <v>2.183952499033146</v>
      </c>
      <c r="BO211" s="67">
        <f t="shared" si="164"/>
        <v>0</v>
      </c>
      <c r="BT211" t="s">
        <v>89</v>
      </c>
      <c r="BV211" t="s">
        <v>102</v>
      </c>
      <c r="CF211">
        <v>1</v>
      </c>
      <c r="CG211">
        <v>4</v>
      </c>
    </row>
    <row r="212" spans="1:85" x14ac:dyDescent="0.4">
      <c r="A212" s="11" t="s">
        <v>85</v>
      </c>
      <c r="B212" t="s">
        <v>99</v>
      </c>
      <c r="C212" t="s">
        <v>103</v>
      </c>
      <c r="D212" s="46" t="s">
        <v>306</v>
      </c>
      <c r="E212">
        <v>2</v>
      </c>
      <c r="F212">
        <v>5</v>
      </c>
      <c r="G212" s="1">
        <v>14</v>
      </c>
      <c r="H212" s="16">
        <f t="shared" si="139"/>
        <v>628</v>
      </c>
      <c r="I212">
        <v>0</v>
      </c>
      <c r="J212" s="17">
        <f t="shared" si="140"/>
        <v>0</v>
      </c>
      <c r="K212">
        <v>0</v>
      </c>
      <c r="L212">
        <v>1</v>
      </c>
      <c r="M212" s="17">
        <f t="shared" si="141"/>
        <v>0</v>
      </c>
      <c r="N212" s="17">
        <f t="shared" si="142"/>
        <v>0.5</v>
      </c>
      <c r="O212" s="18">
        <f t="shared" si="143"/>
        <v>0</v>
      </c>
      <c r="P212">
        <v>0</v>
      </c>
      <c r="Q212">
        <v>0</v>
      </c>
      <c r="R212" s="17">
        <f t="shared" si="144"/>
        <v>0</v>
      </c>
      <c r="S212" s="17">
        <f t="shared" si="145"/>
        <v>0</v>
      </c>
      <c r="T212" s="18" t="e">
        <f t="shared" si="146"/>
        <v>#DIV/0!</v>
      </c>
      <c r="U212">
        <v>0</v>
      </c>
      <c r="V212">
        <v>1</v>
      </c>
      <c r="W212" s="17">
        <f t="shared" si="147"/>
        <v>0</v>
      </c>
      <c r="X212" s="17">
        <f t="shared" si="148"/>
        <v>0.5</v>
      </c>
      <c r="Y212" s="18">
        <f t="shared" si="149"/>
        <v>0</v>
      </c>
      <c r="Z212">
        <v>0</v>
      </c>
      <c r="AA212">
        <v>0</v>
      </c>
      <c r="AB212" s="17">
        <f t="shared" si="150"/>
        <v>0</v>
      </c>
      <c r="AC212" s="17">
        <f t="shared" si="151"/>
        <v>0</v>
      </c>
      <c r="AD212" s="18" t="e">
        <f t="shared" si="152"/>
        <v>#DIV/0!</v>
      </c>
      <c r="AE212">
        <v>1</v>
      </c>
      <c r="AF212" s="17">
        <f t="shared" si="153"/>
        <v>0.5</v>
      </c>
      <c r="AG212">
        <v>0</v>
      </c>
      <c r="AH212" s="17">
        <f t="shared" si="154"/>
        <v>0</v>
      </c>
      <c r="AI212">
        <v>1</v>
      </c>
      <c r="AJ212" s="17">
        <f t="shared" si="155"/>
        <v>0.5</v>
      </c>
      <c r="AK212">
        <v>0</v>
      </c>
      <c r="AL212" s="17">
        <f t="shared" si="156"/>
        <v>0</v>
      </c>
      <c r="AM212">
        <v>0</v>
      </c>
      <c r="AN212" s="17">
        <f t="shared" si="157"/>
        <v>0</v>
      </c>
      <c r="AO212">
        <v>0</v>
      </c>
      <c r="AQ212">
        <v>0</v>
      </c>
      <c r="AR212" s="17">
        <f t="shared" si="158"/>
        <v>0</v>
      </c>
      <c r="AS212">
        <v>0</v>
      </c>
      <c r="AT212" s="17">
        <f t="shared" si="159"/>
        <v>0</v>
      </c>
      <c r="BD212" s="65">
        <f t="shared" si="160"/>
        <v>0</v>
      </c>
      <c r="BE212" s="65">
        <f t="shared" si="161"/>
        <v>0</v>
      </c>
      <c r="BF212" s="66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1.0220517894082728</v>
      </c>
      <c r="BG212" s="38">
        <f t="shared" si="162"/>
        <v>1</v>
      </c>
      <c r="BH212" s="38">
        <f t="shared" si="163"/>
        <v>0</v>
      </c>
      <c r="BI212" s="67">
        <f>IFERROR(((AG212*(12000/5))/((F212*60+G212)*(SUMIFS(팀공격력!X:X,팀공격력!A:A,B212,팀공격력!B:B,D212)+SUMIFS(팀수비력!X:X,팀수비력!A:A,B212,팀수비력!B:B,D212))))*100,"")</f>
        <v>0</v>
      </c>
      <c r="BJ212" s="67">
        <f>IFERROR(((AI212*(12000/5))/((F212*60+G212)*(SUMIFS(팀공격력!V:V,팀공격력!A:A,B212,팀공격력!B:B,D212)+SUMIFS(팀수비력!W:W,팀수비력!A:A,B212,팀수비력!B:B,D212))))*100,"")</f>
        <v>2.3885350318471339</v>
      </c>
      <c r="BK212" s="67">
        <f>IFERROR(((AE212*(12000/5))/((F212*60+G212)*(SUMIFS(팀공격력!X:X,팀공격력!A:A,B212,팀공격력!B:B,D212)+SUMIFS(팀수비력!X:X,팀수비력!A:A,B212,팀수비력!B:B,D212))))*100,"")</f>
        <v>1.2717657407505538</v>
      </c>
      <c r="BL212" s="67">
        <f>IFERROR(100*AK212/(((((F212*60+G212)/(12000/5))*SUMIFS(팀공격력!P:P,팀공격력!A:A,B212,팀공격력!B:B,D212))-K212)),"")</f>
        <v>0</v>
      </c>
      <c r="BM212" s="67">
        <f>IFERROR(100*((AM212/E212*(2400))/((F212*60+G212)*SUMIFS(팀공격력!AR:AR,팀공격력!A:A,B212,팀공격력!B:B,D212))),"")</f>
        <v>0</v>
      </c>
      <c r="BN212" s="67">
        <f>IFERROR((AO212*40)/(((F212*60+G212)/60)*(SUMIFS(팀수비력!Q:Q,팀수비력!A:A,B212,팀수비력!B:B,D212)-SUMIFS(팀수비력!N:N,팀수비력!A:A,B212,팀수비력!B:B,D212)))*100,"")</f>
        <v>0</v>
      </c>
      <c r="BO212" s="67">
        <f t="shared" si="164"/>
        <v>0</v>
      </c>
      <c r="BT212" t="s">
        <v>89</v>
      </c>
      <c r="BV212" t="s">
        <v>90</v>
      </c>
      <c r="CF212">
        <v>0</v>
      </c>
      <c r="CG212">
        <v>2</v>
      </c>
    </row>
    <row r="213" spans="1:85" x14ac:dyDescent="0.4">
      <c r="A213" s="11" t="s">
        <v>85</v>
      </c>
      <c r="B213" t="s">
        <v>99</v>
      </c>
      <c r="C213" t="s">
        <v>104</v>
      </c>
      <c r="D213" s="46" t="s">
        <v>306</v>
      </c>
      <c r="E213">
        <v>2</v>
      </c>
      <c r="F213">
        <v>3</v>
      </c>
      <c r="G213" s="1">
        <v>38</v>
      </c>
      <c r="H213" s="16">
        <f t="shared" si="139"/>
        <v>436</v>
      </c>
      <c r="I213">
        <v>0</v>
      </c>
      <c r="J213" s="17">
        <f t="shared" si="140"/>
        <v>0</v>
      </c>
      <c r="K213">
        <v>0</v>
      </c>
      <c r="L213">
        <v>2</v>
      </c>
      <c r="M213" s="17">
        <f t="shared" si="141"/>
        <v>0</v>
      </c>
      <c r="N213" s="17">
        <f t="shared" si="142"/>
        <v>1</v>
      </c>
      <c r="O213" s="18">
        <f t="shared" si="143"/>
        <v>0</v>
      </c>
      <c r="P213">
        <v>0</v>
      </c>
      <c r="Q213">
        <v>2</v>
      </c>
      <c r="R213" s="17">
        <f t="shared" si="144"/>
        <v>0</v>
      </c>
      <c r="S213" s="17">
        <f t="shared" si="145"/>
        <v>1</v>
      </c>
      <c r="T213" s="18">
        <f t="shared" si="146"/>
        <v>0</v>
      </c>
      <c r="U213">
        <v>0</v>
      </c>
      <c r="V213">
        <v>0</v>
      </c>
      <c r="W213" s="17">
        <f t="shared" si="147"/>
        <v>0</v>
      </c>
      <c r="X213" s="17">
        <f t="shared" si="148"/>
        <v>0</v>
      </c>
      <c r="Y213" s="18" t="e">
        <f t="shared" si="149"/>
        <v>#DIV/0!</v>
      </c>
      <c r="Z213">
        <v>0</v>
      </c>
      <c r="AA213">
        <v>0</v>
      </c>
      <c r="AB213" s="17">
        <f t="shared" si="150"/>
        <v>0</v>
      </c>
      <c r="AC213" s="17">
        <f t="shared" si="151"/>
        <v>0</v>
      </c>
      <c r="AD213" s="18" t="e">
        <f t="shared" si="152"/>
        <v>#DIV/0!</v>
      </c>
      <c r="AE213">
        <v>0</v>
      </c>
      <c r="AF213" s="17">
        <f t="shared" si="153"/>
        <v>0</v>
      </c>
      <c r="AG213">
        <v>0</v>
      </c>
      <c r="AH213" s="17">
        <f t="shared" si="154"/>
        <v>0</v>
      </c>
      <c r="AI213">
        <v>0</v>
      </c>
      <c r="AJ213" s="17">
        <f t="shared" si="155"/>
        <v>0</v>
      </c>
      <c r="AK213">
        <v>0</v>
      </c>
      <c r="AL213" s="17">
        <f t="shared" si="156"/>
        <v>0</v>
      </c>
      <c r="AM213">
        <v>0</v>
      </c>
      <c r="AN213" s="17">
        <f t="shared" si="157"/>
        <v>0</v>
      </c>
      <c r="AO213">
        <v>1</v>
      </c>
      <c r="AQ213">
        <v>0</v>
      </c>
      <c r="AR213" s="17">
        <f t="shared" si="158"/>
        <v>0</v>
      </c>
      <c r="AS213">
        <v>4</v>
      </c>
      <c r="AT213" s="17">
        <f t="shared" si="159"/>
        <v>2</v>
      </c>
      <c r="BD213" s="65">
        <f t="shared" si="160"/>
        <v>0</v>
      </c>
      <c r="BE213" s="65">
        <f t="shared" si="161"/>
        <v>0</v>
      </c>
      <c r="BF213" s="66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2.94425928324952</v>
      </c>
      <c r="BG213" s="38">
        <f t="shared" si="162"/>
        <v>0</v>
      </c>
      <c r="BH213" s="38">
        <f t="shared" si="163"/>
        <v>0</v>
      </c>
      <c r="BI213" s="67">
        <f>IFERROR(((AG213*(12000/5))/((F213*60+G213)*(SUMIFS(팀공격력!X:X,팀공격력!A:A,B213,팀공격력!B:B,D213)+SUMIFS(팀수비력!X:X,팀수비력!A:A,B213,팀수비력!B:B,D213))))*100,"")</f>
        <v>0</v>
      </c>
      <c r="BJ213" s="67">
        <f>IFERROR(((AI213*(12000/5))/((F213*60+G213)*(SUMIFS(팀공격력!V:V,팀공격력!A:A,B213,팀공격력!B:B,D213)+SUMIFS(팀수비력!W:W,팀수비력!A:A,B213,팀수비력!B:B,D213))))*100,"")</f>
        <v>0</v>
      </c>
      <c r="BK213" s="67">
        <f>IFERROR(((AE213*(12000/5))/((F213*60+G213)*(SUMIFS(팀공격력!X:X,팀공격력!A:A,B213,팀공격력!B:B,D213)+SUMIFS(팀수비력!X:X,팀수비력!A:A,B213,팀수비력!B:B,D213))))*100,"")</f>
        <v>0</v>
      </c>
      <c r="BL213" s="67">
        <f>IFERROR(100*AK213/(((((F213*60+G213)/(12000/5))*SUMIFS(팀공격력!P:P,팀공격력!A:A,B213,팀공격력!B:B,D213))-K213)),"")</f>
        <v>0</v>
      </c>
      <c r="BM213" s="67">
        <f>IFERROR(100*((AM213/E213*(2400))/((F213*60+G213)*SUMIFS(팀공격력!AR:AR,팀공격력!A:A,B213,팀공격력!B:B,D213))),"")</f>
        <v>0</v>
      </c>
      <c r="BN213" s="67">
        <f>IFERROR((AO213*40)/(((F213*60+G213)/60)*(SUMIFS(팀수비력!Q:Q,팀수비력!A:A,B213,팀수비력!B:B,D213)-SUMIFS(팀수비력!N:N,팀수비력!A:A,B213,팀수비력!B:B,D213)))*100,"")</f>
        <v>2.8301219310865311</v>
      </c>
      <c r="BO213" s="67">
        <f t="shared" si="164"/>
        <v>0</v>
      </c>
      <c r="BT213" t="s">
        <v>89</v>
      </c>
      <c r="BV213" t="s">
        <v>102</v>
      </c>
      <c r="CF213">
        <v>0</v>
      </c>
      <c r="CG213">
        <v>2</v>
      </c>
    </row>
    <row r="214" spans="1:85" x14ac:dyDescent="0.4">
      <c r="A214" s="11" t="s">
        <v>85</v>
      </c>
      <c r="B214" t="s">
        <v>99</v>
      </c>
      <c r="C214" t="s">
        <v>105</v>
      </c>
      <c r="D214" s="46" t="s">
        <v>306</v>
      </c>
      <c r="E214">
        <v>4</v>
      </c>
      <c r="F214">
        <v>15</v>
      </c>
      <c r="G214" s="1">
        <v>18</v>
      </c>
      <c r="H214" s="16">
        <f t="shared" si="139"/>
        <v>3672</v>
      </c>
      <c r="I214">
        <v>8</v>
      </c>
      <c r="J214" s="17">
        <f t="shared" si="140"/>
        <v>2</v>
      </c>
      <c r="K214">
        <v>3</v>
      </c>
      <c r="L214">
        <v>6</v>
      </c>
      <c r="M214" s="17">
        <f t="shared" si="141"/>
        <v>0.75</v>
      </c>
      <c r="N214" s="17">
        <f t="shared" si="142"/>
        <v>1.5</v>
      </c>
      <c r="O214" s="18">
        <f t="shared" si="143"/>
        <v>0.5</v>
      </c>
      <c r="P214">
        <v>2</v>
      </c>
      <c r="Q214">
        <v>2</v>
      </c>
      <c r="R214" s="17">
        <f t="shared" si="144"/>
        <v>0.5</v>
      </c>
      <c r="S214" s="17">
        <f t="shared" si="145"/>
        <v>0.5</v>
      </c>
      <c r="T214" s="18">
        <f t="shared" si="146"/>
        <v>1</v>
      </c>
      <c r="U214">
        <v>1</v>
      </c>
      <c r="V214">
        <v>4</v>
      </c>
      <c r="W214" s="17">
        <f t="shared" si="147"/>
        <v>0.25</v>
      </c>
      <c r="X214" s="17">
        <f t="shared" si="148"/>
        <v>1</v>
      </c>
      <c r="Y214" s="18">
        <f t="shared" si="149"/>
        <v>0.25</v>
      </c>
      <c r="Z214">
        <v>1</v>
      </c>
      <c r="AA214">
        <v>2</v>
      </c>
      <c r="AB214" s="17">
        <f t="shared" si="150"/>
        <v>0.25</v>
      </c>
      <c r="AC214" s="17">
        <f t="shared" si="151"/>
        <v>0.5</v>
      </c>
      <c r="AD214" s="18">
        <f t="shared" si="152"/>
        <v>0.5</v>
      </c>
      <c r="AE214">
        <v>19</v>
      </c>
      <c r="AF214" s="17">
        <f t="shared" si="153"/>
        <v>4.75</v>
      </c>
      <c r="AG214">
        <v>9</v>
      </c>
      <c r="AH214" s="17">
        <f t="shared" si="154"/>
        <v>2.25</v>
      </c>
      <c r="AI214">
        <v>10</v>
      </c>
      <c r="AJ214" s="17">
        <f t="shared" si="155"/>
        <v>2.5</v>
      </c>
      <c r="AK214">
        <v>5</v>
      </c>
      <c r="AL214" s="17">
        <f t="shared" si="156"/>
        <v>1.25</v>
      </c>
      <c r="AM214">
        <v>1</v>
      </c>
      <c r="AN214" s="17">
        <f t="shared" si="157"/>
        <v>0.25</v>
      </c>
      <c r="AO214">
        <v>0</v>
      </c>
      <c r="AQ214">
        <v>1</v>
      </c>
      <c r="AR214" s="17">
        <f t="shared" si="158"/>
        <v>0.25</v>
      </c>
      <c r="AS214">
        <v>9</v>
      </c>
      <c r="AT214" s="17">
        <f t="shared" si="159"/>
        <v>2.25</v>
      </c>
      <c r="BD214" s="65">
        <f t="shared" si="160"/>
        <v>58.139534883720934</v>
      </c>
      <c r="BE214" s="65">
        <f t="shared" si="161"/>
        <v>58.333333333333336</v>
      </c>
      <c r="BF214" s="66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2.7547747097698014</v>
      </c>
      <c r="BG214" s="38">
        <f t="shared" si="162"/>
        <v>0.66666666666666663</v>
      </c>
      <c r="BH214" s="38">
        <f t="shared" si="163"/>
        <v>0.33333333333333331</v>
      </c>
      <c r="BI214" s="67">
        <f>IFERROR(((AG214*(12000/5))/((F214*60+G214)*(SUMIFS(팀공격력!X:X,팀공격력!A:A,B214,팀공격력!B:B,D214)+SUMIFS(팀수비력!X:X,팀수비력!A:A,B214,팀수비력!B:B,D214))))*100,"")</f>
        <v>3.9150435548595479</v>
      </c>
      <c r="BJ214" s="67">
        <f>IFERROR(((AI214*(12000/5))/((F214*60+G214)*(SUMIFS(팀공격력!V:V,팀공격력!A:A,B214,팀공격력!B:B,D214)+SUMIFS(팀수비력!W:W,팀수비력!A:A,B214,팀수비력!B:B,D214))))*100,"")</f>
        <v>8.1699346405228752</v>
      </c>
      <c r="BK214" s="67">
        <f>IFERROR(((AE214*(12000/5))/((F214*60+G214)*(SUMIFS(팀공격력!X:X,팀공격력!A:A,B214,팀공격력!B:B,D214)+SUMIFS(팀수비력!X:X,팀수비력!A:A,B214,팀수비력!B:B,D214))))*100,"")</f>
        <v>8.2650919491479353</v>
      </c>
      <c r="BL214" s="67">
        <f>IFERROR(100*AK214/(((((F214*60+G214)/(12000/5))*SUMIFS(팀공격력!P:P,팀공격력!A:A,B214,팀공격력!B:B,D214))-K214)),"")</f>
        <v>5.1030822616860583</v>
      </c>
      <c r="BM214" s="67">
        <f>IFERROR(100*((AM214/E214*(2400))/((F214*60+G214)*SUMIFS(팀공격력!AR:AR,팀공격력!A:A,B214,팀공격력!B:B,D214))),"")</f>
        <v>0.90041334342449464</v>
      </c>
      <c r="BN214" s="67">
        <f>IFERROR((AO214*40)/(((F214*60+G214)/60)*(SUMIFS(팀수비력!Q:Q,팀수비력!A:A,B214,팀수비력!B:B,D214)-SUMIFS(팀수비력!N:N,팀수비력!A:A,B214,팀수비력!B:B,D214)))*100,"")</f>
        <v>0</v>
      </c>
      <c r="BO214" s="67">
        <f t="shared" si="164"/>
        <v>12.690355329949238</v>
      </c>
      <c r="BT214" t="s">
        <v>89</v>
      </c>
      <c r="BV214" t="s">
        <v>90</v>
      </c>
      <c r="CF214">
        <v>1</v>
      </c>
      <c r="CG214">
        <v>3</v>
      </c>
    </row>
    <row r="215" spans="1:85" x14ac:dyDescent="0.4">
      <c r="A215" s="11" t="s">
        <v>85</v>
      </c>
      <c r="B215" t="s">
        <v>99</v>
      </c>
      <c r="C215" t="s">
        <v>107</v>
      </c>
      <c r="D215" s="46" t="s">
        <v>306</v>
      </c>
      <c r="E215">
        <v>9</v>
      </c>
      <c r="F215">
        <v>16</v>
      </c>
      <c r="G215" s="1">
        <v>32</v>
      </c>
      <c r="H215" s="16">
        <f t="shared" si="139"/>
        <v>8928</v>
      </c>
      <c r="I215">
        <v>89</v>
      </c>
      <c r="J215" s="17">
        <f t="shared" si="140"/>
        <v>9.8888888888888893</v>
      </c>
      <c r="K215">
        <v>38</v>
      </c>
      <c r="L215">
        <v>67</v>
      </c>
      <c r="M215" s="17">
        <f t="shared" si="141"/>
        <v>4.2222222222222223</v>
      </c>
      <c r="N215" s="17">
        <f t="shared" si="142"/>
        <v>7.4444444444444446</v>
      </c>
      <c r="O215" s="18">
        <f t="shared" si="143"/>
        <v>0.56716417910447758</v>
      </c>
      <c r="P215">
        <v>33</v>
      </c>
      <c r="Q215">
        <v>47</v>
      </c>
      <c r="R215" s="17">
        <f t="shared" si="144"/>
        <v>3.6666666666666665</v>
      </c>
      <c r="S215" s="17">
        <f t="shared" si="145"/>
        <v>5.2222222222222223</v>
      </c>
      <c r="T215" s="18">
        <f t="shared" si="146"/>
        <v>0.7021276595744681</v>
      </c>
      <c r="U215">
        <v>5</v>
      </c>
      <c r="V215">
        <v>20</v>
      </c>
      <c r="W215" s="17">
        <f t="shared" si="147"/>
        <v>0.55555555555555558</v>
      </c>
      <c r="X215" s="17">
        <f t="shared" si="148"/>
        <v>2.2222222222222223</v>
      </c>
      <c r="Y215" s="18">
        <f t="shared" si="149"/>
        <v>0.25</v>
      </c>
      <c r="Z215">
        <v>8</v>
      </c>
      <c r="AA215">
        <v>14</v>
      </c>
      <c r="AB215" s="17">
        <f t="shared" si="150"/>
        <v>0.88888888888888884</v>
      </c>
      <c r="AC215" s="17">
        <f t="shared" si="151"/>
        <v>1.5555555555555556</v>
      </c>
      <c r="AD215" s="18">
        <f t="shared" si="152"/>
        <v>0.5714285714285714</v>
      </c>
      <c r="AE215">
        <v>53</v>
      </c>
      <c r="AF215" s="17">
        <f t="shared" si="153"/>
        <v>5.8888888888888893</v>
      </c>
      <c r="AG215">
        <v>13</v>
      </c>
      <c r="AH215" s="17">
        <f t="shared" si="154"/>
        <v>1.4444444444444444</v>
      </c>
      <c r="AI215">
        <v>40</v>
      </c>
      <c r="AJ215" s="17">
        <f t="shared" si="155"/>
        <v>4.4444444444444446</v>
      </c>
      <c r="AK215">
        <v>5</v>
      </c>
      <c r="AL215" s="17">
        <f t="shared" si="156"/>
        <v>0.55555555555555558</v>
      </c>
      <c r="AM215">
        <v>4</v>
      </c>
      <c r="AN215" s="17">
        <f t="shared" si="157"/>
        <v>0.44444444444444442</v>
      </c>
      <c r="AO215">
        <v>14</v>
      </c>
      <c r="AQ215">
        <v>8</v>
      </c>
      <c r="AR215" s="17">
        <f t="shared" si="158"/>
        <v>0.88888888888888884</v>
      </c>
      <c r="AS215">
        <v>19</v>
      </c>
      <c r="AT215" s="17">
        <f t="shared" si="159"/>
        <v>2.1111111111111112</v>
      </c>
      <c r="BD215" s="65">
        <f t="shared" si="160"/>
        <v>60.825587752870426</v>
      </c>
      <c r="BE215" s="65">
        <f t="shared" si="161"/>
        <v>60.447761194029844</v>
      </c>
      <c r="BF215" s="66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26.256263199304318</v>
      </c>
      <c r="BG215" s="38">
        <f t="shared" si="162"/>
        <v>0.29850746268656714</v>
      </c>
      <c r="BH215" s="38">
        <f t="shared" si="163"/>
        <v>0.20895522388059701</v>
      </c>
      <c r="BI215" s="67">
        <f>IFERROR(((AG215*(12000/5))/((F215*60+G215)*(SUMIFS(팀공격력!X:X,팀공격력!A:A,B215,팀공격력!B:B,D215)+SUMIFS(팀수비력!X:X,팀수비력!A:A,B215,팀수비력!B:B,D215))))*100,"")</f>
        <v>5.2332134614352421</v>
      </c>
      <c r="BJ215" s="67">
        <f>IFERROR(((AI215*(12000/5))/((F215*60+G215)*(SUMIFS(팀공격력!V:V,팀공격력!A:A,B215,팀공격력!B:B,D215)+SUMIFS(팀수비력!W:W,팀수비력!A:A,B215,팀수비력!B:B,D215))))*100,"")</f>
        <v>30.241935483870968</v>
      </c>
      <c r="BK215" s="67">
        <f>IFERROR(((AE215*(12000/5))/((F215*60+G215)*(SUMIFS(팀공격력!X:X,팀공격력!A:A,B215,팀공격력!B:B,D215)+SUMIFS(팀수비력!X:X,팀수비력!A:A,B215,팀수비력!B:B,D215))))*100,"")</f>
        <v>21.335408727389833</v>
      </c>
      <c r="BL215" s="67">
        <f>IFERROR(100*AK215/(((((F215*60+G215)/(12000/5))*SUMIFS(팀공격력!P:P,팀공격력!A:A,B215,팀공격력!B:B,D215))-K215)),"")</f>
        <v>7.0303712035995494</v>
      </c>
      <c r="BM215" s="67">
        <f>IFERROR(100*((AM215/E215*(2400))/((F215*60+G215)*SUMIFS(팀공격력!AR:AR,팀공격력!A:A,B215,팀공격력!B:B,D215))),"")</f>
        <v>1.4813251778919103</v>
      </c>
      <c r="BN215" s="67">
        <f>IFERROR((AO215*40)/(((F215*60+G215)/60)*(SUMIFS(팀수비력!Q:Q,팀수비력!A:A,B215,팀수비력!B:B,D215)-SUMIFS(팀수비력!N:N,팀수비력!A:A,B215,팀수비력!B:B,D215)))*100,"")</f>
        <v>8.7071896508831568</v>
      </c>
      <c r="BO215" s="67">
        <f t="shared" si="164"/>
        <v>9.8570724494825033</v>
      </c>
      <c r="BT215" t="s">
        <v>96</v>
      </c>
      <c r="BV215" t="s">
        <v>102</v>
      </c>
      <c r="CF215">
        <v>4</v>
      </c>
      <c r="CG215">
        <v>5</v>
      </c>
    </row>
    <row r="216" spans="1:85" x14ac:dyDescent="0.4">
      <c r="A216" s="11" t="s">
        <v>85</v>
      </c>
      <c r="B216" t="s">
        <v>99</v>
      </c>
      <c r="C216" t="s">
        <v>108</v>
      </c>
      <c r="D216" s="46" t="s">
        <v>306</v>
      </c>
      <c r="E216">
        <v>6</v>
      </c>
      <c r="F216">
        <v>3</v>
      </c>
      <c r="G216" s="1">
        <v>40</v>
      </c>
      <c r="H216" s="16">
        <f t="shared" si="139"/>
        <v>1320</v>
      </c>
      <c r="I216">
        <v>6</v>
      </c>
      <c r="J216" s="17">
        <f t="shared" si="140"/>
        <v>1</v>
      </c>
      <c r="K216">
        <v>2</v>
      </c>
      <c r="L216">
        <v>2</v>
      </c>
      <c r="M216" s="17">
        <f t="shared" si="141"/>
        <v>0.33333333333333331</v>
      </c>
      <c r="N216" s="17">
        <f t="shared" si="142"/>
        <v>0.33333333333333331</v>
      </c>
      <c r="O216" s="18">
        <f t="shared" si="143"/>
        <v>1</v>
      </c>
      <c r="P216">
        <v>0</v>
      </c>
      <c r="Q216">
        <v>0</v>
      </c>
      <c r="R216" s="17">
        <f t="shared" si="144"/>
        <v>0</v>
      </c>
      <c r="S216" s="17">
        <f t="shared" si="145"/>
        <v>0</v>
      </c>
      <c r="T216" s="18" t="e">
        <f t="shared" si="146"/>
        <v>#DIV/0!</v>
      </c>
      <c r="U216">
        <v>2</v>
      </c>
      <c r="V216">
        <v>2</v>
      </c>
      <c r="W216" s="17">
        <f t="shared" si="147"/>
        <v>0.33333333333333331</v>
      </c>
      <c r="X216" s="17">
        <f t="shared" si="148"/>
        <v>0.33333333333333331</v>
      </c>
      <c r="Y216" s="18">
        <f t="shared" si="149"/>
        <v>1</v>
      </c>
      <c r="Z216">
        <v>0</v>
      </c>
      <c r="AA216">
        <v>0</v>
      </c>
      <c r="AB216" s="17">
        <f t="shared" si="150"/>
        <v>0</v>
      </c>
      <c r="AC216" s="17">
        <f t="shared" si="151"/>
        <v>0</v>
      </c>
      <c r="AD216" s="18" t="e">
        <f t="shared" si="152"/>
        <v>#DIV/0!</v>
      </c>
      <c r="AE216">
        <v>1</v>
      </c>
      <c r="AF216" s="17">
        <f t="shared" si="153"/>
        <v>0.16666666666666666</v>
      </c>
      <c r="AG216">
        <v>0</v>
      </c>
      <c r="AH216" s="17">
        <f t="shared" si="154"/>
        <v>0</v>
      </c>
      <c r="AI216">
        <v>1</v>
      </c>
      <c r="AJ216" s="17">
        <f t="shared" si="155"/>
        <v>0.16666666666666666</v>
      </c>
      <c r="AK216">
        <v>3</v>
      </c>
      <c r="AL216" s="17">
        <f t="shared" si="156"/>
        <v>0.5</v>
      </c>
      <c r="AM216">
        <v>3</v>
      </c>
      <c r="AN216" s="17">
        <f t="shared" si="157"/>
        <v>0.5</v>
      </c>
      <c r="AO216">
        <v>0</v>
      </c>
      <c r="AQ216">
        <v>0</v>
      </c>
      <c r="AR216" s="17">
        <f t="shared" si="158"/>
        <v>0</v>
      </c>
      <c r="AS216">
        <v>4</v>
      </c>
      <c r="AT216" s="17">
        <f t="shared" si="159"/>
        <v>0.66666666666666663</v>
      </c>
      <c r="BD216" s="65">
        <f t="shared" si="160"/>
        <v>150</v>
      </c>
      <c r="BE216" s="65">
        <f t="shared" si="161"/>
        <v>150</v>
      </c>
      <c r="BF216" s="66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2.9174932897654333</v>
      </c>
      <c r="BG216" s="38">
        <f t="shared" si="162"/>
        <v>1</v>
      </c>
      <c r="BH216" s="38">
        <f t="shared" si="163"/>
        <v>0</v>
      </c>
      <c r="BI216" s="67">
        <f>IFERROR(((AG216*(12000/5))/((F216*60+G216)*(SUMIFS(팀공격력!X:X,팀공격력!A:A,B216,팀공격력!B:B,D216)+SUMIFS(팀수비력!X:X,팀수비력!A:A,B216,팀수비력!B:B,D216))))*100,"")</f>
        <v>0</v>
      </c>
      <c r="BJ216" s="67">
        <f>IFERROR(((AI216*(12000/5))/((F216*60+G216)*(SUMIFS(팀공격력!V:V,팀공격력!A:A,B216,팀공격력!B:B,D216)+SUMIFS(팀수비력!W:W,팀수비력!A:A,B216,팀수비력!B:B,D216))))*100,"")</f>
        <v>3.4090909090909087</v>
      </c>
      <c r="BK216" s="67">
        <f>IFERROR(((AE216*(12000/5))/((F216*60+G216)*(SUMIFS(팀공격력!X:X,팀공격력!A:A,B216,팀공격력!B:B,D216)+SUMIFS(팀수비력!X:X,팀수비력!A:A,B216,팀수비력!B:B,D216))))*100,"")</f>
        <v>1.8151565572530632</v>
      </c>
      <c r="BL216" s="67">
        <f>IFERROR(100*AK216/(((((F216*60+G216)/(12000/5))*SUMIFS(팀공격력!P:P,팀공격력!A:A,B216,팀공격력!B:B,D216))-K216)),"")</f>
        <v>13.513513513513514</v>
      </c>
      <c r="BM216" s="67">
        <f>IFERROR(100*((AM216/E216*(2400))/((F216*60+G216)*SUMIFS(팀공격력!AR:AR,팀공격력!A:A,B216,팀공격력!B:B,D216))),"")</f>
        <v>7.514358629669875</v>
      </c>
      <c r="BN216" s="67">
        <f>IFERROR((AO216*40)/(((F216*60+G216)/60)*(SUMIFS(팀수비력!Q:Q,팀수비력!A:A,B216,팀수비력!B:B,D216)-SUMIFS(팀수비력!N:N,팀수비력!A:A,B216,팀수비력!B:B,D216)))*100,"")</f>
        <v>0</v>
      </c>
      <c r="BO216" s="67">
        <f t="shared" si="164"/>
        <v>0</v>
      </c>
      <c r="BT216" t="s">
        <v>89</v>
      </c>
      <c r="BV216" t="s">
        <v>90</v>
      </c>
      <c r="CF216">
        <v>4</v>
      </c>
      <c r="CG216">
        <v>2</v>
      </c>
    </row>
    <row r="217" spans="1:85" x14ac:dyDescent="0.4">
      <c r="A217" s="11" t="s">
        <v>85</v>
      </c>
      <c r="B217" t="s">
        <v>99</v>
      </c>
      <c r="C217" t="s">
        <v>109</v>
      </c>
      <c r="D217" s="46" t="s">
        <v>306</v>
      </c>
      <c r="E217">
        <v>5</v>
      </c>
      <c r="F217">
        <v>5</v>
      </c>
      <c r="G217" s="1">
        <v>4</v>
      </c>
      <c r="H217" s="16">
        <f t="shared" si="139"/>
        <v>1520</v>
      </c>
      <c r="I217">
        <v>6</v>
      </c>
      <c r="J217" s="17">
        <f t="shared" si="140"/>
        <v>1.2</v>
      </c>
      <c r="K217">
        <v>2</v>
      </c>
      <c r="L217">
        <v>8</v>
      </c>
      <c r="M217" s="17">
        <f t="shared" si="141"/>
        <v>0.4</v>
      </c>
      <c r="N217" s="17">
        <f t="shared" si="142"/>
        <v>1.6</v>
      </c>
      <c r="O217" s="18">
        <f t="shared" si="143"/>
        <v>0.25</v>
      </c>
      <c r="P217">
        <v>0</v>
      </c>
      <c r="Q217">
        <v>1</v>
      </c>
      <c r="R217" s="17">
        <f t="shared" si="144"/>
        <v>0</v>
      </c>
      <c r="S217" s="17">
        <f t="shared" si="145"/>
        <v>0.2</v>
      </c>
      <c r="T217" s="18">
        <f t="shared" si="146"/>
        <v>0</v>
      </c>
      <c r="U217">
        <v>2</v>
      </c>
      <c r="V217">
        <v>7</v>
      </c>
      <c r="W217" s="17">
        <f t="shared" si="147"/>
        <v>0.4</v>
      </c>
      <c r="X217" s="17">
        <f t="shared" si="148"/>
        <v>1.4</v>
      </c>
      <c r="Y217" s="18">
        <f t="shared" si="149"/>
        <v>0.2857142857142857</v>
      </c>
      <c r="Z217">
        <v>0</v>
      </c>
      <c r="AA217">
        <v>0</v>
      </c>
      <c r="AB217" s="17">
        <f t="shared" si="150"/>
        <v>0</v>
      </c>
      <c r="AC217" s="17">
        <f t="shared" si="151"/>
        <v>0</v>
      </c>
      <c r="AD217" s="18" t="e">
        <f t="shared" si="152"/>
        <v>#DIV/0!</v>
      </c>
      <c r="AE217">
        <v>1</v>
      </c>
      <c r="AF217" s="17">
        <f t="shared" si="153"/>
        <v>0.2</v>
      </c>
      <c r="AG217">
        <v>0</v>
      </c>
      <c r="AH217" s="17">
        <f t="shared" si="154"/>
        <v>0</v>
      </c>
      <c r="AI217">
        <v>1</v>
      </c>
      <c r="AJ217" s="17">
        <f t="shared" si="155"/>
        <v>0.2</v>
      </c>
      <c r="AK217">
        <v>0</v>
      </c>
      <c r="AL217" s="17">
        <f t="shared" si="156"/>
        <v>0</v>
      </c>
      <c r="AM217">
        <v>1</v>
      </c>
      <c r="AN217" s="17">
        <f t="shared" si="157"/>
        <v>0.2</v>
      </c>
      <c r="AO217">
        <v>0</v>
      </c>
      <c r="AQ217">
        <v>0</v>
      </c>
      <c r="AR217" s="17">
        <f t="shared" si="158"/>
        <v>0</v>
      </c>
      <c r="AS217">
        <v>5</v>
      </c>
      <c r="AT217" s="17">
        <f t="shared" si="159"/>
        <v>1</v>
      </c>
      <c r="BD217" s="65">
        <f t="shared" si="160"/>
        <v>37.5</v>
      </c>
      <c r="BE217" s="65">
        <f t="shared" si="161"/>
        <v>37.5</v>
      </c>
      <c r="BF217" s="66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8.4453753124788857</v>
      </c>
      <c r="BG217" s="38">
        <f t="shared" si="162"/>
        <v>0.875</v>
      </c>
      <c r="BH217" s="38">
        <f t="shared" si="163"/>
        <v>0</v>
      </c>
      <c r="BI217" s="67">
        <f>IFERROR(((AG217*(12000/5))/((F217*60+G217)*(SUMIFS(팀공격력!X:X,팀공격력!A:A,B217,팀공격력!B:B,D217)+SUMIFS(팀수비력!X:X,팀수비력!A:A,B217,팀수비력!B:B,D217))))*100,"")</f>
        <v>0</v>
      </c>
      <c r="BJ217" s="67">
        <f>IFERROR(((AI217*(12000/5))/((F217*60+G217)*(SUMIFS(팀공격력!V:V,팀공격력!A:A,B217,팀공격력!B:B,D217)+SUMIFS(팀수비력!W:W,팀수비력!A:A,B217,팀수비력!B:B,D217))))*100,"")</f>
        <v>2.4671052631578947</v>
      </c>
      <c r="BK217" s="67">
        <f>IFERROR(((AE217*(12000/5))/((F217*60+G217)*(SUMIFS(팀공격력!X:X,팀공격력!A:A,B217,팀공격력!B:B,D217)+SUMIFS(팀수비력!X:X,팀수비력!A:A,B217,팀수비력!B:B,D217))))*100,"")</f>
        <v>1.3136001401173483</v>
      </c>
      <c r="BL217" s="67">
        <f>IFERROR(100*AK217/(((((F217*60+G217)/(12000/5))*SUMIFS(팀공격력!P:P,팀공격력!A:A,B217,팀공격력!B:B,D217))-K217)),"")</f>
        <v>0</v>
      </c>
      <c r="BM217" s="67">
        <f>IFERROR(100*((AM217/E217*(2400))/((F217*60+G217)*SUMIFS(팀공격력!AR:AR,팀공격력!A:A,B217,팀공격력!B:B,D217))),"")</f>
        <v>2.1752090770097006</v>
      </c>
      <c r="BN217" s="67">
        <f>IFERROR((AO217*40)/(((F217*60+G217)/60)*(SUMIFS(팀수비력!Q:Q,팀수비력!A:A,B217,팀수비력!B:B,D217)-SUMIFS(팀수비력!N:N,팀수비력!A:A,B217,팀수비력!B:B,D217)))*100,"")</f>
        <v>0</v>
      </c>
      <c r="BO217" s="67">
        <f t="shared" si="164"/>
        <v>0</v>
      </c>
      <c r="BT217" t="s">
        <v>89</v>
      </c>
      <c r="BV217" t="s">
        <v>90</v>
      </c>
      <c r="CF217">
        <v>3</v>
      </c>
      <c r="CG217">
        <v>2</v>
      </c>
    </row>
    <row r="218" spans="1:85" x14ac:dyDescent="0.4">
      <c r="A218" s="11" t="s">
        <v>85</v>
      </c>
      <c r="B218" t="s">
        <v>99</v>
      </c>
      <c r="C218" t="s">
        <v>110</v>
      </c>
      <c r="D218" s="46" t="s">
        <v>306</v>
      </c>
      <c r="E218">
        <v>3</v>
      </c>
      <c r="F218">
        <v>4</v>
      </c>
      <c r="G218" s="1">
        <v>55</v>
      </c>
      <c r="H218" s="16">
        <f t="shared" si="139"/>
        <v>885</v>
      </c>
      <c r="I218">
        <v>3</v>
      </c>
      <c r="J218" s="17">
        <f t="shared" si="140"/>
        <v>1</v>
      </c>
      <c r="K218">
        <v>1</v>
      </c>
      <c r="L218">
        <v>5</v>
      </c>
      <c r="M218" s="17">
        <f t="shared" si="141"/>
        <v>0.33333333333333331</v>
      </c>
      <c r="N218" s="17">
        <f t="shared" si="142"/>
        <v>1.6666666666666667</v>
      </c>
      <c r="O218" s="18">
        <f t="shared" si="143"/>
        <v>0.2</v>
      </c>
      <c r="P218">
        <v>0</v>
      </c>
      <c r="Q218">
        <v>0</v>
      </c>
      <c r="R218" s="17">
        <f t="shared" si="144"/>
        <v>0</v>
      </c>
      <c r="S218" s="17">
        <f t="shared" si="145"/>
        <v>0</v>
      </c>
      <c r="T218" s="18" t="e">
        <f t="shared" si="146"/>
        <v>#DIV/0!</v>
      </c>
      <c r="U218">
        <v>1</v>
      </c>
      <c r="V218">
        <v>5</v>
      </c>
      <c r="W218" s="17">
        <f t="shared" si="147"/>
        <v>0.33333333333333331</v>
      </c>
      <c r="X218" s="17">
        <f t="shared" si="148"/>
        <v>1.6666666666666667</v>
      </c>
      <c r="Y218" s="18">
        <f t="shared" si="149"/>
        <v>0.2</v>
      </c>
      <c r="Z218">
        <v>0</v>
      </c>
      <c r="AA218">
        <v>0</v>
      </c>
      <c r="AB218" s="17">
        <f t="shared" si="150"/>
        <v>0</v>
      </c>
      <c r="AC218" s="17">
        <f t="shared" si="151"/>
        <v>0</v>
      </c>
      <c r="AD218" s="18" t="e">
        <f t="shared" si="152"/>
        <v>#DIV/0!</v>
      </c>
      <c r="AE218">
        <v>0</v>
      </c>
      <c r="AF218" s="17">
        <f t="shared" si="153"/>
        <v>0</v>
      </c>
      <c r="AG218">
        <v>0</v>
      </c>
      <c r="AH218" s="17">
        <f t="shared" si="154"/>
        <v>0</v>
      </c>
      <c r="AI218">
        <v>0</v>
      </c>
      <c r="AJ218" s="17">
        <f t="shared" si="155"/>
        <v>0</v>
      </c>
      <c r="AK218">
        <v>1</v>
      </c>
      <c r="AL218" s="17">
        <f t="shared" si="156"/>
        <v>0.33333333333333331</v>
      </c>
      <c r="AM218">
        <v>0</v>
      </c>
      <c r="AN218" s="17">
        <f t="shared" si="157"/>
        <v>0</v>
      </c>
      <c r="AO218">
        <v>0</v>
      </c>
      <c r="AQ218">
        <v>0</v>
      </c>
      <c r="AR218" s="17">
        <f t="shared" si="158"/>
        <v>0</v>
      </c>
      <c r="AS218">
        <v>1</v>
      </c>
      <c r="AT218" s="17">
        <f t="shared" si="159"/>
        <v>0.33333333333333331</v>
      </c>
      <c r="BD218" s="65">
        <f t="shared" si="160"/>
        <v>30</v>
      </c>
      <c r="BE218" s="65">
        <f t="shared" si="161"/>
        <v>30</v>
      </c>
      <c r="BF218" s="66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5.4393942690541977</v>
      </c>
      <c r="BG218" s="38">
        <f t="shared" si="162"/>
        <v>1</v>
      </c>
      <c r="BH218" s="38">
        <f t="shared" si="163"/>
        <v>0</v>
      </c>
      <c r="BI218" s="67">
        <f>IFERROR(((AG218*(12000/5))/((F218*60+G218)*(SUMIFS(팀공격력!X:X,팀공격력!A:A,B218,팀공격력!B:B,D218)+SUMIFS(팀수비력!X:X,팀수비력!A:A,B218,팀수비력!B:B,D218))))*100,"")</f>
        <v>0</v>
      </c>
      <c r="BJ218" s="67">
        <f>IFERROR(((AI218*(12000/5))/((F218*60+G218)*(SUMIFS(팀공격력!V:V,팀공격력!A:A,B218,팀공격력!B:B,D218)+SUMIFS(팀수비력!W:W,팀수비력!A:A,B218,팀수비력!B:B,D218))))*100,"")</f>
        <v>0</v>
      </c>
      <c r="BK218" s="67">
        <f>IFERROR(((AE218*(12000/5))/((F218*60+G218)*(SUMIFS(팀공격력!X:X,팀공격력!A:A,B218,팀공격력!B:B,D218)+SUMIFS(팀수비력!X:X,팀수비력!A:A,B218,팀수비력!B:B,D218))))*100,"")</f>
        <v>0</v>
      </c>
      <c r="BL218" s="67">
        <f>IFERROR(100*AK218/(((((F218*60+G218)/(12000/5))*SUMIFS(팀공격력!P:P,팀공격력!A:A,B218,팀공격력!B:B,D218))-K218)),"")</f>
        <v>3.1796502384737684</v>
      </c>
      <c r="BM218" s="67">
        <f>IFERROR(100*((AM218/E218*(2400))/((F218*60+G218)*SUMIFS(팀공격력!AR:AR,팀공격력!A:A,B218,팀공격력!B:B,D218))),"")</f>
        <v>0</v>
      </c>
      <c r="BN218" s="67">
        <f>IFERROR((AO218*40)/(((F218*60+G218)/60)*(SUMIFS(팀수비력!Q:Q,팀수비력!A:A,B218,팀수비력!B:B,D218)-SUMIFS(팀수비력!N:N,팀수비력!A:A,B218,팀수비력!B:B,D218)))*100,"")</f>
        <v>0</v>
      </c>
      <c r="BO218" s="67">
        <f t="shared" si="164"/>
        <v>0</v>
      </c>
      <c r="BT218" t="s">
        <v>89</v>
      </c>
      <c r="BV218" t="s">
        <v>90</v>
      </c>
      <c r="CF218">
        <v>1</v>
      </c>
      <c r="CG218">
        <v>2</v>
      </c>
    </row>
    <row r="219" spans="1:85" x14ac:dyDescent="0.4">
      <c r="A219" s="11" t="s">
        <v>85</v>
      </c>
      <c r="B219" t="s">
        <v>99</v>
      </c>
      <c r="C219" t="s">
        <v>111</v>
      </c>
      <c r="D219" s="46" t="s">
        <v>306</v>
      </c>
      <c r="E219">
        <v>8</v>
      </c>
      <c r="F219">
        <v>11</v>
      </c>
      <c r="G219" s="1">
        <v>10</v>
      </c>
      <c r="H219" s="16">
        <f t="shared" si="139"/>
        <v>5360</v>
      </c>
      <c r="I219">
        <v>20</v>
      </c>
      <c r="J219" s="17">
        <f t="shared" si="140"/>
        <v>2.5</v>
      </c>
      <c r="K219">
        <v>6</v>
      </c>
      <c r="L219">
        <v>12</v>
      </c>
      <c r="M219" s="17">
        <f t="shared" si="141"/>
        <v>0.75</v>
      </c>
      <c r="N219" s="17">
        <f t="shared" si="142"/>
        <v>1.5</v>
      </c>
      <c r="O219" s="18">
        <f t="shared" si="143"/>
        <v>0.5</v>
      </c>
      <c r="P219">
        <v>1</v>
      </c>
      <c r="Q219">
        <v>2</v>
      </c>
      <c r="R219" s="17">
        <f t="shared" si="144"/>
        <v>0.125</v>
      </c>
      <c r="S219" s="17">
        <f t="shared" si="145"/>
        <v>0.25</v>
      </c>
      <c r="T219" s="18">
        <f t="shared" si="146"/>
        <v>0.5</v>
      </c>
      <c r="U219">
        <v>5</v>
      </c>
      <c r="V219">
        <v>10</v>
      </c>
      <c r="W219" s="17">
        <f t="shared" si="147"/>
        <v>0.625</v>
      </c>
      <c r="X219" s="17">
        <f t="shared" si="148"/>
        <v>1.25</v>
      </c>
      <c r="Y219" s="18">
        <f t="shared" si="149"/>
        <v>0.5</v>
      </c>
      <c r="Z219">
        <v>3</v>
      </c>
      <c r="AA219">
        <v>3</v>
      </c>
      <c r="AB219" s="17">
        <f t="shared" si="150"/>
        <v>0.375</v>
      </c>
      <c r="AC219" s="17">
        <f t="shared" si="151"/>
        <v>0.375</v>
      </c>
      <c r="AD219" s="18">
        <f t="shared" si="152"/>
        <v>1</v>
      </c>
      <c r="AE219">
        <v>6</v>
      </c>
      <c r="AF219" s="17">
        <f t="shared" si="153"/>
        <v>0.75</v>
      </c>
      <c r="AG219">
        <v>3</v>
      </c>
      <c r="AH219" s="17">
        <f t="shared" si="154"/>
        <v>0.375</v>
      </c>
      <c r="AI219">
        <v>3</v>
      </c>
      <c r="AJ219" s="17">
        <f t="shared" si="155"/>
        <v>0.375</v>
      </c>
      <c r="AK219">
        <v>1</v>
      </c>
      <c r="AL219" s="17">
        <f t="shared" si="156"/>
        <v>0.125</v>
      </c>
      <c r="AM219">
        <v>0</v>
      </c>
      <c r="AN219" s="17">
        <f t="shared" si="157"/>
        <v>0</v>
      </c>
      <c r="AO219">
        <v>0</v>
      </c>
      <c r="AQ219">
        <v>1</v>
      </c>
      <c r="AR219" s="17">
        <f t="shared" si="158"/>
        <v>0.125</v>
      </c>
      <c r="AS219">
        <v>19</v>
      </c>
      <c r="AT219" s="17">
        <f t="shared" si="159"/>
        <v>2.375</v>
      </c>
      <c r="BD219" s="65">
        <f t="shared" si="160"/>
        <v>75.075075075075077</v>
      </c>
      <c r="BE219" s="65">
        <f t="shared" si="161"/>
        <v>70.833333333333343</v>
      </c>
      <c r="BF219" s="66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6.8591573582664331</v>
      </c>
      <c r="BG219" s="38">
        <f t="shared" si="162"/>
        <v>0.83333333333333337</v>
      </c>
      <c r="BH219" s="38">
        <f t="shared" si="163"/>
        <v>0.25</v>
      </c>
      <c r="BI219" s="67">
        <f>IFERROR(((AG219*(12000/5))/((F219*60+G219)*(SUMIFS(팀공격력!X:X,팀공격력!A:A,B219,팀공격력!B:B,D219)+SUMIFS(팀수비력!X:X,팀수비력!A:A,B219,팀수비력!B:B,D219))))*100,"")</f>
        <v>1.7880646683388384</v>
      </c>
      <c r="BJ219" s="67">
        <f>IFERROR(((AI219*(12000/5))/((F219*60+G219)*(SUMIFS(팀공격력!V:V,팀공격력!A:A,B219,팀공격력!B:B,D219)+SUMIFS(팀수비력!W:W,팀수비력!A:A,B219,팀수비력!B:B,D219))))*100,"")</f>
        <v>3.3582089552238807</v>
      </c>
      <c r="BK219" s="67">
        <f>IFERROR(((AE219*(12000/5))/((F219*60+G219)*(SUMIFS(팀공격력!X:X,팀공격력!A:A,B219,팀공격력!B:B,D219)+SUMIFS(팀수비력!X:X,팀수비력!A:A,B219,팀수비력!B:B,D219))))*100,"")</f>
        <v>3.5761293366776767</v>
      </c>
      <c r="BL219" s="67">
        <f>IFERROR(100*AK219/(((((F219*60+G219)/(12000/5))*SUMIFS(팀공격력!P:P,팀공격력!A:A,B219,팀공격력!B:B,D219))-K219)),"")</f>
        <v>1.4771048744460855</v>
      </c>
      <c r="BM219" s="67">
        <f>IFERROR(100*((AM219/E219*(2400))/((F219*60+G219)*SUMIFS(팀공격력!AR:AR,팀공격력!A:A,B219,팀공격력!B:B,D219))),"")</f>
        <v>0</v>
      </c>
      <c r="BN219" s="67">
        <f>IFERROR((AO219*40)/(((F219*60+G219)/60)*(SUMIFS(팀수비력!Q:Q,팀수비력!A:A,B219,팀수비력!B:B,D219)-SUMIFS(팀수비력!N:N,팀수비력!A:A,B219,팀수비력!B:B,D219)))*100,"")</f>
        <v>0</v>
      </c>
      <c r="BO219" s="67">
        <f t="shared" si="164"/>
        <v>6.983240223463687</v>
      </c>
      <c r="BT219" t="s">
        <v>89</v>
      </c>
      <c r="BV219" t="s">
        <v>93</v>
      </c>
      <c r="CF219">
        <v>4</v>
      </c>
      <c r="CG219">
        <v>4</v>
      </c>
    </row>
    <row r="220" spans="1:85" x14ac:dyDescent="0.4">
      <c r="A220" s="11" t="s">
        <v>85</v>
      </c>
      <c r="B220" t="s">
        <v>99</v>
      </c>
      <c r="C220" s="11" t="s">
        <v>114</v>
      </c>
      <c r="D220" s="46" t="s">
        <v>306</v>
      </c>
      <c r="E220">
        <v>9</v>
      </c>
      <c r="F220">
        <v>37</v>
      </c>
      <c r="G220" s="1">
        <v>23</v>
      </c>
      <c r="H220" s="16">
        <f t="shared" si="139"/>
        <v>20187</v>
      </c>
      <c r="I220">
        <v>188</v>
      </c>
      <c r="J220" s="17">
        <f t="shared" si="140"/>
        <v>20.888888888888889</v>
      </c>
      <c r="K220">
        <v>61</v>
      </c>
      <c r="L220">
        <v>131</v>
      </c>
      <c r="M220" s="17">
        <f t="shared" si="141"/>
        <v>6.7777777777777777</v>
      </c>
      <c r="N220" s="17">
        <f t="shared" si="142"/>
        <v>14.555555555555555</v>
      </c>
      <c r="O220" s="18">
        <f t="shared" si="143"/>
        <v>0.46564885496183206</v>
      </c>
      <c r="P220">
        <v>31</v>
      </c>
      <c r="Q220">
        <v>62</v>
      </c>
      <c r="R220" s="17">
        <f t="shared" si="144"/>
        <v>3.4444444444444446</v>
      </c>
      <c r="S220" s="17">
        <f t="shared" si="145"/>
        <v>6.8888888888888893</v>
      </c>
      <c r="T220" s="18">
        <f t="shared" si="146"/>
        <v>0.5</v>
      </c>
      <c r="U220">
        <v>30</v>
      </c>
      <c r="V220">
        <v>69</v>
      </c>
      <c r="W220" s="17">
        <f t="shared" si="147"/>
        <v>3.3333333333333335</v>
      </c>
      <c r="X220" s="17">
        <f t="shared" si="148"/>
        <v>7.666666666666667</v>
      </c>
      <c r="Y220" s="18">
        <f t="shared" si="149"/>
        <v>0.43478260869565216</v>
      </c>
      <c r="Z220">
        <v>36</v>
      </c>
      <c r="AA220">
        <v>41</v>
      </c>
      <c r="AB220" s="17">
        <f t="shared" si="150"/>
        <v>4</v>
      </c>
      <c r="AC220" s="17">
        <f t="shared" si="151"/>
        <v>4.5555555555555554</v>
      </c>
      <c r="AD220" s="18">
        <f t="shared" si="152"/>
        <v>0.87804878048780488</v>
      </c>
      <c r="AE220">
        <v>31</v>
      </c>
      <c r="AF220" s="17">
        <f t="shared" si="153"/>
        <v>3.4444444444444446</v>
      </c>
      <c r="AG220">
        <v>5</v>
      </c>
      <c r="AH220" s="17">
        <f t="shared" si="154"/>
        <v>0.55555555555555558</v>
      </c>
      <c r="AI220">
        <v>26</v>
      </c>
      <c r="AJ220" s="17">
        <f t="shared" si="155"/>
        <v>2.8888888888888888</v>
      </c>
      <c r="AK220">
        <v>65</v>
      </c>
      <c r="AL220" s="17">
        <f t="shared" si="156"/>
        <v>7.2222222222222223</v>
      </c>
      <c r="AM220">
        <v>13</v>
      </c>
      <c r="AN220" s="17">
        <f t="shared" si="157"/>
        <v>1.4444444444444444</v>
      </c>
      <c r="AO220">
        <v>2</v>
      </c>
      <c r="AQ220">
        <v>22</v>
      </c>
      <c r="AR220" s="17">
        <f t="shared" si="158"/>
        <v>2.4444444444444446</v>
      </c>
      <c r="AS220">
        <v>19</v>
      </c>
      <c r="AT220" s="17">
        <f t="shared" si="159"/>
        <v>2.1111111111111112</v>
      </c>
      <c r="BD220" s="65">
        <f t="shared" si="160"/>
        <v>63.070316693505099</v>
      </c>
      <c r="BE220" s="65">
        <f t="shared" si="161"/>
        <v>58.015267175572518</v>
      </c>
      <c r="BF220" s="66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24.472084596951746</v>
      </c>
      <c r="BG220" s="38">
        <f t="shared" si="162"/>
        <v>0.52671755725190839</v>
      </c>
      <c r="BH220" s="38">
        <f t="shared" si="163"/>
        <v>0.31297709923664124</v>
      </c>
      <c r="BI220" s="67">
        <f>IFERROR(((AG220*(12000/5))/((F220*60+G220)*(SUMIFS(팀공격력!X:X,팀공격력!A:A,B220,팀공격력!B:B,D220)+SUMIFS(팀수비력!X:X,팀수비력!A:A,B220,팀수비력!B:B,D220))))*100,"")</f>
        <v>0.89017931920569293</v>
      </c>
      <c r="BJ220" s="67">
        <f>IFERROR(((AI220*(12000/5))/((F220*60+G220)*(SUMIFS(팀공격력!V:V,팀공격력!A:A,B220,팀공격력!B:B,D220)+SUMIFS(팀수비력!W:W,팀수비력!A:A,B220,팀수비력!B:B,D220))))*100,"")</f>
        <v>8.6937137761925989</v>
      </c>
      <c r="BK220" s="67">
        <f>IFERROR(((AE220*(12000/5))/((F220*60+G220)*(SUMIFS(팀공격력!X:X,팀공격력!A:A,B220,팀공격력!B:B,D220)+SUMIFS(팀수비력!X:X,팀수비력!A:A,B220,팀수비력!B:B,D220))))*100,"")</f>
        <v>5.5191117790752964</v>
      </c>
      <c r="BL220" s="67">
        <f>IFERROR(100*AK220/(((((F220*60+G220)/(12000/5))*SUMIFS(팀공격력!P:P,팀공격력!A:A,B220,팀공격력!B:B,D220))-K220)),"")</f>
        <v>34.997038712108974</v>
      </c>
      <c r="BM220" s="67">
        <f>IFERROR(100*((AM220/E220*(2400))/((F220*60+G220)*SUMIFS(팀공격력!AR:AR,팀공격력!A:A,B220,팀공격력!B:B,D220))),"")</f>
        <v>2.1291985615352296</v>
      </c>
      <c r="BN220" s="67">
        <f>IFERROR((AO220*40)/(((F220*60+G220)/60)*(SUMIFS(팀수비력!Q:Q,팀수비력!A:A,B220,팀수비력!B:B,D220)-SUMIFS(팀수비력!N:N,팀수비력!A:A,B220,팀수비력!B:B,D220)))*100,"")</f>
        <v>0.55012624251169306</v>
      </c>
      <c r="BO220" s="67">
        <f t="shared" si="164"/>
        <v>12.862488306828812</v>
      </c>
      <c r="BT220" t="s">
        <v>89</v>
      </c>
      <c r="BV220" t="s">
        <v>90</v>
      </c>
      <c r="CF220">
        <v>4</v>
      </c>
      <c r="CG220">
        <v>5</v>
      </c>
    </row>
    <row r="221" spans="1:85" x14ac:dyDescent="0.4">
      <c r="A221" s="11" t="s">
        <v>85</v>
      </c>
      <c r="B221" t="s">
        <v>99</v>
      </c>
      <c r="C221" t="s">
        <v>116</v>
      </c>
      <c r="D221" s="46" t="s">
        <v>306</v>
      </c>
      <c r="E221">
        <v>9</v>
      </c>
      <c r="F221">
        <v>23</v>
      </c>
      <c r="G221" s="1">
        <v>28</v>
      </c>
      <c r="H221" s="16">
        <f t="shared" si="139"/>
        <v>12672</v>
      </c>
      <c r="I221">
        <v>134</v>
      </c>
      <c r="J221" s="17">
        <f t="shared" si="140"/>
        <v>14.888888888888889</v>
      </c>
      <c r="K221">
        <v>52</v>
      </c>
      <c r="L221">
        <v>129</v>
      </c>
      <c r="M221" s="17">
        <f t="shared" si="141"/>
        <v>5.7777777777777777</v>
      </c>
      <c r="N221" s="17">
        <f t="shared" si="142"/>
        <v>14.333333333333334</v>
      </c>
      <c r="O221" s="18">
        <f t="shared" si="143"/>
        <v>0.40310077519379844</v>
      </c>
      <c r="P221">
        <v>37</v>
      </c>
      <c r="Q221">
        <v>72</v>
      </c>
      <c r="R221" s="17">
        <f t="shared" si="144"/>
        <v>4.1111111111111107</v>
      </c>
      <c r="S221" s="17">
        <f t="shared" si="145"/>
        <v>8</v>
      </c>
      <c r="T221" s="18">
        <f t="shared" si="146"/>
        <v>0.51388888888888884</v>
      </c>
      <c r="U221">
        <v>15</v>
      </c>
      <c r="V221">
        <v>57</v>
      </c>
      <c r="W221" s="17">
        <f t="shared" si="147"/>
        <v>1.6666666666666667</v>
      </c>
      <c r="X221" s="17">
        <f t="shared" si="148"/>
        <v>6.333333333333333</v>
      </c>
      <c r="Y221" s="18">
        <f t="shared" si="149"/>
        <v>0.26315789473684209</v>
      </c>
      <c r="Z221">
        <v>15</v>
      </c>
      <c r="AA221">
        <v>21</v>
      </c>
      <c r="AB221" s="17">
        <f t="shared" si="150"/>
        <v>1.6666666666666667</v>
      </c>
      <c r="AC221" s="17">
        <f t="shared" si="151"/>
        <v>2.3333333333333335</v>
      </c>
      <c r="AD221" s="18">
        <f t="shared" si="152"/>
        <v>0.7142857142857143</v>
      </c>
      <c r="AE221">
        <v>54</v>
      </c>
      <c r="AF221" s="17">
        <f t="shared" si="153"/>
        <v>6</v>
      </c>
      <c r="AG221">
        <v>11</v>
      </c>
      <c r="AH221" s="17">
        <f t="shared" si="154"/>
        <v>1.2222222222222223</v>
      </c>
      <c r="AI221">
        <v>43</v>
      </c>
      <c r="AJ221" s="17">
        <f t="shared" si="155"/>
        <v>4.7777777777777777</v>
      </c>
      <c r="AK221">
        <v>16</v>
      </c>
      <c r="AL221" s="17">
        <f t="shared" si="156"/>
        <v>1.7777777777777777</v>
      </c>
      <c r="AM221">
        <v>8</v>
      </c>
      <c r="AN221" s="17">
        <f t="shared" si="157"/>
        <v>0.88888888888888884</v>
      </c>
      <c r="AO221">
        <v>2</v>
      </c>
      <c r="AQ221">
        <v>13</v>
      </c>
      <c r="AR221" s="17">
        <f t="shared" si="158"/>
        <v>1.4444444444444444</v>
      </c>
      <c r="AS221">
        <v>17</v>
      </c>
      <c r="AT221" s="17">
        <f t="shared" si="159"/>
        <v>1.8888888888888888</v>
      </c>
      <c r="BD221" s="65">
        <f t="shared" si="160"/>
        <v>48.466435185185183</v>
      </c>
      <c r="BE221" s="65">
        <f t="shared" si="161"/>
        <v>46.124031007751938</v>
      </c>
      <c r="BF221" s="66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34.472006651884705</v>
      </c>
      <c r="BG221" s="38">
        <f t="shared" si="162"/>
        <v>0.44186046511627908</v>
      </c>
      <c r="BH221" s="38">
        <f t="shared" si="163"/>
        <v>0.16279069767441862</v>
      </c>
      <c r="BI221" s="67">
        <f>IFERROR(((AG221*(12000/5))/((F221*60+G221)*(SUMIFS(팀공격력!X:X,팀공격력!A:A,B221,팀공격력!B:B,D221)+SUMIFS(팀수비력!X:X,팀수비력!A:A,B221,팀수비력!B:B,D221))))*100,"")</f>
        <v>3.1198003327787021</v>
      </c>
      <c r="BJ221" s="67">
        <f>IFERROR(((AI221*(12000/5))/((F221*60+G221)*(SUMIFS(팀공격력!V:V,팀공격력!A:A,B221,팀공격력!B:B,D221)+SUMIFS(팀수비력!W:W,팀수비력!A:A,B221,팀수비력!B:B,D221))))*100,"")</f>
        <v>22.904829545454543</v>
      </c>
      <c r="BK221" s="67">
        <f>IFERROR(((AE221*(12000/5))/((F221*60+G221)*(SUMIFS(팀공격력!X:X,팀공격력!A:A,B221,팀공격력!B:B,D221)+SUMIFS(팀수비력!X:X,팀수비력!A:A,B221,팀수비력!B:B,D221))))*100,"")</f>
        <v>15.31538345182272</v>
      </c>
      <c r="BL221" s="67">
        <f>IFERROR(100*AK221/(((((F221*60+G221)/(12000/5))*SUMIFS(팀공격력!P:P,팀공격력!A:A,B221,팀공격력!B:B,D221))-K221)),"")</f>
        <v>15.552099533437016</v>
      </c>
      <c r="BM221" s="67">
        <f>IFERROR(100*((AM221/E221*(2400))/((F221*60+G221)*SUMIFS(팀공격력!AR:AR,팀공격력!A:A,B221,팀공격력!B:B,D221))),"")</f>
        <v>2.087321841574965</v>
      </c>
      <c r="BN221" s="67">
        <f>IFERROR((AO221*40)/(((F221*60+G221)/60)*(SUMIFS(팀수비력!Q:Q,팀수비력!A:A,B221,팀수비력!B:B,D221)-SUMIFS(팀수비력!N:N,팀수비력!A:A,B221,팀수비력!B:B,D221)))*100,"")</f>
        <v>0.87637298434213606</v>
      </c>
      <c r="BO221" s="67">
        <f t="shared" si="164"/>
        <v>8.5956096270827818</v>
      </c>
      <c r="BT221" t="s">
        <v>96</v>
      </c>
      <c r="BV221" t="s">
        <v>93</v>
      </c>
      <c r="CF221">
        <v>4</v>
      </c>
      <c r="CG221">
        <v>5</v>
      </c>
    </row>
    <row r="222" spans="1:85" x14ac:dyDescent="0.4">
      <c r="A222" s="11" t="s">
        <v>85</v>
      </c>
      <c r="B222" t="s">
        <v>99</v>
      </c>
      <c r="C222" t="s">
        <v>117</v>
      </c>
      <c r="D222" s="46" t="s">
        <v>306</v>
      </c>
      <c r="E222">
        <v>8</v>
      </c>
      <c r="F222">
        <v>33</v>
      </c>
      <c r="G222" s="1">
        <v>33</v>
      </c>
      <c r="H222" s="16">
        <f t="shared" si="139"/>
        <v>16104</v>
      </c>
      <c r="I222">
        <v>129</v>
      </c>
      <c r="J222" s="17">
        <f t="shared" si="140"/>
        <v>16.125</v>
      </c>
      <c r="K222">
        <v>39</v>
      </c>
      <c r="L222">
        <v>105</v>
      </c>
      <c r="M222" s="17">
        <f t="shared" si="141"/>
        <v>4.875</v>
      </c>
      <c r="N222" s="17">
        <f t="shared" si="142"/>
        <v>13.125</v>
      </c>
      <c r="O222" s="18">
        <f t="shared" si="143"/>
        <v>0.37142857142857144</v>
      </c>
      <c r="P222">
        <v>14</v>
      </c>
      <c r="Q222">
        <v>38</v>
      </c>
      <c r="R222" s="17">
        <f t="shared" si="144"/>
        <v>1.75</v>
      </c>
      <c r="S222" s="17">
        <f t="shared" si="145"/>
        <v>4.75</v>
      </c>
      <c r="T222" s="18">
        <f t="shared" si="146"/>
        <v>0.36842105263157893</v>
      </c>
      <c r="U222">
        <v>25</v>
      </c>
      <c r="V222">
        <v>67</v>
      </c>
      <c r="W222" s="17">
        <f t="shared" si="147"/>
        <v>3.125</v>
      </c>
      <c r="X222" s="17">
        <f t="shared" si="148"/>
        <v>8.375</v>
      </c>
      <c r="Y222" s="18">
        <f t="shared" si="149"/>
        <v>0.37313432835820898</v>
      </c>
      <c r="Z222">
        <v>26</v>
      </c>
      <c r="AA222">
        <v>31</v>
      </c>
      <c r="AB222" s="17">
        <f t="shared" si="150"/>
        <v>3.25</v>
      </c>
      <c r="AC222" s="17">
        <f t="shared" si="151"/>
        <v>3.875</v>
      </c>
      <c r="AD222" s="18">
        <f t="shared" si="152"/>
        <v>0.83870967741935487</v>
      </c>
      <c r="AE222">
        <v>13</v>
      </c>
      <c r="AF222" s="17">
        <f t="shared" si="153"/>
        <v>1.625</v>
      </c>
      <c r="AG222">
        <v>3</v>
      </c>
      <c r="AH222" s="17">
        <f t="shared" si="154"/>
        <v>0.375</v>
      </c>
      <c r="AI222">
        <v>10</v>
      </c>
      <c r="AJ222" s="17">
        <f t="shared" si="155"/>
        <v>1.25</v>
      </c>
      <c r="AK222">
        <v>7</v>
      </c>
      <c r="AL222" s="17">
        <f t="shared" si="156"/>
        <v>0.875</v>
      </c>
      <c r="AM222">
        <v>7</v>
      </c>
      <c r="AN222" s="17">
        <f t="shared" si="157"/>
        <v>0.875</v>
      </c>
      <c r="AO222">
        <v>0</v>
      </c>
      <c r="AQ222">
        <v>8</v>
      </c>
      <c r="AR222" s="17">
        <f t="shared" si="158"/>
        <v>1</v>
      </c>
      <c r="AS222">
        <v>15</v>
      </c>
      <c r="AT222" s="17">
        <f t="shared" si="159"/>
        <v>1.875</v>
      </c>
      <c r="BD222" s="65">
        <f t="shared" si="160"/>
        <v>54.366149696561031</v>
      </c>
      <c r="BE222" s="65">
        <f t="shared" si="161"/>
        <v>49.047619047619044</v>
      </c>
      <c r="BF222" s="66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20.189691268628113</v>
      </c>
      <c r="BG222" s="38">
        <f t="shared" si="162"/>
        <v>0.63809523809523805</v>
      </c>
      <c r="BH222" s="38">
        <f t="shared" si="163"/>
        <v>0.29523809523809524</v>
      </c>
      <c r="BI222" s="67">
        <f>IFERROR(((AG222*(12000/5))/((F222*60+G222)*(SUMIFS(팀공격력!X:X,팀공격력!A:A,B222,팀공격력!B:B,D222)+SUMIFS(팀수비력!X:X,팀수비력!A:A,B222,팀수비력!B:B,D222))))*100,"")</f>
        <v>0.59513329746002075</v>
      </c>
      <c r="BJ222" s="67">
        <f>IFERROR(((AI222*(12000/5))/((F222*60+G222)*(SUMIFS(팀공격력!V:V,팀공격력!A:A,B222,팀공격력!B:B,D222)+SUMIFS(팀수비력!W:W,팀수비력!A:A,B222,팀수비력!B:B,D222))))*100,"")</f>
        <v>3.7257824143070044</v>
      </c>
      <c r="BK222" s="67">
        <f>IFERROR(((AE222*(12000/5))/((F222*60+G222)*(SUMIFS(팀공격력!X:X,팀공격력!A:A,B222,팀공격력!B:B,D222)+SUMIFS(팀수비력!X:X,팀수비력!A:A,B222,팀수비력!B:B,D222))))*100,"")</f>
        <v>2.5789109556600893</v>
      </c>
      <c r="BL222" s="67">
        <f>IFERROR(100*AK222/(((((F222*60+G222)/(12000/5))*SUMIFS(팀공격력!P:P,팀공격력!A:A,B222,팀공격력!B:B,D222))-K222)),"")</f>
        <v>3.8370881982130132</v>
      </c>
      <c r="BM222" s="67">
        <f>IFERROR(100*((AM222/E222*(2400))/((F222*60+G222)*SUMIFS(팀공격력!AR:AR,팀공격력!A:A,B222,팀공격력!B:B,D222))),"")</f>
        <v>1.4371724155106318</v>
      </c>
      <c r="BN222" s="67">
        <f>IFERROR((AO222*40)/(((F222*60+G222)/60)*(SUMIFS(팀수비력!Q:Q,팀수비력!A:A,B222,팀수비력!B:B,D222)-SUMIFS(팀수비력!N:N,팀수비력!A:A,B222,팀수비력!B:B,D222)))*100,"")</f>
        <v>0</v>
      </c>
      <c r="BO222" s="67">
        <f t="shared" si="164"/>
        <v>6.3171193935565384</v>
      </c>
      <c r="BT222" t="s">
        <v>89</v>
      </c>
      <c r="BV222" t="s">
        <v>93</v>
      </c>
      <c r="CF222">
        <v>3</v>
      </c>
      <c r="CG222">
        <v>5</v>
      </c>
    </row>
    <row r="223" spans="1:85" x14ac:dyDescent="0.4">
      <c r="A223" s="11" t="s">
        <v>85</v>
      </c>
      <c r="B223" t="s">
        <v>99</v>
      </c>
      <c r="C223" t="s">
        <v>118</v>
      </c>
      <c r="D223" s="46" t="s">
        <v>306</v>
      </c>
      <c r="E223">
        <v>7</v>
      </c>
      <c r="F223">
        <v>8</v>
      </c>
      <c r="G223" s="1">
        <v>10</v>
      </c>
      <c r="H223" s="16">
        <f t="shared" si="139"/>
        <v>3430</v>
      </c>
      <c r="I223">
        <v>33</v>
      </c>
      <c r="J223" s="17">
        <f t="shared" si="140"/>
        <v>4.7142857142857144</v>
      </c>
      <c r="K223">
        <v>12</v>
      </c>
      <c r="L223">
        <v>30</v>
      </c>
      <c r="M223" s="17">
        <f t="shared" si="141"/>
        <v>1.7142857142857142</v>
      </c>
      <c r="N223" s="17">
        <f t="shared" si="142"/>
        <v>4.2857142857142856</v>
      </c>
      <c r="O223" s="18">
        <f t="shared" si="143"/>
        <v>0.4</v>
      </c>
      <c r="P223">
        <v>6</v>
      </c>
      <c r="Q223">
        <v>13</v>
      </c>
      <c r="R223" s="17">
        <f t="shared" si="144"/>
        <v>0.8571428571428571</v>
      </c>
      <c r="S223" s="17">
        <f t="shared" si="145"/>
        <v>1.8571428571428572</v>
      </c>
      <c r="T223" s="18">
        <f t="shared" si="146"/>
        <v>0.46153846153846156</v>
      </c>
      <c r="U223">
        <v>6</v>
      </c>
      <c r="V223">
        <v>17</v>
      </c>
      <c r="W223" s="17">
        <f t="shared" si="147"/>
        <v>0.8571428571428571</v>
      </c>
      <c r="X223" s="17">
        <f t="shared" si="148"/>
        <v>2.4285714285714284</v>
      </c>
      <c r="Y223" s="18">
        <f t="shared" si="149"/>
        <v>0.35294117647058826</v>
      </c>
      <c r="Z223">
        <v>3</v>
      </c>
      <c r="AA223">
        <v>4</v>
      </c>
      <c r="AB223" s="17">
        <f t="shared" si="150"/>
        <v>0.42857142857142855</v>
      </c>
      <c r="AC223" s="17">
        <f t="shared" si="151"/>
        <v>0.5714285714285714</v>
      </c>
      <c r="AD223" s="18">
        <f t="shared" si="152"/>
        <v>0.75</v>
      </c>
      <c r="AE223">
        <v>3</v>
      </c>
      <c r="AF223" s="17">
        <f t="shared" si="153"/>
        <v>0.42857142857142855</v>
      </c>
      <c r="AG223">
        <v>0</v>
      </c>
      <c r="AH223" s="17">
        <f t="shared" si="154"/>
        <v>0</v>
      </c>
      <c r="AI223">
        <v>3</v>
      </c>
      <c r="AJ223" s="17">
        <f t="shared" si="155"/>
        <v>0.42857142857142855</v>
      </c>
      <c r="AK223">
        <v>4</v>
      </c>
      <c r="AL223" s="17">
        <f t="shared" si="156"/>
        <v>0.5714285714285714</v>
      </c>
      <c r="AM223">
        <v>4</v>
      </c>
      <c r="AN223" s="17">
        <f t="shared" si="157"/>
        <v>0.5714285714285714</v>
      </c>
      <c r="AO223">
        <v>0</v>
      </c>
      <c r="AQ223">
        <v>2</v>
      </c>
      <c r="AR223" s="17">
        <f t="shared" si="158"/>
        <v>0.2857142857142857</v>
      </c>
      <c r="AS223">
        <v>11</v>
      </c>
      <c r="AT223" s="17">
        <f t="shared" si="159"/>
        <v>1.5714285714285714</v>
      </c>
      <c r="BD223" s="65">
        <f t="shared" si="160"/>
        <v>51.952141057934512</v>
      </c>
      <c r="BE223" s="65">
        <f t="shared" si="161"/>
        <v>50</v>
      </c>
      <c r="BF223" s="66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22.11102669565901</v>
      </c>
      <c r="BG223" s="38">
        <f t="shared" si="162"/>
        <v>0.56666666666666665</v>
      </c>
      <c r="BH223" s="38">
        <f t="shared" si="163"/>
        <v>0.13333333333333333</v>
      </c>
      <c r="BI223" s="67">
        <f>IFERROR(((AG223*(12000/5))/((F223*60+G223)*(SUMIFS(팀공격력!X:X,팀공격력!A:A,B223,팀공격력!B:B,D223)+SUMIFS(팀수비력!X:X,팀수비력!A:A,B223,팀수비력!B:B,D223))))*100,"")</f>
        <v>0</v>
      </c>
      <c r="BJ223" s="67">
        <f>IFERROR(((AI223*(12000/5))/((F223*60+G223)*(SUMIFS(팀공격력!V:V,팀공격력!A:A,B223,팀공격력!B:B,D223)+SUMIFS(팀수비력!W:W,팀수비력!A:A,B223,팀수비력!B:B,D223))))*100,"")</f>
        <v>4.591836734693878</v>
      </c>
      <c r="BK223" s="67">
        <f>IFERROR(((AE223*(12000/5))/((F223*60+G223)*(SUMIFS(팀공격력!X:X,팀공격력!A:A,B223,팀공격력!B:B,D223)+SUMIFS(팀수비력!X:X,팀수비력!A:A,B223,팀수비력!B:B,D223))))*100,"")</f>
        <v>2.4449047505857582</v>
      </c>
      <c r="BL223" s="67">
        <f>IFERROR(100*AK223/(((((F223*60+G223)/(12000/5))*SUMIFS(팀공격력!P:P,팀공격력!A:A,B223,팀공격력!B:B,D223))-K223)),"")</f>
        <v>9.5465393794749414</v>
      </c>
      <c r="BM223" s="67">
        <f>IFERROR(100*((AM223/E223*(2400))/((F223*60+G223)*SUMIFS(팀공격력!AR:AR,팀공격력!A:A,B223,팀공격력!B:B,D223))),"")</f>
        <v>3.8557641948160288</v>
      </c>
      <c r="BN223" s="67">
        <f>IFERROR((AO223*40)/(((F223*60+G223)/60)*(SUMIFS(팀수비력!Q:Q,팀수비력!A:A,B223,팀수비력!B:B,D223)-SUMIFS(팀수비력!N:N,팀수비력!A:A,B223,팀수비력!B:B,D223)))*100,"")</f>
        <v>0</v>
      </c>
      <c r="BO223" s="67">
        <f t="shared" si="164"/>
        <v>5.9241706161137433</v>
      </c>
      <c r="BT223" t="s">
        <v>96</v>
      </c>
      <c r="BV223" t="s">
        <v>90</v>
      </c>
      <c r="CF223">
        <v>3</v>
      </c>
      <c r="CG223">
        <v>4</v>
      </c>
    </row>
    <row r="224" spans="1:85" x14ac:dyDescent="0.4">
      <c r="A224" s="11" t="s">
        <v>85</v>
      </c>
      <c r="B224" t="s">
        <v>99</v>
      </c>
      <c r="C224" t="s">
        <v>98</v>
      </c>
      <c r="D224" s="46" t="s">
        <v>306</v>
      </c>
      <c r="E224">
        <v>1</v>
      </c>
      <c r="F224">
        <v>2</v>
      </c>
      <c r="G224" s="1">
        <v>17</v>
      </c>
      <c r="H224" s="16">
        <f t="shared" si="139"/>
        <v>137</v>
      </c>
      <c r="I224">
        <v>0</v>
      </c>
      <c r="J224" s="17">
        <f t="shared" si="140"/>
        <v>0</v>
      </c>
      <c r="K224">
        <v>0</v>
      </c>
      <c r="L224">
        <v>0</v>
      </c>
      <c r="M224" s="17">
        <f t="shared" si="141"/>
        <v>0</v>
      </c>
      <c r="N224" s="17">
        <f t="shared" si="142"/>
        <v>0</v>
      </c>
      <c r="O224" s="18" t="e">
        <f t="shared" si="143"/>
        <v>#DIV/0!</v>
      </c>
      <c r="P224">
        <v>0</v>
      </c>
      <c r="Q224">
        <v>0</v>
      </c>
      <c r="R224" s="17">
        <f t="shared" si="144"/>
        <v>0</v>
      </c>
      <c r="S224" s="17">
        <f t="shared" si="145"/>
        <v>0</v>
      </c>
      <c r="T224" s="18" t="e">
        <f t="shared" si="146"/>
        <v>#DIV/0!</v>
      </c>
      <c r="U224">
        <v>0</v>
      </c>
      <c r="V224">
        <v>0</v>
      </c>
      <c r="W224" s="17">
        <f t="shared" si="147"/>
        <v>0</v>
      </c>
      <c r="X224" s="17">
        <f t="shared" si="148"/>
        <v>0</v>
      </c>
      <c r="Y224" s="18" t="e">
        <f t="shared" si="149"/>
        <v>#DIV/0!</v>
      </c>
      <c r="Z224">
        <v>0</v>
      </c>
      <c r="AA224">
        <v>0</v>
      </c>
      <c r="AB224" s="17">
        <f t="shared" si="150"/>
        <v>0</v>
      </c>
      <c r="AC224" s="17">
        <f t="shared" si="151"/>
        <v>0</v>
      </c>
      <c r="AD224" s="18" t="e">
        <f t="shared" si="152"/>
        <v>#DIV/0!</v>
      </c>
      <c r="AE224">
        <v>0</v>
      </c>
      <c r="AF224" s="17">
        <f t="shared" si="153"/>
        <v>0</v>
      </c>
      <c r="AG224">
        <v>0</v>
      </c>
      <c r="AH224" s="17">
        <f t="shared" si="154"/>
        <v>0</v>
      </c>
      <c r="AI224">
        <v>0</v>
      </c>
      <c r="AJ224" s="17">
        <f t="shared" si="155"/>
        <v>0</v>
      </c>
      <c r="AK224">
        <v>1</v>
      </c>
      <c r="AL224" s="17">
        <f t="shared" si="156"/>
        <v>1</v>
      </c>
      <c r="AM224">
        <v>0</v>
      </c>
      <c r="AN224" s="17">
        <f t="shared" si="157"/>
        <v>0</v>
      </c>
      <c r="AO224">
        <v>0</v>
      </c>
      <c r="AQ224">
        <v>0</v>
      </c>
      <c r="AR224" s="17">
        <f t="shared" si="158"/>
        <v>0</v>
      </c>
      <c r="AS224">
        <v>0</v>
      </c>
      <c r="AT224" s="17">
        <f t="shared" si="159"/>
        <v>0</v>
      </c>
      <c r="BD224" s="65" t="str">
        <f t="shared" si="160"/>
        <v/>
      </c>
      <c r="BE224" s="65" t="str">
        <f t="shared" si="161"/>
        <v/>
      </c>
      <c r="BF224" s="66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0</v>
      </c>
      <c r="BG224" s="38" t="str">
        <f t="shared" si="162"/>
        <v/>
      </c>
      <c r="BH224" s="38" t="str">
        <f t="shared" si="163"/>
        <v/>
      </c>
      <c r="BI224" s="67">
        <f>IFERROR(((AG224*(12000/5))/((F224*60+G224)*(SUMIFS(팀공격력!X:X,팀공격력!A:A,B224,팀공격력!B:B,D224)+SUMIFS(팀수비력!X:X,팀수비력!A:A,B224,팀수비력!B:B,D224))))*100,"")</f>
        <v>0</v>
      </c>
      <c r="BJ224" s="67">
        <f>IFERROR(((AI224*(12000/5))/((F224*60+G224)*(SUMIFS(팀공격력!V:V,팀공격력!A:A,B224,팀공격력!B:B,D224)+SUMIFS(팀수비력!W:W,팀수비력!A:A,B224,팀수비력!B:B,D224))))*100,"")</f>
        <v>0</v>
      </c>
      <c r="BK224" s="67">
        <f>IFERROR(((AE224*(12000/5))/((F224*60+G224)*(SUMIFS(팀공격력!X:X,팀공격력!A:A,B224,팀공격력!B:B,D224)+SUMIFS(팀수비력!X:X,팀수비력!A:A,B224,팀수비력!B:B,D224))))*100,"")</f>
        <v>0</v>
      </c>
      <c r="BL224" s="67">
        <f>IFERROR(100*AK224/(((((F224*60+G224)/(12000/5))*SUMIFS(팀공격력!P:P,팀공격력!A:A,B224,팀공격력!B:B,D224))-K224)),"")</f>
        <v>6.6357000663570007</v>
      </c>
      <c r="BM224" s="67">
        <f>IFERROR(100*((AM224/E224*(2400))/((F224*60+G224)*SUMIFS(팀공격력!AR:AR,팀공격력!A:A,B224,팀공격력!B:B,D224))),"")</f>
        <v>0</v>
      </c>
      <c r="BN224" s="67">
        <f>IFERROR((AO224*40)/(((F224*60+G224)/60)*(SUMIFS(팀수비력!Q:Q,팀수비력!A:A,B224,팀수비력!B:B,D224)-SUMIFS(팀수비력!N:N,팀수비력!A:A,B224,팀수비력!B:B,D224)))*100,"")</f>
        <v>0</v>
      </c>
      <c r="BO224" s="67" t="str">
        <f t="shared" si="164"/>
        <v/>
      </c>
      <c r="BT224" t="s">
        <v>89</v>
      </c>
      <c r="BV224" t="s">
        <v>90</v>
      </c>
      <c r="CF224">
        <v>0</v>
      </c>
      <c r="CG224">
        <v>1</v>
      </c>
    </row>
    <row r="225" spans="1:85" x14ac:dyDescent="0.4">
      <c r="A225" s="11" t="s">
        <v>85</v>
      </c>
      <c r="B225" t="s">
        <v>99</v>
      </c>
      <c r="C225" t="s">
        <v>119</v>
      </c>
      <c r="D225" s="46" t="s">
        <v>306</v>
      </c>
      <c r="E225">
        <v>8</v>
      </c>
      <c r="F225">
        <v>21</v>
      </c>
      <c r="G225" s="1">
        <v>41</v>
      </c>
      <c r="H225" s="16">
        <f t="shared" si="139"/>
        <v>10408</v>
      </c>
      <c r="I225">
        <v>42</v>
      </c>
      <c r="J225" s="17">
        <f t="shared" si="140"/>
        <v>5.25</v>
      </c>
      <c r="K225">
        <v>14</v>
      </c>
      <c r="L225">
        <v>35</v>
      </c>
      <c r="M225" s="17">
        <f t="shared" si="141"/>
        <v>1.75</v>
      </c>
      <c r="N225" s="17">
        <f t="shared" si="142"/>
        <v>4.375</v>
      </c>
      <c r="O225" s="18">
        <f t="shared" si="143"/>
        <v>0.4</v>
      </c>
      <c r="P225">
        <v>6</v>
      </c>
      <c r="Q225">
        <v>11</v>
      </c>
      <c r="R225" s="17">
        <f t="shared" si="144"/>
        <v>0.75</v>
      </c>
      <c r="S225" s="17">
        <f t="shared" si="145"/>
        <v>1.375</v>
      </c>
      <c r="T225" s="18">
        <f t="shared" si="146"/>
        <v>0.54545454545454541</v>
      </c>
      <c r="U225">
        <v>8</v>
      </c>
      <c r="V225">
        <v>24</v>
      </c>
      <c r="W225" s="17">
        <f t="shared" si="147"/>
        <v>1</v>
      </c>
      <c r="X225" s="17">
        <f t="shared" si="148"/>
        <v>3</v>
      </c>
      <c r="Y225" s="18">
        <f t="shared" si="149"/>
        <v>0.33333333333333331</v>
      </c>
      <c r="Z225">
        <v>6</v>
      </c>
      <c r="AA225">
        <v>8</v>
      </c>
      <c r="AB225" s="17">
        <f t="shared" si="150"/>
        <v>0.75</v>
      </c>
      <c r="AC225" s="17">
        <f t="shared" si="151"/>
        <v>1</v>
      </c>
      <c r="AD225" s="18">
        <f t="shared" si="152"/>
        <v>0.75</v>
      </c>
      <c r="AE225">
        <v>28</v>
      </c>
      <c r="AF225" s="17">
        <f t="shared" si="153"/>
        <v>3.5</v>
      </c>
      <c r="AG225">
        <v>10</v>
      </c>
      <c r="AH225" s="17">
        <f t="shared" si="154"/>
        <v>1.25</v>
      </c>
      <c r="AI225">
        <v>18</v>
      </c>
      <c r="AJ225" s="17">
        <f t="shared" si="155"/>
        <v>2.25</v>
      </c>
      <c r="AK225">
        <v>14</v>
      </c>
      <c r="AL225" s="17">
        <f t="shared" si="156"/>
        <v>1.75</v>
      </c>
      <c r="AM225">
        <v>1</v>
      </c>
      <c r="AN225" s="17">
        <f t="shared" si="157"/>
        <v>0.125</v>
      </c>
      <c r="AO225">
        <v>1</v>
      </c>
      <c r="AQ225">
        <v>6</v>
      </c>
      <c r="AR225" s="17">
        <f t="shared" si="158"/>
        <v>0.75</v>
      </c>
      <c r="AS225">
        <v>27</v>
      </c>
      <c r="AT225" s="17">
        <f t="shared" si="159"/>
        <v>3.375</v>
      </c>
      <c r="BD225" s="65">
        <f t="shared" si="160"/>
        <v>54.517133956386289</v>
      </c>
      <c r="BE225" s="65">
        <f t="shared" si="161"/>
        <v>51.428571428571423</v>
      </c>
      <c r="BF225" s="66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10.981973972820356</v>
      </c>
      <c r="BG225" s="38">
        <f t="shared" si="162"/>
        <v>0.68571428571428572</v>
      </c>
      <c r="BH225" s="38">
        <f t="shared" si="163"/>
        <v>0.22857142857142856</v>
      </c>
      <c r="BI225" s="67">
        <f>IFERROR(((AG225*(12000/5))/((F225*60+G225)*(SUMIFS(팀공격력!X:X,팀공격력!A:A,B225,팀공격력!B:B,D225)+SUMIFS(팀수비력!X:X,팀수비력!A:A,B225,팀수비력!B:B,D225))))*100,"")</f>
        <v>3.0694422951243188</v>
      </c>
      <c r="BJ225" s="67">
        <f>IFERROR(((AI225*(12000/5))/((F225*60+G225)*(SUMIFS(팀공격력!V:V,팀공격력!A:A,B225,팀공격력!B:B,D225)+SUMIFS(팀수비력!W:W,팀수비력!A:A,B225,팀수비력!B:B,D225))))*100,"")</f>
        <v>10.376633358954649</v>
      </c>
      <c r="BK225" s="67">
        <f>IFERROR(((AE225*(12000/5))/((F225*60+G225)*(SUMIFS(팀공격력!X:X,팀공격력!A:A,B225,팀공격력!B:B,D225)+SUMIFS(팀수비력!X:X,팀수비력!A:A,B225,팀수비력!B:B,D225))))*100,"")</f>
        <v>8.5944384263480931</v>
      </c>
      <c r="BL225" s="67">
        <f>IFERROR(100*AK225/(((((F225*60+G225)/(12000/5))*SUMIFS(팀공격력!P:P,팀공격력!A:A,B225,팀공격력!B:B,D225))-K225)),"")</f>
        <v>10.843466811246223</v>
      </c>
      <c r="BM225" s="67">
        <f>IFERROR(100*((AM225/E225*(2400))/((F225*60+G225)*SUMIFS(팀공격력!AR:AR,팀공격력!A:A,B225,팀공격력!B:B,D225))),"")</f>
        <v>0.31767081063170099</v>
      </c>
      <c r="BN225" s="67">
        <f>IFERROR((AO225*40)/(((F225*60+G225)/60)*(SUMIFS(팀수비력!Q:Q,팀수비력!A:A,B225,팀수비력!B:B,D225)-SUMIFS(팀수비력!N:N,팀수비력!A:A,B225,팀수비력!B:B,D225)))*100,"")</f>
        <v>0.47422488929812734</v>
      </c>
      <c r="BO225" s="67">
        <f t="shared" si="164"/>
        <v>13.477088948787062</v>
      </c>
      <c r="BT225" t="s">
        <v>89</v>
      </c>
      <c r="BV225" t="s">
        <v>93</v>
      </c>
      <c r="CF225">
        <v>4</v>
      </c>
      <c r="CG225">
        <v>4</v>
      </c>
    </row>
    <row r="226" spans="1:85" x14ac:dyDescent="0.4">
      <c r="A226" s="11" t="s">
        <v>85</v>
      </c>
      <c r="B226" t="s">
        <v>99</v>
      </c>
      <c r="C226" t="s">
        <v>121</v>
      </c>
      <c r="D226" s="46" t="s">
        <v>306</v>
      </c>
      <c r="E226">
        <v>8</v>
      </c>
      <c r="F226">
        <v>19</v>
      </c>
      <c r="G226" s="1">
        <v>8</v>
      </c>
      <c r="H226" s="16">
        <f t="shared" si="139"/>
        <v>9184</v>
      </c>
      <c r="I226">
        <v>58</v>
      </c>
      <c r="J226" s="17">
        <f t="shared" si="140"/>
        <v>7.25</v>
      </c>
      <c r="K226">
        <v>19</v>
      </c>
      <c r="L226">
        <v>44</v>
      </c>
      <c r="M226" s="17">
        <f t="shared" si="141"/>
        <v>2.375</v>
      </c>
      <c r="N226" s="17">
        <f t="shared" si="142"/>
        <v>5.5</v>
      </c>
      <c r="O226" s="18">
        <f t="shared" si="143"/>
        <v>0.43181818181818182</v>
      </c>
      <c r="P226">
        <v>5</v>
      </c>
      <c r="Q226">
        <v>10</v>
      </c>
      <c r="R226" s="17">
        <f t="shared" si="144"/>
        <v>0.625</v>
      </c>
      <c r="S226" s="17">
        <f t="shared" si="145"/>
        <v>1.25</v>
      </c>
      <c r="T226" s="18">
        <f t="shared" si="146"/>
        <v>0.5</v>
      </c>
      <c r="U226">
        <v>14</v>
      </c>
      <c r="V226">
        <v>34</v>
      </c>
      <c r="W226" s="17">
        <f t="shared" si="147"/>
        <v>1.75</v>
      </c>
      <c r="X226" s="17">
        <f t="shared" si="148"/>
        <v>4.25</v>
      </c>
      <c r="Y226" s="18">
        <f t="shared" si="149"/>
        <v>0.41176470588235292</v>
      </c>
      <c r="Z226">
        <v>6</v>
      </c>
      <c r="AA226">
        <v>8</v>
      </c>
      <c r="AB226" s="17">
        <f t="shared" si="150"/>
        <v>0.75</v>
      </c>
      <c r="AC226" s="17">
        <f t="shared" si="151"/>
        <v>1</v>
      </c>
      <c r="AD226" s="18">
        <f t="shared" si="152"/>
        <v>0.75</v>
      </c>
      <c r="AE226">
        <v>9</v>
      </c>
      <c r="AF226" s="17">
        <f t="shared" si="153"/>
        <v>1.125</v>
      </c>
      <c r="AG226">
        <v>4</v>
      </c>
      <c r="AH226" s="17">
        <f t="shared" si="154"/>
        <v>0.5</v>
      </c>
      <c r="AI226">
        <v>5</v>
      </c>
      <c r="AJ226" s="17">
        <f t="shared" si="155"/>
        <v>0.625</v>
      </c>
      <c r="AK226">
        <v>20</v>
      </c>
      <c r="AL226" s="17">
        <f t="shared" si="156"/>
        <v>2.5</v>
      </c>
      <c r="AM226">
        <v>4</v>
      </c>
      <c r="AN226" s="17">
        <f t="shared" si="157"/>
        <v>0.5</v>
      </c>
      <c r="AO226">
        <v>0</v>
      </c>
      <c r="AQ226">
        <v>5</v>
      </c>
      <c r="AR226" s="17">
        <f t="shared" si="158"/>
        <v>0.625</v>
      </c>
      <c r="AS226">
        <v>14</v>
      </c>
      <c r="AT226" s="17">
        <f t="shared" si="159"/>
        <v>1.75</v>
      </c>
      <c r="BD226" s="65">
        <f t="shared" si="160"/>
        <v>61.026936026936021</v>
      </c>
      <c r="BE226" s="65">
        <f t="shared" si="161"/>
        <v>59.090909090909093</v>
      </c>
      <c r="BF226" s="66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14.682005429993783</v>
      </c>
      <c r="BG226" s="38">
        <f t="shared" si="162"/>
        <v>0.77272727272727271</v>
      </c>
      <c r="BH226" s="38">
        <f t="shared" si="163"/>
        <v>0.18181818181818182</v>
      </c>
      <c r="BI226" s="67">
        <f>IFERROR(((AG226*(12000/5))/((F226*60+G226)*(SUMIFS(팀공격력!X:X,팀공격력!A:A,B226,팀공격력!B:B,D226)+SUMIFS(팀수비력!X:X,팀수비력!A:A,B226,팀수비력!B:B,D226))))*100,"")</f>
        <v>1.3914092076504316</v>
      </c>
      <c r="BJ226" s="67">
        <f>IFERROR(((AI226*(12000/5))/((F226*60+G226)*(SUMIFS(팀공격력!V:V,팀공격력!A:A,B226,팀공격력!B:B,D226)+SUMIFS(팀수비력!W:W,팀수비력!A:A,B226,팀수비력!B:B,D226))))*100,"")</f>
        <v>3.266550522648084</v>
      </c>
      <c r="BK226" s="67">
        <f>IFERROR(((AE226*(12000/5))/((F226*60+G226)*(SUMIFS(팀공격력!X:X,팀공격력!A:A,B226,팀공격력!B:B,D226)+SUMIFS(팀수비력!X:X,팀수비력!A:A,B226,팀수비력!B:B,D226))))*100,"")</f>
        <v>3.1306707172134711</v>
      </c>
      <c r="BL226" s="67">
        <f>IFERROR(100*AK226/(((((F226*60+G226)/(12000/5))*SUMIFS(팀공격력!P:P,팀공격력!A:A,B226,팀공격력!B:B,D226))-K226)),"")</f>
        <v>18.642803877703205</v>
      </c>
      <c r="BM226" s="67">
        <f>IFERROR(100*((AM226/E226*(2400))/((F226*60+G226)*SUMIFS(팀공격력!AR:AR,팀공격력!A:A,B226,팀공격력!B:B,D226))),"")</f>
        <v>1.4400338837346447</v>
      </c>
      <c r="BN226" s="67">
        <f>IFERROR((AO226*40)/(((F226*60+G226)/60)*(SUMIFS(팀수비력!Q:Q,팀수비력!A:A,B226,팀수비력!B:B,D226)-SUMIFS(팀수비력!N:N,팀수비력!A:A,B226,팀수비력!B:B,D226)))*100,"")</f>
        <v>0</v>
      </c>
      <c r="BO226" s="67">
        <f t="shared" si="164"/>
        <v>9.5201827875095191</v>
      </c>
      <c r="BT226" t="s">
        <v>89</v>
      </c>
      <c r="BV226" t="s">
        <v>90</v>
      </c>
      <c r="CF226">
        <v>4</v>
      </c>
      <c r="CG226">
        <v>4</v>
      </c>
    </row>
    <row r="227" spans="1:85" x14ac:dyDescent="0.4">
      <c r="A227" s="11" t="s">
        <v>85</v>
      </c>
      <c r="B227" t="s">
        <v>99</v>
      </c>
      <c r="C227" t="s">
        <v>122</v>
      </c>
      <c r="D227" s="46" t="s">
        <v>306</v>
      </c>
      <c r="E227">
        <v>2</v>
      </c>
      <c r="F227">
        <v>16</v>
      </c>
      <c r="G227" s="1">
        <v>46</v>
      </c>
      <c r="H227" s="16">
        <f t="shared" si="139"/>
        <v>2012</v>
      </c>
      <c r="I227">
        <v>0</v>
      </c>
      <c r="J227" s="17">
        <f t="shared" si="140"/>
        <v>0</v>
      </c>
      <c r="K227">
        <v>0</v>
      </c>
      <c r="L227">
        <v>3</v>
      </c>
      <c r="M227" s="17">
        <f t="shared" si="141"/>
        <v>0</v>
      </c>
      <c r="N227" s="17">
        <f t="shared" si="142"/>
        <v>1.5</v>
      </c>
      <c r="O227" s="18">
        <f t="shared" si="143"/>
        <v>0</v>
      </c>
      <c r="P227">
        <v>0</v>
      </c>
      <c r="Q227">
        <v>2</v>
      </c>
      <c r="R227" s="17">
        <f t="shared" si="144"/>
        <v>0</v>
      </c>
      <c r="S227" s="17">
        <f t="shared" si="145"/>
        <v>1</v>
      </c>
      <c r="T227" s="18">
        <f t="shared" si="146"/>
        <v>0</v>
      </c>
      <c r="U227">
        <v>0</v>
      </c>
      <c r="V227">
        <v>1</v>
      </c>
      <c r="W227" s="17">
        <f t="shared" si="147"/>
        <v>0</v>
      </c>
      <c r="X227" s="17">
        <f t="shared" si="148"/>
        <v>0.5</v>
      </c>
      <c r="Y227" s="18">
        <f t="shared" si="149"/>
        <v>0</v>
      </c>
      <c r="Z227">
        <v>0</v>
      </c>
      <c r="AA227">
        <v>0</v>
      </c>
      <c r="AB227" s="17">
        <f t="shared" si="150"/>
        <v>0</v>
      </c>
      <c r="AC227" s="17">
        <f t="shared" si="151"/>
        <v>0</v>
      </c>
      <c r="AD227" s="18" t="e">
        <f t="shared" si="152"/>
        <v>#DIV/0!</v>
      </c>
      <c r="AE227">
        <v>6</v>
      </c>
      <c r="AF227" s="17">
        <f t="shared" si="153"/>
        <v>3</v>
      </c>
      <c r="AG227">
        <v>4</v>
      </c>
      <c r="AH227" s="17">
        <f t="shared" si="154"/>
        <v>2</v>
      </c>
      <c r="AI227">
        <v>2</v>
      </c>
      <c r="AJ227" s="17">
        <f t="shared" si="155"/>
        <v>1</v>
      </c>
      <c r="AK227">
        <v>2</v>
      </c>
      <c r="AL227" s="17">
        <f t="shared" si="156"/>
        <v>1</v>
      </c>
      <c r="AM227">
        <v>2</v>
      </c>
      <c r="AN227" s="17">
        <f t="shared" si="157"/>
        <v>1</v>
      </c>
      <c r="AO227">
        <v>0</v>
      </c>
      <c r="AQ227">
        <v>2</v>
      </c>
      <c r="AR227" s="17">
        <f t="shared" si="158"/>
        <v>1</v>
      </c>
      <c r="AS227">
        <v>4</v>
      </c>
      <c r="AT227" s="17">
        <f t="shared" si="159"/>
        <v>2</v>
      </c>
      <c r="BD227" s="65">
        <f t="shared" si="160"/>
        <v>0</v>
      </c>
      <c r="BE227" s="65">
        <f t="shared" si="161"/>
        <v>0</v>
      </c>
      <c r="BF227" s="66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1.5950510033508831</v>
      </c>
      <c r="BG227" s="38">
        <f t="shared" si="162"/>
        <v>0.33333333333333331</v>
      </c>
      <c r="BH227" s="38">
        <f t="shared" si="163"/>
        <v>0</v>
      </c>
      <c r="BI227" s="67">
        <f>IFERROR(((AG227*(12000/5))/((F227*60+G227)*(SUMIFS(팀공격력!X:X,팀공격력!A:A,B227,팀공격력!B:B,D227)+SUMIFS(팀수비력!X:X,팀수비력!A:A,B227,팀수비력!B:B,D227))))*100,"")</f>
        <v>1.5878109049529778</v>
      </c>
      <c r="BJ227" s="67">
        <f>IFERROR(((AI227*(12000/5))/((F227*60+G227)*(SUMIFS(팀공격력!V:V,팀공격력!A:A,B227,팀공격력!B:B,D227)+SUMIFS(팀수비력!W:W,팀수비력!A:A,B227,팀수비력!B:B,D227))))*100,"")</f>
        <v>1.4910536779324055</v>
      </c>
      <c r="BK227" s="67">
        <f>IFERROR(((AE227*(12000/5))/((F227*60+G227)*(SUMIFS(팀공격력!X:X,팀공격력!A:A,B227,팀공격력!B:B,D227)+SUMIFS(팀수비력!X:X,팀수비력!A:A,B227,팀수비력!B:B,D227))))*100,"")</f>
        <v>2.3817163574294664</v>
      </c>
      <c r="BL227" s="67">
        <f>IFERROR(100*AK227/(((((F227*60+G227)/(12000/5))*SUMIFS(팀공격력!P:P,팀공격력!A:A,B227,팀공격력!B:B,D227))-K227)),"")</f>
        <v>1.8073377914332187</v>
      </c>
      <c r="BM227" s="67">
        <f>IFERROR(100*((AM227/E227*(2400))/((F227*60+G227)*SUMIFS(팀공격력!AR:AR,팀공격력!A:A,B227,팀공격력!B:B,D227))),"")</f>
        <v>3.2865982078078968</v>
      </c>
      <c r="BN227" s="67">
        <f>IFERROR((AO227*40)/(((F227*60+G227)/60)*(SUMIFS(팀수비력!Q:Q,팀수비력!A:A,B227,팀수비력!B:B,D227)-SUMIFS(팀수비력!N:N,팀수비력!A:A,B227,팀수비력!B:B,D227)))*100,"")</f>
        <v>0</v>
      </c>
      <c r="BO227" s="67">
        <f t="shared" si="164"/>
        <v>40</v>
      </c>
      <c r="BT227" t="s">
        <v>89</v>
      </c>
      <c r="BV227" t="s">
        <v>93</v>
      </c>
      <c r="CF227">
        <v>2</v>
      </c>
      <c r="CG227">
        <v>0</v>
      </c>
    </row>
    <row r="228" spans="1:85" x14ac:dyDescent="0.4">
      <c r="A228" s="11" t="s">
        <v>85</v>
      </c>
      <c r="B228" t="s">
        <v>123</v>
      </c>
      <c r="C228" t="s">
        <v>125</v>
      </c>
      <c r="D228" s="46" t="s">
        <v>306</v>
      </c>
      <c r="E228">
        <v>7</v>
      </c>
      <c r="F228">
        <v>7</v>
      </c>
      <c r="G228" s="1">
        <v>24</v>
      </c>
      <c r="H228" s="16">
        <f t="shared" si="139"/>
        <v>3108</v>
      </c>
      <c r="I228">
        <v>12</v>
      </c>
      <c r="J228" s="17">
        <f t="shared" si="140"/>
        <v>1.7142857142857142</v>
      </c>
      <c r="K228">
        <v>4</v>
      </c>
      <c r="L228">
        <v>9</v>
      </c>
      <c r="M228" s="17">
        <f t="shared" si="141"/>
        <v>0.5714285714285714</v>
      </c>
      <c r="N228" s="17">
        <f t="shared" si="142"/>
        <v>1.2857142857142858</v>
      </c>
      <c r="O228" s="18">
        <f t="shared" si="143"/>
        <v>0.44444444444444442</v>
      </c>
      <c r="P228">
        <v>3</v>
      </c>
      <c r="Q228">
        <v>7</v>
      </c>
      <c r="R228" s="17">
        <f t="shared" si="144"/>
        <v>0.42857142857142855</v>
      </c>
      <c r="S228" s="17">
        <f t="shared" si="145"/>
        <v>1</v>
      </c>
      <c r="T228" s="18">
        <f t="shared" si="146"/>
        <v>0.42857142857142855</v>
      </c>
      <c r="U228">
        <v>1</v>
      </c>
      <c r="V228">
        <v>2</v>
      </c>
      <c r="W228" s="17">
        <f t="shared" si="147"/>
        <v>0.14285714285714285</v>
      </c>
      <c r="X228" s="17">
        <f t="shared" si="148"/>
        <v>0.2857142857142857</v>
      </c>
      <c r="Y228" s="18">
        <f t="shared" si="149"/>
        <v>0.5</v>
      </c>
      <c r="Z228">
        <v>3</v>
      </c>
      <c r="AA228">
        <v>4</v>
      </c>
      <c r="AB228" s="17">
        <f t="shared" si="150"/>
        <v>0.42857142857142855</v>
      </c>
      <c r="AC228" s="17">
        <f t="shared" si="151"/>
        <v>0.5714285714285714</v>
      </c>
      <c r="AD228" s="18">
        <f t="shared" si="152"/>
        <v>0.75</v>
      </c>
      <c r="AE228">
        <v>7</v>
      </c>
      <c r="AF228" s="17">
        <f t="shared" si="153"/>
        <v>1</v>
      </c>
      <c r="AG228">
        <v>3</v>
      </c>
      <c r="AH228" s="17">
        <f t="shared" si="154"/>
        <v>0.42857142857142855</v>
      </c>
      <c r="AI228">
        <v>4</v>
      </c>
      <c r="AJ228" s="17">
        <f t="shared" si="155"/>
        <v>0.5714285714285714</v>
      </c>
      <c r="AK228">
        <v>5</v>
      </c>
      <c r="AL228" s="17">
        <f t="shared" si="156"/>
        <v>0.7142857142857143</v>
      </c>
      <c r="AM228">
        <v>2</v>
      </c>
      <c r="AN228" s="17">
        <f t="shared" si="157"/>
        <v>0.2857142857142857</v>
      </c>
      <c r="AO228">
        <v>0</v>
      </c>
      <c r="AQ228">
        <v>3</v>
      </c>
      <c r="AR228" s="17">
        <f t="shared" si="158"/>
        <v>0.42857142857142855</v>
      </c>
      <c r="AS228">
        <v>5</v>
      </c>
      <c r="AT228" s="17">
        <f t="shared" si="159"/>
        <v>0.7142857142857143</v>
      </c>
      <c r="BD228" s="65">
        <f t="shared" si="160"/>
        <v>55.762081784386616</v>
      </c>
      <c r="BE228" s="65">
        <f t="shared" si="161"/>
        <v>50</v>
      </c>
      <c r="BF228" s="66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11.148506861679115</v>
      </c>
      <c r="BG228" s="38">
        <f t="shared" si="162"/>
        <v>0.22222222222222221</v>
      </c>
      <c r="BH228" s="38">
        <f t="shared" si="163"/>
        <v>0.44444444444444442</v>
      </c>
      <c r="BI228" s="67">
        <f>IFERROR(((AG228*(12000/5))/((F228*60+G228)*(SUMIFS(팀공격력!X:X,팀공격력!A:A,B228,팀공격력!B:B,D228)+SUMIFS(팀수비력!X:X,팀수비력!A:A,B228,팀수비력!B:B,D228))))*100,"")</f>
        <v>3.1305436710842112</v>
      </c>
      <c r="BJ228" s="67">
        <f>IFERROR(((AI228*(12000/5))/((F228*60+G228)*(SUMIFS(팀공격력!V:V,팀공격력!A:A,B228,팀공격력!B:B,D228)+SUMIFS(팀수비력!W:W,팀수비력!A:A,B228,팀수비력!B:B,D228))))*100,"")</f>
        <v>7.5336660702514369</v>
      </c>
      <c r="BK228" s="67">
        <f>IFERROR(((AE228*(12000/5))/((F228*60+G228)*(SUMIFS(팀공격력!X:X,팀공격력!A:A,B228,팀공격력!B:B,D228)+SUMIFS(팀수비력!X:X,팀수비력!A:A,B228,팀수비력!B:B,D228))))*100,"")</f>
        <v>7.3046018991964932</v>
      </c>
      <c r="BL228" s="67">
        <f>IFERROR(100*AK228/(((((F228*60+G228)/(12000/5))*SUMIFS(팀공격력!P:P,팀공격력!A:A,B228,팀공격력!B:B,D228))-K228)),"")</f>
        <v>12.263919548687761</v>
      </c>
      <c r="BM228" s="67">
        <f>IFERROR(100*((AM228/E228*(2400))/((F228*60+G228)*SUMIFS(팀공격력!AR:AR,팀공격력!A:A,B228,팀공격력!B:B,D228))),"")</f>
        <v>2.4641608067089957</v>
      </c>
      <c r="BN228" s="67">
        <f>IFERROR((AO228*40)/(((F228*60+G228)/60)*(SUMIFS(팀수비력!Q:Q,팀수비력!A:A,B228,팀수비력!B:B,D228)-SUMIFS(팀수비력!N:N,팀수비력!A:A,B228,팀수비력!B:B,D228)))*100,"")</f>
        <v>0</v>
      </c>
      <c r="BO228" s="67">
        <f t="shared" si="164"/>
        <v>21.802325581395348</v>
      </c>
      <c r="BT228" t="s">
        <v>89</v>
      </c>
      <c r="BV228" t="s">
        <v>102</v>
      </c>
      <c r="CF228">
        <v>1</v>
      </c>
      <c r="CG228">
        <v>6</v>
      </c>
    </row>
    <row r="229" spans="1:85" x14ac:dyDescent="0.4">
      <c r="A229" s="11" t="s">
        <v>85</v>
      </c>
      <c r="B229" t="s">
        <v>123</v>
      </c>
      <c r="C229" t="s">
        <v>127</v>
      </c>
      <c r="D229" s="46" t="s">
        <v>306</v>
      </c>
      <c r="E229">
        <v>2</v>
      </c>
      <c r="F229">
        <v>2</v>
      </c>
      <c r="G229" s="1">
        <v>11</v>
      </c>
      <c r="H229" s="16">
        <f t="shared" si="139"/>
        <v>262</v>
      </c>
      <c r="I229">
        <v>0</v>
      </c>
      <c r="J229" s="17">
        <f t="shared" si="140"/>
        <v>0</v>
      </c>
      <c r="K229">
        <v>0</v>
      </c>
      <c r="L229">
        <v>0</v>
      </c>
      <c r="M229" s="17">
        <f t="shared" si="141"/>
        <v>0</v>
      </c>
      <c r="N229" s="17">
        <f t="shared" si="142"/>
        <v>0</v>
      </c>
      <c r="O229" s="18" t="e">
        <f t="shared" si="143"/>
        <v>#DIV/0!</v>
      </c>
      <c r="P229">
        <v>0</v>
      </c>
      <c r="Q229">
        <v>0</v>
      </c>
      <c r="R229" s="17">
        <f t="shared" si="144"/>
        <v>0</v>
      </c>
      <c r="S229" s="17">
        <f t="shared" si="145"/>
        <v>0</v>
      </c>
      <c r="T229" s="18" t="e">
        <f t="shared" si="146"/>
        <v>#DIV/0!</v>
      </c>
      <c r="U229">
        <v>0</v>
      </c>
      <c r="V229">
        <v>0</v>
      </c>
      <c r="W229" s="17">
        <f t="shared" si="147"/>
        <v>0</v>
      </c>
      <c r="X229" s="17">
        <f t="shared" si="148"/>
        <v>0</v>
      </c>
      <c r="Y229" s="18" t="e">
        <f t="shared" si="149"/>
        <v>#DIV/0!</v>
      </c>
      <c r="Z229">
        <v>0</v>
      </c>
      <c r="AA229">
        <v>0</v>
      </c>
      <c r="AB229" s="17">
        <f t="shared" si="150"/>
        <v>0</v>
      </c>
      <c r="AC229" s="17">
        <f t="shared" si="151"/>
        <v>0</v>
      </c>
      <c r="AD229" s="18" t="e">
        <f t="shared" si="152"/>
        <v>#DIV/0!</v>
      </c>
      <c r="AE229">
        <v>0</v>
      </c>
      <c r="AF229" s="17">
        <f t="shared" si="153"/>
        <v>0</v>
      </c>
      <c r="AG229">
        <v>0</v>
      </c>
      <c r="AH229" s="17">
        <f t="shared" si="154"/>
        <v>0</v>
      </c>
      <c r="AI229">
        <v>0</v>
      </c>
      <c r="AJ229" s="17">
        <f t="shared" si="155"/>
        <v>0</v>
      </c>
      <c r="AK229">
        <v>0</v>
      </c>
      <c r="AL229" s="17">
        <f t="shared" si="156"/>
        <v>0</v>
      </c>
      <c r="AM229">
        <v>0</v>
      </c>
      <c r="AN229" s="17">
        <f t="shared" si="157"/>
        <v>0</v>
      </c>
      <c r="AO229">
        <v>0</v>
      </c>
      <c r="AQ229">
        <v>0</v>
      </c>
      <c r="AR229" s="17">
        <f t="shared" si="158"/>
        <v>0</v>
      </c>
      <c r="AS229">
        <v>1</v>
      </c>
      <c r="AT229" s="17">
        <f t="shared" si="159"/>
        <v>0.5</v>
      </c>
      <c r="BD229" s="65" t="str">
        <f t="shared" si="160"/>
        <v/>
      </c>
      <c r="BE229" s="65" t="str">
        <f t="shared" si="161"/>
        <v/>
      </c>
      <c r="BF229" s="66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0</v>
      </c>
      <c r="BG229" s="38" t="str">
        <f t="shared" si="162"/>
        <v/>
      </c>
      <c r="BH229" s="38" t="str">
        <f t="shared" si="163"/>
        <v/>
      </c>
      <c r="BI229" s="67">
        <f>IFERROR(((AG229*(12000/5))/((F229*60+G229)*(SUMIFS(팀공격력!X:X,팀공격력!A:A,B229,팀공격력!B:B,D229)+SUMIFS(팀수비력!X:X,팀수비력!A:A,B229,팀수비력!B:B,D229))))*100,"")</f>
        <v>0</v>
      </c>
      <c r="BJ229" s="67">
        <f>IFERROR(((AI229*(12000/5))/((F229*60+G229)*(SUMIFS(팀공격력!V:V,팀공격력!A:A,B229,팀공격력!B:B,D229)+SUMIFS(팀수비력!W:W,팀수비력!A:A,B229,팀수비력!B:B,D229))))*100,"")</f>
        <v>0</v>
      </c>
      <c r="BK229" s="67">
        <f>IFERROR(((AE229*(12000/5))/((F229*60+G229)*(SUMIFS(팀공격력!X:X,팀공격력!A:A,B229,팀공격력!B:B,D229)+SUMIFS(팀수비력!X:X,팀수비력!A:A,B229,팀수비력!B:B,D229))))*100,"")</f>
        <v>0</v>
      </c>
      <c r="BL229" s="67">
        <f>IFERROR(100*AK229/(((((F229*60+G229)/(12000/5))*SUMIFS(팀공격력!P:P,팀공격력!A:A,B229,팀공격력!B:B,D229))-K229)),"")</f>
        <v>0</v>
      </c>
      <c r="BM229" s="67">
        <f>IFERROR(100*((AM229/E229*(2400))/((F229*60+G229)*SUMIFS(팀공격력!AR:AR,팀공격력!A:A,B229,팀공격력!B:B,D229))),"")</f>
        <v>0</v>
      </c>
      <c r="BN229" s="67">
        <f>IFERROR((AO229*40)/(((F229*60+G229)/60)*(SUMIFS(팀수비력!Q:Q,팀수비력!A:A,B229,팀수비력!B:B,D229)-SUMIFS(팀수비력!N:N,팀수비력!A:A,B229,팀수비력!B:B,D229)))*100,"")</f>
        <v>0</v>
      </c>
      <c r="BO229" s="67" t="str">
        <f t="shared" si="164"/>
        <v/>
      </c>
      <c r="BT229" t="s">
        <v>89</v>
      </c>
      <c r="BV229" t="s">
        <v>90</v>
      </c>
      <c r="CF229">
        <v>1</v>
      </c>
      <c r="CG229">
        <v>1</v>
      </c>
    </row>
    <row r="230" spans="1:85" x14ac:dyDescent="0.4">
      <c r="A230" s="11" t="s">
        <v>85</v>
      </c>
      <c r="B230" t="s">
        <v>123</v>
      </c>
      <c r="C230" t="s">
        <v>95</v>
      </c>
      <c r="D230" s="46" t="s">
        <v>306</v>
      </c>
      <c r="E230">
        <v>10</v>
      </c>
      <c r="F230">
        <v>16</v>
      </c>
      <c r="G230" s="1">
        <v>12</v>
      </c>
      <c r="H230" s="16">
        <f t="shared" si="139"/>
        <v>9720</v>
      </c>
      <c r="I230">
        <v>94</v>
      </c>
      <c r="J230" s="17">
        <f t="shared" si="140"/>
        <v>9.4</v>
      </c>
      <c r="K230">
        <v>41</v>
      </c>
      <c r="L230">
        <v>72</v>
      </c>
      <c r="M230" s="17">
        <f t="shared" si="141"/>
        <v>4.0999999999999996</v>
      </c>
      <c r="N230" s="17">
        <f t="shared" si="142"/>
        <v>7.2</v>
      </c>
      <c r="O230" s="18">
        <f t="shared" si="143"/>
        <v>0.56944444444444442</v>
      </c>
      <c r="P230">
        <v>41</v>
      </c>
      <c r="Q230">
        <v>68</v>
      </c>
      <c r="R230" s="17">
        <f t="shared" si="144"/>
        <v>4.0999999999999996</v>
      </c>
      <c r="S230" s="17">
        <f t="shared" si="145"/>
        <v>6.8</v>
      </c>
      <c r="T230" s="18">
        <f t="shared" si="146"/>
        <v>0.6029411764705882</v>
      </c>
      <c r="U230">
        <v>0</v>
      </c>
      <c r="V230">
        <v>4</v>
      </c>
      <c r="W230" s="17">
        <f t="shared" si="147"/>
        <v>0</v>
      </c>
      <c r="X230" s="17">
        <f t="shared" si="148"/>
        <v>0.4</v>
      </c>
      <c r="Y230" s="18">
        <f t="shared" si="149"/>
        <v>0</v>
      </c>
      <c r="Z230">
        <v>12</v>
      </c>
      <c r="AA230">
        <v>17</v>
      </c>
      <c r="AB230" s="17">
        <f t="shared" si="150"/>
        <v>1.2</v>
      </c>
      <c r="AC230" s="17">
        <f t="shared" si="151"/>
        <v>1.7</v>
      </c>
      <c r="AD230" s="18">
        <f t="shared" si="152"/>
        <v>0.70588235294117652</v>
      </c>
      <c r="AE230">
        <v>51</v>
      </c>
      <c r="AF230" s="17">
        <f t="shared" si="153"/>
        <v>5.0999999999999996</v>
      </c>
      <c r="AG230">
        <v>11</v>
      </c>
      <c r="AH230" s="17">
        <f t="shared" si="154"/>
        <v>1.1000000000000001</v>
      </c>
      <c r="AI230">
        <v>40</v>
      </c>
      <c r="AJ230" s="17">
        <f t="shared" si="155"/>
        <v>4</v>
      </c>
      <c r="AK230">
        <v>13</v>
      </c>
      <c r="AL230" s="17">
        <f t="shared" si="156"/>
        <v>1.3</v>
      </c>
      <c r="AM230">
        <v>9</v>
      </c>
      <c r="AN230" s="17">
        <f t="shared" si="157"/>
        <v>0.9</v>
      </c>
      <c r="AO230">
        <v>17</v>
      </c>
      <c r="AQ230">
        <v>14</v>
      </c>
      <c r="AR230" s="17">
        <f t="shared" si="158"/>
        <v>1.4</v>
      </c>
      <c r="AS230">
        <v>28</v>
      </c>
      <c r="AT230" s="17">
        <f t="shared" si="159"/>
        <v>2.8</v>
      </c>
      <c r="BD230" s="65">
        <f t="shared" si="160"/>
        <v>59.134373427277296</v>
      </c>
      <c r="BE230" s="65">
        <f t="shared" si="161"/>
        <v>56.944444444444443</v>
      </c>
      <c r="BF230" s="66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34.596620722887288</v>
      </c>
      <c r="BG230" s="38">
        <f t="shared" si="162"/>
        <v>5.5555555555555552E-2</v>
      </c>
      <c r="BH230" s="38">
        <f t="shared" si="163"/>
        <v>0.2361111111111111</v>
      </c>
      <c r="BI230" s="67">
        <f>IFERROR(((AG230*(12000/5))/((F230*60+G230)*(SUMIFS(팀공격력!X:X,팀공격력!A:A,B230,팀공격력!B:B,D230)+SUMIFS(팀수비력!X:X,팀수비력!A:A,B230,팀수비력!B:B,D230))))*100,"")</f>
        <v>5.2433385766719098</v>
      </c>
      <c r="BJ230" s="67">
        <f>IFERROR(((AI230*(12000/5))/((F230*60+G230)*(SUMIFS(팀공격력!V:V,팀공격력!A:A,B230,팀공격력!B:B,D230)+SUMIFS(팀수비력!W:W,팀수비력!A:A,B230,팀수비력!B:B,D230))))*100,"")</f>
        <v>34.413042543123844</v>
      </c>
      <c r="BK230" s="67">
        <f>IFERROR(((AE230*(12000/5))/((F230*60+G230)*(SUMIFS(팀공격력!X:X,팀공격력!A:A,B230,팀공격력!B:B,D230)+SUMIFS(팀수비력!X:X,팀수비력!A:A,B230,팀수비력!B:B,D230))))*100,"")</f>
        <v>24.310024310024311</v>
      </c>
      <c r="BL230" s="67">
        <f>IFERROR(100*AK230/(((((F230*60+G230)/(12000/5))*SUMIFS(팀공격력!P:P,팀공격력!A:A,B230,팀공격력!B:B,D230))-K230)),"")</f>
        <v>22.803017014558847</v>
      </c>
      <c r="BM230" s="67">
        <f>IFERROR(100*((AM230/E230*(2400))/((F230*60+G230)*SUMIFS(팀공격력!AR:AR,팀공격력!A:A,B230,팀공격력!B:B,D230))),"")</f>
        <v>3.545653605209055</v>
      </c>
      <c r="BN230" s="67">
        <f>IFERROR((AO230*40)/(((F230*60+G230)/60)*(SUMIFS(팀수비력!Q:Q,팀수비력!A:A,B230,팀수비력!B:B,D230)-SUMIFS(팀수비력!N:N,팀수비력!A:A,B230,팀수비력!B:B,D230)))*100,"")</f>
        <v>12.915479582146251</v>
      </c>
      <c r="BO230" s="67">
        <f t="shared" si="164"/>
        <v>14.976465554129225</v>
      </c>
      <c r="BT230" t="s">
        <v>96</v>
      </c>
      <c r="BV230" t="s">
        <v>93</v>
      </c>
      <c r="CF230">
        <v>7</v>
      </c>
      <c r="CG230">
        <v>3</v>
      </c>
    </row>
    <row r="231" spans="1:85" x14ac:dyDescent="0.4">
      <c r="A231" s="11" t="s">
        <v>85</v>
      </c>
      <c r="B231" t="s">
        <v>123</v>
      </c>
      <c r="C231" t="s">
        <v>128</v>
      </c>
      <c r="D231" s="46" t="s">
        <v>306</v>
      </c>
      <c r="E231">
        <v>8</v>
      </c>
      <c r="F231">
        <v>16</v>
      </c>
      <c r="G231" s="1">
        <v>29</v>
      </c>
      <c r="H231" s="16">
        <f t="shared" si="139"/>
        <v>7912</v>
      </c>
      <c r="I231">
        <v>17</v>
      </c>
      <c r="J231" s="17">
        <f t="shared" si="140"/>
        <v>2.125</v>
      </c>
      <c r="K231">
        <v>6</v>
      </c>
      <c r="L231">
        <v>20</v>
      </c>
      <c r="M231" s="17">
        <f t="shared" si="141"/>
        <v>0.75</v>
      </c>
      <c r="N231" s="17">
        <f t="shared" si="142"/>
        <v>2.5</v>
      </c>
      <c r="O231" s="18">
        <f t="shared" si="143"/>
        <v>0.3</v>
      </c>
      <c r="P231">
        <v>1</v>
      </c>
      <c r="Q231">
        <v>2</v>
      </c>
      <c r="R231" s="17">
        <f t="shared" si="144"/>
        <v>0.125</v>
      </c>
      <c r="S231" s="17">
        <f t="shared" si="145"/>
        <v>0.25</v>
      </c>
      <c r="T231" s="18">
        <f t="shared" si="146"/>
        <v>0.5</v>
      </c>
      <c r="U231">
        <v>5</v>
      </c>
      <c r="V231">
        <v>18</v>
      </c>
      <c r="W231" s="17">
        <f t="shared" si="147"/>
        <v>0.625</v>
      </c>
      <c r="X231" s="17">
        <f t="shared" si="148"/>
        <v>2.25</v>
      </c>
      <c r="Y231" s="18">
        <f t="shared" si="149"/>
        <v>0.27777777777777779</v>
      </c>
      <c r="Z231">
        <v>0</v>
      </c>
      <c r="AA231">
        <v>0</v>
      </c>
      <c r="AB231" s="17">
        <f t="shared" si="150"/>
        <v>0</v>
      </c>
      <c r="AC231" s="17">
        <f t="shared" si="151"/>
        <v>0</v>
      </c>
      <c r="AD231" s="18" t="e">
        <f t="shared" si="152"/>
        <v>#DIV/0!</v>
      </c>
      <c r="AE231">
        <v>24</v>
      </c>
      <c r="AF231" s="17">
        <f t="shared" si="153"/>
        <v>3</v>
      </c>
      <c r="AG231">
        <v>10</v>
      </c>
      <c r="AH231" s="17">
        <f t="shared" si="154"/>
        <v>1.25</v>
      </c>
      <c r="AI231">
        <v>14</v>
      </c>
      <c r="AJ231" s="17">
        <f t="shared" si="155"/>
        <v>1.75</v>
      </c>
      <c r="AK231">
        <v>7</v>
      </c>
      <c r="AL231" s="17">
        <f t="shared" si="156"/>
        <v>0.875</v>
      </c>
      <c r="AM231">
        <v>3</v>
      </c>
      <c r="AN231" s="17">
        <f t="shared" si="157"/>
        <v>0.375</v>
      </c>
      <c r="AO231">
        <v>0</v>
      </c>
      <c r="AQ231">
        <v>2</v>
      </c>
      <c r="AR231" s="17">
        <f t="shared" si="158"/>
        <v>0.25</v>
      </c>
      <c r="AS231">
        <v>19</v>
      </c>
      <c r="AT231" s="17">
        <f t="shared" si="159"/>
        <v>2.375</v>
      </c>
      <c r="BD231" s="65">
        <f t="shared" si="160"/>
        <v>42.5</v>
      </c>
      <c r="BE231" s="65">
        <f t="shared" si="161"/>
        <v>42.5</v>
      </c>
      <c r="BF231" s="66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8.0021673749089981</v>
      </c>
      <c r="BG231" s="38">
        <f t="shared" si="162"/>
        <v>0.9</v>
      </c>
      <c r="BH231" s="38">
        <f t="shared" si="163"/>
        <v>0</v>
      </c>
      <c r="BI231" s="67">
        <f>IFERROR(((AG231*(12000/5))/((F231*60+G231)*(SUMIFS(팀공격력!X:X,팀공격력!A:A,B231,팀공격력!B:B,D231)+SUMIFS(팀수비력!X:X,팀수비력!A:A,B231,팀수비력!B:B,D231))))*100,"")</f>
        <v>4.6847367373150988</v>
      </c>
      <c r="BJ231" s="67">
        <f>IFERROR(((AI231*(12000/5))/((F231*60+G231)*(SUMIFS(팀공격력!V:V,팀공격력!A:A,B231,팀공격력!B:B,D231)+SUMIFS(팀수비력!W:W,팀수비력!A:A,B231,팀수비력!B:B,D231))))*100,"")</f>
        <v>11.837529902093763</v>
      </c>
      <c r="BK231" s="67">
        <f>IFERROR(((AE231*(12000/5))/((F231*60+G231)*(SUMIFS(팀공격력!X:X,팀공격력!A:A,B231,팀공격력!B:B,D231)+SUMIFS(팀수비력!X:X,팀수비력!A:A,B231,팀수비력!B:B,D231))))*100,"")</f>
        <v>11.243368169556238</v>
      </c>
      <c r="BL231" s="67">
        <f>IFERROR(100*AK231/(((((F231*60+G231)/(12000/5))*SUMIFS(팀공격력!P:P,팀공격력!A:A,B231,팀공격력!B:B,D231))-K231)),"")</f>
        <v>7.4687247152548695</v>
      </c>
      <c r="BM231" s="67">
        <f>IFERROR(100*((AM231/E231*(2400))/((F231*60+G231)*SUMIFS(팀공격력!AR:AR,팀공격력!A:A,B231,팀공격력!B:B,D231))),"")</f>
        <v>1.4519612842362661</v>
      </c>
      <c r="BN231" s="67">
        <f>IFERROR((AO231*40)/(((F231*60+G231)/60)*(SUMIFS(팀수비력!Q:Q,팀수비력!A:A,B231,팀수비력!B:B,D231)-SUMIFS(팀수비력!N:N,팀수비력!A:A,B231,팀수비력!B:B,D231)))*100,"")</f>
        <v>0</v>
      </c>
      <c r="BO231" s="67">
        <f t="shared" si="164"/>
        <v>9.0909090909090917</v>
      </c>
      <c r="BT231" t="s">
        <v>89</v>
      </c>
      <c r="BV231" t="s">
        <v>93</v>
      </c>
      <c r="CF231">
        <v>1</v>
      </c>
      <c r="CG231">
        <v>7</v>
      </c>
    </row>
    <row r="232" spans="1:85" x14ac:dyDescent="0.4">
      <c r="A232" s="11" t="s">
        <v>85</v>
      </c>
      <c r="B232" t="s">
        <v>123</v>
      </c>
      <c r="C232" t="s">
        <v>129</v>
      </c>
      <c r="D232" s="46" t="s">
        <v>306</v>
      </c>
      <c r="E232">
        <v>2</v>
      </c>
      <c r="F232">
        <v>4</v>
      </c>
      <c r="G232" s="1">
        <v>44</v>
      </c>
      <c r="H232" s="16">
        <f t="shared" si="139"/>
        <v>568</v>
      </c>
      <c r="I232">
        <v>0</v>
      </c>
      <c r="J232" s="17">
        <f t="shared" si="140"/>
        <v>0</v>
      </c>
      <c r="K232">
        <v>0</v>
      </c>
      <c r="L232">
        <v>1</v>
      </c>
      <c r="M232" s="17">
        <f t="shared" si="141"/>
        <v>0</v>
      </c>
      <c r="N232" s="17">
        <f t="shared" si="142"/>
        <v>0.5</v>
      </c>
      <c r="O232" s="18">
        <f t="shared" si="143"/>
        <v>0</v>
      </c>
      <c r="P232">
        <v>0</v>
      </c>
      <c r="Q232">
        <v>1</v>
      </c>
      <c r="R232" s="17">
        <f t="shared" si="144"/>
        <v>0</v>
      </c>
      <c r="S232" s="17">
        <f t="shared" si="145"/>
        <v>0.5</v>
      </c>
      <c r="T232" s="18">
        <f t="shared" si="146"/>
        <v>0</v>
      </c>
      <c r="U232">
        <v>0</v>
      </c>
      <c r="V232">
        <v>0</v>
      </c>
      <c r="W232" s="17">
        <f t="shared" si="147"/>
        <v>0</v>
      </c>
      <c r="X232" s="17">
        <f t="shared" si="148"/>
        <v>0</v>
      </c>
      <c r="Y232" s="18" t="e">
        <f t="shared" si="149"/>
        <v>#DIV/0!</v>
      </c>
      <c r="Z232">
        <v>0</v>
      </c>
      <c r="AA232">
        <v>0</v>
      </c>
      <c r="AB232" s="17">
        <f t="shared" si="150"/>
        <v>0</v>
      </c>
      <c r="AC232" s="17">
        <f t="shared" si="151"/>
        <v>0</v>
      </c>
      <c r="AD232" s="18" t="e">
        <f t="shared" si="152"/>
        <v>#DIV/0!</v>
      </c>
      <c r="AE232">
        <v>0</v>
      </c>
      <c r="AF232" s="17">
        <f t="shared" si="153"/>
        <v>0</v>
      </c>
      <c r="AG232">
        <v>0</v>
      </c>
      <c r="AH232" s="17">
        <f t="shared" si="154"/>
        <v>0</v>
      </c>
      <c r="AI232">
        <v>0</v>
      </c>
      <c r="AJ232" s="17">
        <f t="shared" si="155"/>
        <v>0</v>
      </c>
      <c r="AK232">
        <v>0</v>
      </c>
      <c r="AL232" s="17">
        <f t="shared" si="156"/>
        <v>0</v>
      </c>
      <c r="AM232">
        <v>0</v>
      </c>
      <c r="AN232" s="17">
        <f t="shared" si="157"/>
        <v>0</v>
      </c>
      <c r="AO232">
        <v>0</v>
      </c>
      <c r="AQ232">
        <v>0</v>
      </c>
      <c r="AR232" s="17">
        <f t="shared" si="158"/>
        <v>0</v>
      </c>
      <c r="AS232">
        <v>2</v>
      </c>
      <c r="AT232" s="17">
        <f t="shared" si="159"/>
        <v>1</v>
      </c>
      <c r="BD232" s="65">
        <f t="shared" si="160"/>
        <v>0</v>
      </c>
      <c r="BE232" s="65">
        <f t="shared" si="161"/>
        <v>0</v>
      </c>
      <c r="BF232" s="66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1.2666682992613634</v>
      </c>
      <c r="BG232" s="38">
        <f t="shared" si="162"/>
        <v>0</v>
      </c>
      <c r="BH232" s="38">
        <f t="shared" si="163"/>
        <v>0</v>
      </c>
      <c r="BI232" s="67">
        <f>IFERROR(((AG232*(12000/5))/((F232*60+G232)*(SUMIFS(팀공격력!X:X,팀공격력!A:A,B232,팀공격력!B:B,D232)+SUMIFS(팀수비력!X:X,팀수비력!A:A,B232,팀수비력!B:B,D232))))*100,"")</f>
        <v>0</v>
      </c>
      <c r="BJ232" s="67">
        <f>IFERROR(((AI232*(12000/5))/((F232*60+G232)*(SUMIFS(팀공격력!V:V,팀공격력!A:A,B232,팀공격력!B:B,D232)+SUMIFS(팀수비력!W:W,팀수비력!A:A,B232,팀수비력!B:B,D232))))*100,"")</f>
        <v>0</v>
      </c>
      <c r="BK232" s="67">
        <f>IFERROR(((AE232*(12000/5))/((F232*60+G232)*(SUMIFS(팀공격력!X:X,팀공격력!A:A,B232,팀공격력!B:B,D232)+SUMIFS(팀수비력!X:X,팀수비력!A:A,B232,팀수비력!B:B,D232))))*100,"")</f>
        <v>0</v>
      </c>
      <c r="BL232" s="67">
        <f>IFERROR(100*AK232/(((((F232*60+G232)/(12000/5))*SUMIFS(팀공격력!P:P,팀공격력!A:A,B232,팀공격력!B:B,D232))-K232)),"")</f>
        <v>0</v>
      </c>
      <c r="BM232" s="67">
        <f>IFERROR(100*((AM232/E232*(2400))/((F232*60+G232)*SUMIFS(팀공격력!AR:AR,팀공격력!A:A,B232,팀공격력!B:B,D232))),"")</f>
        <v>0</v>
      </c>
      <c r="BN232" s="67">
        <f>IFERROR((AO232*40)/(((F232*60+G232)/60)*(SUMIFS(팀수비력!Q:Q,팀수비력!A:A,B232,팀수비력!B:B,D232)-SUMIFS(팀수비력!N:N,팀수비력!A:A,B232,팀수비력!B:B,D232)))*100,"")</f>
        <v>0</v>
      </c>
      <c r="BO232" s="67">
        <f t="shared" si="164"/>
        <v>0</v>
      </c>
      <c r="BT232" t="s">
        <v>89</v>
      </c>
      <c r="BV232" t="s">
        <v>93</v>
      </c>
      <c r="CF232">
        <v>0</v>
      </c>
      <c r="CG232">
        <v>2</v>
      </c>
    </row>
    <row r="233" spans="1:85" x14ac:dyDescent="0.4">
      <c r="A233" s="11" t="s">
        <v>85</v>
      </c>
      <c r="B233" t="s">
        <v>123</v>
      </c>
      <c r="C233" t="s">
        <v>130</v>
      </c>
      <c r="D233" s="46" t="s">
        <v>306</v>
      </c>
      <c r="E233">
        <v>8</v>
      </c>
      <c r="F233">
        <v>28</v>
      </c>
      <c r="G233" s="1">
        <v>24</v>
      </c>
      <c r="H233" s="16">
        <f t="shared" si="139"/>
        <v>13632</v>
      </c>
      <c r="I233">
        <v>102</v>
      </c>
      <c r="J233" s="17">
        <f t="shared" si="140"/>
        <v>12.75</v>
      </c>
      <c r="K233">
        <v>39</v>
      </c>
      <c r="L233">
        <v>68</v>
      </c>
      <c r="M233" s="17">
        <f t="shared" si="141"/>
        <v>4.875</v>
      </c>
      <c r="N233" s="17">
        <f t="shared" si="142"/>
        <v>8.5</v>
      </c>
      <c r="O233" s="18">
        <f t="shared" si="143"/>
        <v>0.57352941176470584</v>
      </c>
      <c r="P233">
        <v>29</v>
      </c>
      <c r="Q233">
        <v>42</v>
      </c>
      <c r="R233" s="17">
        <f t="shared" si="144"/>
        <v>3.625</v>
      </c>
      <c r="S233" s="17">
        <f t="shared" si="145"/>
        <v>5.25</v>
      </c>
      <c r="T233" s="18">
        <f t="shared" si="146"/>
        <v>0.69047619047619047</v>
      </c>
      <c r="U233">
        <v>10</v>
      </c>
      <c r="V233">
        <v>26</v>
      </c>
      <c r="W233" s="17">
        <f t="shared" si="147"/>
        <v>1.25</v>
      </c>
      <c r="X233" s="17">
        <f t="shared" si="148"/>
        <v>3.25</v>
      </c>
      <c r="Y233" s="18">
        <f t="shared" si="149"/>
        <v>0.38461538461538464</v>
      </c>
      <c r="Z233">
        <v>14</v>
      </c>
      <c r="AA233">
        <v>21</v>
      </c>
      <c r="AB233" s="17">
        <f t="shared" si="150"/>
        <v>1.75</v>
      </c>
      <c r="AC233" s="17">
        <f t="shared" si="151"/>
        <v>2.625</v>
      </c>
      <c r="AD233" s="18">
        <f t="shared" si="152"/>
        <v>0.66666666666666663</v>
      </c>
      <c r="AE233">
        <v>16</v>
      </c>
      <c r="AF233" s="17">
        <f t="shared" si="153"/>
        <v>2</v>
      </c>
      <c r="AG233">
        <v>3</v>
      </c>
      <c r="AH233" s="17">
        <f t="shared" si="154"/>
        <v>0.375</v>
      </c>
      <c r="AI233">
        <v>13</v>
      </c>
      <c r="AJ233" s="17">
        <f t="shared" si="155"/>
        <v>1.625</v>
      </c>
      <c r="AK233">
        <v>23</v>
      </c>
      <c r="AL233" s="17">
        <f t="shared" si="156"/>
        <v>2.875</v>
      </c>
      <c r="AM233">
        <v>4</v>
      </c>
      <c r="AN233" s="17">
        <f t="shared" si="157"/>
        <v>0.5</v>
      </c>
      <c r="AO233">
        <v>0</v>
      </c>
      <c r="AQ233">
        <v>11</v>
      </c>
      <c r="AR233" s="17">
        <f t="shared" si="158"/>
        <v>1.375</v>
      </c>
      <c r="AS233">
        <v>23</v>
      </c>
      <c r="AT233" s="17">
        <f t="shared" si="159"/>
        <v>2.875</v>
      </c>
      <c r="BD233" s="65">
        <f t="shared" si="160"/>
        <v>66.027964785085459</v>
      </c>
      <c r="BE233" s="65">
        <f t="shared" si="161"/>
        <v>64.705882352941174</v>
      </c>
      <c r="BF233" s="66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18.628468454470454</v>
      </c>
      <c r="BG233" s="38">
        <f t="shared" si="162"/>
        <v>0.38235294117647056</v>
      </c>
      <c r="BH233" s="38">
        <f t="shared" si="163"/>
        <v>0.30882352941176472</v>
      </c>
      <c r="BI233" s="67">
        <f>IFERROR(((AG233*(12000/5))/((F233*60+G233)*(SUMIFS(팀공격력!X:X,팀공격력!A:A,B233,팀공격력!B:B,D233)+SUMIFS(팀수비력!X:X,팀수비력!A:A,B233,팀수비력!B:B,D233))))*100,"")</f>
        <v>0.8157050410571538</v>
      </c>
      <c r="BJ233" s="67">
        <f>IFERROR(((AI233*(12000/5))/((F233*60+G233)*(SUMIFS(팀공격력!V:V,팀공격력!A:A,B233,팀공격력!B:B,D233)+SUMIFS(팀수비력!W:W,팀수비력!A:A,B233,팀수비력!B:B,D233))))*100,"")</f>
        <v>6.3797418658291205</v>
      </c>
      <c r="BK233" s="67">
        <f>IFERROR(((AE233*(12000/5))/((F233*60+G233)*(SUMIFS(팀공격력!X:X,팀공격력!A:A,B233,팀공격력!B:B,D233)+SUMIFS(팀수비력!X:X,팀수비력!A:A,B233,팀수비력!B:B,D233))))*100,"")</f>
        <v>4.3504268856381536</v>
      </c>
      <c r="BL233" s="67">
        <f>IFERROR(100*AK233/(((((F233*60+G233)/(12000/5))*SUMIFS(팀공격력!P:P,팀공격력!A:A,B233,팀공격력!B:B,D233))-K233)),"")</f>
        <v>17.316669176328865</v>
      </c>
      <c r="BM233" s="67">
        <f>IFERROR(100*((AM233/E233*(2400))/((F233*60+G233)*SUMIFS(팀공격력!AR:AR,팀공격력!A:A,B233,팀공격력!B:B,D233))),"")</f>
        <v>1.1236226213690668</v>
      </c>
      <c r="BN233" s="67">
        <f>IFERROR((AO233*40)/(((F233*60+G233)/60)*(SUMIFS(팀수비력!Q:Q,팀수비력!A:A,B233,팀수비력!B:B,D233)-SUMIFS(팀수비력!N:N,팀수비력!A:A,B233,팀수비력!B:B,D233)))*100,"")</f>
        <v>0</v>
      </c>
      <c r="BO233" s="67">
        <f t="shared" si="164"/>
        <v>12.466001813236629</v>
      </c>
      <c r="BT233" t="s">
        <v>113</v>
      </c>
      <c r="BV233" t="s">
        <v>90</v>
      </c>
      <c r="CF233">
        <v>1</v>
      </c>
      <c r="CG233">
        <v>7</v>
      </c>
    </row>
    <row r="234" spans="1:85" x14ac:dyDescent="0.4">
      <c r="A234" s="11" t="s">
        <v>85</v>
      </c>
      <c r="B234" t="s">
        <v>123</v>
      </c>
      <c r="C234" t="s">
        <v>131</v>
      </c>
      <c r="D234" s="46" t="s">
        <v>306</v>
      </c>
      <c r="E234">
        <v>7</v>
      </c>
      <c r="F234">
        <v>24</v>
      </c>
      <c r="G234" s="1">
        <v>7</v>
      </c>
      <c r="H234" s="16">
        <f t="shared" si="139"/>
        <v>10129</v>
      </c>
      <c r="I234">
        <v>68</v>
      </c>
      <c r="J234" s="17">
        <f t="shared" si="140"/>
        <v>9.7142857142857135</v>
      </c>
      <c r="K234">
        <v>23</v>
      </c>
      <c r="L234">
        <v>39</v>
      </c>
      <c r="M234" s="17">
        <f t="shared" si="141"/>
        <v>3.2857142857142856</v>
      </c>
      <c r="N234" s="17">
        <f t="shared" si="142"/>
        <v>5.5714285714285712</v>
      </c>
      <c r="O234" s="18">
        <f t="shared" si="143"/>
        <v>0.58974358974358976</v>
      </c>
      <c r="P234">
        <v>18</v>
      </c>
      <c r="Q234">
        <v>27</v>
      </c>
      <c r="R234" s="17">
        <f t="shared" si="144"/>
        <v>2.5714285714285716</v>
      </c>
      <c r="S234" s="17">
        <f t="shared" si="145"/>
        <v>3.8571428571428572</v>
      </c>
      <c r="T234" s="18">
        <f t="shared" si="146"/>
        <v>0.66666666666666663</v>
      </c>
      <c r="U234">
        <v>5</v>
      </c>
      <c r="V234">
        <v>12</v>
      </c>
      <c r="W234" s="17">
        <f t="shared" si="147"/>
        <v>0.7142857142857143</v>
      </c>
      <c r="X234" s="17">
        <f t="shared" si="148"/>
        <v>1.7142857142857142</v>
      </c>
      <c r="Y234" s="18">
        <f t="shared" si="149"/>
        <v>0.41666666666666669</v>
      </c>
      <c r="Z234">
        <v>17</v>
      </c>
      <c r="AA234">
        <v>21</v>
      </c>
      <c r="AB234" s="17">
        <f t="shared" si="150"/>
        <v>2.4285714285714284</v>
      </c>
      <c r="AC234" s="17">
        <f t="shared" si="151"/>
        <v>3</v>
      </c>
      <c r="AD234" s="18">
        <f t="shared" si="152"/>
        <v>0.80952380952380953</v>
      </c>
      <c r="AE234">
        <v>25</v>
      </c>
      <c r="AF234" s="17">
        <f t="shared" si="153"/>
        <v>3.5714285714285716</v>
      </c>
      <c r="AG234">
        <v>15</v>
      </c>
      <c r="AH234" s="17">
        <f t="shared" si="154"/>
        <v>2.1428571428571428</v>
      </c>
      <c r="AI234">
        <v>10</v>
      </c>
      <c r="AJ234" s="17">
        <f t="shared" si="155"/>
        <v>1.4285714285714286</v>
      </c>
      <c r="AK234">
        <v>10</v>
      </c>
      <c r="AL234" s="17">
        <f t="shared" si="156"/>
        <v>1.4285714285714286</v>
      </c>
      <c r="AM234">
        <v>4</v>
      </c>
      <c r="AN234" s="17">
        <f t="shared" si="157"/>
        <v>0.5714285714285714</v>
      </c>
      <c r="AO234">
        <v>2</v>
      </c>
      <c r="AQ234">
        <v>4</v>
      </c>
      <c r="AR234" s="17">
        <f t="shared" si="158"/>
        <v>0.5714285714285714</v>
      </c>
      <c r="AS234">
        <v>19</v>
      </c>
      <c r="AT234" s="17">
        <f t="shared" si="159"/>
        <v>2.7142857142857144</v>
      </c>
      <c r="BD234" s="65">
        <f t="shared" si="160"/>
        <v>70.48092868988391</v>
      </c>
      <c r="BE234" s="65">
        <f t="shared" si="161"/>
        <v>65.384615384615387</v>
      </c>
      <c r="BF234" s="66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12.987210473233914</v>
      </c>
      <c r="BG234" s="38">
        <f t="shared" si="162"/>
        <v>0.30769230769230771</v>
      </c>
      <c r="BH234" s="38">
        <f t="shared" si="163"/>
        <v>0.53846153846153844</v>
      </c>
      <c r="BI234" s="67">
        <f>IFERROR(((AG234*(12000/5))/((F234*60+G234)*(SUMIFS(팀공격력!X:X,팀공격력!A:A,B234,팀공격력!B:B,D234)+SUMIFS(팀수비력!X:X,팀수비력!A:A,B234,팀수비력!B:B,D234))))*100,"")</f>
        <v>4.802907359921873</v>
      </c>
      <c r="BJ234" s="67">
        <f>IFERROR(((AI234*(12000/5))/((F234*60+G234)*(SUMIFS(팀공격력!V:V,팀공격력!A:A,B234,팀공격력!B:B,D234)+SUMIFS(팀수비력!W:W,팀수비력!A:A,B234,팀수비력!B:B,D234))))*100,"")</f>
        <v>5.7791080428328225</v>
      </c>
      <c r="BK234" s="67">
        <f>IFERROR(((AE234*(12000/5))/((F234*60+G234)*(SUMIFS(팀공격력!X:X,팀공격력!A:A,B234,팀공격력!B:B,D234)+SUMIFS(팀수비력!X:X,팀수비력!A:A,B234,팀수비력!B:B,D234))))*100,"")</f>
        <v>8.0048455998697872</v>
      </c>
      <c r="BL234" s="67">
        <f>IFERROR(100*AK234/(((((F234*60+G234)/(12000/5))*SUMIFS(팀공격력!P:P,팀공격력!A:A,B234,팀공격력!B:B,D234))-K234)),"")</f>
        <v>8.1363103188755623</v>
      </c>
      <c r="BM234" s="67">
        <f>IFERROR(100*((AM234/E234*(2400))/((F234*60+G234)*SUMIFS(팀공격력!AR:AR,팀공격력!A:A,B234,팀공격력!B:B,D234))),"")</f>
        <v>1.5122147867018578</v>
      </c>
      <c r="BN234" s="67">
        <f>IFERROR((AO234*40)/(((F234*60+G234)/60)*(SUMIFS(팀수비력!Q:Q,팀수비력!A:A,B234,팀수비력!B:B,D234)-SUMIFS(팀수비력!N:N,팀수비력!A:A,B234,팀수비력!B:B,D234)))*100,"")</f>
        <v>1.0206793897187816</v>
      </c>
      <c r="BO234" s="67">
        <f t="shared" si="164"/>
        <v>7.656967840735069</v>
      </c>
      <c r="BT234" t="s">
        <v>89</v>
      </c>
      <c r="BV234" t="s">
        <v>93</v>
      </c>
      <c r="CF234">
        <v>1</v>
      </c>
      <c r="CG234">
        <v>6</v>
      </c>
    </row>
    <row r="235" spans="1:85" x14ac:dyDescent="0.4">
      <c r="A235" s="11" t="s">
        <v>85</v>
      </c>
      <c r="B235" t="s">
        <v>123</v>
      </c>
      <c r="C235" t="s">
        <v>132</v>
      </c>
      <c r="D235" s="46" t="s">
        <v>306</v>
      </c>
      <c r="E235">
        <v>4</v>
      </c>
      <c r="F235">
        <v>15</v>
      </c>
      <c r="G235" s="1">
        <v>55</v>
      </c>
      <c r="H235" s="16">
        <f t="shared" si="139"/>
        <v>3820</v>
      </c>
      <c r="I235">
        <v>15</v>
      </c>
      <c r="J235" s="17">
        <f t="shared" si="140"/>
        <v>3.75</v>
      </c>
      <c r="K235">
        <v>6</v>
      </c>
      <c r="L235">
        <v>19</v>
      </c>
      <c r="M235" s="17">
        <f t="shared" si="141"/>
        <v>1.5</v>
      </c>
      <c r="N235" s="17">
        <f t="shared" si="142"/>
        <v>4.75</v>
      </c>
      <c r="O235" s="18">
        <f t="shared" si="143"/>
        <v>0.31578947368421051</v>
      </c>
      <c r="P235">
        <v>4</v>
      </c>
      <c r="Q235">
        <v>9</v>
      </c>
      <c r="R235" s="17">
        <f t="shared" si="144"/>
        <v>1</v>
      </c>
      <c r="S235" s="17">
        <f t="shared" si="145"/>
        <v>2.25</v>
      </c>
      <c r="T235" s="18">
        <f t="shared" si="146"/>
        <v>0.44444444444444442</v>
      </c>
      <c r="U235">
        <v>2</v>
      </c>
      <c r="V235">
        <v>10</v>
      </c>
      <c r="W235" s="17">
        <f t="shared" si="147"/>
        <v>0.5</v>
      </c>
      <c r="X235" s="17">
        <f t="shared" si="148"/>
        <v>2.5</v>
      </c>
      <c r="Y235" s="18">
        <f t="shared" si="149"/>
        <v>0.2</v>
      </c>
      <c r="Z235">
        <v>1</v>
      </c>
      <c r="AA235">
        <v>3</v>
      </c>
      <c r="AB235" s="17">
        <f t="shared" si="150"/>
        <v>0.25</v>
      </c>
      <c r="AC235" s="17">
        <f t="shared" si="151"/>
        <v>0.75</v>
      </c>
      <c r="AD235" s="18">
        <f t="shared" si="152"/>
        <v>0.33333333333333331</v>
      </c>
      <c r="AE235">
        <v>15</v>
      </c>
      <c r="AF235" s="17">
        <f t="shared" si="153"/>
        <v>3.75</v>
      </c>
      <c r="AG235">
        <v>6</v>
      </c>
      <c r="AH235" s="17">
        <f t="shared" si="154"/>
        <v>1.5</v>
      </c>
      <c r="AI235">
        <v>9</v>
      </c>
      <c r="AJ235" s="17">
        <f t="shared" si="155"/>
        <v>2.25</v>
      </c>
      <c r="AK235">
        <v>1</v>
      </c>
      <c r="AL235" s="17">
        <f t="shared" si="156"/>
        <v>0.25</v>
      </c>
      <c r="AM235">
        <v>1</v>
      </c>
      <c r="AN235" s="17">
        <f t="shared" si="157"/>
        <v>0.25</v>
      </c>
      <c r="AO235">
        <v>0</v>
      </c>
      <c r="AQ235">
        <v>6</v>
      </c>
      <c r="AR235" s="17">
        <f t="shared" si="158"/>
        <v>1.5</v>
      </c>
      <c r="AS235">
        <v>10</v>
      </c>
      <c r="AT235" s="17">
        <f t="shared" si="159"/>
        <v>2.5</v>
      </c>
      <c r="BD235" s="65">
        <f t="shared" si="160"/>
        <v>36.909448818897637</v>
      </c>
      <c r="BE235" s="65">
        <f t="shared" si="161"/>
        <v>36.84210526315789</v>
      </c>
      <c r="BF235" s="66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9.9143387819714999</v>
      </c>
      <c r="BG235" s="38">
        <f t="shared" si="162"/>
        <v>0.52631578947368418</v>
      </c>
      <c r="BH235" s="38">
        <f t="shared" si="163"/>
        <v>0.15789473684210525</v>
      </c>
      <c r="BI235" s="67">
        <f>IFERROR(((AG235*(12000/5))/((F235*60+G235)*(SUMIFS(팀공격력!X:X,팀공격력!A:A,B235,팀공격력!B:B,D235)+SUMIFS(팀수비력!X:X,팀수비력!A:A,B235,팀수비력!B:B,D235))))*100,"")</f>
        <v>2.9109139056783038</v>
      </c>
      <c r="BJ235" s="67">
        <f>IFERROR(((AI235*(12000/5))/((F235*60+G235)*(SUMIFS(팀공격력!V:V,팀공격력!A:A,B235,팀공격력!B:B,D235)+SUMIFS(팀수비력!W:W,팀수비력!A:A,B235,팀수비력!B:B,D235))))*100,"")</f>
        <v>7.880766915372968</v>
      </c>
      <c r="BK235" s="67">
        <f>IFERROR(((AE235*(12000/5))/((F235*60+G235)*(SUMIFS(팀공격력!X:X,팀공격력!A:A,B235,팀공격력!B:B,D235)+SUMIFS(팀수비력!X:X,팀수비력!A:A,B235,팀수비력!B:B,D235))))*100,"")</f>
        <v>7.277284764195759</v>
      </c>
      <c r="BL235" s="67">
        <f>IFERROR(100*AK235/(((((F235*60+G235)/(12000/5))*SUMIFS(팀공격력!P:P,팀공격력!A:A,B235,팀공격력!B:B,D235))-K235)),"")</f>
        <v>1.1074708135296019</v>
      </c>
      <c r="BM235" s="67">
        <f>IFERROR(100*((AM235/E235*(2400))/((F235*60+G235)*SUMIFS(팀공격력!AR:AR,팀공격력!A:A,B235,팀공격력!B:B,D235))),"")</f>
        <v>1.0024360978077957</v>
      </c>
      <c r="BN235" s="67">
        <f>IFERROR((AO235*40)/(((F235*60+G235)/60)*(SUMIFS(팀수비력!Q:Q,팀수비력!A:A,B235,팀수비력!B:B,D235)-SUMIFS(팀수비력!N:N,팀수비력!A:A,B235,팀수비력!B:B,D235)))*100,"")</f>
        <v>0</v>
      </c>
      <c r="BO235" s="67">
        <f t="shared" si="164"/>
        <v>22.796352583586625</v>
      </c>
      <c r="BT235" t="s">
        <v>89</v>
      </c>
      <c r="BV235" t="s">
        <v>102</v>
      </c>
      <c r="CF235">
        <v>0</v>
      </c>
      <c r="CG235">
        <v>4</v>
      </c>
    </row>
    <row r="236" spans="1:85" x14ac:dyDescent="0.4">
      <c r="A236" s="11" t="s">
        <v>85</v>
      </c>
      <c r="B236" t="s">
        <v>123</v>
      </c>
      <c r="C236" t="s">
        <v>134</v>
      </c>
      <c r="D236" s="46" t="s">
        <v>306</v>
      </c>
      <c r="E236">
        <v>7</v>
      </c>
      <c r="F236">
        <v>27</v>
      </c>
      <c r="G236" s="1">
        <v>50</v>
      </c>
      <c r="H236" s="16">
        <f t="shared" si="139"/>
        <v>11690</v>
      </c>
      <c r="I236">
        <v>181</v>
      </c>
      <c r="J236" s="17">
        <f t="shared" si="140"/>
        <v>25.857142857142858</v>
      </c>
      <c r="K236">
        <v>65</v>
      </c>
      <c r="L236">
        <v>142</v>
      </c>
      <c r="M236" s="17">
        <f t="shared" si="141"/>
        <v>9.2857142857142865</v>
      </c>
      <c r="N236" s="17">
        <f t="shared" si="142"/>
        <v>20.285714285714285</v>
      </c>
      <c r="O236" s="18">
        <f t="shared" si="143"/>
        <v>0.45774647887323944</v>
      </c>
      <c r="P236">
        <v>44</v>
      </c>
      <c r="Q236">
        <v>97</v>
      </c>
      <c r="R236" s="17">
        <f t="shared" si="144"/>
        <v>6.2857142857142856</v>
      </c>
      <c r="S236" s="17">
        <f t="shared" si="145"/>
        <v>13.857142857142858</v>
      </c>
      <c r="T236" s="18">
        <f t="shared" si="146"/>
        <v>0.45360824742268041</v>
      </c>
      <c r="U236">
        <v>21</v>
      </c>
      <c r="V236">
        <v>45</v>
      </c>
      <c r="W236" s="17">
        <f t="shared" si="147"/>
        <v>3</v>
      </c>
      <c r="X236" s="17">
        <f t="shared" si="148"/>
        <v>6.4285714285714288</v>
      </c>
      <c r="Y236" s="18">
        <f t="shared" si="149"/>
        <v>0.46666666666666667</v>
      </c>
      <c r="Z236">
        <v>30</v>
      </c>
      <c r="AA236">
        <v>38</v>
      </c>
      <c r="AB236" s="17">
        <f t="shared" si="150"/>
        <v>4.2857142857142856</v>
      </c>
      <c r="AC236" s="17">
        <f t="shared" si="151"/>
        <v>5.4285714285714288</v>
      </c>
      <c r="AD236" s="18">
        <f t="shared" si="152"/>
        <v>0.78947368421052633</v>
      </c>
      <c r="AE236">
        <v>43</v>
      </c>
      <c r="AF236" s="17">
        <f t="shared" si="153"/>
        <v>6.1428571428571432</v>
      </c>
      <c r="AG236">
        <v>14</v>
      </c>
      <c r="AH236" s="17">
        <f t="shared" si="154"/>
        <v>2</v>
      </c>
      <c r="AI236">
        <v>29</v>
      </c>
      <c r="AJ236" s="17">
        <f t="shared" si="155"/>
        <v>4.1428571428571432</v>
      </c>
      <c r="AK236">
        <v>4</v>
      </c>
      <c r="AL236" s="17">
        <f t="shared" si="156"/>
        <v>0.5714285714285714</v>
      </c>
      <c r="AM236">
        <v>6</v>
      </c>
      <c r="AN236" s="17">
        <f t="shared" si="157"/>
        <v>0.8571428571428571</v>
      </c>
      <c r="AO236">
        <v>0</v>
      </c>
      <c r="AQ236">
        <v>10</v>
      </c>
      <c r="AR236" s="17">
        <f t="shared" si="158"/>
        <v>1.4285714285714286</v>
      </c>
      <c r="AS236">
        <v>7</v>
      </c>
      <c r="AT236" s="17">
        <f t="shared" si="159"/>
        <v>1</v>
      </c>
      <c r="BD236" s="65">
        <f t="shared" si="160"/>
        <v>57.018649193548384</v>
      </c>
      <c r="BE236" s="65">
        <f t="shared" si="161"/>
        <v>53.16901408450704</v>
      </c>
      <c r="BF236" s="66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36.343883968976733</v>
      </c>
      <c r="BG236" s="38">
        <f t="shared" si="162"/>
        <v>0.31690140845070425</v>
      </c>
      <c r="BH236" s="38">
        <f t="shared" si="163"/>
        <v>0.26760563380281688</v>
      </c>
      <c r="BI236" s="67">
        <f>IFERROR(((AG236*(12000/5))/((F236*60+G236)*(SUMIFS(팀공격력!X:X,팀공격력!A:A,B236,팀공격력!B:B,D236)+SUMIFS(팀수비력!X:X,팀수비력!A:A,B236,팀수비력!B:B,D236))))*100,"")</f>
        <v>3.8841236446026861</v>
      </c>
      <c r="BJ236" s="67">
        <f>IFERROR(((AI236*(12000/5))/((F236*60+G236)*(SUMIFS(팀공격력!V:V,팀공격력!A:A,B236,팀공격력!B:B,D236)+SUMIFS(팀수비력!W:W,팀수비력!A:A,B236,팀수비력!B:B,D236))))*100,"")</f>
        <v>14.521479688706213</v>
      </c>
      <c r="BK236" s="67">
        <f>IFERROR(((AE236*(12000/5))/((F236*60+G236)*(SUMIFS(팀공격력!X:X,팀공격력!A:A,B236,팀공격력!B:B,D236)+SUMIFS(팀수비력!X:X,팀수비력!A:A,B236,팀수비력!B:B,D236))))*100,"")</f>
        <v>11.929808336993966</v>
      </c>
      <c r="BL236" s="67">
        <f>IFERROR(100*AK236/(((((F236*60+G236)/(12000/5))*SUMIFS(팀공격력!P:P,팀공격력!A:A,B236,팀공격력!B:B,D236))-K236)),"")</f>
        <v>3.8687837511082459</v>
      </c>
      <c r="BM236" s="67">
        <f>IFERROR(100*((AM236/E236*(2400))/((F236*60+G236)*SUMIFS(팀공격력!AR:AR,팀공격력!A:A,B236,팀공격력!B:B,D236))),"")</f>
        <v>1.9654264637942409</v>
      </c>
      <c r="BN236" s="67">
        <f>IFERROR((AO236*40)/(((F236*60+G236)/60)*(SUMIFS(팀수비력!Q:Q,팀수비력!A:A,B236,팀수비력!B:B,D236)-SUMIFS(팀수비력!N:N,팀수비력!A:A,B236,팀수비력!B:B,D236)))*100,"")</f>
        <v>0</v>
      </c>
      <c r="BO236" s="67">
        <f t="shared" si="164"/>
        <v>5.9269796111901378</v>
      </c>
      <c r="BT236" t="s">
        <v>96</v>
      </c>
      <c r="BV236" t="s">
        <v>93</v>
      </c>
      <c r="CF236">
        <v>1</v>
      </c>
      <c r="CG236">
        <v>6</v>
      </c>
    </row>
    <row r="237" spans="1:85" x14ac:dyDescent="0.4">
      <c r="A237" s="11" t="s">
        <v>85</v>
      </c>
      <c r="B237" t="s">
        <v>123</v>
      </c>
      <c r="C237" t="s">
        <v>135</v>
      </c>
      <c r="D237" s="46" t="s">
        <v>306</v>
      </c>
      <c r="E237">
        <v>8</v>
      </c>
      <c r="F237">
        <v>14</v>
      </c>
      <c r="G237" s="1">
        <v>38</v>
      </c>
      <c r="H237" s="16">
        <f t="shared" si="139"/>
        <v>7024</v>
      </c>
      <c r="I237">
        <v>55</v>
      </c>
      <c r="J237" s="17">
        <f t="shared" si="140"/>
        <v>6.875</v>
      </c>
      <c r="K237">
        <v>22</v>
      </c>
      <c r="L237">
        <v>45</v>
      </c>
      <c r="M237" s="17">
        <f t="shared" si="141"/>
        <v>2.75</v>
      </c>
      <c r="N237" s="17">
        <f t="shared" si="142"/>
        <v>5.625</v>
      </c>
      <c r="O237" s="18">
        <f t="shared" si="143"/>
        <v>0.48888888888888887</v>
      </c>
      <c r="P237">
        <v>22</v>
      </c>
      <c r="Q237">
        <v>45</v>
      </c>
      <c r="R237" s="17">
        <f t="shared" si="144"/>
        <v>2.75</v>
      </c>
      <c r="S237" s="17">
        <f t="shared" si="145"/>
        <v>5.625</v>
      </c>
      <c r="T237" s="18">
        <f t="shared" si="146"/>
        <v>0.48888888888888887</v>
      </c>
      <c r="U237">
        <v>0</v>
      </c>
      <c r="V237">
        <v>0</v>
      </c>
      <c r="W237" s="17">
        <f t="shared" si="147"/>
        <v>0</v>
      </c>
      <c r="X237" s="17">
        <f t="shared" si="148"/>
        <v>0</v>
      </c>
      <c r="Y237" s="18" t="e">
        <f t="shared" si="149"/>
        <v>#DIV/0!</v>
      </c>
      <c r="Z237">
        <v>11</v>
      </c>
      <c r="AA237">
        <v>19</v>
      </c>
      <c r="AB237" s="17">
        <f t="shared" si="150"/>
        <v>1.375</v>
      </c>
      <c r="AC237" s="17">
        <f t="shared" si="151"/>
        <v>2.375</v>
      </c>
      <c r="AD237" s="18">
        <f t="shared" si="152"/>
        <v>0.57894736842105265</v>
      </c>
      <c r="AE237">
        <v>30</v>
      </c>
      <c r="AF237" s="17">
        <f t="shared" si="153"/>
        <v>3.75</v>
      </c>
      <c r="AG237">
        <v>13</v>
      </c>
      <c r="AH237" s="17">
        <f t="shared" si="154"/>
        <v>1.625</v>
      </c>
      <c r="AI237">
        <v>17</v>
      </c>
      <c r="AJ237" s="17">
        <f t="shared" si="155"/>
        <v>2.125</v>
      </c>
      <c r="AK237">
        <v>3</v>
      </c>
      <c r="AL237" s="17">
        <f t="shared" si="156"/>
        <v>0.375</v>
      </c>
      <c r="AM237">
        <v>3</v>
      </c>
      <c r="AN237" s="17">
        <f t="shared" si="157"/>
        <v>0.375</v>
      </c>
      <c r="AO237">
        <v>1</v>
      </c>
      <c r="AQ237">
        <v>2</v>
      </c>
      <c r="AR237" s="17">
        <f t="shared" si="158"/>
        <v>0.25</v>
      </c>
      <c r="AS237">
        <v>9</v>
      </c>
      <c r="AT237" s="17">
        <f t="shared" si="159"/>
        <v>1.125</v>
      </c>
      <c r="BD237" s="65">
        <f t="shared" si="160"/>
        <v>51.536731634182907</v>
      </c>
      <c r="BE237" s="65">
        <f t="shared" si="161"/>
        <v>48.888888888888886</v>
      </c>
      <c r="BF237" s="66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22.682076311365581</v>
      </c>
      <c r="BG237" s="38">
        <f t="shared" si="162"/>
        <v>0</v>
      </c>
      <c r="BH237" s="38">
        <f t="shared" si="163"/>
        <v>0.42222222222222222</v>
      </c>
      <c r="BI237" s="67">
        <f>IFERROR(((AG237*(12000/5))/((F237*60+G237)*(SUMIFS(팀공격력!X:X,팀공격력!A:A,B237,팀공격력!B:B,D237)+SUMIFS(팀수비력!X:X,팀수비력!A:A,B237,팀수비력!B:B,D237))))*100,"")</f>
        <v>6.8600979762710974</v>
      </c>
      <c r="BJ237" s="67">
        <f>IFERROR(((AI237*(12000/5))/((F237*60+G237)*(SUMIFS(팀공격력!V:V,팀공격력!A:A,B237,팀공격력!B:B,D237)+SUMIFS(팀수비력!W:W,팀수비력!A:A,B237,팀수비력!B:B,D237))))*100,"")</f>
        <v>16.191375711349043</v>
      </c>
      <c r="BK237" s="67">
        <f>IFERROR(((AE237*(12000/5))/((F237*60+G237)*(SUMIFS(팀공격력!X:X,팀공격력!A:A,B237,팀공격력!B:B,D237)+SUMIFS(팀수비력!X:X,팀수비력!A:A,B237,팀수비력!B:B,D237))))*100,"")</f>
        <v>15.830995329856378</v>
      </c>
      <c r="BL237" s="67">
        <f>IFERROR(100*AK237/(((((F237*60+G237)/(12000/5))*SUMIFS(팀공격력!P:P,팀공격력!A:A,B237,팀공격력!B:B,D237))-K237)),"")</f>
        <v>4.509130990255267</v>
      </c>
      <c r="BM237" s="67">
        <f>IFERROR(100*((AM237/E237*(2400))/((F237*60+G237)*SUMIFS(팀공격력!AR:AR,팀공격력!A:A,B237,팀공격력!B:B,D237))),"")</f>
        <v>1.6355235878242225</v>
      </c>
      <c r="BN237" s="67">
        <f>IFERROR((AO237*40)/(((F237*60+G237)/60)*(SUMIFS(팀수비력!Q:Q,팀수비력!A:A,B237,팀수비력!B:B,D237)-SUMIFS(팀수비력!N:N,팀수비력!A:A,B237,팀수비력!B:B,D237)))*100,"")</f>
        <v>0.84107236726826706</v>
      </c>
      <c r="BO237" s="67">
        <f t="shared" si="164"/>
        <v>3.6127167630057806</v>
      </c>
      <c r="BT237" t="s">
        <v>96</v>
      </c>
      <c r="BV237" t="s">
        <v>93</v>
      </c>
      <c r="CF237">
        <v>1</v>
      </c>
      <c r="CG237">
        <v>7</v>
      </c>
    </row>
    <row r="238" spans="1:85" x14ac:dyDescent="0.4">
      <c r="A238" s="11" t="s">
        <v>85</v>
      </c>
      <c r="B238" t="s">
        <v>123</v>
      </c>
      <c r="C238" t="s">
        <v>137</v>
      </c>
      <c r="D238" s="46" t="s">
        <v>306</v>
      </c>
      <c r="E238">
        <v>8</v>
      </c>
      <c r="F238">
        <v>15</v>
      </c>
      <c r="G238" s="1">
        <v>25</v>
      </c>
      <c r="H238" s="16">
        <f t="shared" si="139"/>
        <v>7400</v>
      </c>
      <c r="I238">
        <v>53</v>
      </c>
      <c r="J238" s="17">
        <f t="shared" si="140"/>
        <v>6.625</v>
      </c>
      <c r="K238">
        <v>19</v>
      </c>
      <c r="L238">
        <v>42</v>
      </c>
      <c r="M238" s="17">
        <f t="shared" si="141"/>
        <v>2.375</v>
      </c>
      <c r="N238" s="17">
        <f t="shared" si="142"/>
        <v>5.25</v>
      </c>
      <c r="O238" s="18">
        <f t="shared" si="143"/>
        <v>0.45238095238095238</v>
      </c>
      <c r="P238">
        <v>8</v>
      </c>
      <c r="Q238">
        <v>17</v>
      </c>
      <c r="R238" s="17">
        <f t="shared" si="144"/>
        <v>1</v>
      </c>
      <c r="S238" s="17">
        <f t="shared" si="145"/>
        <v>2.125</v>
      </c>
      <c r="T238" s="18">
        <f t="shared" si="146"/>
        <v>0.47058823529411764</v>
      </c>
      <c r="U238">
        <v>11</v>
      </c>
      <c r="V238">
        <v>25</v>
      </c>
      <c r="W238" s="17">
        <f t="shared" si="147"/>
        <v>1.375</v>
      </c>
      <c r="X238" s="17">
        <f t="shared" si="148"/>
        <v>3.125</v>
      </c>
      <c r="Y238" s="18">
        <f t="shared" si="149"/>
        <v>0.44</v>
      </c>
      <c r="Z238">
        <v>4</v>
      </c>
      <c r="AA238">
        <v>9</v>
      </c>
      <c r="AB238" s="17">
        <f t="shared" si="150"/>
        <v>0.5</v>
      </c>
      <c r="AC238" s="17">
        <f t="shared" si="151"/>
        <v>1.125</v>
      </c>
      <c r="AD238" s="18">
        <f t="shared" si="152"/>
        <v>0.44444444444444442</v>
      </c>
      <c r="AE238">
        <v>11</v>
      </c>
      <c r="AF238" s="17">
        <f t="shared" si="153"/>
        <v>1.375</v>
      </c>
      <c r="AG238">
        <v>4</v>
      </c>
      <c r="AH238" s="17">
        <f t="shared" si="154"/>
        <v>0.5</v>
      </c>
      <c r="AI238">
        <v>7</v>
      </c>
      <c r="AJ238" s="17">
        <f t="shared" si="155"/>
        <v>0.875</v>
      </c>
      <c r="AK238">
        <v>18</v>
      </c>
      <c r="AL238" s="17">
        <f t="shared" si="156"/>
        <v>2.25</v>
      </c>
      <c r="AM238">
        <v>4</v>
      </c>
      <c r="AN238" s="17">
        <f t="shared" si="157"/>
        <v>0.5</v>
      </c>
      <c r="AO238">
        <v>0</v>
      </c>
      <c r="AQ238">
        <v>11</v>
      </c>
      <c r="AR238" s="17">
        <f t="shared" si="158"/>
        <v>1.375</v>
      </c>
      <c r="AS238">
        <v>15</v>
      </c>
      <c r="AT238" s="17">
        <f t="shared" si="159"/>
        <v>1.875</v>
      </c>
      <c r="BD238" s="65">
        <f t="shared" si="160"/>
        <v>57.658833768494347</v>
      </c>
      <c r="BE238" s="65">
        <f t="shared" si="161"/>
        <v>58.333333333333336</v>
      </c>
      <c r="BF238" s="66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22.151823866554967</v>
      </c>
      <c r="BG238" s="38">
        <f t="shared" si="162"/>
        <v>0.59523809523809523</v>
      </c>
      <c r="BH238" s="38">
        <f t="shared" si="163"/>
        <v>0.21428571428571427</v>
      </c>
      <c r="BI238" s="67">
        <f>IFERROR(((AG238*(12000/5))/((F238*60+G238)*(SUMIFS(팀공격력!X:X,팀공격력!A:A,B238,팀공격력!B:B,D238)+SUMIFS(팀수비력!X:X,팀수비력!A:A,B238,팀수비력!B:B,D238))))*100,"")</f>
        <v>2.0035479494938953</v>
      </c>
      <c r="BJ238" s="67">
        <f>IFERROR(((AI238*(12000/5))/((F238*60+G238)*(SUMIFS(팀공격력!V:V,팀공격력!A:A,B238,팀공격력!B:B,D238)+SUMIFS(팀수비력!W:W,팀수비력!A:A,B238,팀수비력!B:B,D238))))*100,"")</f>
        <v>6.3282794990112068</v>
      </c>
      <c r="BK238" s="67">
        <f>IFERROR(((AE238*(12000/5))/((F238*60+G238)*(SUMIFS(팀공격력!X:X,팀공격력!A:A,B238,팀공격력!B:B,D238)+SUMIFS(팀수비력!X:X,팀수비력!A:A,B238,팀수비력!B:B,D238))))*100,"")</f>
        <v>5.5097568611082126</v>
      </c>
      <c r="BL238" s="67">
        <f>IFERROR(100*AK238/(((((F238*60+G238)/(12000/5))*SUMIFS(팀공격력!P:P,팀공격력!A:A,B238,팀공격력!B:B,D238))-K238)),"")</f>
        <v>24.235624123422156</v>
      </c>
      <c r="BM238" s="67">
        <f>IFERROR(100*((AM238/E238*(2400))/((F238*60+G238)*SUMIFS(팀공격력!AR:AR,팀공격력!A:A,B238,팀공격력!B:B,D238))),"")</f>
        <v>2.0698950776355569</v>
      </c>
      <c r="BN238" s="67">
        <f>IFERROR((AO238*40)/(((F238*60+G238)/60)*(SUMIFS(팀수비력!Q:Q,팀수비력!A:A,B238,팀수비력!B:B,D238)-SUMIFS(팀수비력!N:N,팀수비력!A:A,B238,팀수비력!B:B,D238)))*100,"")</f>
        <v>0</v>
      </c>
      <c r="BO238" s="67">
        <f t="shared" si="164"/>
        <v>19.311797752808989</v>
      </c>
      <c r="BT238" t="s">
        <v>89</v>
      </c>
      <c r="BV238" t="s">
        <v>90</v>
      </c>
      <c r="CF238">
        <v>1</v>
      </c>
      <c r="CG238">
        <v>7</v>
      </c>
    </row>
    <row r="239" spans="1:85" x14ac:dyDescent="0.4">
      <c r="A239" s="11" t="s">
        <v>85</v>
      </c>
      <c r="B239" t="s">
        <v>123</v>
      </c>
      <c r="C239" t="s">
        <v>138</v>
      </c>
      <c r="D239" s="46" t="s">
        <v>306</v>
      </c>
      <c r="E239">
        <v>6</v>
      </c>
      <c r="F239">
        <v>10</v>
      </c>
      <c r="G239" s="1">
        <v>51</v>
      </c>
      <c r="H239" s="16">
        <f t="shared" si="139"/>
        <v>3906</v>
      </c>
      <c r="I239">
        <v>16</v>
      </c>
      <c r="J239" s="17">
        <f t="shared" si="140"/>
        <v>2.6666666666666665</v>
      </c>
      <c r="K239">
        <v>7</v>
      </c>
      <c r="L239">
        <v>23</v>
      </c>
      <c r="M239" s="17">
        <f t="shared" si="141"/>
        <v>1.1666666666666667</v>
      </c>
      <c r="N239" s="17">
        <f t="shared" si="142"/>
        <v>3.8333333333333335</v>
      </c>
      <c r="O239" s="18">
        <f t="shared" si="143"/>
        <v>0.30434782608695654</v>
      </c>
      <c r="P239">
        <v>5</v>
      </c>
      <c r="Q239">
        <v>8</v>
      </c>
      <c r="R239" s="17">
        <f t="shared" si="144"/>
        <v>0.83333333333333337</v>
      </c>
      <c r="S239" s="17">
        <f t="shared" si="145"/>
        <v>1.3333333333333333</v>
      </c>
      <c r="T239" s="18">
        <f t="shared" si="146"/>
        <v>0.625</v>
      </c>
      <c r="U239">
        <v>2</v>
      </c>
      <c r="V239">
        <v>15</v>
      </c>
      <c r="W239" s="17">
        <f t="shared" si="147"/>
        <v>0.33333333333333331</v>
      </c>
      <c r="X239" s="17">
        <f t="shared" si="148"/>
        <v>2.5</v>
      </c>
      <c r="Y239" s="18">
        <f t="shared" si="149"/>
        <v>0.13333333333333333</v>
      </c>
      <c r="Z239">
        <v>0</v>
      </c>
      <c r="AA239">
        <v>0</v>
      </c>
      <c r="AB239" s="17">
        <f t="shared" si="150"/>
        <v>0</v>
      </c>
      <c r="AC239" s="17">
        <f t="shared" si="151"/>
        <v>0</v>
      </c>
      <c r="AD239" s="18" t="e">
        <f t="shared" si="152"/>
        <v>#DIV/0!</v>
      </c>
      <c r="AE239">
        <v>4</v>
      </c>
      <c r="AF239" s="17">
        <f t="shared" si="153"/>
        <v>0.66666666666666663</v>
      </c>
      <c r="AG239">
        <v>3</v>
      </c>
      <c r="AH239" s="17">
        <f t="shared" si="154"/>
        <v>0.5</v>
      </c>
      <c r="AI239">
        <v>1</v>
      </c>
      <c r="AJ239" s="17">
        <f t="shared" si="155"/>
        <v>0.16666666666666666</v>
      </c>
      <c r="AK239">
        <v>2</v>
      </c>
      <c r="AL239" s="17">
        <f t="shared" si="156"/>
        <v>0.33333333333333331</v>
      </c>
      <c r="AM239">
        <v>4</v>
      </c>
      <c r="AN239" s="17">
        <f t="shared" si="157"/>
        <v>0.66666666666666663</v>
      </c>
      <c r="AO239">
        <v>0</v>
      </c>
      <c r="AQ239">
        <v>3</v>
      </c>
      <c r="AR239" s="17">
        <f t="shared" si="158"/>
        <v>0.5</v>
      </c>
      <c r="AS239">
        <v>6</v>
      </c>
      <c r="AT239" s="17">
        <f t="shared" si="159"/>
        <v>1</v>
      </c>
      <c r="BD239" s="65">
        <f t="shared" si="160"/>
        <v>34.782608695652172</v>
      </c>
      <c r="BE239" s="65">
        <f t="shared" si="161"/>
        <v>34.782608695652172</v>
      </c>
      <c r="BF239" s="66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14.367248420500628</v>
      </c>
      <c r="BG239" s="38">
        <f t="shared" si="162"/>
        <v>0.65217391304347827</v>
      </c>
      <c r="BH239" s="38">
        <f t="shared" si="163"/>
        <v>0</v>
      </c>
      <c r="BI239" s="67">
        <f>IFERROR(((AG239*(12000/5))/((F239*60+G239)*(SUMIFS(팀공격력!X:X,팀공격력!A:A,B239,팀공격력!B:B,D239)+SUMIFS(팀수비력!X:X,팀수비력!A:A,B239,팀수비력!B:B,D239))))*100,"")</f>
        <v>2.1351173424906142</v>
      </c>
      <c r="BJ239" s="67">
        <f>IFERROR(((AI239*(12000/5))/((F239*60+G239)*(SUMIFS(팀공격력!V:V,팀공격력!A:A,B239,팀공격력!B:B,D239)+SUMIFS(팀수비력!W:W,팀수비력!A:A,B239,팀수비력!B:B,D239))))*100,"")</f>
        <v>1.2845421410106135</v>
      </c>
      <c r="BK239" s="67">
        <f>IFERROR(((AE239*(12000/5))/((F239*60+G239)*(SUMIFS(팀공격력!X:X,팀공격력!A:A,B239,팀공격력!B:B,D239)+SUMIFS(팀수비력!X:X,팀수비력!A:A,B239,팀수비력!B:B,D239))))*100,"")</f>
        <v>2.8468231233208194</v>
      </c>
      <c r="BL239" s="67">
        <f>IFERROR(100*AK239/(((((F239*60+G239)/(12000/5))*SUMIFS(팀공격력!P:P,팀공격력!A:A,B239,팀공격력!B:B,D239))-K239)),"")</f>
        <v>3.4104958008270452</v>
      </c>
      <c r="BM239" s="67">
        <f>IFERROR(100*((AM239/E239*(2400))/((F239*60+G239)*SUMIFS(팀공격력!AR:AR,팀공격력!A:A,B239,팀공격력!B:B,D239))),"")</f>
        <v>3.9214602085261436</v>
      </c>
      <c r="BN239" s="67">
        <f>IFERROR((AO239*40)/(((F239*60+G239)/60)*(SUMIFS(팀수비력!Q:Q,팀수비력!A:A,B239,팀수비력!B:B,D239)-SUMIFS(팀수비력!N:N,팀수비력!A:A,B239,팀수비력!B:B,D239)))*100,"")</f>
        <v>0</v>
      </c>
      <c r="BO239" s="67">
        <f t="shared" si="164"/>
        <v>11.538461538461538</v>
      </c>
      <c r="BT239" t="s">
        <v>89</v>
      </c>
      <c r="BV239" t="s">
        <v>90</v>
      </c>
      <c r="CF239">
        <v>1</v>
      </c>
      <c r="CG239">
        <v>5</v>
      </c>
    </row>
    <row r="240" spans="1:85" x14ac:dyDescent="0.4">
      <c r="A240" s="11" t="s">
        <v>85</v>
      </c>
      <c r="B240" t="s">
        <v>123</v>
      </c>
      <c r="C240" t="s">
        <v>139</v>
      </c>
      <c r="D240" s="46" t="s">
        <v>306</v>
      </c>
      <c r="E240">
        <v>7</v>
      </c>
      <c r="F240">
        <v>28</v>
      </c>
      <c r="G240" s="1">
        <v>31</v>
      </c>
      <c r="H240" s="16">
        <f t="shared" si="139"/>
        <v>11977</v>
      </c>
      <c r="I240">
        <v>90</v>
      </c>
      <c r="J240" s="17">
        <f t="shared" si="140"/>
        <v>12.857142857142858</v>
      </c>
      <c r="K240">
        <v>40</v>
      </c>
      <c r="L240">
        <v>82</v>
      </c>
      <c r="M240" s="17">
        <f t="shared" si="141"/>
        <v>5.7142857142857144</v>
      </c>
      <c r="N240" s="17">
        <f t="shared" si="142"/>
        <v>11.714285714285714</v>
      </c>
      <c r="O240" s="18">
        <f t="shared" si="143"/>
        <v>0.48780487804878048</v>
      </c>
      <c r="P240">
        <v>39</v>
      </c>
      <c r="Q240">
        <v>67</v>
      </c>
      <c r="R240" s="17">
        <f t="shared" si="144"/>
        <v>5.5714285714285712</v>
      </c>
      <c r="S240" s="17">
        <f t="shared" si="145"/>
        <v>9.5714285714285712</v>
      </c>
      <c r="T240" s="18">
        <f t="shared" si="146"/>
        <v>0.58208955223880599</v>
      </c>
      <c r="U240">
        <v>1</v>
      </c>
      <c r="V240">
        <v>15</v>
      </c>
      <c r="W240" s="17">
        <f t="shared" si="147"/>
        <v>0.14285714285714285</v>
      </c>
      <c r="X240" s="17">
        <f t="shared" si="148"/>
        <v>2.1428571428571428</v>
      </c>
      <c r="Y240" s="18">
        <f t="shared" si="149"/>
        <v>6.6666666666666666E-2</v>
      </c>
      <c r="Z240">
        <v>9</v>
      </c>
      <c r="AA240">
        <v>17</v>
      </c>
      <c r="AB240" s="17">
        <f t="shared" si="150"/>
        <v>1.2857142857142858</v>
      </c>
      <c r="AC240" s="17">
        <f t="shared" si="151"/>
        <v>2.4285714285714284</v>
      </c>
      <c r="AD240" s="18">
        <f t="shared" si="152"/>
        <v>0.52941176470588236</v>
      </c>
      <c r="AE240">
        <v>50</v>
      </c>
      <c r="AF240" s="17">
        <f t="shared" si="153"/>
        <v>7.1428571428571432</v>
      </c>
      <c r="AG240">
        <v>11</v>
      </c>
      <c r="AH240" s="17">
        <f t="shared" si="154"/>
        <v>1.5714285714285714</v>
      </c>
      <c r="AI240">
        <v>39</v>
      </c>
      <c r="AJ240" s="17">
        <f t="shared" si="155"/>
        <v>5.5714285714285712</v>
      </c>
      <c r="AK240">
        <v>20</v>
      </c>
      <c r="AL240" s="17">
        <f t="shared" si="156"/>
        <v>2.8571428571428572</v>
      </c>
      <c r="AM240">
        <v>4</v>
      </c>
      <c r="AN240" s="17">
        <f t="shared" si="157"/>
        <v>0.5714285714285714</v>
      </c>
      <c r="AO240">
        <v>0</v>
      </c>
      <c r="AQ240">
        <v>6</v>
      </c>
      <c r="AR240" s="17">
        <f t="shared" si="158"/>
        <v>0.8571428571428571</v>
      </c>
      <c r="AS240">
        <v>12</v>
      </c>
      <c r="AT240" s="17">
        <f t="shared" si="159"/>
        <v>1.7142857142857142</v>
      </c>
      <c r="BD240" s="65">
        <f t="shared" si="160"/>
        <v>50.290567724631195</v>
      </c>
      <c r="BE240" s="65">
        <f t="shared" si="161"/>
        <v>49.390243902439025</v>
      </c>
      <c r="BF240" s="66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20.074449407730505</v>
      </c>
      <c r="BG240" s="38">
        <f t="shared" si="162"/>
        <v>0.18292682926829268</v>
      </c>
      <c r="BH240" s="38">
        <f t="shared" si="163"/>
        <v>0.2073170731707317</v>
      </c>
      <c r="BI240" s="67">
        <f>IFERROR(((AG240*(12000/5))/((F240*60+G240)*(SUMIFS(팀공격력!X:X,팀공격력!A:A,B240,팀공격력!B:B,D240)+SUMIFS(팀수비력!X:X,팀수비력!A:A,B240,팀수비력!B:B,D240))))*100,"")</f>
        <v>2.9786821136908803</v>
      </c>
      <c r="BJ240" s="67">
        <f>IFERROR(((AI240*(12000/5))/((F240*60+G240)*(SUMIFS(팀공격력!V:V,팀공격력!A:A,B240,팀공격력!B:B,D240)+SUMIFS(팀수비력!W:W,팀수비력!A:A,B240,팀수비력!B:B,D240))))*100,"")</f>
        <v>19.060923680957607</v>
      </c>
      <c r="BK240" s="67">
        <f>IFERROR(((AE240*(12000/5))/((F240*60+G240)*(SUMIFS(팀공격력!X:X,팀공격력!A:A,B240,팀공격력!B:B,D240)+SUMIFS(팀수비력!X:X,팀수비력!A:A,B240,팀수비력!B:B,D240))))*100,"")</f>
        <v>13.539464153140365</v>
      </c>
      <c r="BL240" s="67">
        <f>IFERROR(100*AK240/(((((F240*60+G240)/(12000/5))*SUMIFS(팀공격력!P:P,팀공격력!A:A,B240,팀공격력!B:B,D240))-K240)),"")</f>
        <v>15.091397274745175</v>
      </c>
      <c r="BM240" s="67">
        <f>IFERROR(100*((AM240/E240*(2400))/((F240*60+G240)*SUMIFS(팀공격력!AR:AR,팀공격력!A:A,B240,팀공격력!B:B,D240))),"")</f>
        <v>1.2788864969944993</v>
      </c>
      <c r="BN240" s="67">
        <f>IFERROR((AO240*40)/(((F240*60+G240)/60)*(SUMIFS(팀수비력!Q:Q,팀수비력!A:A,B240,팀수비력!B:B,D240)-SUMIFS(팀수비력!N:N,팀수비력!A:A,B240,팀수비력!B:B,D240)))*100,"")</f>
        <v>0</v>
      </c>
      <c r="BO240" s="67">
        <f t="shared" si="164"/>
        <v>6.2840385421030582</v>
      </c>
      <c r="BT240" t="s">
        <v>89</v>
      </c>
      <c r="BV240" t="s">
        <v>93</v>
      </c>
      <c r="CF240">
        <v>1</v>
      </c>
      <c r="CG240">
        <v>6</v>
      </c>
    </row>
    <row r="241" spans="1:85" x14ac:dyDescent="0.4">
      <c r="A241" s="11" t="s">
        <v>85</v>
      </c>
      <c r="B241" t="s">
        <v>123</v>
      </c>
      <c r="C241" t="s">
        <v>141</v>
      </c>
      <c r="D241" s="46" t="s">
        <v>306</v>
      </c>
      <c r="E241">
        <v>2</v>
      </c>
      <c r="F241">
        <v>9</v>
      </c>
      <c r="G241" s="1">
        <v>49</v>
      </c>
      <c r="H241" s="16">
        <f t="shared" si="139"/>
        <v>1178</v>
      </c>
      <c r="I241">
        <v>0</v>
      </c>
      <c r="J241" s="17">
        <f t="shared" si="140"/>
        <v>0</v>
      </c>
      <c r="K241">
        <v>0</v>
      </c>
      <c r="L241">
        <v>6</v>
      </c>
      <c r="M241" s="17">
        <f t="shared" si="141"/>
        <v>0</v>
      </c>
      <c r="N241" s="17">
        <f t="shared" si="142"/>
        <v>3</v>
      </c>
      <c r="O241" s="18">
        <f t="shared" si="143"/>
        <v>0</v>
      </c>
      <c r="P241">
        <v>0</v>
      </c>
      <c r="Q241">
        <v>3</v>
      </c>
      <c r="R241" s="17">
        <f t="shared" si="144"/>
        <v>0</v>
      </c>
      <c r="S241" s="17">
        <f t="shared" si="145"/>
        <v>1.5</v>
      </c>
      <c r="T241" s="18">
        <f t="shared" si="146"/>
        <v>0</v>
      </c>
      <c r="U241">
        <v>0</v>
      </c>
      <c r="V241">
        <v>3</v>
      </c>
      <c r="W241" s="17">
        <f t="shared" si="147"/>
        <v>0</v>
      </c>
      <c r="X241" s="17">
        <f t="shared" si="148"/>
        <v>1.5</v>
      </c>
      <c r="Y241" s="18">
        <f t="shared" si="149"/>
        <v>0</v>
      </c>
      <c r="Z241">
        <v>0</v>
      </c>
      <c r="AA241">
        <v>0</v>
      </c>
      <c r="AB241" s="17">
        <f t="shared" si="150"/>
        <v>0</v>
      </c>
      <c r="AC241" s="17">
        <f t="shared" si="151"/>
        <v>0</v>
      </c>
      <c r="AD241" s="18" t="e">
        <f t="shared" si="152"/>
        <v>#DIV/0!</v>
      </c>
      <c r="AE241">
        <v>1</v>
      </c>
      <c r="AF241" s="17">
        <f t="shared" si="153"/>
        <v>0.5</v>
      </c>
      <c r="AG241">
        <v>0</v>
      </c>
      <c r="AH241" s="17">
        <f t="shared" si="154"/>
        <v>0</v>
      </c>
      <c r="AI241">
        <v>1</v>
      </c>
      <c r="AJ241" s="17">
        <f t="shared" si="155"/>
        <v>0.5</v>
      </c>
      <c r="AK241">
        <v>1</v>
      </c>
      <c r="AL241" s="17">
        <f t="shared" si="156"/>
        <v>0.5</v>
      </c>
      <c r="AM241">
        <v>0</v>
      </c>
      <c r="AN241" s="17">
        <f t="shared" si="157"/>
        <v>0</v>
      </c>
      <c r="AO241">
        <v>0</v>
      </c>
      <c r="AQ241">
        <v>2</v>
      </c>
      <c r="AR241" s="17">
        <f t="shared" si="158"/>
        <v>1</v>
      </c>
      <c r="AS241">
        <v>3</v>
      </c>
      <c r="AT241" s="17">
        <f t="shared" si="159"/>
        <v>1.5</v>
      </c>
      <c r="BD241" s="65">
        <f t="shared" si="160"/>
        <v>0</v>
      </c>
      <c r="BE241" s="65">
        <f t="shared" si="161"/>
        <v>0</v>
      </c>
      <c r="BF241" s="66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4.88602780292329</v>
      </c>
      <c r="BG241" s="38">
        <f t="shared" si="162"/>
        <v>0.5</v>
      </c>
      <c r="BH241" s="38">
        <f t="shared" si="163"/>
        <v>0</v>
      </c>
      <c r="BI241" s="67">
        <f>IFERROR(((AG241*(12000/5))/((F241*60+G241)*(SUMIFS(팀공격력!X:X,팀공격력!A:A,B241,팀공격력!B:B,D241)+SUMIFS(팀수비력!X:X,팀수비력!A:A,B241,팀수비력!B:B,D241))))*100,"")</f>
        <v>0</v>
      </c>
      <c r="BJ241" s="67">
        <f>IFERROR(((AI241*(12000/5))/((F241*60+G241)*(SUMIFS(팀공격력!V:V,팀공격력!A:A,B241,팀공격력!B:B,D241)+SUMIFS(팀수비력!W:W,팀수비력!A:A,B241,팀수비력!B:B,D241))))*100,"")</f>
        <v>1.4197571032222571</v>
      </c>
      <c r="BK241" s="67">
        <f>IFERROR(((AE241*(12000/5))/((F241*60+G241)*(SUMIFS(팀공격력!X:X,팀공격력!A:A,B241,팀공격력!B:B,D241)+SUMIFS(팀수비력!X:X,팀수비력!A:A,B241,팀수비력!B:B,D241))))*100,"")</f>
        <v>0.78662217881233165</v>
      </c>
      <c r="BL241" s="67">
        <f>IFERROR(100*AK241/(((((F241*60+G241)/(12000/5))*SUMIFS(팀공격력!P:P,팀공격력!A:A,B241,팀공격력!B:B,D241))-K241)),"")</f>
        <v>1.6837615232429246</v>
      </c>
      <c r="BM241" s="67">
        <f>IFERROR(100*((AM241/E241*(2400))/((F241*60+G241)*SUMIFS(팀공격력!AR:AR,팀공격력!A:A,B241,팀공격력!B:B,D241))),"")</f>
        <v>0</v>
      </c>
      <c r="BN241" s="67">
        <f>IFERROR((AO241*40)/(((F241*60+G241)/60)*(SUMIFS(팀수비력!Q:Q,팀수비력!A:A,B241,팀수비력!B:B,D241)-SUMIFS(팀수비력!N:N,팀수비력!A:A,B241,팀수비력!B:B,D241)))*100,"")</f>
        <v>0</v>
      </c>
      <c r="BO241" s="67">
        <f t="shared" si="164"/>
        <v>25</v>
      </c>
      <c r="BT241" t="s">
        <v>89</v>
      </c>
      <c r="BV241" t="s">
        <v>90</v>
      </c>
      <c r="CF241">
        <v>0</v>
      </c>
      <c r="CG241">
        <v>2</v>
      </c>
    </row>
    <row r="242" spans="1:85" x14ac:dyDescent="0.4">
      <c r="A242" s="11" t="s">
        <v>85</v>
      </c>
      <c r="B242" t="s">
        <v>123</v>
      </c>
      <c r="C242" t="s">
        <v>142</v>
      </c>
      <c r="D242" s="46" t="s">
        <v>306</v>
      </c>
      <c r="E242">
        <v>7</v>
      </c>
      <c r="F242">
        <v>6</v>
      </c>
      <c r="G242" s="1">
        <v>11</v>
      </c>
      <c r="H242" s="16">
        <f t="shared" si="139"/>
        <v>2597</v>
      </c>
      <c r="I242">
        <v>2</v>
      </c>
      <c r="J242" s="17">
        <f t="shared" si="140"/>
        <v>0.2857142857142857</v>
      </c>
      <c r="K242">
        <v>0</v>
      </c>
      <c r="L242">
        <v>9</v>
      </c>
      <c r="M242" s="17">
        <f t="shared" si="141"/>
        <v>0</v>
      </c>
      <c r="N242" s="17">
        <f t="shared" si="142"/>
        <v>1.2857142857142858</v>
      </c>
      <c r="O242" s="18">
        <f t="shared" si="143"/>
        <v>0</v>
      </c>
      <c r="P242">
        <v>0</v>
      </c>
      <c r="Q242">
        <v>1</v>
      </c>
      <c r="R242" s="17">
        <f t="shared" si="144"/>
        <v>0</v>
      </c>
      <c r="S242" s="17">
        <f t="shared" si="145"/>
        <v>0.14285714285714285</v>
      </c>
      <c r="T242" s="18">
        <f t="shared" si="146"/>
        <v>0</v>
      </c>
      <c r="U242">
        <v>0</v>
      </c>
      <c r="V242">
        <v>8</v>
      </c>
      <c r="W242" s="17">
        <f t="shared" si="147"/>
        <v>0</v>
      </c>
      <c r="X242" s="17">
        <f t="shared" si="148"/>
        <v>1.1428571428571428</v>
      </c>
      <c r="Y242" s="18">
        <f t="shared" si="149"/>
        <v>0</v>
      </c>
      <c r="Z242">
        <v>2</v>
      </c>
      <c r="AA242">
        <v>2</v>
      </c>
      <c r="AB242" s="17">
        <f t="shared" si="150"/>
        <v>0.2857142857142857</v>
      </c>
      <c r="AC242" s="17">
        <f t="shared" si="151"/>
        <v>0.2857142857142857</v>
      </c>
      <c r="AD242" s="18">
        <f t="shared" si="152"/>
        <v>1</v>
      </c>
      <c r="AE242">
        <v>1</v>
      </c>
      <c r="AF242" s="17">
        <f t="shared" si="153"/>
        <v>0.14285714285714285</v>
      </c>
      <c r="AG242">
        <v>0</v>
      </c>
      <c r="AH242" s="17">
        <f t="shared" si="154"/>
        <v>0</v>
      </c>
      <c r="AI242">
        <v>1</v>
      </c>
      <c r="AJ242" s="17">
        <f t="shared" si="155"/>
        <v>0.14285714285714285</v>
      </c>
      <c r="AK242">
        <v>0</v>
      </c>
      <c r="AL242" s="17">
        <f t="shared" si="156"/>
        <v>0</v>
      </c>
      <c r="AM242">
        <v>1</v>
      </c>
      <c r="AN242" s="17">
        <f t="shared" si="157"/>
        <v>0.14285714285714285</v>
      </c>
      <c r="AO242">
        <v>0</v>
      </c>
      <c r="AQ242">
        <v>4</v>
      </c>
      <c r="AR242" s="17">
        <f t="shared" si="158"/>
        <v>0.5714285714285714</v>
      </c>
      <c r="AS242">
        <v>8</v>
      </c>
      <c r="AT242" s="17">
        <f t="shared" si="159"/>
        <v>1.1428571428571428</v>
      </c>
      <c r="BD242" s="65">
        <f t="shared" si="160"/>
        <v>10.121457489878543</v>
      </c>
      <c r="BE242" s="65">
        <f t="shared" si="161"/>
        <v>0</v>
      </c>
      <c r="BF242" s="66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13.458504318664028</v>
      </c>
      <c r="BG242" s="38">
        <f t="shared" si="162"/>
        <v>0.88888888888888884</v>
      </c>
      <c r="BH242" s="38">
        <f t="shared" si="163"/>
        <v>0.22222222222222221</v>
      </c>
      <c r="BI242" s="67">
        <f>IFERROR(((AG242*(12000/5))/((F242*60+G242)*(SUMIFS(팀공격력!X:X,팀공격력!A:A,B242,팀공격력!B:B,D242)+SUMIFS(팀수비력!X:X,팀수비력!A:A,B242,팀수비력!B:B,D242))))*100,"")</f>
        <v>0</v>
      </c>
      <c r="BJ242" s="67">
        <f>IFERROR(((AI242*(12000/5))/((F242*60+G242)*(SUMIFS(팀공격력!V:V,팀공격력!A:A,B242,팀공격력!B:B,D242)+SUMIFS(팀수비력!W:W,팀수비력!A:A,B242,팀수비력!B:B,D242))))*100,"")</f>
        <v>2.2540079078110766</v>
      </c>
      <c r="BK242" s="67">
        <f>IFERROR(((AE242*(12000/5))/((F242*60+G242)*(SUMIFS(팀공격력!X:X,팀공격력!A:A,B242,팀공격력!B:B,D242)+SUMIFS(팀수비력!X:X,팀수비력!A:A,B242,팀수비력!B:B,D242))))*100,"")</f>
        <v>1.2488422191926234</v>
      </c>
      <c r="BL242" s="67">
        <f>IFERROR(100*AK242/(((((F242*60+G242)/(12000/5))*SUMIFS(팀공격력!P:P,팀공격력!A:A,B242,팀공격력!B:B,D242))-K242)),"")</f>
        <v>0</v>
      </c>
      <c r="BM242" s="67">
        <f>IFERROR(100*((AM242/E242*(2400))/((F242*60+G242)*SUMIFS(팀공격력!AR:AR,팀공격력!A:A,B242,팀공격력!B:B,D242))),"")</f>
        <v>1.4745113183002616</v>
      </c>
      <c r="BN242" s="67">
        <f>IFERROR((AO242*40)/(((F242*60+G242)/60)*(SUMIFS(팀수비력!Q:Q,팀수비력!A:A,B242,팀수비력!B:B,D242)-SUMIFS(팀수비력!N:N,팀수비력!A:A,B242,팀수비력!B:B,D242)))*100,"")</f>
        <v>0</v>
      </c>
      <c r="BO242" s="67">
        <f t="shared" si="164"/>
        <v>28.81844380403458</v>
      </c>
      <c r="BT242" t="s">
        <v>89</v>
      </c>
      <c r="BV242" t="s">
        <v>90</v>
      </c>
      <c r="CF242">
        <v>1</v>
      </c>
      <c r="CG242">
        <v>6</v>
      </c>
    </row>
    <row r="243" spans="1:85" x14ac:dyDescent="0.4">
      <c r="A243" s="11" t="s">
        <v>85</v>
      </c>
      <c r="B243" t="s">
        <v>123</v>
      </c>
      <c r="C243" t="s">
        <v>143</v>
      </c>
      <c r="D243" s="46" t="s">
        <v>306</v>
      </c>
      <c r="E243">
        <v>8</v>
      </c>
      <c r="F243">
        <v>21</v>
      </c>
      <c r="G243" s="1">
        <v>45</v>
      </c>
      <c r="H243" s="16">
        <f t="shared" si="139"/>
        <v>10440</v>
      </c>
      <c r="I243">
        <v>26</v>
      </c>
      <c r="J243" s="17">
        <f t="shared" si="140"/>
        <v>3.25</v>
      </c>
      <c r="K243">
        <v>10</v>
      </c>
      <c r="L243">
        <v>29</v>
      </c>
      <c r="M243" s="17">
        <f t="shared" si="141"/>
        <v>1.25</v>
      </c>
      <c r="N243" s="17">
        <f t="shared" si="142"/>
        <v>3.625</v>
      </c>
      <c r="O243" s="18">
        <f t="shared" si="143"/>
        <v>0.34482758620689657</v>
      </c>
      <c r="P243">
        <v>7</v>
      </c>
      <c r="Q243">
        <v>11</v>
      </c>
      <c r="R243" s="17">
        <f t="shared" si="144"/>
        <v>0.875</v>
      </c>
      <c r="S243" s="17">
        <f t="shared" si="145"/>
        <v>1.375</v>
      </c>
      <c r="T243" s="18">
        <f t="shared" si="146"/>
        <v>0.63636363636363635</v>
      </c>
      <c r="U243">
        <v>3</v>
      </c>
      <c r="V243">
        <v>18</v>
      </c>
      <c r="W243" s="17">
        <f t="shared" si="147"/>
        <v>0.375</v>
      </c>
      <c r="X243" s="17">
        <f t="shared" si="148"/>
        <v>2.25</v>
      </c>
      <c r="Y243" s="18">
        <f t="shared" si="149"/>
        <v>0.16666666666666666</v>
      </c>
      <c r="Z243">
        <v>3</v>
      </c>
      <c r="AA243">
        <v>5</v>
      </c>
      <c r="AB243" s="17">
        <f t="shared" si="150"/>
        <v>0.375</v>
      </c>
      <c r="AC243" s="17">
        <f t="shared" si="151"/>
        <v>0.625</v>
      </c>
      <c r="AD243" s="18">
        <f t="shared" si="152"/>
        <v>0.6</v>
      </c>
      <c r="AE243">
        <v>17</v>
      </c>
      <c r="AF243" s="17">
        <f t="shared" si="153"/>
        <v>2.125</v>
      </c>
      <c r="AG243">
        <v>9</v>
      </c>
      <c r="AH243" s="17">
        <f t="shared" si="154"/>
        <v>1.125</v>
      </c>
      <c r="AI243">
        <v>8</v>
      </c>
      <c r="AJ243" s="17">
        <f t="shared" si="155"/>
        <v>1</v>
      </c>
      <c r="AK243">
        <v>19</v>
      </c>
      <c r="AL243" s="17">
        <f t="shared" si="156"/>
        <v>2.375</v>
      </c>
      <c r="AM243">
        <v>6</v>
      </c>
      <c r="AN243" s="17">
        <f t="shared" si="157"/>
        <v>0.75</v>
      </c>
      <c r="AO243">
        <v>0</v>
      </c>
      <c r="AQ243">
        <v>6</v>
      </c>
      <c r="AR243" s="17">
        <f t="shared" si="158"/>
        <v>0.75</v>
      </c>
      <c r="AS243">
        <v>20</v>
      </c>
      <c r="AT243" s="17">
        <f t="shared" si="159"/>
        <v>2.5</v>
      </c>
      <c r="BD243" s="65">
        <f t="shared" si="160"/>
        <v>41.666666666666671</v>
      </c>
      <c r="BE243" s="65">
        <f t="shared" si="161"/>
        <v>39.655172413793103</v>
      </c>
      <c r="BF243" s="66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10.254480649836363</v>
      </c>
      <c r="BG243" s="38">
        <f t="shared" si="162"/>
        <v>0.62068965517241381</v>
      </c>
      <c r="BH243" s="38">
        <f t="shared" si="163"/>
        <v>0.17241379310344829</v>
      </c>
      <c r="BI243" s="67">
        <f>IFERROR(((AG243*(12000/5))/((F243*60+G243)*(SUMIFS(팀공격력!X:X,팀공격력!A:A,B243,팀공격력!B:B,D243)+SUMIFS(팀수비력!X:X,팀수비력!A:A,B243,팀수비력!B:B,D243))))*100,"")</f>
        <v>3.1953135401411266</v>
      </c>
      <c r="BJ243" s="67">
        <f>IFERROR(((AI243*(12000/5))/((F243*60+G243)*(SUMIFS(팀공격력!V:V,팀공격력!A:A,B243,팀공격력!B:B,D243)+SUMIFS(팀수비력!W:W,팀수비력!A:A,B243,팀수비력!B:B,D243))))*100,"")</f>
        <v>5.1263566822860342</v>
      </c>
      <c r="BK243" s="67">
        <f>IFERROR(((AE243*(12000/5))/((F243*60+G243)*(SUMIFS(팀공격력!X:X,팀공격력!A:A,B243,팀공격력!B:B,D243)+SUMIFS(팀수비력!X:X,팀수비력!A:A,B243,팀수비력!B:B,D243))))*100,"")</f>
        <v>6.0355922424887947</v>
      </c>
      <c r="BL243" s="67">
        <f>IFERROR(100*AK243/(((((F243*60+G243)/(12000/5))*SUMIFS(팀공격력!P:P,팀공격력!A:A,B243,팀공격력!B:B,D243))-K243)),"")</f>
        <v>15.626606353449166</v>
      </c>
      <c r="BM243" s="67">
        <f>IFERROR(100*((AM243/E243*(2400))/((F243*60+G243)*SUMIFS(팀공격력!AR:AR,팀공격력!A:A,B243,팀공격력!B:B,D243))),"")</f>
        <v>2.2007505135780341</v>
      </c>
      <c r="BN243" s="67">
        <f>IFERROR((AO243*40)/(((F243*60+G243)/60)*(SUMIFS(팀수비력!Q:Q,팀수비력!A:A,B243,팀수비력!B:B,D243)-SUMIFS(팀수비력!N:N,팀수비력!A:A,B243,팀수비력!B:B,D243)))*100,"")</f>
        <v>0</v>
      </c>
      <c r="BO243" s="67">
        <f t="shared" si="164"/>
        <v>16.129032258064516</v>
      </c>
      <c r="BT243" t="s">
        <v>89</v>
      </c>
      <c r="BV243" t="s">
        <v>93</v>
      </c>
      <c r="CF243">
        <v>1</v>
      </c>
      <c r="CG243">
        <v>7</v>
      </c>
    </row>
    <row r="244" spans="1:85" x14ac:dyDescent="0.4">
      <c r="A244" s="11" t="s">
        <v>85</v>
      </c>
      <c r="B244" t="s">
        <v>123</v>
      </c>
      <c r="C244" t="s">
        <v>144</v>
      </c>
      <c r="D244" s="46" t="s">
        <v>306</v>
      </c>
      <c r="E244">
        <v>1</v>
      </c>
      <c r="F244">
        <v>5</v>
      </c>
      <c r="G244" s="1">
        <v>58</v>
      </c>
      <c r="H244" s="16">
        <f t="shared" si="139"/>
        <v>358</v>
      </c>
      <c r="I244">
        <v>2</v>
      </c>
      <c r="J244" s="17">
        <f t="shared" si="140"/>
        <v>2</v>
      </c>
      <c r="K244">
        <v>1</v>
      </c>
      <c r="L244">
        <v>2</v>
      </c>
      <c r="M244" s="17">
        <f t="shared" si="141"/>
        <v>1</v>
      </c>
      <c r="N244" s="17">
        <f t="shared" si="142"/>
        <v>2</v>
      </c>
      <c r="O244" s="18">
        <f t="shared" si="143"/>
        <v>0.5</v>
      </c>
      <c r="P244">
        <v>1</v>
      </c>
      <c r="Q244">
        <v>2</v>
      </c>
      <c r="R244" s="17">
        <f t="shared" si="144"/>
        <v>1</v>
      </c>
      <c r="S244" s="17">
        <f t="shared" si="145"/>
        <v>2</v>
      </c>
      <c r="T244" s="18">
        <f t="shared" si="146"/>
        <v>0.5</v>
      </c>
      <c r="U244">
        <v>0</v>
      </c>
      <c r="V244">
        <v>0</v>
      </c>
      <c r="W244" s="17">
        <f t="shared" si="147"/>
        <v>0</v>
      </c>
      <c r="X244" s="17">
        <f t="shared" si="148"/>
        <v>0</v>
      </c>
      <c r="Y244" s="18" t="e">
        <f t="shared" si="149"/>
        <v>#DIV/0!</v>
      </c>
      <c r="Z244">
        <v>0</v>
      </c>
      <c r="AA244">
        <v>0</v>
      </c>
      <c r="AB244" s="17">
        <f t="shared" si="150"/>
        <v>0</v>
      </c>
      <c r="AC244" s="17">
        <f t="shared" si="151"/>
        <v>0</v>
      </c>
      <c r="AD244" s="18" t="e">
        <f t="shared" si="152"/>
        <v>#DIV/0!</v>
      </c>
      <c r="AE244">
        <v>1</v>
      </c>
      <c r="AF244" s="17">
        <f t="shared" si="153"/>
        <v>1</v>
      </c>
      <c r="AG244">
        <v>0</v>
      </c>
      <c r="AH244" s="17">
        <f t="shared" si="154"/>
        <v>0</v>
      </c>
      <c r="AI244">
        <v>1</v>
      </c>
      <c r="AJ244" s="17">
        <f t="shared" si="155"/>
        <v>1</v>
      </c>
      <c r="AK244">
        <v>0</v>
      </c>
      <c r="AL244" s="17">
        <f t="shared" si="156"/>
        <v>0</v>
      </c>
      <c r="AM244">
        <v>0</v>
      </c>
      <c r="AN244" s="17">
        <f t="shared" si="157"/>
        <v>0</v>
      </c>
      <c r="AO244">
        <v>0</v>
      </c>
      <c r="AQ244">
        <v>0</v>
      </c>
      <c r="AR244" s="17">
        <f t="shared" si="158"/>
        <v>0</v>
      </c>
      <c r="AS244">
        <v>0</v>
      </c>
      <c r="AT244" s="17">
        <f t="shared" si="159"/>
        <v>0</v>
      </c>
      <c r="BD244" s="65">
        <f t="shared" si="160"/>
        <v>50</v>
      </c>
      <c r="BE244" s="65">
        <f t="shared" si="161"/>
        <v>50</v>
      </c>
      <c r="BF244" s="66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2.0096860167051802</v>
      </c>
      <c r="BG244" s="38">
        <f t="shared" si="162"/>
        <v>0</v>
      </c>
      <c r="BH244" s="38">
        <f t="shared" si="163"/>
        <v>0</v>
      </c>
      <c r="BI244" s="67">
        <f>IFERROR(((AG244*(12000/5))/((F244*60+G244)*(SUMIFS(팀공격력!X:X,팀공격력!A:A,B244,팀공격력!B:B,D244)+SUMIFS(팀수비력!X:X,팀수비력!A:A,B244,팀수비력!B:B,D244))))*100,"")</f>
        <v>0</v>
      </c>
      <c r="BJ244" s="67">
        <f>IFERROR(((AI244*(12000/5))/((F244*60+G244)*(SUMIFS(팀공격력!V:V,팀공격력!A:A,B244,팀공격력!B:B,D244)+SUMIFS(팀수비력!W:W,팀수비력!A:A,B244,팀수비력!B:B,D244))))*100,"")</f>
        <v>2.3358573569774008</v>
      </c>
      <c r="BK244" s="67">
        <f>IFERROR(((AE244*(12000/5))/((F244*60+G244)*(SUMIFS(팀공격력!X:X,팀공격력!A:A,B244,팀공격력!B:B,D244)+SUMIFS(팀수비력!X:X,팀수비력!A:A,B244,팀수비력!B:B,D244))))*100,"")</f>
        <v>1.2941912383253165</v>
      </c>
      <c r="BL244" s="67">
        <f>IFERROR(100*AK244/(((((F244*60+G244)/(12000/5))*SUMIFS(팀공격력!P:P,팀공격력!A:A,B244,팀공격력!B:B,D244))-K244)),"")</f>
        <v>0</v>
      </c>
      <c r="BM244" s="67">
        <f>IFERROR(100*((AM244/E244*(2400))/((F244*60+G244)*SUMIFS(팀공격력!AR:AR,팀공격력!A:A,B244,팀공격력!B:B,D244))),"")</f>
        <v>0</v>
      </c>
      <c r="BN244" s="67">
        <f>IFERROR((AO244*40)/(((F244*60+G244)/60)*(SUMIFS(팀수비력!Q:Q,팀수비력!A:A,B244,팀수비력!B:B,D244)-SUMIFS(팀수비력!N:N,팀수비력!A:A,B244,팀수비력!B:B,D244)))*100,"")</f>
        <v>0</v>
      </c>
      <c r="BO244" s="67">
        <f t="shared" si="164"/>
        <v>0</v>
      </c>
      <c r="BT244" t="s">
        <v>89</v>
      </c>
      <c r="BV244" t="s">
        <v>102</v>
      </c>
      <c r="CF244">
        <v>0</v>
      </c>
      <c r="CG244">
        <v>1</v>
      </c>
    </row>
    <row r="245" spans="1:85" x14ac:dyDescent="0.4">
      <c r="A245" s="11" t="s">
        <v>85</v>
      </c>
      <c r="B245" t="s">
        <v>145</v>
      </c>
      <c r="C245" t="s">
        <v>147</v>
      </c>
      <c r="D245" s="46" t="s">
        <v>306</v>
      </c>
      <c r="E245">
        <v>6</v>
      </c>
      <c r="F245">
        <v>6</v>
      </c>
      <c r="G245" s="1">
        <v>51</v>
      </c>
      <c r="H245" s="16">
        <f t="shared" si="139"/>
        <v>2466</v>
      </c>
      <c r="I245">
        <v>17</v>
      </c>
      <c r="J245" s="17">
        <f t="shared" si="140"/>
        <v>2.8333333333333335</v>
      </c>
      <c r="K245">
        <v>6</v>
      </c>
      <c r="L245">
        <v>18</v>
      </c>
      <c r="M245" s="17">
        <f t="shared" si="141"/>
        <v>1</v>
      </c>
      <c r="N245" s="17">
        <f t="shared" si="142"/>
        <v>3</v>
      </c>
      <c r="O245" s="18">
        <f t="shared" si="143"/>
        <v>0.33333333333333331</v>
      </c>
      <c r="P245">
        <v>2</v>
      </c>
      <c r="Q245">
        <v>7</v>
      </c>
      <c r="R245" s="17">
        <f t="shared" si="144"/>
        <v>0.33333333333333331</v>
      </c>
      <c r="S245" s="17">
        <f t="shared" si="145"/>
        <v>1.1666666666666667</v>
      </c>
      <c r="T245" s="18">
        <f t="shared" si="146"/>
        <v>0.2857142857142857</v>
      </c>
      <c r="U245">
        <v>4</v>
      </c>
      <c r="V245">
        <v>11</v>
      </c>
      <c r="W245" s="17">
        <f t="shared" si="147"/>
        <v>0.66666666666666663</v>
      </c>
      <c r="X245" s="17">
        <f t="shared" si="148"/>
        <v>1.8333333333333333</v>
      </c>
      <c r="Y245" s="18">
        <f t="shared" si="149"/>
        <v>0.36363636363636365</v>
      </c>
      <c r="Z245">
        <v>1</v>
      </c>
      <c r="AA245">
        <v>1</v>
      </c>
      <c r="AB245" s="17">
        <f t="shared" si="150"/>
        <v>0.16666666666666666</v>
      </c>
      <c r="AC245" s="17">
        <f t="shared" si="151"/>
        <v>0.16666666666666666</v>
      </c>
      <c r="AD245" s="18">
        <f t="shared" si="152"/>
        <v>1</v>
      </c>
      <c r="AE245">
        <v>5</v>
      </c>
      <c r="AF245" s="17">
        <f t="shared" si="153"/>
        <v>0.83333333333333337</v>
      </c>
      <c r="AG245">
        <v>1</v>
      </c>
      <c r="AH245" s="17">
        <f t="shared" si="154"/>
        <v>0.16666666666666666</v>
      </c>
      <c r="AI245">
        <v>4</v>
      </c>
      <c r="AJ245" s="17">
        <f t="shared" si="155"/>
        <v>0.66666666666666663</v>
      </c>
      <c r="AK245">
        <v>3</v>
      </c>
      <c r="AL245" s="17">
        <f t="shared" si="156"/>
        <v>0.5</v>
      </c>
      <c r="AM245">
        <v>0</v>
      </c>
      <c r="AN245" s="17">
        <f t="shared" si="157"/>
        <v>0</v>
      </c>
      <c r="AO245">
        <v>0</v>
      </c>
      <c r="AQ245">
        <v>2</v>
      </c>
      <c r="AR245" s="17">
        <f t="shared" si="158"/>
        <v>0.33333333333333331</v>
      </c>
      <c r="AS245">
        <v>6</v>
      </c>
      <c r="AT245" s="17">
        <f t="shared" si="159"/>
        <v>1</v>
      </c>
      <c r="BD245" s="65">
        <f t="shared" si="160"/>
        <v>46.095444685466376</v>
      </c>
      <c r="BE245" s="65">
        <f t="shared" si="161"/>
        <v>44.444444444444443</v>
      </c>
      <c r="BF245" s="66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19.884990042912275</v>
      </c>
      <c r="BG245" s="38">
        <f t="shared" si="162"/>
        <v>0.61111111111111116</v>
      </c>
      <c r="BH245" s="38">
        <f t="shared" si="163"/>
        <v>5.5555555555555552E-2</v>
      </c>
      <c r="BI245" s="67">
        <f>IFERROR(((AG245*(12000/5))/((F245*60+G245)*(SUMIFS(팀공격력!X:X,팀공격력!A:A,B245,팀공격력!B:B,D245)+SUMIFS(팀수비력!X:X,팀수비력!A:A,B245,팀수비력!B:B,D245))))*100,"")</f>
        <v>1.1868731826004393</v>
      </c>
      <c r="BJ245" s="67">
        <f>IFERROR(((AI245*(12000/5))/((F245*60+G245)*(SUMIFS(팀공격력!V:V,팀공격력!A:A,B245,팀공격력!B:B,D245)+SUMIFS(팀수비력!W:W,팀수비력!A:A,B245,팀수비력!B:B,D245))))*100,"")</f>
        <v>9.3430656934306562</v>
      </c>
      <c r="BK245" s="67">
        <f>IFERROR(((AE245*(12000/5))/((F245*60+G245)*(SUMIFS(팀공격력!X:X,팀공격력!A:A,B245,팀공격력!B:B,D245)+SUMIFS(팀수비력!X:X,팀수비력!A:A,B245,팀수비력!B:B,D245))))*100,"")</f>
        <v>5.9343659130021962</v>
      </c>
      <c r="BL245" s="67">
        <f>IFERROR(100*AK245/(((((F245*60+G245)/(12000/5))*SUMIFS(팀공격력!P:P,팀공격력!A:A,B245,팀공격력!B:B,D245))-K245)),"")</f>
        <v>8.8492312230374974</v>
      </c>
      <c r="BM245" s="67">
        <f>IFERROR(100*((AM245/E245*(2400))/((F245*60+G245)*SUMIFS(팀공격력!AR:AR,팀공격력!A:A,B245,팀공격력!B:B,D245))),"")</f>
        <v>0</v>
      </c>
      <c r="BN245" s="67">
        <f>IFERROR((AO245*40)/(((F245*60+G245)/60)*(SUMIFS(팀수비력!Q:Q,팀수비력!A:A,B245,팀수비력!B:B,D245)-SUMIFS(팀수비력!N:N,팀수비력!A:A,B245,팀수비력!B:B,D245)))*100,"")</f>
        <v>0</v>
      </c>
      <c r="BO245" s="67">
        <f t="shared" si="164"/>
        <v>9.7847358121330714</v>
      </c>
      <c r="BT245" t="s">
        <v>89</v>
      </c>
      <c r="BV245" t="s">
        <v>90</v>
      </c>
      <c r="CF245">
        <v>2</v>
      </c>
      <c r="CG245">
        <v>4</v>
      </c>
    </row>
    <row r="246" spans="1:85" x14ac:dyDescent="0.4">
      <c r="A246" s="11" t="s">
        <v>85</v>
      </c>
      <c r="B246" t="s">
        <v>145</v>
      </c>
      <c r="C246" t="s">
        <v>148</v>
      </c>
      <c r="D246" s="46" t="s">
        <v>306</v>
      </c>
      <c r="E246">
        <v>7</v>
      </c>
      <c r="F246">
        <v>12</v>
      </c>
      <c r="G246" s="1">
        <v>4</v>
      </c>
      <c r="H246" s="16">
        <f t="shared" si="139"/>
        <v>5068</v>
      </c>
      <c r="I246">
        <v>61</v>
      </c>
      <c r="J246" s="17">
        <f t="shared" si="140"/>
        <v>8.7142857142857135</v>
      </c>
      <c r="K246">
        <v>24</v>
      </c>
      <c r="L246">
        <v>44</v>
      </c>
      <c r="M246" s="17">
        <f t="shared" si="141"/>
        <v>3.4285714285714284</v>
      </c>
      <c r="N246" s="17">
        <f t="shared" si="142"/>
        <v>6.2857142857142856</v>
      </c>
      <c r="O246" s="18">
        <f t="shared" si="143"/>
        <v>0.54545454545454541</v>
      </c>
      <c r="P246">
        <v>23</v>
      </c>
      <c r="Q246">
        <v>37</v>
      </c>
      <c r="R246" s="17">
        <f t="shared" si="144"/>
        <v>3.2857142857142856</v>
      </c>
      <c r="S246" s="17">
        <f t="shared" si="145"/>
        <v>5.2857142857142856</v>
      </c>
      <c r="T246" s="18">
        <f t="shared" si="146"/>
        <v>0.6216216216216216</v>
      </c>
      <c r="U246">
        <v>1</v>
      </c>
      <c r="V246">
        <v>7</v>
      </c>
      <c r="W246" s="17">
        <f t="shared" si="147"/>
        <v>0.14285714285714285</v>
      </c>
      <c r="X246" s="17">
        <f t="shared" si="148"/>
        <v>1</v>
      </c>
      <c r="Y246" s="18">
        <f t="shared" si="149"/>
        <v>0.14285714285714285</v>
      </c>
      <c r="Z246">
        <v>12</v>
      </c>
      <c r="AA246">
        <v>15</v>
      </c>
      <c r="AB246" s="17">
        <f t="shared" si="150"/>
        <v>1.7142857142857142</v>
      </c>
      <c r="AC246" s="17">
        <f t="shared" si="151"/>
        <v>2.1428571428571428</v>
      </c>
      <c r="AD246" s="18">
        <f t="shared" si="152"/>
        <v>0.8</v>
      </c>
      <c r="AE246">
        <v>34</v>
      </c>
      <c r="AF246" s="17">
        <f t="shared" si="153"/>
        <v>4.8571428571428568</v>
      </c>
      <c r="AG246">
        <v>8</v>
      </c>
      <c r="AH246" s="17">
        <f t="shared" si="154"/>
        <v>1.1428571428571428</v>
      </c>
      <c r="AI246">
        <v>26</v>
      </c>
      <c r="AJ246" s="17">
        <f t="shared" si="155"/>
        <v>3.7142857142857144</v>
      </c>
      <c r="AK246">
        <v>5</v>
      </c>
      <c r="AL246" s="17">
        <f t="shared" si="156"/>
        <v>0.7142857142857143</v>
      </c>
      <c r="AM246">
        <v>0</v>
      </c>
      <c r="AN246" s="17">
        <f t="shared" si="157"/>
        <v>0</v>
      </c>
      <c r="AO246">
        <v>2</v>
      </c>
      <c r="AQ246">
        <v>8</v>
      </c>
      <c r="AR246" s="17">
        <f t="shared" si="158"/>
        <v>1.1428571428571428</v>
      </c>
      <c r="AS246">
        <v>10</v>
      </c>
      <c r="AT246" s="17">
        <f t="shared" si="159"/>
        <v>1.4285714285714286</v>
      </c>
      <c r="BD246" s="65">
        <f t="shared" si="160"/>
        <v>60.276679841897227</v>
      </c>
      <c r="BE246" s="65">
        <f t="shared" si="161"/>
        <v>55.68181818181818</v>
      </c>
      <c r="BF246" s="66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32.362745509530995</v>
      </c>
      <c r="BG246" s="38">
        <f t="shared" si="162"/>
        <v>0.15909090909090909</v>
      </c>
      <c r="BH246" s="38">
        <f t="shared" si="163"/>
        <v>0.34090909090909088</v>
      </c>
      <c r="BI246" s="67">
        <f>IFERROR(((AG246*(12000/5))/((F246*60+G246)*(SUMIFS(팀공격력!X:X,팀공격력!A:A,B246,팀공격력!B:B,D246)+SUMIFS(팀수비력!X:X,팀수비력!A:A,B246,팀수비력!B:B,D246))))*100,"")</f>
        <v>5.3901091497102813</v>
      </c>
      <c r="BJ246" s="67">
        <f>IFERROR(((AI246*(12000/5))/((F246*60+G246)*(SUMIFS(팀공격력!V:V,팀공격력!A:A,B246,팀공격력!B:B,D246)+SUMIFS(팀수비력!W:W,팀수비력!A:A,B246,팀수비력!B:B,D246))))*100,"")</f>
        <v>34.475138121546962</v>
      </c>
      <c r="BK246" s="67">
        <f>IFERROR(((AE246*(12000/5))/((F246*60+G246)*(SUMIFS(팀공격력!X:X,팀공격력!A:A,B246,팀공격력!B:B,D246)+SUMIFS(팀수비력!X:X,팀수비력!A:A,B246,팀수비력!B:B,D246))))*100,"")</f>
        <v>22.907963886268696</v>
      </c>
      <c r="BL246" s="67">
        <f>IFERROR(100*AK246/(((((F246*60+G246)/(12000/5))*SUMIFS(팀공격력!P:P,팀공격력!A:A,B246,팀공격력!B:B,D246))-K246)),"")</f>
        <v>10.801857919562163</v>
      </c>
      <c r="BM246" s="67">
        <f>IFERROR(100*((AM246/E246*(2400))/((F246*60+G246)*SUMIFS(팀공격력!AR:AR,팀공격력!A:A,B246,팀공격력!B:B,D246))),"")</f>
        <v>0</v>
      </c>
      <c r="BN246" s="67">
        <f>IFERROR((AO246*40)/(((F246*60+G246)/60)*(SUMIFS(팀수비력!Q:Q,팀수비력!A:A,B246,팀수비력!B:B,D246)-SUMIFS(팀수비력!N:N,팀수비력!A:A,B246,팀수비력!B:B,D246)))*100,"")</f>
        <v>2.0980488146024197</v>
      </c>
      <c r="BO246" s="67">
        <f t="shared" si="164"/>
        <v>13.651877133105801</v>
      </c>
      <c r="BT246" t="s">
        <v>96</v>
      </c>
      <c r="BV246" t="s">
        <v>102</v>
      </c>
      <c r="CF246">
        <v>2</v>
      </c>
      <c r="CG246">
        <v>5</v>
      </c>
    </row>
    <row r="247" spans="1:85" x14ac:dyDescent="0.4">
      <c r="A247" s="11" t="s">
        <v>85</v>
      </c>
      <c r="B247" t="s">
        <v>145</v>
      </c>
      <c r="C247" t="s">
        <v>149</v>
      </c>
      <c r="D247" s="46" t="s">
        <v>306</v>
      </c>
      <c r="E247">
        <v>1</v>
      </c>
      <c r="F247">
        <v>4</v>
      </c>
      <c r="G247" s="1">
        <v>17</v>
      </c>
      <c r="H247" s="16">
        <f t="shared" si="139"/>
        <v>257</v>
      </c>
      <c r="I247">
        <v>0</v>
      </c>
      <c r="J247" s="17">
        <f t="shared" si="140"/>
        <v>0</v>
      </c>
      <c r="K247">
        <v>0</v>
      </c>
      <c r="L247">
        <v>1</v>
      </c>
      <c r="M247" s="17">
        <f t="shared" si="141"/>
        <v>0</v>
      </c>
      <c r="N247" s="17">
        <f t="shared" si="142"/>
        <v>1</v>
      </c>
      <c r="O247" s="18">
        <f t="shared" si="143"/>
        <v>0</v>
      </c>
      <c r="P247">
        <v>0</v>
      </c>
      <c r="Q247">
        <v>1</v>
      </c>
      <c r="R247" s="17">
        <f t="shared" si="144"/>
        <v>0</v>
      </c>
      <c r="S247" s="17">
        <f t="shared" si="145"/>
        <v>1</v>
      </c>
      <c r="T247" s="18">
        <f t="shared" si="146"/>
        <v>0</v>
      </c>
      <c r="U247">
        <v>0</v>
      </c>
      <c r="V247">
        <v>0</v>
      </c>
      <c r="W247" s="17">
        <f t="shared" si="147"/>
        <v>0</v>
      </c>
      <c r="X247" s="17">
        <f t="shared" si="148"/>
        <v>0</v>
      </c>
      <c r="Y247" s="18" t="e">
        <f t="shared" si="149"/>
        <v>#DIV/0!</v>
      </c>
      <c r="Z247">
        <v>0</v>
      </c>
      <c r="AA247">
        <v>0</v>
      </c>
      <c r="AB247" s="17">
        <f t="shared" si="150"/>
        <v>0</v>
      </c>
      <c r="AC247" s="17">
        <f t="shared" si="151"/>
        <v>0</v>
      </c>
      <c r="AD247" s="18" t="e">
        <f t="shared" si="152"/>
        <v>#DIV/0!</v>
      </c>
      <c r="AE247">
        <v>2</v>
      </c>
      <c r="AF247" s="17">
        <f t="shared" si="153"/>
        <v>2</v>
      </c>
      <c r="AG247">
        <v>0</v>
      </c>
      <c r="AH247" s="17">
        <f t="shared" si="154"/>
        <v>0</v>
      </c>
      <c r="AI247">
        <v>2</v>
      </c>
      <c r="AJ247" s="17">
        <f t="shared" si="155"/>
        <v>2</v>
      </c>
      <c r="AK247">
        <v>0</v>
      </c>
      <c r="AL247" s="17">
        <f t="shared" si="156"/>
        <v>0</v>
      </c>
      <c r="AM247">
        <v>0</v>
      </c>
      <c r="AN247" s="17">
        <f t="shared" si="157"/>
        <v>0</v>
      </c>
      <c r="AO247">
        <v>0</v>
      </c>
      <c r="AQ247">
        <v>0</v>
      </c>
      <c r="AR247" s="17">
        <f t="shared" si="158"/>
        <v>0</v>
      </c>
      <c r="AS247">
        <v>1</v>
      </c>
      <c r="AT247" s="17">
        <f t="shared" si="159"/>
        <v>1</v>
      </c>
      <c r="BD247" s="65">
        <f t="shared" si="160"/>
        <v>0</v>
      </c>
      <c r="BE247" s="65">
        <f t="shared" si="161"/>
        <v>0</v>
      </c>
      <c r="BF247" s="66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1.5557979142973162</v>
      </c>
      <c r="BG247" s="38">
        <f t="shared" si="162"/>
        <v>0</v>
      </c>
      <c r="BH247" s="38">
        <f t="shared" si="163"/>
        <v>0</v>
      </c>
      <c r="BI247" s="67">
        <f>IFERROR(((AG247*(12000/5))/((F247*60+G247)*(SUMIFS(팀공격력!X:X,팀공격력!A:A,B247,팀공격력!B:B,D247)+SUMIFS(팀수비력!X:X,팀수비력!A:A,B247,팀수비력!B:B,D247))))*100,"")</f>
        <v>0</v>
      </c>
      <c r="BJ247" s="67">
        <f>IFERROR(((AI247*(12000/5))/((F247*60+G247)*(SUMIFS(팀공격력!V:V,팀공격력!A:A,B247,팀공격력!B:B,D247)+SUMIFS(팀수비력!W:W,팀수비력!A:A,B247,팀수비력!B:B,D247))))*100,"")</f>
        <v>7.4708171206225682</v>
      </c>
      <c r="BK247" s="67">
        <f>IFERROR(((AE247*(12000/5))/((F247*60+G247)*(SUMIFS(팀공격력!X:X,팀공격력!A:A,B247,팀공격력!B:B,D247)+SUMIFS(팀수비력!X:X,팀수비력!A:A,B247,팀수비력!B:B,D247))))*100,"")</f>
        <v>3.7961469108854513</v>
      </c>
      <c r="BL247" s="67">
        <f>IFERROR(100*AK247/(((((F247*60+G247)/(12000/5))*SUMIFS(팀공격력!P:P,팀공격력!A:A,B247,팀공격력!B:B,D247))-K247)),"")</f>
        <v>0</v>
      </c>
      <c r="BM247" s="67">
        <f>IFERROR(100*((AM247/E247*(2400))/((F247*60+G247)*SUMIFS(팀공격력!AR:AR,팀공격력!A:A,B247,팀공격력!B:B,D247))),"")</f>
        <v>0</v>
      </c>
      <c r="BN247" s="67">
        <f>IFERROR((AO247*40)/(((F247*60+G247)/60)*(SUMIFS(팀수비력!Q:Q,팀수비력!A:A,B247,팀수비력!B:B,D247)-SUMIFS(팀수비력!N:N,팀수비력!A:A,B247,팀수비력!B:B,D247)))*100,"")</f>
        <v>0</v>
      </c>
      <c r="BO247" s="67">
        <f t="shared" si="164"/>
        <v>0</v>
      </c>
      <c r="BT247" t="s">
        <v>89</v>
      </c>
      <c r="BV247" t="s">
        <v>102</v>
      </c>
      <c r="CF247">
        <v>0</v>
      </c>
      <c r="CG247">
        <v>1</v>
      </c>
    </row>
    <row r="248" spans="1:85" x14ac:dyDescent="0.4">
      <c r="A248" s="11" t="s">
        <v>85</v>
      </c>
      <c r="B248" t="s">
        <v>145</v>
      </c>
      <c r="C248" t="s">
        <v>151</v>
      </c>
      <c r="D248" s="46" t="s">
        <v>306</v>
      </c>
      <c r="E248">
        <v>7</v>
      </c>
      <c r="F248">
        <v>7</v>
      </c>
      <c r="G248" s="1">
        <v>8</v>
      </c>
      <c r="H248" s="16">
        <f t="shared" si="139"/>
        <v>2996</v>
      </c>
      <c r="I248">
        <v>6</v>
      </c>
      <c r="J248" s="17">
        <f t="shared" si="140"/>
        <v>0.8571428571428571</v>
      </c>
      <c r="K248">
        <v>2</v>
      </c>
      <c r="L248">
        <v>5</v>
      </c>
      <c r="M248" s="17">
        <f t="shared" si="141"/>
        <v>0.2857142857142857</v>
      </c>
      <c r="N248" s="17">
        <f t="shared" si="142"/>
        <v>0.7142857142857143</v>
      </c>
      <c r="O248" s="18">
        <f t="shared" si="143"/>
        <v>0.4</v>
      </c>
      <c r="P248">
        <v>2</v>
      </c>
      <c r="Q248">
        <v>3</v>
      </c>
      <c r="R248" s="17">
        <f t="shared" si="144"/>
        <v>0.2857142857142857</v>
      </c>
      <c r="S248" s="17">
        <f t="shared" si="145"/>
        <v>0.42857142857142855</v>
      </c>
      <c r="T248" s="18">
        <f t="shared" si="146"/>
        <v>0.66666666666666663</v>
      </c>
      <c r="U248">
        <v>0</v>
      </c>
      <c r="V248">
        <v>2</v>
      </c>
      <c r="W248" s="17">
        <f t="shared" si="147"/>
        <v>0</v>
      </c>
      <c r="X248" s="17">
        <f t="shared" si="148"/>
        <v>0.2857142857142857</v>
      </c>
      <c r="Y248" s="18">
        <f t="shared" si="149"/>
        <v>0</v>
      </c>
      <c r="Z248">
        <v>2</v>
      </c>
      <c r="AA248">
        <v>4</v>
      </c>
      <c r="AB248" s="17">
        <f t="shared" si="150"/>
        <v>0.2857142857142857</v>
      </c>
      <c r="AC248" s="17">
        <f t="shared" si="151"/>
        <v>0.5714285714285714</v>
      </c>
      <c r="AD248" s="18">
        <f t="shared" si="152"/>
        <v>0.5</v>
      </c>
      <c r="AE248">
        <v>7</v>
      </c>
      <c r="AF248" s="17">
        <f t="shared" si="153"/>
        <v>1</v>
      </c>
      <c r="AG248">
        <v>0</v>
      </c>
      <c r="AH248" s="17">
        <f t="shared" si="154"/>
        <v>0</v>
      </c>
      <c r="AI248">
        <v>7</v>
      </c>
      <c r="AJ248" s="17">
        <f t="shared" si="155"/>
        <v>1</v>
      </c>
      <c r="AK248">
        <v>4</v>
      </c>
      <c r="AL248" s="17">
        <f t="shared" si="156"/>
        <v>0.5714285714285714</v>
      </c>
      <c r="AM248">
        <v>4</v>
      </c>
      <c r="AN248" s="17">
        <f t="shared" si="157"/>
        <v>0.5714285714285714</v>
      </c>
      <c r="AO248">
        <v>0</v>
      </c>
      <c r="AQ248">
        <v>2</v>
      </c>
      <c r="AR248" s="17">
        <f t="shared" si="158"/>
        <v>0.2857142857142857</v>
      </c>
      <c r="AS248">
        <v>11</v>
      </c>
      <c r="AT248" s="17">
        <f t="shared" si="159"/>
        <v>1.5714285714285714</v>
      </c>
      <c r="BD248" s="65">
        <f t="shared" si="160"/>
        <v>44.378698224852073</v>
      </c>
      <c r="BE248" s="65">
        <f t="shared" si="161"/>
        <v>40</v>
      </c>
      <c r="BF248" s="66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8.1836424308781162</v>
      </c>
      <c r="BG248" s="38">
        <f t="shared" si="162"/>
        <v>0.4</v>
      </c>
      <c r="BH248" s="38">
        <f t="shared" si="163"/>
        <v>0.8</v>
      </c>
      <c r="BI248" s="67">
        <f>IFERROR(((AG248*(12000/5))/((F248*60+G248)*(SUMIFS(팀공격력!X:X,팀공격력!A:A,B248,팀공격력!B:B,D248)+SUMIFS(팀수비력!X:X,팀수비력!A:A,B248,팀수비력!B:B,D248))))*100,"")</f>
        <v>0</v>
      </c>
      <c r="BJ248" s="67">
        <f>IFERROR(((AI248*(12000/5))/((F248*60+G248)*(SUMIFS(팀공격력!V:V,팀공격력!A:A,B248,팀공격력!B:B,D248)+SUMIFS(팀수비력!W:W,팀수비력!A:A,B248,팀수비력!B:B,D248))))*100,"")</f>
        <v>15.700934579439252</v>
      </c>
      <c r="BK248" s="67">
        <f>IFERROR(((AE248*(12000/5))/((F248*60+G248)*(SUMIFS(팀공격력!X:X,팀공격력!A:A,B248,팀공격력!B:B,D248)+SUMIFS(팀수비력!X:X,팀수비력!A:A,B248,팀수비력!B:B,D248))))*100,"")</f>
        <v>7.9781171643492135</v>
      </c>
      <c r="BL248" s="67">
        <f>IFERROR(100*AK248/(((((F248*60+G248)/(12000/5))*SUMIFS(팀공격력!P:P,팀공격력!A:A,B248,팀공격력!B:B,D248))-K248)),"")</f>
        <v>10.113353840967511</v>
      </c>
      <c r="BM248" s="67">
        <f>IFERROR(100*((AM248/E248*(2400))/((F248*60+G248)*SUMIFS(팀공격력!AR:AR,팀공격력!A:A,B248,팀공격력!B:B,D248))),"")</f>
        <v>5.5446149217690666</v>
      </c>
      <c r="BN248" s="67">
        <f>IFERROR((AO248*40)/(((F248*60+G248)/60)*(SUMIFS(팀수비력!Q:Q,팀수비력!A:A,B248,팀수비력!B:B,D248)-SUMIFS(팀수비력!N:N,팀수비력!A:A,B248,팀수비력!B:B,D248)))*100,"")</f>
        <v>0</v>
      </c>
      <c r="BO248" s="67">
        <f t="shared" si="164"/>
        <v>22.831050228310502</v>
      </c>
      <c r="BT248" t="s">
        <v>89</v>
      </c>
      <c r="BV248" t="s">
        <v>90</v>
      </c>
      <c r="CF248">
        <v>2</v>
      </c>
      <c r="CG248">
        <v>5</v>
      </c>
    </row>
    <row r="249" spans="1:85" x14ac:dyDescent="0.4">
      <c r="A249" s="11" t="s">
        <v>85</v>
      </c>
      <c r="B249" t="s">
        <v>145</v>
      </c>
      <c r="C249" t="s">
        <v>152</v>
      </c>
      <c r="D249" s="46" t="s">
        <v>306</v>
      </c>
      <c r="E249">
        <v>7</v>
      </c>
      <c r="F249">
        <v>27</v>
      </c>
      <c r="G249" s="1">
        <v>56</v>
      </c>
      <c r="H249" s="16">
        <f t="shared" si="139"/>
        <v>11732</v>
      </c>
      <c r="I249">
        <v>151</v>
      </c>
      <c r="J249" s="17">
        <f t="shared" si="140"/>
        <v>21.571428571428573</v>
      </c>
      <c r="K249">
        <v>59</v>
      </c>
      <c r="L249">
        <v>102</v>
      </c>
      <c r="M249" s="17">
        <f t="shared" si="141"/>
        <v>8.4285714285714288</v>
      </c>
      <c r="N249" s="17">
        <f t="shared" si="142"/>
        <v>14.571428571428571</v>
      </c>
      <c r="O249" s="18">
        <f t="shared" si="143"/>
        <v>0.57843137254901966</v>
      </c>
      <c r="P249">
        <v>53</v>
      </c>
      <c r="Q249">
        <v>84</v>
      </c>
      <c r="R249" s="17">
        <f t="shared" si="144"/>
        <v>7.5714285714285712</v>
      </c>
      <c r="S249" s="17">
        <f t="shared" si="145"/>
        <v>12</v>
      </c>
      <c r="T249" s="18">
        <f t="shared" si="146"/>
        <v>0.63095238095238093</v>
      </c>
      <c r="U249">
        <v>6</v>
      </c>
      <c r="V249">
        <v>18</v>
      </c>
      <c r="W249" s="17">
        <f t="shared" si="147"/>
        <v>0.8571428571428571</v>
      </c>
      <c r="X249" s="17">
        <f t="shared" si="148"/>
        <v>2.5714285714285716</v>
      </c>
      <c r="Y249" s="18">
        <f t="shared" si="149"/>
        <v>0.33333333333333331</v>
      </c>
      <c r="Z249">
        <v>27</v>
      </c>
      <c r="AA249">
        <v>36</v>
      </c>
      <c r="AB249" s="17">
        <f t="shared" si="150"/>
        <v>3.8571428571428572</v>
      </c>
      <c r="AC249" s="17">
        <f t="shared" si="151"/>
        <v>5.1428571428571432</v>
      </c>
      <c r="AD249" s="18">
        <f t="shared" si="152"/>
        <v>0.75</v>
      </c>
      <c r="AE249">
        <v>109</v>
      </c>
      <c r="AF249" s="17">
        <f t="shared" si="153"/>
        <v>15.571428571428571</v>
      </c>
      <c r="AG249">
        <v>32</v>
      </c>
      <c r="AH249" s="17">
        <f t="shared" si="154"/>
        <v>4.5714285714285712</v>
      </c>
      <c r="AI249">
        <v>77</v>
      </c>
      <c r="AJ249" s="17">
        <f t="shared" si="155"/>
        <v>11</v>
      </c>
      <c r="AK249">
        <v>24</v>
      </c>
      <c r="AL249" s="17">
        <f t="shared" si="156"/>
        <v>3.4285714285714284</v>
      </c>
      <c r="AM249">
        <v>7</v>
      </c>
      <c r="AN249" s="17">
        <f t="shared" si="157"/>
        <v>1</v>
      </c>
      <c r="AO249">
        <v>1</v>
      </c>
      <c r="AQ249">
        <v>20</v>
      </c>
      <c r="AR249" s="17">
        <f t="shared" si="158"/>
        <v>2.8571428571428572</v>
      </c>
      <c r="AS249">
        <v>18</v>
      </c>
      <c r="AT249" s="17">
        <f t="shared" si="159"/>
        <v>2.5714285714285716</v>
      </c>
      <c r="BD249" s="65">
        <f t="shared" si="160"/>
        <v>64.06992532247115</v>
      </c>
      <c r="BE249" s="65">
        <f t="shared" si="161"/>
        <v>60.784313725490193</v>
      </c>
      <c r="BF249" s="66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32.884221013265339</v>
      </c>
      <c r="BG249" s="38">
        <f t="shared" si="162"/>
        <v>0.17647058823529413</v>
      </c>
      <c r="BH249" s="38">
        <f t="shared" si="163"/>
        <v>0.35294117647058826</v>
      </c>
      <c r="BI249" s="67">
        <f>IFERROR(((AG249*(12000/5))/((F249*60+G249)*(SUMIFS(팀공격력!X:X,팀공격력!A:A,B249,팀공격력!B:B,D249)+SUMIFS(팀수비력!X:X,팀수비력!A:A,B249,팀수비력!B:B,D249))))*100,"")</f>
        <v>9.3136969555853071</v>
      </c>
      <c r="BJ249" s="67">
        <f>IFERROR(((AI249*(12000/5))/((F249*60+G249)*(SUMIFS(팀공격력!V:V,팀공격력!A:A,B249,팀공격력!B:B,D249)+SUMIFS(팀수비력!W:W,팀수비력!A:A,B249,팀수비력!B:B,D249))))*100,"")</f>
        <v>44.105011933174225</v>
      </c>
      <c r="BK249" s="67">
        <f>IFERROR(((AE249*(12000/5))/((F249*60+G249)*(SUMIFS(팀공격력!X:X,팀공격력!A:A,B249,팀공격력!B:B,D249)+SUMIFS(팀수비력!X:X,팀수비력!A:A,B249,팀수비력!B:B,D249))))*100,"")</f>
        <v>31.724780254962454</v>
      </c>
      <c r="BL249" s="67">
        <f>IFERROR(100*AK249/(((((F249*60+G249)/(12000/5))*SUMIFS(팀공격력!P:P,팀공격력!A:A,B249,팀공격력!B:B,D249))-K249)),"")</f>
        <v>23.141080238481688</v>
      </c>
      <c r="BM249" s="67">
        <f>IFERROR(100*((AM249/E249*(2400))/((F249*60+G249)*SUMIFS(팀공격력!AR:AR,팀공격력!A:A,B249,팀공격력!B:B,D249))),"")</f>
        <v>2.4778738522703048</v>
      </c>
      <c r="BN249" s="67">
        <f>IFERROR((AO249*40)/(((F249*60+G249)/60)*(SUMIFS(팀수비력!Q:Q,팀수비력!A:A,B249,팀수비력!B:B,D249)-SUMIFS(팀수비력!N:N,팀수비력!A:A,B249,팀수비력!B:B,D249)))*100,"")</f>
        <v>0.45315851484849401</v>
      </c>
      <c r="BO249" s="67">
        <f t="shared" si="164"/>
        <v>14.509576320371444</v>
      </c>
      <c r="BT249" t="s">
        <v>96</v>
      </c>
      <c r="BV249" t="s">
        <v>102</v>
      </c>
      <c r="CF249">
        <v>2</v>
      </c>
      <c r="CG249">
        <v>5</v>
      </c>
    </row>
    <row r="250" spans="1:85" x14ac:dyDescent="0.4">
      <c r="A250" s="11" t="s">
        <v>85</v>
      </c>
      <c r="B250" t="s">
        <v>145</v>
      </c>
      <c r="C250" t="s">
        <v>153</v>
      </c>
      <c r="D250" s="46" t="s">
        <v>306</v>
      </c>
      <c r="E250">
        <v>5</v>
      </c>
      <c r="F250">
        <v>7</v>
      </c>
      <c r="G250" s="1">
        <v>18</v>
      </c>
      <c r="H250" s="16">
        <f t="shared" si="139"/>
        <v>2190</v>
      </c>
      <c r="I250">
        <v>14</v>
      </c>
      <c r="J250" s="17">
        <f t="shared" si="140"/>
        <v>2.8</v>
      </c>
      <c r="K250">
        <v>6</v>
      </c>
      <c r="L250">
        <v>13</v>
      </c>
      <c r="M250" s="17">
        <f t="shared" si="141"/>
        <v>1.2</v>
      </c>
      <c r="N250" s="17">
        <f t="shared" si="142"/>
        <v>2.6</v>
      </c>
      <c r="O250" s="18">
        <f t="shared" si="143"/>
        <v>0.46153846153846156</v>
      </c>
      <c r="P250">
        <v>6</v>
      </c>
      <c r="Q250">
        <v>12</v>
      </c>
      <c r="R250" s="17">
        <f t="shared" si="144"/>
        <v>1.2</v>
      </c>
      <c r="S250" s="17">
        <f t="shared" si="145"/>
        <v>2.4</v>
      </c>
      <c r="T250" s="18">
        <f t="shared" si="146"/>
        <v>0.5</v>
      </c>
      <c r="U250">
        <v>0</v>
      </c>
      <c r="V250">
        <v>1</v>
      </c>
      <c r="W250" s="17">
        <f t="shared" si="147"/>
        <v>0</v>
      </c>
      <c r="X250" s="17">
        <f t="shared" si="148"/>
        <v>0.2</v>
      </c>
      <c r="Y250" s="18">
        <f t="shared" si="149"/>
        <v>0</v>
      </c>
      <c r="Z250">
        <v>2</v>
      </c>
      <c r="AA250">
        <v>6</v>
      </c>
      <c r="AB250" s="17">
        <f t="shared" si="150"/>
        <v>0.4</v>
      </c>
      <c r="AC250" s="17">
        <f t="shared" si="151"/>
        <v>1.2</v>
      </c>
      <c r="AD250" s="18">
        <f t="shared" si="152"/>
        <v>0.33333333333333331</v>
      </c>
      <c r="AE250">
        <v>3</v>
      </c>
      <c r="AF250" s="17">
        <f t="shared" si="153"/>
        <v>0.6</v>
      </c>
      <c r="AG250">
        <v>1</v>
      </c>
      <c r="AH250" s="17">
        <f t="shared" si="154"/>
        <v>0.2</v>
      </c>
      <c r="AI250">
        <v>2</v>
      </c>
      <c r="AJ250" s="17">
        <f t="shared" si="155"/>
        <v>0.4</v>
      </c>
      <c r="AK250">
        <v>1</v>
      </c>
      <c r="AL250" s="17">
        <f t="shared" si="156"/>
        <v>0.2</v>
      </c>
      <c r="AM250">
        <v>0</v>
      </c>
      <c r="AN250" s="17">
        <f t="shared" si="157"/>
        <v>0</v>
      </c>
      <c r="AO250">
        <v>0</v>
      </c>
      <c r="AQ250">
        <v>0</v>
      </c>
      <c r="AR250" s="17">
        <f t="shared" si="158"/>
        <v>0</v>
      </c>
      <c r="AS250">
        <v>5</v>
      </c>
      <c r="AT250" s="17">
        <f t="shared" si="159"/>
        <v>1</v>
      </c>
      <c r="BD250" s="65">
        <f t="shared" si="160"/>
        <v>44.757033248081839</v>
      </c>
      <c r="BE250" s="65">
        <f t="shared" si="161"/>
        <v>46.153846153846153</v>
      </c>
      <c r="BF250" s="66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14.277394065204968</v>
      </c>
      <c r="BG250" s="38">
        <f t="shared" si="162"/>
        <v>7.6923076923076927E-2</v>
      </c>
      <c r="BH250" s="38">
        <f t="shared" si="163"/>
        <v>0.46153846153846156</v>
      </c>
      <c r="BI250" s="67">
        <f>IFERROR(((AG250*(12000/5))/((F250*60+G250)*(SUMIFS(팀공격력!X:X,팀공격력!A:A,B250,팀공격력!B:B,D250)+SUMIFS(팀수비력!X:X,팀수비력!A:A,B250,팀수비력!B:B,D250))))*100,"")</f>
        <v>1.1137097672346588</v>
      </c>
      <c r="BJ250" s="67">
        <f>IFERROR(((AI250*(12000/5))/((F250*60+G250)*(SUMIFS(팀공격력!V:V,팀공격력!A:A,B250,팀공격력!B:B,D250)+SUMIFS(팀수비력!W:W,팀수비력!A:A,B250,팀수비력!B:B,D250))))*100,"")</f>
        <v>4.3835616438356162</v>
      </c>
      <c r="BK250" s="67">
        <f>IFERROR(((AE250*(12000/5))/((F250*60+G250)*(SUMIFS(팀공격력!X:X,팀공격력!A:A,B250,팀공격력!B:B,D250)+SUMIFS(팀수비력!X:X,팀수비력!A:A,B250,팀수비력!B:B,D250))))*100,"")</f>
        <v>3.341129301703976</v>
      </c>
      <c r="BL250" s="67">
        <f>IFERROR(100*AK250/(((((F250*60+G250)/(12000/5))*SUMIFS(팀공격력!P:P,팀공격력!A:A,B250,팀공격력!B:B,D250))-K250)),"")</f>
        <v>2.738038195632829</v>
      </c>
      <c r="BM250" s="67">
        <f>IFERROR(100*((AM250/E250*(2400))/((F250*60+G250)*SUMIFS(팀공격력!AR:AR,팀공격력!A:A,B250,팀공격력!B:B,D250))),"")</f>
        <v>0</v>
      </c>
      <c r="BN250" s="67">
        <f>IFERROR((AO250*40)/(((F250*60+G250)/60)*(SUMIFS(팀수비력!Q:Q,팀수비력!A:A,B250,팀수비력!B:B,D250)-SUMIFS(팀수비력!N:N,팀수비력!A:A,B250,팀수비력!B:B,D250)))*100,"")</f>
        <v>0</v>
      </c>
      <c r="BO250" s="67">
        <f t="shared" si="164"/>
        <v>0</v>
      </c>
      <c r="BT250" t="s">
        <v>89</v>
      </c>
      <c r="BV250" t="s">
        <v>93</v>
      </c>
      <c r="CF250">
        <v>2</v>
      </c>
      <c r="CG250">
        <v>3</v>
      </c>
    </row>
    <row r="251" spans="1:85" x14ac:dyDescent="0.4">
      <c r="A251" s="11" t="s">
        <v>85</v>
      </c>
      <c r="B251" t="s">
        <v>145</v>
      </c>
      <c r="C251" t="s">
        <v>154</v>
      </c>
      <c r="D251" s="46" t="s">
        <v>306</v>
      </c>
      <c r="E251">
        <v>7</v>
      </c>
      <c r="F251">
        <v>18</v>
      </c>
      <c r="G251" s="1">
        <v>42</v>
      </c>
      <c r="H251" s="16">
        <f t="shared" si="139"/>
        <v>7854</v>
      </c>
      <c r="I251">
        <v>45</v>
      </c>
      <c r="J251" s="17">
        <f t="shared" si="140"/>
        <v>6.4285714285714288</v>
      </c>
      <c r="K251">
        <v>16</v>
      </c>
      <c r="L251">
        <v>27</v>
      </c>
      <c r="M251" s="17">
        <f t="shared" si="141"/>
        <v>2.2857142857142856</v>
      </c>
      <c r="N251" s="17">
        <f t="shared" si="142"/>
        <v>3.8571428571428572</v>
      </c>
      <c r="O251" s="18">
        <f t="shared" si="143"/>
        <v>0.59259259259259256</v>
      </c>
      <c r="P251">
        <v>3</v>
      </c>
      <c r="Q251">
        <v>5</v>
      </c>
      <c r="R251" s="17">
        <f t="shared" si="144"/>
        <v>0.42857142857142855</v>
      </c>
      <c r="S251" s="17">
        <f t="shared" si="145"/>
        <v>0.7142857142857143</v>
      </c>
      <c r="T251" s="18">
        <f t="shared" si="146"/>
        <v>0.6</v>
      </c>
      <c r="U251">
        <v>13</v>
      </c>
      <c r="V251">
        <v>22</v>
      </c>
      <c r="W251" s="17">
        <f t="shared" si="147"/>
        <v>1.8571428571428572</v>
      </c>
      <c r="X251" s="17">
        <f t="shared" si="148"/>
        <v>3.1428571428571428</v>
      </c>
      <c r="Y251" s="18">
        <f t="shared" si="149"/>
        <v>0.59090909090909094</v>
      </c>
      <c r="Z251">
        <v>0</v>
      </c>
      <c r="AA251">
        <v>0</v>
      </c>
      <c r="AB251" s="17">
        <f t="shared" si="150"/>
        <v>0</v>
      </c>
      <c r="AC251" s="17">
        <f t="shared" si="151"/>
        <v>0</v>
      </c>
      <c r="AD251" s="18" t="e">
        <f t="shared" si="152"/>
        <v>#DIV/0!</v>
      </c>
      <c r="AE251">
        <v>7</v>
      </c>
      <c r="AF251" s="17">
        <f t="shared" si="153"/>
        <v>1</v>
      </c>
      <c r="AG251">
        <v>2</v>
      </c>
      <c r="AH251" s="17">
        <f t="shared" si="154"/>
        <v>0.2857142857142857</v>
      </c>
      <c r="AI251">
        <v>5</v>
      </c>
      <c r="AJ251" s="17">
        <f t="shared" si="155"/>
        <v>0.7142857142857143</v>
      </c>
      <c r="AK251">
        <v>6</v>
      </c>
      <c r="AL251" s="17">
        <f t="shared" si="156"/>
        <v>0.8571428571428571</v>
      </c>
      <c r="AM251">
        <v>3</v>
      </c>
      <c r="AN251" s="17">
        <f t="shared" si="157"/>
        <v>0.42857142857142855</v>
      </c>
      <c r="AO251">
        <v>0</v>
      </c>
      <c r="AQ251">
        <v>1</v>
      </c>
      <c r="AR251" s="17">
        <f t="shared" si="158"/>
        <v>0.14285714285714285</v>
      </c>
      <c r="AS251">
        <v>10</v>
      </c>
      <c r="AT251" s="17">
        <f t="shared" si="159"/>
        <v>1.4285714285714286</v>
      </c>
      <c r="BD251" s="65">
        <f t="shared" si="160"/>
        <v>83.333333333333343</v>
      </c>
      <c r="BE251" s="65">
        <f t="shared" si="161"/>
        <v>83.333333333333343</v>
      </c>
      <c r="BF251" s="66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9.9781834146911645</v>
      </c>
      <c r="BG251" s="38">
        <f t="shared" si="162"/>
        <v>0.81481481481481477</v>
      </c>
      <c r="BH251" s="38">
        <f t="shared" si="163"/>
        <v>0</v>
      </c>
      <c r="BI251" s="67">
        <f>IFERROR(((AG251*(12000/5))/((F251*60+G251)*(SUMIFS(팀공격력!X:X,팀공격력!A:A,B251,팀공격력!B:B,D251)+SUMIFS(팀수비력!X:X,팀수비력!A:A,B251,팀수비력!B:B,D251))))*100,"")</f>
        <v>0.8695274118516586</v>
      </c>
      <c r="BJ251" s="67">
        <f>IFERROR(((AI251*(12000/5))/((F251*60+G251)*(SUMIFS(팀공격력!V:V,팀공격력!A:A,B251,팀공격력!B:B,D251)+SUMIFS(팀수비력!W:W,팀수비력!A:A,B251,팀수비력!B:B,D251))))*100,"")</f>
        <v>4.2780748663101598</v>
      </c>
      <c r="BK251" s="67">
        <f>IFERROR(((AE251*(12000/5))/((F251*60+G251)*(SUMIFS(팀공격력!X:X,팀공격력!A:A,B251,팀공격력!B:B,D251)+SUMIFS(팀수비력!X:X,팀수비력!A:A,B251,팀수비력!B:B,D251))))*100,"")</f>
        <v>3.0433459414808053</v>
      </c>
      <c r="BL251" s="67">
        <f>IFERROR(100*AK251/(((((F251*60+G251)/(12000/5))*SUMIFS(팀공격력!P:P,팀공격력!A:A,B251,팀공격력!B:B,D251))-K251)),"")</f>
        <v>6.4566463102956604</v>
      </c>
      <c r="BM251" s="67">
        <f>IFERROR(100*((AM251/E251*(2400))/((F251*60+G251)*SUMIFS(팀공격력!AR:AR,팀공격력!A:A,B251,팀공격력!B:B,D251))),"")</f>
        <v>1.5862935738751072</v>
      </c>
      <c r="BN251" s="67">
        <f>IFERROR((AO251*40)/(((F251*60+G251)/60)*(SUMIFS(팀수비력!Q:Q,팀수비력!A:A,B251,팀수비력!B:B,D251)-SUMIFS(팀수비력!N:N,팀수비력!A:A,B251,팀수비력!B:B,D251)))*100,"")</f>
        <v>0</v>
      </c>
      <c r="BO251" s="67">
        <f t="shared" si="164"/>
        <v>3.5714285714285716</v>
      </c>
      <c r="BT251" t="s">
        <v>89</v>
      </c>
      <c r="BV251" t="s">
        <v>93</v>
      </c>
      <c r="CF251">
        <v>2</v>
      </c>
      <c r="CG251">
        <v>5</v>
      </c>
    </row>
    <row r="252" spans="1:85" x14ac:dyDescent="0.4">
      <c r="A252" s="11" t="s">
        <v>85</v>
      </c>
      <c r="B252" t="s">
        <v>145</v>
      </c>
      <c r="C252" t="s">
        <v>155</v>
      </c>
      <c r="D252" s="46" t="s">
        <v>306</v>
      </c>
      <c r="E252">
        <v>7</v>
      </c>
      <c r="F252">
        <v>29</v>
      </c>
      <c r="G252" s="1">
        <v>13</v>
      </c>
      <c r="H252" s="16">
        <f t="shared" si="139"/>
        <v>12271</v>
      </c>
      <c r="I252">
        <v>49</v>
      </c>
      <c r="J252" s="17">
        <f t="shared" si="140"/>
        <v>7</v>
      </c>
      <c r="K252">
        <v>20</v>
      </c>
      <c r="L252">
        <v>58</v>
      </c>
      <c r="M252" s="17">
        <f t="shared" si="141"/>
        <v>2.8571428571428572</v>
      </c>
      <c r="N252" s="17">
        <f t="shared" si="142"/>
        <v>8.2857142857142865</v>
      </c>
      <c r="O252" s="18">
        <f t="shared" si="143"/>
        <v>0.34482758620689657</v>
      </c>
      <c r="P252">
        <v>18</v>
      </c>
      <c r="Q252">
        <v>48</v>
      </c>
      <c r="R252" s="17">
        <f t="shared" si="144"/>
        <v>2.5714285714285716</v>
      </c>
      <c r="S252" s="17">
        <f t="shared" si="145"/>
        <v>6.8571428571428568</v>
      </c>
      <c r="T252" s="18">
        <f t="shared" si="146"/>
        <v>0.375</v>
      </c>
      <c r="U252">
        <v>2</v>
      </c>
      <c r="V252">
        <v>10</v>
      </c>
      <c r="W252" s="17">
        <f t="shared" si="147"/>
        <v>0.2857142857142857</v>
      </c>
      <c r="X252" s="17">
        <f t="shared" si="148"/>
        <v>1.4285714285714286</v>
      </c>
      <c r="Y252" s="18">
        <f t="shared" si="149"/>
        <v>0.2</v>
      </c>
      <c r="Z252">
        <v>7</v>
      </c>
      <c r="AA252">
        <v>8</v>
      </c>
      <c r="AB252" s="17">
        <f t="shared" si="150"/>
        <v>1</v>
      </c>
      <c r="AC252" s="17">
        <f t="shared" si="151"/>
        <v>1.1428571428571428</v>
      </c>
      <c r="AD252" s="18">
        <f t="shared" si="152"/>
        <v>0.875</v>
      </c>
      <c r="AE252">
        <v>28</v>
      </c>
      <c r="AF252" s="17">
        <f t="shared" si="153"/>
        <v>4</v>
      </c>
      <c r="AG252">
        <v>8</v>
      </c>
      <c r="AH252" s="17">
        <f t="shared" si="154"/>
        <v>1.1428571428571428</v>
      </c>
      <c r="AI252">
        <v>20</v>
      </c>
      <c r="AJ252" s="17">
        <f t="shared" si="155"/>
        <v>2.8571428571428572</v>
      </c>
      <c r="AK252">
        <v>18</v>
      </c>
      <c r="AL252" s="17">
        <f t="shared" si="156"/>
        <v>2.5714285714285716</v>
      </c>
      <c r="AM252">
        <v>7</v>
      </c>
      <c r="AN252" s="17">
        <f t="shared" si="157"/>
        <v>1</v>
      </c>
      <c r="AO252">
        <v>3</v>
      </c>
      <c r="AQ252">
        <v>7</v>
      </c>
      <c r="AR252" s="17">
        <f t="shared" si="158"/>
        <v>1</v>
      </c>
      <c r="AS252">
        <v>14</v>
      </c>
      <c r="AT252" s="17">
        <f t="shared" si="159"/>
        <v>2</v>
      </c>
      <c r="BD252" s="65">
        <f t="shared" si="160"/>
        <v>39.824447334200258</v>
      </c>
      <c r="BE252" s="65">
        <f t="shared" si="161"/>
        <v>36.206896551724135</v>
      </c>
      <c r="BF252" s="66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15.62866011610188</v>
      </c>
      <c r="BG252" s="38">
        <f t="shared" si="162"/>
        <v>0.17241379310344829</v>
      </c>
      <c r="BH252" s="38">
        <f t="shared" si="163"/>
        <v>0.13793103448275862</v>
      </c>
      <c r="BI252" s="67">
        <f>IFERROR(((AG252*(12000/5))/((F252*60+G252)*(SUMIFS(팀공격력!X:X,팀공격력!A:A,B252,팀공격력!B:B,D252)+SUMIFS(팀수비력!X:X,팀수비력!A:A,B252,팀수비력!B:B,D252))))*100,"")</f>
        <v>2.2261489015346516</v>
      </c>
      <c r="BJ252" s="67">
        <f>IFERROR(((AI252*(12000/5))/((F252*60+G252)*(SUMIFS(팀공격력!V:V,팀공격력!A:A,B252,팀공격력!B:B,D252)+SUMIFS(팀수비력!W:W,팀수비력!A:A,B252,팀수비력!B:B,D252))))*100,"")</f>
        <v>10.952652595550486</v>
      </c>
      <c r="BK252" s="67">
        <f>IFERROR(((AE252*(12000/5))/((F252*60+G252)*(SUMIFS(팀공격력!X:X,팀공격력!A:A,B252,팀공격력!B:B,D252)+SUMIFS(팀수비력!X:X,팀수비력!A:A,B252,팀수비력!B:B,D252))))*100,"")</f>
        <v>7.7915211553712798</v>
      </c>
      <c r="BL252" s="67">
        <f>IFERROR(100*AK252/(((((F252*60+G252)/(12000/5))*SUMIFS(팀공격력!P:P,팀공격력!A:A,B252,팀공격력!B:B,D252))-K252)),"")</f>
        <v>11.985051976839996</v>
      </c>
      <c r="BM252" s="67">
        <f>IFERROR(100*((AM252/E252*(2400))/((F252*60+G252)*SUMIFS(팀공격력!AR:AR,팀공격력!A:A,B252,팀공격력!B:B,D252))),"")</f>
        <v>2.3690339853993332</v>
      </c>
      <c r="BN252" s="67">
        <f>IFERROR((AO252*40)/(((F252*60+G252)/60)*(SUMIFS(팀수비력!Q:Q,팀수비력!A:A,B252,팀수비력!B:B,D252)-SUMIFS(팀수비력!N:N,팀수비력!A:A,B252,팀수비력!B:B,D252)))*100,"")</f>
        <v>1.2997609883960231</v>
      </c>
      <c r="BO252" s="67">
        <f t="shared" si="164"/>
        <v>10.215995329830704</v>
      </c>
      <c r="BT252" t="s">
        <v>89</v>
      </c>
      <c r="BV252" t="s">
        <v>93</v>
      </c>
      <c r="CF252">
        <v>2</v>
      </c>
      <c r="CG252">
        <v>5</v>
      </c>
    </row>
    <row r="253" spans="1:85" x14ac:dyDescent="0.4">
      <c r="A253" s="11" t="s">
        <v>85</v>
      </c>
      <c r="B253" t="s">
        <v>145</v>
      </c>
      <c r="C253" t="s">
        <v>156</v>
      </c>
      <c r="D253" s="46" t="s">
        <v>306</v>
      </c>
      <c r="E253">
        <v>1</v>
      </c>
      <c r="F253">
        <v>1</v>
      </c>
      <c r="G253" s="1">
        <v>2</v>
      </c>
      <c r="H253" s="16">
        <f t="shared" si="139"/>
        <v>62</v>
      </c>
      <c r="I253">
        <v>0</v>
      </c>
      <c r="J253" s="17">
        <f t="shared" si="140"/>
        <v>0</v>
      </c>
      <c r="K253">
        <v>0</v>
      </c>
      <c r="L253">
        <v>1</v>
      </c>
      <c r="M253" s="17">
        <f t="shared" si="141"/>
        <v>0</v>
      </c>
      <c r="N253" s="17">
        <f t="shared" si="142"/>
        <v>1</v>
      </c>
      <c r="O253" s="18">
        <f t="shared" si="143"/>
        <v>0</v>
      </c>
      <c r="P253">
        <v>0</v>
      </c>
      <c r="Q253">
        <v>0</v>
      </c>
      <c r="R253" s="17">
        <f t="shared" si="144"/>
        <v>0</v>
      </c>
      <c r="S253" s="17">
        <f t="shared" si="145"/>
        <v>0</v>
      </c>
      <c r="T253" s="18" t="e">
        <f t="shared" si="146"/>
        <v>#DIV/0!</v>
      </c>
      <c r="U253">
        <v>0</v>
      </c>
      <c r="V253">
        <v>1</v>
      </c>
      <c r="W253" s="17">
        <f t="shared" si="147"/>
        <v>0</v>
      </c>
      <c r="X253" s="17">
        <f t="shared" si="148"/>
        <v>1</v>
      </c>
      <c r="Y253" s="18">
        <f t="shared" si="149"/>
        <v>0</v>
      </c>
      <c r="Z253">
        <v>0</v>
      </c>
      <c r="AA253">
        <v>0</v>
      </c>
      <c r="AB253" s="17">
        <f t="shared" si="150"/>
        <v>0</v>
      </c>
      <c r="AC253" s="17">
        <f t="shared" si="151"/>
        <v>0</v>
      </c>
      <c r="AD253" s="18" t="e">
        <f t="shared" si="152"/>
        <v>#DIV/0!</v>
      </c>
      <c r="AE253">
        <v>0</v>
      </c>
      <c r="AF253" s="17">
        <f t="shared" si="153"/>
        <v>0</v>
      </c>
      <c r="AG253">
        <v>0</v>
      </c>
      <c r="AH253" s="17">
        <f t="shared" si="154"/>
        <v>0</v>
      </c>
      <c r="AI253">
        <v>0</v>
      </c>
      <c r="AJ253" s="17">
        <f t="shared" si="155"/>
        <v>0</v>
      </c>
      <c r="AK253">
        <v>0</v>
      </c>
      <c r="AL253" s="17">
        <f t="shared" si="156"/>
        <v>0</v>
      </c>
      <c r="AM253">
        <v>0</v>
      </c>
      <c r="AN253" s="17">
        <f t="shared" si="157"/>
        <v>0</v>
      </c>
      <c r="AO253">
        <v>0</v>
      </c>
      <c r="AQ253">
        <v>0</v>
      </c>
      <c r="AR253" s="17">
        <f t="shared" si="158"/>
        <v>0</v>
      </c>
      <c r="AS253">
        <v>0</v>
      </c>
      <c r="AT253" s="17">
        <f t="shared" si="159"/>
        <v>0</v>
      </c>
      <c r="BD253" s="65">
        <f t="shared" si="160"/>
        <v>0</v>
      </c>
      <c r="BE253" s="65">
        <f t="shared" si="161"/>
        <v>0</v>
      </c>
      <c r="BF253" s="66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6.4490332899098428</v>
      </c>
      <c r="BG253" s="38">
        <f t="shared" si="162"/>
        <v>1</v>
      </c>
      <c r="BH253" s="38">
        <f t="shared" si="163"/>
        <v>0</v>
      </c>
      <c r="BI253" s="67">
        <f>IFERROR(((AG253*(12000/5))/((F253*60+G253)*(SUMIFS(팀공격력!X:X,팀공격력!A:A,B253,팀공격력!B:B,D253)+SUMIFS(팀수비력!X:X,팀수비력!A:A,B253,팀수비력!B:B,D253))))*100,"")</f>
        <v>0</v>
      </c>
      <c r="BJ253" s="67">
        <f>IFERROR(((AI253*(12000/5))/((F253*60+G253)*(SUMIFS(팀공격력!V:V,팀공격력!A:A,B253,팀공격력!B:B,D253)+SUMIFS(팀수비력!W:W,팀수비력!A:A,B253,팀수비력!B:B,D253))))*100,"")</f>
        <v>0</v>
      </c>
      <c r="BK253" s="67">
        <f>IFERROR(((AE253*(12000/5))/((F253*60+G253)*(SUMIFS(팀공격력!X:X,팀공격력!A:A,B253,팀공격력!B:B,D253)+SUMIFS(팀수비력!X:X,팀수비력!A:A,B253,팀수비력!B:B,D253))))*100,"")</f>
        <v>0</v>
      </c>
      <c r="BL253" s="67">
        <f>IFERROR(100*AK253/(((((F253*60+G253)/(12000/5))*SUMIFS(팀공격력!P:P,팀공격력!A:A,B253,팀공격력!B:B,D253))-K253)),"")</f>
        <v>0</v>
      </c>
      <c r="BM253" s="67">
        <f>IFERROR(100*((AM253/E253*(2400))/((F253*60+G253)*SUMIFS(팀공격력!AR:AR,팀공격력!A:A,B253,팀공격력!B:B,D253))),"")</f>
        <v>0</v>
      </c>
      <c r="BN253" s="67">
        <f>IFERROR((AO253*40)/(((F253*60+G253)/60)*(SUMIFS(팀수비력!Q:Q,팀수비력!A:A,B253,팀수비력!B:B,D253)-SUMIFS(팀수비력!N:N,팀수비력!A:A,B253,팀수비력!B:B,D253)))*100,"")</f>
        <v>0</v>
      </c>
      <c r="BO253" s="67">
        <f t="shared" si="164"/>
        <v>0</v>
      </c>
      <c r="BT253" t="s">
        <v>89</v>
      </c>
      <c r="BV253" t="s">
        <v>90</v>
      </c>
      <c r="CF253">
        <v>1</v>
      </c>
      <c r="CG253">
        <v>0</v>
      </c>
    </row>
    <row r="254" spans="1:85" x14ac:dyDescent="0.4">
      <c r="A254" s="11" t="s">
        <v>85</v>
      </c>
      <c r="B254" t="s">
        <v>145</v>
      </c>
      <c r="C254" t="s">
        <v>158</v>
      </c>
      <c r="D254" s="46" t="s">
        <v>306</v>
      </c>
      <c r="E254">
        <v>7</v>
      </c>
      <c r="F254">
        <v>29</v>
      </c>
      <c r="G254" s="1">
        <v>54</v>
      </c>
      <c r="H254" s="16">
        <f t="shared" si="139"/>
        <v>12558</v>
      </c>
      <c r="I254">
        <v>86</v>
      </c>
      <c r="J254" s="17">
        <f t="shared" si="140"/>
        <v>12.285714285714286</v>
      </c>
      <c r="K254">
        <v>36</v>
      </c>
      <c r="L254">
        <v>62</v>
      </c>
      <c r="M254" s="17">
        <f t="shared" si="141"/>
        <v>5.1428571428571432</v>
      </c>
      <c r="N254" s="17">
        <f t="shared" si="142"/>
        <v>8.8571428571428577</v>
      </c>
      <c r="O254" s="18">
        <f t="shared" si="143"/>
        <v>0.58064516129032262</v>
      </c>
      <c r="P254">
        <v>32</v>
      </c>
      <c r="Q254">
        <v>54</v>
      </c>
      <c r="R254" s="17">
        <f t="shared" si="144"/>
        <v>4.5714285714285712</v>
      </c>
      <c r="S254" s="17">
        <f t="shared" si="145"/>
        <v>7.7142857142857144</v>
      </c>
      <c r="T254" s="18">
        <f t="shared" si="146"/>
        <v>0.59259259259259256</v>
      </c>
      <c r="U254">
        <v>4</v>
      </c>
      <c r="V254">
        <v>8</v>
      </c>
      <c r="W254" s="17">
        <f t="shared" si="147"/>
        <v>0.5714285714285714</v>
      </c>
      <c r="X254" s="17">
        <f t="shared" si="148"/>
        <v>1.1428571428571428</v>
      </c>
      <c r="Y254" s="18">
        <f t="shared" si="149"/>
        <v>0.5</v>
      </c>
      <c r="Z254">
        <v>10</v>
      </c>
      <c r="AA254">
        <v>12</v>
      </c>
      <c r="AB254" s="17">
        <f t="shared" si="150"/>
        <v>1.4285714285714286</v>
      </c>
      <c r="AC254" s="17">
        <f t="shared" si="151"/>
        <v>1.7142857142857142</v>
      </c>
      <c r="AD254" s="18">
        <f t="shared" si="152"/>
        <v>0.83333333333333337</v>
      </c>
      <c r="AE254">
        <v>16</v>
      </c>
      <c r="AF254" s="17">
        <f t="shared" si="153"/>
        <v>2.2857142857142856</v>
      </c>
      <c r="AG254">
        <v>7</v>
      </c>
      <c r="AH254" s="17">
        <f t="shared" si="154"/>
        <v>1</v>
      </c>
      <c r="AI254">
        <v>9</v>
      </c>
      <c r="AJ254" s="17">
        <f t="shared" si="155"/>
        <v>1.2857142857142858</v>
      </c>
      <c r="AK254">
        <v>33</v>
      </c>
      <c r="AL254" s="17">
        <f t="shared" si="156"/>
        <v>4.7142857142857144</v>
      </c>
      <c r="AM254">
        <v>3</v>
      </c>
      <c r="AN254" s="17">
        <f t="shared" si="157"/>
        <v>0.42857142857142855</v>
      </c>
      <c r="AO254">
        <v>0</v>
      </c>
      <c r="AQ254">
        <v>4</v>
      </c>
      <c r="AR254" s="17">
        <f t="shared" si="158"/>
        <v>0.5714285714285714</v>
      </c>
      <c r="AS254">
        <v>13</v>
      </c>
      <c r="AT254" s="17">
        <f t="shared" si="159"/>
        <v>1.8571428571428572</v>
      </c>
      <c r="BD254" s="65">
        <f t="shared" si="160"/>
        <v>63.912009512485135</v>
      </c>
      <c r="BE254" s="65">
        <f t="shared" si="161"/>
        <v>61.29032258064516</v>
      </c>
      <c r="BF254" s="66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15.886621939852821</v>
      </c>
      <c r="BG254" s="38">
        <f t="shared" si="162"/>
        <v>0.12903225806451613</v>
      </c>
      <c r="BH254" s="38">
        <f t="shared" si="163"/>
        <v>0.19354838709677419</v>
      </c>
      <c r="BI254" s="67">
        <f>IFERROR(((AG254*(12000/5))/((F254*60+G254)*(SUMIFS(팀공격력!X:X,팀공격력!A:A,B254,팀공격력!B:B,D254)+SUMIFS(팀수비력!X:X,팀수비력!A:A,B254,팀수비력!B:B,D254))))*100,"")</f>
        <v>1.9033635152405037</v>
      </c>
      <c r="BJ254" s="67">
        <f>IFERROR(((AI254*(12000/5))/((F254*60+G254)*(SUMIFS(팀공격력!V:V,팀공격력!A:A,B254,팀공격력!B:B,D254)+SUMIFS(팀수비력!W:W,팀수비력!A:A,B254,팀수비력!B:B,D254))))*100,"")</f>
        <v>4.8160535117056851</v>
      </c>
      <c r="BK254" s="67">
        <f>IFERROR(((AE254*(12000/5))/((F254*60+G254)*(SUMIFS(팀공격력!X:X,팀공격력!A:A,B254,팀공격력!B:B,D254)+SUMIFS(팀수비력!X:X,팀수비력!A:A,B254,팀수비력!B:B,D254))))*100,"")</f>
        <v>4.3505451776925792</v>
      </c>
      <c r="BL254" s="67">
        <f>IFERROR(100*AK254/(((((F254*60+G254)/(12000/5))*SUMIFS(팀공격력!P:P,팀공격력!A:A,B254,팀공격력!B:B,D254))-K254)),"")</f>
        <v>23.884053775308953</v>
      </c>
      <c r="BM254" s="67">
        <f>IFERROR(100*((AM254/E254*(2400))/((F254*60+G254)*SUMIFS(팀공격력!AR:AR,팀공격력!A:A,B254,팀공격력!B:B,D254))),"")</f>
        <v>0.99209664988175605</v>
      </c>
      <c r="BN254" s="67">
        <f>IFERROR((AO254*40)/(((F254*60+G254)/60)*(SUMIFS(팀수비력!Q:Q,팀수비력!A:A,B254,팀수비력!B:B,D254)-SUMIFS(팀수비력!N:N,팀수비력!A:A,B254,팀수비력!B:B,D254)))*100,"")</f>
        <v>0</v>
      </c>
      <c r="BO254" s="67">
        <f t="shared" si="164"/>
        <v>5.6116722783389452</v>
      </c>
      <c r="BT254" t="s">
        <v>89</v>
      </c>
      <c r="BV254" t="s">
        <v>90</v>
      </c>
      <c r="CF254">
        <v>2</v>
      </c>
      <c r="CG254">
        <v>5</v>
      </c>
    </row>
    <row r="255" spans="1:85" x14ac:dyDescent="0.4">
      <c r="A255" s="11" t="s">
        <v>85</v>
      </c>
      <c r="B255" t="s">
        <v>145</v>
      </c>
      <c r="C255" t="s">
        <v>160</v>
      </c>
      <c r="D255" s="46" t="s">
        <v>306</v>
      </c>
      <c r="E255">
        <v>7</v>
      </c>
      <c r="F255">
        <v>22</v>
      </c>
      <c r="G255" s="1">
        <v>43</v>
      </c>
      <c r="H255" s="16">
        <f t="shared" si="139"/>
        <v>9541</v>
      </c>
      <c r="I255">
        <v>49</v>
      </c>
      <c r="J255" s="17">
        <f t="shared" si="140"/>
        <v>7</v>
      </c>
      <c r="K255">
        <v>16</v>
      </c>
      <c r="L255">
        <v>39</v>
      </c>
      <c r="M255" s="17">
        <f t="shared" si="141"/>
        <v>2.2857142857142856</v>
      </c>
      <c r="N255" s="17">
        <f t="shared" si="142"/>
        <v>5.5714285714285712</v>
      </c>
      <c r="O255" s="18">
        <f t="shared" si="143"/>
        <v>0.41025641025641024</v>
      </c>
      <c r="P255">
        <v>5</v>
      </c>
      <c r="Q255">
        <v>19</v>
      </c>
      <c r="R255" s="17">
        <f t="shared" si="144"/>
        <v>0.7142857142857143</v>
      </c>
      <c r="S255" s="17">
        <f t="shared" si="145"/>
        <v>2.7142857142857144</v>
      </c>
      <c r="T255" s="18">
        <f t="shared" si="146"/>
        <v>0.26315789473684209</v>
      </c>
      <c r="U255">
        <v>11</v>
      </c>
      <c r="V255">
        <v>20</v>
      </c>
      <c r="W255" s="17">
        <f t="shared" si="147"/>
        <v>1.5714285714285714</v>
      </c>
      <c r="X255" s="17">
        <f t="shared" si="148"/>
        <v>2.8571428571428572</v>
      </c>
      <c r="Y255" s="18">
        <f t="shared" si="149"/>
        <v>0.55000000000000004</v>
      </c>
      <c r="Z255">
        <v>6</v>
      </c>
      <c r="AA255">
        <v>12</v>
      </c>
      <c r="AB255" s="17">
        <f t="shared" si="150"/>
        <v>0.8571428571428571</v>
      </c>
      <c r="AC255" s="17">
        <f t="shared" si="151"/>
        <v>1.7142857142857142</v>
      </c>
      <c r="AD255" s="18">
        <f t="shared" si="152"/>
        <v>0.5</v>
      </c>
      <c r="AE255">
        <v>13</v>
      </c>
      <c r="AF255" s="17">
        <f t="shared" si="153"/>
        <v>1.8571428571428572</v>
      </c>
      <c r="AG255">
        <v>6</v>
      </c>
      <c r="AH255" s="17">
        <f t="shared" si="154"/>
        <v>0.8571428571428571</v>
      </c>
      <c r="AI255">
        <v>7</v>
      </c>
      <c r="AJ255" s="17">
        <f t="shared" si="155"/>
        <v>1</v>
      </c>
      <c r="AK255">
        <v>22</v>
      </c>
      <c r="AL255" s="17">
        <f t="shared" si="156"/>
        <v>3.1428571428571428</v>
      </c>
      <c r="AM255">
        <v>4</v>
      </c>
      <c r="AN255" s="17">
        <f t="shared" si="157"/>
        <v>0.5714285714285714</v>
      </c>
      <c r="AO255">
        <v>1</v>
      </c>
      <c r="AQ255">
        <v>0</v>
      </c>
      <c r="AR255" s="17">
        <f t="shared" si="158"/>
        <v>0</v>
      </c>
      <c r="AS255">
        <v>11</v>
      </c>
      <c r="AT255" s="17">
        <f t="shared" si="159"/>
        <v>1.5714285714285714</v>
      </c>
      <c r="BD255" s="65">
        <f t="shared" si="160"/>
        <v>55.32971996386631</v>
      </c>
      <c r="BE255" s="65">
        <f t="shared" si="161"/>
        <v>55.128205128205131</v>
      </c>
      <c r="BF255" s="66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12.98966840263161</v>
      </c>
      <c r="BG255" s="38">
        <f t="shared" si="162"/>
        <v>0.51282051282051277</v>
      </c>
      <c r="BH255" s="38">
        <f t="shared" si="163"/>
        <v>0.30769230769230771</v>
      </c>
      <c r="BI255" s="67">
        <f>IFERROR(((AG255*(12000/5))/((F255*60+G255)*(SUMIFS(팀공격력!X:X,팀공격력!A:A,B255,팀공격력!B:B,D255)+SUMIFS(팀수비력!X:X,팀수비력!A:A,B255,팀수비력!B:B,D255))))*100,"")</f>
        <v>2.1473435570746022</v>
      </c>
      <c r="BJ255" s="67">
        <f>IFERROR(((AI255*(12000/5))/((F255*60+G255)*(SUMIFS(팀공격력!V:V,팀공격력!A:A,B255,팀공격력!B:B,D255)+SUMIFS(팀수비력!W:W,팀수비력!A:A,B255,팀수비력!B:B,D255))))*100,"")</f>
        <v>4.9303008070432872</v>
      </c>
      <c r="BK255" s="67">
        <f>IFERROR(((AE255*(12000/5))/((F255*60+G255)*(SUMIFS(팀공격력!X:X,팀공격력!A:A,B255,팀공격력!B:B,D255)+SUMIFS(팀수비력!X:X,팀수비력!A:A,B255,팀수비력!B:B,D255))))*100,"")</f>
        <v>4.6525777069949719</v>
      </c>
      <c r="BL255" s="67">
        <f>IFERROR(100*AK255/(((((F255*60+G255)/(12000/5))*SUMIFS(팀공격력!P:P,팀공격력!A:A,B255,팀공격력!B:B,D255))-K255)),"")</f>
        <v>18.912597294209093</v>
      </c>
      <c r="BM255" s="67">
        <f>IFERROR(100*((AM255/E255*(2400))/((F255*60+G255)*SUMIFS(팀공격력!AR:AR,팀공격력!A:A,B255,팀공격력!B:B,D255))),"")</f>
        <v>1.7410823085232281</v>
      </c>
      <c r="BN255" s="67">
        <f>IFERROR((AO255*40)/(((F255*60+G255)/60)*(SUMIFS(팀수비력!Q:Q,팀수비력!A:A,B255,팀수비력!B:B,D255)-SUMIFS(팀수비력!N:N,팀수비력!A:A,B255,팀수비력!B:B,D255)))*100,"")</f>
        <v>0.55722206227885251</v>
      </c>
      <c r="BO255" s="67">
        <f t="shared" si="164"/>
        <v>0</v>
      </c>
      <c r="BT255" t="s">
        <v>89</v>
      </c>
      <c r="BV255" t="s">
        <v>90</v>
      </c>
      <c r="CF255">
        <v>2</v>
      </c>
      <c r="CG255">
        <v>5</v>
      </c>
    </row>
    <row r="256" spans="1:85" x14ac:dyDescent="0.4">
      <c r="A256" s="11" t="s">
        <v>85</v>
      </c>
      <c r="B256" t="s">
        <v>145</v>
      </c>
      <c r="C256" t="s">
        <v>161</v>
      </c>
      <c r="D256" s="46" t="s">
        <v>306</v>
      </c>
      <c r="E256">
        <v>2</v>
      </c>
      <c r="F256">
        <v>29</v>
      </c>
      <c r="G256" s="1">
        <v>8</v>
      </c>
      <c r="H256" s="16">
        <f t="shared" si="139"/>
        <v>3496</v>
      </c>
      <c r="I256">
        <v>39</v>
      </c>
      <c r="J256" s="17">
        <f t="shared" si="140"/>
        <v>19.5</v>
      </c>
      <c r="K256">
        <v>14</v>
      </c>
      <c r="L256">
        <v>30</v>
      </c>
      <c r="M256" s="17">
        <f t="shared" si="141"/>
        <v>7</v>
      </c>
      <c r="N256" s="17">
        <f t="shared" si="142"/>
        <v>15</v>
      </c>
      <c r="O256" s="18">
        <f t="shared" si="143"/>
        <v>0.46666666666666667</v>
      </c>
      <c r="P256">
        <v>10</v>
      </c>
      <c r="Q256">
        <v>16</v>
      </c>
      <c r="R256" s="17">
        <f t="shared" si="144"/>
        <v>5</v>
      </c>
      <c r="S256" s="17">
        <f t="shared" si="145"/>
        <v>8</v>
      </c>
      <c r="T256" s="18">
        <f t="shared" si="146"/>
        <v>0.625</v>
      </c>
      <c r="U256">
        <v>4</v>
      </c>
      <c r="V256">
        <v>14</v>
      </c>
      <c r="W256" s="17">
        <f t="shared" si="147"/>
        <v>2</v>
      </c>
      <c r="X256" s="17">
        <f t="shared" si="148"/>
        <v>7</v>
      </c>
      <c r="Y256" s="18">
        <f t="shared" si="149"/>
        <v>0.2857142857142857</v>
      </c>
      <c r="Z256">
        <v>7</v>
      </c>
      <c r="AA256">
        <v>10</v>
      </c>
      <c r="AB256" s="17">
        <f t="shared" si="150"/>
        <v>3.5</v>
      </c>
      <c r="AC256" s="17">
        <f t="shared" si="151"/>
        <v>5</v>
      </c>
      <c r="AD256" s="18">
        <f t="shared" si="152"/>
        <v>0.7</v>
      </c>
      <c r="AE256">
        <v>6</v>
      </c>
      <c r="AF256" s="17">
        <f t="shared" si="153"/>
        <v>3</v>
      </c>
      <c r="AG256">
        <v>2</v>
      </c>
      <c r="AH256" s="17">
        <f t="shared" si="154"/>
        <v>1</v>
      </c>
      <c r="AI256">
        <v>4</v>
      </c>
      <c r="AJ256" s="17">
        <f t="shared" si="155"/>
        <v>2</v>
      </c>
      <c r="AK256">
        <v>7</v>
      </c>
      <c r="AL256" s="17">
        <f t="shared" si="156"/>
        <v>3.5</v>
      </c>
      <c r="AM256">
        <v>4</v>
      </c>
      <c r="AN256" s="17">
        <f t="shared" si="157"/>
        <v>2</v>
      </c>
      <c r="AO256">
        <v>4</v>
      </c>
      <c r="AQ256">
        <v>2</v>
      </c>
      <c r="AR256" s="17">
        <f t="shared" si="158"/>
        <v>1</v>
      </c>
      <c r="AS256">
        <v>4</v>
      </c>
      <c r="AT256" s="17">
        <f t="shared" si="159"/>
        <v>2</v>
      </c>
      <c r="BD256" s="65">
        <f t="shared" si="160"/>
        <v>56.686046511627907</v>
      </c>
      <c r="BE256" s="65">
        <f t="shared" si="161"/>
        <v>53.333333333333336</v>
      </c>
      <c r="BF256" s="66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8.3261889752108313</v>
      </c>
      <c r="BG256" s="38">
        <f t="shared" si="162"/>
        <v>0.46666666666666667</v>
      </c>
      <c r="BH256" s="38">
        <f t="shared" si="163"/>
        <v>0.33333333333333331</v>
      </c>
      <c r="BI256" s="67">
        <f>IFERROR(((AG256*(12000/5))/((F256*60+G256)*(SUMIFS(팀공격력!X:X,팀공격력!A:A,B256,팀공격력!B:B,D256)+SUMIFS(팀수비력!X:X,팀수비력!A:A,B256,팀수비력!B:B,D256))))*100,"")</f>
        <v>0.55812915108556116</v>
      </c>
      <c r="BJ256" s="67">
        <f>IFERROR(((AI256*(12000/5))/((F256*60+G256)*(SUMIFS(팀공격력!V:V,팀공격력!A:A,B256,팀공격력!B:B,D256)+SUMIFS(팀수비력!W:W,팀수비력!A:A,B256,팀수비력!B:B,D256))))*100,"")</f>
        <v>2.1967963386727689</v>
      </c>
      <c r="BK256" s="67">
        <f>IFERROR(((AE256*(12000/5))/((F256*60+G256)*(SUMIFS(팀공격력!X:X,팀공격력!A:A,B256,팀공격력!B:B,D256)+SUMIFS(팀수비력!X:X,팀수비력!A:A,B256,팀수비력!B:B,D256))))*100,"")</f>
        <v>1.6743874532566836</v>
      </c>
      <c r="BL256" s="67">
        <f>IFERROR(100*AK256/(((((F256*60+G256)/(12000/5))*SUMIFS(팀공격력!P:P,팀공격력!A:A,B256,팀공격력!B:B,D256))-K256)),"")</f>
        <v>4.4957771807195384</v>
      </c>
      <c r="BM256" s="67">
        <f>IFERROR(100*((AM256/E256*(2400))/((F256*60+G256)*SUMIFS(팀공격력!AR:AR,팀공격력!A:A,B256,팀공격력!B:B,D256))),"")</f>
        <v>4.7516207968020945</v>
      </c>
      <c r="BN256" s="67">
        <f>IFERROR((AO256*40)/(((F256*60+G256)/60)*(SUMIFS(팀수비력!Q:Q,팀수비력!A:A,B256,팀수비력!B:B,D256)-SUMIFS(팀수비력!N:N,팀수비력!A:A,B256,팀수비력!B:B,D256)))*100,"")</f>
        <v>1.7379717869246591</v>
      </c>
      <c r="BO256" s="67">
        <f t="shared" si="164"/>
        <v>5.4945054945054945</v>
      </c>
      <c r="BT256" t="s">
        <v>89</v>
      </c>
      <c r="BV256" t="s">
        <v>93</v>
      </c>
      <c r="CF256">
        <v>0</v>
      </c>
      <c r="CG256">
        <v>2</v>
      </c>
    </row>
    <row r="257" spans="1:85" x14ac:dyDescent="0.4">
      <c r="A257" s="11" t="s">
        <v>85</v>
      </c>
      <c r="B257" t="s">
        <v>145</v>
      </c>
      <c r="C257" t="s">
        <v>162</v>
      </c>
      <c r="D257" s="46" t="s">
        <v>306</v>
      </c>
      <c r="E257">
        <v>2</v>
      </c>
      <c r="F257">
        <v>3</v>
      </c>
      <c r="G257" s="1">
        <v>42</v>
      </c>
      <c r="H257" s="16">
        <f t="shared" si="139"/>
        <v>444</v>
      </c>
      <c r="I257">
        <v>0</v>
      </c>
      <c r="J257" s="17">
        <f t="shared" si="140"/>
        <v>0</v>
      </c>
      <c r="K257">
        <v>0</v>
      </c>
      <c r="L257">
        <v>0</v>
      </c>
      <c r="M257" s="17">
        <f t="shared" si="141"/>
        <v>0</v>
      </c>
      <c r="N257" s="17">
        <f t="shared" si="142"/>
        <v>0</v>
      </c>
      <c r="O257" s="18" t="e">
        <f t="shared" si="143"/>
        <v>#DIV/0!</v>
      </c>
      <c r="P257">
        <v>0</v>
      </c>
      <c r="Q257">
        <v>0</v>
      </c>
      <c r="R257" s="17">
        <f t="shared" si="144"/>
        <v>0</v>
      </c>
      <c r="S257" s="17">
        <f t="shared" si="145"/>
        <v>0</v>
      </c>
      <c r="T257" s="18" t="e">
        <f t="shared" si="146"/>
        <v>#DIV/0!</v>
      </c>
      <c r="U257">
        <v>0</v>
      </c>
      <c r="V257">
        <v>0</v>
      </c>
      <c r="W257" s="17">
        <f t="shared" si="147"/>
        <v>0</v>
      </c>
      <c r="X257" s="17">
        <f t="shared" si="148"/>
        <v>0</v>
      </c>
      <c r="Y257" s="18" t="e">
        <f t="shared" si="149"/>
        <v>#DIV/0!</v>
      </c>
      <c r="Z257">
        <v>0</v>
      </c>
      <c r="AA257">
        <v>2</v>
      </c>
      <c r="AB257" s="17">
        <f t="shared" si="150"/>
        <v>0</v>
      </c>
      <c r="AC257" s="17">
        <f t="shared" si="151"/>
        <v>1</v>
      </c>
      <c r="AD257" s="18">
        <f t="shared" si="152"/>
        <v>0</v>
      </c>
      <c r="AE257">
        <v>0</v>
      </c>
      <c r="AF257" s="17">
        <f t="shared" si="153"/>
        <v>0</v>
      </c>
      <c r="AG257">
        <v>0</v>
      </c>
      <c r="AH257" s="17">
        <f t="shared" si="154"/>
        <v>0</v>
      </c>
      <c r="AI257">
        <v>0</v>
      </c>
      <c r="AJ257" s="17">
        <f t="shared" si="155"/>
        <v>0</v>
      </c>
      <c r="AK257">
        <v>2</v>
      </c>
      <c r="AL257" s="17">
        <f t="shared" si="156"/>
        <v>1</v>
      </c>
      <c r="AM257">
        <v>0</v>
      </c>
      <c r="AN257" s="17">
        <f t="shared" si="157"/>
        <v>0</v>
      </c>
      <c r="AO257">
        <v>0</v>
      </c>
      <c r="AQ257">
        <v>1</v>
      </c>
      <c r="AR257" s="17">
        <f t="shared" si="158"/>
        <v>0.5</v>
      </c>
      <c r="AS257">
        <v>2</v>
      </c>
      <c r="AT257" s="17">
        <f t="shared" si="159"/>
        <v>1</v>
      </c>
      <c r="BD257" s="65">
        <f t="shared" si="160"/>
        <v>0</v>
      </c>
      <c r="BE257" s="65" t="str">
        <f t="shared" si="161"/>
        <v/>
      </c>
      <c r="BF257" s="66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3.3860329741977084</v>
      </c>
      <c r="BG257" s="38" t="str">
        <f t="shared" si="162"/>
        <v/>
      </c>
      <c r="BH257" s="38" t="str">
        <f t="shared" si="163"/>
        <v/>
      </c>
      <c r="BI257" s="67">
        <f>IFERROR(((AG257*(12000/5))/((F257*60+G257)*(SUMIFS(팀공격력!X:X,팀공격력!A:A,B257,팀공격력!B:B,D257)+SUMIFS(팀수비력!X:X,팀수비력!A:A,B257,팀수비력!B:B,D257))))*100,"")</f>
        <v>0</v>
      </c>
      <c r="BJ257" s="67">
        <f>IFERROR(((AI257*(12000/5))/((F257*60+G257)*(SUMIFS(팀공격력!V:V,팀공격력!A:A,B257,팀공격력!B:B,D257)+SUMIFS(팀수비력!W:W,팀수비력!A:A,B257,팀수비력!B:B,D257))))*100,"")</f>
        <v>0</v>
      </c>
      <c r="BK257" s="67">
        <f>IFERROR(((AE257*(12000/5))/((F257*60+G257)*(SUMIFS(팀공격력!X:X,팀공격력!A:A,B257,팀공격력!B:B,D257)+SUMIFS(팀수비력!X:X,팀수비력!A:A,B257,팀수비력!B:B,D257))))*100,"")</f>
        <v>0</v>
      </c>
      <c r="BL257" s="67">
        <f>IFERROR(100*AK257/(((((F257*60+G257)/(12000/5))*SUMIFS(팀공격력!P:P,팀공격력!A:A,B257,팀공격력!B:B,D257))-K257)),"")</f>
        <v>9.2796659320264485</v>
      </c>
      <c r="BM257" s="67">
        <f>IFERROR(100*((AM257/E257*(2400))/((F257*60+G257)*SUMIFS(팀공격력!AR:AR,팀공격력!A:A,B257,팀공격력!B:B,D257))),"")</f>
        <v>0</v>
      </c>
      <c r="BN257" s="67">
        <f>IFERROR((AO257*40)/(((F257*60+G257)/60)*(SUMIFS(팀수비력!Q:Q,팀수비력!A:A,B257,팀수비력!B:B,D257)-SUMIFS(팀수비력!N:N,팀수비력!A:A,B257,팀수비력!B:B,D257)))*100,"")</f>
        <v>0</v>
      </c>
      <c r="BO257" s="67">
        <f t="shared" si="164"/>
        <v>53.191489361702132</v>
      </c>
      <c r="BT257" t="s">
        <v>113</v>
      </c>
      <c r="BV257" t="s">
        <v>90</v>
      </c>
      <c r="CF257">
        <v>1</v>
      </c>
      <c r="CG257">
        <v>1</v>
      </c>
    </row>
    <row r="258" spans="1:85" x14ac:dyDescent="0.4">
      <c r="A258" s="11" t="s">
        <v>85</v>
      </c>
      <c r="B258" t="s">
        <v>145</v>
      </c>
      <c r="C258" t="s">
        <v>163</v>
      </c>
      <c r="D258" s="46" t="s">
        <v>306</v>
      </c>
      <c r="E258">
        <v>7</v>
      </c>
      <c r="F258">
        <v>31</v>
      </c>
      <c r="G258" s="1">
        <v>7</v>
      </c>
      <c r="H258" s="16">
        <f t="shared" ref="H258:H321" si="166">(F258*60+G258)*E258</f>
        <v>13069</v>
      </c>
      <c r="I258">
        <v>95</v>
      </c>
      <c r="J258" s="17">
        <f t="shared" ref="J258:J321" si="167">I258/$E258</f>
        <v>13.571428571428571</v>
      </c>
      <c r="K258">
        <v>34</v>
      </c>
      <c r="L258">
        <v>89</v>
      </c>
      <c r="M258" s="17">
        <f t="shared" ref="M258:M321" si="168">K258/$E258</f>
        <v>4.8571428571428568</v>
      </c>
      <c r="N258" s="17">
        <f t="shared" ref="N258:N321" si="169">L258/$E258</f>
        <v>12.714285714285714</v>
      </c>
      <c r="O258" s="18">
        <f t="shared" ref="O258:O321" si="170">K258/L258</f>
        <v>0.38202247191011235</v>
      </c>
      <c r="P258">
        <v>19</v>
      </c>
      <c r="Q258">
        <v>40</v>
      </c>
      <c r="R258" s="17">
        <f t="shared" ref="R258:R321" si="171">P258/$E258</f>
        <v>2.7142857142857144</v>
      </c>
      <c r="S258" s="17">
        <f t="shared" ref="S258:S321" si="172">Q258/$E258</f>
        <v>5.7142857142857144</v>
      </c>
      <c r="T258" s="18">
        <f t="shared" ref="T258:T321" si="173">P258/Q258</f>
        <v>0.47499999999999998</v>
      </c>
      <c r="U258">
        <v>15</v>
      </c>
      <c r="V258">
        <v>49</v>
      </c>
      <c r="W258" s="17">
        <f t="shared" ref="W258:W321" si="174">U258/$E258</f>
        <v>2.1428571428571428</v>
      </c>
      <c r="X258" s="17">
        <f t="shared" ref="X258:X321" si="175">V258/$E258</f>
        <v>7</v>
      </c>
      <c r="Y258" s="18">
        <f t="shared" ref="Y258:Y321" si="176">U258/V258</f>
        <v>0.30612244897959184</v>
      </c>
      <c r="Z258">
        <v>12</v>
      </c>
      <c r="AA258">
        <v>15</v>
      </c>
      <c r="AB258" s="17">
        <f t="shared" ref="AB258:AB321" si="177">Z258/$E258</f>
        <v>1.7142857142857142</v>
      </c>
      <c r="AC258" s="17">
        <f t="shared" ref="AC258:AC321" si="178">AA258/$E258</f>
        <v>2.1428571428571428</v>
      </c>
      <c r="AD258" s="18">
        <f t="shared" ref="AD258:AD321" si="179">Z258/AA258</f>
        <v>0.8</v>
      </c>
      <c r="AE258">
        <v>13</v>
      </c>
      <c r="AF258" s="17">
        <f t="shared" ref="AF258:AF321" si="180">AE258/$E258</f>
        <v>1.8571428571428572</v>
      </c>
      <c r="AG258">
        <v>2</v>
      </c>
      <c r="AH258" s="17">
        <f t="shared" ref="AH258:AH321" si="181">AG258/$E258</f>
        <v>0.2857142857142857</v>
      </c>
      <c r="AI258">
        <v>11</v>
      </c>
      <c r="AJ258" s="17">
        <f t="shared" ref="AJ258:AJ321" si="182">AI258/$E258</f>
        <v>1.5714285714285714</v>
      </c>
      <c r="AK258">
        <v>20</v>
      </c>
      <c r="AL258" s="17">
        <f t="shared" ref="AL258:AL321" si="183">AK258/$E258</f>
        <v>2.8571428571428572</v>
      </c>
      <c r="AM258">
        <v>6</v>
      </c>
      <c r="AN258" s="17">
        <f t="shared" ref="AN258:AN321" si="184">AM258/$E258</f>
        <v>0.8571428571428571</v>
      </c>
      <c r="AO258">
        <v>0</v>
      </c>
      <c r="AQ258">
        <v>11</v>
      </c>
      <c r="AR258" s="17">
        <f t="shared" ref="AR258:AR321" si="185">AQ258/$E258</f>
        <v>1.5714285714285714</v>
      </c>
      <c r="AS258">
        <v>12</v>
      </c>
      <c r="AT258" s="17">
        <f t="shared" ref="AT258:AT321" si="186">AS258/$E258</f>
        <v>1.7142857142857142</v>
      </c>
      <c r="BD258" s="65">
        <f t="shared" ref="BD258:BD321" si="187">IFERROR((I258/(2*(L258+(0.44*AA258))))*100,"")</f>
        <v>49.686192468619254</v>
      </c>
      <c r="BE258" s="65">
        <f t="shared" ref="BE258:BE321" si="188">IFERROR(((P258+(1.5*U258))/L258)*100,"")</f>
        <v>46.629213483146067</v>
      </c>
      <c r="BF258" s="66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22.829646930729581</v>
      </c>
      <c r="BG258" s="38">
        <f t="shared" ref="BG258:BG321" si="189">IFERROR(V258/L258,"")</f>
        <v>0.550561797752809</v>
      </c>
      <c r="BH258" s="38">
        <f t="shared" ref="BH258:BH321" si="190">IFERROR(AA258/L258,"")</f>
        <v>0.16853932584269662</v>
      </c>
      <c r="BI258" s="67">
        <f>IFERROR(((AG258*(12000/5))/((F258*60+G258)*(SUMIFS(팀공격력!X:X,팀공격력!A:A,B258,팀공격력!B:B,D258)+SUMIFS(팀수비력!X:X,팀수비력!A:A,B258,팀수비력!B:B,D258))))*100,"")</f>
        <v>0.52255477027185915</v>
      </c>
      <c r="BJ258" s="67">
        <f>IFERROR(((AI258*(12000/5))/((F258*60+G258)*(SUMIFS(팀공격력!V:V,팀공격력!A:A,B258,팀공격력!B:B,D258)+SUMIFS(팀수비력!W:W,팀수비력!A:A,B258,팀수비력!B:B,D258))))*100,"")</f>
        <v>5.6561328334226033</v>
      </c>
      <c r="BK258" s="67">
        <f>IFERROR(((AE258*(12000/5))/((F258*60+G258)*(SUMIFS(팀공격력!X:X,팀공격력!A:A,B258,팀공격력!B:B,D258)+SUMIFS(팀수비력!X:X,팀수비력!A:A,B258,팀수비력!B:B,D258))))*100,"")</f>
        <v>3.396606006767084</v>
      </c>
      <c r="BL258" s="67">
        <f>IFERROR(100*AK258/(((((F258*60+G258)/(12000/5))*SUMIFS(팀공격력!P:P,팀공격력!A:A,B258,팀공격력!B:B,D258))-K258)),"")</f>
        <v>13.581920200559688</v>
      </c>
      <c r="BM258" s="67">
        <f>IFERROR(100*((AM258/E258*(2400))/((F258*60+G258)*SUMIFS(팀공격력!AR:AR,팀공격력!A:A,B258,팀공격력!B:B,D258))),"")</f>
        <v>1.9066110229114839</v>
      </c>
      <c r="BN258" s="67">
        <f>IFERROR((AO258*40)/(((F258*60+G258)/60)*(SUMIFS(팀수비력!Q:Q,팀수비력!A:A,B258,팀수비력!B:B,D258)-SUMIFS(팀수비력!N:N,팀수비력!A:A,B258,팀수비력!B:B,D258)))*100,"")</f>
        <v>0</v>
      </c>
      <c r="BO258" s="67">
        <f t="shared" ref="BO258:BO321" si="191">IFERROR(100*AQ258/(L258+0.44*AA258+AQ258),"")</f>
        <v>10.318949343339588</v>
      </c>
      <c r="BT258" t="s">
        <v>89</v>
      </c>
      <c r="BV258" t="s">
        <v>90</v>
      </c>
      <c r="CF258">
        <v>2</v>
      </c>
      <c r="CG258">
        <v>5</v>
      </c>
    </row>
    <row r="259" spans="1:85" x14ac:dyDescent="0.4">
      <c r="A259" s="11" t="s">
        <v>85</v>
      </c>
      <c r="B259" t="s">
        <v>164</v>
      </c>
      <c r="C259" t="s">
        <v>165</v>
      </c>
      <c r="D259" s="46" t="s">
        <v>306</v>
      </c>
      <c r="E259">
        <v>4</v>
      </c>
      <c r="F259">
        <v>18</v>
      </c>
      <c r="G259" s="1">
        <v>5</v>
      </c>
      <c r="H259" s="16">
        <f t="shared" si="166"/>
        <v>4340</v>
      </c>
      <c r="I259">
        <v>30</v>
      </c>
      <c r="J259" s="17">
        <f t="shared" si="167"/>
        <v>7.5</v>
      </c>
      <c r="K259">
        <v>12</v>
      </c>
      <c r="L259">
        <v>27</v>
      </c>
      <c r="M259" s="17">
        <f t="shared" si="168"/>
        <v>3</v>
      </c>
      <c r="N259" s="17">
        <f t="shared" si="169"/>
        <v>6.75</v>
      </c>
      <c r="O259" s="18">
        <f t="shared" si="170"/>
        <v>0.44444444444444442</v>
      </c>
      <c r="P259">
        <v>9</v>
      </c>
      <c r="Q259">
        <v>18</v>
      </c>
      <c r="R259" s="17">
        <f t="shared" si="171"/>
        <v>2.25</v>
      </c>
      <c r="S259" s="17">
        <f t="shared" si="172"/>
        <v>4.5</v>
      </c>
      <c r="T259" s="18">
        <f t="shared" si="173"/>
        <v>0.5</v>
      </c>
      <c r="U259">
        <v>3</v>
      </c>
      <c r="V259">
        <v>9</v>
      </c>
      <c r="W259" s="17">
        <f t="shared" si="174"/>
        <v>0.75</v>
      </c>
      <c r="X259" s="17">
        <f t="shared" si="175"/>
        <v>2.25</v>
      </c>
      <c r="Y259" s="18">
        <f t="shared" si="176"/>
        <v>0.33333333333333331</v>
      </c>
      <c r="Z259">
        <v>3</v>
      </c>
      <c r="AA259">
        <v>7</v>
      </c>
      <c r="AB259" s="17">
        <f t="shared" si="177"/>
        <v>0.75</v>
      </c>
      <c r="AC259" s="17">
        <f t="shared" si="178"/>
        <v>1.75</v>
      </c>
      <c r="AD259" s="18">
        <f t="shared" si="179"/>
        <v>0.42857142857142855</v>
      </c>
      <c r="AE259">
        <v>12</v>
      </c>
      <c r="AF259" s="17">
        <f t="shared" si="180"/>
        <v>3</v>
      </c>
      <c r="AG259">
        <v>2</v>
      </c>
      <c r="AH259" s="17">
        <f t="shared" si="181"/>
        <v>0.5</v>
      </c>
      <c r="AI259">
        <v>10</v>
      </c>
      <c r="AJ259" s="17">
        <f t="shared" si="182"/>
        <v>2.5</v>
      </c>
      <c r="AK259">
        <v>10</v>
      </c>
      <c r="AL259" s="17">
        <f t="shared" si="183"/>
        <v>2.5</v>
      </c>
      <c r="AM259">
        <v>6</v>
      </c>
      <c r="AN259" s="17">
        <f t="shared" si="184"/>
        <v>1.5</v>
      </c>
      <c r="AO259">
        <v>0</v>
      </c>
      <c r="AQ259">
        <v>4</v>
      </c>
      <c r="AR259" s="17">
        <f t="shared" si="185"/>
        <v>1</v>
      </c>
      <c r="AS259">
        <v>6</v>
      </c>
      <c r="AT259" s="17">
        <f t="shared" si="186"/>
        <v>1.5</v>
      </c>
      <c r="BD259" s="65">
        <f t="shared" si="187"/>
        <v>49.86702127659575</v>
      </c>
      <c r="BE259" s="65">
        <f t="shared" si="188"/>
        <v>50</v>
      </c>
      <c r="BF259" s="66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11.13308302771075</v>
      </c>
      <c r="BG259" s="38">
        <f t="shared" si="189"/>
        <v>0.33333333333333331</v>
      </c>
      <c r="BH259" s="38">
        <f t="shared" si="190"/>
        <v>0.25925925925925924</v>
      </c>
      <c r="BI259" s="67">
        <f>IFERROR(((AG259*(12000/5))/((F259*60+G259)*(SUMIFS(팀공격력!X:X,팀공격력!A:A,B259,팀공격력!B:B,D259)+SUMIFS(팀수비력!X:X,팀수비력!A:A,B259,팀수비력!B:B,D259))))*100,"")</f>
        <v>0.78439062653201297</v>
      </c>
      <c r="BJ259" s="67">
        <f>IFERROR(((AI259*(12000/5))/((F259*60+G259)*(SUMIFS(팀공격력!V:V,팀공격력!A:A,B259,팀공격력!B:B,D259)+SUMIFS(팀수비력!W:W,팀수비력!A:A,B259,팀수비력!B:B,D259))))*100,"")</f>
        <v>7.6275226442078496</v>
      </c>
      <c r="BK259" s="67">
        <f>IFERROR(((AE259*(12000/5))/((F259*60+G259)*(SUMIFS(팀공격력!X:X,팀공격력!A:A,B259,팀공격력!B:B,D259)+SUMIFS(팀수비력!X:X,팀수비력!A:A,B259,팀수비력!B:B,D259))))*100,"")</f>
        <v>4.7063437591920776</v>
      </c>
      <c r="BL259" s="67">
        <f>IFERROR(100*AK259/(((((F259*60+G259)/(12000/5))*SUMIFS(팀공격력!P:P,팀공격력!A:A,B259,팀공격력!B:B,D259))-K259)),"")</f>
        <v>10.662401705984273</v>
      </c>
      <c r="BM259" s="67">
        <f>IFERROR(100*((AM259/E259*(2400))/((F259*60+G259)*SUMIFS(팀공격력!AR:AR,팀공격력!A:A,B259,팀공격력!B:B,D259))),"")</f>
        <v>5.2341267881197391</v>
      </c>
      <c r="BN259" s="67">
        <f>IFERROR((AO259*40)/(((F259*60+G259)/60)*(SUMIFS(팀수비력!Q:Q,팀수비력!A:A,B259,팀수비력!B:B,D259)-SUMIFS(팀수비력!N:N,팀수비력!A:A,B259,팀수비력!B:B,D259)))*100,"")</f>
        <v>0</v>
      </c>
      <c r="BO259" s="67">
        <f t="shared" si="191"/>
        <v>11.737089201877934</v>
      </c>
      <c r="BT259" t="s">
        <v>113</v>
      </c>
      <c r="BV259" t="s">
        <v>90</v>
      </c>
      <c r="CF259">
        <v>3</v>
      </c>
      <c r="CG259">
        <v>1</v>
      </c>
    </row>
    <row r="260" spans="1:85" x14ac:dyDescent="0.4">
      <c r="A260" s="11" t="s">
        <v>85</v>
      </c>
      <c r="B260" t="s">
        <v>164</v>
      </c>
      <c r="C260" t="s">
        <v>167</v>
      </c>
      <c r="D260" s="46" t="s">
        <v>306</v>
      </c>
      <c r="E260">
        <v>8</v>
      </c>
      <c r="F260">
        <v>27</v>
      </c>
      <c r="G260" s="1">
        <v>6</v>
      </c>
      <c r="H260" s="16">
        <f t="shared" si="166"/>
        <v>13008</v>
      </c>
      <c r="I260">
        <v>91</v>
      </c>
      <c r="J260" s="17">
        <f t="shared" si="167"/>
        <v>11.375</v>
      </c>
      <c r="K260">
        <v>32</v>
      </c>
      <c r="L260">
        <v>89</v>
      </c>
      <c r="M260" s="17">
        <f t="shared" si="168"/>
        <v>4</v>
      </c>
      <c r="N260" s="17">
        <f t="shared" si="169"/>
        <v>11.125</v>
      </c>
      <c r="O260" s="18">
        <f t="shared" si="170"/>
        <v>0.3595505617977528</v>
      </c>
      <c r="P260">
        <v>23</v>
      </c>
      <c r="Q260">
        <v>57</v>
      </c>
      <c r="R260" s="17">
        <f t="shared" si="171"/>
        <v>2.875</v>
      </c>
      <c r="S260" s="17">
        <f t="shared" si="172"/>
        <v>7.125</v>
      </c>
      <c r="T260" s="18">
        <f t="shared" si="173"/>
        <v>0.40350877192982454</v>
      </c>
      <c r="U260">
        <v>9</v>
      </c>
      <c r="V260">
        <v>32</v>
      </c>
      <c r="W260" s="17">
        <f t="shared" si="174"/>
        <v>1.125</v>
      </c>
      <c r="X260" s="17">
        <f t="shared" si="175"/>
        <v>4</v>
      </c>
      <c r="Y260" s="18">
        <f t="shared" si="176"/>
        <v>0.28125</v>
      </c>
      <c r="Z260">
        <v>18</v>
      </c>
      <c r="AA260">
        <v>22</v>
      </c>
      <c r="AB260" s="17">
        <f t="shared" si="177"/>
        <v>2.25</v>
      </c>
      <c r="AC260" s="17">
        <f t="shared" si="178"/>
        <v>2.75</v>
      </c>
      <c r="AD260" s="18">
        <f t="shared" si="179"/>
        <v>0.81818181818181823</v>
      </c>
      <c r="AE260">
        <v>17</v>
      </c>
      <c r="AF260" s="17">
        <f t="shared" si="180"/>
        <v>2.125</v>
      </c>
      <c r="AG260">
        <v>6</v>
      </c>
      <c r="AH260" s="17">
        <f t="shared" si="181"/>
        <v>0.75</v>
      </c>
      <c r="AI260">
        <v>11</v>
      </c>
      <c r="AJ260" s="17">
        <f t="shared" si="182"/>
        <v>1.375</v>
      </c>
      <c r="AK260">
        <v>46</v>
      </c>
      <c r="AL260" s="17">
        <f t="shared" si="183"/>
        <v>5.75</v>
      </c>
      <c r="AM260">
        <v>10</v>
      </c>
      <c r="AN260" s="17">
        <f t="shared" si="184"/>
        <v>1.25</v>
      </c>
      <c r="AO260">
        <v>4</v>
      </c>
      <c r="AQ260">
        <v>15</v>
      </c>
      <c r="AR260" s="17">
        <f t="shared" si="185"/>
        <v>1.875</v>
      </c>
      <c r="AS260">
        <v>15</v>
      </c>
      <c r="AT260" s="17">
        <f t="shared" si="186"/>
        <v>1.875</v>
      </c>
      <c r="BD260" s="65">
        <f t="shared" si="187"/>
        <v>46.108633968382648</v>
      </c>
      <c r="BE260" s="65">
        <f t="shared" si="188"/>
        <v>41.011235955056179</v>
      </c>
      <c r="BF260" s="66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24.780446292175586</v>
      </c>
      <c r="BG260" s="38">
        <f t="shared" si="189"/>
        <v>0.3595505617977528</v>
      </c>
      <c r="BH260" s="38">
        <f t="shared" si="190"/>
        <v>0.24719101123595505</v>
      </c>
      <c r="BI260" s="67">
        <f>IFERROR(((AG260*(12000/5))/((F260*60+G260)*(SUMIFS(팀공격력!X:X,팀공격력!A:A,B260,팀공격력!B:B,D260)+SUMIFS(팀수비력!X:X,팀수비력!A:A,B260,팀수비력!B:B,D260))))*100,"")</f>
        <v>1.5702284682421292</v>
      </c>
      <c r="BJ260" s="67">
        <f>IFERROR(((AI260*(12000/5))/((F260*60+G260)*(SUMIFS(팀공격력!V:V,팀공격력!A:A,B260,팀공격력!B:B,D260)+SUMIFS(팀수비력!W:W,팀수비력!A:A,B260,팀수비력!B:B,D260))))*100,"")</f>
        <v>5.5986766764219364</v>
      </c>
      <c r="BK260" s="67">
        <f>IFERROR(((AE260*(12000/5))/((F260*60+G260)*(SUMIFS(팀공격력!X:X,팀공격력!A:A,B260,팀공격력!B:B,D260)+SUMIFS(팀수비력!X:X,팀수비력!A:A,B260,팀수비력!B:B,D260))))*100,"")</f>
        <v>4.448980660019366</v>
      </c>
      <c r="BL260" s="67">
        <f>IFERROR(100*AK260/(((((F260*60+G260)/(12000/5))*SUMIFS(팀공격력!P:P,팀공격력!A:A,B260,팀공격력!B:B,D260))-K260)),"")</f>
        <v>36.353578061405933</v>
      </c>
      <c r="BM260" s="67">
        <f>IFERROR(100*((AM260/E260*(2400))/((F260*60+G260)*SUMIFS(팀공격력!AR:AR,팀공격력!A:A,B260,팀공격력!B:B,D260))),"")</f>
        <v>2.9105307324261562</v>
      </c>
      <c r="BN260" s="67">
        <f>IFERROR((AO260*40)/(((F260*60+G260)/60)*(SUMIFS(팀수비력!Q:Q,팀수비력!A:A,B260,팀수비력!B:B,D260)-SUMIFS(팀수비력!N:N,팀수비력!A:A,B260,팀수비력!B:B,D260)))*100,"")</f>
        <v>1.6678132883023746</v>
      </c>
      <c r="BO260" s="67">
        <f t="shared" si="191"/>
        <v>13.194933145672062</v>
      </c>
      <c r="BT260" t="s">
        <v>89</v>
      </c>
      <c r="BV260" t="s">
        <v>90</v>
      </c>
      <c r="CF260">
        <v>4</v>
      </c>
      <c r="CG260">
        <v>4</v>
      </c>
    </row>
    <row r="261" spans="1:85" x14ac:dyDescent="0.4">
      <c r="A261" s="11" t="s">
        <v>85</v>
      </c>
      <c r="B261" t="s">
        <v>164</v>
      </c>
      <c r="C261" t="s">
        <v>168</v>
      </c>
      <c r="D261" s="46" t="s">
        <v>306</v>
      </c>
      <c r="E261">
        <v>3</v>
      </c>
      <c r="F261">
        <v>4</v>
      </c>
      <c r="G261" s="1">
        <v>18</v>
      </c>
      <c r="H261" s="16">
        <f t="shared" si="166"/>
        <v>774</v>
      </c>
      <c r="I261">
        <v>3</v>
      </c>
      <c r="J261" s="17">
        <f t="shared" si="167"/>
        <v>1</v>
      </c>
      <c r="K261">
        <v>1</v>
      </c>
      <c r="L261">
        <v>3</v>
      </c>
      <c r="M261" s="17">
        <f t="shared" si="168"/>
        <v>0.33333333333333331</v>
      </c>
      <c r="N261" s="17">
        <f t="shared" si="169"/>
        <v>1</v>
      </c>
      <c r="O261" s="18">
        <f t="shared" si="170"/>
        <v>0.33333333333333331</v>
      </c>
      <c r="P261">
        <v>1</v>
      </c>
      <c r="Q261">
        <v>2</v>
      </c>
      <c r="R261" s="17">
        <f t="shared" si="171"/>
        <v>0.33333333333333331</v>
      </c>
      <c r="S261" s="17">
        <f t="shared" si="172"/>
        <v>0.66666666666666663</v>
      </c>
      <c r="T261" s="18">
        <f t="shared" si="173"/>
        <v>0.5</v>
      </c>
      <c r="U261">
        <v>0</v>
      </c>
      <c r="V261">
        <v>1</v>
      </c>
      <c r="W261" s="17">
        <f t="shared" si="174"/>
        <v>0</v>
      </c>
      <c r="X261" s="17">
        <f t="shared" si="175"/>
        <v>0.33333333333333331</v>
      </c>
      <c r="Y261" s="18">
        <f t="shared" si="176"/>
        <v>0</v>
      </c>
      <c r="Z261">
        <v>1</v>
      </c>
      <c r="AA261">
        <v>2</v>
      </c>
      <c r="AB261" s="17">
        <f t="shared" si="177"/>
        <v>0.33333333333333331</v>
      </c>
      <c r="AC261" s="17">
        <f t="shared" si="178"/>
        <v>0.66666666666666663</v>
      </c>
      <c r="AD261" s="18">
        <f t="shared" si="179"/>
        <v>0.5</v>
      </c>
      <c r="AE261">
        <v>6</v>
      </c>
      <c r="AF261" s="17">
        <f t="shared" si="180"/>
        <v>2</v>
      </c>
      <c r="AG261">
        <v>2</v>
      </c>
      <c r="AH261" s="17">
        <f t="shared" si="181"/>
        <v>0.66666666666666663</v>
      </c>
      <c r="AI261">
        <v>4</v>
      </c>
      <c r="AJ261" s="17">
        <f t="shared" si="182"/>
        <v>1.3333333333333333</v>
      </c>
      <c r="AK261">
        <v>0</v>
      </c>
      <c r="AL261" s="17">
        <f t="shared" si="183"/>
        <v>0</v>
      </c>
      <c r="AM261">
        <v>0</v>
      </c>
      <c r="AN261" s="17">
        <f t="shared" si="184"/>
        <v>0</v>
      </c>
      <c r="AO261">
        <v>0</v>
      </c>
      <c r="AQ261">
        <v>1</v>
      </c>
      <c r="AR261" s="17">
        <f t="shared" si="185"/>
        <v>0.33333333333333331</v>
      </c>
      <c r="AS261">
        <v>2</v>
      </c>
      <c r="AT261" s="17">
        <f t="shared" si="186"/>
        <v>0.66666666666666663</v>
      </c>
      <c r="BD261" s="65">
        <f t="shared" si="187"/>
        <v>38.659793814432994</v>
      </c>
      <c r="BE261" s="65">
        <f t="shared" si="188"/>
        <v>33.333333333333329</v>
      </c>
      <c r="BF261" s="66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6.7041807710906935</v>
      </c>
      <c r="BG261" s="38">
        <f t="shared" si="189"/>
        <v>0.33333333333333331</v>
      </c>
      <c r="BH261" s="38">
        <f t="shared" si="190"/>
        <v>0.66666666666666663</v>
      </c>
      <c r="BI261" s="67">
        <f>IFERROR(((AG261*(12000/5))/((F261*60+G261)*(SUMIFS(팀공격력!X:X,팀공격력!A:A,B261,팀공격력!B:B,D261)+SUMIFS(팀수비력!X:X,팀수비력!A:A,B261,팀수비력!B:B,D261))))*100,"")</f>
        <v>3.2986970146792021</v>
      </c>
      <c r="BJ261" s="67">
        <f>IFERROR(((AI261*(12000/5))/((F261*60+G261)*(SUMIFS(팀공격력!V:V,팀공격력!A:A,B261,팀공격력!B:B,D261)+SUMIFS(팀수비력!W:W,팀수비력!A:A,B261,팀수비력!B:B,D261))))*100,"")</f>
        <v>12.830793905372895</v>
      </c>
      <c r="BK261" s="67">
        <f>IFERROR(((AE261*(12000/5))/((F261*60+G261)*(SUMIFS(팀공격력!X:X,팀공격력!A:A,B261,팀공격력!B:B,D261)+SUMIFS(팀수비력!X:X,팀수비력!A:A,B261,팀수비력!B:B,D261))))*100,"")</f>
        <v>9.8960910440376058</v>
      </c>
      <c r="BL261" s="67">
        <f>IFERROR(100*AK261/(((((F261*60+G261)/(12000/5))*SUMIFS(팀공격력!P:P,팀공격력!A:A,B261,팀공격력!B:B,D261))-K261)),"")</f>
        <v>0</v>
      </c>
      <c r="BM261" s="67">
        <f>IFERROR(100*((AM261/E261*(2400))/((F261*60+G261)*SUMIFS(팀공격력!AR:AR,팀공격력!A:A,B261,팀공격력!B:B,D261))),"")</f>
        <v>0</v>
      </c>
      <c r="BN261" s="67">
        <f>IFERROR((AO261*40)/(((F261*60+G261)/60)*(SUMIFS(팀수비력!Q:Q,팀수비력!A:A,B261,팀수비력!B:B,D261)-SUMIFS(팀수비력!N:N,팀수비력!A:A,B261,팀수비력!B:B,D261)))*100,"")</f>
        <v>0</v>
      </c>
      <c r="BO261" s="67">
        <f t="shared" si="191"/>
        <v>20.491803278688526</v>
      </c>
      <c r="BT261" t="s">
        <v>89</v>
      </c>
      <c r="BV261" t="s">
        <v>93</v>
      </c>
      <c r="CF261">
        <v>1</v>
      </c>
      <c r="CG261">
        <v>2</v>
      </c>
    </row>
    <row r="262" spans="1:85" x14ac:dyDescent="0.4">
      <c r="A262" s="11" t="s">
        <v>85</v>
      </c>
      <c r="B262" t="s">
        <v>164</v>
      </c>
      <c r="C262" t="s">
        <v>169</v>
      </c>
      <c r="D262" s="46" t="s">
        <v>306</v>
      </c>
      <c r="E262">
        <v>8</v>
      </c>
      <c r="F262">
        <v>14</v>
      </c>
      <c r="G262" s="1">
        <v>27</v>
      </c>
      <c r="H262" s="16">
        <f t="shared" si="166"/>
        <v>6936</v>
      </c>
      <c r="I262">
        <v>54</v>
      </c>
      <c r="J262" s="17">
        <f t="shared" si="167"/>
        <v>6.75</v>
      </c>
      <c r="K262">
        <v>20</v>
      </c>
      <c r="L262">
        <v>43</v>
      </c>
      <c r="M262" s="17">
        <f t="shared" si="168"/>
        <v>2.5</v>
      </c>
      <c r="N262" s="17">
        <f t="shared" si="169"/>
        <v>5.375</v>
      </c>
      <c r="O262" s="18">
        <f t="shared" si="170"/>
        <v>0.46511627906976744</v>
      </c>
      <c r="P262">
        <v>17</v>
      </c>
      <c r="Q262">
        <v>32</v>
      </c>
      <c r="R262" s="17">
        <f t="shared" si="171"/>
        <v>2.125</v>
      </c>
      <c r="S262" s="17">
        <f t="shared" si="172"/>
        <v>4</v>
      </c>
      <c r="T262" s="18">
        <f t="shared" si="173"/>
        <v>0.53125</v>
      </c>
      <c r="U262">
        <v>3</v>
      </c>
      <c r="V262">
        <v>11</v>
      </c>
      <c r="W262" s="17">
        <f t="shared" si="174"/>
        <v>0.375</v>
      </c>
      <c r="X262" s="17">
        <f t="shared" si="175"/>
        <v>1.375</v>
      </c>
      <c r="Y262" s="18">
        <f t="shared" si="176"/>
        <v>0.27272727272727271</v>
      </c>
      <c r="Z262">
        <v>11</v>
      </c>
      <c r="AA262">
        <v>11</v>
      </c>
      <c r="AB262" s="17">
        <f t="shared" si="177"/>
        <v>1.375</v>
      </c>
      <c r="AC262" s="17">
        <f t="shared" si="178"/>
        <v>1.375</v>
      </c>
      <c r="AD262" s="18">
        <f t="shared" si="179"/>
        <v>1</v>
      </c>
      <c r="AE262">
        <v>29</v>
      </c>
      <c r="AF262" s="17">
        <f t="shared" si="180"/>
        <v>3.625</v>
      </c>
      <c r="AG262">
        <v>13</v>
      </c>
      <c r="AH262" s="17">
        <f t="shared" si="181"/>
        <v>1.625</v>
      </c>
      <c r="AI262">
        <v>16</v>
      </c>
      <c r="AJ262" s="17">
        <f t="shared" si="182"/>
        <v>2</v>
      </c>
      <c r="AK262">
        <v>1</v>
      </c>
      <c r="AL262" s="17">
        <f t="shared" si="183"/>
        <v>0.125</v>
      </c>
      <c r="AM262">
        <v>3</v>
      </c>
      <c r="AN262" s="17">
        <f t="shared" si="184"/>
        <v>0.375</v>
      </c>
      <c r="AO262">
        <v>1</v>
      </c>
      <c r="AQ262">
        <v>6</v>
      </c>
      <c r="AR262" s="17">
        <f t="shared" si="185"/>
        <v>0.75</v>
      </c>
      <c r="AS262">
        <v>13</v>
      </c>
      <c r="AT262" s="17">
        <f t="shared" si="186"/>
        <v>1.625</v>
      </c>
      <c r="BD262" s="65">
        <f t="shared" si="187"/>
        <v>56.438127090301002</v>
      </c>
      <c r="BE262" s="65">
        <f t="shared" si="188"/>
        <v>50</v>
      </c>
      <c r="BF262" s="66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22.010583394928084</v>
      </c>
      <c r="BG262" s="38">
        <f t="shared" si="189"/>
        <v>0.2558139534883721</v>
      </c>
      <c r="BH262" s="38">
        <f t="shared" si="190"/>
        <v>0.2558139534883721</v>
      </c>
      <c r="BI262" s="67">
        <f>IFERROR(((AG262*(12000/5))/((F262*60+G262)*(SUMIFS(팀공격력!X:X,팀공격력!A:A,B262,팀공격력!B:B,D262)+SUMIFS(팀수비력!X:X,팀수비력!A:A,B262,팀수비력!B:B,D262))))*100,"")</f>
        <v>6.3805246754521576</v>
      </c>
      <c r="BJ262" s="67">
        <f>IFERROR(((AI262*(12000/5))/((F262*60+G262)*(SUMIFS(팀공격력!V:V,팀공격력!A:A,B262,팀공격력!B:B,D262)+SUMIFS(팀수비력!W:W,팀수비력!A:A,B262,팀수비력!B:B,D262))))*100,"")</f>
        <v>15.272640496360815</v>
      </c>
      <c r="BK262" s="67">
        <f>IFERROR(((AE262*(12000/5))/((F262*60+G262)*(SUMIFS(팀공격력!X:X,팀공격력!A:A,B262,팀공격력!B:B,D262)+SUMIFS(팀수비력!X:X,팀수비력!A:A,B262,팀수비력!B:B,D262))))*100,"")</f>
        <v>14.233478122162508</v>
      </c>
      <c r="BL262" s="67">
        <f>IFERROR(100*AK262/(((((F262*60+G262)/(12000/5))*SUMIFS(팀공격력!P:P,팀공격력!A:A,B262,팀공격력!B:B,D262))-K262)),"")</f>
        <v>1.5496067872777284</v>
      </c>
      <c r="BM262" s="67">
        <f>IFERROR(100*((AM262/E262*(2400))/((F262*60+G262)*SUMIFS(팀공격력!AR:AR,팀공격력!A:A,B262,팀공격력!B:B,D262))),"")</f>
        <v>1.6375512010120865</v>
      </c>
      <c r="BN262" s="67">
        <f>IFERROR((AO262*40)/(((F262*60+G262)/60)*(SUMIFS(팀수비력!Q:Q,팀수비력!A:A,B262,팀수비력!B:B,D262)-SUMIFS(팀수비력!N:N,팀수비력!A:A,B262,팀수비력!B:B,D262)))*100,"")</f>
        <v>0.78196782202412363</v>
      </c>
      <c r="BO262" s="67">
        <f t="shared" si="191"/>
        <v>11.144130757800891</v>
      </c>
      <c r="BT262" t="s">
        <v>96</v>
      </c>
      <c r="BV262" t="s">
        <v>102</v>
      </c>
      <c r="CF262">
        <v>4</v>
      </c>
      <c r="CG262">
        <v>4</v>
      </c>
    </row>
    <row r="263" spans="1:85" x14ac:dyDescent="0.4">
      <c r="A263" s="11" t="s">
        <v>85</v>
      </c>
      <c r="B263" t="s">
        <v>164</v>
      </c>
      <c r="C263" t="s">
        <v>172</v>
      </c>
      <c r="D263" s="46" t="s">
        <v>306</v>
      </c>
      <c r="E263">
        <v>7</v>
      </c>
      <c r="F263">
        <v>14</v>
      </c>
      <c r="G263" s="1">
        <v>41</v>
      </c>
      <c r="H263" s="16">
        <f t="shared" si="166"/>
        <v>6167</v>
      </c>
      <c r="I263">
        <v>21</v>
      </c>
      <c r="J263" s="17">
        <f t="shared" si="167"/>
        <v>3</v>
      </c>
      <c r="K263">
        <v>4</v>
      </c>
      <c r="L263">
        <v>15</v>
      </c>
      <c r="M263" s="17">
        <f t="shared" si="168"/>
        <v>0.5714285714285714</v>
      </c>
      <c r="N263" s="17">
        <f t="shared" si="169"/>
        <v>2.1428571428571428</v>
      </c>
      <c r="O263" s="18">
        <f t="shared" si="170"/>
        <v>0.26666666666666666</v>
      </c>
      <c r="P263">
        <v>2</v>
      </c>
      <c r="Q263">
        <v>8</v>
      </c>
      <c r="R263" s="17">
        <f t="shared" si="171"/>
        <v>0.2857142857142857</v>
      </c>
      <c r="S263" s="17">
        <f t="shared" si="172"/>
        <v>1.1428571428571428</v>
      </c>
      <c r="T263" s="18">
        <f t="shared" si="173"/>
        <v>0.25</v>
      </c>
      <c r="U263">
        <v>2</v>
      </c>
      <c r="V263">
        <v>7</v>
      </c>
      <c r="W263" s="17">
        <f t="shared" si="174"/>
        <v>0.2857142857142857</v>
      </c>
      <c r="X263" s="17">
        <f t="shared" si="175"/>
        <v>1</v>
      </c>
      <c r="Y263" s="18">
        <f t="shared" si="176"/>
        <v>0.2857142857142857</v>
      </c>
      <c r="Z263">
        <v>11</v>
      </c>
      <c r="AA263">
        <v>13</v>
      </c>
      <c r="AB263" s="17">
        <f t="shared" si="177"/>
        <v>1.5714285714285714</v>
      </c>
      <c r="AC263" s="17">
        <f t="shared" si="178"/>
        <v>1.8571428571428572</v>
      </c>
      <c r="AD263" s="18">
        <f t="shared" si="179"/>
        <v>0.84615384615384615</v>
      </c>
      <c r="AE263">
        <v>13</v>
      </c>
      <c r="AF263" s="17">
        <f t="shared" si="180"/>
        <v>1.8571428571428572</v>
      </c>
      <c r="AG263">
        <v>5</v>
      </c>
      <c r="AH263" s="17">
        <f t="shared" si="181"/>
        <v>0.7142857142857143</v>
      </c>
      <c r="AI263">
        <v>8</v>
      </c>
      <c r="AJ263" s="17">
        <f t="shared" si="182"/>
        <v>1.1428571428571428</v>
      </c>
      <c r="AK263">
        <v>5</v>
      </c>
      <c r="AL263" s="17">
        <f t="shared" si="183"/>
        <v>0.7142857142857143</v>
      </c>
      <c r="AM263">
        <v>4</v>
      </c>
      <c r="AN263" s="17">
        <f t="shared" si="184"/>
        <v>0.5714285714285714</v>
      </c>
      <c r="AO263">
        <v>0</v>
      </c>
      <c r="AQ263">
        <v>1</v>
      </c>
      <c r="AR263" s="17">
        <f t="shared" si="185"/>
        <v>0.14285714285714285</v>
      </c>
      <c r="AS263">
        <v>11</v>
      </c>
      <c r="AT263" s="17">
        <f t="shared" si="186"/>
        <v>1.5714285714285714</v>
      </c>
      <c r="BD263" s="65">
        <f t="shared" si="187"/>
        <v>50.675675675675677</v>
      </c>
      <c r="BE263" s="65">
        <f t="shared" si="188"/>
        <v>33.333333333333329</v>
      </c>
      <c r="BF263" s="66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8.7383515467257737</v>
      </c>
      <c r="BG263" s="38">
        <f t="shared" si="189"/>
        <v>0.46666666666666667</v>
      </c>
      <c r="BH263" s="38">
        <f t="shared" si="190"/>
        <v>0.8666666666666667</v>
      </c>
      <c r="BI263" s="67">
        <f>IFERROR(((AG263*(12000/5))/((F263*60+G263)*(SUMIFS(팀공격력!X:X,팀공격력!A:A,B263,팀공격력!B:B,D263)+SUMIFS(팀수비력!X:X,팀수비력!A:A,B263,팀수비력!B:B,D263))))*100,"")</f>
        <v>2.4150505953099715</v>
      </c>
      <c r="BJ263" s="67">
        <f>IFERROR(((AI263*(12000/5))/((F263*60+G263)*(SUMIFS(팀공격력!V:V,팀공격력!A:A,B263,팀공격력!B:B,D263)+SUMIFS(팀수비력!W:W,팀수비력!A:A,B263,팀수비력!B:B,D263))))*100,"")</f>
        <v>7.5149712317507529</v>
      </c>
      <c r="BK263" s="67">
        <f>IFERROR(((AE263*(12000/5))/((F263*60+G263)*(SUMIFS(팀공격력!X:X,팀공격력!A:A,B263,팀공격력!B:B,D263)+SUMIFS(팀수비력!X:X,팀수비력!A:A,B263,팀수비력!B:B,D263))))*100,"")</f>
        <v>6.2791315478059255</v>
      </c>
      <c r="BL263" s="67">
        <f>IFERROR(100*AK263/(((((F263*60+G263)/(12000/5))*SUMIFS(팀공격력!P:P,팀공격력!A:A,B263,팀공격력!B:B,D263))-K263)),"")</f>
        <v>6.1051924661924968</v>
      </c>
      <c r="BM263" s="67">
        <f>IFERROR(100*((AM263/E263*(2400))/((F263*60+G263)*SUMIFS(팀공격력!AR:AR,팀공격력!A:A,B263,팀공격력!B:B,D263))),"")</f>
        <v>2.4556629652926505</v>
      </c>
      <c r="BN263" s="67">
        <f>IFERROR((AO263*40)/(((F263*60+G263)/60)*(SUMIFS(팀수비력!Q:Q,팀수비력!A:A,B263,팀수비력!B:B,D263)-SUMIFS(팀수비력!N:N,팀수비력!A:A,B263,팀수비력!B:B,D263)))*100,"")</f>
        <v>0</v>
      </c>
      <c r="BO263" s="67">
        <f t="shared" si="191"/>
        <v>4.6040515653775325</v>
      </c>
      <c r="BT263" t="s">
        <v>89</v>
      </c>
      <c r="BV263" t="s">
        <v>93</v>
      </c>
      <c r="CF263">
        <v>4</v>
      </c>
      <c r="CG263">
        <v>3</v>
      </c>
    </row>
    <row r="264" spans="1:85" x14ac:dyDescent="0.4">
      <c r="A264" s="11" t="s">
        <v>85</v>
      </c>
      <c r="B264" t="s">
        <v>164</v>
      </c>
      <c r="C264" t="s">
        <v>175</v>
      </c>
      <c r="D264" s="46" t="s">
        <v>306</v>
      </c>
      <c r="E264">
        <v>8</v>
      </c>
      <c r="F264">
        <v>22</v>
      </c>
      <c r="G264" s="1">
        <v>10</v>
      </c>
      <c r="H264" s="16">
        <f t="shared" si="166"/>
        <v>10640</v>
      </c>
      <c r="I264">
        <v>41</v>
      </c>
      <c r="J264" s="17">
        <f t="shared" si="167"/>
        <v>5.125</v>
      </c>
      <c r="K264">
        <v>14</v>
      </c>
      <c r="L264">
        <v>52</v>
      </c>
      <c r="M264" s="17">
        <f t="shared" si="168"/>
        <v>1.75</v>
      </c>
      <c r="N264" s="17">
        <f t="shared" si="169"/>
        <v>6.5</v>
      </c>
      <c r="O264" s="18">
        <f t="shared" si="170"/>
        <v>0.26923076923076922</v>
      </c>
      <c r="P264">
        <v>10</v>
      </c>
      <c r="Q264">
        <v>36</v>
      </c>
      <c r="R264" s="17">
        <f t="shared" si="171"/>
        <v>1.25</v>
      </c>
      <c r="S264" s="17">
        <f t="shared" si="172"/>
        <v>4.5</v>
      </c>
      <c r="T264" s="18">
        <f t="shared" si="173"/>
        <v>0.27777777777777779</v>
      </c>
      <c r="U264">
        <v>4</v>
      </c>
      <c r="V264">
        <v>16</v>
      </c>
      <c r="W264" s="17">
        <f t="shared" si="174"/>
        <v>0.5</v>
      </c>
      <c r="X264" s="17">
        <f t="shared" si="175"/>
        <v>2</v>
      </c>
      <c r="Y264" s="18">
        <f t="shared" si="176"/>
        <v>0.25</v>
      </c>
      <c r="Z264">
        <v>9</v>
      </c>
      <c r="AA264">
        <v>16</v>
      </c>
      <c r="AB264" s="17">
        <f t="shared" si="177"/>
        <v>1.125</v>
      </c>
      <c r="AC264" s="17">
        <f t="shared" si="178"/>
        <v>2</v>
      </c>
      <c r="AD264" s="18">
        <f t="shared" si="179"/>
        <v>0.5625</v>
      </c>
      <c r="AE264">
        <v>38</v>
      </c>
      <c r="AF264" s="17">
        <f t="shared" si="180"/>
        <v>4.75</v>
      </c>
      <c r="AG264">
        <v>11</v>
      </c>
      <c r="AH264" s="17">
        <f t="shared" si="181"/>
        <v>1.375</v>
      </c>
      <c r="AI264">
        <v>27</v>
      </c>
      <c r="AJ264" s="17">
        <f t="shared" si="182"/>
        <v>3.375</v>
      </c>
      <c r="AK264">
        <v>16</v>
      </c>
      <c r="AL264" s="17">
        <f t="shared" si="183"/>
        <v>2</v>
      </c>
      <c r="AM264">
        <v>2</v>
      </c>
      <c r="AN264" s="17">
        <f t="shared" si="184"/>
        <v>0.25</v>
      </c>
      <c r="AO264">
        <v>2</v>
      </c>
      <c r="AQ264">
        <v>7</v>
      </c>
      <c r="AR264" s="17">
        <f t="shared" si="185"/>
        <v>0.875</v>
      </c>
      <c r="AS264">
        <v>17</v>
      </c>
      <c r="AT264" s="17">
        <f t="shared" si="186"/>
        <v>2.125</v>
      </c>
      <c r="BD264" s="65">
        <f t="shared" si="187"/>
        <v>34.722222222222221</v>
      </c>
      <c r="BE264" s="65">
        <f t="shared" si="188"/>
        <v>30.76923076923077</v>
      </c>
      <c r="BF264" s="66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17.599528120869277</v>
      </c>
      <c r="BG264" s="38">
        <f t="shared" si="189"/>
        <v>0.30769230769230771</v>
      </c>
      <c r="BH264" s="38">
        <f t="shared" si="190"/>
        <v>0.30769230769230771</v>
      </c>
      <c r="BI264" s="67">
        <f>IFERROR(((AG264*(12000/5))/((F264*60+G264)*(SUMIFS(팀공격력!X:X,팀공격력!A:A,B264,팀공격력!B:B,D264)+SUMIFS(팀수비력!X:X,팀수비력!A:A,B264,팀수비력!B:B,D264))))*100,"")</f>
        <v>3.5194368900975848</v>
      </c>
      <c r="BJ264" s="67">
        <f>IFERROR(((AI264*(12000/5))/((F264*60+G264)*(SUMIFS(팀공격력!V:V,팀공격력!A:A,B264,팀공격력!B:B,D264)+SUMIFS(팀수비력!W:W,팀수비력!A:A,B264,팀수비력!B:B,D264))))*100,"")</f>
        <v>16.800622245268343</v>
      </c>
      <c r="BK264" s="67">
        <f>IFERROR(((AE264*(12000/5))/((F264*60+G264)*(SUMIFS(팀공격력!X:X,팀공격력!A:A,B264,팀공격력!B:B,D264)+SUMIFS(팀수비력!X:X,팀수비력!A:A,B264,팀수비력!B:B,D264))))*100,"")</f>
        <v>12.158054711246201</v>
      </c>
      <c r="BL264" s="67">
        <f>IFERROR(100*AK264/(((((F264*60+G264)/(12000/5))*SUMIFS(팀공격력!P:P,팀공격력!A:A,B264,팀공격력!B:B,D264))-K264)),"")</f>
        <v>13.831856494488868</v>
      </c>
      <c r="BM264" s="67">
        <f>IFERROR(100*((AM264/E264*(2400))/((F264*60+G264)*SUMIFS(팀공격력!AR:AR,팀공격력!A:A,B264,팀공격력!B:B,D264))),"")</f>
        <v>0.71165758961277137</v>
      </c>
      <c r="BN264" s="67">
        <f>IFERROR((AO264*40)/(((F264*60+G264)/60)*(SUMIFS(팀수비력!Q:Q,팀수비력!A:A,B264,팀수비력!B:B,D264)-SUMIFS(팀수비력!N:N,팀수비력!A:A,B264,팀수비력!B:B,D264)))*100,"")</f>
        <v>1.0194978972855868</v>
      </c>
      <c r="BO264" s="67">
        <f t="shared" si="191"/>
        <v>10.599636583888554</v>
      </c>
      <c r="BT264" t="s">
        <v>89</v>
      </c>
      <c r="BV264" t="s">
        <v>102</v>
      </c>
      <c r="CF264">
        <v>4</v>
      </c>
      <c r="CG264">
        <v>4</v>
      </c>
    </row>
    <row r="265" spans="1:85" x14ac:dyDescent="0.4">
      <c r="A265" s="11" t="s">
        <v>85</v>
      </c>
      <c r="B265" t="s">
        <v>164</v>
      </c>
      <c r="C265" t="s">
        <v>176</v>
      </c>
      <c r="D265" s="46" t="s">
        <v>306</v>
      </c>
      <c r="E265">
        <v>8</v>
      </c>
      <c r="F265">
        <v>28</v>
      </c>
      <c r="G265" s="1">
        <v>0</v>
      </c>
      <c r="H265" s="16">
        <f t="shared" si="166"/>
        <v>13440</v>
      </c>
      <c r="I265">
        <v>86</v>
      </c>
      <c r="J265" s="17">
        <f t="shared" si="167"/>
        <v>10.75</v>
      </c>
      <c r="K265">
        <v>27</v>
      </c>
      <c r="L265">
        <v>62</v>
      </c>
      <c r="M265" s="17">
        <f t="shared" si="168"/>
        <v>3.375</v>
      </c>
      <c r="N265" s="17">
        <f t="shared" si="169"/>
        <v>7.75</v>
      </c>
      <c r="O265" s="18">
        <f t="shared" si="170"/>
        <v>0.43548387096774194</v>
      </c>
      <c r="P265">
        <v>14</v>
      </c>
      <c r="Q265">
        <v>28</v>
      </c>
      <c r="R265" s="17">
        <f t="shared" si="171"/>
        <v>1.75</v>
      </c>
      <c r="S265" s="17">
        <f t="shared" si="172"/>
        <v>3.5</v>
      </c>
      <c r="T265" s="18">
        <f t="shared" si="173"/>
        <v>0.5</v>
      </c>
      <c r="U265">
        <v>13</v>
      </c>
      <c r="V265">
        <v>34</v>
      </c>
      <c r="W265" s="17">
        <f t="shared" si="174"/>
        <v>1.625</v>
      </c>
      <c r="X265" s="17">
        <f t="shared" si="175"/>
        <v>4.25</v>
      </c>
      <c r="Y265" s="18">
        <f t="shared" si="176"/>
        <v>0.38235294117647056</v>
      </c>
      <c r="Z265">
        <v>19</v>
      </c>
      <c r="AA265">
        <v>22</v>
      </c>
      <c r="AB265" s="17">
        <f t="shared" si="177"/>
        <v>2.375</v>
      </c>
      <c r="AC265" s="17">
        <f t="shared" si="178"/>
        <v>2.75</v>
      </c>
      <c r="AD265" s="18">
        <f t="shared" si="179"/>
        <v>0.86363636363636365</v>
      </c>
      <c r="AE265">
        <v>11</v>
      </c>
      <c r="AF265" s="17">
        <f t="shared" si="180"/>
        <v>1.375</v>
      </c>
      <c r="AG265">
        <v>3</v>
      </c>
      <c r="AH265" s="17">
        <f t="shared" si="181"/>
        <v>0.375</v>
      </c>
      <c r="AI265">
        <v>8</v>
      </c>
      <c r="AJ265" s="17">
        <f t="shared" si="182"/>
        <v>1</v>
      </c>
      <c r="AK265">
        <v>13</v>
      </c>
      <c r="AL265" s="17">
        <f t="shared" si="183"/>
        <v>1.625</v>
      </c>
      <c r="AM265">
        <v>3</v>
      </c>
      <c r="AN265" s="17">
        <f t="shared" si="184"/>
        <v>0.375</v>
      </c>
      <c r="AO265">
        <v>0</v>
      </c>
      <c r="AQ265">
        <v>9</v>
      </c>
      <c r="AR265" s="17">
        <f t="shared" si="185"/>
        <v>1.125</v>
      </c>
      <c r="AS265">
        <v>19</v>
      </c>
      <c r="AT265" s="17">
        <f t="shared" si="186"/>
        <v>2.375</v>
      </c>
      <c r="BD265" s="65">
        <f t="shared" si="187"/>
        <v>59.988839285714278</v>
      </c>
      <c r="BE265" s="65">
        <f t="shared" si="188"/>
        <v>54.032258064516128</v>
      </c>
      <c r="BF265" s="66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17.021671617607346</v>
      </c>
      <c r="BG265" s="38">
        <f t="shared" si="189"/>
        <v>0.54838709677419351</v>
      </c>
      <c r="BH265" s="38">
        <f t="shared" si="190"/>
        <v>0.35483870967741937</v>
      </c>
      <c r="BI265" s="67">
        <f>IFERROR(((AG265*(12000/5))/((F265*60+G265)*(SUMIFS(팀공격력!X:X,팀공격력!A:A,B265,팀공격력!B:B,D265)+SUMIFS(팀수비력!X:X,팀수비력!A:A,B265,팀수비력!B:B,D265))))*100,"")</f>
        <v>0.75987841945288759</v>
      </c>
      <c r="BJ265" s="67">
        <f>IFERROR(((AI265*(12000/5))/((F265*60+G265)*(SUMIFS(팀공격력!V:V,팀공격력!A:A,B265,팀공격력!B:B,D265)+SUMIFS(팀수비력!W:W,팀수비력!A:A,B265,팀수비력!B:B,D265))))*100,"")</f>
        <v>3.9408866995073892</v>
      </c>
      <c r="BK265" s="67">
        <f>IFERROR(((AE265*(12000/5))/((F265*60+G265)*(SUMIFS(팀공격력!X:X,팀공격력!A:A,B265,팀공격력!B:B,D265)+SUMIFS(팀수비력!X:X,팀수비력!A:A,B265,팀수비력!B:B,D265))))*100,"")</f>
        <v>2.7862208713272545</v>
      </c>
      <c r="BL265" s="67">
        <f>IFERROR(100*AK265/(((((F265*60+G265)/(12000/5))*SUMIFS(팀공격력!P:P,팀공격력!A:A,B265,팀공격력!B:B,D265))-K265)),"")</f>
        <v>9.502923976608189</v>
      </c>
      <c r="BM265" s="67">
        <f>IFERROR(100*((AM265/E265*(2400))/((F265*60+G265)*SUMIFS(팀공격력!AR:AR,팀공격력!A:A,B265,팀공격력!B:B,D265))),"")</f>
        <v>0.84509338766516595</v>
      </c>
      <c r="BN265" s="67">
        <f>IFERROR((AO265*40)/(((F265*60+G265)/60)*(SUMIFS(팀수비력!Q:Q,팀수비력!A:A,B265,팀수비력!B:B,D265)-SUMIFS(팀수비력!N:N,팀수비력!A:A,B265,팀수비력!B:B,D265)))*100,"")</f>
        <v>0</v>
      </c>
      <c r="BO265" s="67">
        <f t="shared" si="191"/>
        <v>11.155180961824492</v>
      </c>
      <c r="BT265" t="s">
        <v>89</v>
      </c>
      <c r="BV265" t="s">
        <v>90</v>
      </c>
      <c r="CF265">
        <v>4</v>
      </c>
      <c r="CG265">
        <v>4</v>
      </c>
    </row>
    <row r="266" spans="1:85" x14ac:dyDescent="0.4">
      <c r="A266" s="11" t="s">
        <v>85</v>
      </c>
      <c r="B266" t="s">
        <v>164</v>
      </c>
      <c r="C266" t="s">
        <v>178</v>
      </c>
      <c r="D266" s="46" t="s">
        <v>306</v>
      </c>
      <c r="E266">
        <v>6</v>
      </c>
      <c r="F266">
        <v>32</v>
      </c>
      <c r="G266" s="1">
        <v>39</v>
      </c>
      <c r="H266" s="16">
        <f t="shared" si="166"/>
        <v>11754</v>
      </c>
      <c r="I266">
        <v>164</v>
      </c>
      <c r="J266" s="17">
        <f t="shared" si="167"/>
        <v>27.333333333333332</v>
      </c>
      <c r="K266">
        <v>71</v>
      </c>
      <c r="L266">
        <v>136</v>
      </c>
      <c r="M266" s="17">
        <f t="shared" si="168"/>
        <v>11.833333333333334</v>
      </c>
      <c r="N266" s="17">
        <f t="shared" si="169"/>
        <v>22.666666666666668</v>
      </c>
      <c r="O266" s="18">
        <f t="shared" si="170"/>
        <v>0.5220588235294118</v>
      </c>
      <c r="P266">
        <v>65</v>
      </c>
      <c r="Q266">
        <v>117</v>
      </c>
      <c r="R266" s="17">
        <f t="shared" si="171"/>
        <v>10.833333333333334</v>
      </c>
      <c r="S266" s="17">
        <f t="shared" si="172"/>
        <v>19.5</v>
      </c>
      <c r="T266" s="18">
        <f t="shared" si="173"/>
        <v>0.55555555555555558</v>
      </c>
      <c r="U266">
        <v>6</v>
      </c>
      <c r="V266">
        <v>19</v>
      </c>
      <c r="W266" s="17">
        <f t="shared" si="174"/>
        <v>1</v>
      </c>
      <c r="X266" s="17">
        <f t="shared" si="175"/>
        <v>3.1666666666666665</v>
      </c>
      <c r="Y266" s="18">
        <f t="shared" si="176"/>
        <v>0.31578947368421051</v>
      </c>
      <c r="Z266">
        <v>16</v>
      </c>
      <c r="AA266">
        <v>28</v>
      </c>
      <c r="AB266" s="17">
        <f t="shared" si="177"/>
        <v>2.6666666666666665</v>
      </c>
      <c r="AC266" s="17">
        <f t="shared" si="178"/>
        <v>4.666666666666667</v>
      </c>
      <c r="AD266" s="18">
        <f t="shared" si="179"/>
        <v>0.5714285714285714</v>
      </c>
      <c r="AE266">
        <v>77</v>
      </c>
      <c r="AF266" s="17">
        <f t="shared" si="180"/>
        <v>12.833333333333334</v>
      </c>
      <c r="AG266">
        <v>22</v>
      </c>
      <c r="AH266" s="17">
        <f t="shared" si="181"/>
        <v>3.6666666666666665</v>
      </c>
      <c r="AI266">
        <v>55</v>
      </c>
      <c r="AJ266" s="17">
        <f t="shared" si="182"/>
        <v>9.1666666666666661</v>
      </c>
      <c r="AK266">
        <v>20</v>
      </c>
      <c r="AL266" s="17">
        <f t="shared" si="183"/>
        <v>3.3333333333333335</v>
      </c>
      <c r="AM266">
        <v>7</v>
      </c>
      <c r="AN266" s="17">
        <f t="shared" si="184"/>
        <v>1.1666666666666667</v>
      </c>
      <c r="AO266">
        <v>3</v>
      </c>
      <c r="AQ266">
        <v>11</v>
      </c>
      <c r="AR266" s="17">
        <f t="shared" si="185"/>
        <v>1.8333333333333333</v>
      </c>
      <c r="AS266">
        <v>10</v>
      </c>
      <c r="AT266" s="17">
        <f t="shared" si="186"/>
        <v>1.6666666666666667</v>
      </c>
      <c r="BD266" s="65">
        <f t="shared" si="187"/>
        <v>55.285868392664518</v>
      </c>
      <c r="BE266" s="65">
        <f t="shared" si="188"/>
        <v>54.411764705882348</v>
      </c>
      <c r="BF266" s="66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28.825806152786178</v>
      </c>
      <c r="BG266" s="38">
        <f t="shared" si="189"/>
        <v>0.13970588235294118</v>
      </c>
      <c r="BH266" s="38">
        <f t="shared" si="190"/>
        <v>0.20588235294117646</v>
      </c>
      <c r="BI266" s="67">
        <f>IFERROR(((AG266*(12000/5))/((F266*60+G266)*(SUMIFS(팀공격력!X:X,팀공격력!A:A,B266,팀공격력!B:B,D266)+SUMIFS(팀수비력!X:X,팀수비력!A:A,B266,팀수비력!B:B,D266))))*100,"")</f>
        <v>4.7788168084020288</v>
      </c>
      <c r="BJ266" s="67">
        <f>IFERROR(((AI266*(12000/5))/((F266*60+G266)*(SUMIFS(팀공격력!V:V,팀공격력!A:A,B266,팀공격력!B:B,D266)+SUMIFS(팀수비력!W:W,팀수비력!A:A,B266,팀수비력!B:B,D266))))*100,"")</f>
        <v>23.234936896023658</v>
      </c>
      <c r="BK266" s="67">
        <f>IFERROR(((AE266*(12000/5))/((F266*60+G266)*(SUMIFS(팀공격력!X:X,팀공격력!A:A,B266,팀공격력!B:B,D266)+SUMIFS(팀수비력!X:X,팀수비력!A:A,B266,팀수비력!B:B,D266))))*100,"")</f>
        <v>16.725858829407102</v>
      </c>
      <c r="BL266" s="67">
        <f>IFERROR(100*AK266/(((((F266*60+G266)/(12000/5))*SUMIFS(팀공격력!P:P,팀공격력!A:A,B266,팀공격력!B:B,D266))-K266)),"")</f>
        <v>16.666319451678092</v>
      </c>
      <c r="BM266" s="67">
        <f>IFERROR(100*((AM266/E266*(2400))/((F266*60+G266)*SUMIFS(팀공격력!AR:AR,팀공격력!A:A,B266,팀공격력!B:B,D266))),"")</f>
        <v>2.2547327409545352</v>
      </c>
      <c r="BN266" s="67">
        <f>IFERROR((AO266*40)/(((F266*60+G266)/60)*(SUMIFS(팀수비력!Q:Q,팀수비력!A:A,B266,팀수비력!B:B,D266)-SUMIFS(팀수비력!N:N,팀수비력!A:A,B266,팀수비력!B:B,D266)))*100,"")</f>
        <v>1.0382329275572975</v>
      </c>
      <c r="BO266" s="67">
        <f t="shared" si="191"/>
        <v>6.9043434597037416</v>
      </c>
      <c r="BT266" t="s">
        <v>96</v>
      </c>
      <c r="BV266" t="s">
        <v>102</v>
      </c>
      <c r="CF266">
        <v>4</v>
      </c>
      <c r="CG266">
        <v>2</v>
      </c>
    </row>
    <row r="267" spans="1:85" x14ac:dyDescent="0.4">
      <c r="A267" s="11" t="s">
        <v>85</v>
      </c>
      <c r="B267" t="s">
        <v>164</v>
      </c>
      <c r="C267" t="s">
        <v>179</v>
      </c>
      <c r="D267" s="46" t="s">
        <v>306</v>
      </c>
      <c r="E267">
        <v>1</v>
      </c>
      <c r="F267">
        <v>3</v>
      </c>
      <c r="G267" s="1">
        <v>46</v>
      </c>
      <c r="H267" s="16">
        <f t="shared" si="166"/>
        <v>226</v>
      </c>
      <c r="I267">
        <v>0</v>
      </c>
      <c r="J267" s="17">
        <f t="shared" si="167"/>
        <v>0</v>
      </c>
      <c r="K267">
        <v>0</v>
      </c>
      <c r="L267">
        <v>0</v>
      </c>
      <c r="M267" s="17">
        <f t="shared" si="168"/>
        <v>0</v>
      </c>
      <c r="N267" s="17">
        <f t="shared" si="169"/>
        <v>0</v>
      </c>
      <c r="O267" s="18" t="e">
        <f t="shared" si="170"/>
        <v>#DIV/0!</v>
      </c>
      <c r="P267">
        <v>0</v>
      </c>
      <c r="Q267">
        <v>0</v>
      </c>
      <c r="R267" s="17">
        <f t="shared" si="171"/>
        <v>0</v>
      </c>
      <c r="S267" s="17">
        <f t="shared" si="172"/>
        <v>0</v>
      </c>
      <c r="T267" s="18" t="e">
        <f t="shared" si="173"/>
        <v>#DIV/0!</v>
      </c>
      <c r="U267">
        <v>0</v>
      </c>
      <c r="V267">
        <v>0</v>
      </c>
      <c r="W267" s="17">
        <f t="shared" si="174"/>
        <v>0</v>
      </c>
      <c r="X267" s="17">
        <f t="shared" si="175"/>
        <v>0</v>
      </c>
      <c r="Y267" s="18" t="e">
        <f t="shared" si="176"/>
        <v>#DIV/0!</v>
      </c>
      <c r="Z267">
        <v>0</v>
      </c>
      <c r="AA267">
        <v>0</v>
      </c>
      <c r="AB267" s="17">
        <f t="shared" si="177"/>
        <v>0</v>
      </c>
      <c r="AC267" s="17">
        <f t="shared" si="178"/>
        <v>0</v>
      </c>
      <c r="AD267" s="18" t="e">
        <f t="shared" si="179"/>
        <v>#DIV/0!</v>
      </c>
      <c r="AE267">
        <v>0</v>
      </c>
      <c r="AF267" s="17">
        <f t="shared" si="180"/>
        <v>0</v>
      </c>
      <c r="AG267">
        <v>0</v>
      </c>
      <c r="AH267" s="17">
        <f t="shared" si="181"/>
        <v>0</v>
      </c>
      <c r="AI267">
        <v>0</v>
      </c>
      <c r="AJ267" s="17">
        <f t="shared" si="182"/>
        <v>0</v>
      </c>
      <c r="AK267">
        <v>0</v>
      </c>
      <c r="AL267" s="17">
        <f t="shared" si="183"/>
        <v>0</v>
      </c>
      <c r="AM267">
        <v>0</v>
      </c>
      <c r="AN267" s="17">
        <f t="shared" si="184"/>
        <v>0</v>
      </c>
      <c r="AO267">
        <v>0</v>
      </c>
      <c r="AQ267">
        <v>0</v>
      </c>
      <c r="AR267" s="17">
        <f t="shared" si="185"/>
        <v>0</v>
      </c>
      <c r="AS267">
        <v>0</v>
      </c>
      <c r="AT267" s="17">
        <f t="shared" si="186"/>
        <v>0</v>
      </c>
      <c r="BD267" s="65" t="str">
        <f t="shared" si="187"/>
        <v/>
      </c>
      <c r="BE267" s="65" t="str">
        <f t="shared" si="188"/>
        <v/>
      </c>
      <c r="BF267" s="66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0</v>
      </c>
      <c r="BG267" s="38" t="str">
        <f t="shared" si="189"/>
        <v/>
      </c>
      <c r="BH267" s="38" t="str">
        <f t="shared" si="190"/>
        <v/>
      </c>
      <c r="BI267" s="67">
        <f>IFERROR(((AG267*(12000/5))/((F267*60+G267)*(SUMIFS(팀공격력!X:X,팀공격력!A:A,B267,팀공격력!B:B,D267)+SUMIFS(팀수비력!X:X,팀수비력!A:A,B267,팀수비력!B:B,D267))))*100,"")</f>
        <v>0</v>
      </c>
      <c r="BJ267" s="67">
        <f>IFERROR(((AI267*(12000/5))/((F267*60+G267)*(SUMIFS(팀공격력!V:V,팀공격력!A:A,B267,팀공격력!B:B,D267)+SUMIFS(팀수비력!W:W,팀수비력!A:A,B267,팀수비력!B:B,D267))))*100,"")</f>
        <v>0</v>
      </c>
      <c r="BK267" s="67">
        <f>IFERROR(((AE267*(12000/5))/((F267*60+G267)*(SUMIFS(팀공격력!X:X,팀공격력!A:A,B267,팀공격력!B:B,D267)+SUMIFS(팀수비력!X:X,팀수비력!A:A,B267,팀수비력!B:B,D267))))*100,"")</f>
        <v>0</v>
      </c>
      <c r="BL267" s="67">
        <f>IFERROR(100*AK267/(((((F267*60+G267)/(12000/5))*SUMIFS(팀공격력!P:P,팀공격력!A:A,B267,팀공격력!B:B,D267))-K267)),"")</f>
        <v>0</v>
      </c>
      <c r="BM267" s="67">
        <f>IFERROR(100*((AM267/E267*(2400))/((F267*60+G267)*SUMIFS(팀공격력!AR:AR,팀공격력!A:A,B267,팀공격력!B:B,D267))),"")</f>
        <v>0</v>
      </c>
      <c r="BN267" s="67">
        <f>IFERROR((AO267*40)/(((F267*60+G267)/60)*(SUMIFS(팀수비력!Q:Q,팀수비력!A:A,B267,팀수비력!B:B,D267)-SUMIFS(팀수비력!N:N,팀수비력!A:A,B267,팀수비력!B:B,D267)))*100,"")</f>
        <v>0</v>
      </c>
      <c r="BO267" s="67" t="str">
        <f t="shared" si="191"/>
        <v/>
      </c>
      <c r="BT267" t="s">
        <v>89</v>
      </c>
      <c r="BV267" t="s">
        <v>90</v>
      </c>
      <c r="CF267">
        <v>0</v>
      </c>
      <c r="CG267">
        <v>1</v>
      </c>
    </row>
    <row r="268" spans="1:85" x14ac:dyDescent="0.4">
      <c r="A268" s="11" t="s">
        <v>85</v>
      </c>
      <c r="B268" t="s">
        <v>164</v>
      </c>
      <c r="C268" t="s">
        <v>180</v>
      </c>
      <c r="D268" s="46" t="s">
        <v>306</v>
      </c>
      <c r="E268">
        <v>8</v>
      </c>
      <c r="F268">
        <v>17</v>
      </c>
      <c r="G268" s="1">
        <v>1</v>
      </c>
      <c r="H268" s="16">
        <f t="shared" si="166"/>
        <v>8168</v>
      </c>
      <c r="I268">
        <v>34</v>
      </c>
      <c r="J268" s="17">
        <f t="shared" si="167"/>
        <v>4.25</v>
      </c>
      <c r="K268">
        <v>10</v>
      </c>
      <c r="L268">
        <v>31</v>
      </c>
      <c r="M268" s="17">
        <f t="shared" si="168"/>
        <v>1.25</v>
      </c>
      <c r="N268" s="17">
        <f t="shared" si="169"/>
        <v>3.875</v>
      </c>
      <c r="O268" s="18">
        <f t="shared" si="170"/>
        <v>0.32258064516129031</v>
      </c>
      <c r="P268">
        <v>10</v>
      </c>
      <c r="Q268">
        <v>28</v>
      </c>
      <c r="R268" s="17">
        <f t="shared" si="171"/>
        <v>1.25</v>
      </c>
      <c r="S268" s="17">
        <f t="shared" si="172"/>
        <v>3.5</v>
      </c>
      <c r="T268" s="18">
        <f t="shared" si="173"/>
        <v>0.35714285714285715</v>
      </c>
      <c r="U268">
        <v>0</v>
      </c>
      <c r="V268">
        <v>3</v>
      </c>
      <c r="W268" s="17">
        <f t="shared" si="174"/>
        <v>0</v>
      </c>
      <c r="X268" s="17">
        <f t="shared" si="175"/>
        <v>0.375</v>
      </c>
      <c r="Y268" s="18">
        <f t="shared" si="176"/>
        <v>0</v>
      </c>
      <c r="Z268">
        <v>14</v>
      </c>
      <c r="AA268">
        <v>15</v>
      </c>
      <c r="AB268" s="17">
        <f t="shared" si="177"/>
        <v>1.75</v>
      </c>
      <c r="AC268" s="17">
        <f t="shared" si="178"/>
        <v>1.875</v>
      </c>
      <c r="AD268" s="18">
        <f t="shared" si="179"/>
        <v>0.93333333333333335</v>
      </c>
      <c r="AE268">
        <v>33</v>
      </c>
      <c r="AF268" s="17">
        <f t="shared" si="180"/>
        <v>4.125</v>
      </c>
      <c r="AG268">
        <v>11</v>
      </c>
      <c r="AH268" s="17">
        <f t="shared" si="181"/>
        <v>1.375</v>
      </c>
      <c r="AI268">
        <v>22</v>
      </c>
      <c r="AJ268" s="17">
        <f t="shared" si="182"/>
        <v>2.75</v>
      </c>
      <c r="AK268">
        <v>3</v>
      </c>
      <c r="AL268" s="17">
        <f t="shared" si="183"/>
        <v>0.375</v>
      </c>
      <c r="AM268">
        <v>0</v>
      </c>
      <c r="AN268" s="17">
        <f t="shared" si="184"/>
        <v>0</v>
      </c>
      <c r="AO268">
        <v>2</v>
      </c>
      <c r="AQ268">
        <v>2</v>
      </c>
      <c r="AR268" s="17">
        <f t="shared" si="185"/>
        <v>0.25</v>
      </c>
      <c r="AS268">
        <v>17</v>
      </c>
      <c r="AT268" s="17">
        <f t="shared" si="186"/>
        <v>2.125</v>
      </c>
      <c r="BD268" s="65">
        <f t="shared" si="187"/>
        <v>45.212765957446805</v>
      </c>
      <c r="BE268" s="65">
        <f t="shared" si="188"/>
        <v>32.258064516129032</v>
      </c>
      <c r="BF268" s="66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13.747225097156315</v>
      </c>
      <c r="BG268" s="38">
        <f t="shared" si="189"/>
        <v>9.6774193548387094E-2</v>
      </c>
      <c r="BH268" s="38">
        <f t="shared" si="190"/>
        <v>0.4838709677419355</v>
      </c>
      <c r="BI268" s="67">
        <f>IFERROR(((AG268*(12000/5))/((F268*60+G268)*(SUMIFS(팀공격력!X:X,팀공격력!A:A,B268,팀공격력!B:B,D268)+SUMIFS(팀수비력!X:X,팀수비력!A:A,B268,팀수비력!B:B,D268))))*100,"")</f>
        <v>4.5845749890595364</v>
      </c>
      <c r="BJ268" s="67">
        <f>IFERROR(((AI268*(12000/5))/((F268*60+G268)*(SUMIFS(팀공격력!V:V,팀공격력!A:A,B268,팀공격력!B:B,D268)+SUMIFS(팀수비력!W:W,팀수비력!A:A,B268,팀수비력!B:B,D268))))*100,"")</f>
        <v>17.832415819514335</v>
      </c>
      <c r="BK268" s="67">
        <f>IFERROR(((AE268*(12000/5))/((F268*60+G268)*(SUMIFS(팀공격력!X:X,팀공격력!A:A,B268,팀공격력!B:B,D268)+SUMIFS(팀수비력!X:X,팀수비력!A:A,B268,팀수비력!B:B,D268))))*100,"")</f>
        <v>13.753724967178609</v>
      </c>
      <c r="BL268" s="67">
        <f>IFERROR(100*AK268/(((((F268*60+G268)/(12000/5))*SUMIFS(팀공격력!P:P,팀공격력!A:A,B268,팀공격력!B:B,D268))-K268)),"")</f>
        <v>3.3501772802144112</v>
      </c>
      <c r="BM268" s="67">
        <f>IFERROR(100*((AM268/E268*(2400))/((F268*60+G268)*SUMIFS(팀공격력!AR:AR,팀공격력!A:A,B268,팀공격력!B:B,D268))),"")</f>
        <v>0</v>
      </c>
      <c r="BN268" s="67">
        <f>IFERROR((AO268*40)/(((F268*60+G268)/60)*(SUMIFS(팀수비력!Q:Q,팀수비력!A:A,B268,팀수비력!B:B,D268)-SUMIFS(팀수비력!N:N,팀수비력!A:A,B268,팀수비력!B:B,D268)))*100,"")</f>
        <v>1.3280432942113913</v>
      </c>
      <c r="BO268" s="67">
        <f t="shared" si="191"/>
        <v>5.0505050505050502</v>
      </c>
      <c r="BT268" t="s">
        <v>89</v>
      </c>
      <c r="BV268" t="s">
        <v>93</v>
      </c>
      <c r="CF268">
        <v>4</v>
      </c>
      <c r="CG268">
        <v>4</v>
      </c>
    </row>
    <row r="269" spans="1:85" x14ac:dyDescent="0.4">
      <c r="A269" s="11" t="s">
        <v>85</v>
      </c>
      <c r="B269" t="s">
        <v>164</v>
      </c>
      <c r="C269" t="s">
        <v>181</v>
      </c>
      <c r="D269" s="46" t="s">
        <v>306</v>
      </c>
      <c r="E269">
        <v>5</v>
      </c>
      <c r="F269">
        <v>16</v>
      </c>
      <c r="G269" s="1">
        <v>19</v>
      </c>
      <c r="H269" s="16">
        <f t="shared" si="166"/>
        <v>4895</v>
      </c>
      <c r="I269">
        <v>21</v>
      </c>
      <c r="J269" s="17">
        <f t="shared" si="167"/>
        <v>4.2</v>
      </c>
      <c r="K269">
        <v>8</v>
      </c>
      <c r="L269">
        <v>10</v>
      </c>
      <c r="M269" s="17">
        <f t="shared" si="168"/>
        <v>1.6</v>
      </c>
      <c r="N269" s="17">
        <f t="shared" si="169"/>
        <v>2</v>
      </c>
      <c r="O269" s="18">
        <f t="shared" si="170"/>
        <v>0.8</v>
      </c>
      <c r="P269">
        <v>4</v>
      </c>
      <c r="Q269">
        <v>5</v>
      </c>
      <c r="R269" s="17">
        <f t="shared" si="171"/>
        <v>0.8</v>
      </c>
      <c r="S269" s="17">
        <f t="shared" si="172"/>
        <v>1</v>
      </c>
      <c r="T269" s="18">
        <f t="shared" si="173"/>
        <v>0.8</v>
      </c>
      <c r="U269">
        <v>4</v>
      </c>
      <c r="V269">
        <v>5</v>
      </c>
      <c r="W269" s="17">
        <f t="shared" si="174"/>
        <v>0.8</v>
      </c>
      <c r="X269" s="17">
        <f t="shared" si="175"/>
        <v>1</v>
      </c>
      <c r="Y269" s="18">
        <f t="shared" si="176"/>
        <v>0.8</v>
      </c>
      <c r="Z269">
        <v>1</v>
      </c>
      <c r="AA269">
        <v>1</v>
      </c>
      <c r="AB269" s="17">
        <f t="shared" si="177"/>
        <v>0.2</v>
      </c>
      <c r="AC269" s="17">
        <f t="shared" si="178"/>
        <v>0.2</v>
      </c>
      <c r="AD269" s="18">
        <f t="shared" si="179"/>
        <v>1</v>
      </c>
      <c r="AE269">
        <v>13</v>
      </c>
      <c r="AF269" s="17">
        <f t="shared" si="180"/>
        <v>2.6</v>
      </c>
      <c r="AG269">
        <v>6</v>
      </c>
      <c r="AH269" s="17">
        <f t="shared" si="181"/>
        <v>1.2</v>
      </c>
      <c r="AI269">
        <v>7</v>
      </c>
      <c r="AJ269" s="17">
        <f t="shared" si="182"/>
        <v>1.4</v>
      </c>
      <c r="AK269">
        <v>11</v>
      </c>
      <c r="AL269" s="17">
        <f t="shared" si="183"/>
        <v>2.2000000000000002</v>
      </c>
      <c r="AM269">
        <v>4</v>
      </c>
      <c r="AN269" s="17">
        <f t="shared" si="184"/>
        <v>0.8</v>
      </c>
      <c r="AO269">
        <v>0</v>
      </c>
      <c r="AQ269">
        <v>6</v>
      </c>
      <c r="AR269" s="17">
        <f t="shared" si="185"/>
        <v>1.2</v>
      </c>
      <c r="AS269">
        <v>14</v>
      </c>
      <c r="AT269" s="17">
        <f t="shared" si="186"/>
        <v>2.8</v>
      </c>
      <c r="BD269" s="65">
        <f t="shared" si="187"/>
        <v>100.57471264367817</v>
      </c>
      <c r="BE269" s="65">
        <f t="shared" si="188"/>
        <v>100</v>
      </c>
      <c r="BF269" s="66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5.9520246538364239</v>
      </c>
      <c r="BG269" s="38">
        <f t="shared" si="189"/>
        <v>0.5</v>
      </c>
      <c r="BH269" s="38">
        <f t="shared" si="190"/>
        <v>0.1</v>
      </c>
      <c r="BI269" s="67">
        <f>IFERROR(((AG269*(12000/5))/((F269*60+G269)*(SUMIFS(팀공격력!X:X,팀공격력!A:A,B269,팀공격력!B:B,D269)+SUMIFS(팀수비력!X:X,팀수비력!A:A,B269,팀수비력!B:B,D269))))*100,"")</f>
        <v>2.6079586203898901</v>
      </c>
      <c r="BJ269" s="67">
        <f>IFERROR(((AI269*(12000/5))/((F269*60+G269)*(SUMIFS(팀공격력!V:V,팀공격력!A:A,B269,팀공격력!B:B,D269)+SUMIFS(팀수비력!W:W,팀수비력!A:A,B269,팀수비력!B:B,D269))))*100,"")</f>
        <v>5.9173681800570606</v>
      </c>
      <c r="BK269" s="67">
        <f>IFERROR(((AE269*(12000/5))/((F269*60+G269)*(SUMIFS(팀공격력!X:X,팀공격력!A:A,B269,팀공격력!B:B,D269)+SUMIFS(팀수비력!X:X,팀수비력!A:A,B269,팀수비력!B:B,D269))))*100,"")</f>
        <v>5.6505770108447617</v>
      </c>
      <c r="BL269" s="67">
        <f>IFERROR(100*AK269/(((((F269*60+G269)/(12000/5))*SUMIFS(팀공격력!P:P,팀공격력!A:A,B269,팀공격력!B:B,D269))-K269)),"")</f>
        <v>12.578256767959749</v>
      </c>
      <c r="BM269" s="67">
        <f>IFERROR(100*((AM269/E269*(2400))/((F269*60+G269)*SUMIFS(팀공격력!AR:AR,팀공격력!A:A,B269,팀공격력!B:B,D269))),"")</f>
        <v>3.0937841689396888</v>
      </c>
      <c r="BN269" s="67">
        <f>IFERROR((AO269*40)/(((F269*60+G269)/60)*(SUMIFS(팀수비력!Q:Q,팀수비력!A:A,B269,팀수비력!B:B,D269)-SUMIFS(팀수비력!N:N,팀수비력!A:A,B269,팀수비력!B:B,D269)))*100,"")</f>
        <v>0</v>
      </c>
      <c r="BO269" s="67">
        <f t="shared" si="191"/>
        <v>36.496350364963511</v>
      </c>
      <c r="BT269" t="s">
        <v>89</v>
      </c>
      <c r="BV269" t="s">
        <v>90</v>
      </c>
      <c r="CF269">
        <v>2</v>
      </c>
      <c r="CG269">
        <v>3</v>
      </c>
    </row>
    <row r="270" spans="1:85" x14ac:dyDescent="0.4">
      <c r="A270" s="11" t="s">
        <v>85</v>
      </c>
      <c r="B270" t="s">
        <v>164</v>
      </c>
      <c r="C270" t="s">
        <v>182</v>
      </c>
      <c r="D270" s="46" t="s">
        <v>306</v>
      </c>
      <c r="E270">
        <v>8</v>
      </c>
      <c r="F270">
        <v>29</v>
      </c>
      <c r="G270" s="1">
        <v>33</v>
      </c>
      <c r="H270" s="16">
        <f t="shared" si="166"/>
        <v>14184</v>
      </c>
      <c r="I270">
        <v>85</v>
      </c>
      <c r="J270" s="17">
        <f t="shared" si="167"/>
        <v>10.625</v>
      </c>
      <c r="K270">
        <v>34</v>
      </c>
      <c r="L270">
        <v>71</v>
      </c>
      <c r="M270" s="17">
        <f t="shared" si="168"/>
        <v>4.25</v>
      </c>
      <c r="N270" s="17">
        <f t="shared" si="169"/>
        <v>8.875</v>
      </c>
      <c r="O270" s="18">
        <f t="shared" si="170"/>
        <v>0.47887323943661969</v>
      </c>
      <c r="P270">
        <v>22</v>
      </c>
      <c r="Q270">
        <v>41</v>
      </c>
      <c r="R270" s="17">
        <f t="shared" si="171"/>
        <v>2.75</v>
      </c>
      <c r="S270" s="17">
        <f t="shared" si="172"/>
        <v>5.125</v>
      </c>
      <c r="T270" s="18">
        <f t="shared" si="173"/>
        <v>0.53658536585365857</v>
      </c>
      <c r="U270">
        <v>12</v>
      </c>
      <c r="V270">
        <v>30</v>
      </c>
      <c r="W270" s="17">
        <f t="shared" si="174"/>
        <v>1.5</v>
      </c>
      <c r="X270" s="17">
        <f t="shared" si="175"/>
        <v>3.75</v>
      </c>
      <c r="Y270" s="18">
        <f t="shared" si="176"/>
        <v>0.4</v>
      </c>
      <c r="Z270">
        <v>5</v>
      </c>
      <c r="AA270">
        <v>9</v>
      </c>
      <c r="AB270" s="17">
        <f t="shared" si="177"/>
        <v>0.625</v>
      </c>
      <c r="AC270" s="17">
        <f t="shared" si="178"/>
        <v>1.125</v>
      </c>
      <c r="AD270" s="18">
        <f t="shared" si="179"/>
        <v>0.55555555555555558</v>
      </c>
      <c r="AE270">
        <v>32</v>
      </c>
      <c r="AF270" s="17">
        <f t="shared" si="180"/>
        <v>4</v>
      </c>
      <c r="AG270">
        <v>8</v>
      </c>
      <c r="AH270" s="17">
        <f t="shared" si="181"/>
        <v>1</v>
      </c>
      <c r="AI270">
        <v>24</v>
      </c>
      <c r="AJ270" s="17">
        <f t="shared" si="182"/>
        <v>3</v>
      </c>
      <c r="AK270">
        <v>6</v>
      </c>
      <c r="AL270" s="17">
        <f t="shared" si="183"/>
        <v>0.75</v>
      </c>
      <c r="AM270">
        <v>7</v>
      </c>
      <c r="AN270" s="17">
        <f t="shared" si="184"/>
        <v>0.875</v>
      </c>
      <c r="AO270">
        <v>0</v>
      </c>
      <c r="AQ270">
        <v>3</v>
      </c>
      <c r="AR270" s="17">
        <f t="shared" si="185"/>
        <v>0.375</v>
      </c>
      <c r="AS270">
        <v>16</v>
      </c>
      <c r="AT270" s="17">
        <f t="shared" si="186"/>
        <v>2</v>
      </c>
      <c r="BD270" s="65">
        <f t="shared" si="187"/>
        <v>56.69690501600855</v>
      </c>
      <c r="BE270" s="65">
        <f t="shared" si="188"/>
        <v>56.338028169014088</v>
      </c>
      <c r="BF270" s="66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15.585067761859522</v>
      </c>
      <c r="BG270" s="38">
        <f t="shared" si="189"/>
        <v>0.42253521126760563</v>
      </c>
      <c r="BH270" s="38">
        <f t="shared" si="190"/>
        <v>0.12676056338028169</v>
      </c>
      <c r="BI270" s="67">
        <f>IFERROR(((AG270*(12000/5))/((F270*60+G270)*(SUMIFS(팀공격력!X:X,팀공격력!A:A,B270,팀공격력!B:B,D270)+SUMIFS(팀수비력!X:X,팀수비력!A:A,B270,팀수비력!B:B,D270))))*100,"")</f>
        <v>1.9200537615053221</v>
      </c>
      <c r="BJ270" s="67">
        <f>IFERROR(((AI270*(12000/5))/((F270*60+G270)*(SUMIFS(팀공격력!V:V,팀공격력!A:A,B270,팀공격력!B:B,D270)+SUMIFS(팀수비력!W:W,팀수비력!A:A,B270,팀수비력!B:B,D270))))*100,"")</f>
        <v>11.202520567127603</v>
      </c>
      <c r="BK270" s="67">
        <f>IFERROR(((AE270*(12000/5))/((F270*60+G270)*(SUMIFS(팀공격력!X:X,팀공격력!A:A,B270,팀공격력!B:B,D270)+SUMIFS(팀수비력!X:X,팀수비력!A:A,B270,팀수비력!B:B,D270))))*100,"")</f>
        <v>7.6802150460212886</v>
      </c>
      <c r="BL270" s="67">
        <f>IFERROR(100*AK270/(((((F270*60+G270)/(12000/5))*SUMIFS(팀공격력!P:P,팀공격력!A:A,B270,팀공격력!B:B,D270))-K270)),"")</f>
        <v>4.3206653824689001</v>
      </c>
      <c r="BM270" s="67">
        <f>IFERROR(100*((AM270/E270*(2400))/((F270*60+G270)*SUMIFS(팀공격력!AR:AR,팀공격력!A:A,B270,팀공격력!B:B,D270))),"")</f>
        <v>1.8684523855879591</v>
      </c>
      <c r="BN270" s="67">
        <f>IFERROR((AO270*40)/(((F270*60+G270)/60)*(SUMIFS(팀수비력!Q:Q,팀수비력!A:A,B270,팀수비력!B:B,D270)-SUMIFS(팀수비력!N:N,팀수비력!A:A,B270,팀수비력!B:B,D270)))*100,"")</f>
        <v>0</v>
      </c>
      <c r="BO270" s="67">
        <f t="shared" si="191"/>
        <v>3.8481272447408932</v>
      </c>
      <c r="BT270" t="s">
        <v>89</v>
      </c>
      <c r="BV270" t="s">
        <v>93</v>
      </c>
      <c r="CF270">
        <v>4</v>
      </c>
      <c r="CG270">
        <v>4</v>
      </c>
    </row>
    <row r="271" spans="1:85" x14ac:dyDescent="0.4">
      <c r="A271" s="11" t="s">
        <v>85</v>
      </c>
      <c r="B271" t="s">
        <v>183</v>
      </c>
      <c r="C271" t="s">
        <v>184</v>
      </c>
      <c r="D271" s="46" t="s">
        <v>306</v>
      </c>
      <c r="E271">
        <v>3</v>
      </c>
      <c r="F271">
        <v>2</v>
      </c>
      <c r="G271" s="1">
        <v>51</v>
      </c>
      <c r="H271" s="16">
        <f t="shared" si="166"/>
        <v>513</v>
      </c>
      <c r="I271">
        <v>0</v>
      </c>
      <c r="J271" s="17">
        <f t="shared" si="167"/>
        <v>0</v>
      </c>
      <c r="K271">
        <v>0</v>
      </c>
      <c r="L271">
        <v>1</v>
      </c>
      <c r="M271" s="17">
        <f t="shared" si="168"/>
        <v>0</v>
      </c>
      <c r="N271" s="17">
        <f t="shared" si="169"/>
        <v>0.33333333333333331</v>
      </c>
      <c r="O271" s="18">
        <f t="shared" si="170"/>
        <v>0</v>
      </c>
      <c r="P271">
        <v>0</v>
      </c>
      <c r="Q271">
        <v>1</v>
      </c>
      <c r="R271" s="17">
        <f t="shared" si="171"/>
        <v>0</v>
      </c>
      <c r="S271" s="17">
        <f t="shared" si="172"/>
        <v>0.33333333333333331</v>
      </c>
      <c r="T271" s="18">
        <f t="shared" si="173"/>
        <v>0</v>
      </c>
      <c r="U271">
        <v>0</v>
      </c>
      <c r="V271">
        <v>0</v>
      </c>
      <c r="W271" s="17">
        <f t="shared" si="174"/>
        <v>0</v>
      </c>
      <c r="X271" s="17">
        <f t="shared" si="175"/>
        <v>0</v>
      </c>
      <c r="Y271" s="18" t="e">
        <f t="shared" si="176"/>
        <v>#DIV/0!</v>
      </c>
      <c r="Z271">
        <v>0</v>
      </c>
      <c r="AA271">
        <v>0</v>
      </c>
      <c r="AB271" s="17">
        <f t="shared" si="177"/>
        <v>0</v>
      </c>
      <c r="AC271" s="17">
        <f t="shared" si="178"/>
        <v>0</v>
      </c>
      <c r="AD271" s="18" t="e">
        <f t="shared" si="179"/>
        <v>#DIV/0!</v>
      </c>
      <c r="AE271">
        <v>2</v>
      </c>
      <c r="AF271" s="17">
        <f t="shared" si="180"/>
        <v>0.66666666666666663</v>
      </c>
      <c r="AG271">
        <v>1</v>
      </c>
      <c r="AH271" s="17">
        <f t="shared" si="181"/>
        <v>0.33333333333333331</v>
      </c>
      <c r="AI271">
        <v>1</v>
      </c>
      <c r="AJ271" s="17">
        <f t="shared" si="182"/>
        <v>0.33333333333333331</v>
      </c>
      <c r="AK271">
        <v>2</v>
      </c>
      <c r="AL271" s="17">
        <f t="shared" si="183"/>
        <v>0.66666666666666663</v>
      </c>
      <c r="AM271">
        <v>0</v>
      </c>
      <c r="AN271" s="17">
        <f t="shared" si="184"/>
        <v>0</v>
      </c>
      <c r="AO271">
        <v>1</v>
      </c>
      <c r="AQ271">
        <v>1</v>
      </c>
      <c r="AR271" s="17">
        <f t="shared" si="185"/>
        <v>0.33333333333333331</v>
      </c>
      <c r="AS271">
        <v>4</v>
      </c>
      <c r="AT271" s="17">
        <f t="shared" si="186"/>
        <v>1.3333333333333333</v>
      </c>
      <c r="BD271" s="65">
        <f t="shared" si="187"/>
        <v>0</v>
      </c>
      <c r="BE271" s="65">
        <f t="shared" si="188"/>
        <v>0</v>
      </c>
      <c r="BF271" s="66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3.1189083820662766</v>
      </c>
      <c r="BG271" s="38">
        <f t="shared" si="189"/>
        <v>0</v>
      </c>
      <c r="BH271" s="38">
        <f t="shared" si="190"/>
        <v>0</v>
      </c>
      <c r="BI271" s="67">
        <f>IFERROR(((AG271*(12000/5))/((F271*60+G271)*(SUMIFS(팀공격력!X:X,팀공격력!A:A,B271,팀공격력!B:B,D271)+SUMIFS(팀수비력!X:X,팀수비력!A:A,B271,팀수비력!B:B,D271))))*100,"")</f>
        <v>1.9173617102866456</v>
      </c>
      <c r="BJ271" s="67">
        <f>IFERROR(((AI271*(12000/5))/((F271*60+G271)*(SUMIFS(팀공격력!V:V,팀공격력!A:A,B271,팀공격력!B:B,D271)+SUMIFS(팀수비력!W:W,팀수비력!A:A,B271,팀수비력!B:B,D271))))*100,"")</f>
        <v>3.6079917016190866</v>
      </c>
      <c r="BK271" s="67">
        <f>IFERROR(((AE271*(12000/5))/((F271*60+G271)*(SUMIFS(팀공격력!X:X,팀공격력!A:A,B271,팀공격력!B:B,D271)+SUMIFS(팀수비력!X:X,팀수비력!A:A,B271,팀수비력!B:B,D271))))*100,"")</f>
        <v>3.8347234205732912</v>
      </c>
      <c r="BL271" s="67">
        <f>IFERROR(100*AK271/(((((F271*60+G271)/(12000/5))*SUMIFS(팀공격력!P:P,팀공격력!A:A,B271,팀공격력!B:B,D271))-K271)),"")</f>
        <v>9.6130737803412636</v>
      </c>
      <c r="BM271" s="67">
        <f>IFERROR(100*((AM271/E271*(2400))/((F271*60+G271)*SUMIFS(팀공격력!AR:AR,팀공격력!A:A,B271,팀공격력!B:B,D271))),"")</f>
        <v>0</v>
      </c>
      <c r="BN271" s="67">
        <f>IFERROR((AO271*40)/(((F271*60+G271)/60)*(SUMIFS(팀수비력!Q:Q,팀수비력!A:A,B271,팀수비력!B:B,D271)-SUMIFS(팀수비력!N:N,팀수비력!A:A,B271,팀수비력!B:B,D271)))*100,"")</f>
        <v>2.8643036161833155</v>
      </c>
      <c r="BO271" s="67">
        <f t="shared" si="191"/>
        <v>50</v>
      </c>
      <c r="BT271" t="s">
        <v>89</v>
      </c>
      <c r="BV271" t="s">
        <v>90</v>
      </c>
      <c r="CF271">
        <v>1</v>
      </c>
      <c r="CG271">
        <v>2</v>
      </c>
    </row>
    <row r="272" spans="1:85" x14ac:dyDescent="0.4">
      <c r="A272" s="11" t="s">
        <v>85</v>
      </c>
      <c r="B272" t="s">
        <v>183</v>
      </c>
      <c r="C272" t="s">
        <v>186</v>
      </c>
      <c r="D272" s="46" t="s">
        <v>306</v>
      </c>
      <c r="E272">
        <v>8</v>
      </c>
      <c r="F272">
        <v>6</v>
      </c>
      <c r="G272" s="1">
        <v>0</v>
      </c>
      <c r="H272" s="16">
        <f t="shared" si="166"/>
        <v>2880</v>
      </c>
      <c r="I272">
        <v>6</v>
      </c>
      <c r="J272" s="17">
        <f t="shared" si="167"/>
        <v>0.75</v>
      </c>
      <c r="K272">
        <v>2</v>
      </c>
      <c r="L272">
        <v>11</v>
      </c>
      <c r="M272" s="17">
        <f t="shared" si="168"/>
        <v>0.25</v>
      </c>
      <c r="N272" s="17">
        <f t="shared" si="169"/>
        <v>1.375</v>
      </c>
      <c r="O272" s="18">
        <f t="shared" si="170"/>
        <v>0.18181818181818182</v>
      </c>
      <c r="P272">
        <v>1</v>
      </c>
      <c r="Q272">
        <v>6</v>
      </c>
      <c r="R272" s="17">
        <f t="shared" si="171"/>
        <v>0.125</v>
      </c>
      <c r="S272" s="17">
        <f t="shared" si="172"/>
        <v>0.75</v>
      </c>
      <c r="T272" s="18">
        <f t="shared" si="173"/>
        <v>0.16666666666666666</v>
      </c>
      <c r="U272">
        <v>1</v>
      </c>
      <c r="V272">
        <v>5</v>
      </c>
      <c r="W272" s="17">
        <f t="shared" si="174"/>
        <v>0.125</v>
      </c>
      <c r="X272" s="17">
        <f t="shared" si="175"/>
        <v>0.625</v>
      </c>
      <c r="Y272" s="18">
        <f t="shared" si="176"/>
        <v>0.2</v>
      </c>
      <c r="Z272">
        <v>1</v>
      </c>
      <c r="AA272">
        <v>2</v>
      </c>
      <c r="AB272" s="17">
        <f t="shared" si="177"/>
        <v>0.125</v>
      </c>
      <c r="AC272" s="17">
        <f t="shared" si="178"/>
        <v>0.25</v>
      </c>
      <c r="AD272" s="18">
        <f t="shared" si="179"/>
        <v>0.5</v>
      </c>
      <c r="AE272">
        <v>4</v>
      </c>
      <c r="AF272" s="17">
        <f t="shared" si="180"/>
        <v>0.5</v>
      </c>
      <c r="AG272">
        <v>2</v>
      </c>
      <c r="AH272" s="17">
        <f t="shared" si="181"/>
        <v>0.25</v>
      </c>
      <c r="AI272">
        <v>2</v>
      </c>
      <c r="AJ272" s="17">
        <f t="shared" si="182"/>
        <v>0.25</v>
      </c>
      <c r="AK272">
        <v>2</v>
      </c>
      <c r="AL272" s="17">
        <f t="shared" si="183"/>
        <v>0.25</v>
      </c>
      <c r="AM272">
        <v>0</v>
      </c>
      <c r="AN272" s="17">
        <f t="shared" si="184"/>
        <v>0</v>
      </c>
      <c r="AO272">
        <v>0</v>
      </c>
      <c r="AQ272">
        <v>0</v>
      </c>
      <c r="AR272" s="17">
        <f t="shared" si="185"/>
        <v>0</v>
      </c>
      <c r="AS272">
        <v>11</v>
      </c>
      <c r="AT272" s="17">
        <f t="shared" si="186"/>
        <v>1.375</v>
      </c>
      <c r="BD272" s="65">
        <f t="shared" si="187"/>
        <v>25.252525252525249</v>
      </c>
      <c r="BE272" s="65">
        <f t="shared" si="188"/>
        <v>22.727272727272727</v>
      </c>
      <c r="BF272" s="66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8.8000000000000007</v>
      </c>
      <c r="BG272" s="38">
        <f t="shared" si="189"/>
        <v>0.45454545454545453</v>
      </c>
      <c r="BH272" s="38">
        <f t="shared" si="190"/>
        <v>0.18181818181818182</v>
      </c>
      <c r="BI272" s="67">
        <f>IFERROR(((AG272*(12000/5))/((F272*60+G272)*(SUMIFS(팀공격력!X:X,팀공격력!A:A,B272,팀공격력!B:B,D272)+SUMIFS(팀수비력!X:X,팀수비력!A:A,B272,팀수비력!B:B,D272))))*100,"")</f>
        <v>1.8214936247723135</v>
      </c>
      <c r="BJ272" s="67">
        <f>IFERROR(((AI272*(12000/5))/((F272*60+G272)*(SUMIFS(팀공격력!V:V,팀공격력!A:A,B272,팀공격력!B:B,D272)+SUMIFS(팀수비력!W:W,팀수비력!A:A,B272,팀수비력!B:B,D272))))*100,"")</f>
        <v>3.4275921165381322</v>
      </c>
      <c r="BK272" s="67">
        <f>IFERROR(((AE272*(12000/5))/((F272*60+G272)*(SUMIFS(팀공격력!X:X,팀공격력!A:A,B272,팀공격력!B:B,D272)+SUMIFS(팀수비력!X:X,팀수비력!A:A,B272,팀수비력!B:B,D272))))*100,"")</f>
        <v>3.6429872495446269</v>
      </c>
      <c r="BL272" s="67">
        <f>IFERROR(100*AK272/(((((F272*60+G272)/(12000/5))*SUMIFS(팀공격력!P:P,팀공격력!A:A,B272,팀공격력!B:B,D272))-K272)),"")</f>
        <v>4.7846889952153111</v>
      </c>
      <c r="BM272" s="67">
        <f>IFERROR(100*((AM272/E272*(2400))/((F272*60+G272)*SUMIFS(팀공격력!AR:AR,팀공격력!A:A,B272,팀공격력!B:B,D272))),"")</f>
        <v>0</v>
      </c>
      <c r="BN272" s="67">
        <f>IFERROR((AO272*40)/(((F272*60+G272)/60)*(SUMIFS(팀수비력!Q:Q,팀수비력!A:A,B272,팀수비력!B:B,D272)-SUMIFS(팀수비력!N:N,팀수비력!A:A,B272,팀수비력!B:B,D272)))*100,"")</f>
        <v>0</v>
      </c>
      <c r="BO272" s="67">
        <f t="shared" si="191"/>
        <v>0</v>
      </c>
      <c r="BT272" t="s">
        <v>89</v>
      </c>
      <c r="BV272" t="s">
        <v>90</v>
      </c>
      <c r="CF272">
        <v>1</v>
      </c>
      <c r="CG272">
        <v>7</v>
      </c>
    </row>
    <row r="273" spans="1:85" x14ac:dyDescent="0.4">
      <c r="A273" s="11" t="s">
        <v>85</v>
      </c>
      <c r="B273" t="s">
        <v>183</v>
      </c>
      <c r="C273" t="s">
        <v>187</v>
      </c>
      <c r="D273" s="46" t="s">
        <v>306</v>
      </c>
      <c r="E273">
        <v>5</v>
      </c>
      <c r="F273">
        <v>7</v>
      </c>
      <c r="G273" s="1">
        <v>45</v>
      </c>
      <c r="H273" s="16">
        <f t="shared" si="166"/>
        <v>2325</v>
      </c>
      <c r="I273">
        <v>1</v>
      </c>
      <c r="J273" s="17">
        <f t="shared" si="167"/>
        <v>0.2</v>
      </c>
      <c r="K273">
        <v>0</v>
      </c>
      <c r="L273">
        <v>1</v>
      </c>
      <c r="M273" s="17">
        <f t="shared" si="168"/>
        <v>0</v>
      </c>
      <c r="N273" s="17">
        <f t="shared" si="169"/>
        <v>0.2</v>
      </c>
      <c r="O273" s="18">
        <f t="shared" si="170"/>
        <v>0</v>
      </c>
      <c r="P273">
        <v>0</v>
      </c>
      <c r="Q273">
        <v>1</v>
      </c>
      <c r="R273" s="17">
        <f t="shared" si="171"/>
        <v>0</v>
      </c>
      <c r="S273" s="17">
        <f t="shared" si="172"/>
        <v>0.2</v>
      </c>
      <c r="T273" s="18">
        <f t="shared" si="173"/>
        <v>0</v>
      </c>
      <c r="U273">
        <v>0</v>
      </c>
      <c r="V273">
        <v>0</v>
      </c>
      <c r="W273" s="17">
        <f t="shared" si="174"/>
        <v>0</v>
      </c>
      <c r="X273" s="17">
        <f t="shared" si="175"/>
        <v>0</v>
      </c>
      <c r="Y273" s="18" t="e">
        <f t="shared" si="176"/>
        <v>#DIV/0!</v>
      </c>
      <c r="Z273">
        <v>1</v>
      </c>
      <c r="AA273">
        <v>2</v>
      </c>
      <c r="AB273" s="17">
        <f t="shared" si="177"/>
        <v>0.2</v>
      </c>
      <c r="AC273" s="17">
        <f t="shared" si="178"/>
        <v>0.4</v>
      </c>
      <c r="AD273" s="18">
        <f t="shared" si="179"/>
        <v>0.5</v>
      </c>
      <c r="AE273">
        <v>9</v>
      </c>
      <c r="AF273" s="17">
        <f t="shared" si="180"/>
        <v>1.8</v>
      </c>
      <c r="AG273">
        <v>6</v>
      </c>
      <c r="AH273" s="17">
        <f t="shared" si="181"/>
        <v>1.2</v>
      </c>
      <c r="AI273">
        <v>3</v>
      </c>
      <c r="AJ273" s="17">
        <f t="shared" si="182"/>
        <v>0.6</v>
      </c>
      <c r="AK273">
        <v>2</v>
      </c>
      <c r="AL273" s="17">
        <f t="shared" si="183"/>
        <v>0.4</v>
      </c>
      <c r="AM273">
        <v>1</v>
      </c>
      <c r="AN273" s="17">
        <f t="shared" si="184"/>
        <v>0.2</v>
      </c>
      <c r="AO273">
        <v>1</v>
      </c>
      <c r="AQ273">
        <v>1</v>
      </c>
      <c r="AR273" s="17">
        <f t="shared" si="185"/>
        <v>0.2</v>
      </c>
      <c r="AS273">
        <v>9</v>
      </c>
      <c r="AT273" s="17">
        <f t="shared" si="186"/>
        <v>1.8</v>
      </c>
      <c r="BD273" s="65">
        <f t="shared" si="187"/>
        <v>26.595744680851062</v>
      </c>
      <c r="BE273" s="65">
        <f t="shared" si="188"/>
        <v>0</v>
      </c>
      <c r="BF273" s="66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1.6516129032258065</v>
      </c>
      <c r="BG273" s="38">
        <f t="shared" si="189"/>
        <v>0</v>
      </c>
      <c r="BH273" s="38">
        <f t="shared" si="190"/>
        <v>2</v>
      </c>
      <c r="BI273" s="67">
        <f>IFERROR(((AG273*(12000/5))/((F273*60+G273)*(SUMIFS(팀공격력!X:X,팀공격력!A:A,B273,팀공격력!B:B,D273)+SUMIFS(팀수비력!X:X,팀수비력!A:A,B273,팀수비력!B:B,D273))))*100,"")</f>
        <v>4.2305658381808566</v>
      </c>
      <c r="BJ273" s="67">
        <f>IFERROR(((AI273*(12000/5))/((F273*60+G273)*(SUMIFS(팀공격력!V:V,팀공격력!A:A,B273,팀공격력!B:B,D273)+SUMIFS(팀수비력!W:W,팀수비력!A:A,B273,팀수비력!B:B,D273))))*100,"")</f>
        <v>3.9804295546894437</v>
      </c>
      <c r="BK273" s="67">
        <f>IFERROR(((AE273*(12000/5))/((F273*60+G273)*(SUMIFS(팀공격력!X:X,팀공격력!A:A,B273,팀공격력!B:B,D273)+SUMIFS(팀수비력!X:X,팀수비력!A:A,B273,팀수비력!B:B,D273))))*100,"")</f>
        <v>6.3458487572712858</v>
      </c>
      <c r="BL273" s="67">
        <f>IFERROR(100*AK273/(((((F273*60+G273)/(12000/5))*SUMIFS(팀공격력!P:P,팀공격력!A:A,B273,팀공격력!B:B,D273))-K273)),"")</f>
        <v>3.5351303579319486</v>
      </c>
      <c r="BM273" s="67">
        <f>IFERROR(100*((AM273/E273*(2400))/((F273*60+G273)*SUMIFS(팀공격력!AR:AR,팀공격력!A:A,B273,팀공격력!B:B,D273))),"")</f>
        <v>1.2652220056020154</v>
      </c>
      <c r="BN273" s="67">
        <f>IFERROR((AO273*40)/(((F273*60+G273)/60)*(SUMIFS(팀수비력!Q:Q,팀수비력!A:A,B273,팀수비력!B:B,D273)-SUMIFS(팀수비력!N:N,팀수비력!A:A,B273,팀수비력!B:B,D273)))*100,"")</f>
        <v>1.053324555628703</v>
      </c>
      <c r="BO273" s="67">
        <f t="shared" si="191"/>
        <v>34.722222222222221</v>
      </c>
      <c r="BT273" t="s">
        <v>89</v>
      </c>
      <c r="BV273" t="s">
        <v>102</v>
      </c>
      <c r="CF273">
        <v>1</v>
      </c>
      <c r="CG273">
        <v>4</v>
      </c>
    </row>
    <row r="274" spans="1:85" x14ac:dyDescent="0.4">
      <c r="A274" s="11" t="s">
        <v>85</v>
      </c>
      <c r="B274" t="s">
        <v>183</v>
      </c>
      <c r="C274" t="s">
        <v>188</v>
      </c>
      <c r="D274" s="46" t="s">
        <v>306</v>
      </c>
      <c r="E274">
        <v>10</v>
      </c>
      <c r="F274">
        <v>20</v>
      </c>
      <c r="G274" s="1">
        <v>33</v>
      </c>
      <c r="H274" s="16">
        <f t="shared" si="166"/>
        <v>12330</v>
      </c>
      <c r="I274">
        <v>58</v>
      </c>
      <c r="J274" s="17">
        <f t="shared" si="167"/>
        <v>5.8</v>
      </c>
      <c r="K274">
        <v>15</v>
      </c>
      <c r="L274">
        <v>43</v>
      </c>
      <c r="M274" s="17">
        <f t="shared" si="168"/>
        <v>1.5</v>
      </c>
      <c r="N274" s="17">
        <f t="shared" si="169"/>
        <v>4.3</v>
      </c>
      <c r="O274" s="18">
        <f t="shared" si="170"/>
        <v>0.34883720930232559</v>
      </c>
      <c r="P274">
        <v>4</v>
      </c>
      <c r="Q274">
        <v>12</v>
      </c>
      <c r="R274" s="17">
        <f t="shared" si="171"/>
        <v>0.4</v>
      </c>
      <c r="S274" s="17">
        <f t="shared" si="172"/>
        <v>1.2</v>
      </c>
      <c r="T274" s="18">
        <f t="shared" si="173"/>
        <v>0.33333333333333331</v>
      </c>
      <c r="U274">
        <v>11</v>
      </c>
      <c r="V274">
        <v>31</v>
      </c>
      <c r="W274" s="17">
        <f t="shared" si="174"/>
        <v>1.1000000000000001</v>
      </c>
      <c r="X274" s="17">
        <f t="shared" si="175"/>
        <v>3.1</v>
      </c>
      <c r="Y274" s="18">
        <f t="shared" si="176"/>
        <v>0.35483870967741937</v>
      </c>
      <c r="Z274">
        <v>17</v>
      </c>
      <c r="AA274">
        <v>21</v>
      </c>
      <c r="AB274" s="17">
        <f t="shared" si="177"/>
        <v>1.7</v>
      </c>
      <c r="AC274" s="17">
        <f t="shared" si="178"/>
        <v>2.1</v>
      </c>
      <c r="AD274" s="18">
        <f t="shared" si="179"/>
        <v>0.80952380952380953</v>
      </c>
      <c r="AE274">
        <v>27</v>
      </c>
      <c r="AF274" s="17">
        <f t="shared" si="180"/>
        <v>2.7</v>
      </c>
      <c r="AG274">
        <v>2</v>
      </c>
      <c r="AH274" s="17">
        <f t="shared" si="181"/>
        <v>0.2</v>
      </c>
      <c r="AI274">
        <v>25</v>
      </c>
      <c r="AJ274" s="17">
        <f t="shared" si="182"/>
        <v>2.5</v>
      </c>
      <c r="AK274">
        <v>36</v>
      </c>
      <c r="AL274" s="17">
        <f t="shared" si="183"/>
        <v>3.6</v>
      </c>
      <c r="AM274">
        <v>4</v>
      </c>
      <c r="AN274" s="17">
        <f t="shared" si="184"/>
        <v>0.4</v>
      </c>
      <c r="AO274">
        <v>0</v>
      </c>
      <c r="AQ274">
        <v>8</v>
      </c>
      <c r="AR274" s="17">
        <f t="shared" si="185"/>
        <v>0.8</v>
      </c>
      <c r="AS274">
        <v>22</v>
      </c>
      <c r="AT274" s="17">
        <f t="shared" si="186"/>
        <v>2.2000000000000002</v>
      </c>
      <c r="BD274" s="65">
        <f t="shared" si="187"/>
        <v>55.513016845329247</v>
      </c>
      <c r="BE274" s="65">
        <f t="shared" si="188"/>
        <v>47.674418604651166</v>
      </c>
      <c r="BF274" s="66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13.02838605028386</v>
      </c>
      <c r="BG274" s="38">
        <f t="shared" si="189"/>
        <v>0.72093023255813948</v>
      </c>
      <c r="BH274" s="38">
        <f t="shared" si="190"/>
        <v>0.48837209302325579</v>
      </c>
      <c r="BI274" s="67">
        <f>IFERROR(((AG274*(12000/5))/((F274*60+G274)*(SUMIFS(팀공격력!X:X,팀공격력!A:A,B274,팀공격력!B:B,D274)+SUMIFS(팀수비력!X:X,팀수비력!A:A,B274,팀수비력!B:B,D274))))*100,"")</f>
        <v>0.53182295613790165</v>
      </c>
      <c r="BJ274" s="67">
        <f>IFERROR(((AI274*(12000/5))/((F274*60+G274)*(SUMIFS(팀공격력!V:V,팀공격력!A:A,B274,팀공격력!B:B,D274)+SUMIFS(팀수비력!W:W,팀수비력!A:A,B274,팀수비력!B:B,D274))))*100,"")</f>
        <v>12.509460279336249</v>
      </c>
      <c r="BK274" s="67">
        <f>IFERROR(((AE274*(12000/5))/((F274*60+G274)*(SUMIFS(팀공격력!X:X,팀공격력!A:A,B274,팀공격력!B:B,D274)+SUMIFS(팀수비력!X:X,팀수비력!A:A,B274,팀수비력!B:B,D274))))*100,"")</f>
        <v>7.1796099078616731</v>
      </c>
      <c r="BL274" s="67">
        <f>IFERROR(100*AK274/(((((F274*60+G274)/(12000/5))*SUMIFS(팀공격력!P:P,팀공격력!A:A,B274,팀공격력!B:B,D274))-K274)),"")</f>
        <v>26.663704032885231</v>
      </c>
      <c r="BM274" s="67">
        <f>IFERROR(100*((AM274/E274*(2400))/((F274*60+G274)*SUMIFS(팀공격력!AR:AR,팀공격력!A:A,B274,팀공격력!B:B,D274))),"")</f>
        <v>0.95430370252220131</v>
      </c>
      <c r="BN274" s="67">
        <f>IFERROR((AO274*40)/(((F274*60+G274)/60)*(SUMIFS(팀수비력!Q:Q,팀수비력!A:A,B274,팀수비력!B:B,D274)-SUMIFS(팀수비력!N:N,팀수비력!A:A,B274,팀수비력!B:B,D274)))*100,"")</f>
        <v>0</v>
      </c>
      <c r="BO274" s="67">
        <f t="shared" si="191"/>
        <v>13.280212483399733</v>
      </c>
      <c r="BT274" t="s">
        <v>89</v>
      </c>
      <c r="BV274" t="s">
        <v>90</v>
      </c>
      <c r="CF274">
        <v>2</v>
      </c>
      <c r="CG274">
        <v>8</v>
      </c>
    </row>
    <row r="275" spans="1:85" x14ac:dyDescent="0.4">
      <c r="A275" s="11" t="s">
        <v>85</v>
      </c>
      <c r="B275" t="s">
        <v>183</v>
      </c>
      <c r="C275" t="s">
        <v>191</v>
      </c>
      <c r="D275" s="46" t="s">
        <v>306</v>
      </c>
      <c r="E275">
        <v>4</v>
      </c>
      <c r="F275">
        <v>25</v>
      </c>
      <c r="G275" s="1">
        <v>44</v>
      </c>
      <c r="H275" s="16">
        <f t="shared" si="166"/>
        <v>6176</v>
      </c>
      <c r="I275">
        <v>28</v>
      </c>
      <c r="J275" s="17">
        <f t="shared" si="167"/>
        <v>7</v>
      </c>
      <c r="K275">
        <v>8</v>
      </c>
      <c r="L275">
        <v>27</v>
      </c>
      <c r="M275" s="17">
        <f t="shared" si="168"/>
        <v>2</v>
      </c>
      <c r="N275" s="17">
        <f t="shared" si="169"/>
        <v>6.75</v>
      </c>
      <c r="O275" s="18">
        <f t="shared" si="170"/>
        <v>0.29629629629629628</v>
      </c>
      <c r="P275">
        <v>1</v>
      </c>
      <c r="Q275">
        <v>10</v>
      </c>
      <c r="R275" s="17">
        <f t="shared" si="171"/>
        <v>0.25</v>
      </c>
      <c r="S275" s="17">
        <f t="shared" si="172"/>
        <v>2.5</v>
      </c>
      <c r="T275" s="18">
        <f t="shared" si="173"/>
        <v>0.1</v>
      </c>
      <c r="U275">
        <v>7</v>
      </c>
      <c r="V275">
        <v>17</v>
      </c>
      <c r="W275" s="17">
        <f t="shared" si="174"/>
        <v>1.75</v>
      </c>
      <c r="X275" s="17">
        <f t="shared" si="175"/>
        <v>4.25</v>
      </c>
      <c r="Y275" s="18">
        <f t="shared" si="176"/>
        <v>0.41176470588235292</v>
      </c>
      <c r="Z275">
        <v>5</v>
      </c>
      <c r="AA275">
        <v>6</v>
      </c>
      <c r="AB275" s="17">
        <f t="shared" si="177"/>
        <v>1.25</v>
      </c>
      <c r="AC275" s="17">
        <f t="shared" si="178"/>
        <v>1.5</v>
      </c>
      <c r="AD275" s="18">
        <f t="shared" si="179"/>
        <v>0.83333333333333337</v>
      </c>
      <c r="AE275">
        <v>9</v>
      </c>
      <c r="AF275" s="17">
        <f t="shared" si="180"/>
        <v>2.25</v>
      </c>
      <c r="AG275">
        <v>1</v>
      </c>
      <c r="AH275" s="17">
        <f t="shared" si="181"/>
        <v>0.25</v>
      </c>
      <c r="AI275">
        <v>8</v>
      </c>
      <c r="AJ275" s="17">
        <f t="shared" si="182"/>
        <v>2</v>
      </c>
      <c r="AK275">
        <v>10</v>
      </c>
      <c r="AL275" s="17">
        <f t="shared" si="183"/>
        <v>2.5</v>
      </c>
      <c r="AM275">
        <v>0</v>
      </c>
      <c r="AN275" s="17">
        <f t="shared" si="184"/>
        <v>0</v>
      </c>
      <c r="AO275">
        <v>1</v>
      </c>
      <c r="AQ275">
        <v>5</v>
      </c>
      <c r="AR275" s="17">
        <f t="shared" si="185"/>
        <v>1.25</v>
      </c>
      <c r="AS275">
        <v>14</v>
      </c>
      <c r="AT275" s="17">
        <f t="shared" si="186"/>
        <v>3.5</v>
      </c>
      <c r="BD275" s="65">
        <f t="shared" si="187"/>
        <v>47.233468286099864</v>
      </c>
      <c r="BE275" s="65">
        <f t="shared" si="188"/>
        <v>42.592592592592595</v>
      </c>
      <c r="BF275" s="66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5.9827288428324694</v>
      </c>
      <c r="BG275" s="38">
        <f t="shared" si="189"/>
        <v>0.62962962962962965</v>
      </c>
      <c r="BH275" s="38">
        <f t="shared" si="190"/>
        <v>0.22222222222222221</v>
      </c>
      <c r="BI275" s="67">
        <f>IFERROR(((AG275*(12000/5))/((F275*60+G275)*(SUMIFS(팀공격력!X:X,팀공격력!A:A,B275,팀공격력!B:B,D275)+SUMIFS(팀수비력!X:X,팀수비력!A:A,B275,팀수비력!B:B,D275))))*100,"")</f>
        <v>0.21235029304340439</v>
      </c>
      <c r="BJ275" s="67">
        <f>IFERROR(((AI275*(12000/5))/((F275*60+G275)*(SUMIFS(팀공격력!V:V,팀공격력!A:A,B275,팀공격력!B:B,D275)+SUMIFS(팀수비력!W:W,팀수비력!A:A,B275,팀수비력!B:B,D275))))*100,"")</f>
        <v>3.1967180361495533</v>
      </c>
      <c r="BK275" s="67">
        <f>IFERROR(((AE275*(12000/5))/((F275*60+G275)*(SUMIFS(팀공격력!X:X,팀공격력!A:A,B275,팀공격력!B:B,D275)+SUMIFS(팀수비력!X:X,팀수비력!A:A,B275,팀수비력!B:B,D275))))*100,"")</f>
        <v>1.9111526373906396</v>
      </c>
      <c r="BL275" s="67">
        <f>IFERROR(100*AK275/(((((F275*60+G275)/(12000/5))*SUMIFS(팀공격력!P:P,팀공격력!A:A,B275,팀공격력!B:B,D275))-K275)),"")</f>
        <v>5.5600859959967384</v>
      </c>
      <c r="BM275" s="67">
        <f>IFERROR(100*((AM275/E275*(2400))/((F275*60+G275)*SUMIFS(팀공격력!AR:AR,팀공격력!A:A,B275,팀공격력!B:B,D275))),"")</f>
        <v>0</v>
      </c>
      <c r="BN275" s="67">
        <f>IFERROR((AO275*40)/(((F275*60+G275)/60)*(SUMIFS(팀수비력!Q:Q,팀수비력!A:A,B275,팀수비력!B:B,D275)-SUMIFS(팀수비력!N:N,팀수비력!A:A,B275,팀수비력!B:B,D275)))*100,"")</f>
        <v>0.31722533573014694</v>
      </c>
      <c r="BO275" s="67">
        <f t="shared" si="191"/>
        <v>14.434180138568129</v>
      </c>
      <c r="BT275" t="s">
        <v>89</v>
      </c>
      <c r="BV275" t="s">
        <v>93</v>
      </c>
      <c r="CF275">
        <v>2</v>
      </c>
      <c r="CG275">
        <v>2</v>
      </c>
    </row>
    <row r="276" spans="1:85" x14ac:dyDescent="0.4">
      <c r="A276" s="11" t="s">
        <v>85</v>
      </c>
      <c r="B276" t="s">
        <v>183</v>
      </c>
      <c r="C276" t="s">
        <v>192</v>
      </c>
      <c r="D276" s="46" t="s">
        <v>306</v>
      </c>
      <c r="E276">
        <v>10</v>
      </c>
      <c r="F276">
        <v>16</v>
      </c>
      <c r="G276" s="1">
        <v>11</v>
      </c>
      <c r="H276" s="16">
        <f t="shared" si="166"/>
        <v>9710</v>
      </c>
      <c r="I276">
        <v>53</v>
      </c>
      <c r="J276" s="17">
        <f t="shared" si="167"/>
        <v>5.3</v>
      </c>
      <c r="K276">
        <v>20</v>
      </c>
      <c r="L276">
        <v>62</v>
      </c>
      <c r="M276" s="17">
        <f t="shared" si="168"/>
        <v>2</v>
      </c>
      <c r="N276" s="17">
        <f t="shared" si="169"/>
        <v>6.2</v>
      </c>
      <c r="O276" s="18">
        <f t="shared" si="170"/>
        <v>0.32258064516129031</v>
      </c>
      <c r="P276">
        <v>7</v>
      </c>
      <c r="Q276">
        <v>29</v>
      </c>
      <c r="R276" s="17">
        <f t="shared" si="171"/>
        <v>0.7</v>
      </c>
      <c r="S276" s="17">
        <f t="shared" si="172"/>
        <v>2.9</v>
      </c>
      <c r="T276" s="18">
        <f t="shared" si="173"/>
        <v>0.2413793103448276</v>
      </c>
      <c r="U276">
        <v>13</v>
      </c>
      <c r="V276">
        <v>33</v>
      </c>
      <c r="W276" s="17">
        <f t="shared" si="174"/>
        <v>1.3</v>
      </c>
      <c r="X276" s="17">
        <f t="shared" si="175"/>
        <v>3.3</v>
      </c>
      <c r="Y276" s="18">
        <f t="shared" si="176"/>
        <v>0.39393939393939392</v>
      </c>
      <c r="Z276">
        <v>0</v>
      </c>
      <c r="AA276">
        <v>2</v>
      </c>
      <c r="AB276" s="17">
        <f t="shared" si="177"/>
        <v>0</v>
      </c>
      <c r="AC276" s="17">
        <f t="shared" si="178"/>
        <v>0.2</v>
      </c>
      <c r="AD276" s="18">
        <f t="shared" si="179"/>
        <v>0</v>
      </c>
      <c r="AE276">
        <v>16</v>
      </c>
      <c r="AF276" s="17">
        <f t="shared" si="180"/>
        <v>1.6</v>
      </c>
      <c r="AG276">
        <v>5</v>
      </c>
      <c r="AH276" s="17">
        <f t="shared" si="181"/>
        <v>0.5</v>
      </c>
      <c r="AI276">
        <v>11</v>
      </c>
      <c r="AJ276" s="17">
        <f t="shared" si="182"/>
        <v>1.1000000000000001</v>
      </c>
      <c r="AK276">
        <v>17</v>
      </c>
      <c r="AL276" s="17">
        <f t="shared" si="183"/>
        <v>1.7</v>
      </c>
      <c r="AM276">
        <v>5</v>
      </c>
      <c r="AN276" s="17">
        <f t="shared" si="184"/>
        <v>0.5</v>
      </c>
      <c r="AO276">
        <v>1</v>
      </c>
      <c r="AQ276">
        <v>4</v>
      </c>
      <c r="AR276" s="17">
        <f t="shared" si="185"/>
        <v>0.4</v>
      </c>
      <c r="AS276">
        <v>13</v>
      </c>
      <c r="AT276" s="17">
        <f t="shared" si="186"/>
        <v>1.3</v>
      </c>
      <c r="BD276" s="65">
        <f t="shared" si="187"/>
        <v>42.14376590330788</v>
      </c>
      <c r="BE276" s="65">
        <f t="shared" si="188"/>
        <v>42.741935483870968</v>
      </c>
      <c r="BF276" s="66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18.36731891520769</v>
      </c>
      <c r="BG276" s="38">
        <f t="shared" si="189"/>
        <v>0.532258064516129</v>
      </c>
      <c r="BH276" s="38">
        <f t="shared" si="190"/>
        <v>3.2258064516129031E-2</v>
      </c>
      <c r="BI276" s="67">
        <f>IFERROR(((AG276*(12000/5))/((F276*60+G276)*(SUMIFS(팀공격력!X:X,팀공격력!A:A,B276,팀공격력!B:B,D276)+SUMIFS(팀수비력!X:X,팀수비력!A:A,B276,팀수비력!B:B,D276))))*100,"")</f>
        <v>1.6883051104995697</v>
      </c>
      <c r="BJ276" s="67">
        <f>IFERROR(((AI276*(12000/5))/((F276*60+G276)*(SUMIFS(팀공격력!V:V,팀공격력!A:A,B276,팀공격력!B:B,D276)+SUMIFS(팀수비력!W:W,팀수비력!A:A,B276,팀수비력!B:B,D276))))*100,"")</f>
        <v>6.9893227505103006</v>
      </c>
      <c r="BK276" s="67">
        <f>IFERROR(((AE276*(12000/5))/((F276*60+G276)*(SUMIFS(팀공격력!X:X,팀공격력!A:A,B276,팀공격력!B:B,D276)+SUMIFS(팀수비력!X:X,팀수비력!A:A,B276,팀수비력!B:B,D276))))*100,"")</f>
        <v>5.4025763535986222</v>
      </c>
      <c r="BL276" s="67">
        <f>IFERROR(100*AK276/(((((F276*60+G276)/(12000/5))*SUMIFS(팀공격력!P:P,팀공격력!A:A,B276,팀공격력!B:B,D276))-K276)),"")</f>
        <v>17.322486965677701</v>
      </c>
      <c r="BM276" s="67">
        <f>IFERROR(100*((AM276/E276*(2400))/((F276*60+G276)*SUMIFS(팀공격력!AR:AR,팀공격력!A:A,B276,팀공격력!B:B,D276))),"")</f>
        <v>1.5147482816810947</v>
      </c>
      <c r="BN276" s="67">
        <f>IFERROR((AO276*40)/(((F276*60+G276)/60)*(SUMIFS(팀수비력!Q:Q,팀수비력!A:A,B276,팀수비력!B:B,D276)-SUMIFS(팀수비력!N:N,팀수비력!A:A,B276,팀수비력!B:B,D276)))*100,"")</f>
        <v>0.50442422076966731</v>
      </c>
      <c r="BO276" s="67">
        <f t="shared" si="191"/>
        <v>5.9808612440191391</v>
      </c>
      <c r="BT276" t="s">
        <v>113</v>
      </c>
      <c r="BV276" t="s">
        <v>90</v>
      </c>
      <c r="CF276">
        <v>2</v>
      </c>
      <c r="CG276">
        <v>8</v>
      </c>
    </row>
    <row r="277" spans="1:85" x14ac:dyDescent="0.4">
      <c r="A277" s="11" t="s">
        <v>85</v>
      </c>
      <c r="B277" t="s">
        <v>183</v>
      </c>
      <c r="C277" t="s">
        <v>193</v>
      </c>
      <c r="D277" s="46" t="s">
        <v>306</v>
      </c>
      <c r="E277">
        <v>8</v>
      </c>
      <c r="F277">
        <v>10</v>
      </c>
      <c r="G277" s="1">
        <v>28</v>
      </c>
      <c r="H277" s="16">
        <f t="shared" si="166"/>
        <v>5024</v>
      </c>
      <c r="I277">
        <v>14</v>
      </c>
      <c r="J277" s="17">
        <f t="shared" si="167"/>
        <v>1.75</v>
      </c>
      <c r="K277">
        <v>5</v>
      </c>
      <c r="L277">
        <v>20</v>
      </c>
      <c r="M277" s="17">
        <f t="shared" si="168"/>
        <v>0.625</v>
      </c>
      <c r="N277" s="17">
        <f t="shared" si="169"/>
        <v>2.5</v>
      </c>
      <c r="O277" s="18">
        <f t="shared" si="170"/>
        <v>0.25</v>
      </c>
      <c r="P277">
        <v>1</v>
      </c>
      <c r="Q277">
        <v>5</v>
      </c>
      <c r="R277" s="17">
        <f t="shared" si="171"/>
        <v>0.125</v>
      </c>
      <c r="S277" s="17">
        <f t="shared" si="172"/>
        <v>0.625</v>
      </c>
      <c r="T277" s="18">
        <f t="shared" si="173"/>
        <v>0.2</v>
      </c>
      <c r="U277">
        <v>4</v>
      </c>
      <c r="V277">
        <v>15</v>
      </c>
      <c r="W277" s="17">
        <f t="shared" si="174"/>
        <v>0.5</v>
      </c>
      <c r="X277" s="17">
        <f t="shared" si="175"/>
        <v>1.875</v>
      </c>
      <c r="Y277" s="18">
        <f t="shared" si="176"/>
        <v>0.26666666666666666</v>
      </c>
      <c r="Z277">
        <v>0</v>
      </c>
      <c r="AA277">
        <v>0</v>
      </c>
      <c r="AB277" s="17">
        <f t="shared" si="177"/>
        <v>0</v>
      </c>
      <c r="AC277" s="17">
        <f t="shared" si="178"/>
        <v>0</v>
      </c>
      <c r="AD277" s="18" t="e">
        <f t="shared" si="179"/>
        <v>#DIV/0!</v>
      </c>
      <c r="AE277">
        <v>16</v>
      </c>
      <c r="AF277" s="17">
        <f t="shared" si="180"/>
        <v>2</v>
      </c>
      <c r="AG277">
        <v>4</v>
      </c>
      <c r="AH277" s="17">
        <f t="shared" si="181"/>
        <v>0.5</v>
      </c>
      <c r="AI277">
        <v>12</v>
      </c>
      <c r="AJ277" s="17">
        <f t="shared" si="182"/>
        <v>1.5</v>
      </c>
      <c r="AK277">
        <v>7</v>
      </c>
      <c r="AL277" s="17">
        <f t="shared" si="183"/>
        <v>0.875</v>
      </c>
      <c r="AM277">
        <v>6</v>
      </c>
      <c r="AN277" s="17">
        <f t="shared" si="184"/>
        <v>0.75</v>
      </c>
      <c r="AO277">
        <v>0</v>
      </c>
      <c r="AQ277">
        <v>2</v>
      </c>
      <c r="AR277" s="17">
        <f t="shared" si="185"/>
        <v>0.25</v>
      </c>
      <c r="AS277">
        <v>12</v>
      </c>
      <c r="AT277" s="17">
        <f t="shared" si="186"/>
        <v>1.5</v>
      </c>
      <c r="BD277" s="65">
        <f t="shared" si="187"/>
        <v>35</v>
      </c>
      <c r="BE277" s="65">
        <f t="shared" si="188"/>
        <v>35</v>
      </c>
      <c r="BF277" s="66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9.3418259023354562</v>
      </c>
      <c r="BG277" s="38">
        <f t="shared" si="189"/>
        <v>0.75</v>
      </c>
      <c r="BH277" s="38">
        <f t="shared" si="190"/>
        <v>0</v>
      </c>
      <c r="BI277" s="67">
        <f>IFERROR(((AG277*(12000/5))/((F277*60+G277)*(SUMIFS(팀공격력!X:X,팀공격력!A:A,B277,팀공격력!B:B,D277)+SUMIFS(팀수비력!X:X,팀수비력!A:A,B277,팀수비력!B:B,D277))))*100,"")</f>
        <v>2.0883366398663465</v>
      </c>
      <c r="BJ277" s="67">
        <f>IFERROR(((AI277*(12000/5))/((F277*60+G277)*(SUMIFS(팀공격력!V:V,팀공격력!A:A,B277,팀공격력!B:B,D277)+SUMIFS(팀수비력!W:W,팀수비력!A:A,B277,팀수비력!B:B,D277))))*100,"")</f>
        <v>11.789170337137524</v>
      </c>
      <c r="BK277" s="67">
        <f>IFERROR(((AE277*(12000/5))/((F277*60+G277)*(SUMIFS(팀공격력!X:X,팀공격력!A:A,B277,팀공격력!B:B,D277)+SUMIFS(팀수비력!X:X,팀수비력!A:A,B277,팀수비력!B:B,D277))))*100,"")</f>
        <v>8.3533465594653862</v>
      </c>
      <c r="BL277" s="67">
        <f>IFERROR(100*AK277/(((((F277*60+G277)/(12000/5))*SUMIFS(팀공격력!P:P,팀공격력!A:A,B277,팀공격력!B:B,D277))-K277)),"")</f>
        <v>9.80300625525161</v>
      </c>
      <c r="BM277" s="67">
        <f>IFERROR(100*((AM277/E277*(2400))/((F277*60+G277)*SUMIFS(팀공격력!AR:AR,팀공격력!A:A,B277,팀공격력!B:B,D277))),"")</f>
        <v>3.5131064845040028</v>
      </c>
      <c r="BN277" s="67">
        <f>IFERROR((AO277*40)/(((F277*60+G277)/60)*(SUMIFS(팀수비력!Q:Q,팀수비력!A:A,B277,팀수비력!B:B,D277)-SUMIFS(팀수비력!N:N,팀수비력!A:A,B277,팀수비력!B:B,D277)))*100,"")</f>
        <v>0</v>
      </c>
      <c r="BO277" s="67">
        <f t="shared" si="191"/>
        <v>9.0909090909090917</v>
      </c>
      <c r="BT277" t="s">
        <v>89</v>
      </c>
      <c r="BV277" t="s">
        <v>93</v>
      </c>
      <c r="CF277">
        <v>2</v>
      </c>
      <c r="CG277">
        <v>6</v>
      </c>
    </row>
    <row r="278" spans="1:85" x14ac:dyDescent="0.4">
      <c r="A278" s="11" t="s">
        <v>85</v>
      </c>
      <c r="B278" t="s">
        <v>183</v>
      </c>
      <c r="C278" t="s">
        <v>194</v>
      </c>
      <c r="D278" s="46" t="s">
        <v>306</v>
      </c>
      <c r="E278">
        <v>10</v>
      </c>
      <c r="F278">
        <v>21</v>
      </c>
      <c r="G278" s="1">
        <v>3</v>
      </c>
      <c r="H278" s="16">
        <f t="shared" si="166"/>
        <v>12630</v>
      </c>
      <c r="I278">
        <v>24</v>
      </c>
      <c r="J278" s="17">
        <f t="shared" si="167"/>
        <v>2.4</v>
      </c>
      <c r="K278">
        <v>9</v>
      </c>
      <c r="L278">
        <v>41</v>
      </c>
      <c r="M278" s="17">
        <f t="shared" si="168"/>
        <v>0.9</v>
      </c>
      <c r="N278" s="17">
        <f t="shared" si="169"/>
        <v>4.0999999999999996</v>
      </c>
      <c r="O278" s="18">
        <f t="shared" si="170"/>
        <v>0.21951219512195122</v>
      </c>
      <c r="P278">
        <v>6</v>
      </c>
      <c r="Q278">
        <v>20</v>
      </c>
      <c r="R278" s="17">
        <f t="shared" si="171"/>
        <v>0.6</v>
      </c>
      <c r="S278" s="17">
        <f t="shared" si="172"/>
        <v>2</v>
      </c>
      <c r="T278" s="18">
        <f t="shared" si="173"/>
        <v>0.3</v>
      </c>
      <c r="U278">
        <v>3</v>
      </c>
      <c r="V278">
        <v>21</v>
      </c>
      <c r="W278" s="17">
        <f t="shared" si="174"/>
        <v>0.3</v>
      </c>
      <c r="X278" s="17">
        <f t="shared" si="175"/>
        <v>2.1</v>
      </c>
      <c r="Y278" s="18">
        <f t="shared" si="176"/>
        <v>0.14285714285714285</v>
      </c>
      <c r="Z278">
        <v>3</v>
      </c>
      <c r="AA278">
        <v>8</v>
      </c>
      <c r="AB278" s="17">
        <f t="shared" si="177"/>
        <v>0.3</v>
      </c>
      <c r="AC278" s="17">
        <f t="shared" si="178"/>
        <v>0.8</v>
      </c>
      <c r="AD278" s="18">
        <f t="shared" si="179"/>
        <v>0.375</v>
      </c>
      <c r="AE278">
        <v>26</v>
      </c>
      <c r="AF278" s="17">
        <f t="shared" si="180"/>
        <v>2.6</v>
      </c>
      <c r="AG278">
        <v>7</v>
      </c>
      <c r="AH278" s="17">
        <f t="shared" si="181"/>
        <v>0.7</v>
      </c>
      <c r="AI278">
        <v>19</v>
      </c>
      <c r="AJ278" s="17">
        <f t="shared" si="182"/>
        <v>1.9</v>
      </c>
      <c r="AK278">
        <v>12</v>
      </c>
      <c r="AL278" s="17">
        <f t="shared" si="183"/>
        <v>1.2</v>
      </c>
      <c r="AM278">
        <v>3</v>
      </c>
      <c r="AN278" s="17">
        <f t="shared" si="184"/>
        <v>0.3</v>
      </c>
      <c r="AO278">
        <v>0</v>
      </c>
      <c r="AQ278">
        <v>8</v>
      </c>
      <c r="AR278" s="17">
        <f t="shared" si="185"/>
        <v>0.8</v>
      </c>
      <c r="AS278">
        <v>22</v>
      </c>
      <c r="AT278" s="17">
        <f t="shared" si="186"/>
        <v>2.2000000000000002</v>
      </c>
      <c r="BD278" s="65">
        <f t="shared" si="187"/>
        <v>26.954177897574123</v>
      </c>
      <c r="BE278" s="65">
        <f t="shared" si="188"/>
        <v>25.609756097560975</v>
      </c>
      <c r="BF278" s="66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11.088941673264715</v>
      </c>
      <c r="BG278" s="38">
        <f t="shared" si="189"/>
        <v>0.51219512195121952</v>
      </c>
      <c r="BH278" s="38">
        <f t="shared" si="190"/>
        <v>0.1951219512195122</v>
      </c>
      <c r="BI278" s="67">
        <f>IFERROR(((AG278*(12000/5))/((F278*60+G278)*(SUMIFS(팀공격력!X:X,팀공격력!A:A,B278,팀공격력!B:B,D278)+SUMIFS(팀수비력!X:X,팀수비력!A:A,B278,팀수비력!B:B,D278))))*100,"")</f>
        <v>1.8171670365899562</v>
      </c>
      <c r="BJ278" s="67">
        <f>IFERROR(((AI278*(12000/5))/((F278*60+G278)*(SUMIFS(팀공격력!V:V,팀공격력!A:A,B278,팀공격력!B:B,D278)+SUMIFS(팀수비력!W:W,팀수비력!A:A,B278,팀수비력!B:B,D278))))*100,"")</f>
        <v>9.2813658262552732</v>
      </c>
      <c r="BK278" s="67">
        <f>IFERROR(((AE278*(12000/5))/((F278*60+G278)*(SUMIFS(팀공격력!X:X,팀공격력!A:A,B278,팀공격력!B:B,D278)+SUMIFS(팀수비력!X:X,팀수비력!A:A,B278,팀수비력!B:B,D278))))*100,"")</f>
        <v>6.7494775644769796</v>
      </c>
      <c r="BL278" s="67">
        <f>IFERROR(100*AK278/(((((F278*60+G278)/(12000/5))*SUMIFS(팀공격력!P:P,팀공격력!A:A,B278,팀공격력!B:B,D278))-K278)),"")</f>
        <v>8.2950264403967786</v>
      </c>
      <c r="BM278" s="67">
        <f>IFERROR(100*((AM278/E278*(2400))/((F278*60+G278)*SUMIFS(팀공격력!AR:AR,팀공격력!A:A,B278,팀공격력!B:B,D278))),"")</f>
        <v>0.69872711710800128</v>
      </c>
      <c r="BN278" s="67">
        <f>IFERROR((AO278*40)/(((F278*60+G278)/60)*(SUMIFS(팀수비력!Q:Q,팀수비력!A:A,B278,팀수비력!B:B,D278)-SUMIFS(팀수비력!N:N,팀수비력!A:A,B278,팀수비력!B:B,D278)))*100,"")</f>
        <v>0</v>
      </c>
      <c r="BO278" s="67">
        <f t="shared" si="191"/>
        <v>15.232292460015231</v>
      </c>
      <c r="BT278" t="s">
        <v>89</v>
      </c>
      <c r="BV278" t="s">
        <v>90</v>
      </c>
      <c r="CF278">
        <v>2</v>
      </c>
      <c r="CG278">
        <v>8</v>
      </c>
    </row>
    <row r="279" spans="1:85" x14ac:dyDescent="0.4">
      <c r="A279" s="11" t="s">
        <v>85</v>
      </c>
      <c r="B279" t="s">
        <v>183</v>
      </c>
      <c r="C279" t="s">
        <v>195</v>
      </c>
      <c r="D279" s="46" t="s">
        <v>306</v>
      </c>
      <c r="E279">
        <v>10</v>
      </c>
      <c r="F279">
        <v>12</v>
      </c>
      <c r="G279" s="1">
        <v>23</v>
      </c>
      <c r="H279" s="16">
        <f t="shared" si="166"/>
        <v>7430</v>
      </c>
      <c r="I279">
        <v>87</v>
      </c>
      <c r="J279" s="17">
        <f t="shared" si="167"/>
        <v>8.6999999999999993</v>
      </c>
      <c r="K279">
        <v>39</v>
      </c>
      <c r="L279">
        <v>63</v>
      </c>
      <c r="M279" s="17">
        <f t="shared" si="168"/>
        <v>3.9</v>
      </c>
      <c r="N279" s="17">
        <f t="shared" si="169"/>
        <v>6.3</v>
      </c>
      <c r="O279" s="18">
        <f t="shared" si="170"/>
        <v>0.61904761904761907</v>
      </c>
      <c r="P279">
        <v>39</v>
      </c>
      <c r="Q279">
        <v>54</v>
      </c>
      <c r="R279" s="17">
        <f t="shared" si="171"/>
        <v>3.9</v>
      </c>
      <c r="S279" s="17">
        <f t="shared" si="172"/>
        <v>5.4</v>
      </c>
      <c r="T279" s="18">
        <f t="shared" si="173"/>
        <v>0.72222222222222221</v>
      </c>
      <c r="U279">
        <v>0</v>
      </c>
      <c r="V279">
        <v>9</v>
      </c>
      <c r="W279" s="17">
        <f t="shared" si="174"/>
        <v>0</v>
      </c>
      <c r="X279" s="17">
        <f t="shared" si="175"/>
        <v>0.9</v>
      </c>
      <c r="Y279" s="18">
        <f t="shared" si="176"/>
        <v>0</v>
      </c>
      <c r="Z279">
        <v>9</v>
      </c>
      <c r="AA279">
        <v>16</v>
      </c>
      <c r="AB279" s="17">
        <f t="shared" si="177"/>
        <v>0.9</v>
      </c>
      <c r="AC279" s="17">
        <f t="shared" si="178"/>
        <v>1.6</v>
      </c>
      <c r="AD279" s="18">
        <f t="shared" si="179"/>
        <v>0.5625</v>
      </c>
      <c r="AE279">
        <v>42</v>
      </c>
      <c r="AF279" s="17">
        <f t="shared" si="180"/>
        <v>4.2</v>
      </c>
      <c r="AG279">
        <v>13</v>
      </c>
      <c r="AH279" s="17">
        <f t="shared" si="181"/>
        <v>1.3</v>
      </c>
      <c r="AI279">
        <v>29</v>
      </c>
      <c r="AJ279" s="17">
        <f t="shared" si="182"/>
        <v>2.9</v>
      </c>
      <c r="AK279">
        <v>4</v>
      </c>
      <c r="AL279" s="17">
        <f t="shared" si="183"/>
        <v>0.4</v>
      </c>
      <c r="AM279">
        <v>5</v>
      </c>
      <c r="AN279" s="17">
        <f t="shared" si="184"/>
        <v>0.5</v>
      </c>
      <c r="AO279">
        <v>2</v>
      </c>
      <c r="AQ279">
        <v>7</v>
      </c>
      <c r="AR279" s="17">
        <f t="shared" si="185"/>
        <v>0.7</v>
      </c>
      <c r="AS279">
        <v>7</v>
      </c>
      <c r="AT279" s="17">
        <f t="shared" si="186"/>
        <v>0.7</v>
      </c>
      <c r="BD279" s="65">
        <f t="shared" si="187"/>
        <v>62.107367218732143</v>
      </c>
      <c r="BE279" s="65">
        <f t="shared" si="188"/>
        <v>61.904761904761905</v>
      </c>
      <c r="BF279" s="66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27.650067294751015</v>
      </c>
      <c r="BG279" s="38">
        <f t="shared" si="189"/>
        <v>0.14285714285714285</v>
      </c>
      <c r="BH279" s="38">
        <f t="shared" si="190"/>
        <v>0.25396825396825395</v>
      </c>
      <c r="BI279" s="67">
        <f>IFERROR(((AG279*(12000/5))/((F279*60+G279)*(SUMIFS(팀공격력!X:X,팀공격력!A:A,B279,팀공격력!B:B,D279)+SUMIFS(팀수비력!X:X,팀수비력!A:A,B279,팀수비력!B:B,D279))))*100,"")</f>
        <v>5.7366017253932879</v>
      </c>
      <c r="BJ279" s="67">
        <f>IFERROR(((AI279*(12000/5))/((F279*60+G279)*(SUMIFS(팀공격력!V:V,팀공격력!A:A,B279,팀공격력!B:B,D279)+SUMIFS(팀수비력!W:W,팀수비력!A:A,B279,팀수비력!B:B,D279))))*100,"")</f>
        <v>24.080795219823752</v>
      </c>
      <c r="BK279" s="67">
        <f>IFERROR(((AE279*(12000/5))/((F279*60+G279)*(SUMIFS(팀공격력!X:X,팀공격력!A:A,B279,팀공격력!B:B,D279)+SUMIFS(팀수비력!X:X,팀수비력!A:A,B279,팀수비력!B:B,D279))))*100,"")</f>
        <v>18.533636343578316</v>
      </c>
      <c r="BL279" s="67">
        <f>IFERROR(100*AK279/(((((F279*60+G279)/(12000/5))*SUMIFS(팀공격력!P:P,팀공격력!A:A,B279,팀공격력!B:B,D279))-K279)),"")</f>
        <v>7.7823535134083475</v>
      </c>
      <c r="BM279" s="67">
        <f>IFERROR(100*((AM279/E279*(2400))/((F279*60+G279)*SUMIFS(팀공격력!AR:AR,팀공격력!A:A,B279,팀공격력!B:B,D279))),"")</f>
        <v>1.979570096248106</v>
      </c>
      <c r="BN279" s="67">
        <f>IFERROR((AO279*40)/(((F279*60+G279)/60)*(SUMIFS(팀수비력!Q:Q,팀수비력!A:A,B279,팀수비력!B:B,D279)-SUMIFS(팀수비력!N:N,팀수비력!A:A,B279,팀수비력!B:B,D279)))*100,"")</f>
        <v>1.3184277748784576</v>
      </c>
      <c r="BO279" s="67">
        <f t="shared" si="191"/>
        <v>9.0861889927310475</v>
      </c>
      <c r="BT279" t="s">
        <v>96</v>
      </c>
      <c r="BV279" t="s">
        <v>93</v>
      </c>
      <c r="CF279">
        <v>2</v>
      </c>
      <c r="CG279">
        <v>8</v>
      </c>
    </row>
    <row r="280" spans="1:85" x14ac:dyDescent="0.4">
      <c r="A280" s="11" t="s">
        <v>85</v>
      </c>
      <c r="B280" t="s">
        <v>183</v>
      </c>
      <c r="C280" t="s">
        <v>196</v>
      </c>
      <c r="D280" s="46" t="s">
        <v>306</v>
      </c>
      <c r="E280">
        <v>10</v>
      </c>
      <c r="F280">
        <v>26</v>
      </c>
      <c r="G280" s="1">
        <v>56</v>
      </c>
      <c r="H280" s="16">
        <f t="shared" si="166"/>
        <v>16160</v>
      </c>
      <c r="I280">
        <v>79</v>
      </c>
      <c r="J280" s="17">
        <f t="shared" si="167"/>
        <v>7.9</v>
      </c>
      <c r="K280">
        <v>32</v>
      </c>
      <c r="L280">
        <v>80</v>
      </c>
      <c r="M280" s="17">
        <f t="shared" si="168"/>
        <v>3.2</v>
      </c>
      <c r="N280" s="17">
        <f t="shared" si="169"/>
        <v>8</v>
      </c>
      <c r="O280" s="18">
        <f t="shared" si="170"/>
        <v>0.4</v>
      </c>
      <c r="P280">
        <v>28</v>
      </c>
      <c r="Q280">
        <v>70</v>
      </c>
      <c r="R280" s="17">
        <f t="shared" si="171"/>
        <v>2.8</v>
      </c>
      <c r="S280" s="17">
        <f t="shared" si="172"/>
        <v>7</v>
      </c>
      <c r="T280" s="18">
        <f t="shared" si="173"/>
        <v>0.4</v>
      </c>
      <c r="U280">
        <v>4</v>
      </c>
      <c r="V280">
        <v>10</v>
      </c>
      <c r="W280" s="17">
        <f t="shared" si="174"/>
        <v>0.4</v>
      </c>
      <c r="X280" s="17">
        <f t="shared" si="175"/>
        <v>1</v>
      </c>
      <c r="Y280" s="18">
        <f t="shared" si="176"/>
        <v>0.4</v>
      </c>
      <c r="Z280">
        <v>11</v>
      </c>
      <c r="AA280">
        <v>26</v>
      </c>
      <c r="AB280" s="17">
        <f t="shared" si="177"/>
        <v>1.1000000000000001</v>
      </c>
      <c r="AC280" s="17">
        <f t="shared" si="178"/>
        <v>2.6</v>
      </c>
      <c r="AD280" s="18">
        <f t="shared" si="179"/>
        <v>0.42307692307692307</v>
      </c>
      <c r="AE280">
        <v>61</v>
      </c>
      <c r="AF280" s="17">
        <f t="shared" si="180"/>
        <v>6.1</v>
      </c>
      <c r="AG280">
        <v>22</v>
      </c>
      <c r="AH280" s="17">
        <f t="shared" si="181"/>
        <v>2.2000000000000002</v>
      </c>
      <c r="AI280">
        <v>39</v>
      </c>
      <c r="AJ280" s="17">
        <f t="shared" si="182"/>
        <v>3.9</v>
      </c>
      <c r="AK280">
        <v>10</v>
      </c>
      <c r="AL280" s="17">
        <f t="shared" si="183"/>
        <v>1</v>
      </c>
      <c r="AM280">
        <v>5</v>
      </c>
      <c r="AN280" s="17">
        <f t="shared" si="184"/>
        <v>0.5</v>
      </c>
      <c r="AO280">
        <v>12</v>
      </c>
      <c r="AQ280">
        <v>16</v>
      </c>
      <c r="AR280" s="17">
        <f t="shared" si="185"/>
        <v>1.6</v>
      </c>
      <c r="AS280">
        <v>23</v>
      </c>
      <c r="AT280" s="17">
        <f t="shared" si="186"/>
        <v>2.2999999999999998</v>
      </c>
      <c r="BD280" s="65">
        <f t="shared" si="187"/>
        <v>43.197725284339462</v>
      </c>
      <c r="BE280" s="65">
        <f t="shared" si="188"/>
        <v>42.5</v>
      </c>
      <c r="BF280" s="66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17.729372937293729</v>
      </c>
      <c r="BG280" s="38">
        <f t="shared" si="189"/>
        <v>0.125</v>
      </c>
      <c r="BH280" s="38">
        <f t="shared" si="190"/>
        <v>0.32500000000000001</v>
      </c>
      <c r="BI280" s="67">
        <f>IFERROR(((AG280*(12000/5))/((F280*60+G280)*(SUMIFS(팀공격력!X:X,팀공격력!A:A,B280,팀공격력!B:B,D280)+SUMIFS(팀수비력!X:X,팀수비력!A:A,B280,팀수비력!B:B,D280))))*100,"")</f>
        <v>4.4635611102093815</v>
      </c>
      <c r="BJ280" s="67">
        <f>IFERROR(((AI280*(12000/5))/((F280*60+G280)*(SUMIFS(팀공격력!V:V,팀공격력!A:A,B280,팀공격력!B:B,D280)+SUMIFS(팀수비력!W:W,팀수비력!A:A,B280,팀수비력!B:B,D280))))*100,"")</f>
        <v>14.8896637735753</v>
      </c>
      <c r="BK280" s="67">
        <f>IFERROR(((AE280*(12000/5))/((F280*60+G280)*(SUMIFS(팀공격력!X:X,팀공격력!A:A,B280,팀공격력!B:B,D280)+SUMIFS(팀수비력!X:X,팀수비력!A:A,B280,팀수비력!B:B,D280))))*100,"")</f>
        <v>12.376237623762377</v>
      </c>
      <c r="BL280" s="67">
        <f>IFERROR(100*AK280/(((((F280*60+G280)/(12000/5))*SUMIFS(팀공격력!P:P,팀공격력!A:A,B280,팀공격력!B:B,D280))-K280)),"")</f>
        <v>6.0748420541065933</v>
      </c>
      <c r="BM280" s="67">
        <f>IFERROR(100*((AM280/E280*(2400))/((F280*60+G280)*SUMIFS(팀공격력!AR:AR,팀공격력!A:A,B280,팀공격력!B:B,D280))),"")</f>
        <v>0.91016125093585554</v>
      </c>
      <c r="BN280" s="67">
        <f>IFERROR((AO280*40)/(((F280*60+G280)/60)*(SUMIFS(팀수비력!Q:Q,팀수비력!A:A,B280,팀수비력!B:B,D280)-SUMIFS(팀수비력!N:N,팀수비력!A:A,B280,팀수비력!B:B,D280)))*100,"")</f>
        <v>3.6370984037179226</v>
      </c>
      <c r="BO280" s="67">
        <f t="shared" si="191"/>
        <v>14.892032762472077</v>
      </c>
      <c r="BT280" t="s">
        <v>89</v>
      </c>
      <c r="BV280" t="s">
        <v>102</v>
      </c>
      <c r="CF280">
        <v>2</v>
      </c>
      <c r="CG280">
        <v>8</v>
      </c>
    </row>
    <row r="281" spans="1:85" x14ac:dyDescent="0.4">
      <c r="A281" s="11" t="s">
        <v>85</v>
      </c>
      <c r="B281" t="s">
        <v>183</v>
      </c>
      <c r="C281" t="s">
        <v>197</v>
      </c>
      <c r="D281" s="46" t="s">
        <v>306</v>
      </c>
      <c r="E281">
        <v>10</v>
      </c>
      <c r="F281">
        <v>21</v>
      </c>
      <c r="G281" s="1">
        <v>33</v>
      </c>
      <c r="H281" s="16">
        <f t="shared" si="166"/>
        <v>12930</v>
      </c>
      <c r="I281">
        <v>98</v>
      </c>
      <c r="J281" s="17">
        <f t="shared" si="167"/>
        <v>9.8000000000000007</v>
      </c>
      <c r="K281">
        <v>30</v>
      </c>
      <c r="L281">
        <v>87</v>
      </c>
      <c r="M281" s="17">
        <f t="shared" si="168"/>
        <v>3</v>
      </c>
      <c r="N281" s="17">
        <f t="shared" si="169"/>
        <v>8.6999999999999993</v>
      </c>
      <c r="O281" s="18">
        <f t="shared" si="170"/>
        <v>0.34482758620689657</v>
      </c>
      <c r="P281">
        <v>13</v>
      </c>
      <c r="Q281">
        <v>32</v>
      </c>
      <c r="R281" s="17">
        <f t="shared" si="171"/>
        <v>1.3</v>
      </c>
      <c r="S281" s="17">
        <f t="shared" si="172"/>
        <v>3.2</v>
      </c>
      <c r="T281" s="18">
        <f t="shared" si="173"/>
        <v>0.40625</v>
      </c>
      <c r="U281">
        <v>17</v>
      </c>
      <c r="V281">
        <v>55</v>
      </c>
      <c r="W281" s="17">
        <f t="shared" si="174"/>
        <v>1.7</v>
      </c>
      <c r="X281" s="17">
        <f t="shared" si="175"/>
        <v>5.5</v>
      </c>
      <c r="Y281" s="18">
        <f t="shared" si="176"/>
        <v>0.30909090909090908</v>
      </c>
      <c r="Z281">
        <v>21</v>
      </c>
      <c r="AA281">
        <v>25</v>
      </c>
      <c r="AB281" s="17">
        <f t="shared" si="177"/>
        <v>2.1</v>
      </c>
      <c r="AC281" s="17">
        <f t="shared" si="178"/>
        <v>2.5</v>
      </c>
      <c r="AD281" s="18">
        <f t="shared" si="179"/>
        <v>0.84</v>
      </c>
      <c r="AE281">
        <v>21</v>
      </c>
      <c r="AF281" s="17">
        <f t="shared" si="180"/>
        <v>2.1</v>
      </c>
      <c r="AG281">
        <v>0</v>
      </c>
      <c r="AH281" s="17">
        <f t="shared" si="181"/>
        <v>0</v>
      </c>
      <c r="AI281">
        <v>21</v>
      </c>
      <c r="AJ281" s="17">
        <f t="shared" si="182"/>
        <v>2.1</v>
      </c>
      <c r="AK281">
        <v>37</v>
      </c>
      <c r="AL281" s="17">
        <f t="shared" si="183"/>
        <v>3.7</v>
      </c>
      <c r="AM281">
        <v>3</v>
      </c>
      <c r="AN281" s="17">
        <f t="shared" si="184"/>
        <v>0.3</v>
      </c>
      <c r="AO281">
        <v>0</v>
      </c>
      <c r="AQ281">
        <v>14</v>
      </c>
      <c r="AR281" s="17">
        <f t="shared" si="185"/>
        <v>1.4</v>
      </c>
      <c r="AS281">
        <v>23</v>
      </c>
      <c r="AT281" s="17">
        <f t="shared" si="186"/>
        <v>2.2999999999999998</v>
      </c>
      <c r="BD281" s="65">
        <f t="shared" si="187"/>
        <v>50</v>
      </c>
      <c r="BE281" s="65">
        <f t="shared" si="188"/>
        <v>44.252873563218394</v>
      </c>
      <c r="BF281" s="66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23.098736787831914</v>
      </c>
      <c r="BG281" s="38">
        <f t="shared" si="189"/>
        <v>0.63218390804597702</v>
      </c>
      <c r="BH281" s="38">
        <f t="shared" si="190"/>
        <v>0.28735632183908044</v>
      </c>
      <c r="BI281" s="67">
        <f>IFERROR(((AG281*(12000/5))/((F281*60+G281)*(SUMIFS(팀공격력!X:X,팀공격력!A:A,B281,팀공격력!B:B,D281)+SUMIFS(팀수비력!X:X,팀수비력!A:A,B281,팀수비력!B:B,D281))))*100,"")</f>
        <v>0</v>
      </c>
      <c r="BJ281" s="67">
        <f>IFERROR(((AI281*(12000/5))/((F281*60+G281)*(SUMIFS(팀공격력!V:V,팀공격력!A:A,B281,팀공격력!B:B,D281)+SUMIFS(팀수비력!W:W,팀수비력!A:A,B281,팀수비력!B:B,D281))))*100,"")</f>
        <v>10.020338902176441</v>
      </c>
      <c r="BK281" s="67">
        <f>IFERROR(((AE281*(12000/5))/((F281*60+G281)*(SUMIFS(팀공격력!X:X,팀공격력!A:A,B281,팀공격력!B:B,D281)+SUMIFS(팀수비력!X:X,팀수비력!A:A,B281,팀수비력!B:B,D281))))*100,"")</f>
        <v>5.3250161652276446</v>
      </c>
      <c r="BL281" s="67">
        <f>IFERROR(100*AK281/(((((F281*60+G281)/(12000/5))*SUMIFS(팀공격력!P:P,팀공격력!A:A,B281,팀공격력!B:B,D281))-K281)),"")</f>
        <v>29.061775910144132</v>
      </c>
      <c r="BM281" s="67">
        <f>IFERROR(100*((AM281/E281*(2400))/((F281*60+G281)*SUMIFS(팀공격력!AR:AR,팀공격력!A:A,B281,팀공격력!B:B,D281))),"")</f>
        <v>0.68251535104981109</v>
      </c>
      <c r="BN281" s="67">
        <f>IFERROR((AO281*40)/(((F281*60+G281)/60)*(SUMIFS(팀수비력!Q:Q,팀수비력!A:A,B281,팀수비력!B:B,D281)-SUMIFS(팀수비력!N:N,팀수비력!A:A,B281,팀수비력!B:B,D281)))*100,"")</f>
        <v>0</v>
      </c>
      <c r="BO281" s="67">
        <f t="shared" si="191"/>
        <v>12.5</v>
      </c>
      <c r="BT281" t="s">
        <v>89</v>
      </c>
      <c r="BV281" t="s">
        <v>90</v>
      </c>
      <c r="CF281">
        <v>2</v>
      </c>
      <c r="CG281">
        <v>8</v>
      </c>
    </row>
    <row r="282" spans="1:85" x14ac:dyDescent="0.4">
      <c r="A282" s="11" t="s">
        <v>85</v>
      </c>
      <c r="B282" t="s">
        <v>183</v>
      </c>
      <c r="C282" t="s">
        <v>198</v>
      </c>
      <c r="D282" s="46" t="s">
        <v>306</v>
      </c>
      <c r="E282">
        <v>2</v>
      </c>
      <c r="F282">
        <v>3</v>
      </c>
      <c r="G282" s="1">
        <v>18</v>
      </c>
      <c r="H282" s="16">
        <f t="shared" si="166"/>
        <v>396</v>
      </c>
      <c r="I282">
        <v>0</v>
      </c>
      <c r="J282" s="17">
        <f t="shared" si="167"/>
        <v>0</v>
      </c>
      <c r="K282">
        <v>0</v>
      </c>
      <c r="L282">
        <v>0</v>
      </c>
      <c r="M282" s="17">
        <f t="shared" si="168"/>
        <v>0</v>
      </c>
      <c r="N282" s="17">
        <f t="shared" si="169"/>
        <v>0</v>
      </c>
      <c r="O282" s="18" t="e">
        <f t="shared" si="170"/>
        <v>#DIV/0!</v>
      </c>
      <c r="P282">
        <v>0</v>
      </c>
      <c r="Q282">
        <v>0</v>
      </c>
      <c r="R282" s="17">
        <f t="shared" si="171"/>
        <v>0</v>
      </c>
      <c r="S282" s="17">
        <f t="shared" si="172"/>
        <v>0</v>
      </c>
      <c r="T282" s="18" t="e">
        <f t="shared" si="173"/>
        <v>#DIV/0!</v>
      </c>
      <c r="U282">
        <v>0</v>
      </c>
      <c r="V282">
        <v>0</v>
      </c>
      <c r="W282" s="17">
        <f t="shared" si="174"/>
        <v>0</v>
      </c>
      <c r="X282" s="17">
        <f t="shared" si="175"/>
        <v>0</v>
      </c>
      <c r="Y282" s="18" t="e">
        <f t="shared" si="176"/>
        <v>#DIV/0!</v>
      </c>
      <c r="Z282">
        <v>0</v>
      </c>
      <c r="AA282">
        <v>0</v>
      </c>
      <c r="AB282" s="17">
        <f t="shared" si="177"/>
        <v>0</v>
      </c>
      <c r="AC282" s="17">
        <f t="shared" si="178"/>
        <v>0</v>
      </c>
      <c r="AD282" s="18" t="e">
        <f t="shared" si="179"/>
        <v>#DIV/0!</v>
      </c>
      <c r="AE282">
        <v>1</v>
      </c>
      <c r="AF282" s="17">
        <f t="shared" si="180"/>
        <v>0.5</v>
      </c>
      <c r="AG282">
        <v>1</v>
      </c>
      <c r="AH282" s="17">
        <f t="shared" si="181"/>
        <v>0.5</v>
      </c>
      <c r="AI282">
        <v>0</v>
      </c>
      <c r="AJ282" s="17">
        <f t="shared" si="182"/>
        <v>0</v>
      </c>
      <c r="AK282">
        <v>1</v>
      </c>
      <c r="AL282" s="17">
        <f t="shared" si="183"/>
        <v>0.5</v>
      </c>
      <c r="AM282">
        <v>0</v>
      </c>
      <c r="AN282" s="17">
        <f t="shared" si="184"/>
        <v>0</v>
      </c>
      <c r="AO282">
        <v>0</v>
      </c>
      <c r="AQ282">
        <v>2</v>
      </c>
      <c r="AR282" s="17">
        <f t="shared" si="185"/>
        <v>1</v>
      </c>
      <c r="AS282">
        <v>3</v>
      </c>
      <c r="AT282" s="17">
        <f t="shared" si="186"/>
        <v>1.5</v>
      </c>
      <c r="BD282" s="65" t="str">
        <f t="shared" si="187"/>
        <v/>
      </c>
      <c r="BE282" s="65" t="str">
        <f t="shared" si="188"/>
        <v/>
      </c>
      <c r="BF282" s="66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2.6936026936026938</v>
      </c>
      <c r="BG282" s="38" t="str">
        <f t="shared" si="189"/>
        <v/>
      </c>
      <c r="BH282" s="38" t="str">
        <f t="shared" si="190"/>
        <v/>
      </c>
      <c r="BI282" s="67">
        <f>IFERROR(((AG282*(12000/5))/((F282*60+G282)*(SUMIFS(팀공격력!X:X,팀공격력!A:A,B282,팀공격력!B:B,D282)+SUMIFS(팀수비력!X:X,팀수비력!A:A,B282,팀수비력!B:B,D282))))*100,"")</f>
        <v>1.6559032952475576</v>
      </c>
      <c r="BJ282" s="67">
        <f>IFERROR(((AI282*(12000/5))/((F282*60+G282)*(SUMIFS(팀공격력!V:V,팀공격력!A:A,B282,팀공격력!B:B,D282)+SUMIFS(팀수비력!W:W,팀수비력!A:A,B282,팀수비력!B:B,D282))))*100,"")</f>
        <v>0</v>
      </c>
      <c r="BK282" s="67">
        <f>IFERROR(((AE282*(12000/5))/((F282*60+G282)*(SUMIFS(팀공격력!X:X,팀공격력!A:A,B282,팀공격력!B:B,D282)+SUMIFS(팀수비력!X:X,팀수비력!A:A,B282,팀수비력!B:B,D282))))*100,"")</f>
        <v>1.6559032952475576</v>
      </c>
      <c r="BL282" s="67">
        <f>IFERROR(100*AK282/(((((F282*60+G282)/(12000/5))*SUMIFS(팀공격력!P:P,팀공격력!A:A,B282,팀공격력!B:B,D282))-K282)),"")</f>
        <v>4.1511000415110004</v>
      </c>
      <c r="BM282" s="67">
        <f>IFERROR(100*((AM282/E282*(2400))/((F282*60+G282)*SUMIFS(팀공격력!AR:AR,팀공격력!A:A,B282,팀공격력!B:B,D282))),"")</f>
        <v>0</v>
      </c>
      <c r="BN282" s="67">
        <f>IFERROR((AO282*40)/(((F282*60+G282)/60)*(SUMIFS(팀수비력!Q:Q,팀수비력!A:A,B282,팀수비력!B:B,D282)-SUMIFS(팀수비력!N:N,팀수비력!A:A,B282,팀수비력!B:B,D282)))*100,"")</f>
        <v>0</v>
      </c>
      <c r="BO282" s="67">
        <f t="shared" si="191"/>
        <v>100</v>
      </c>
      <c r="BT282" t="s">
        <v>89</v>
      </c>
      <c r="BV282" t="s">
        <v>102</v>
      </c>
      <c r="CF282">
        <v>0</v>
      </c>
      <c r="CG282">
        <v>2</v>
      </c>
    </row>
    <row r="283" spans="1:85" x14ac:dyDescent="0.4">
      <c r="A283" s="11" t="s">
        <v>85</v>
      </c>
      <c r="B283" t="s">
        <v>183</v>
      </c>
      <c r="C283" t="s">
        <v>199</v>
      </c>
      <c r="D283" s="46" t="s">
        <v>306</v>
      </c>
      <c r="E283">
        <v>5</v>
      </c>
      <c r="F283">
        <v>13</v>
      </c>
      <c r="G283" s="1">
        <v>33</v>
      </c>
      <c r="H283" s="16">
        <f t="shared" si="166"/>
        <v>4065</v>
      </c>
      <c r="I283">
        <v>35</v>
      </c>
      <c r="J283" s="17">
        <f t="shared" si="167"/>
        <v>7</v>
      </c>
      <c r="K283">
        <v>11</v>
      </c>
      <c r="L283">
        <v>30</v>
      </c>
      <c r="M283" s="17">
        <f t="shared" si="168"/>
        <v>2.2000000000000002</v>
      </c>
      <c r="N283" s="17">
        <f t="shared" si="169"/>
        <v>6</v>
      </c>
      <c r="O283" s="18">
        <f t="shared" si="170"/>
        <v>0.36666666666666664</v>
      </c>
      <c r="P283">
        <v>4</v>
      </c>
      <c r="Q283">
        <v>10</v>
      </c>
      <c r="R283" s="17">
        <f t="shared" si="171"/>
        <v>0.8</v>
      </c>
      <c r="S283" s="17">
        <f t="shared" si="172"/>
        <v>2</v>
      </c>
      <c r="T283" s="18">
        <f t="shared" si="173"/>
        <v>0.4</v>
      </c>
      <c r="U283">
        <v>7</v>
      </c>
      <c r="V283">
        <v>20</v>
      </c>
      <c r="W283" s="17">
        <f t="shared" si="174"/>
        <v>1.4</v>
      </c>
      <c r="X283" s="17">
        <f t="shared" si="175"/>
        <v>4</v>
      </c>
      <c r="Y283" s="18">
        <f t="shared" si="176"/>
        <v>0.35</v>
      </c>
      <c r="Z283">
        <v>6</v>
      </c>
      <c r="AA283">
        <v>9</v>
      </c>
      <c r="AB283" s="17">
        <f t="shared" si="177"/>
        <v>1.2</v>
      </c>
      <c r="AC283" s="17">
        <f t="shared" si="178"/>
        <v>1.8</v>
      </c>
      <c r="AD283" s="18">
        <f t="shared" si="179"/>
        <v>0.66666666666666663</v>
      </c>
      <c r="AE283">
        <v>5</v>
      </c>
      <c r="AF283" s="17">
        <f t="shared" si="180"/>
        <v>1</v>
      </c>
      <c r="AG283">
        <v>0</v>
      </c>
      <c r="AH283" s="17">
        <f t="shared" si="181"/>
        <v>0</v>
      </c>
      <c r="AI283">
        <v>5</v>
      </c>
      <c r="AJ283" s="17">
        <f t="shared" si="182"/>
        <v>1</v>
      </c>
      <c r="AK283">
        <v>1</v>
      </c>
      <c r="AL283" s="17">
        <f t="shared" si="183"/>
        <v>0.2</v>
      </c>
      <c r="AM283">
        <v>3</v>
      </c>
      <c r="AN283" s="17">
        <f t="shared" si="184"/>
        <v>0.6</v>
      </c>
      <c r="AO283">
        <v>0</v>
      </c>
      <c r="AQ283">
        <v>6</v>
      </c>
      <c r="AR283" s="17">
        <f t="shared" si="185"/>
        <v>1.2</v>
      </c>
      <c r="AS283">
        <v>9</v>
      </c>
      <c r="AT283" s="17">
        <f t="shared" si="186"/>
        <v>1.8</v>
      </c>
      <c r="BD283" s="65">
        <f t="shared" si="187"/>
        <v>51.531213191990574</v>
      </c>
      <c r="BE283" s="65">
        <f t="shared" si="188"/>
        <v>48.333333333333336</v>
      </c>
      <c r="BF283" s="66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13.107011070110701</v>
      </c>
      <c r="BG283" s="38">
        <f t="shared" si="189"/>
        <v>0.66666666666666663</v>
      </c>
      <c r="BH283" s="38">
        <f t="shared" si="190"/>
        <v>0.3</v>
      </c>
      <c r="BI283" s="67">
        <f>IFERROR(((AG283*(12000/5))/((F283*60+G283)*(SUMIFS(팀공격력!X:X,팀공격력!A:A,B283,팀공격력!B:B,D283)+SUMIFS(팀수비력!X:X,팀수비력!A:A,B283,팀수비력!B:B,D283))))*100,"")</f>
        <v>0</v>
      </c>
      <c r="BJ283" s="67">
        <f>IFERROR(((AI283*(12000/5))/((F283*60+G283)*(SUMIFS(팀공격력!V:V,팀공격력!A:A,B283,팀공격력!B:B,D283)+SUMIFS(팀수비력!W:W,팀수비력!A:A,B283,팀수비력!B:B,D283))))*100,"")</f>
        <v>3.7943824168318803</v>
      </c>
      <c r="BK283" s="67">
        <f>IFERROR(((AE283*(12000/5))/((F283*60+G283)*(SUMIFS(팀공격력!X:X,팀공격력!A:A,B283,팀공격력!B:B,D283)+SUMIFS(팀수비력!X:X,팀수비력!A:A,B283,팀수비력!B:B,D283))))*100,"")</f>
        <v>2.0164136067590182</v>
      </c>
      <c r="BL283" s="67">
        <f>IFERROR(100*AK283/(((((F283*60+G283)/(12000/5))*SUMIFS(팀공격력!P:P,팀공격력!A:A,B283,팀공격력!B:B,D283))-K283)),"")</f>
        <v>1.1374623215605983</v>
      </c>
      <c r="BM283" s="67">
        <f>IFERROR(100*((AM283/E283*(2400))/((F283*60+G283)*SUMIFS(팀공격력!AR:AR,팀공격력!A:A,B283,팀공격력!B:B,D283))),"")</f>
        <v>2.170952887841096</v>
      </c>
      <c r="BN283" s="67">
        <f>IFERROR((AO283*40)/(((F283*60+G283)/60)*(SUMIFS(팀수비력!Q:Q,팀수비력!A:A,B283,팀수비력!B:B,D283)-SUMIFS(팀수비력!N:N,팀수비력!A:A,B283,팀수비력!B:B,D283)))*100,"")</f>
        <v>0</v>
      </c>
      <c r="BO283" s="67">
        <f t="shared" si="191"/>
        <v>15.015015015015015</v>
      </c>
      <c r="BT283" t="s">
        <v>89</v>
      </c>
      <c r="BV283" t="s">
        <v>90</v>
      </c>
      <c r="CF283">
        <v>1</v>
      </c>
      <c r="CG283">
        <v>4</v>
      </c>
    </row>
    <row r="284" spans="1:85" x14ac:dyDescent="0.4">
      <c r="A284" s="11" t="s">
        <v>85</v>
      </c>
      <c r="B284" t="s">
        <v>183</v>
      </c>
      <c r="C284" t="s">
        <v>285</v>
      </c>
      <c r="D284" s="46" t="s">
        <v>306</v>
      </c>
      <c r="E284">
        <v>10</v>
      </c>
      <c r="F284">
        <v>18</v>
      </c>
      <c r="G284" s="1">
        <v>59</v>
      </c>
      <c r="H284" s="16">
        <f t="shared" si="166"/>
        <v>11390</v>
      </c>
      <c r="I284">
        <v>45</v>
      </c>
      <c r="J284" s="17">
        <f t="shared" si="167"/>
        <v>4.5</v>
      </c>
      <c r="K284">
        <v>19</v>
      </c>
      <c r="L284">
        <v>47</v>
      </c>
      <c r="M284" s="17">
        <f t="shared" si="168"/>
        <v>1.9</v>
      </c>
      <c r="N284" s="17">
        <f t="shared" si="169"/>
        <v>4.7</v>
      </c>
      <c r="O284" s="18">
        <f t="shared" si="170"/>
        <v>0.40425531914893614</v>
      </c>
      <c r="P284">
        <v>16</v>
      </c>
      <c r="Q284">
        <v>34</v>
      </c>
      <c r="R284" s="17">
        <f t="shared" si="171"/>
        <v>1.6</v>
      </c>
      <c r="S284" s="17">
        <f t="shared" si="172"/>
        <v>3.4</v>
      </c>
      <c r="T284" s="18">
        <f t="shared" si="173"/>
        <v>0.47058823529411764</v>
      </c>
      <c r="U284">
        <v>3</v>
      </c>
      <c r="V284">
        <v>13</v>
      </c>
      <c r="W284" s="17">
        <f t="shared" si="174"/>
        <v>0.3</v>
      </c>
      <c r="X284" s="17">
        <f t="shared" si="175"/>
        <v>1.3</v>
      </c>
      <c r="Y284" s="18">
        <f t="shared" si="176"/>
        <v>0.23076923076923078</v>
      </c>
      <c r="Z284">
        <v>4</v>
      </c>
      <c r="AA284">
        <v>8</v>
      </c>
      <c r="AB284" s="17">
        <f t="shared" si="177"/>
        <v>0.4</v>
      </c>
      <c r="AC284" s="17">
        <f t="shared" si="178"/>
        <v>0.8</v>
      </c>
      <c r="AD284" s="18">
        <f t="shared" si="179"/>
        <v>0.5</v>
      </c>
      <c r="AE284">
        <v>40</v>
      </c>
      <c r="AF284" s="17">
        <f t="shared" si="180"/>
        <v>4</v>
      </c>
      <c r="AG284">
        <v>17</v>
      </c>
      <c r="AH284" s="17">
        <f t="shared" si="181"/>
        <v>1.7</v>
      </c>
      <c r="AI284">
        <v>23</v>
      </c>
      <c r="AJ284" s="17">
        <f t="shared" si="182"/>
        <v>2.2999999999999998</v>
      </c>
      <c r="AK284">
        <v>8</v>
      </c>
      <c r="AL284" s="17">
        <f t="shared" si="183"/>
        <v>0.8</v>
      </c>
      <c r="AM284">
        <v>4</v>
      </c>
      <c r="AN284" s="17">
        <f t="shared" si="184"/>
        <v>0.4</v>
      </c>
      <c r="AO284">
        <v>0</v>
      </c>
      <c r="AQ284">
        <v>5</v>
      </c>
      <c r="AR284" s="17">
        <f t="shared" si="185"/>
        <v>0.5</v>
      </c>
      <c r="AS284">
        <v>19</v>
      </c>
      <c r="AT284" s="17">
        <f t="shared" si="186"/>
        <v>1.9</v>
      </c>
      <c r="BD284" s="65">
        <f t="shared" si="187"/>
        <v>44.536817102137768</v>
      </c>
      <c r="BE284" s="65">
        <f t="shared" si="188"/>
        <v>43.61702127659575</v>
      </c>
      <c r="BF284" s="66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12.998536728124085</v>
      </c>
      <c r="BG284" s="38">
        <f t="shared" si="189"/>
        <v>0.27659574468085107</v>
      </c>
      <c r="BH284" s="38">
        <f t="shared" si="190"/>
        <v>0.1702127659574468</v>
      </c>
      <c r="BI284" s="67">
        <f>IFERROR(((AG284*(12000/5))/((F284*60+G284)*(SUMIFS(팀공격력!X:X,팀공격력!A:A,B284,팀공격력!B:B,D284)+SUMIFS(팀수비력!X:X,팀수비력!A:A,B284,팀수비력!B:B,D284))))*100,"")</f>
        <v>4.8935649620748718</v>
      </c>
      <c r="BJ284" s="67">
        <f>IFERROR(((AI284*(12000/5))/((F284*60+G284)*(SUMIFS(팀공격력!V:V,팀공격력!A:A,B284,팀공격력!B:B,D284)+SUMIFS(팀수비력!W:W,팀수비력!A:A,B284,팀수비력!B:B,D284))))*100,"")</f>
        <v>12.458499879251859</v>
      </c>
      <c r="BK284" s="67">
        <f>IFERROR(((AE284*(12000/5))/((F284*60+G284)*(SUMIFS(팀공격력!X:X,팀공격력!A:A,B284,팀공격력!B:B,D284)+SUMIFS(팀수비력!X:X,팀수비력!A:A,B284,팀수비력!B:B,D284))))*100,"")</f>
        <v>11.514270498999696</v>
      </c>
      <c r="BL284" s="67">
        <f>IFERROR(100*AK284/(((((F284*60+G284)/(12000/5))*SUMIFS(팀공격력!P:P,팀공격력!A:A,B284,팀공격력!B:B,D284))-K284)),"")</f>
        <v>6.690175198963022</v>
      </c>
      <c r="BM284" s="67">
        <f>IFERROR(100*((AM284/E284*(2400))/((F284*60+G284)*SUMIFS(팀공격력!AR:AR,팀공격력!A:A,B284,팀공격력!B:B,D284))),"")</f>
        <v>1.0330609878927781</v>
      </c>
      <c r="BN284" s="67">
        <f>IFERROR((AO284*40)/(((F284*60+G284)/60)*(SUMIFS(팀수비력!Q:Q,팀수비력!A:A,B284,팀수비력!B:B,D284)-SUMIFS(팀수비력!N:N,팀수비력!A:A,B284,팀수비력!B:B,D284)))*100,"")</f>
        <v>0</v>
      </c>
      <c r="BO284" s="67">
        <f t="shared" si="191"/>
        <v>9.0057636887608066</v>
      </c>
      <c r="BT284" t="s">
        <v>89</v>
      </c>
      <c r="BV284" t="s">
        <v>93</v>
      </c>
      <c r="CF284">
        <v>2</v>
      </c>
      <c r="CG284">
        <v>8</v>
      </c>
    </row>
    <row r="285" spans="1:85" x14ac:dyDescent="0.4">
      <c r="A285" s="11" t="s">
        <v>85</v>
      </c>
      <c r="B285" t="s">
        <v>183</v>
      </c>
      <c r="C285" t="s">
        <v>202</v>
      </c>
      <c r="D285" s="46" t="s">
        <v>306</v>
      </c>
      <c r="E285">
        <v>10</v>
      </c>
      <c r="F285">
        <v>26</v>
      </c>
      <c r="G285" s="1">
        <v>45</v>
      </c>
      <c r="H285" s="16">
        <f t="shared" si="166"/>
        <v>16050</v>
      </c>
      <c r="I285">
        <v>254</v>
      </c>
      <c r="J285" s="17">
        <f t="shared" si="167"/>
        <v>25.4</v>
      </c>
      <c r="K285">
        <v>102</v>
      </c>
      <c r="L285">
        <v>180</v>
      </c>
      <c r="M285" s="17">
        <f t="shared" si="168"/>
        <v>10.199999999999999</v>
      </c>
      <c r="N285" s="17">
        <f t="shared" si="169"/>
        <v>18</v>
      </c>
      <c r="O285" s="18">
        <f t="shared" si="170"/>
        <v>0.56666666666666665</v>
      </c>
      <c r="P285">
        <v>102</v>
      </c>
      <c r="Q285">
        <v>180</v>
      </c>
      <c r="R285" s="17">
        <f t="shared" si="171"/>
        <v>10.199999999999999</v>
      </c>
      <c r="S285" s="17">
        <f t="shared" si="172"/>
        <v>18</v>
      </c>
      <c r="T285" s="18">
        <f t="shared" si="173"/>
        <v>0.56666666666666665</v>
      </c>
      <c r="U285">
        <v>0</v>
      </c>
      <c r="V285">
        <v>0</v>
      </c>
      <c r="W285" s="17">
        <f t="shared" si="174"/>
        <v>0</v>
      </c>
      <c r="X285" s="17">
        <f t="shared" si="175"/>
        <v>0</v>
      </c>
      <c r="Y285" s="18" t="e">
        <f t="shared" si="176"/>
        <v>#DIV/0!</v>
      </c>
      <c r="Z285">
        <v>50</v>
      </c>
      <c r="AA285">
        <v>75</v>
      </c>
      <c r="AB285" s="17">
        <f t="shared" si="177"/>
        <v>5</v>
      </c>
      <c r="AC285" s="17">
        <f t="shared" si="178"/>
        <v>7.5</v>
      </c>
      <c r="AD285" s="18">
        <f t="shared" si="179"/>
        <v>0.66666666666666663</v>
      </c>
      <c r="AE285">
        <v>115</v>
      </c>
      <c r="AF285" s="17">
        <f t="shared" si="180"/>
        <v>11.5</v>
      </c>
      <c r="AG285">
        <v>62</v>
      </c>
      <c r="AH285" s="17">
        <f t="shared" si="181"/>
        <v>6.2</v>
      </c>
      <c r="AI285">
        <v>53</v>
      </c>
      <c r="AJ285" s="17">
        <f t="shared" si="182"/>
        <v>5.3</v>
      </c>
      <c r="AK285">
        <v>26</v>
      </c>
      <c r="AL285" s="17">
        <f t="shared" si="183"/>
        <v>2.6</v>
      </c>
      <c r="AM285">
        <v>5</v>
      </c>
      <c r="AN285" s="17">
        <f t="shared" si="184"/>
        <v>0.5</v>
      </c>
      <c r="AO285">
        <v>8</v>
      </c>
      <c r="AQ285">
        <v>40</v>
      </c>
      <c r="AR285" s="17">
        <f t="shared" si="185"/>
        <v>4</v>
      </c>
      <c r="AS285">
        <v>21</v>
      </c>
      <c r="AT285" s="17">
        <f t="shared" si="186"/>
        <v>2.1</v>
      </c>
      <c r="BD285" s="65">
        <f t="shared" si="187"/>
        <v>59.624413145539904</v>
      </c>
      <c r="BE285" s="65">
        <f t="shared" si="188"/>
        <v>56.666666666666664</v>
      </c>
      <c r="BF285" s="66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42.035306334371754</v>
      </c>
      <c r="BG285" s="38">
        <f t="shared" si="189"/>
        <v>0</v>
      </c>
      <c r="BH285" s="38">
        <f t="shared" si="190"/>
        <v>0.41666666666666669</v>
      </c>
      <c r="BI285" s="67">
        <f>IFERROR(((AG285*(12000/5))/((F285*60+G285)*(SUMIFS(팀공격력!X:X,팀공격력!A:A,B285,팀공격력!B:B,D285)+SUMIFS(팀수비력!X:X,팀수비력!A:A,B285,팀수비력!B:B,D285))))*100,"")</f>
        <v>12.665338848884122</v>
      </c>
      <c r="BJ285" s="67">
        <f>IFERROR(((AI285*(12000/5))/((F285*60+G285)*(SUMIFS(팀공격력!V:V,팀공격력!A:A,B285,팀공격력!B:B,D285)+SUMIFS(팀수비력!W:W,팀수비력!A:A,B285,팀수비력!B:B,D285))))*100,"")</f>
        <v>20.373351272133196</v>
      </c>
      <c r="BK285" s="67">
        <f>IFERROR(((AE285*(12000/5))/((F285*60+G285)*(SUMIFS(팀공격력!X:X,팀공격력!A:A,B285,팀공격력!B:B,D285)+SUMIFS(팀수비력!X:X,팀수비력!A:A,B285,팀수비력!B:B,D285))))*100,"")</f>
        <v>23.492160768091516</v>
      </c>
      <c r="BL285" s="67">
        <f>IFERROR(100*AK285/(((((F285*60+G285)/(12000/5))*SUMIFS(팀공격력!P:P,팀공격력!A:A,B285,팀공격력!B:B,D285))-K285)),"")</f>
        <v>27.874564459930319</v>
      </c>
      <c r="BM285" s="67">
        <f>IFERROR(100*((AM285/E285*(2400))/((F285*60+G285)*SUMIFS(팀공격력!AR:AR,팀공격력!A:A,B285,팀공격력!B:B,D285))),"")</f>
        <v>0.91639911620706704</v>
      </c>
      <c r="BN285" s="67">
        <f>IFERROR((AO285*40)/(((F285*60+G285)/60)*(SUMIFS(팀수비력!Q:Q,팀수비력!A:A,B285,팀수비력!B:B,D285)-SUMIFS(팀수비력!N:N,팀수비력!A:A,B285,팀수비력!B:B,D285)))*100,"")</f>
        <v>2.4413503719244707</v>
      </c>
      <c r="BO285" s="67">
        <f t="shared" si="191"/>
        <v>15.810276679841897</v>
      </c>
      <c r="BT285" t="s">
        <v>96</v>
      </c>
      <c r="BV285" t="s">
        <v>102</v>
      </c>
      <c r="CF285">
        <v>2</v>
      </c>
      <c r="CG285">
        <v>8</v>
      </c>
    </row>
    <row r="286" spans="1:85" x14ac:dyDescent="0.4">
      <c r="A286" s="11" t="s">
        <v>85</v>
      </c>
      <c r="B286" t="s">
        <v>183</v>
      </c>
      <c r="C286" t="s">
        <v>87</v>
      </c>
      <c r="D286" s="46" t="s">
        <v>306</v>
      </c>
      <c r="E286">
        <v>3</v>
      </c>
      <c r="F286">
        <v>8</v>
      </c>
      <c r="G286" s="1">
        <v>10</v>
      </c>
      <c r="H286" s="16">
        <f t="shared" si="166"/>
        <v>1470</v>
      </c>
      <c r="I286">
        <v>3</v>
      </c>
      <c r="J286" s="17">
        <f t="shared" si="167"/>
        <v>1</v>
      </c>
      <c r="K286">
        <v>1</v>
      </c>
      <c r="L286">
        <v>6</v>
      </c>
      <c r="M286" s="17">
        <f t="shared" si="168"/>
        <v>0.33333333333333331</v>
      </c>
      <c r="N286" s="17">
        <f t="shared" si="169"/>
        <v>2</v>
      </c>
      <c r="O286" s="18">
        <f t="shared" si="170"/>
        <v>0.16666666666666666</v>
      </c>
      <c r="P286">
        <v>1</v>
      </c>
      <c r="Q286">
        <v>2</v>
      </c>
      <c r="R286" s="17">
        <f t="shared" si="171"/>
        <v>0.33333333333333331</v>
      </c>
      <c r="S286" s="17">
        <f t="shared" si="172"/>
        <v>0.66666666666666663</v>
      </c>
      <c r="T286" s="18">
        <f t="shared" si="173"/>
        <v>0.5</v>
      </c>
      <c r="U286">
        <v>0</v>
      </c>
      <c r="V286">
        <v>4</v>
      </c>
      <c r="W286" s="17">
        <f t="shared" si="174"/>
        <v>0</v>
      </c>
      <c r="X286" s="17">
        <f t="shared" si="175"/>
        <v>1.3333333333333333</v>
      </c>
      <c r="Y286" s="18">
        <f t="shared" si="176"/>
        <v>0</v>
      </c>
      <c r="Z286">
        <v>1</v>
      </c>
      <c r="AA286">
        <v>2</v>
      </c>
      <c r="AB286" s="17">
        <f t="shared" si="177"/>
        <v>0.33333333333333331</v>
      </c>
      <c r="AC286" s="17">
        <f t="shared" si="178"/>
        <v>0.66666666666666663</v>
      </c>
      <c r="AD286" s="18">
        <f t="shared" si="179"/>
        <v>0.5</v>
      </c>
      <c r="AE286">
        <v>3</v>
      </c>
      <c r="AF286" s="17">
        <f t="shared" si="180"/>
        <v>1</v>
      </c>
      <c r="AG286">
        <v>1</v>
      </c>
      <c r="AH286" s="17">
        <f t="shared" si="181"/>
        <v>0.33333333333333331</v>
      </c>
      <c r="AI286">
        <v>2</v>
      </c>
      <c r="AJ286" s="17">
        <f t="shared" si="182"/>
        <v>0.66666666666666663</v>
      </c>
      <c r="AK286">
        <v>1</v>
      </c>
      <c r="AL286" s="17">
        <f t="shared" si="183"/>
        <v>0.33333333333333331</v>
      </c>
      <c r="AM286">
        <v>1</v>
      </c>
      <c r="AN286" s="17">
        <f t="shared" si="184"/>
        <v>0.33333333333333331</v>
      </c>
      <c r="AO286">
        <v>0</v>
      </c>
      <c r="AQ286">
        <v>2</v>
      </c>
      <c r="AR286" s="17">
        <f t="shared" si="185"/>
        <v>0.66666666666666663</v>
      </c>
      <c r="AS286">
        <v>4</v>
      </c>
      <c r="AT286" s="17">
        <f t="shared" si="186"/>
        <v>1.3333333333333333</v>
      </c>
      <c r="BD286" s="65">
        <f t="shared" si="187"/>
        <v>21.802325581395348</v>
      </c>
      <c r="BE286" s="65">
        <f t="shared" si="188"/>
        <v>16.666666666666664</v>
      </c>
      <c r="BF286" s="66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4.8326530612244891</v>
      </c>
      <c r="BG286" s="38">
        <f t="shared" si="189"/>
        <v>0.66666666666666663</v>
      </c>
      <c r="BH286" s="38">
        <f t="shared" si="190"/>
        <v>0.33333333333333331</v>
      </c>
      <c r="BI286" s="67">
        <f>IFERROR(((AG286*(12000/5))/((F286*60+G286)*(SUMIFS(팀공격력!X:X,팀공격력!A:A,B286,팀공격력!B:B,D286)+SUMIFS(팀수비력!X:X,팀수비력!A:A,B286,팀수비력!B:B,D286))))*100,"")</f>
        <v>0.6691201070592171</v>
      </c>
      <c r="BJ286" s="67">
        <f>IFERROR(((AI286*(12000/5))/((F286*60+G286)*(SUMIFS(팀공격력!V:V,팀공격력!A:A,B286,팀공격력!B:B,D286)+SUMIFS(팀수비력!W:W,팀수비력!A:A,B286,팀수비력!B:B,D286))))*100,"")</f>
        <v>2.5182309427627092</v>
      </c>
      <c r="BK286" s="67">
        <f>IFERROR(((AE286*(12000/5))/((F286*60+G286)*(SUMIFS(팀공격력!X:X,팀공격력!A:A,B286,팀공격력!B:B,D286)+SUMIFS(팀수비력!X:X,팀수비력!A:A,B286,팀수비력!B:B,D286))))*100,"")</f>
        <v>2.0073603211776514</v>
      </c>
      <c r="BL286" s="67">
        <f>IFERROR(100*AK286/(((((F286*60+G286)/(12000/5))*SUMIFS(팀공격력!P:P,팀공격력!A:A,B286,팀공격력!B:B,D286))-K286)),"")</f>
        <v>1.7059994313335229</v>
      </c>
      <c r="BM286" s="67">
        <f>IFERROR(100*((AM286/E286*(2400))/((F286*60+G286)*SUMIFS(팀공격력!AR:AR,팀공격력!A:A,B286,팀공격력!B:B,D286))),"")</f>
        <v>2.0011164374317585</v>
      </c>
      <c r="BN286" s="67">
        <f>IFERROR((AO286*40)/(((F286*60+G286)/60)*(SUMIFS(팀수비력!Q:Q,팀수비력!A:A,B286,팀수비력!B:B,D286)-SUMIFS(팀수비력!N:N,팀수비력!A:A,B286,팀수비력!B:B,D286)))*100,"")</f>
        <v>0</v>
      </c>
      <c r="BO286" s="67">
        <f t="shared" si="191"/>
        <v>22.522522522522525</v>
      </c>
      <c r="BT286" t="s">
        <v>89</v>
      </c>
      <c r="BV286" t="s">
        <v>90</v>
      </c>
      <c r="CF286">
        <v>0</v>
      </c>
      <c r="CG286">
        <v>3</v>
      </c>
    </row>
    <row r="287" spans="1:85" x14ac:dyDescent="0.4">
      <c r="A287" s="11" t="s">
        <v>85</v>
      </c>
      <c r="B287" t="s">
        <v>203</v>
      </c>
      <c r="C287" t="s">
        <v>204</v>
      </c>
      <c r="D287" s="46" t="s">
        <v>306</v>
      </c>
      <c r="E287">
        <v>5</v>
      </c>
      <c r="F287">
        <v>9</v>
      </c>
      <c r="G287" s="1">
        <v>32</v>
      </c>
      <c r="H287" s="16">
        <f t="shared" si="166"/>
        <v>2860</v>
      </c>
      <c r="I287">
        <v>27</v>
      </c>
      <c r="J287" s="17">
        <f t="shared" si="167"/>
        <v>5.4</v>
      </c>
      <c r="K287">
        <v>8</v>
      </c>
      <c r="L287">
        <v>18</v>
      </c>
      <c r="M287" s="17">
        <f t="shared" si="168"/>
        <v>1.6</v>
      </c>
      <c r="N287" s="17">
        <f t="shared" si="169"/>
        <v>3.6</v>
      </c>
      <c r="O287" s="18">
        <f t="shared" si="170"/>
        <v>0.44444444444444442</v>
      </c>
      <c r="P287">
        <v>5</v>
      </c>
      <c r="Q287">
        <v>9</v>
      </c>
      <c r="R287" s="17">
        <f t="shared" si="171"/>
        <v>1</v>
      </c>
      <c r="S287" s="17">
        <f t="shared" si="172"/>
        <v>1.8</v>
      </c>
      <c r="T287" s="18">
        <f t="shared" si="173"/>
        <v>0.55555555555555558</v>
      </c>
      <c r="U287">
        <v>3</v>
      </c>
      <c r="V287">
        <v>9</v>
      </c>
      <c r="W287" s="17">
        <f t="shared" si="174"/>
        <v>0.6</v>
      </c>
      <c r="X287" s="17">
        <f t="shared" si="175"/>
        <v>1.8</v>
      </c>
      <c r="Y287" s="18">
        <f t="shared" si="176"/>
        <v>0.33333333333333331</v>
      </c>
      <c r="Z287">
        <v>8</v>
      </c>
      <c r="AA287">
        <v>12</v>
      </c>
      <c r="AB287" s="17">
        <f t="shared" si="177"/>
        <v>1.6</v>
      </c>
      <c r="AC287" s="17">
        <f t="shared" si="178"/>
        <v>2.4</v>
      </c>
      <c r="AD287" s="18">
        <f t="shared" si="179"/>
        <v>0.66666666666666663</v>
      </c>
      <c r="AE287">
        <v>1</v>
      </c>
      <c r="AF287" s="17">
        <f t="shared" si="180"/>
        <v>0.2</v>
      </c>
      <c r="AG287">
        <v>0</v>
      </c>
      <c r="AH287" s="17">
        <f t="shared" si="181"/>
        <v>0</v>
      </c>
      <c r="AI287">
        <v>1</v>
      </c>
      <c r="AJ287" s="17">
        <f t="shared" si="182"/>
        <v>0.2</v>
      </c>
      <c r="AK287">
        <v>2</v>
      </c>
      <c r="AL287" s="17">
        <f t="shared" si="183"/>
        <v>0.4</v>
      </c>
      <c r="AM287">
        <v>2</v>
      </c>
      <c r="AN287" s="17">
        <f t="shared" si="184"/>
        <v>0.4</v>
      </c>
      <c r="AO287">
        <v>1</v>
      </c>
      <c r="AQ287">
        <v>0</v>
      </c>
      <c r="AR287" s="17">
        <f t="shared" si="185"/>
        <v>0</v>
      </c>
      <c r="AS287">
        <v>4</v>
      </c>
      <c r="AT287" s="17">
        <f t="shared" si="186"/>
        <v>0.8</v>
      </c>
      <c r="BD287" s="65">
        <f t="shared" si="187"/>
        <v>57.989690721649481</v>
      </c>
      <c r="BE287" s="65">
        <f t="shared" si="188"/>
        <v>52.777777777777779</v>
      </c>
      <c r="BF287" s="66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12.756402037079047</v>
      </c>
      <c r="BG287" s="38">
        <f t="shared" si="189"/>
        <v>0.5</v>
      </c>
      <c r="BH287" s="38">
        <f t="shared" si="190"/>
        <v>0.66666666666666663</v>
      </c>
      <c r="BI287" s="67">
        <f>IFERROR(((AG287*(12000/5))/((F287*60+G287)*(SUMIFS(팀공격력!X:X,팀공격력!A:A,B287,팀공격력!B:B,D287)+SUMIFS(팀수비력!X:X,팀수비력!A:A,B287,팀수비력!B:B,D287))))*100,"")</f>
        <v>0</v>
      </c>
      <c r="BJ287" s="67">
        <f>IFERROR(((AI287*(12000/5))/((F287*60+G287)*(SUMIFS(팀공격력!V:V,팀공격력!A:A,B287,팀공격력!B:B,D287)+SUMIFS(팀수비력!W:W,팀수비력!A:A,B287,팀수비력!B:B,D287))))*100,"")</f>
        <v>1.3534852244529665</v>
      </c>
      <c r="BK287" s="67">
        <f>IFERROR(((AE287*(12000/5))/((F287*60+G287)*(SUMIFS(팀공격력!X:X,팀공격력!A:A,B287,팀공격력!B:B,D287)+SUMIFS(팀수비력!X:X,팀수비력!A:A,B287,팀수비력!B:B,D287))))*100,"")</f>
        <v>0.63000063000063</v>
      </c>
      <c r="BL287" s="67">
        <f>IFERROR(100*AK287/(((((F287*60+G287)/(12000/5))*SUMIFS(팀공격력!P:P,팀공격력!A:A,B287,팀공격력!B:B,D287))-K287)),"")</f>
        <v>3.3914591753101773</v>
      </c>
      <c r="BM287" s="67">
        <f>IFERROR(100*((AM287/E287*(2400))/((F287*60+G287)*SUMIFS(팀공격력!AR:AR,팀공격력!A:A,B287,팀공격력!B:B,D287))),"")</f>
        <v>2.3313005141664642</v>
      </c>
      <c r="BN287" s="67">
        <f>IFERROR((AO287*40)/(((F287*60+G287)/60)*(SUMIFS(팀수비력!Q:Q,팀수비력!A:A,B287,팀수비력!B:B,D287)-SUMIFS(팀수비력!N:N,팀수비력!A:A,B287,팀수비력!B:B,D287)))*100,"")</f>
        <v>1.107072347177888</v>
      </c>
      <c r="BO287" s="67">
        <f t="shared" si="191"/>
        <v>0</v>
      </c>
      <c r="BT287" t="s">
        <v>89</v>
      </c>
      <c r="BV287" t="s">
        <v>90</v>
      </c>
      <c r="CF287">
        <v>5</v>
      </c>
      <c r="CG287">
        <v>0</v>
      </c>
    </row>
    <row r="288" spans="1:85" x14ac:dyDescent="0.4">
      <c r="A288" s="11" t="s">
        <v>85</v>
      </c>
      <c r="B288" t="s">
        <v>203</v>
      </c>
      <c r="C288" t="s">
        <v>205</v>
      </c>
      <c r="D288" s="46" t="s">
        <v>306</v>
      </c>
      <c r="E288">
        <v>9</v>
      </c>
      <c r="F288">
        <v>8</v>
      </c>
      <c r="G288" s="1">
        <v>14</v>
      </c>
      <c r="H288" s="16">
        <f t="shared" si="166"/>
        <v>4446</v>
      </c>
      <c r="I288">
        <v>32</v>
      </c>
      <c r="J288" s="17">
        <f t="shared" si="167"/>
        <v>3.5555555555555554</v>
      </c>
      <c r="K288">
        <v>16</v>
      </c>
      <c r="L288">
        <v>28</v>
      </c>
      <c r="M288" s="17">
        <f t="shared" si="168"/>
        <v>1.7777777777777777</v>
      </c>
      <c r="N288" s="17">
        <f t="shared" si="169"/>
        <v>3.1111111111111112</v>
      </c>
      <c r="O288" s="18">
        <f t="shared" si="170"/>
        <v>0.5714285714285714</v>
      </c>
      <c r="P288">
        <v>16</v>
      </c>
      <c r="Q288">
        <v>28</v>
      </c>
      <c r="R288" s="17">
        <f t="shared" si="171"/>
        <v>1.7777777777777777</v>
      </c>
      <c r="S288" s="17">
        <f t="shared" si="172"/>
        <v>3.1111111111111112</v>
      </c>
      <c r="T288" s="18">
        <f t="shared" si="173"/>
        <v>0.5714285714285714</v>
      </c>
      <c r="U288">
        <v>0</v>
      </c>
      <c r="V288">
        <v>0</v>
      </c>
      <c r="W288" s="17">
        <f t="shared" si="174"/>
        <v>0</v>
      </c>
      <c r="X288" s="17">
        <f t="shared" si="175"/>
        <v>0</v>
      </c>
      <c r="Y288" s="18" t="e">
        <f t="shared" si="176"/>
        <v>#DIV/0!</v>
      </c>
      <c r="Z288">
        <v>0</v>
      </c>
      <c r="AA288">
        <v>0</v>
      </c>
      <c r="AB288" s="17">
        <f t="shared" si="177"/>
        <v>0</v>
      </c>
      <c r="AC288" s="17">
        <f t="shared" si="178"/>
        <v>0</v>
      </c>
      <c r="AD288" s="18" t="e">
        <f t="shared" si="179"/>
        <v>#DIV/0!</v>
      </c>
      <c r="AE288">
        <v>32</v>
      </c>
      <c r="AF288" s="17">
        <f t="shared" si="180"/>
        <v>3.5555555555555554</v>
      </c>
      <c r="AG288">
        <v>8</v>
      </c>
      <c r="AH288" s="17">
        <f t="shared" si="181"/>
        <v>0.88888888888888884</v>
      </c>
      <c r="AI288">
        <v>24</v>
      </c>
      <c r="AJ288" s="17">
        <f t="shared" si="182"/>
        <v>2.6666666666666665</v>
      </c>
      <c r="AK288">
        <v>4</v>
      </c>
      <c r="AL288" s="17">
        <f t="shared" si="183"/>
        <v>0.44444444444444442</v>
      </c>
      <c r="AM288">
        <v>0</v>
      </c>
      <c r="AN288" s="17">
        <f t="shared" si="184"/>
        <v>0</v>
      </c>
      <c r="AO288">
        <v>2</v>
      </c>
      <c r="AQ288">
        <v>9</v>
      </c>
      <c r="AR288" s="17">
        <f t="shared" si="185"/>
        <v>1</v>
      </c>
      <c r="AS288">
        <v>13</v>
      </c>
      <c r="AT288" s="17">
        <f t="shared" si="186"/>
        <v>1.4444444444444444</v>
      </c>
      <c r="BD288" s="65">
        <f t="shared" si="187"/>
        <v>57.142857142857139</v>
      </c>
      <c r="BE288" s="65">
        <f t="shared" si="188"/>
        <v>57.142857142857139</v>
      </c>
      <c r="BF288" s="66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23.475563524557661</v>
      </c>
      <c r="BG288" s="38">
        <f t="shared" si="189"/>
        <v>0</v>
      </c>
      <c r="BH288" s="38">
        <f t="shared" si="190"/>
        <v>0</v>
      </c>
      <c r="BI288" s="67">
        <f>IFERROR(((AG288*(12000/5))/((F288*60+G288)*(SUMIFS(팀공격력!X:X,팀공격력!A:A,B288,팀공격력!B:B,D288)+SUMIFS(팀수비력!X:X,팀수비력!A:A,B288,팀수비력!B:B,D288))))*100,"")</f>
        <v>5.8357953094795194</v>
      </c>
      <c r="BJ288" s="67">
        <f>IFERROR(((AI288*(12000/5))/((F288*60+G288)*(SUMIFS(팀공격력!V:V,팀공격력!A:A,B288,팀공격력!B:B,D288)+SUMIFS(팀수비력!W:W,팀수비력!A:A,B288,팀수비력!B:B,D288))))*100,"")</f>
        <v>37.612642026903487</v>
      </c>
      <c r="BK288" s="67">
        <f>IFERROR(((AE288*(12000/5))/((F288*60+G288)*(SUMIFS(팀공격력!X:X,팀공격력!A:A,B288,팀공격력!B:B,D288)+SUMIFS(팀수비력!X:X,팀수비력!A:A,B288,팀수비력!B:B,D288))))*100,"")</f>
        <v>23.343181237918078</v>
      </c>
      <c r="BL288" s="67">
        <f>IFERROR(100*AK288/(((((F288*60+G288)/(12000/5))*SUMIFS(팀공격력!P:P,팀공격력!A:A,B288,팀공격력!B:B,D288))-K288)),"")</f>
        <v>9.560419861772262</v>
      </c>
      <c r="BM288" s="67">
        <f>IFERROR(100*((AM288/E288*(2400))/((F288*60+G288)*SUMIFS(팀공격력!AR:AR,팀공격력!A:A,B288,팀공격력!B:B,D288))),"")</f>
        <v>0</v>
      </c>
      <c r="BN288" s="67">
        <f>IFERROR((AO288*40)/(((F288*60+G288)/60)*(SUMIFS(팀수비력!Q:Q,팀수비력!A:A,B288,팀수비력!B:B,D288)-SUMIFS(팀수비력!N:N,팀수비력!A:A,B288,팀수비력!B:B,D288)))*100,"")</f>
        <v>2.5637464882014251</v>
      </c>
      <c r="BO288" s="67">
        <f t="shared" si="191"/>
        <v>24.324324324324323</v>
      </c>
      <c r="BT288" t="s">
        <v>96</v>
      </c>
      <c r="BV288" t="s">
        <v>102</v>
      </c>
      <c r="CF288">
        <v>6</v>
      </c>
      <c r="CG288">
        <v>3</v>
      </c>
    </row>
    <row r="289" spans="1:85" x14ac:dyDescent="0.4">
      <c r="A289" s="11" t="s">
        <v>85</v>
      </c>
      <c r="B289" t="s">
        <v>203</v>
      </c>
      <c r="C289" t="s">
        <v>207</v>
      </c>
      <c r="D289" s="46" t="s">
        <v>306</v>
      </c>
      <c r="E289">
        <v>9</v>
      </c>
      <c r="F289">
        <v>17</v>
      </c>
      <c r="G289" s="1">
        <v>31</v>
      </c>
      <c r="H289" s="16">
        <f t="shared" si="166"/>
        <v>9459</v>
      </c>
      <c r="I289">
        <v>25</v>
      </c>
      <c r="J289" s="17">
        <f t="shared" si="167"/>
        <v>2.7777777777777777</v>
      </c>
      <c r="K289">
        <v>12</v>
      </c>
      <c r="L289">
        <v>36</v>
      </c>
      <c r="M289" s="17">
        <f t="shared" si="168"/>
        <v>1.3333333333333333</v>
      </c>
      <c r="N289" s="17">
        <f t="shared" si="169"/>
        <v>4</v>
      </c>
      <c r="O289" s="18">
        <f t="shared" si="170"/>
        <v>0.33333333333333331</v>
      </c>
      <c r="P289">
        <v>11</v>
      </c>
      <c r="Q289">
        <v>21</v>
      </c>
      <c r="R289" s="17">
        <f t="shared" si="171"/>
        <v>1.2222222222222223</v>
      </c>
      <c r="S289" s="17">
        <f t="shared" si="172"/>
        <v>2.3333333333333335</v>
      </c>
      <c r="T289" s="18">
        <f t="shared" si="173"/>
        <v>0.52380952380952384</v>
      </c>
      <c r="U289">
        <v>1</v>
      </c>
      <c r="V289">
        <v>15</v>
      </c>
      <c r="W289" s="17">
        <f t="shared" si="174"/>
        <v>0.1111111111111111</v>
      </c>
      <c r="X289" s="17">
        <f t="shared" si="175"/>
        <v>1.6666666666666667</v>
      </c>
      <c r="Y289" s="18">
        <f t="shared" si="176"/>
        <v>6.6666666666666666E-2</v>
      </c>
      <c r="Z289">
        <v>0</v>
      </c>
      <c r="AA289">
        <v>2</v>
      </c>
      <c r="AB289" s="17">
        <f t="shared" si="177"/>
        <v>0</v>
      </c>
      <c r="AC289" s="17">
        <f t="shared" si="178"/>
        <v>0.22222222222222221</v>
      </c>
      <c r="AD289" s="18">
        <f t="shared" si="179"/>
        <v>0</v>
      </c>
      <c r="AE289">
        <v>31</v>
      </c>
      <c r="AF289" s="17">
        <f t="shared" si="180"/>
        <v>3.4444444444444446</v>
      </c>
      <c r="AG289">
        <v>12</v>
      </c>
      <c r="AH289" s="17">
        <f t="shared" si="181"/>
        <v>1.3333333333333333</v>
      </c>
      <c r="AI289">
        <v>19</v>
      </c>
      <c r="AJ289" s="17">
        <f t="shared" si="182"/>
        <v>2.1111111111111112</v>
      </c>
      <c r="AK289">
        <v>11</v>
      </c>
      <c r="AL289" s="17">
        <f t="shared" si="183"/>
        <v>1.2222222222222223</v>
      </c>
      <c r="AM289">
        <v>7</v>
      </c>
      <c r="AN289" s="17">
        <f t="shared" si="184"/>
        <v>0.77777777777777779</v>
      </c>
      <c r="AO289">
        <v>1</v>
      </c>
      <c r="AQ289">
        <v>5</v>
      </c>
      <c r="AR289" s="17">
        <f t="shared" si="185"/>
        <v>0.55555555555555558</v>
      </c>
      <c r="AS289">
        <v>16</v>
      </c>
      <c r="AT289" s="17">
        <f t="shared" si="186"/>
        <v>1.7777777777777777</v>
      </c>
      <c r="BD289" s="65">
        <f t="shared" si="187"/>
        <v>33.893709327548805</v>
      </c>
      <c r="BE289" s="65">
        <f t="shared" si="188"/>
        <v>34.722222222222221</v>
      </c>
      <c r="BF289" s="66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12.489504477120544</v>
      </c>
      <c r="BG289" s="38">
        <f t="shared" si="189"/>
        <v>0.41666666666666669</v>
      </c>
      <c r="BH289" s="38">
        <f t="shared" si="190"/>
        <v>5.5555555555555552E-2</v>
      </c>
      <c r="BI289" s="67">
        <f>IFERROR(((AG289*(12000/5))/((F289*60+G289)*(SUMIFS(팀공격력!X:X,팀공격력!A:A,B289,팀공격력!B:B,D289)+SUMIFS(팀수비력!X:X,팀수비력!A:A,B289,팀수비력!B:B,D289))))*100,"")</f>
        <v>4.1144855607272355</v>
      </c>
      <c r="BJ289" s="67">
        <f>IFERROR(((AI289*(12000/5))/((F289*60+G289)*(SUMIFS(팀공격력!V:V,팀공격력!A:A,B289,팀공격력!B:B,D289)+SUMIFS(팀수비력!W:W,팀수비력!A:A,B289,팀수비력!B:B,D289))))*100,"")</f>
        <v>13.995887173506031</v>
      </c>
      <c r="BK289" s="67">
        <f>IFERROR(((AE289*(12000/5))/((F289*60+G289)*(SUMIFS(팀공격력!X:X,팀공격력!A:A,B289,팀공격력!B:B,D289)+SUMIFS(팀수비력!X:X,팀수비력!A:A,B289,팀수비력!B:B,D289))))*100,"")</f>
        <v>10.629087698545357</v>
      </c>
      <c r="BL289" s="67">
        <f>IFERROR(100*AK289/(((((F289*60+G289)/(12000/5))*SUMIFS(팀공격력!P:P,팀공격력!A:A,B289,팀공격력!B:B,D289))-K289)),"")</f>
        <v>9.905039188687244</v>
      </c>
      <c r="BM289" s="67">
        <f>IFERROR(100*((AM289/E289*(2400))/((F289*60+G289)*SUMIFS(팀공격력!AR:AR,팀공격력!A:A,B289,팀공격력!B:B,D289))),"")</f>
        <v>2.4671020347612127</v>
      </c>
      <c r="BN289" s="67">
        <f>IFERROR((AO289*40)/(((F289*60+G289)/60)*(SUMIFS(팀수비력!Q:Q,팀수비력!A:A,B289,팀수비력!B:B,D289)-SUMIFS(팀수비력!N:N,팀수비력!A:A,B289,팀수비력!B:B,D289)))*100,"")</f>
        <v>0.60251701482945008</v>
      </c>
      <c r="BO289" s="67">
        <f t="shared" si="191"/>
        <v>11.938872970391595</v>
      </c>
      <c r="BT289" t="s">
        <v>89</v>
      </c>
      <c r="BV289" t="s">
        <v>93</v>
      </c>
      <c r="CF289">
        <v>6</v>
      </c>
      <c r="CG289">
        <v>3</v>
      </c>
    </row>
    <row r="290" spans="1:85" x14ac:dyDescent="0.4">
      <c r="A290" s="11" t="s">
        <v>85</v>
      </c>
      <c r="B290" t="s">
        <v>203</v>
      </c>
      <c r="C290" t="s">
        <v>211</v>
      </c>
      <c r="D290" s="46" t="s">
        <v>306</v>
      </c>
      <c r="E290">
        <v>8</v>
      </c>
      <c r="F290">
        <v>9</v>
      </c>
      <c r="G290" s="1">
        <v>34</v>
      </c>
      <c r="H290" s="16">
        <f t="shared" si="166"/>
        <v>4592</v>
      </c>
      <c r="I290">
        <v>39</v>
      </c>
      <c r="J290" s="17">
        <f t="shared" si="167"/>
        <v>4.875</v>
      </c>
      <c r="K290">
        <v>15</v>
      </c>
      <c r="L290">
        <v>33</v>
      </c>
      <c r="M290" s="17">
        <f t="shared" si="168"/>
        <v>1.875</v>
      </c>
      <c r="N290" s="17">
        <f t="shared" si="169"/>
        <v>4.125</v>
      </c>
      <c r="O290" s="18">
        <f t="shared" si="170"/>
        <v>0.45454545454545453</v>
      </c>
      <c r="P290">
        <v>8</v>
      </c>
      <c r="Q290">
        <v>16</v>
      </c>
      <c r="R290" s="17">
        <f t="shared" si="171"/>
        <v>1</v>
      </c>
      <c r="S290" s="17">
        <f t="shared" si="172"/>
        <v>2</v>
      </c>
      <c r="T290" s="18">
        <f t="shared" si="173"/>
        <v>0.5</v>
      </c>
      <c r="U290">
        <v>7</v>
      </c>
      <c r="V290">
        <v>17</v>
      </c>
      <c r="W290" s="17">
        <f t="shared" si="174"/>
        <v>0.875</v>
      </c>
      <c r="X290" s="17">
        <f t="shared" si="175"/>
        <v>2.125</v>
      </c>
      <c r="Y290" s="18">
        <f t="shared" si="176"/>
        <v>0.41176470588235292</v>
      </c>
      <c r="Z290">
        <v>2</v>
      </c>
      <c r="AA290">
        <v>2</v>
      </c>
      <c r="AB290" s="17">
        <f t="shared" si="177"/>
        <v>0.25</v>
      </c>
      <c r="AC290" s="17">
        <f t="shared" si="178"/>
        <v>0.25</v>
      </c>
      <c r="AD290" s="18">
        <f t="shared" si="179"/>
        <v>1</v>
      </c>
      <c r="AE290">
        <v>9</v>
      </c>
      <c r="AF290" s="17">
        <f t="shared" si="180"/>
        <v>1.125</v>
      </c>
      <c r="AG290">
        <v>6</v>
      </c>
      <c r="AH290" s="17">
        <f t="shared" si="181"/>
        <v>0.75</v>
      </c>
      <c r="AI290">
        <v>3</v>
      </c>
      <c r="AJ290" s="17">
        <f t="shared" si="182"/>
        <v>0.375</v>
      </c>
      <c r="AK290">
        <v>3</v>
      </c>
      <c r="AL290" s="17">
        <f t="shared" si="183"/>
        <v>0.375</v>
      </c>
      <c r="AM290">
        <v>5</v>
      </c>
      <c r="AN290" s="17">
        <f t="shared" si="184"/>
        <v>0.625</v>
      </c>
      <c r="AO290">
        <v>1</v>
      </c>
      <c r="AQ290">
        <v>7</v>
      </c>
      <c r="AR290" s="17">
        <f t="shared" si="185"/>
        <v>0.875</v>
      </c>
      <c r="AS290">
        <v>5</v>
      </c>
      <c r="AT290" s="17">
        <f t="shared" si="186"/>
        <v>0.625</v>
      </c>
      <c r="BD290" s="65">
        <f t="shared" si="187"/>
        <v>57.556080283353005</v>
      </c>
      <c r="BE290" s="65">
        <f t="shared" si="188"/>
        <v>56.060606060606055</v>
      </c>
      <c r="BF290" s="66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22.322367088268905</v>
      </c>
      <c r="BG290" s="38">
        <f t="shared" si="189"/>
        <v>0.51515151515151514</v>
      </c>
      <c r="BH290" s="38">
        <f t="shared" si="190"/>
        <v>6.0606060606060608E-2</v>
      </c>
      <c r="BI290" s="67">
        <f>IFERROR(((AG290*(12000/5))/((F290*60+G290)*(SUMIFS(팀공격력!X:X,팀공격력!A:A,B290,팀공격력!B:B,D290)+SUMIFS(팀수비력!X:X,팀수비력!A:A,B290,팀수비력!B:B,D290))))*100,"")</f>
        <v>3.7668330351257184</v>
      </c>
      <c r="BJ290" s="67">
        <f>IFERROR(((AI290*(12000/5))/((F290*60+G290)*(SUMIFS(팀공격력!V:V,팀공격력!A:A,B290,팀공격력!B:B,D290)+SUMIFS(팀수비력!W:W,팀수비력!A:A,B290,팀수비력!B:B,D290))))*100,"")</f>
        <v>4.0463077441834328</v>
      </c>
      <c r="BK290" s="67">
        <f>IFERROR(((AE290*(12000/5))/((F290*60+G290)*(SUMIFS(팀공격력!X:X,팀공격력!A:A,B290,팀공격력!B:B,D290)+SUMIFS(팀수비력!X:X,팀수비력!A:A,B290,팀수비력!B:B,D290))))*100,"")</f>
        <v>5.6502495526885772</v>
      </c>
      <c r="BL290" s="67">
        <f>IFERROR(100*AK290/(((((F290*60+G290)/(12000/5))*SUMIFS(팀공격력!P:P,팀공격력!A:A,B290,팀공격력!B:B,D290))-K290)),"")</f>
        <v>5.7464842689993141</v>
      </c>
      <c r="BM290" s="67">
        <f>IFERROR(100*((AM290/E290*(2400))/((F290*60+G290)*SUMIFS(팀공격력!AR:AR,팀공격력!A:A,B290,팀공격력!B:B,D290))),"")</f>
        <v>3.6299648685301</v>
      </c>
      <c r="BN290" s="67">
        <f>IFERROR((AO290*40)/(((F290*60+G290)/60)*(SUMIFS(팀수비력!Q:Q,팀수비력!A:A,B290,팀수비력!B:B,D290)-SUMIFS(팀수비력!N:N,팀수비력!A:A,B290,팀수비력!B:B,D290)))*100,"")</f>
        <v>1.1032149522399861</v>
      </c>
      <c r="BO290" s="67">
        <f t="shared" si="191"/>
        <v>17.123287671232877</v>
      </c>
      <c r="BT290" t="s">
        <v>113</v>
      </c>
      <c r="BV290" t="s">
        <v>93</v>
      </c>
      <c r="CF290">
        <v>6</v>
      </c>
      <c r="CG290">
        <v>2</v>
      </c>
    </row>
    <row r="291" spans="1:85" x14ac:dyDescent="0.4">
      <c r="A291" s="11" t="s">
        <v>85</v>
      </c>
      <c r="B291" t="s">
        <v>203</v>
      </c>
      <c r="C291" t="s">
        <v>212</v>
      </c>
      <c r="D291" s="46" t="s">
        <v>306</v>
      </c>
      <c r="E291">
        <v>9</v>
      </c>
      <c r="F291">
        <v>10</v>
      </c>
      <c r="G291" s="1">
        <v>23</v>
      </c>
      <c r="H291" s="16">
        <f t="shared" si="166"/>
        <v>5607</v>
      </c>
      <c r="I291">
        <v>26</v>
      </c>
      <c r="J291" s="17">
        <f t="shared" si="167"/>
        <v>2.8888888888888888</v>
      </c>
      <c r="K291">
        <v>11</v>
      </c>
      <c r="L291">
        <v>28</v>
      </c>
      <c r="M291" s="17">
        <f t="shared" si="168"/>
        <v>1.2222222222222223</v>
      </c>
      <c r="N291" s="17">
        <f t="shared" si="169"/>
        <v>3.1111111111111112</v>
      </c>
      <c r="O291" s="18">
        <f t="shared" si="170"/>
        <v>0.39285714285714285</v>
      </c>
      <c r="P291">
        <v>11</v>
      </c>
      <c r="Q291">
        <v>28</v>
      </c>
      <c r="R291" s="17">
        <f t="shared" si="171"/>
        <v>1.2222222222222223</v>
      </c>
      <c r="S291" s="17">
        <f t="shared" si="172"/>
        <v>3.1111111111111112</v>
      </c>
      <c r="T291" s="18">
        <f t="shared" si="173"/>
        <v>0.39285714285714285</v>
      </c>
      <c r="U291">
        <v>0</v>
      </c>
      <c r="V291">
        <v>0</v>
      </c>
      <c r="W291" s="17">
        <f t="shared" si="174"/>
        <v>0</v>
      </c>
      <c r="X291" s="17">
        <f t="shared" si="175"/>
        <v>0</v>
      </c>
      <c r="Y291" s="18" t="e">
        <f t="shared" si="176"/>
        <v>#DIV/0!</v>
      </c>
      <c r="Z291">
        <v>4</v>
      </c>
      <c r="AA291">
        <v>5</v>
      </c>
      <c r="AB291" s="17">
        <f t="shared" si="177"/>
        <v>0.44444444444444442</v>
      </c>
      <c r="AC291" s="17">
        <f t="shared" si="178"/>
        <v>0.55555555555555558</v>
      </c>
      <c r="AD291" s="18">
        <f t="shared" si="179"/>
        <v>0.8</v>
      </c>
      <c r="AE291">
        <v>22</v>
      </c>
      <c r="AF291" s="17">
        <f t="shared" si="180"/>
        <v>2.4444444444444446</v>
      </c>
      <c r="AG291">
        <v>12</v>
      </c>
      <c r="AH291" s="17">
        <f t="shared" si="181"/>
        <v>1.3333333333333333</v>
      </c>
      <c r="AI291">
        <v>10</v>
      </c>
      <c r="AJ291" s="17">
        <f t="shared" si="182"/>
        <v>1.1111111111111112</v>
      </c>
      <c r="AK291">
        <v>1</v>
      </c>
      <c r="AL291" s="17">
        <f t="shared" si="183"/>
        <v>0.1111111111111111</v>
      </c>
      <c r="AM291">
        <v>2</v>
      </c>
      <c r="AN291" s="17">
        <f t="shared" si="184"/>
        <v>0.22222222222222221</v>
      </c>
      <c r="AO291">
        <v>3</v>
      </c>
      <c r="AQ291">
        <v>3</v>
      </c>
      <c r="AR291" s="17">
        <f t="shared" si="185"/>
        <v>0.33333333333333331</v>
      </c>
      <c r="AS291">
        <v>18</v>
      </c>
      <c r="AT291" s="17">
        <f t="shared" si="186"/>
        <v>2</v>
      </c>
      <c r="BD291" s="65">
        <f t="shared" si="187"/>
        <v>43.046357615894046</v>
      </c>
      <c r="BE291" s="65">
        <f t="shared" si="188"/>
        <v>39.285714285714285</v>
      </c>
      <c r="BF291" s="66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16.702877196371752</v>
      </c>
      <c r="BG291" s="38">
        <f t="shared" si="189"/>
        <v>0</v>
      </c>
      <c r="BH291" s="38">
        <f t="shared" si="190"/>
        <v>0.17857142857142858</v>
      </c>
      <c r="BI291" s="67">
        <f>IFERROR(((AG291*(12000/5))/((F291*60+G291)*(SUMIFS(팀공격력!X:X,팀공격력!A:A,B291,팀공격력!B:B,D291)+SUMIFS(팀수비력!X:X,팀수비력!A:A,B291,팀수비력!B:B,D291))))*100,"")</f>
        <v>6.9411305366361544</v>
      </c>
      <c r="BJ291" s="67">
        <f>IFERROR(((AI291*(12000/5))/((F291*60+G291)*(SUMIFS(팀공격력!V:V,팀공격력!A:A,B291,팀공격력!B:B,D291)+SUMIFS(팀수비력!W:W,팀수비력!A:A,B291,팀수비력!B:B,D291))))*100,"")</f>
        <v>12.426862734945374</v>
      </c>
      <c r="BK291" s="67">
        <f>IFERROR(((AE291*(12000/5))/((F291*60+G291)*(SUMIFS(팀공격력!X:X,팀공격력!A:A,B291,팀공격력!B:B,D291)+SUMIFS(팀수비력!X:X,팀수비력!A:A,B291,팀수비력!B:B,D291))))*100,"")</f>
        <v>12.72540598383295</v>
      </c>
      <c r="BL291" s="67">
        <f>IFERROR(100*AK291/(((((F291*60+G291)/(12000/5))*SUMIFS(팀공격력!P:P,팀공격력!A:A,B291,팀공격력!B:B,D291))-K291)),"")</f>
        <v>1.6143895925684266</v>
      </c>
      <c r="BM291" s="67">
        <f>IFERROR(100*((AM291/E291*(2400))/((F291*60+G291)*SUMIFS(팀공격력!AR:AR,팀공격력!A:A,B291,팀공격력!B:B,D291))),"")</f>
        <v>1.1891420493162275</v>
      </c>
      <c r="BN291" s="67">
        <f>IFERROR((AO291*40)/(((F291*60+G291)/60)*(SUMIFS(팀수비력!Q:Q,팀수비력!A:A,B291,팀수비력!B:B,D291)-SUMIFS(팀수비력!N:N,팀수비력!A:A,B291,팀수비력!B:B,D291)))*100,"")</f>
        <v>3.0493357106858041</v>
      </c>
      <c r="BO291" s="67">
        <f t="shared" si="191"/>
        <v>9.0361445783132517</v>
      </c>
      <c r="BT291" t="s">
        <v>89</v>
      </c>
      <c r="BV291" t="s">
        <v>102</v>
      </c>
      <c r="CF291">
        <v>6</v>
      </c>
      <c r="CG291">
        <v>3</v>
      </c>
    </row>
    <row r="292" spans="1:85" x14ac:dyDescent="0.4">
      <c r="A292" s="11" t="s">
        <v>85</v>
      </c>
      <c r="B292" t="s">
        <v>203</v>
      </c>
      <c r="C292" t="s">
        <v>214</v>
      </c>
      <c r="D292" s="46" t="s">
        <v>306</v>
      </c>
      <c r="E292">
        <v>8</v>
      </c>
      <c r="F292">
        <v>11</v>
      </c>
      <c r="G292" s="1">
        <v>5</v>
      </c>
      <c r="H292" s="16">
        <f t="shared" si="166"/>
        <v>5320</v>
      </c>
      <c r="I292">
        <v>12</v>
      </c>
      <c r="J292" s="17">
        <f t="shared" si="167"/>
        <v>1.5</v>
      </c>
      <c r="K292">
        <v>4</v>
      </c>
      <c r="L292">
        <v>11</v>
      </c>
      <c r="M292" s="17">
        <f t="shared" si="168"/>
        <v>0.5</v>
      </c>
      <c r="N292" s="17">
        <f t="shared" si="169"/>
        <v>1.375</v>
      </c>
      <c r="O292" s="18">
        <f t="shared" si="170"/>
        <v>0.36363636363636365</v>
      </c>
      <c r="P292">
        <v>0</v>
      </c>
      <c r="Q292">
        <v>1</v>
      </c>
      <c r="R292" s="17">
        <f t="shared" si="171"/>
        <v>0</v>
      </c>
      <c r="S292" s="17">
        <f t="shared" si="172"/>
        <v>0.125</v>
      </c>
      <c r="T292" s="18">
        <f t="shared" si="173"/>
        <v>0</v>
      </c>
      <c r="U292">
        <v>4</v>
      </c>
      <c r="V292">
        <v>10</v>
      </c>
      <c r="W292" s="17">
        <f t="shared" si="174"/>
        <v>0.5</v>
      </c>
      <c r="X292" s="17">
        <f t="shared" si="175"/>
        <v>1.25</v>
      </c>
      <c r="Y292" s="18">
        <f t="shared" si="176"/>
        <v>0.4</v>
      </c>
      <c r="Z292">
        <v>0</v>
      </c>
      <c r="AA292">
        <v>0</v>
      </c>
      <c r="AB292" s="17">
        <f t="shared" si="177"/>
        <v>0</v>
      </c>
      <c r="AC292" s="17">
        <f t="shared" si="178"/>
        <v>0</v>
      </c>
      <c r="AD292" s="18" t="e">
        <f t="shared" si="179"/>
        <v>#DIV/0!</v>
      </c>
      <c r="AE292">
        <v>15</v>
      </c>
      <c r="AF292" s="17">
        <f t="shared" si="180"/>
        <v>1.875</v>
      </c>
      <c r="AG292">
        <v>5</v>
      </c>
      <c r="AH292" s="17">
        <f t="shared" si="181"/>
        <v>0.625</v>
      </c>
      <c r="AI292">
        <v>10</v>
      </c>
      <c r="AJ292" s="17">
        <f t="shared" si="182"/>
        <v>1.25</v>
      </c>
      <c r="AK292">
        <v>2</v>
      </c>
      <c r="AL292" s="17">
        <f t="shared" si="183"/>
        <v>0.25</v>
      </c>
      <c r="AM292">
        <v>2</v>
      </c>
      <c r="AN292" s="17">
        <f t="shared" si="184"/>
        <v>0.25</v>
      </c>
      <c r="AO292">
        <v>0</v>
      </c>
      <c r="AQ292">
        <v>4</v>
      </c>
      <c r="AR292" s="17">
        <f t="shared" si="185"/>
        <v>0.5</v>
      </c>
      <c r="AS292">
        <v>8</v>
      </c>
      <c r="AT292" s="17">
        <f t="shared" si="186"/>
        <v>1</v>
      </c>
      <c r="BD292" s="65">
        <f t="shared" si="187"/>
        <v>54.54545454545454</v>
      </c>
      <c r="BE292" s="65">
        <f t="shared" si="188"/>
        <v>54.54545454545454</v>
      </c>
      <c r="BF292" s="66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7.0698608297895653</v>
      </c>
      <c r="BG292" s="38">
        <f t="shared" si="189"/>
        <v>0.90909090909090906</v>
      </c>
      <c r="BH292" s="38">
        <f t="shared" si="190"/>
        <v>0</v>
      </c>
      <c r="BI292" s="67">
        <f>IFERROR(((AG292*(12000/5))/((F292*60+G292)*(SUMIFS(팀공격력!X:X,팀공격력!A:A,B292,팀공격력!B:B,D292)+SUMIFS(팀수비력!X:X,팀수비력!A:A,B292,팀수비력!B:B,D292))))*100,"")</f>
        <v>2.7094763936869199</v>
      </c>
      <c r="BJ292" s="67">
        <f>IFERROR(((AI292*(12000/5))/((F292*60+G292)*(SUMIFS(팀공격력!V:V,팀공격력!A:A,B292,팀공격력!B:B,D292)+SUMIFS(팀수비력!W:W,팀수비력!A:A,B292,팀수비력!B:B,D292))))*100,"")</f>
        <v>11.642008246422508</v>
      </c>
      <c r="BK292" s="67">
        <f>IFERROR(((AE292*(12000/5))/((F292*60+G292)*(SUMIFS(팀공격력!X:X,팀공격력!A:A,B292,팀공격력!B:B,D292)+SUMIFS(팀수비력!X:X,팀수비력!A:A,B292,팀수비력!B:B,D292))))*100,"")</f>
        <v>8.1284291810607598</v>
      </c>
      <c r="BL292" s="67">
        <f>IFERROR(100*AK292/(((((F292*60+G292)/(12000/5))*SUMIFS(팀공격력!P:P,팀공격력!A:A,B292,팀공격력!B:B,D292))-K292)),"")</f>
        <v>2.7078103404507377</v>
      </c>
      <c r="BM292" s="67">
        <f>IFERROR(100*((AM292/E292*(2400))/((F292*60+G292)*SUMIFS(팀공격력!AR:AR,팀공격력!A:A,B292,팀공격력!B:B,D292))),"")</f>
        <v>1.2532931335556556</v>
      </c>
      <c r="BN292" s="67">
        <f>IFERROR((AO292*40)/(((F292*60+G292)/60)*(SUMIFS(팀수비력!Q:Q,팀수비력!A:A,B292,팀수비력!B:B,D292)-SUMIFS(팀수비력!N:N,팀수비력!A:A,B292,팀수비력!B:B,D292)))*100,"")</f>
        <v>0</v>
      </c>
      <c r="BO292" s="67">
        <f t="shared" si="191"/>
        <v>26.666666666666668</v>
      </c>
      <c r="BT292" t="s">
        <v>89</v>
      </c>
      <c r="BV292" t="s">
        <v>90</v>
      </c>
      <c r="CF292">
        <v>5</v>
      </c>
      <c r="CG292">
        <v>3</v>
      </c>
    </row>
    <row r="293" spans="1:85" x14ac:dyDescent="0.4">
      <c r="A293" s="11" t="s">
        <v>85</v>
      </c>
      <c r="B293" t="s">
        <v>203</v>
      </c>
      <c r="C293" t="s">
        <v>216</v>
      </c>
      <c r="D293" s="46" t="s">
        <v>306</v>
      </c>
      <c r="E293">
        <v>9</v>
      </c>
      <c r="F293">
        <v>30</v>
      </c>
      <c r="G293" s="1">
        <v>46</v>
      </c>
      <c r="H293" s="16">
        <f t="shared" si="166"/>
        <v>16614</v>
      </c>
      <c r="I293">
        <v>88</v>
      </c>
      <c r="J293" s="17">
        <f t="shared" si="167"/>
        <v>9.7777777777777786</v>
      </c>
      <c r="K293">
        <v>30</v>
      </c>
      <c r="L293">
        <v>70</v>
      </c>
      <c r="M293" s="17">
        <f t="shared" si="168"/>
        <v>3.3333333333333335</v>
      </c>
      <c r="N293" s="17">
        <f t="shared" si="169"/>
        <v>7.7777777777777777</v>
      </c>
      <c r="O293" s="18">
        <f t="shared" si="170"/>
        <v>0.42857142857142855</v>
      </c>
      <c r="P293">
        <v>17</v>
      </c>
      <c r="Q293">
        <v>39</v>
      </c>
      <c r="R293" s="17">
        <f t="shared" si="171"/>
        <v>1.8888888888888888</v>
      </c>
      <c r="S293" s="17">
        <f t="shared" si="172"/>
        <v>4.333333333333333</v>
      </c>
      <c r="T293" s="18">
        <f t="shared" si="173"/>
        <v>0.4358974358974359</v>
      </c>
      <c r="U293">
        <v>13</v>
      </c>
      <c r="V293">
        <v>31</v>
      </c>
      <c r="W293" s="17">
        <f t="shared" si="174"/>
        <v>1.4444444444444444</v>
      </c>
      <c r="X293" s="17">
        <f t="shared" si="175"/>
        <v>3.4444444444444446</v>
      </c>
      <c r="Y293" s="18">
        <f t="shared" si="176"/>
        <v>0.41935483870967744</v>
      </c>
      <c r="Z293">
        <v>15</v>
      </c>
      <c r="AA293">
        <v>23</v>
      </c>
      <c r="AB293" s="17">
        <f t="shared" si="177"/>
        <v>1.6666666666666667</v>
      </c>
      <c r="AC293" s="17">
        <f t="shared" si="178"/>
        <v>2.5555555555555554</v>
      </c>
      <c r="AD293" s="18">
        <f t="shared" si="179"/>
        <v>0.65217391304347827</v>
      </c>
      <c r="AE293">
        <v>22</v>
      </c>
      <c r="AF293" s="17">
        <f t="shared" si="180"/>
        <v>2.4444444444444446</v>
      </c>
      <c r="AG293">
        <v>4</v>
      </c>
      <c r="AH293" s="17">
        <f t="shared" si="181"/>
        <v>0.44444444444444442</v>
      </c>
      <c r="AI293">
        <v>18</v>
      </c>
      <c r="AJ293" s="17">
        <f t="shared" si="182"/>
        <v>2</v>
      </c>
      <c r="AK293">
        <v>52</v>
      </c>
      <c r="AL293" s="17">
        <f t="shared" si="183"/>
        <v>5.7777777777777777</v>
      </c>
      <c r="AM293">
        <v>7</v>
      </c>
      <c r="AN293" s="17">
        <f t="shared" si="184"/>
        <v>0.77777777777777779</v>
      </c>
      <c r="AO293">
        <v>0</v>
      </c>
      <c r="AQ293">
        <v>18</v>
      </c>
      <c r="AR293" s="17">
        <f t="shared" si="185"/>
        <v>2</v>
      </c>
      <c r="AS293">
        <v>20</v>
      </c>
      <c r="AT293" s="17">
        <f t="shared" si="186"/>
        <v>2.2222222222222223</v>
      </c>
      <c r="BD293" s="65">
        <f t="shared" si="187"/>
        <v>54.91762356465302</v>
      </c>
      <c r="BE293" s="65">
        <f t="shared" si="188"/>
        <v>52.142857142857146</v>
      </c>
      <c r="BF293" s="66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16.659696828154683</v>
      </c>
      <c r="BG293" s="38">
        <f t="shared" si="189"/>
        <v>0.44285714285714284</v>
      </c>
      <c r="BH293" s="38">
        <f t="shared" si="190"/>
        <v>0.32857142857142857</v>
      </c>
      <c r="BI293" s="67">
        <f>IFERROR(((AG293*(12000/5))/((F293*60+G293)*(SUMIFS(팀공격력!X:X,팀공격력!A:A,B293,팀공격력!B:B,D293)+SUMIFS(팀수비력!X:X,팀수비력!A:A,B293,팀수비력!B:B,D293))))*100,"")</f>
        <v>0.78084585126838646</v>
      </c>
      <c r="BJ293" s="67">
        <f>IFERROR(((AI293*(12000/5))/((F293*60+G293)*(SUMIFS(팀공격력!V:V,팀공격력!A:A,B293,팀공격력!B:B,D293)+SUMIFS(팀수비력!W:W,팀수비력!A:A,B293,팀수비력!B:B,D293))))*100,"")</f>
        <v>7.5490161814559809</v>
      </c>
      <c r="BK293" s="67">
        <f>IFERROR(((AE293*(12000/5))/((F293*60+G293)*(SUMIFS(팀공격력!X:X,팀공격력!A:A,B293,팀공격력!B:B,D293)+SUMIFS(팀수비력!X:X,팀수비력!A:A,B293,팀수비력!B:B,D293))))*100,"")</f>
        <v>4.294652181976125</v>
      </c>
      <c r="BL293" s="67">
        <f>IFERROR(100*AK293/(((((F293*60+G293)/(12000/5))*SUMIFS(팀공격력!P:P,팀공격력!A:A,B293,팀공격력!B:B,D293))-K293)),"")</f>
        <v>27.936587527925397</v>
      </c>
      <c r="BM293" s="67">
        <f>IFERROR(100*((AM293/E293*(2400))/((F293*60+G293)*SUMIFS(팀공격력!AR:AR,팀공격력!A:A,B293,팀공격력!B:B,D293))),"")</f>
        <v>1.4046176806793254</v>
      </c>
      <c r="BN293" s="67">
        <f>IFERROR((AO293*40)/(((F293*60+G293)/60)*(SUMIFS(팀수비력!Q:Q,팀수비력!A:A,B293,팀수비력!B:B,D293)-SUMIFS(팀수비력!N:N,팀수비력!A:A,B293,팀수비력!B:B,D293)))*100,"")</f>
        <v>0</v>
      </c>
      <c r="BO293" s="67">
        <f t="shared" si="191"/>
        <v>18.344883815735834</v>
      </c>
      <c r="BT293" t="s">
        <v>89</v>
      </c>
      <c r="BV293" t="s">
        <v>90</v>
      </c>
      <c r="CF293">
        <v>6</v>
      </c>
      <c r="CG293">
        <v>3</v>
      </c>
    </row>
    <row r="294" spans="1:85" x14ac:dyDescent="0.4">
      <c r="A294" s="11" t="s">
        <v>85</v>
      </c>
      <c r="B294" t="s">
        <v>203</v>
      </c>
      <c r="C294" t="s">
        <v>217</v>
      </c>
      <c r="D294" s="46" t="s">
        <v>306</v>
      </c>
      <c r="E294">
        <v>8</v>
      </c>
      <c r="F294">
        <v>7</v>
      </c>
      <c r="G294" s="1">
        <v>8</v>
      </c>
      <c r="H294" s="16">
        <f t="shared" si="166"/>
        <v>3424</v>
      </c>
      <c r="I294">
        <v>14</v>
      </c>
      <c r="J294" s="17">
        <f t="shared" si="167"/>
        <v>1.75</v>
      </c>
      <c r="K294">
        <v>5</v>
      </c>
      <c r="L294">
        <v>13</v>
      </c>
      <c r="M294" s="17">
        <f t="shared" si="168"/>
        <v>0.625</v>
      </c>
      <c r="N294" s="17">
        <f t="shared" si="169"/>
        <v>1.625</v>
      </c>
      <c r="O294" s="18">
        <f t="shared" si="170"/>
        <v>0.38461538461538464</v>
      </c>
      <c r="P294">
        <v>3</v>
      </c>
      <c r="Q294">
        <v>7</v>
      </c>
      <c r="R294" s="17">
        <f t="shared" si="171"/>
        <v>0.375</v>
      </c>
      <c r="S294" s="17">
        <f t="shared" si="172"/>
        <v>0.875</v>
      </c>
      <c r="T294" s="18">
        <f t="shared" si="173"/>
        <v>0.42857142857142855</v>
      </c>
      <c r="U294">
        <v>2</v>
      </c>
      <c r="V294">
        <v>6</v>
      </c>
      <c r="W294" s="17">
        <f t="shared" si="174"/>
        <v>0.25</v>
      </c>
      <c r="X294" s="17">
        <f t="shared" si="175"/>
        <v>0.75</v>
      </c>
      <c r="Y294" s="18">
        <f t="shared" si="176"/>
        <v>0.33333333333333331</v>
      </c>
      <c r="Z294">
        <v>2</v>
      </c>
      <c r="AA294">
        <v>4</v>
      </c>
      <c r="AB294" s="17">
        <f t="shared" si="177"/>
        <v>0.25</v>
      </c>
      <c r="AC294" s="17">
        <f t="shared" si="178"/>
        <v>0.5</v>
      </c>
      <c r="AD294" s="18">
        <f t="shared" si="179"/>
        <v>0.5</v>
      </c>
      <c r="AE294">
        <v>4</v>
      </c>
      <c r="AF294" s="17">
        <f t="shared" si="180"/>
        <v>0.5</v>
      </c>
      <c r="AG294">
        <v>0</v>
      </c>
      <c r="AH294" s="17">
        <f t="shared" si="181"/>
        <v>0</v>
      </c>
      <c r="AI294">
        <v>4</v>
      </c>
      <c r="AJ294" s="17">
        <f t="shared" si="182"/>
        <v>0.5</v>
      </c>
      <c r="AK294">
        <v>2</v>
      </c>
      <c r="AL294" s="17">
        <f t="shared" si="183"/>
        <v>0.25</v>
      </c>
      <c r="AM294">
        <v>2</v>
      </c>
      <c r="AN294" s="17">
        <f t="shared" si="184"/>
        <v>0.25</v>
      </c>
      <c r="AO294">
        <v>2</v>
      </c>
      <c r="AQ294">
        <v>3</v>
      </c>
      <c r="AR294" s="17">
        <f t="shared" si="185"/>
        <v>0.375</v>
      </c>
      <c r="AS294">
        <v>11</v>
      </c>
      <c r="AT294" s="17">
        <f t="shared" si="186"/>
        <v>1.375</v>
      </c>
      <c r="BD294" s="65">
        <f t="shared" si="187"/>
        <v>47.425474254742554</v>
      </c>
      <c r="BE294" s="65">
        <f t="shared" si="188"/>
        <v>46.153846153846153</v>
      </c>
      <c r="BF294" s="66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13.005900988184838</v>
      </c>
      <c r="BG294" s="38">
        <f t="shared" si="189"/>
        <v>0.46153846153846156</v>
      </c>
      <c r="BH294" s="38">
        <f t="shared" si="190"/>
        <v>0.30769230769230771</v>
      </c>
      <c r="BI294" s="67">
        <f>IFERROR(((AG294*(12000/5))/((F294*60+G294)*(SUMIFS(팀공격력!X:X,팀공격력!A:A,B294,팀공격력!B:B,D294)+SUMIFS(팀수비력!X:X,팀수비력!A:A,B294,팀수비력!B:B,D294))))*100,"")</f>
        <v>0</v>
      </c>
      <c r="BJ294" s="67">
        <f>IFERROR(((AI294*(12000/5))/((F294*60+G294)*(SUMIFS(팀공격력!V:V,팀공격력!A:A,B294,팀공격력!B:B,D294)+SUMIFS(팀수비력!W:W,팀수비력!A:A,B294,팀수비력!B:B,D294))))*100,"")</f>
        <v>7.2354537232438956</v>
      </c>
      <c r="BK294" s="67">
        <f>IFERROR(((AE294*(12000/5))/((F294*60+G294)*(SUMIFS(팀공격력!X:X,팀공격력!A:A,B294,팀공격력!B:B,D294)+SUMIFS(팀수비력!X:X,팀수비력!A:A,B294,팀수비력!B:B,D294))))*100,"")</f>
        <v>3.367853835143555</v>
      </c>
      <c r="BL294" s="67">
        <f>IFERROR(100*AK294/(((((F294*60+G294)/(12000/5))*SUMIFS(팀공격력!P:P,팀공격력!A:A,B294,팀공격력!B:B,D294))-K294)),"")</f>
        <v>4.4334429378948528</v>
      </c>
      <c r="BM294" s="67">
        <f>IFERROR(100*((AM294/E294*(2400))/((F294*60+G294)*SUMIFS(팀공격력!AR:AR,팀공격력!A:A,B294,팀공격력!B:B,D294))),"")</f>
        <v>1.9472895649871753</v>
      </c>
      <c r="BN294" s="67">
        <f>IFERROR((AO294*40)/(((F294*60+G294)/60)*(SUMIFS(팀수비력!Q:Q,팀수비력!A:A,B294,팀수비력!B:B,D294)-SUMIFS(팀수비력!N:N,팀수비력!A:A,B294,팀수비력!B:B,D294)))*100,"")</f>
        <v>2.9590905728306165</v>
      </c>
      <c r="BO294" s="67">
        <f t="shared" si="191"/>
        <v>16.891891891891895</v>
      </c>
      <c r="BT294" t="s">
        <v>89</v>
      </c>
      <c r="BV294" t="s">
        <v>90</v>
      </c>
      <c r="CF294">
        <v>5</v>
      </c>
      <c r="CG294">
        <v>3</v>
      </c>
    </row>
    <row r="295" spans="1:85" x14ac:dyDescent="0.4">
      <c r="A295" s="11" t="s">
        <v>85</v>
      </c>
      <c r="B295" t="s">
        <v>203</v>
      </c>
      <c r="C295" t="s">
        <v>218</v>
      </c>
      <c r="D295" s="46" t="s">
        <v>306</v>
      </c>
      <c r="E295">
        <v>2</v>
      </c>
      <c r="F295">
        <v>5</v>
      </c>
      <c r="G295" s="1">
        <v>29</v>
      </c>
      <c r="H295" s="16">
        <f t="shared" si="166"/>
        <v>658</v>
      </c>
      <c r="I295">
        <v>0</v>
      </c>
      <c r="J295" s="17">
        <f t="shared" si="167"/>
        <v>0</v>
      </c>
      <c r="K295">
        <v>0</v>
      </c>
      <c r="L295">
        <v>1</v>
      </c>
      <c r="M295" s="17">
        <f t="shared" si="168"/>
        <v>0</v>
      </c>
      <c r="N295" s="17">
        <f t="shared" si="169"/>
        <v>0.5</v>
      </c>
      <c r="O295" s="18">
        <f t="shared" si="170"/>
        <v>0</v>
      </c>
      <c r="P295">
        <v>0</v>
      </c>
      <c r="Q295">
        <v>0</v>
      </c>
      <c r="R295" s="17">
        <f t="shared" si="171"/>
        <v>0</v>
      </c>
      <c r="S295" s="17">
        <f t="shared" si="172"/>
        <v>0</v>
      </c>
      <c r="T295" s="18" t="e">
        <f t="shared" si="173"/>
        <v>#DIV/0!</v>
      </c>
      <c r="U295">
        <v>0</v>
      </c>
      <c r="V295">
        <v>1</v>
      </c>
      <c r="W295" s="17">
        <f t="shared" si="174"/>
        <v>0</v>
      </c>
      <c r="X295" s="17">
        <f t="shared" si="175"/>
        <v>0.5</v>
      </c>
      <c r="Y295" s="18">
        <f t="shared" si="176"/>
        <v>0</v>
      </c>
      <c r="Z295">
        <v>0</v>
      </c>
      <c r="AA295">
        <v>0</v>
      </c>
      <c r="AB295" s="17">
        <f t="shared" si="177"/>
        <v>0</v>
      </c>
      <c r="AC295" s="17">
        <f t="shared" si="178"/>
        <v>0</v>
      </c>
      <c r="AD295" s="18" t="e">
        <f t="shared" si="179"/>
        <v>#DIV/0!</v>
      </c>
      <c r="AE295">
        <v>0</v>
      </c>
      <c r="AF295" s="17">
        <f t="shared" si="180"/>
        <v>0</v>
      </c>
      <c r="AG295">
        <v>0</v>
      </c>
      <c r="AH295" s="17">
        <f t="shared" si="181"/>
        <v>0</v>
      </c>
      <c r="AI295">
        <v>0</v>
      </c>
      <c r="AJ295" s="17">
        <f t="shared" si="182"/>
        <v>0</v>
      </c>
      <c r="AK295">
        <v>2</v>
      </c>
      <c r="AL295" s="17">
        <f t="shared" si="183"/>
        <v>1</v>
      </c>
      <c r="AM295">
        <v>0</v>
      </c>
      <c r="AN295" s="17">
        <f t="shared" si="184"/>
        <v>0</v>
      </c>
      <c r="AO295">
        <v>0</v>
      </c>
      <c r="AQ295">
        <v>0</v>
      </c>
      <c r="AR295" s="17">
        <f t="shared" si="185"/>
        <v>0</v>
      </c>
      <c r="AS295">
        <v>1</v>
      </c>
      <c r="AT295" s="17">
        <f t="shared" si="186"/>
        <v>0.5</v>
      </c>
      <c r="BD295" s="65">
        <f t="shared" si="187"/>
        <v>0</v>
      </c>
      <c r="BE295" s="65">
        <f t="shared" si="188"/>
        <v>0</v>
      </c>
      <c r="BF295" s="66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0.95267628202838117</v>
      </c>
      <c r="BG295" s="38">
        <f t="shared" si="189"/>
        <v>1</v>
      </c>
      <c r="BH295" s="38">
        <f t="shared" si="190"/>
        <v>0</v>
      </c>
      <c r="BI295" s="67">
        <f>IFERROR(((AG295*(12000/5))/((F295*60+G295)*(SUMIFS(팀공격력!X:X,팀공격력!A:A,B295,팀공격력!B:B,D295)+SUMIFS(팀수비력!X:X,팀수비력!A:A,B295,팀수비력!B:B,D295))))*100,"")</f>
        <v>0</v>
      </c>
      <c r="BJ295" s="67">
        <f>IFERROR(((AI295*(12000/5))/((F295*60+G295)*(SUMIFS(팀공격력!V:V,팀공격력!A:A,B295,팀공격력!B:B,D295)+SUMIFS(팀수비력!W:W,팀수비력!A:A,B295,팀수비력!B:B,D295))))*100,"")</f>
        <v>0</v>
      </c>
      <c r="BK295" s="67">
        <f>IFERROR(((AE295*(12000/5))/((F295*60+G295)*(SUMIFS(팀공격력!X:X,팀공격력!A:A,B295,팀공격력!B:B,D295)+SUMIFS(팀수비력!X:X,팀수비력!A:A,B295,팀수비력!B:B,D295))))*100,"")</f>
        <v>0</v>
      </c>
      <c r="BL295" s="67">
        <f>IFERROR(100*AK295/(((((F295*60+G295)/(12000/5))*SUMIFS(팀공격력!P:P,팀공격력!A:A,B295,팀공격력!B:B,D295))-K295)),"")</f>
        <v>5.1920518339841424</v>
      </c>
      <c r="BM295" s="67">
        <f>IFERROR(100*((AM295/E295*(2400))/((F295*60+G295)*SUMIFS(팀공격력!AR:AR,팀공격력!A:A,B295,팀공격력!B:B,D295))),"")</f>
        <v>0</v>
      </c>
      <c r="BN295" s="67">
        <f>IFERROR((AO295*40)/(((F295*60+G295)/60)*(SUMIFS(팀수비력!Q:Q,팀수비력!A:A,B295,팀수비력!B:B,D295)-SUMIFS(팀수비력!N:N,팀수비력!A:A,B295,팀수비력!B:B,D295)))*100,"")</f>
        <v>0</v>
      </c>
      <c r="BO295" s="67">
        <f t="shared" si="191"/>
        <v>0</v>
      </c>
      <c r="BT295" t="s">
        <v>89</v>
      </c>
      <c r="BV295" t="s">
        <v>90</v>
      </c>
      <c r="CF295">
        <v>1</v>
      </c>
      <c r="CG295">
        <v>1</v>
      </c>
    </row>
    <row r="296" spans="1:85" x14ac:dyDescent="0.4">
      <c r="A296" s="11" t="s">
        <v>85</v>
      </c>
      <c r="B296" t="s">
        <v>203</v>
      </c>
      <c r="C296" t="s">
        <v>219</v>
      </c>
      <c r="D296" s="46" t="s">
        <v>306</v>
      </c>
      <c r="E296">
        <v>9</v>
      </c>
      <c r="F296">
        <v>10</v>
      </c>
      <c r="G296" s="1">
        <v>0</v>
      </c>
      <c r="H296" s="16">
        <f t="shared" si="166"/>
        <v>5400</v>
      </c>
      <c r="I296">
        <v>8</v>
      </c>
      <c r="J296" s="17">
        <f t="shared" si="167"/>
        <v>0.88888888888888884</v>
      </c>
      <c r="K296">
        <v>2</v>
      </c>
      <c r="L296">
        <v>14</v>
      </c>
      <c r="M296" s="17">
        <f t="shared" si="168"/>
        <v>0.22222222222222221</v>
      </c>
      <c r="N296" s="17">
        <f t="shared" si="169"/>
        <v>1.5555555555555556</v>
      </c>
      <c r="O296" s="18">
        <f t="shared" si="170"/>
        <v>0.14285714285714285</v>
      </c>
      <c r="P296">
        <v>2</v>
      </c>
      <c r="Q296">
        <v>8</v>
      </c>
      <c r="R296" s="17">
        <f t="shared" si="171"/>
        <v>0.22222222222222221</v>
      </c>
      <c r="S296" s="17">
        <f t="shared" si="172"/>
        <v>0.88888888888888884</v>
      </c>
      <c r="T296" s="18">
        <f t="shared" si="173"/>
        <v>0.25</v>
      </c>
      <c r="U296">
        <v>0</v>
      </c>
      <c r="V296">
        <v>6</v>
      </c>
      <c r="W296" s="17">
        <f t="shared" si="174"/>
        <v>0</v>
      </c>
      <c r="X296" s="17">
        <f t="shared" si="175"/>
        <v>0.66666666666666663</v>
      </c>
      <c r="Y296" s="18">
        <f t="shared" si="176"/>
        <v>0</v>
      </c>
      <c r="Z296">
        <v>4</v>
      </c>
      <c r="AA296">
        <v>4</v>
      </c>
      <c r="AB296" s="17">
        <f t="shared" si="177"/>
        <v>0.44444444444444442</v>
      </c>
      <c r="AC296" s="17">
        <f t="shared" si="178"/>
        <v>0.44444444444444442</v>
      </c>
      <c r="AD296" s="18">
        <f t="shared" si="179"/>
        <v>1</v>
      </c>
      <c r="AE296">
        <v>19</v>
      </c>
      <c r="AF296" s="17">
        <f t="shared" si="180"/>
        <v>2.1111111111111112</v>
      </c>
      <c r="AG296">
        <v>9</v>
      </c>
      <c r="AH296" s="17">
        <f t="shared" si="181"/>
        <v>1</v>
      </c>
      <c r="AI296">
        <v>10</v>
      </c>
      <c r="AJ296" s="17">
        <f t="shared" si="182"/>
        <v>1.1111111111111112</v>
      </c>
      <c r="AK296">
        <v>22</v>
      </c>
      <c r="AL296" s="17">
        <f t="shared" si="183"/>
        <v>2.4444444444444446</v>
      </c>
      <c r="AM296">
        <v>5</v>
      </c>
      <c r="AN296" s="17">
        <f t="shared" si="184"/>
        <v>0.55555555555555558</v>
      </c>
      <c r="AO296">
        <v>1</v>
      </c>
      <c r="AQ296">
        <v>5</v>
      </c>
      <c r="AR296" s="17">
        <f t="shared" si="185"/>
        <v>0.55555555555555558</v>
      </c>
      <c r="AS296">
        <v>12</v>
      </c>
      <c r="AT296" s="17">
        <f t="shared" si="186"/>
        <v>1.3333333333333333</v>
      </c>
      <c r="BD296" s="65">
        <f t="shared" si="187"/>
        <v>25.380710659898476</v>
      </c>
      <c r="BE296" s="65">
        <f t="shared" si="188"/>
        <v>14.285714285714285</v>
      </c>
      <c r="BF296" s="66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10.844695188841872</v>
      </c>
      <c r="BG296" s="38">
        <f t="shared" si="189"/>
        <v>0.42857142857142855</v>
      </c>
      <c r="BH296" s="38">
        <f t="shared" si="190"/>
        <v>0.2857142857142857</v>
      </c>
      <c r="BI296" s="67">
        <f>IFERROR(((AG296*(12000/5))/((F296*60+G296)*(SUMIFS(팀공격력!X:X,팀공격력!A:A,B296,팀공격력!B:B,D296)+SUMIFS(팀수비력!X:X,팀수비력!A:A,B296,팀수비력!B:B,D296))))*100,"")</f>
        <v>5.4054054054054053</v>
      </c>
      <c r="BJ296" s="67">
        <f>IFERROR(((AI296*(12000/5))/((F296*60+G296)*(SUMIFS(팀공격력!V:V,팀공격력!A:A,B296,팀공격력!B:B,D296)+SUMIFS(팀수비력!W:W,팀수비력!A:A,B296,팀수비력!B:B,D296))))*100,"")</f>
        <v>12.903225806451612</v>
      </c>
      <c r="BK296" s="67">
        <f>IFERROR(((AE296*(12000/5))/((F296*60+G296)*(SUMIFS(팀공격력!X:X,팀공격력!A:A,B296,팀공격력!B:B,D296)+SUMIFS(팀수비력!X:X,팀수비력!A:A,B296,팀수비력!B:B,D296))))*100,"")</f>
        <v>11.411411411411411</v>
      </c>
      <c r="BL296" s="67">
        <f>IFERROR(100*AK296/(((((F296*60+G296)/(12000/5))*SUMIFS(팀공격력!P:P,팀공격력!A:A,B296,팀공격력!B:B,D296))-K296)),"")</f>
        <v>32.234432234432234</v>
      </c>
      <c r="BM296" s="67">
        <f>IFERROR(100*((AM296/E296*(2400))/((F296*60+G296)*SUMIFS(팀공격력!AR:AR,팀공격력!A:A,B296,팀공격력!B:B,D296))),"")</f>
        <v>3.0868145696833751</v>
      </c>
      <c r="BN296" s="67">
        <f>IFERROR((AO296*40)/(((F296*60+G296)/60)*(SUMIFS(팀수비력!Q:Q,팀수비력!A:A,B296,팀수비력!B:B,D296)-SUMIFS(팀수비력!N:N,팀수비력!A:A,B296,팀수비력!B:B,D296)))*100,"")</f>
        <v>1.0554089709762533</v>
      </c>
      <c r="BO296" s="67">
        <f t="shared" si="191"/>
        <v>24.084778420038539</v>
      </c>
      <c r="BT296" t="s">
        <v>89</v>
      </c>
      <c r="BV296" t="s">
        <v>90</v>
      </c>
      <c r="CF296">
        <v>6</v>
      </c>
      <c r="CG296">
        <v>3</v>
      </c>
    </row>
    <row r="297" spans="1:85" x14ac:dyDescent="0.4">
      <c r="A297" s="11" t="s">
        <v>85</v>
      </c>
      <c r="B297" t="s">
        <v>203</v>
      </c>
      <c r="C297" t="s">
        <v>220</v>
      </c>
      <c r="D297" s="46" t="s">
        <v>306</v>
      </c>
      <c r="E297">
        <v>9</v>
      </c>
      <c r="F297">
        <v>31</v>
      </c>
      <c r="G297" s="1">
        <v>18</v>
      </c>
      <c r="H297" s="16">
        <f t="shared" si="166"/>
        <v>16902</v>
      </c>
      <c r="I297">
        <v>192</v>
      </c>
      <c r="J297" s="17">
        <f t="shared" si="167"/>
        <v>21.333333333333332</v>
      </c>
      <c r="K297">
        <v>75</v>
      </c>
      <c r="L297">
        <v>177</v>
      </c>
      <c r="M297" s="17">
        <f t="shared" si="168"/>
        <v>8.3333333333333339</v>
      </c>
      <c r="N297" s="17">
        <f t="shared" si="169"/>
        <v>19.666666666666668</v>
      </c>
      <c r="O297" s="18">
        <f t="shared" si="170"/>
        <v>0.42372881355932202</v>
      </c>
      <c r="P297">
        <v>55</v>
      </c>
      <c r="Q297">
        <v>118</v>
      </c>
      <c r="R297" s="17">
        <f t="shared" si="171"/>
        <v>6.1111111111111107</v>
      </c>
      <c r="S297" s="17">
        <f t="shared" si="172"/>
        <v>13.111111111111111</v>
      </c>
      <c r="T297" s="18">
        <f t="shared" si="173"/>
        <v>0.46610169491525422</v>
      </c>
      <c r="U297">
        <v>20</v>
      </c>
      <c r="V297">
        <v>59</v>
      </c>
      <c r="W297" s="17">
        <f t="shared" si="174"/>
        <v>2.2222222222222223</v>
      </c>
      <c r="X297" s="17">
        <f t="shared" si="175"/>
        <v>6.5555555555555554</v>
      </c>
      <c r="Y297" s="18">
        <f t="shared" si="176"/>
        <v>0.33898305084745761</v>
      </c>
      <c r="Z297">
        <v>22</v>
      </c>
      <c r="AA297">
        <v>28</v>
      </c>
      <c r="AB297" s="17">
        <f t="shared" si="177"/>
        <v>2.4444444444444446</v>
      </c>
      <c r="AC297" s="17">
        <f t="shared" si="178"/>
        <v>3.1111111111111112</v>
      </c>
      <c r="AD297" s="18">
        <f t="shared" si="179"/>
        <v>0.7857142857142857</v>
      </c>
      <c r="AE297">
        <v>93</v>
      </c>
      <c r="AF297" s="17">
        <f t="shared" si="180"/>
        <v>10.333333333333334</v>
      </c>
      <c r="AG297">
        <v>22</v>
      </c>
      <c r="AH297" s="17">
        <f t="shared" si="181"/>
        <v>2.4444444444444446</v>
      </c>
      <c r="AI297">
        <v>71</v>
      </c>
      <c r="AJ297" s="17">
        <f t="shared" si="182"/>
        <v>7.8888888888888893</v>
      </c>
      <c r="AK297">
        <v>43</v>
      </c>
      <c r="AL297" s="17">
        <f t="shared" si="183"/>
        <v>4.7777777777777777</v>
      </c>
      <c r="AM297">
        <v>14</v>
      </c>
      <c r="AN297" s="17">
        <f t="shared" si="184"/>
        <v>1.5555555555555556</v>
      </c>
      <c r="AO297">
        <v>13</v>
      </c>
      <c r="AQ297">
        <v>23</v>
      </c>
      <c r="AR297" s="17">
        <f t="shared" si="185"/>
        <v>2.5555555555555554</v>
      </c>
      <c r="AS297">
        <v>19</v>
      </c>
      <c r="AT297" s="17">
        <f t="shared" si="186"/>
        <v>2.1111111111111112</v>
      </c>
      <c r="BD297" s="65">
        <f t="shared" si="187"/>
        <v>50.707796323684775</v>
      </c>
      <c r="BE297" s="65">
        <f t="shared" si="188"/>
        <v>48.022598870056498</v>
      </c>
      <c r="BF297" s="66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35.435337102176504</v>
      </c>
      <c r="BG297" s="38">
        <f t="shared" si="189"/>
        <v>0.33333333333333331</v>
      </c>
      <c r="BH297" s="38">
        <f t="shared" si="190"/>
        <v>0.15819209039548024</v>
      </c>
      <c r="BI297" s="67">
        <f>IFERROR(((AG297*(12000/5))/((F297*60+G297)*(SUMIFS(팀공격력!X:X,팀공격력!A:A,B297,팀공격력!B:B,D297)+SUMIFS(팀수비력!X:X,팀수비력!A:A,B297,팀수비력!B:B,D297))))*100,"")</f>
        <v>4.2214738700361698</v>
      </c>
      <c r="BJ297" s="67">
        <f>IFERROR(((AI297*(12000/5))/((F297*60+G297)*(SUMIFS(팀공격력!V:V,팀공격력!A:A,B297,팀공격력!B:B,D297)+SUMIFS(팀수비력!W:W,팀수비력!A:A,B297,팀수비력!B:B,D297))))*100,"")</f>
        <v>29.269298155209729</v>
      </c>
      <c r="BK297" s="67">
        <f>IFERROR(((AE297*(12000/5))/((F297*60+G297)*(SUMIFS(팀공격력!X:X,팀공격력!A:A,B297,팀공격력!B:B,D297)+SUMIFS(팀수비력!X:X,팀수비력!A:A,B297,팀수비력!B:B,D297))))*100,"")</f>
        <v>17.845321359698357</v>
      </c>
      <c r="BL297" s="67">
        <f>IFERROR(100*AK297/(((((F297*60+G297)/(12000/5))*SUMIFS(팀공격력!P:P,팀공격력!A:A,B297,팀공격력!B:B,D297))-K297)),"")</f>
        <v>29.679222818490846</v>
      </c>
      <c r="BM297" s="67">
        <f>IFERROR(100*((AM297/E297*(2400))/((F297*60+G297)*SUMIFS(팀공격력!AR:AR,팀공격력!A:A,B297,팀공격력!B:B,D297))),"")</f>
        <v>2.7613676661704312</v>
      </c>
      <c r="BN297" s="67">
        <f>IFERROR((AO297*40)/(((F297*60+G297)/60)*(SUMIFS(팀수비력!Q:Q,팀수비력!A:A,B297,팀수비력!B:B,D297)-SUMIFS(팀수비력!N:N,팀수비력!A:A,B297,팀수비력!B:B,D297)))*100,"")</f>
        <v>4.3834877388790074</v>
      </c>
      <c r="BO297" s="67">
        <f t="shared" si="191"/>
        <v>10.83270535041447</v>
      </c>
      <c r="BT297" t="s">
        <v>96</v>
      </c>
      <c r="BV297" t="s">
        <v>93</v>
      </c>
      <c r="CF297">
        <v>6</v>
      </c>
      <c r="CG297">
        <v>3</v>
      </c>
    </row>
    <row r="298" spans="1:85" x14ac:dyDescent="0.4">
      <c r="A298" s="11" t="s">
        <v>85</v>
      </c>
      <c r="B298" t="s">
        <v>203</v>
      </c>
      <c r="C298" t="s">
        <v>221</v>
      </c>
      <c r="D298" s="46" t="s">
        <v>306</v>
      </c>
      <c r="E298">
        <v>9</v>
      </c>
      <c r="F298">
        <v>32</v>
      </c>
      <c r="G298" s="1">
        <v>37</v>
      </c>
      <c r="H298" s="16">
        <f t="shared" si="166"/>
        <v>17613</v>
      </c>
      <c r="I298">
        <v>176</v>
      </c>
      <c r="J298" s="17">
        <f t="shared" si="167"/>
        <v>19.555555555555557</v>
      </c>
      <c r="K298">
        <v>68</v>
      </c>
      <c r="L298">
        <v>108</v>
      </c>
      <c r="M298" s="17">
        <f t="shared" si="168"/>
        <v>7.5555555555555554</v>
      </c>
      <c r="N298" s="17">
        <f t="shared" si="169"/>
        <v>12</v>
      </c>
      <c r="O298" s="18">
        <f t="shared" si="170"/>
        <v>0.62962962962962965</v>
      </c>
      <c r="P298">
        <v>68</v>
      </c>
      <c r="Q298">
        <v>107</v>
      </c>
      <c r="R298" s="17">
        <f t="shared" si="171"/>
        <v>7.5555555555555554</v>
      </c>
      <c r="S298" s="17">
        <f t="shared" si="172"/>
        <v>11.888888888888889</v>
      </c>
      <c r="T298" s="18">
        <f t="shared" si="173"/>
        <v>0.63551401869158874</v>
      </c>
      <c r="U298">
        <v>0</v>
      </c>
      <c r="V298">
        <v>1</v>
      </c>
      <c r="W298" s="17">
        <f t="shared" si="174"/>
        <v>0</v>
      </c>
      <c r="X298" s="17">
        <f t="shared" si="175"/>
        <v>0.1111111111111111</v>
      </c>
      <c r="Y298" s="18">
        <f t="shared" si="176"/>
        <v>0</v>
      </c>
      <c r="Z298">
        <v>40</v>
      </c>
      <c r="AA298">
        <v>50</v>
      </c>
      <c r="AB298" s="17">
        <f t="shared" si="177"/>
        <v>4.4444444444444446</v>
      </c>
      <c r="AC298" s="17">
        <f t="shared" si="178"/>
        <v>5.5555555555555554</v>
      </c>
      <c r="AD298" s="18">
        <f t="shared" si="179"/>
        <v>0.8</v>
      </c>
      <c r="AE298">
        <v>63</v>
      </c>
      <c r="AF298" s="17">
        <f t="shared" si="180"/>
        <v>7</v>
      </c>
      <c r="AG298">
        <v>14</v>
      </c>
      <c r="AH298" s="17">
        <f t="shared" si="181"/>
        <v>1.5555555555555556</v>
      </c>
      <c r="AI298">
        <v>49</v>
      </c>
      <c r="AJ298" s="17">
        <f t="shared" si="182"/>
        <v>5.4444444444444446</v>
      </c>
      <c r="AK298">
        <v>13</v>
      </c>
      <c r="AL298" s="17">
        <f t="shared" si="183"/>
        <v>1.4444444444444444</v>
      </c>
      <c r="AM298">
        <v>5</v>
      </c>
      <c r="AN298" s="17">
        <f t="shared" si="184"/>
        <v>0.55555555555555558</v>
      </c>
      <c r="AO298">
        <v>4</v>
      </c>
      <c r="AQ298">
        <v>12</v>
      </c>
      <c r="AR298" s="17">
        <f t="shared" si="185"/>
        <v>1.3333333333333333</v>
      </c>
      <c r="AS298">
        <v>24</v>
      </c>
      <c r="AT298" s="17">
        <f t="shared" si="186"/>
        <v>2.6666666666666665</v>
      </c>
      <c r="BD298" s="65">
        <f t="shared" si="187"/>
        <v>67.692307692307693</v>
      </c>
      <c r="BE298" s="65">
        <f t="shared" si="188"/>
        <v>62.962962962962962</v>
      </c>
      <c r="BF298" s="66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22.742529659581969</v>
      </c>
      <c r="BG298" s="38">
        <f t="shared" si="189"/>
        <v>9.2592592592592587E-3</v>
      </c>
      <c r="BH298" s="38">
        <f t="shared" si="190"/>
        <v>0.46296296296296297</v>
      </c>
      <c r="BI298" s="67">
        <f>IFERROR(((AG298*(12000/5))/((F298*60+G298)*(SUMIFS(팀공격력!X:X,팀공격력!A:A,B298,팀공격력!B:B,D298)+SUMIFS(팀수비력!X:X,팀수비력!A:A,B298,팀수비력!B:B,D298))))*100,"")</f>
        <v>2.5779484134108559</v>
      </c>
      <c r="BJ298" s="67">
        <f>IFERROR(((AI298*(12000/5))/((F298*60+G298)*(SUMIFS(팀공격력!V:V,팀공격력!A:A,B298,팀공격력!B:B,D298)+SUMIFS(팀수비력!W:W,팀수비력!A:A,B298,팀수비력!B:B,D298))))*100,"")</f>
        <v>19.384508876324855</v>
      </c>
      <c r="BK298" s="67">
        <f>IFERROR(((AE298*(12000/5))/((F298*60+G298)*(SUMIFS(팀공격력!X:X,팀공격력!A:A,B298,팀공격력!B:B,D298)+SUMIFS(팀수비력!X:X,팀수비력!A:A,B298,팀수비력!B:B,D298))))*100,"")</f>
        <v>11.600767860348851</v>
      </c>
      <c r="BL298" s="67">
        <f>IFERROR(100*AK298/(((((F298*60+G298)/(12000/5))*SUMIFS(팀공격력!P:P,팀공격력!A:A,B298,팀공격력!B:B,D298))-K298)),"")</f>
        <v>8.0679152972328598</v>
      </c>
      <c r="BM298" s="67">
        <f>IFERROR(100*((AM298/E298*(2400))/((F298*60+G298)*SUMIFS(팀공격력!AR:AR,팀공격력!A:A,B298,팀공격력!B:B,D298))),"")</f>
        <v>0.9463917944864717</v>
      </c>
      <c r="BN298" s="67">
        <f>IFERROR((AO298*40)/(((F298*60+G298)/60)*(SUMIFS(팀수비력!Q:Q,팀수비력!A:A,B298,팀수비력!B:B,D298)-SUMIFS(팀수비력!N:N,팀수비력!A:A,B298,팀수비력!B:B,D298)))*100,"")</f>
        <v>1.2943186154026611</v>
      </c>
      <c r="BO298" s="67">
        <f t="shared" si="191"/>
        <v>8.4507042253521121</v>
      </c>
      <c r="BT298" t="s">
        <v>89</v>
      </c>
      <c r="BV298" t="s">
        <v>102</v>
      </c>
      <c r="CF298">
        <v>6</v>
      </c>
      <c r="CG298">
        <v>3</v>
      </c>
    </row>
    <row r="299" spans="1:85" x14ac:dyDescent="0.4">
      <c r="A299" s="11" t="s">
        <v>85</v>
      </c>
      <c r="B299" t="s">
        <v>203</v>
      </c>
      <c r="C299" t="s">
        <v>222</v>
      </c>
      <c r="D299" s="46" t="s">
        <v>306</v>
      </c>
      <c r="E299">
        <v>9</v>
      </c>
      <c r="F299">
        <v>27</v>
      </c>
      <c r="G299" s="1">
        <v>57</v>
      </c>
      <c r="H299" s="16">
        <f t="shared" si="166"/>
        <v>15093</v>
      </c>
      <c r="I299">
        <v>89</v>
      </c>
      <c r="J299" s="17">
        <f t="shared" si="167"/>
        <v>9.8888888888888893</v>
      </c>
      <c r="K299">
        <v>35</v>
      </c>
      <c r="L299">
        <v>71</v>
      </c>
      <c r="M299" s="17">
        <f t="shared" si="168"/>
        <v>3.8888888888888888</v>
      </c>
      <c r="N299" s="17">
        <f t="shared" si="169"/>
        <v>7.8888888888888893</v>
      </c>
      <c r="O299" s="18">
        <f t="shared" si="170"/>
        <v>0.49295774647887325</v>
      </c>
      <c r="P299">
        <v>21</v>
      </c>
      <c r="Q299">
        <v>29</v>
      </c>
      <c r="R299" s="17">
        <f t="shared" si="171"/>
        <v>2.3333333333333335</v>
      </c>
      <c r="S299" s="17">
        <f t="shared" si="172"/>
        <v>3.2222222222222223</v>
      </c>
      <c r="T299" s="18">
        <f t="shared" si="173"/>
        <v>0.72413793103448276</v>
      </c>
      <c r="U299">
        <v>14</v>
      </c>
      <c r="V299">
        <v>42</v>
      </c>
      <c r="W299" s="17">
        <f t="shared" si="174"/>
        <v>1.5555555555555556</v>
      </c>
      <c r="X299" s="17">
        <f t="shared" si="175"/>
        <v>4.666666666666667</v>
      </c>
      <c r="Y299" s="18">
        <f t="shared" si="176"/>
        <v>0.33333333333333331</v>
      </c>
      <c r="Z299">
        <v>5</v>
      </c>
      <c r="AA299">
        <v>8</v>
      </c>
      <c r="AB299" s="17">
        <f t="shared" si="177"/>
        <v>0.55555555555555558</v>
      </c>
      <c r="AC299" s="17">
        <f t="shared" si="178"/>
        <v>0.88888888888888884</v>
      </c>
      <c r="AD299" s="18">
        <f t="shared" si="179"/>
        <v>0.625</v>
      </c>
      <c r="AE299">
        <v>41</v>
      </c>
      <c r="AF299" s="17">
        <f t="shared" si="180"/>
        <v>4.5555555555555554</v>
      </c>
      <c r="AG299">
        <v>13</v>
      </c>
      <c r="AH299" s="17">
        <f t="shared" si="181"/>
        <v>1.4444444444444444</v>
      </c>
      <c r="AI299">
        <v>28</v>
      </c>
      <c r="AJ299" s="17">
        <f t="shared" si="182"/>
        <v>3.1111111111111112</v>
      </c>
      <c r="AK299">
        <v>10</v>
      </c>
      <c r="AL299" s="17">
        <f t="shared" si="183"/>
        <v>1.1111111111111112</v>
      </c>
      <c r="AM299">
        <v>10</v>
      </c>
      <c r="AN299" s="17">
        <f t="shared" si="184"/>
        <v>1.1111111111111112</v>
      </c>
      <c r="AO299">
        <v>4</v>
      </c>
      <c r="AQ299">
        <v>8</v>
      </c>
      <c r="AR299" s="17">
        <f t="shared" si="185"/>
        <v>0.88888888888888884</v>
      </c>
      <c r="AS299">
        <v>15</v>
      </c>
      <c r="AT299" s="17">
        <f t="shared" si="186"/>
        <v>1.6666666666666667</v>
      </c>
      <c r="BD299" s="65">
        <f t="shared" si="187"/>
        <v>59.715512614063336</v>
      </c>
      <c r="BE299" s="65">
        <f t="shared" si="188"/>
        <v>59.154929577464785</v>
      </c>
      <c r="BF299" s="66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15.422948476381087</v>
      </c>
      <c r="BG299" s="38">
        <f t="shared" si="189"/>
        <v>0.59154929577464788</v>
      </c>
      <c r="BH299" s="38">
        <f t="shared" si="190"/>
        <v>0.11267605633802817</v>
      </c>
      <c r="BI299" s="67">
        <f>IFERROR(((AG299*(12000/5))/((F299*60+G299)*(SUMIFS(팀공격력!X:X,팀공격력!A:A,B299,팀공격력!B:B,D299)+SUMIFS(팀수비력!X:X,팀수비력!A:A,B299,팀수비력!B:B,D299))))*100,"")</f>
        <v>2.7934911655841885</v>
      </c>
      <c r="BJ299" s="67">
        <f>IFERROR(((AI299*(12000/5))/((F299*60+G299)*(SUMIFS(팀공격력!V:V,팀공격력!A:A,B299,팀공격력!B:B,D299)+SUMIFS(팀수비력!W:W,팀수비력!A:A,B299,팀수비력!B:B,D299))))*100,"")</f>
        <v>12.926308500201975</v>
      </c>
      <c r="BK299" s="67">
        <f>IFERROR(((AE299*(12000/5))/((F299*60+G299)*(SUMIFS(팀공격력!X:X,팀공격력!A:A,B299,팀공격력!B:B,D299)+SUMIFS(팀수비력!X:X,팀수비력!A:A,B299,팀수비력!B:B,D299))))*100,"")</f>
        <v>8.8102413683809022</v>
      </c>
      <c r="BL299" s="67">
        <f>IFERROR(100*AK299/(((((F299*60+G299)/(12000/5))*SUMIFS(팀공격력!P:P,팀공격력!A:A,B299,팀공격력!B:B,D299))-K299)),"")</f>
        <v>6.1977548633007693</v>
      </c>
      <c r="BM299" s="67">
        <f>IFERROR(100*((AM299/E299*(2400))/((F299*60+G299)*SUMIFS(팀공격력!AR:AR,팀공격력!A:A,B299,팀공격력!B:B,D299))),"")</f>
        <v>2.2088118566607329</v>
      </c>
      <c r="BN299" s="67">
        <f>IFERROR((AO299*40)/(((F299*60+G299)/60)*(SUMIFS(팀수비력!Q:Q,팀수비력!A:A,B299,팀수비력!B:B,D299)-SUMIFS(팀수비력!N:N,팀수비력!A:A,B299,팀수비력!B:B,D299)))*100,"")</f>
        <v>1.5104242876225451</v>
      </c>
      <c r="BO299" s="67">
        <f t="shared" si="191"/>
        <v>9.694619486185168</v>
      </c>
      <c r="BT299" t="s">
        <v>89</v>
      </c>
      <c r="BV299" t="s">
        <v>93</v>
      </c>
      <c r="CF299">
        <v>6</v>
      </c>
      <c r="CG299">
        <v>3</v>
      </c>
    </row>
    <row r="300" spans="1:85" x14ac:dyDescent="0.4">
      <c r="A300" s="11" t="s">
        <v>85</v>
      </c>
      <c r="B300" t="s">
        <v>224</v>
      </c>
      <c r="C300" t="s">
        <v>225</v>
      </c>
      <c r="D300" s="46" t="s">
        <v>306</v>
      </c>
      <c r="E300">
        <v>6</v>
      </c>
      <c r="F300">
        <v>6</v>
      </c>
      <c r="G300" s="1">
        <v>12</v>
      </c>
      <c r="H300" s="16">
        <f t="shared" si="166"/>
        <v>2232</v>
      </c>
      <c r="I300">
        <v>9</v>
      </c>
      <c r="J300" s="17">
        <f t="shared" si="167"/>
        <v>1.5</v>
      </c>
      <c r="K300">
        <v>2</v>
      </c>
      <c r="L300">
        <v>11</v>
      </c>
      <c r="M300" s="17">
        <f t="shared" si="168"/>
        <v>0.33333333333333331</v>
      </c>
      <c r="N300" s="17">
        <f t="shared" si="169"/>
        <v>1.8333333333333333</v>
      </c>
      <c r="O300" s="18">
        <f t="shared" si="170"/>
        <v>0.18181818181818182</v>
      </c>
      <c r="P300">
        <v>1</v>
      </c>
      <c r="Q300">
        <v>3</v>
      </c>
      <c r="R300" s="17">
        <f t="shared" si="171"/>
        <v>0.16666666666666666</v>
      </c>
      <c r="S300" s="17">
        <f t="shared" si="172"/>
        <v>0.5</v>
      </c>
      <c r="T300" s="18">
        <f t="shared" si="173"/>
        <v>0.33333333333333331</v>
      </c>
      <c r="U300">
        <v>1</v>
      </c>
      <c r="V300">
        <v>8</v>
      </c>
      <c r="W300" s="17">
        <f t="shared" si="174"/>
        <v>0.16666666666666666</v>
      </c>
      <c r="X300" s="17">
        <f t="shared" si="175"/>
        <v>1.3333333333333333</v>
      </c>
      <c r="Y300" s="18">
        <f t="shared" si="176"/>
        <v>0.125</v>
      </c>
      <c r="Z300">
        <v>4</v>
      </c>
      <c r="AA300">
        <v>4</v>
      </c>
      <c r="AB300" s="17">
        <f t="shared" si="177"/>
        <v>0.66666666666666663</v>
      </c>
      <c r="AC300" s="17">
        <f t="shared" si="178"/>
        <v>0.66666666666666663</v>
      </c>
      <c r="AD300" s="18">
        <f t="shared" si="179"/>
        <v>1</v>
      </c>
      <c r="AE300">
        <v>5</v>
      </c>
      <c r="AF300" s="17">
        <f t="shared" si="180"/>
        <v>0.83333333333333337</v>
      </c>
      <c r="AG300">
        <v>2</v>
      </c>
      <c r="AH300" s="17">
        <f t="shared" si="181"/>
        <v>0.33333333333333331</v>
      </c>
      <c r="AI300">
        <v>3</v>
      </c>
      <c r="AJ300" s="17">
        <f t="shared" si="182"/>
        <v>0.5</v>
      </c>
      <c r="AK300">
        <v>0</v>
      </c>
      <c r="AL300" s="17">
        <f t="shared" si="183"/>
        <v>0</v>
      </c>
      <c r="AM300">
        <v>0</v>
      </c>
      <c r="AN300" s="17">
        <f t="shared" si="184"/>
        <v>0</v>
      </c>
      <c r="AO300">
        <v>0</v>
      </c>
      <c r="AQ300">
        <v>2</v>
      </c>
      <c r="AR300" s="17">
        <f t="shared" si="185"/>
        <v>0.33333333333333331</v>
      </c>
      <c r="AS300">
        <v>3</v>
      </c>
      <c r="AT300" s="17">
        <f t="shared" si="186"/>
        <v>0.5</v>
      </c>
      <c r="BD300" s="65">
        <f t="shared" si="187"/>
        <v>35.266457680250781</v>
      </c>
      <c r="BE300" s="65">
        <f t="shared" si="188"/>
        <v>22.727272727272727</v>
      </c>
      <c r="BF300" s="66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11.068135019249256</v>
      </c>
      <c r="BG300" s="38">
        <f t="shared" si="189"/>
        <v>0.72727272727272729</v>
      </c>
      <c r="BH300" s="38">
        <f t="shared" si="190"/>
        <v>0.36363636363636365</v>
      </c>
      <c r="BI300" s="67">
        <f>IFERROR(((AG300*(12000/5))/((F300*60+G300)*(SUMIFS(팀공격력!X:X,팀공격력!A:A,B300,팀공격력!B:B,D300)+SUMIFS(팀수비력!X:X,팀수비력!A:A,B300,팀수비력!B:B,D300))))*100,"")</f>
        <v>1.6714023065351831</v>
      </c>
      <c r="BJ300" s="67">
        <f>IFERROR(((AI300*(12000/5))/((F300*60+G300)*(SUMIFS(팀공격력!V:V,팀공격력!A:A,B300,팀공격력!B:B,D300)+SUMIFS(팀수비력!W:W,팀수비력!A:A,B300,팀수비력!B:B,D300))))*100,"")</f>
        <v>5.4215234480889132</v>
      </c>
      <c r="BK300" s="67">
        <f>IFERROR(((AE300*(12000/5))/((F300*60+G300)*(SUMIFS(팀공격력!X:X,팀공격력!A:A,B300,팀공격력!B:B,D300)+SUMIFS(팀수비력!X:X,팀수비력!A:A,B300,팀수비력!B:B,D300))))*100,"")</f>
        <v>4.178505766337957</v>
      </c>
      <c r="BL300" s="67">
        <f>IFERROR(100*AK300/(((((F300*60+G300)/(12000/5))*SUMIFS(팀공격력!P:P,팀공격력!A:A,B300,팀공격력!B:B,D300))-K300)),"")</f>
        <v>0</v>
      </c>
      <c r="BM300" s="67">
        <f>IFERROR(100*((AM300/E300*(2400))/((F300*60+G300)*SUMIFS(팀공격력!AR:AR,팀공격력!A:A,B300,팀공격력!B:B,D300))),"")</f>
        <v>0</v>
      </c>
      <c r="BN300" s="67">
        <f>IFERROR((AO300*40)/(((F300*60+G300)/60)*(SUMIFS(팀수비력!Q:Q,팀수비력!A:A,B300,팀수비력!B:B,D300)-SUMIFS(팀수비력!N:N,팀수비력!A:A,B300,팀수비력!B:B,D300)))*100,"")</f>
        <v>0</v>
      </c>
      <c r="BO300" s="67">
        <f t="shared" si="191"/>
        <v>13.550135501355014</v>
      </c>
      <c r="BT300" t="s">
        <v>89</v>
      </c>
      <c r="BV300" t="s">
        <v>90</v>
      </c>
      <c r="CF300">
        <v>5</v>
      </c>
      <c r="CG300">
        <v>1</v>
      </c>
    </row>
    <row r="301" spans="1:85" x14ac:dyDescent="0.4">
      <c r="A301" s="11" t="s">
        <v>85</v>
      </c>
      <c r="B301" t="s">
        <v>224</v>
      </c>
      <c r="C301" t="s">
        <v>226</v>
      </c>
      <c r="D301" s="46" t="s">
        <v>306</v>
      </c>
      <c r="E301">
        <v>10</v>
      </c>
      <c r="F301">
        <v>15</v>
      </c>
      <c r="G301" s="1">
        <v>21</v>
      </c>
      <c r="H301" s="16">
        <f t="shared" si="166"/>
        <v>9210</v>
      </c>
      <c r="I301">
        <v>39</v>
      </c>
      <c r="J301" s="17">
        <f t="shared" si="167"/>
        <v>3.9</v>
      </c>
      <c r="K301">
        <v>19</v>
      </c>
      <c r="L301">
        <v>38</v>
      </c>
      <c r="M301" s="17">
        <f t="shared" si="168"/>
        <v>1.9</v>
      </c>
      <c r="N301" s="17">
        <f t="shared" si="169"/>
        <v>3.8</v>
      </c>
      <c r="O301" s="18">
        <f t="shared" si="170"/>
        <v>0.5</v>
      </c>
      <c r="P301">
        <v>18</v>
      </c>
      <c r="Q301">
        <v>35</v>
      </c>
      <c r="R301" s="17">
        <f t="shared" si="171"/>
        <v>1.8</v>
      </c>
      <c r="S301" s="17">
        <f t="shared" si="172"/>
        <v>3.5</v>
      </c>
      <c r="T301" s="18">
        <f t="shared" si="173"/>
        <v>0.51428571428571423</v>
      </c>
      <c r="U301">
        <v>1</v>
      </c>
      <c r="V301">
        <v>3</v>
      </c>
      <c r="W301" s="17">
        <f t="shared" si="174"/>
        <v>0.1</v>
      </c>
      <c r="X301" s="17">
        <f t="shared" si="175"/>
        <v>0.3</v>
      </c>
      <c r="Y301" s="18">
        <f t="shared" si="176"/>
        <v>0.33333333333333331</v>
      </c>
      <c r="Z301">
        <v>0</v>
      </c>
      <c r="AA301">
        <v>0</v>
      </c>
      <c r="AB301" s="17">
        <f t="shared" si="177"/>
        <v>0</v>
      </c>
      <c r="AC301" s="17">
        <f t="shared" si="178"/>
        <v>0</v>
      </c>
      <c r="AD301" s="18" t="e">
        <f t="shared" si="179"/>
        <v>#DIV/0!</v>
      </c>
      <c r="AE301">
        <v>30</v>
      </c>
      <c r="AF301" s="17">
        <f t="shared" si="180"/>
        <v>3</v>
      </c>
      <c r="AG301">
        <v>18</v>
      </c>
      <c r="AH301" s="17">
        <f t="shared" si="181"/>
        <v>1.8</v>
      </c>
      <c r="AI301">
        <v>12</v>
      </c>
      <c r="AJ301" s="17">
        <f t="shared" si="182"/>
        <v>1.2</v>
      </c>
      <c r="AK301">
        <v>7</v>
      </c>
      <c r="AL301" s="17">
        <f t="shared" si="183"/>
        <v>0.7</v>
      </c>
      <c r="AM301">
        <v>4</v>
      </c>
      <c r="AN301" s="17">
        <f t="shared" si="184"/>
        <v>0.4</v>
      </c>
      <c r="AO301">
        <v>9</v>
      </c>
      <c r="AQ301">
        <v>2</v>
      </c>
      <c r="AR301" s="17">
        <f t="shared" si="185"/>
        <v>0.2</v>
      </c>
      <c r="AS301">
        <v>19</v>
      </c>
      <c r="AT301" s="17">
        <f t="shared" si="186"/>
        <v>1.9</v>
      </c>
      <c r="BD301" s="65">
        <f t="shared" si="187"/>
        <v>51.315789473684212</v>
      </c>
      <c r="BE301" s="65">
        <f t="shared" si="188"/>
        <v>51.315789473684212</v>
      </c>
      <c r="BF301" s="66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12.115222428668977</v>
      </c>
      <c r="BG301" s="38">
        <f t="shared" si="189"/>
        <v>7.8947368421052627E-2</v>
      </c>
      <c r="BH301" s="38">
        <f t="shared" si="190"/>
        <v>0</v>
      </c>
      <c r="BI301" s="67">
        <f>IFERROR(((AG301*(12000/5))/((F301*60+G301)*(SUMIFS(팀공격력!X:X,팀공격력!A:A,B301,팀공격력!B:B,D301)+SUMIFS(팀수비력!X:X,팀수비력!A:A,B301,팀수비력!B:B,D301))))*100,"")</f>
        <v>6.075846821150698</v>
      </c>
      <c r="BJ301" s="67">
        <f>IFERROR(((AI301*(12000/5))/((F301*60+G301)*(SUMIFS(팀공격력!V:V,팀공격력!A:A,B301,팀공격력!B:B,D301)+SUMIFS(팀수비력!W:W,팀수비력!A:A,B301,팀수비력!B:B,D301))))*100,"")</f>
        <v>8.7592040073358337</v>
      </c>
      <c r="BK301" s="67">
        <f>IFERROR(((AE301*(12000/5))/((F301*60+G301)*(SUMIFS(팀공격력!X:X,팀공격력!A:A,B301,팀공격력!B:B,D301)+SUMIFS(팀수비력!X:X,팀수비력!A:A,B301,팀수비력!B:B,D301))))*100,"")</f>
        <v>10.126411368584497</v>
      </c>
      <c r="BL301" s="67">
        <f>IFERROR(100*AK301/(((((F301*60+G301)/(12000/5))*SUMIFS(팀공격력!P:P,팀공격력!A:A,B301,팀공격력!B:B,D301))-K301)),"")</f>
        <v>6.6942405623162076</v>
      </c>
      <c r="BM301" s="67">
        <f>IFERROR(100*((AM301/E301*(2400))/((F301*60+G301)*SUMIFS(팀공격력!AR:AR,팀공격력!A:A,B301,팀공격력!B:B,D301))),"")</f>
        <v>1.2773504903861781</v>
      </c>
      <c r="BN301" s="67">
        <f>IFERROR((AO301*40)/(((F301*60+G301)/60)*(SUMIFS(팀수비력!Q:Q,팀수비력!A:A,B301,팀수비력!B:B,D301)-SUMIFS(팀수비력!N:N,팀수비력!A:A,B301,팀수비력!B:B,D301)))*100,"")</f>
        <v>5.098427984704716</v>
      </c>
      <c r="BO301" s="67">
        <f t="shared" si="191"/>
        <v>5</v>
      </c>
      <c r="BT301" t="s">
        <v>89</v>
      </c>
      <c r="BV301" t="s">
        <v>102</v>
      </c>
      <c r="CF301">
        <v>7</v>
      </c>
      <c r="CG301">
        <v>3</v>
      </c>
    </row>
    <row r="302" spans="1:85" x14ac:dyDescent="0.4">
      <c r="A302" s="11" t="s">
        <v>85</v>
      </c>
      <c r="B302" t="s">
        <v>224</v>
      </c>
      <c r="C302" t="s">
        <v>228</v>
      </c>
      <c r="D302" s="46" t="s">
        <v>306</v>
      </c>
      <c r="E302">
        <v>3</v>
      </c>
      <c r="F302">
        <v>8</v>
      </c>
      <c r="G302" s="1">
        <v>13</v>
      </c>
      <c r="H302" s="16">
        <f t="shared" si="166"/>
        <v>1479</v>
      </c>
      <c r="I302">
        <v>10</v>
      </c>
      <c r="J302" s="17">
        <f t="shared" si="167"/>
        <v>3.3333333333333335</v>
      </c>
      <c r="K302">
        <v>3</v>
      </c>
      <c r="L302">
        <v>9</v>
      </c>
      <c r="M302" s="17">
        <f t="shared" si="168"/>
        <v>1</v>
      </c>
      <c r="N302" s="17">
        <f t="shared" si="169"/>
        <v>3</v>
      </c>
      <c r="O302" s="18">
        <f t="shared" si="170"/>
        <v>0.33333333333333331</v>
      </c>
      <c r="P302">
        <v>1</v>
      </c>
      <c r="Q302">
        <v>4</v>
      </c>
      <c r="R302" s="17">
        <f t="shared" si="171"/>
        <v>0.33333333333333331</v>
      </c>
      <c r="S302" s="17">
        <f t="shared" si="172"/>
        <v>1.3333333333333333</v>
      </c>
      <c r="T302" s="18">
        <f t="shared" si="173"/>
        <v>0.25</v>
      </c>
      <c r="U302">
        <v>2</v>
      </c>
      <c r="V302">
        <v>5</v>
      </c>
      <c r="W302" s="17">
        <f t="shared" si="174"/>
        <v>0.66666666666666663</v>
      </c>
      <c r="X302" s="17">
        <f t="shared" si="175"/>
        <v>1.6666666666666667</v>
      </c>
      <c r="Y302" s="18">
        <f t="shared" si="176"/>
        <v>0.4</v>
      </c>
      <c r="Z302">
        <v>2</v>
      </c>
      <c r="AA302">
        <v>2</v>
      </c>
      <c r="AB302" s="17">
        <f t="shared" si="177"/>
        <v>0.66666666666666663</v>
      </c>
      <c r="AC302" s="17">
        <f t="shared" si="178"/>
        <v>0.66666666666666663</v>
      </c>
      <c r="AD302" s="18">
        <f t="shared" si="179"/>
        <v>1</v>
      </c>
      <c r="AE302">
        <v>5</v>
      </c>
      <c r="AF302" s="17">
        <f t="shared" si="180"/>
        <v>1.6666666666666667</v>
      </c>
      <c r="AG302">
        <v>1</v>
      </c>
      <c r="AH302" s="17">
        <f t="shared" si="181"/>
        <v>0.33333333333333331</v>
      </c>
      <c r="AI302">
        <v>4</v>
      </c>
      <c r="AJ302" s="17">
        <f t="shared" si="182"/>
        <v>1.3333333333333333</v>
      </c>
      <c r="AK302">
        <v>3</v>
      </c>
      <c r="AL302" s="17">
        <f t="shared" si="183"/>
        <v>1</v>
      </c>
      <c r="AM302">
        <v>0</v>
      </c>
      <c r="AN302" s="17">
        <f t="shared" si="184"/>
        <v>0</v>
      </c>
      <c r="AO302">
        <v>0</v>
      </c>
      <c r="AQ302">
        <v>0</v>
      </c>
      <c r="AR302" s="17">
        <f t="shared" si="185"/>
        <v>0</v>
      </c>
      <c r="AS302">
        <v>7</v>
      </c>
      <c r="AT302" s="17">
        <f t="shared" si="186"/>
        <v>2.3333333333333335</v>
      </c>
      <c r="BD302" s="65">
        <f t="shared" si="187"/>
        <v>50.607287449392715</v>
      </c>
      <c r="BE302" s="65">
        <f t="shared" si="188"/>
        <v>44.444444444444443</v>
      </c>
      <c r="BF302" s="66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5.5903764799809741</v>
      </c>
      <c r="BG302" s="38">
        <f t="shared" si="189"/>
        <v>0.55555555555555558</v>
      </c>
      <c r="BH302" s="38">
        <f t="shared" si="190"/>
        <v>0.22222222222222221</v>
      </c>
      <c r="BI302" s="67">
        <f>IFERROR(((AG302*(12000/5))/((F302*60+G302)*(SUMIFS(팀공격력!X:X,팀공격력!A:A,B302,팀공격력!B:B,D302)+SUMIFS(팀수비력!X:X,팀수비력!A:A,B302,팀수비력!B:B,D302))))*100,"")</f>
        <v>0.63058991686722921</v>
      </c>
      <c r="BJ302" s="67">
        <f>IFERROR(((AI302*(12000/5))/((F302*60+G302)*(SUMIFS(팀공격력!V:V,팀공격력!A:A,B302,팀공격력!B:B,D302)+SUMIFS(팀수비력!W:W,팀수비력!A:A,B302,팀수비력!B:B,D302))))*100,"")</f>
        <v>5.4545144629860056</v>
      </c>
      <c r="BK302" s="67">
        <f>IFERROR(((AE302*(12000/5))/((F302*60+G302)*(SUMIFS(팀공격력!X:X,팀공격력!A:A,B302,팀공격력!B:B,D302)+SUMIFS(팀수비력!X:X,팀수비력!A:A,B302,팀수비력!B:B,D302))))*100,"")</f>
        <v>3.1529495843361461</v>
      </c>
      <c r="BL302" s="67">
        <f>IFERROR(100*AK302/(((((F302*60+G302)/(12000/5))*SUMIFS(팀공격력!P:P,팀공격력!A:A,B302,팀공격력!B:B,D302))-K302)),"")</f>
        <v>4.7510326897443687</v>
      </c>
      <c r="BM302" s="67">
        <f>IFERROR(100*((AM302/E302*(2400))/((F302*60+G302)*SUMIFS(팀공격력!AR:AR,팀공격력!A:A,B302,팀공격력!B:B,D302))),"")</f>
        <v>0</v>
      </c>
      <c r="BN302" s="67">
        <f>IFERROR((AO302*40)/(((F302*60+G302)/60)*(SUMIFS(팀수비력!Q:Q,팀수비력!A:A,B302,팀수비력!B:B,D302)-SUMIFS(팀수비력!N:N,팀수비력!A:A,B302,팀수비력!B:B,D302)))*100,"")</f>
        <v>0</v>
      </c>
      <c r="BO302" s="67">
        <f t="shared" si="191"/>
        <v>0</v>
      </c>
      <c r="BT302" t="s">
        <v>89</v>
      </c>
      <c r="BV302" t="s">
        <v>102</v>
      </c>
      <c r="CF302">
        <v>2</v>
      </c>
      <c r="CG302">
        <v>1</v>
      </c>
    </row>
    <row r="303" spans="1:85" x14ac:dyDescent="0.4">
      <c r="A303" s="11" t="s">
        <v>85</v>
      </c>
      <c r="B303" t="s">
        <v>224</v>
      </c>
      <c r="C303" t="s">
        <v>229</v>
      </c>
      <c r="D303" s="46" t="s">
        <v>306</v>
      </c>
      <c r="E303">
        <v>1</v>
      </c>
      <c r="F303">
        <v>2</v>
      </c>
      <c r="G303" s="1">
        <v>8</v>
      </c>
      <c r="H303" s="16">
        <f t="shared" si="166"/>
        <v>128</v>
      </c>
      <c r="I303">
        <v>0</v>
      </c>
      <c r="J303" s="17">
        <f t="shared" si="167"/>
        <v>0</v>
      </c>
      <c r="K303">
        <v>0</v>
      </c>
      <c r="L303">
        <v>1</v>
      </c>
      <c r="M303" s="17">
        <f t="shared" si="168"/>
        <v>0</v>
      </c>
      <c r="N303" s="17">
        <f t="shared" si="169"/>
        <v>1</v>
      </c>
      <c r="O303" s="18">
        <f t="shared" si="170"/>
        <v>0</v>
      </c>
      <c r="P303">
        <v>0</v>
      </c>
      <c r="Q303">
        <v>0</v>
      </c>
      <c r="R303" s="17">
        <f t="shared" si="171"/>
        <v>0</v>
      </c>
      <c r="S303" s="17">
        <f t="shared" si="172"/>
        <v>0</v>
      </c>
      <c r="T303" s="18" t="e">
        <f t="shared" si="173"/>
        <v>#DIV/0!</v>
      </c>
      <c r="U303">
        <v>0</v>
      </c>
      <c r="V303">
        <v>1</v>
      </c>
      <c r="W303" s="17">
        <f t="shared" si="174"/>
        <v>0</v>
      </c>
      <c r="X303" s="17">
        <f t="shared" si="175"/>
        <v>1</v>
      </c>
      <c r="Y303" s="18">
        <f t="shared" si="176"/>
        <v>0</v>
      </c>
      <c r="Z303">
        <v>0</v>
      </c>
      <c r="AA303">
        <v>0</v>
      </c>
      <c r="AB303" s="17">
        <f t="shared" si="177"/>
        <v>0</v>
      </c>
      <c r="AC303" s="17">
        <f t="shared" si="178"/>
        <v>0</v>
      </c>
      <c r="AD303" s="18" t="e">
        <f t="shared" si="179"/>
        <v>#DIV/0!</v>
      </c>
      <c r="AE303">
        <v>0</v>
      </c>
      <c r="AF303" s="17">
        <f t="shared" si="180"/>
        <v>0</v>
      </c>
      <c r="AG303">
        <v>0</v>
      </c>
      <c r="AH303" s="17">
        <f t="shared" si="181"/>
        <v>0</v>
      </c>
      <c r="AI303">
        <v>0</v>
      </c>
      <c r="AJ303" s="17">
        <f t="shared" si="182"/>
        <v>0</v>
      </c>
      <c r="AK303">
        <v>0</v>
      </c>
      <c r="AL303" s="17">
        <f t="shared" si="183"/>
        <v>0</v>
      </c>
      <c r="AM303">
        <v>0</v>
      </c>
      <c r="AN303" s="17">
        <f t="shared" si="184"/>
        <v>0</v>
      </c>
      <c r="AO303">
        <v>0</v>
      </c>
      <c r="AQ303">
        <v>2</v>
      </c>
      <c r="AR303" s="17">
        <f t="shared" si="185"/>
        <v>2</v>
      </c>
      <c r="AS303">
        <v>1</v>
      </c>
      <c r="AT303" s="17">
        <f t="shared" si="186"/>
        <v>1</v>
      </c>
      <c r="BD303" s="65">
        <f t="shared" si="187"/>
        <v>0</v>
      </c>
      <c r="BE303" s="65">
        <f t="shared" si="188"/>
        <v>0</v>
      </c>
      <c r="BF303" s="66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6.5379608535961689</v>
      </c>
      <c r="BG303" s="38">
        <f t="shared" si="189"/>
        <v>1</v>
      </c>
      <c r="BH303" s="38">
        <f t="shared" si="190"/>
        <v>0</v>
      </c>
      <c r="BI303" s="67">
        <f>IFERROR(((AG303*(12000/5))/((F303*60+G303)*(SUMIFS(팀공격력!X:X,팀공격력!A:A,B303,팀공격력!B:B,D303)+SUMIFS(팀수비력!X:X,팀수비력!A:A,B303,팀수비력!B:B,D303))))*100,"")</f>
        <v>0</v>
      </c>
      <c r="BJ303" s="67">
        <f>IFERROR(((AI303*(12000/5))/((F303*60+G303)*(SUMIFS(팀공격력!V:V,팀공격력!A:A,B303,팀공격력!B:B,D303)+SUMIFS(팀수비력!W:W,팀수비력!A:A,B303,팀수비력!B:B,D303))))*100,"")</f>
        <v>0</v>
      </c>
      <c r="BK303" s="67">
        <f>IFERROR(((AE303*(12000/5))/((F303*60+G303)*(SUMIFS(팀공격력!X:X,팀공격력!A:A,B303,팀공격력!B:B,D303)+SUMIFS(팀수비력!X:X,팀수비력!A:A,B303,팀수비력!B:B,D303))))*100,"")</f>
        <v>0</v>
      </c>
      <c r="BL303" s="67">
        <f>IFERROR(100*AK303/(((((F303*60+G303)/(12000/5))*SUMIFS(팀공격력!P:P,팀공격력!A:A,B303,팀공격력!B:B,D303))-K303)),"")</f>
        <v>0</v>
      </c>
      <c r="BM303" s="67">
        <f>IFERROR(100*((AM303/E303*(2400))/((F303*60+G303)*SUMIFS(팀공격력!AR:AR,팀공격력!A:A,B303,팀공격력!B:B,D303))),"")</f>
        <v>0</v>
      </c>
      <c r="BN303" s="67">
        <f>IFERROR((AO303*40)/(((F303*60+G303)/60)*(SUMIFS(팀수비력!Q:Q,팀수비력!A:A,B303,팀수비력!B:B,D303)-SUMIFS(팀수비력!N:N,팀수비력!A:A,B303,팀수비력!B:B,D303)))*100,"")</f>
        <v>0</v>
      </c>
      <c r="BO303" s="67">
        <f t="shared" si="191"/>
        <v>66.666666666666671</v>
      </c>
      <c r="BT303" t="s">
        <v>89</v>
      </c>
      <c r="BV303" t="s">
        <v>93</v>
      </c>
      <c r="CF303">
        <v>1</v>
      </c>
      <c r="CG303">
        <v>0</v>
      </c>
    </row>
    <row r="304" spans="1:85" x14ac:dyDescent="0.4">
      <c r="A304" s="11" t="s">
        <v>85</v>
      </c>
      <c r="B304" t="s">
        <v>224</v>
      </c>
      <c r="C304" t="s">
        <v>230</v>
      </c>
      <c r="D304" s="46" t="s">
        <v>306</v>
      </c>
      <c r="E304">
        <v>10</v>
      </c>
      <c r="F304">
        <v>23</v>
      </c>
      <c r="G304" s="1">
        <v>28</v>
      </c>
      <c r="H304" s="16">
        <f t="shared" si="166"/>
        <v>14080</v>
      </c>
      <c r="I304">
        <v>117</v>
      </c>
      <c r="J304" s="17">
        <f t="shared" si="167"/>
        <v>11.7</v>
      </c>
      <c r="K304">
        <v>45</v>
      </c>
      <c r="L304">
        <v>90</v>
      </c>
      <c r="M304" s="17">
        <f t="shared" si="168"/>
        <v>4.5</v>
      </c>
      <c r="N304" s="17">
        <f t="shared" si="169"/>
        <v>9</v>
      </c>
      <c r="O304" s="18">
        <f t="shared" si="170"/>
        <v>0.5</v>
      </c>
      <c r="P304">
        <v>38</v>
      </c>
      <c r="Q304">
        <v>69</v>
      </c>
      <c r="R304" s="17">
        <f t="shared" si="171"/>
        <v>3.8</v>
      </c>
      <c r="S304" s="17">
        <f t="shared" si="172"/>
        <v>6.9</v>
      </c>
      <c r="T304" s="18">
        <f t="shared" si="173"/>
        <v>0.55072463768115942</v>
      </c>
      <c r="U304">
        <v>7</v>
      </c>
      <c r="V304">
        <v>21</v>
      </c>
      <c r="W304" s="17">
        <f t="shared" si="174"/>
        <v>0.7</v>
      </c>
      <c r="X304" s="17">
        <f t="shared" si="175"/>
        <v>2.1</v>
      </c>
      <c r="Y304" s="18">
        <f t="shared" si="176"/>
        <v>0.33333333333333331</v>
      </c>
      <c r="Z304">
        <v>20</v>
      </c>
      <c r="AA304">
        <v>24</v>
      </c>
      <c r="AB304" s="17">
        <f t="shared" si="177"/>
        <v>2</v>
      </c>
      <c r="AC304" s="17">
        <f t="shared" si="178"/>
        <v>2.4</v>
      </c>
      <c r="AD304" s="18">
        <f t="shared" si="179"/>
        <v>0.83333333333333337</v>
      </c>
      <c r="AE304">
        <v>79</v>
      </c>
      <c r="AF304" s="17">
        <f t="shared" si="180"/>
        <v>7.9</v>
      </c>
      <c r="AG304">
        <v>20</v>
      </c>
      <c r="AH304" s="17">
        <f t="shared" si="181"/>
        <v>2</v>
      </c>
      <c r="AI304">
        <v>59</v>
      </c>
      <c r="AJ304" s="17">
        <f t="shared" si="182"/>
        <v>5.9</v>
      </c>
      <c r="AK304">
        <v>32</v>
      </c>
      <c r="AL304" s="17">
        <f t="shared" si="183"/>
        <v>3.2</v>
      </c>
      <c r="AM304">
        <v>8</v>
      </c>
      <c r="AN304" s="17">
        <f t="shared" si="184"/>
        <v>0.8</v>
      </c>
      <c r="AO304">
        <v>4</v>
      </c>
      <c r="AQ304">
        <v>12</v>
      </c>
      <c r="AR304" s="17">
        <f t="shared" si="185"/>
        <v>1.2</v>
      </c>
      <c r="AS304">
        <v>16</v>
      </c>
      <c r="AT304" s="17">
        <f t="shared" si="186"/>
        <v>1.6</v>
      </c>
      <c r="BD304" s="65">
        <f t="shared" si="187"/>
        <v>58.174224343675419</v>
      </c>
      <c r="BE304" s="65">
        <f t="shared" si="188"/>
        <v>53.888888888888886</v>
      </c>
      <c r="BF304" s="66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22.300390111538931</v>
      </c>
      <c r="BG304" s="38">
        <f t="shared" si="189"/>
        <v>0.23333333333333334</v>
      </c>
      <c r="BH304" s="38">
        <f t="shared" si="190"/>
        <v>0.26666666666666666</v>
      </c>
      <c r="BI304" s="67">
        <f>IFERROR(((AG304*(12000/5))/((F304*60+G304)*(SUMIFS(팀공격력!X:X,팀공격력!A:A,B304,팀공격력!B:B,D304)+SUMIFS(팀수비력!X:X,팀수비력!A:A,B304,팀수비력!B:B,D304))))*100,"")</f>
        <v>4.4159208666980687</v>
      </c>
      <c r="BJ304" s="67">
        <f>IFERROR(((AI304*(12000/5))/((F304*60+G304)*(SUMIFS(팀공격력!V:V,팀공격력!A:A,B304,팀공격력!B:B,D304)+SUMIFS(팀수비력!W:W,팀수비력!A:A,B304,팀수비력!B:B,D304))))*100,"")</f>
        <v>28.170359052711998</v>
      </c>
      <c r="BK304" s="67">
        <f>IFERROR(((AE304*(12000/5))/((F304*60+G304)*(SUMIFS(팀공격력!X:X,팀공격력!A:A,B304,팀공격력!B:B,D304)+SUMIFS(팀수비력!X:X,팀수비력!A:A,B304,팀수비력!B:B,D304))))*100,"")</f>
        <v>17.442887423457371</v>
      </c>
      <c r="BL304" s="67">
        <f>IFERROR(100*AK304/(((((F304*60+G304)/(12000/5))*SUMIFS(팀공격력!P:P,팀공격력!A:A,B304,팀공격력!B:B,D304))-K304)),"")</f>
        <v>22.236634855925136</v>
      </c>
      <c r="BM304" s="67">
        <f>IFERROR(100*((AM304/E304*(2400))/((F304*60+G304)*SUMIFS(팀공격력!AR:AR,팀공격력!A:A,B304,팀공격력!B:B,D304))),"")</f>
        <v>1.6710792637012357</v>
      </c>
      <c r="BN304" s="67">
        <f>IFERROR((AO304*40)/(((F304*60+G304)/60)*(SUMIFS(팀수비력!Q:Q,팀수비력!A:A,B304,팀수비력!B:B,D304)-SUMIFS(팀수비력!N:N,팀수비력!A:A,B304,팀수비력!B:B,D304)))*100,"")</f>
        <v>1.482213438735178</v>
      </c>
      <c r="BO304" s="67">
        <f t="shared" si="191"/>
        <v>10.660980810234541</v>
      </c>
      <c r="BT304" t="s">
        <v>96</v>
      </c>
      <c r="BV304" t="s">
        <v>102</v>
      </c>
      <c r="CF304">
        <v>7</v>
      </c>
      <c r="CG304">
        <v>3</v>
      </c>
    </row>
    <row r="305" spans="1:85" x14ac:dyDescent="0.4">
      <c r="A305" s="11" t="s">
        <v>85</v>
      </c>
      <c r="B305" t="s">
        <v>224</v>
      </c>
      <c r="C305" t="s">
        <v>231</v>
      </c>
      <c r="D305" s="46" t="s">
        <v>306</v>
      </c>
      <c r="E305">
        <v>10</v>
      </c>
      <c r="F305">
        <v>24</v>
      </c>
      <c r="G305" s="1">
        <v>7</v>
      </c>
      <c r="H305" s="16">
        <f t="shared" si="166"/>
        <v>14470</v>
      </c>
      <c r="I305">
        <v>113</v>
      </c>
      <c r="J305" s="17">
        <f t="shared" si="167"/>
        <v>11.3</v>
      </c>
      <c r="K305">
        <v>48</v>
      </c>
      <c r="L305">
        <v>91</v>
      </c>
      <c r="M305" s="17">
        <f t="shared" si="168"/>
        <v>4.8</v>
      </c>
      <c r="N305" s="17">
        <f t="shared" si="169"/>
        <v>9.1</v>
      </c>
      <c r="O305" s="18">
        <f t="shared" si="170"/>
        <v>0.52747252747252749</v>
      </c>
      <c r="P305">
        <v>45</v>
      </c>
      <c r="Q305">
        <v>71</v>
      </c>
      <c r="R305" s="17">
        <f t="shared" si="171"/>
        <v>4.5</v>
      </c>
      <c r="S305" s="17">
        <f t="shared" si="172"/>
        <v>7.1</v>
      </c>
      <c r="T305" s="18">
        <f t="shared" si="173"/>
        <v>0.63380281690140849</v>
      </c>
      <c r="U305">
        <v>3</v>
      </c>
      <c r="V305">
        <v>20</v>
      </c>
      <c r="W305" s="17">
        <f t="shared" si="174"/>
        <v>0.3</v>
      </c>
      <c r="X305" s="17">
        <f t="shared" si="175"/>
        <v>2</v>
      </c>
      <c r="Y305" s="18">
        <f t="shared" si="176"/>
        <v>0.15</v>
      </c>
      <c r="Z305">
        <v>14</v>
      </c>
      <c r="AA305">
        <v>17</v>
      </c>
      <c r="AB305" s="17">
        <f t="shared" si="177"/>
        <v>1.4</v>
      </c>
      <c r="AC305" s="17">
        <f t="shared" si="178"/>
        <v>1.7</v>
      </c>
      <c r="AD305" s="18">
        <f t="shared" si="179"/>
        <v>0.82352941176470584</v>
      </c>
      <c r="AE305">
        <v>51</v>
      </c>
      <c r="AF305" s="17">
        <f t="shared" si="180"/>
        <v>5.0999999999999996</v>
      </c>
      <c r="AG305">
        <v>14</v>
      </c>
      <c r="AH305" s="17">
        <f t="shared" si="181"/>
        <v>1.4</v>
      </c>
      <c r="AI305">
        <v>37</v>
      </c>
      <c r="AJ305" s="17">
        <f t="shared" si="182"/>
        <v>3.7</v>
      </c>
      <c r="AK305">
        <v>11</v>
      </c>
      <c r="AL305" s="17">
        <f t="shared" si="183"/>
        <v>1.1000000000000001</v>
      </c>
      <c r="AM305">
        <v>6</v>
      </c>
      <c r="AN305" s="17">
        <f t="shared" si="184"/>
        <v>0.6</v>
      </c>
      <c r="AO305">
        <v>8</v>
      </c>
      <c r="AQ305">
        <v>8</v>
      </c>
      <c r="AR305" s="17">
        <f t="shared" si="185"/>
        <v>0.8</v>
      </c>
      <c r="AS305">
        <v>17</v>
      </c>
      <c r="AT305" s="17">
        <f t="shared" si="186"/>
        <v>1.7</v>
      </c>
      <c r="BD305" s="65">
        <f t="shared" si="187"/>
        <v>57.372055239642563</v>
      </c>
      <c r="BE305" s="65">
        <f t="shared" si="188"/>
        <v>54.395604395604394</v>
      </c>
      <c r="BF305" s="66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20.527239156055696</v>
      </c>
      <c r="BG305" s="38">
        <f t="shared" si="189"/>
        <v>0.21978021978021978</v>
      </c>
      <c r="BH305" s="38">
        <f t="shared" si="190"/>
        <v>0.18681318681318682</v>
      </c>
      <c r="BI305" s="67">
        <f>IFERROR(((AG305*(12000/5))/((F305*60+G305)*(SUMIFS(팀공격력!X:X,팀공격력!A:A,B305,팀공격력!B:B,D305)+SUMIFS(팀수비력!X:X,팀수비력!A:A,B305,팀수비력!B:B,D305))))*100,"")</f>
        <v>3.007831103122057</v>
      </c>
      <c r="BJ305" s="67">
        <f>IFERROR(((AI305*(12000/5))/((F305*60+G305)*(SUMIFS(팀공격력!V:V,팀공격력!A:A,B305,팀공격력!B:B,D305)+SUMIFS(팀수비력!W:W,팀수비력!A:A,B305,팀수비력!B:B,D305))))*100,"")</f>
        <v>17.190013531328219</v>
      </c>
      <c r="BK305" s="67">
        <f>IFERROR(((AE305*(12000/5))/((F305*60+G305)*(SUMIFS(팀공격력!X:X,팀공격력!A:A,B305,팀공격력!B:B,D305)+SUMIFS(팀수비력!X:X,팀수비력!A:A,B305,팀수비력!B:B,D305))))*100,"")</f>
        <v>10.957099018516065</v>
      </c>
      <c r="BL305" s="67">
        <f>IFERROR(100*AK305/(((((F305*60+G305)/(12000/5))*SUMIFS(팀공격력!P:P,팀공격력!A:A,B305,팀공격력!B:B,D305))-K305)),"")</f>
        <v>7.5270717980007644</v>
      </c>
      <c r="BM305" s="67">
        <f>IFERROR(100*((AM305/E305*(2400))/((F305*60+G305)*SUMIFS(팀공격력!AR:AR,팀공격력!A:A,B305,팀공격력!B:B,D305))),"")</f>
        <v>1.2195298565780961</v>
      </c>
      <c r="BN305" s="67">
        <f>IFERROR((AO305*40)/(((F305*60+G305)/60)*(SUMIFS(팀수비력!Q:Q,팀수비력!A:A,B305,팀수비력!B:B,D305)-SUMIFS(팀수비력!N:N,팀수비력!A:A,B305,팀수비력!B:B,D305)))*100,"")</f>
        <v>2.8845287100748176</v>
      </c>
      <c r="BO305" s="67">
        <f t="shared" si="191"/>
        <v>7.5131480090157776</v>
      </c>
      <c r="BT305" t="s">
        <v>113</v>
      </c>
      <c r="BV305" t="s">
        <v>90</v>
      </c>
      <c r="CF305">
        <v>7</v>
      </c>
      <c r="CG305">
        <v>3</v>
      </c>
    </row>
    <row r="306" spans="1:85" x14ac:dyDescent="0.4">
      <c r="A306" s="11" t="s">
        <v>85</v>
      </c>
      <c r="B306" t="s">
        <v>224</v>
      </c>
      <c r="C306" t="s">
        <v>129</v>
      </c>
      <c r="D306" s="46" t="s">
        <v>306</v>
      </c>
      <c r="E306">
        <v>10</v>
      </c>
      <c r="F306">
        <v>29</v>
      </c>
      <c r="G306" s="1">
        <v>26</v>
      </c>
      <c r="H306" s="16">
        <f t="shared" si="166"/>
        <v>17660</v>
      </c>
      <c r="I306">
        <v>124</v>
      </c>
      <c r="J306" s="17">
        <f t="shared" si="167"/>
        <v>12.4</v>
      </c>
      <c r="K306">
        <v>51</v>
      </c>
      <c r="L306">
        <v>110</v>
      </c>
      <c r="M306" s="17">
        <f t="shared" si="168"/>
        <v>5.0999999999999996</v>
      </c>
      <c r="N306" s="17">
        <f t="shared" si="169"/>
        <v>11</v>
      </c>
      <c r="O306" s="18">
        <f t="shared" si="170"/>
        <v>0.46363636363636362</v>
      </c>
      <c r="P306">
        <v>41</v>
      </c>
      <c r="Q306">
        <v>82</v>
      </c>
      <c r="R306" s="17">
        <f t="shared" si="171"/>
        <v>4.0999999999999996</v>
      </c>
      <c r="S306" s="17">
        <f t="shared" si="172"/>
        <v>8.1999999999999993</v>
      </c>
      <c r="T306" s="18">
        <f t="shared" si="173"/>
        <v>0.5</v>
      </c>
      <c r="U306">
        <v>10</v>
      </c>
      <c r="V306">
        <v>28</v>
      </c>
      <c r="W306" s="17">
        <f t="shared" si="174"/>
        <v>1</v>
      </c>
      <c r="X306" s="17">
        <f t="shared" si="175"/>
        <v>2.8</v>
      </c>
      <c r="Y306" s="18">
        <f t="shared" si="176"/>
        <v>0.35714285714285715</v>
      </c>
      <c r="Z306">
        <v>12</v>
      </c>
      <c r="AA306">
        <v>14</v>
      </c>
      <c r="AB306" s="17">
        <f t="shared" si="177"/>
        <v>1.2</v>
      </c>
      <c r="AC306" s="17">
        <f t="shared" si="178"/>
        <v>1.4</v>
      </c>
      <c r="AD306" s="18">
        <f t="shared" si="179"/>
        <v>0.8571428571428571</v>
      </c>
      <c r="AE306">
        <v>37</v>
      </c>
      <c r="AF306" s="17">
        <f t="shared" si="180"/>
        <v>3.7</v>
      </c>
      <c r="AG306">
        <v>13</v>
      </c>
      <c r="AH306" s="17">
        <f t="shared" si="181"/>
        <v>1.3</v>
      </c>
      <c r="AI306">
        <v>24</v>
      </c>
      <c r="AJ306" s="17">
        <f t="shared" si="182"/>
        <v>2.4</v>
      </c>
      <c r="AK306">
        <v>41</v>
      </c>
      <c r="AL306" s="17">
        <f t="shared" si="183"/>
        <v>4.0999999999999996</v>
      </c>
      <c r="AM306">
        <v>12</v>
      </c>
      <c r="AN306" s="17">
        <f t="shared" si="184"/>
        <v>1.2</v>
      </c>
      <c r="AO306">
        <v>0</v>
      </c>
      <c r="AQ306">
        <v>15</v>
      </c>
      <c r="AR306" s="17">
        <f t="shared" si="185"/>
        <v>1.5</v>
      </c>
      <c r="AS306">
        <v>27</v>
      </c>
      <c r="AT306" s="17">
        <f t="shared" si="186"/>
        <v>2.7</v>
      </c>
      <c r="BD306" s="65">
        <f t="shared" si="187"/>
        <v>53.374655647382916</v>
      </c>
      <c r="BE306" s="65">
        <f t="shared" si="188"/>
        <v>50.909090909090907</v>
      </c>
      <c r="BF306" s="66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20.717709518947188</v>
      </c>
      <c r="BG306" s="38">
        <f t="shared" si="189"/>
        <v>0.25454545454545452</v>
      </c>
      <c r="BH306" s="38">
        <f t="shared" si="190"/>
        <v>0.12727272727272726</v>
      </c>
      <c r="BI306" s="67">
        <f>IFERROR(((AG306*(12000/5))/((F306*60+G306)*(SUMIFS(팀공격력!X:X,팀공격력!A:A,B306,팀공격력!B:B,D306)+SUMIFS(팀수비력!X:X,팀수비력!A:A,B306,팀수비력!B:B,D306))))*100,"")</f>
        <v>2.2884772237837332</v>
      </c>
      <c r="BJ306" s="67">
        <f>IFERROR(((AI306*(12000/5))/((F306*60+G306)*(SUMIFS(팀공격력!V:V,팀공격력!A:A,B306,팀공격력!B:B,D306)+SUMIFS(팀수비력!W:W,팀수비력!A:A,B306,팀수비력!B:B,D306))))*100,"")</f>
        <v>9.1361572941747475</v>
      </c>
      <c r="BK306" s="67">
        <f>IFERROR(((AE306*(12000/5))/((F306*60+G306)*(SUMIFS(팀공격력!X:X,팀공격력!A:A,B306,팀공격력!B:B,D306)+SUMIFS(팀수비력!X:X,팀수비력!A:A,B306,팀수비력!B:B,D306))))*100,"")</f>
        <v>6.5133582523075484</v>
      </c>
      <c r="BL306" s="67">
        <f>IFERROR(100*AK306/(((((F306*60+G306)/(12000/5))*SUMIFS(팀공격력!P:P,팀공격력!A:A,B306,팀공격력!B:B,D306))-K306)),"")</f>
        <v>22.050321343097622</v>
      </c>
      <c r="BM306" s="67">
        <f>IFERROR(100*((AM306/E306*(2400))/((F306*60+G306)*SUMIFS(팀공격력!AR:AR,팀공격력!A:A,B306,팀공격력!B:B,D306))),"")</f>
        <v>1.9984821092508549</v>
      </c>
      <c r="BN306" s="67">
        <f>IFERROR((AO306*40)/(((F306*60+G306)/60)*(SUMIFS(팀수비력!Q:Q,팀수비력!A:A,B306,팀수비력!B:B,D306)-SUMIFS(팀수비력!N:N,팀수비력!A:A,B306,팀수비력!B:B,D306)))*100,"")</f>
        <v>0</v>
      </c>
      <c r="BO306" s="67">
        <f t="shared" si="191"/>
        <v>11.436413540713632</v>
      </c>
      <c r="BT306" t="s">
        <v>89</v>
      </c>
      <c r="BV306" t="s">
        <v>93</v>
      </c>
      <c r="CF306">
        <v>7</v>
      </c>
      <c r="CG306">
        <v>3</v>
      </c>
    </row>
    <row r="307" spans="1:85" x14ac:dyDescent="0.4">
      <c r="A307" s="11" t="s">
        <v>85</v>
      </c>
      <c r="B307" t="s">
        <v>224</v>
      </c>
      <c r="C307" t="s">
        <v>234</v>
      </c>
      <c r="D307" s="46" t="s">
        <v>306</v>
      </c>
      <c r="E307">
        <v>7</v>
      </c>
      <c r="F307">
        <v>26</v>
      </c>
      <c r="G307" s="1">
        <v>34</v>
      </c>
      <c r="H307" s="16">
        <f t="shared" si="166"/>
        <v>11158</v>
      </c>
      <c r="I307">
        <v>70</v>
      </c>
      <c r="J307" s="17">
        <f t="shared" si="167"/>
        <v>10</v>
      </c>
      <c r="K307">
        <v>25</v>
      </c>
      <c r="L307">
        <v>57</v>
      </c>
      <c r="M307" s="17">
        <f t="shared" si="168"/>
        <v>3.5714285714285716</v>
      </c>
      <c r="N307" s="17">
        <f t="shared" si="169"/>
        <v>8.1428571428571423</v>
      </c>
      <c r="O307" s="18">
        <f t="shared" si="170"/>
        <v>0.43859649122807015</v>
      </c>
      <c r="P307">
        <v>12</v>
      </c>
      <c r="Q307">
        <v>22</v>
      </c>
      <c r="R307" s="17">
        <f t="shared" si="171"/>
        <v>1.7142857142857142</v>
      </c>
      <c r="S307" s="17">
        <f t="shared" si="172"/>
        <v>3.1428571428571428</v>
      </c>
      <c r="T307" s="18">
        <f t="shared" si="173"/>
        <v>0.54545454545454541</v>
      </c>
      <c r="U307">
        <v>13</v>
      </c>
      <c r="V307">
        <v>35</v>
      </c>
      <c r="W307" s="17">
        <f t="shared" si="174"/>
        <v>1.8571428571428572</v>
      </c>
      <c r="X307" s="17">
        <f t="shared" si="175"/>
        <v>5</v>
      </c>
      <c r="Y307" s="18">
        <f t="shared" si="176"/>
        <v>0.37142857142857144</v>
      </c>
      <c r="Z307">
        <v>7</v>
      </c>
      <c r="AA307">
        <v>7</v>
      </c>
      <c r="AB307" s="17">
        <f t="shared" si="177"/>
        <v>1</v>
      </c>
      <c r="AC307" s="17">
        <f t="shared" si="178"/>
        <v>1</v>
      </c>
      <c r="AD307" s="18">
        <f t="shared" si="179"/>
        <v>1</v>
      </c>
      <c r="AE307">
        <v>13</v>
      </c>
      <c r="AF307" s="17">
        <f t="shared" si="180"/>
        <v>1.8571428571428572</v>
      </c>
      <c r="AG307">
        <v>0</v>
      </c>
      <c r="AH307" s="17">
        <f t="shared" si="181"/>
        <v>0</v>
      </c>
      <c r="AI307">
        <v>13</v>
      </c>
      <c r="AJ307" s="17">
        <f t="shared" si="182"/>
        <v>1.8571428571428572</v>
      </c>
      <c r="AK307">
        <v>10</v>
      </c>
      <c r="AL307" s="17">
        <f t="shared" si="183"/>
        <v>1.4285714285714286</v>
      </c>
      <c r="AM307">
        <v>5</v>
      </c>
      <c r="AN307" s="17">
        <f t="shared" si="184"/>
        <v>0.7142857142857143</v>
      </c>
      <c r="AO307">
        <v>0</v>
      </c>
      <c r="AQ307">
        <v>10</v>
      </c>
      <c r="AR307" s="17">
        <f t="shared" si="185"/>
        <v>1.4285714285714286</v>
      </c>
      <c r="AS307">
        <v>14</v>
      </c>
      <c r="AT307" s="17">
        <f t="shared" si="186"/>
        <v>2</v>
      </c>
      <c r="BD307" s="65">
        <f t="shared" si="187"/>
        <v>58.255659121171774</v>
      </c>
      <c r="BE307" s="65">
        <f t="shared" si="188"/>
        <v>55.26315789473685</v>
      </c>
      <c r="BF307" s="66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12.264131737215077</v>
      </c>
      <c r="BG307" s="38">
        <f t="shared" si="189"/>
        <v>0.61403508771929827</v>
      </c>
      <c r="BH307" s="38">
        <f t="shared" si="190"/>
        <v>0.12280701754385964</v>
      </c>
      <c r="BI307" s="67">
        <f>IFERROR(((AG307*(12000/5))/((F307*60+G307)*(SUMIFS(팀공격력!X:X,팀공격력!A:A,B307,팀공격력!B:B,D307)+SUMIFS(팀수비력!X:X,팀수비력!A:A,B307,팀수비력!B:B,D307))))*100,"")</f>
        <v>0</v>
      </c>
      <c r="BJ307" s="67">
        <f>IFERROR(((AI307*(12000/5))/((F307*60+G307)*(SUMIFS(팀공격력!V:V,팀공격력!A:A,B307,팀공격력!B:B,D307)+SUMIFS(팀수비력!W:W,팀수비력!A:A,B307,팀수비력!B:B,D307))))*100,"")</f>
        <v>5.4827451683308199</v>
      </c>
      <c r="BK307" s="67">
        <f>IFERROR(((AE307*(12000/5))/((F307*60+G307)*(SUMIFS(팀공격력!X:X,팀공격력!A:A,B307,팀공격력!B:B,D307)+SUMIFS(팀수비력!X:X,팀수비력!A:A,B307,팀수비력!B:B,D307))))*100,"")</f>
        <v>2.5354145402773356</v>
      </c>
      <c r="BL307" s="67">
        <f>IFERROR(100*AK307/(((((F307*60+G307)/(12000/5))*SUMIFS(팀공격력!P:P,팀공격력!A:A,B307,팀공격력!B:B,D307))-K307)),"")</f>
        <v>5.2948807328114933</v>
      </c>
      <c r="BM307" s="67">
        <f>IFERROR(100*((AM307/E307*(2400))/((F307*60+G307)*SUMIFS(팀공격력!AR:AR,팀공격력!A:A,B307,팀공격력!B:B,D307))),"")</f>
        <v>1.3179330991728693</v>
      </c>
      <c r="BN307" s="67">
        <f>IFERROR((AO307*40)/(((F307*60+G307)/60)*(SUMIFS(팀수비력!Q:Q,팀수비력!A:A,B307,팀수비력!B:B,D307)-SUMIFS(팀수비력!N:N,팀수비력!A:A,B307,팀수비력!B:B,D307)))*100,"")</f>
        <v>0</v>
      </c>
      <c r="BO307" s="67">
        <f t="shared" si="191"/>
        <v>14.269406392694064</v>
      </c>
      <c r="BT307" t="s">
        <v>89</v>
      </c>
      <c r="BV307" t="s">
        <v>90</v>
      </c>
      <c r="CF307">
        <v>4</v>
      </c>
      <c r="CG307">
        <v>3</v>
      </c>
    </row>
    <row r="308" spans="1:85" x14ac:dyDescent="0.4">
      <c r="A308" s="11" t="s">
        <v>85</v>
      </c>
      <c r="B308" t="s">
        <v>224</v>
      </c>
      <c r="C308" t="s">
        <v>237</v>
      </c>
      <c r="D308" s="46" t="s">
        <v>306</v>
      </c>
      <c r="E308">
        <v>3</v>
      </c>
      <c r="F308">
        <v>2</v>
      </c>
      <c r="G308" s="1">
        <v>40</v>
      </c>
      <c r="H308" s="16">
        <f t="shared" si="166"/>
        <v>480</v>
      </c>
      <c r="I308">
        <v>2</v>
      </c>
      <c r="J308" s="17">
        <f t="shared" si="167"/>
        <v>0.66666666666666663</v>
      </c>
      <c r="K308">
        <v>0</v>
      </c>
      <c r="L308">
        <v>2</v>
      </c>
      <c r="M308" s="17">
        <f t="shared" si="168"/>
        <v>0</v>
      </c>
      <c r="N308" s="17">
        <f t="shared" si="169"/>
        <v>0.66666666666666663</v>
      </c>
      <c r="O308" s="18">
        <f t="shared" si="170"/>
        <v>0</v>
      </c>
      <c r="P308">
        <v>0</v>
      </c>
      <c r="Q308">
        <v>2</v>
      </c>
      <c r="R308" s="17">
        <f t="shared" si="171"/>
        <v>0</v>
      </c>
      <c r="S308" s="17">
        <f t="shared" si="172"/>
        <v>0.66666666666666663</v>
      </c>
      <c r="T308" s="18">
        <f t="shared" si="173"/>
        <v>0</v>
      </c>
      <c r="U308">
        <v>0</v>
      </c>
      <c r="V308">
        <v>0</v>
      </c>
      <c r="W308" s="17">
        <f t="shared" si="174"/>
        <v>0</v>
      </c>
      <c r="X308" s="17">
        <f t="shared" si="175"/>
        <v>0</v>
      </c>
      <c r="Y308" s="18" t="e">
        <f t="shared" si="176"/>
        <v>#DIV/0!</v>
      </c>
      <c r="Z308">
        <v>2</v>
      </c>
      <c r="AA308">
        <v>2</v>
      </c>
      <c r="AB308" s="17">
        <f t="shared" si="177"/>
        <v>0.66666666666666663</v>
      </c>
      <c r="AC308" s="17">
        <f t="shared" si="178"/>
        <v>0.66666666666666663</v>
      </c>
      <c r="AD308" s="18">
        <f t="shared" si="179"/>
        <v>1</v>
      </c>
      <c r="AE308">
        <v>2</v>
      </c>
      <c r="AF308" s="17">
        <f t="shared" si="180"/>
        <v>0.66666666666666663</v>
      </c>
      <c r="AG308">
        <v>1</v>
      </c>
      <c r="AH308" s="17">
        <f t="shared" si="181"/>
        <v>0.33333333333333331</v>
      </c>
      <c r="AI308">
        <v>1</v>
      </c>
      <c r="AJ308" s="17">
        <f t="shared" si="182"/>
        <v>0.33333333333333331</v>
      </c>
      <c r="AK308">
        <v>0</v>
      </c>
      <c r="AL308" s="17">
        <f t="shared" si="183"/>
        <v>0</v>
      </c>
      <c r="AM308">
        <v>0</v>
      </c>
      <c r="AN308" s="17">
        <f t="shared" si="184"/>
        <v>0</v>
      </c>
      <c r="AO308">
        <v>0</v>
      </c>
      <c r="AQ308">
        <v>2</v>
      </c>
      <c r="AR308" s="17">
        <f t="shared" si="185"/>
        <v>0.66666666666666663</v>
      </c>
      <c r="AS308">
        <v>0</v>
      </c>
      <c r="AT308" s="17">
        <f t="shared" si="186"/>
        <v>0</v>
      </c>
      <c r="BD308" s="65">
        <f t="shared" si="187"/>
        <v>34.722222222222221</v>
      </c>
      <c r="BE308" s="65">
        <f t="shared" si="188"/>
        <v>0</v>
      </c>
      <c r="BF308" s="66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8.5080663908131484</v>
      </c>
      <c r="BG308" s="38">
        <f t="shared" si="189"/>
        <v>0</v>
      </c>
      <c r="BH308" s="38">
        <f t="shared" si="190"/>
        <v>1</v>
      </c>
      <c r="BI308" s="67">
        <f>IFERROR(((AG308*(12000/5))/((F308*60+G308)*(SUMIFS(팀공격력!X:X,팀공격력!A:A,B308,팀공격력!B:B,D308)+SUMIFS(팀수비력!X:X,팀수비력!A:A,B308,팀수비력!B:B,D308))))*100,"")</f>
        <v>1.9430051813471503</v>
      </c>
      <c r="BJ308" s="67">
        <f>IFERROR(((AI308*(12000/5))/((F308*60+G308)*(SUMIFS(팀공격력!V:V,팀공격력!A:A,B308,팀공격력!B:B,D308)+SUMIFS(팀수비력!W:W,팀수비력!A:A,B308,팀수비력!B:B,D308))))*100,"")</f>
        <v>4.2016806722689077</v>
      </c>
      <c r="BK308" s="67">
        <f>IFERROR(((AE308*(12000/5))/((F308*60+G308)*(SUMIFS(팀공격력!X:X,팀공격력!A:A,B308,팀공격력!B:B,D308)+SUMIFS(팀수비력!X:X,팀수비력!A:A,B308,팀수비력!B:B,D308))))*100,"")</f>
        <v>3.8860103626943006</v>
      </c>
      <c r="BL308" s="67">
        <f>IFERROR(100*AK308/(((((F308*60+G308)/(12000/5))*SUMIFS(팀공격력!P:P,팀공격력!A:A,B308,팀공격력!B:B,D308))-K308)),"")</f>
        <v>0</v>
      </c>
      <c r="BM308" s="67">
        <f>IFERROR(100*((AM308/E308*(2400))/((F308*60+G308)*SUMIFS(팀공격력!AR:AR,팀공격력!A:A,B308,팀공격력!B:B,D308))),"")</f>
        <v>0</v>
      </c>
      <c r="BN308" s="67">
        <f>IFERROR((AO308*40)/(((F308*60+G308)/60)*(SUMIFS(팀수비력!Q:Q,팀수비력!A:A,B308,팀수비력!B:B,D308)-SUMIFS(팀수비력!N:N,팀수비력!A:A,B308,팀수비력!B:B,D308)))*100,"")</f>
        <v>0</v>
      </c>
      <c r="BO308" s="67">
        <f t="shared" si="191"/>
        <v>40.983606557377051</v>
      </c>
      <c r="BT308" t="s">
        <v>89</v>
      </c>
      <c r="BV308" t="s">
        <v>90</v>
      </c>
      <c r="CF308">
        <v>3</v>
      </c>
      <c r="CG308">
        <v>0</v>
      </c>
    </row>
    <row r="309" spans="1:85" x14ac:dyDescent="0.4">
      <c r="A309" s="11" t="s">
        <v>85</v>
      </c>
      <c r="B309" t="s">
        <v>224</v>
      </c>
      <c r="C309" t="s">
        <v>238</v>
      </c>
      <c r="D309" s="46" t="s">
        <v>306</v>
      </c>
      <c r="E309">
        <v>9</v>
      </c>
      <c r="F309">
        <v>18</v>
      </c>
      <c r="G309" s="1">
        <v>8</v>
      </c>
      <c r="H309" s="16">
        <f t="shared" si="166"/>
        <v>9792</v>
      </c>
      <c r="I309">
        <v>80</v>
      </c>
      <c r="J309" s="17">
        <f t="shared" si="167"/>
        <v>8.8888888888888893</v>
      </c>
      <c r="K309">
        <v>33</v>
      </c>
      <c r="L309">
        <v>56</v>
      </c>
      <c r="M309" s="17">
        <f t="shared" si="168"/>
        <v>3.6666666666666665</v>
      </c>
      <c r="N309" s="17">
        <f t="shared" si="169"/>
        <v>6.2222222222222223</v>
      </c>
      <c r="O309" s="18">
        <f t="shared" si="170"/>
        <v>0.5892857142857143</v>
      </c>
      <c r="P309">
        <v>31</v>
      </c>
      <c r="Q309">
        <v>53</v>
      </c>
      <c r="R309" s="17">
        <f t="shared" si="171"/>
        <v>3.4444444444444446</v>
      </c>
      <c r="S309" s="17">
        <f t="shared" si="172"/>
        <v>5.8888888888888893</v>
      </c>
      <c r="T309" s="18">
        <f t="shared" si="173"/>
        <v>0.58490566037735847</v>
      </c>
      <c r="U309">
        <v>2</v>
      </c>
      <c r="V309">
        <v>3</v>
      </c>
      <c r="W309" s="17">
        <f t="shared" si="174"/>
        <v>0.22222222222222221</v>
      </c>
      <c r="X309" s="17">
        <f t="shared" si="175"/>
        <v>0.33333333333333331</v>
      </c>
      <c r="Y309" s="18">
        <f t="shared" si="176"/>
        <v>0.66666666666666663</v>
      </c>
      <c r="Z309">
        <v>12</v>
      </c>
      <c r="AA309">
        <v>18</v>
      </c>
      <c r="AB309" s="17">
        <f t="shared" si="177"/>
        <v>1.3333333333333333</v>
      </c>
      <c r="AC309" s="17">
        <f t="shared" si="178"/>
        <v>2</v>
      </c>
      <c r="AD309" s="18">
        <f t="shared" si="179"/>
        <v>0.66666666666666663</v>
      </c>
      <c r="AE309">
        <v>39</v>
      </c>
      <c r="AF309" s="17">
        <f t="shared" si="180"/>
        <v>4.333333333333333</v>
      </c>
      <c r="AG309">
        <v>10</v>
      </c>
      <c r="AH309" s="17">
        <f t="shared" si="181"/>
        <v>1.1111111111111112</v>
      </c>
      <c r="AI309">
        <v>29</v>
      </c>
      <c r="AJ309" s="17">
        <f t="shared" si="182"/>
        <v>3.2222222222222223</v>
      </c>
      <c r="AK309">
        <v>4</v>
      </c>
      <c r="AL309" s="17">
        <f t="shared" si="183"/>
        <v>0.44444444444444442</v>
      </c>
      <c r="AM309">
        <v>5</v>
      </c>
      <c r="AN309" s="17">
        <f t="shared" si="184"/>
        <v>0.55555555555555558</v>
      </c>
      <c r="AO309">
        <v>8</v>
      </c>
      <c r="AQ309">
        <v>11</v>
      </c>
      <c r="AR309" s="17">
        <f t="shared" si="185"/>
        <v>1.2222222222222223</v>
      </c>
      <c r="AS309">
        <v>17</v>
      </c>
      <c r="AT309" s="17">
        <f t="shared" si="186"/>
        <v>1.8888888888888888</v>
      </c>
      <c r="BD309" s="65">
        <f t="shared" si="187"/>
        <v>62.578222778473091</v>
      </c>
      <c r="BE309" s="65">
        <f t="shared" si="188"/>
        <v>60.714285714285708</v>
      </c>
      <c r="BF309" s="66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19.208785378487253</v>
      </c>
      <c r="BG309" s="38">
        <f t="shared" si="189"/>
        <v>5.3571428571428568E-2</v>
      </c>
      <c r="BH309" s="38">
        <f t="shared" si="190"/>
        <v>0.32142857142857145</v>
      </c>
      <c r="BI309" s="67">
        <f>IFERROR(((AG309*(12000/5))/((F309*60+G309)*(SUMIFS(팀공격력!X:X,팀공격력!A:A,B309,팀공격력!B:B,D309)+SUMIFS(팀수비력!X:X,팀수비력!A:A,B309,팀수비력!B:B,D309))))*100,"")</f>
        <v>2.8573605608046329</v>
      </c>
      <c r="BJ309" s="67">
        <f>IFERROR(((AI309*(12000/5))/((F309*60+G309)*(SUMIFS(팀공격력!V:V,팀공격력!A:A,B309,팀공격력!B:B,D309)+SUMIFS(팀수비력!W:W,팀수비력!A:A,B309,팀수비력!B:B,D309))))*100,"")</f>
        <v>17.918932278793871</v>
      </c>
      <c r="BK309" s="67">
        <f>IFERROR(((AE309*(12000/5))/((F309*60+G309)*(SUMIFS(팀공격력!X:X,팀공격력!A:A,B309,팀공격력!B:B,D309)+SUMIFS(팀수비력!X:X,팀수비력!A:A,B309,팀수비력!B:B,D309))))*100,"")</f>
        <v>11.143706187138068</v>
      </c>
      <c r="BL309" s="67">
        <f>IFERROR(100*AK309/(((((F309*60+G309)/(12000/5))*SUMIFS(팀공격력!P:P,팀공격력!A:A,B309,팀공격력!B:B,D309))-K309)),"")</f>
        <v>3.5406585624926237</v>
      </c>
      <c r="BM309" s="67">
        <f>IFERROR(100*((AM309/E309*(2400))/((F309*60+G309)*SUMIFS(팀공격력!AR:AR,팀공격력!A:A,B309,팀공격력!B:B,D309))),"")</f>
        <v>1.5017869199929408</v>
      </c>
      <c r="BN309" s="67">
        <f>IFERROR((AO309*40)/(((F309*60+G309)/60)*(SUMIFS(팀수비력!Q:Q,팀수비력!A:A,B309,팀수비력!B:B,D309)-SUMIFS(팀수비력!N:N,팀수비력!A:A,B309,팀수비력!B:B,D309)))*100,"")</f>
        <v>3.8363171355498715</v>
      </c>
      <c r="BO309" s="67">
        <f t="shared" si="191"/>
        <v>14.682327816337427</v>
      </c>
      <c r="BT309" t="s">
        <v>89</v>
      </c>
      <c r="BV309" t="s">
        <v>102</v>
      </c>
      <c r="CF309">
        <v>7</v>
      </c>
      <c r="CG309">
        <v>2</v>
      </c>
    </row>
    <row r="310" spans="1:85" x14ac:dyDescent="0.4">
      <c r="A310" s="11" t="s">
        <v>85</v>
      </c>
      <c r="B310" t="s">
        <v>224</v>
      </c>
      <c r="C310" t="s">
        <v>240</v>
      </c>
      <c r="D310" s="46" t="s">
        <v>306</v>
      </c>
      <c r="E310">
        <v>1</v>
      </c>
      <c r="F310">
        <v>1</v>
      </c>
      <c r="G310" s="1">
        <v>16</v>
      </c>
      <c r="H310" s="16">
        <f t="shared" si="166"/>
        <v>76</v>
      </c>
      <c r="I310">
        <v>0</v>
      </c>
      <c r="J310" s="17">
        <f t="shared" si="167"/>
        <v>0</v>
      </c>
      <c r="K310">
        <v>0</v>
      </c>
      <c r="L310">
        <v>0</v>
      </c>
      <c r="M310" s="17">
        <f t="shared" si="168"/>
        <v>0</v>
      </c>
      <c r="N310" s="17">
        <f t="shared" si="169"/>
        <v>0</v>
      </c>
      <c r="O310" s="18" t="e">
        <f t="shared" si="170"/>
        <v>#DIV/0!</v>
      </c>
      <c r="P310">
        <v>0</v>
      </c>
      <c r="Q310">
        <v>0</v>
      </c>
      <c r="R310" s="17">
        <f t="shared" si="171"/>
        <v>0</v>
      </c>
      <c r="S310" s="17">
        <f t="shared" si="172"/>
        <v>0</v>
      </c>
      <c r="T310" s="18" t="e">
        <f t="shared" si="173"/>
        <v>#DIV/0!</v>
      </c>
      <c r="U310">
        <v>0</v>
      </c>
      <c r="V310">
        <v>0</v>
      </c>
      <c r="W310" s="17">
        <f t="shared" si="174"/>
        <v>0</v>
      </c>
      <c r="X310" s="17">
        <f t="shared" si="175"/>
        <v>0</v>
      </c>
      <c r="Y310" s="18" t="e">
        <f t="shared" si="176"/>
        <v>#DIV/0!</v>
      </c>
      <c r="Z310">
        <v>0</v>
      </c>
      <c r="AA310">
        <v>0</v>
      </c>
      <c r="AB310" s="17">
        <f t="shared" si="177"/>
        <v>0</v>
      </c>
      <c r="AC310" s="17">
        <f t="shared" si="178"/>
        <v>0</v>
      </c>
      <c r="AD310" s="18" t="e">
        <f t="shared" si="179"/>
        <v>#DIV/0!</v>
      </c>
      <c r="AE310">
        <v>0</v>
      </c>
      <c r="AF310" s="17">
        <f t="shared" si="180"/>
        <v>0</v>
      </c>
      <c r="AG310">
        <v>0</v>
      </c>
      <c r="AH310" s="17">
        <f t="shared" si="181"/>
        <v>0</v>
      </c>
      <c r="AI310">
        <v>0</v>
      </c>
      <c r="AJ310" s="17">
        <f t="shared" si="182"/>
        <v>0</v>
      </c>
      <c r="AK310">
        <v>0</v>
      </c>
      <c r="AL310" s="17">
        <f t="shared" si="183"/>
        <v>0</v>
      </c>
      <c r="AM310">
        <v>0</v>
      </c>
      <c r="AN310" s="17">
        <f t="shared" si="184"/>
        <v>0</v>
      </c>
      <c r="AO310">
        <v>0</v>
      </c>
      <c r="AQ310">
        <v>0</v>
      </c>
      <c r="AR310" s="17">
        <f t="shared" si="185"/>
        <v>0</v>
      </c>
      <c r="AS310">
        <v>0</v>
      </c>
      <c r="AT310" s="17">
        <f t="shared" si="186"/>
        <v>0</v>
      </c>
      <c r="BD310" s="65" t="str">
        <f t="shared" si="187"/>
        <v/>
      </c>
      <c r="BE310" s="65" t="str">
        <f t="shared" si="188"/>
        <v/>
      </c>
      <c r="BF310" s="66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0</v>
      </c>
      <c r="BG310" s="38" t="str">
        <f t="shared" si="189"/>
        <v/>
      </c>
      <c r="BH310" s="38" t="str">
        <f t="shared" si="190"/>
        <v/>
      </c>
      <c r="BI310" s="67">
        <f>IFERROR(((AG310*(12000/5))/((F310*60+G310)*(SUMIFS(팀공격력!X:X,팀공격력!A:A,B310,팀공격력!B:B,D310)+SUMIFS(팀수비력!X:X,팀수비력!A:A,B310,팀수비력!B:B,D310))))*100,"")</f>
        <v>0</v>
      </c>
      <c r="BJ310" s="67">
        <f>IFERROR(((AI310*(12000/5))/((F310*60+G310)*(SUMIFS(팀공격력!V:V,팀공격력!A:A,B310,팀공격력!B:B,D310)+SUMIFS(팀수비력!W:W,팀수비력!A:A,B310,팀수비력!B:B,D310))))*100,"")</f>
        <v>0</v>
      </c>
      <c r="BK310" s="67">
        <f>IFERROR(((AE310*(12000/5))/((F310*60+G310)*(SUMIFS(팀공격력!X:X,팀공격력!A:A,B310,팀공격력!B:B,D310)+SUMIFS(팀수비력!X:X,팀수비력!A:A,B310,팀수비력!B:B,D310))))*100,"")</f>
        <v>0</v>
      </c>
      <c r="BL310" s="67">
        <f>IFERROR(100*AK310/(((((F310*60+G310)/(12000/5))*SUMIFS(팀공격력!P:P,팀공격력!A:A,B310,팀공격력!B:B,D310))-K310)),"")</f>
        <v>0</v>
      </c>
      <c r="BM310" s="67">
        <f>IFERROR(100*((AM310/E310*(2400))/((F310*60+G310)*SUMIFS(팀공격력!AR:AR,팀공격력!A:A,B310,팀공격력!B:B,D310))),"")</f>
        <v>0</v>
      </c>
      <c r="BN310" s="67">
        <f>IFERROR((AO310*40)/(((F310*60+G310)/60)*(SUMIFS(팀수비력!Q:Q,팀수비력!A:A,B310,팀수비력!B:B,D310)-SUMIFS(팀수비력!N:N,팀수비력!A:A,B310,팀수비력!B:B,D310)))*100,"")</f>
        <v>0</v>
      </c>
      <c r="BO310" s="67" t="str">
        <f t="shared" si="191"/>
        <v/>
      </c>
      <c r="BT310" t="s">
        <v>89</v>
      </c>
      <c r="BV310" t="s">
        <v>90</v>
      </c>
      <c r="CF310">
        <v>1</v>
      </c>
      <c r="CG310">
        <v>0</v>
      </c>
    </row>
    <row r="311" spans="1:85" x14ac:dyDescent="0.4">
      <c r="A311" s="11" t="s">
        <v>85</v>
      </c>
      <c r="B311" t="s">
        <v>224</v>
      </c>
      <c r="C311" t="s">
        <v>241</v>
      </c>
      <c r="D311" s="46" t="s">
        <v>306</v>
      </c>
      <c r="E311">
        <v>7</v>
      </c>
      <c r="F311">
        <v>9</v>
      </c>
      <c r="G311" s="1">
        <v>48</v>
      </c>
      <c r="H311" s="16">
        <f t="shared" si="166"/>
        <v>4116</v>
      </c>
      <c r="I311">
        <v>16</v>
      </c>
      <c r="J311" s="17">
        <f t="shared" si="167"/>
        <v>2.2857142857142856</v>
      </c>
      <c r="K311">
        <v>7</v>
      </c>
      <c r="L311">
        <v>21</v>
      </c>
      <c r="M311" s="17">
        <f t="shared" si="168"/>
        <v>1</v>
      </c>
      <c r="N311" s="17">
        <f t="shared" si="169"/>
        <v>3</v>
      </c>
      <c r="O311" s="18">
        <f t="shared" si="170"/>
        <v>0.33333333333333331</v>
      </c>
      <c r="P311">
        <v>6</v>
      </c>
      <c r="Q311">
        <v>15</v>
      </c>
      <c r="R311" s="17">
        <f t="shared" si="171"/>
        <v>0.8571428571428571</v>
      </c>
      <c r="S311" s="17">
        <f t="shared" si="172"/>
        <v>2.1428571428571428</v>
      </c>
      <c r="T311" s="18">
        <f t="shared" si="173"/>
        <v>0.4</v>
      </c>
      <c r="U311">
        <v>1</v>
      </c>
      <c r="V311">
        <v>6</v>
      </c>
      <c r="W311" s="17">
        <f t="shared" si="174"/>
        <v>0.14285714285714285</v>
      </c>
      <c r="X311" s="17">
        <f t="shared" si="175"/>
        <v>0.8571428571428571</v>
      </c>
      <c r="Y311" s="18">
        <f t="shared" si="176"/>
        <v>0.16666666666666666</v>
      </c>
      <c r="Z311">
        <v>1</v>
      </c>
      <c r="AA311">
        <v>2</v>
      </c>
      <c r="AB311" s="17">
        <f t="shared" si="177"/>
        <v>0.14285714285714285</v>
      </c>
      <c r="AC311" s="17">
        <f t="shared" si="178"/>
        <v>0.2857142857142857</v>
      </c>
      <c r="AD311" s="18">
        <f t="shared" si="179"/>
        <v>0.5</v>
      </c>
      <c r="AE311">
        <v>12</v>
      </c>
      <c r="AF311" s="17">
        <f t="shared" si="180"/>
        <v>1.7142857142857142</v>
      </c>
      <c r="AG311">
        <v>3</v>
      </c>
      <c r="AH311" s="17">
        <f t="shared" si="181"/>
        <v>0.42857142857142855</v>
      </c>
      <c r="AI311">
        <v>9</v>
      </c>
      <c r="AJ311" s="17">
        <f t="shared" si="182"/>
        <v>1.2857142857142858</v>
      </c>
      <c r="AK311">
        <v>0</v>
      </c>
      <c r="AL311" s="17">
        <f t="shared" si="183"/>
        <v>0</v>
      </c>
      <c r="AM311">
        <v>1</v>
      </c>
      <c r="AN311" s="17">
        <f t="shared" si="184"/>
        <v>0.14285714285714285</v>
      </c>
      <c r="AO311">
        <v>0</v>
      </c>
      <c r="AQ311">
        <v>6</v>
      </c>
      <c r="AR311" s="17">
        <f t="shared" si="185"/>
        <v>0.8571428571428571</v>
      </c>
      <c r="AS311">
        <v>2</v>
      </c>
      <c r="AT311" s="17">
        <f t="shared" si="186"/>
        <v>0.2857142857142857</v>
      </c>
      <c r="BD311" s="65">
        <f t="shared" si="187"/>
        <v>36.563071297989033</v>
      </c>
      <c r="BE311" s="65">
        <f t="shared" si="188"/>
        <v>35.714285714285715</v>
      </c>
      <c r="BF311" s="66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13.226546837062036</v>
      </c>
      <c r="BG311" s="38">
        <f t="shared" si="189"/>
        <v>0.2857142857142857</v>
      </c>
      <c r="BH311" s="38">
        <f t="shared" si="190"/>
        <v>9.5238095238095233E-2</v>
      </c>
      <c r="BI311" s="67">
        <f>IFERROR(((AG311*(12000/5))/((F311*60+G311)*(SUMIFS(팀공격력!X:X,팀공격력!A:A,B311,팀공격력!B:B,D311)+SUMIFS(팀수비력!X:X,팀수비력!A:A,B311,팀수비력!B:B,D311))))*100,"")</f>
        <v>1.5861266786507349</v>
      </c>
      <c r="BJ311" s="67">
        <f>IFERROR(((AI311*(12000/5))/((F311*60+G311)*(SUMIFS(팀공격력!V:V,팀공격력!A:A,B311,팀공격력!B:B,D311)+SUMIFS(팀수비력!W:W,팀수비력!A:A,B311,팀수비력!B:B,D311))))*100,"")</f>
        <v>10.289830217801406</v>
      </c>
      <c r="BK311" s="67">
        <f>IFERROR(((AE311*(12000/5))/((F311*60+G311)*(SUMIFS(팀공격력!X:X,팀공격력!A:A,B311,팀공격력!B:B,D311)+SUMIFS(팀수비력!X:X,팀수비력!A:A,B311,팀수비력!B:B,D311))))*100,"")</f>
        <v>6.3445067146029395</v>
      </c>
      <c r="BL311" s="67">
        <f>IFERROR(100*AK311/(((((F311*60+G311)/(12000/5))*SUMIFS(팀공격력!P:P,팀공격력!A:A,B311,팀공격력!B:B,D311))-K311)),"")</f>
        <v>0</v>
      </c>
      <c r="BM311" s="67">
        <f>IFERROR(100*((AM311/E311*(2400))/((F311*60+G311)*SUMIFS(팀공격력!AR:AR,팀공격력!A:A,B311,팀공격력!B:B,D311))),"")</f>
        <v>0.71455284356515425</v>
      </c>
      <c r="BN311" s="67">
        <f>IFERROR((AO311*40)/(((F311*60+G311)/60)*(SUMIFS(팀수비력!Q:Q,팀수비력!A:A,B311,팀수비력!B:B,D311)-SUMIFS(팀수비력!N:N,팀수비력!A:A,B311,팀수비력!B:B,D311)))*100,"")</f>
        <v>0</v>
      </c>
      <c r="BO311" s="67">
        <f t="shared" si="191"/>
        <v>21.520803443328553</v>
      </c>
      <c r="BT311" t="s">
        <v>89</v>
      </c>
      <c r="BV311" t="s">
        <v>93</v>
      </c>
      <c r="CF311">
        <v>6</v>
      </c>
      <c r="CG311">
        <v>1</v>
      </c>
    </row>
    <row r="312" spans="1:85" x14ac:dyDescent="0.4">
      <c r="A312" s="11" t="s">
        <v>85</v>
      </c>
      <c r="B312" t="s">
        <v>224</v>
      </c>
      <c r="C312" t="s">
        <v>242</v>
      </c>
      <c r="D312" s="46" t="s">
        <v>306</v>
      </c>
      <c r="E312">
        <v>8</v>
      </c>
      <c r="F312">
        <v>18</v>
      </c>
      <c r="G312" s="1">
        <v>35</v>
      </c>
      <c r="H312" s="16">
        <f t="shared" si="166"/>
        <v>8920</v>
      </c>
      <c r="I312">
        <v>59</v>
      </c>
      <c r="J312" s="17">
        <f t="shared" si="167"/>
        <v>7.375</v>
      </c>
      <c r="K312">
        <v>23</v>
      </c>
      <c r="L312">
        <v>56</v>
      </c>
      <c r="M312" s="17">
        <f t="shared" si="168"/>
        <v>2.875</v>
      </c>
      <c r="N312" s="17">
        <f t="shared" si="169"/>
        <v>7</v>
      </c>
      <c r="O312" s="18">
        <f t="shared" si="170"/>
        <v>0.4107142857142857</v>
      </c>
      <c r="P312">
        <v>17</v>
      </c>
      <c r="Q312">
        <v>35</v>
      </c>
      <c r="R312" s="17">
        <f t="shared" si="171"/>
        <v>2.125</v>
      </c>
      <c r="S312" s="17">
        <f t="shared" si="172"/>
        <v>4.375</v>
      </c>
      <c r="T312" s="18">
        <f t="shared" si="173"/>
        <v>0.48571428571428571</v>
      </c>
      <c r="U312">
        <v>6</v>
      </c>
      <c r="V312">
        <v>21</v>
      </c>
      <c r="W312" s="17">
        <f t="shared" si="174"/>
        <v>0.75</v>
      </c>
      <c r="X312" s="17">
        <f t="shared" si="175"/>
        <v>2.625</v>
      </c>
      <c r="Y312" s="18">
        <f t="shared" si="176"/>
        <v>0.2857142857142857</v>
      </c>
      <c r="Z312">
        <v>7</v>
      </c>
      <c r="AA312">
        <v>13</v>
      </c>
      <c r="AB312" s="17">
        <f t="shared" si="177"/>
        <v>0.875</v>
      </c>
      <c r="AC312" s="17">
        <f t="shared" si="178"/>
        <v>1.625</v>
      </c>
      <c r="AD312" s="18">
        <f t="shared" si="179"/>
        <v>0.53846153846153844</v>
      </c>
      <c r="AE312">
        <v>32</v>
      </c>
      <c r="AF312" s="17">
        <f t="shared" si="180"/>
        <v>4</v>
      </c>
      <c r="AG312">
        <v>10</v>
      </c>
      <c r="AH312" s="17">
        <f t="shared" si="181"/>
        <v>1.25</v>
      </c>
      <c r="AI312">
        <v>22</v>
      </c>
      <c r="AJ312" s="17">
        <f t="shared" si="182"/>
        <v>2.75</v>
      </c>
      <c r="AK312">
        <v>5</v>
      </c>
      <c r="AL312" s="17">
        <f t="shared" si="183"/>
        <v>0.625</v>
      </c>
      <c r="AM312">
        <v>7</v>
      </c>
      <c r="AN312" s="17">
        <f t="shared" si="184"/>
        <v>0.875</v>
      </c>
      <c r="AO312">
        <v>2</v>
      </c>
      <c r="AQ312">
        <v>2</v>
      </c>
      <c r="AR312" s="17">
        <f t="shared" si="185"/>
        <v>0.25</v>
      </c>
      <c r="AS312">
        <v>13</v>
      </c>
      <c r="AT312" s="17">
        <f t="shared" si="186"/>
        <v>1.625</v>
      </c>
      <c r="BD312" s="65">
        <f t="shared" si="187"/>
        <v>47.796500324044075</v>
      </c>
      <c r="BE312" s="65">
        <f t="shared" si="188"/>
        <v>46.428571428571431</v>
      </c>
      <c r="BF312" s="66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15.941600835774867</v>
      </c>
      <c r="BG312" s="38">
        <f t="shared" si="189"/>
        <v>0.375</v>
      </c>
      <c r="BH312" s="38">
        <f t="shared" si="190"/>
        <v>0.23214285714285715</v>
      </c>
      <c r="BI312" s="67">
        <f>IFERROR(((AG312*(12000/5))/((F312*60+G312)*(SUMIFS(팀공격력!X:X,팀공격력!A:A,B312,팀공격력!B:B,D312)+SUMIFS(팀수비력!X:X,팀수비력!A:A,B312,팀수비력!B:B,D312))))*100,"")</f>
        <v>2.7881688700945655</v>
      </c>
      <c r="BJ312" s="67">
        <f>IFERROR(((AI312*(12000/5))/((F312*60+G312)*(SUMIFS(팀공격력!V:V,팀공격력!A:A,B312,팀공격력!B:B,D312)+SUMIFS(팀수비력!W:W,팀수비력!A:A,B312,팀수비력!B:B,D312))))*100,"")</f>
        <v>13.264498624561933</v>
      </c>
      <c r="BK312" s="67">
        <f>IFERROR(((AE312*(12000/5))/((F312*60+G312)*(SUMIFS(팀공격력!X:X,팀공격력!A:A,B312,팀공격력!B:B,D312)+SUMIFS(팀수비력!X:X,팀수비력!A:A,B312,팀수비력!B:B,D312))))*100,"")</f>
        <v>8.9221403843026099</v>
      </c>
      <c r="BL312" s="67">
        <f>IFERROR(100*AK312/(((((F312*60+G312)/(12000/5))*SUMIFS(팀공격력!P:P,팀공격력!A:A,B312,팀공격력!B:B,D312))-K312)),"")</f>
        <v>3.9495770661225027</v>
      </c>
      <c r="BM312" s="67">
        <f>IFERROR(100*((AM312/E312*(2400))/((F312*60+G312)*SUMIFS(팀공격력!AR:AR,팀공격력!A:A,B312,팀공격력!B:B,D312))),"")</f>
        <v>2.308037727443859</v>
      </c>
      <c r="BN312" s="67">
        <f>IFERROR((AO312*40)/(((F312*60+G312)/60)*(SUMIFS(팀수비력!Q:Q,팀수비력!A:A,B312,팀수비력!B:B,D312)-SUMIFS(팀수비력!N:N,팀수비력!A:A,B312,팀수비력!B:B,D312)))*100,"")</f>
        <v>0.9358549424839151</v>
      </c>
      <c r="BO312" s="67">
        <f t="shared" si="191"/>
        <v>3.1387319522912742</v>
      </c>
      <c r="BT312" t="s">
        <v>89</v>
      </c>
      <c r="BV312" t="s">
        <v>93</v>
      </c>
      <c r="CF312">
        <v>6</v>
      </c>
      <c r="CG312">
        <v>2</v>
      </c>
    </row>
    <row r="313" spans="1:85" x14ac:dyDescent="0.4">
      <c r="A313" s="11" t="s">
        <v>85</v>
      </c>
      <c r="B313" t="s">
        <v>224</v>
      </c>
      <c r="C313" t="s">
        <v>243</v>
      </c>
      <c r="D313" s="46" t="s">
        <v>306</v>
      </c>
      <c r="E313">
        <v>10</v>
      </c>
      <c r="F313">
        <v>27</v>
      </c>
      <c r="G313" s="1">
        <v>13</v>
      </c>
      <c r="H313" s="16">
        <f t="shared" si="166"/>
        <v>16330</v>
      </c>
      <c r="I313">
        <v>87</v>
      </c>
      <c r="J313" s="17">
        <f t="shared" si="167"/>
        <v>8.6999999999999993</v>
      </c>
      <c r="K313">
        <v>25</v>
      </c>
      <c r="L313">
        <v>81</v>
      </c>
      <c r="M313" s="17">
        <f t="shared" si="168"/>
        <v>2.5</v>
      </c>
      <c r="N313" s="17">
        <f t="shared" si="169"/>
        <v>8.1</v>
      </c>
      <c r="O313" s="18">
        <f t="shared" si="170"/>
        <v>0.30864197530864196</v>
      </c>
      <c r="P313">
        <v>11</v>
      </c>
      <c r="Q313">
        <v>30</v>
      </c>
      <c r="R313" s="17">
        <f t="shared" si="171"/>
        <v>1.1000000000000001</v>
      </c>
      <c r="S313" s="17">
        <f t="shared" si="172"/>
        <v>3</v>
      </c>
      <c r="T313" s="18">
        <f t="shared" si="173"/>
        <v>0.36666666666666664</v>
      </c>
      <c r="U313">
        <v>14</v>
      </c>
      <c r="V313">
        <v>51</v>
      </c>
      <c r="W313" s="17">
        <f t="shared" si="174"/>
        <v>1.4</v>
      </c>
      <c r="X313" s="17">
        <f t="shared" si="175"/>
        <v>5.0999999999999996</v>
      </c>
      <c r="Y313" s="18">
        <f t="shared" si="176"/>
        <v>0.27450980392156865</v>
      </c>
      <c r="Z313">
        <v>23</v>
      </c>
      <c r="AA313">
        <v>24</v>
      </c>
      <c r="AB313" s="17">
        <f t="shared" si="177"/>
        <v>2.2999999999999998</v>
      </c>
      <c r="AC313" s="17">
        <f t="shared" si="178"/>
        <v>2.4</v>
      </c>
      <c r="AD313" s="18">
        <f t="shared" si="179"/>
        <v>0.95833333333333337</v>
      </c>
      <c r="AE313">
        <v>25</v>
      </c>
      <c r="AF313" s="17">
        <f t="shared" si="180"/>
        <v>2.5</v>
      </c>
      <c r="AG313">
        <v>3</v>
      </c>
      <c r="AH313" s="17">
        <f t="shared" si="181"/>
        <v>0.3</v>
      </c>
      <c r="AI313">
        <v>22</v>
      </c>
      <c r="AJ313" s="17">
        <f t="shared" si="182"/>
        <v>2.2000000000000002</v>
      </c>
      <c r="AK313">
        <v>32</v>
      </c>
      <c r="AL313" s="17">
        <f t="shared" si="183"/>
        <v>3.2</v>
      </c>
      <c r="AM313">
        <v>2</v>
      </c>
      <c r="AN313" s="17">
        <f t="shared" si="184"/>
        <v>0.2</v>
      </c>
      <c r="AO313">
        <v>0</v>
      </c>
      <c r="AQ313">
        <v>16</v>
      </c>
      <c r="AR313" s="17">
        <f t="shared" si="185"/>
        <v>1.6</v>
      </c>
      <c r="AS313">
        <v>20</v>
      </c>
      <c r="AT313" s="17">
        <f t="shared" si="186"/>
        <v>2</v>
      </c>
      <c r="BD313" s="65">
        <f t="shared" si="187"/>
        <v>47.509829619921362</v>
      </c>
      <c r="BE313" s="65">
        <f t="shared" si="188"/>
        <v>39.506172839506171</v>
      </c>
      <c r="BF313" s="66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18.373658478227984</v>
      </c>
      <c r="BG313" s="38">
        <f t="shared" si="189"/>
        <v>0.62962962962962965</v>
      </c>
      <c r="BH313" s="38">
        <f t="shared" si="190"/>
        <v>0.29629629629629628</v>
      </c>
      <c r="BI313" s="67">
        <f>IFERROR(((AG313*(12000/5))/((F313*60+G313)*(SUMIFS(팀공격력!X:X,팀공격력!A:A,B313,팀공격력!B:B,D313)+SUMIFS(팀수비력!X:X,팀수비력!A:A,B313,팀수비력!B:B,D313))))*100,"")</f>
        <v>0.57112215985709258</v>
      </c>
      <c r="BJ313" s="67">
        <f>IFERROR(((AI313*(12000/5))/((F313*60+G313)*(SUMIFS(팀공격력!V:V,팀공격력!A:A,B313,팀공격력!B:B,D313)+SUMIFS(팀수비력!W:W,팀수비력!A:A,B313,팀수비력!B:B,D313))))*100,"")</f>
        <v>9.0568989383873575</v>
      </c>
      <c r="BK313" s="67">
        <f>IFERROR(((AE313*(12000/5))/((F313*60+G313)*(SUMIFS(팀공격력!X:X,팀공격력!A:A,B313,팀공격력!B:B,D313)+SUMIFS(팀수비력!X:X,팀수비력!A:A,B313,팀수비력!B:B,D313))))*100,"")</f>
        <v>4.7593513321424377</v>
      </c>
      <c r="BL313" s="67">
        <f>IFERROR(100*AK313/(((((F313*60+G313)/(12000/5))*SUMIFS(팀공격력!P:P,팀공격력!A:A,B313,팀공격력!B:B,D313))-K313)),"")</f>
        <v>16.486842726683353</v>
      </c>
      <c r="BM313" s="67">
        <f>IFERROR(100*((AM313/E313*(2400))/((F313*60+G313)*SUMIFS(팀공격력!AR:AR,팀공격력!A:A,B313,팀공격력!B:B,D313))),"")</f>
        <v>0.36020814502316906</v>
      </c>
      <c r="BN313" s="67">
        <f>IFERROR((AO313*40)/(((F313*60+G313)/60)*(SUMIFS(팀수비력!Q:Q,팀수비력!A:A,B313,팀수비력!B:B,D313)-SUMIFS(팀수비력!N:N,팀수비력!A:A,B313,팀수비력!B:B,D313)))*100,"")</f>
        <v>0</v>
      </c>
      <c r="BO313" s="67">
        <f t="shared" si="191"/>
        <v>14.875418371141688</v>
      </c>
      <c r="BT313" t="s">
        <v>89</v>
      </c>
      <c r="BV313" t="s">
        <v>90</v>
      </c>
      <c r="CF313">
        <v>7</v>
      </c>
      <c r="CG313">
        <v>3</v>
      </c>
    </row>
    <row r="314" spans="1:85" x14ac:dyDescent="0.4">
      <c r="A314" s="11" t="s">
        <v>85</v>
      </c>
      <c r="B314" t="s">
        <v>245</v>
      </c>
      <c r="C314" t="s">
        <v>246</v>
      </c>
      <c r="D314" s="46" t="s">
        <v>306</v>
      </c>
      <c r="E314">
        <v>10</v>
      </c>
      <c r="F314">
        <v>20</v>
      </c>
      <c r="G314" s="1">
        <v>55</v>
      </c>
      <c r="H314" s="16">
        <f t="shared" si="166"/>
        <v>12550</v>
      </c>
      <c r="I314">
        <v>164</v>
      </c>
      <c r="J314" s="17">
        <f t="shared" si="167"/>
        <v>16.399999999999999</v>
      </c>
      <c r="K314">
        <v>71</v>
      </c>
      <c r="L314">
        <v>134</v>
      </c>
      <c r="M314" s="17">
        <f t="shared" si="168"/>
        <v>7.1</v>
      </c>
      <c r="N314" s="17">
        <f t="shared" si="169"/>
        <v>13.4</v>
      </c>
      <c r="O314" s="18">
        <f t="shared" si="170"/>
        <v>0.52985074626865669</v>
      </c>
      <c r="P314">
        <v>71</v>
      </c>
      <c r="Q314">
        <v>128</v>
      </c>
      <c r="R314" s="17">
        <f t="shared" si="171"/>
        <v>7.1</v>
      </c>
      <c r="S314" s="17">
        <f t="shared" si="172"/>
        <v>12.8</v>
      </c>
      <c r="T314" s="18">
        <f t="shared" si="173"/>
        <v>0.5546875</v>
      </c>
      <c r="U314">
        <v>0</v>
      </c>
      <c r="V314">
        <v>6</v>
      </c>
      <c r="W314" s="17">
        <f t="shared" si="174"/>
        <v>0</v>
      </c>
      <c r="X314" s="17">
        <f t="shared" si="175"/>
        <v>0.6</v>
      </c>
      <c r="Y314" s="18">
        <f t="shared" si="176"/>
        <v>0</v>
      </c>
      <c r="Z314">
        <v>22</v>
      </c>
      <c r="AA314">
        <v>31</v>
      </c>
      <c r="AB314" s="17">
        <f t="shared" si="177"/>
        <v>2.2000000000000002</v>
      </c>
      <c r="AC314" s="17">
        <f t="shared" si="178"/>
        <v>3.1</v>
      </c>
      <c r="AD314" s="18">
        <f t="shared" si="179"/>
        <v>0.70967741935483875</v>
      </c>
      <c r="AE314">
        <v>80</v>
      </c>
      <c r="AF314" s="17">
        <f t="shared" si="180"/>
        <v>8</v>
      </c>
      <c r="AG314">
        <v>28</v>
      </c>
      <c r="AH314" s="17">
        <f t="shared" si="181"/>
        <v>2.8</v>
      </c>
      <c r="AI314">
        <v>52</v>
      </c>
      <c r="AJ314" s="17">
        <f t="shared" si="182"/>
        <v>5.2</v>
      </c>
      <c r="AK314">
        <v>14</v>
      </c>
      <c r="AL314" s="17">
        <f t="shared" si="183"/>
        <v>1.4</v>
      </c>
      <c r="AM314">
        <v>7</v>
      </c>
      <c r="AN314" s="17">
        <f t="shared" si="184"/>
        <v>0.7</v>
      </c>
      <c r="AO314">
        <v>6</v>
      </c>
      <c r="AQ314">
        <v>10</v>
      </c>
      <c r="AR314" s="17">
        <f t="shared" si="185"/>
        <v>1</v>
      </c>
      <c r="AS314">
        <v>20</v>
      </c>
      <c r="AT314" s="17">
        <f t="shared" si="186"/>
        <v>2</v>
      </c>
      <c r="BD314" s="65">
        <f t="shared" si="187"/>
        <v>55.540503928474671</v>
      </c>
      <c r="BE314" s="65">
        <f t="shared" si="188"/>
        <v>52.985074626865668</v>
      </c>
      <c r="BF314" s="66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34.769208826256147</v>
      </c>
      <c r="BG314" s="38">
        <f t="shared" si="189"/>
        <v>4.4776119402985072E-2</v>
      </c>
      <c r="BH314" s="38">
        <f t="shared" si="190"/>
        <v>0.23134328358208955</v>
      </c>
      <c r="BI314" s="67">
        <f>IFERROR(((AG314*(12000/5))/((F314*60+G314)*(SUMIFS(팀공격력!X:X,팀공격력!A:A,B314,팀공격력!B:B,D314)+SUMIFS(팀수비력!X:X,팀수비력!A:A,B314,팀수비력!B:B,D314))))*100,"")</f>
        <v>7.5310572057760528</v>
      </c>
      <c r="BJ314" s="67">
        <f>IFERROR(((AI314*(12000/5))/((F314*60+G314)*(SUMIFS(팀공격력!V:V,팀공격력!A:A,B314,팀공격력!B:B,D314)+SUMIFS(팀수비력!W:W,팀수비력!A:A,B314,팀수비력!B:B,D314))))*100,"")</f>
        <v>30.5037518637108</v>
      </c>
      <c r="BK314" s="67">
        <f>IFERROR(((AE314*(12000/5))/((F314*60+G314)*(SUMIFS(팀공격력!X:X,팀공격력!A:A,B314,팀공격력!B:B,D314)+SUMIFS(팀수비력!X:X,팀수비력!A:A,B314,팀수비력!B:B,D314))))*100,"")</f>
        <v>21.517306302217289</v>
      </c>
      <c r="BL314" s="67">
        <f>IFERROR(100*AK314/(((((F314*60+G314)/(12000/5))*SUMIFS(팀공격력!P:P,팀공격력!A:A,B314,팀공격력!B:B,D314))-K314)),"")</f>
        <v>15.545479781623021</v>
      </c>
      <c r="BM314" s="67">
        <f>IFERROR(100*((AM314/E314*(2400))/((F314*60+G314)*SUMIFS(팀공격력!AR:AR,팀공격력!A:A,B314,팀공격력!B:B,D314))),"")</f>
        <v>1.6683542371983602</v>
      </c>
      <c r="BN314" s="67">
        <f>IFERROR((AO314*40)/(((F314*60+G314)/60)*(SUMIFS(팀수비력!Q:Q,팀수비력!A:A,B314,팀수비력!B:B,D314)-SUMIFS(팀수비력!N:N,팀수비력!A:A,B314,팀수비력!B:B,D314)))*100,"")</f>
        <v>2.405472449823348</v>
      </c>
      <c r="BO314" s="67">
        <f t="shared" si="191"/>
        <v>6.3435676224308555</v>
      </c>
      <c r="BT314" t="s">
        <v>96</v>
      </c>
      <c r="BV314" t="s">
        <v>102</v>
      </c>
      <c r="CF314">
        <v>5</v>
      </c>
      <c r="CG314">
        <v>5</v>
      </c>
    </row>
    <row r="315" spans="1:85" x14ac:dyDescent="0.4">
      <c r="A315" s="11" t="s">
        <v>85</v>
      </c>
      <c r="B315" t="s">
        <v>245</v>
      </c>
      <c r="C315" t="s">
        <v>247</v>
      </c>
      <c r="D315" s="46" t="s">
        <v>306</v>
      </c>
      <c r="E315">
        <v>10</v>
      </c>
      <c r="F315">
        <v>26</v>
      </c>
      <c r="G315" s="1">
        <v>52</v>
      </c>
      <c r="H315" s="16">
        <f t="shared" si="166"/>
        <v>16120</v>
      </c>
      <c r="I315">
        <v>89</v>
      </c>
      <c r="J315" s="17">
        <f t="shared" si="167"/>
        <v>8.9</v>
      </c>
      <c r="K315">
        <v>32</v>
      </c>
      <c r="L315">
        <v>72</v>
      </c>
      <c r="M315" s="17">
        <f t="shared" si="168"/>
        <v>3.2</v>
      </c>
      <c r="N315" s="17">
        <f t="shared" si="169"/>
        <v>7.2</v>
      </c>
      <c r="O315" s="18">
        <f t="shared" si="170"/>
        <v>0.44444444444444442</v>
      </c>
      <c r="P315">
        <v>14</v>
      </c>
      <c r="Q315">
        <v>26</v>
      </c>
      <c r="R315" s="17">
        <f t="shared" si="171"/>
        <v>1.4</v>
      </c>
      <c r="S315" s="17">
        <f t="shared" si="172"/>
        <v>2.6</v>
      </c>
      <c r="T315" s="18">
        <f t="shared" si="173"/>
        <v>0.53846153846153844</v>
      </c>
      <c r="U315">
        <v>18</v>
      </c>
      <c r="V315">
        <v>46</v>
      </c>
      <c r="W315" s="17">
        <f t="shared" si="174"/>
        <v>1.8</v>
      </c>
      <c r="X315" s="17">
        <f t="shared" si="175"/>
        <v>4.5999999999999996</v>
      </c>
      <c r="Y315" s="18">
        <f t="shared" si="176"/>
        <v>0.39130434782608697</v>
      </c>
      <c r="Z315">
        <v>7</v>
      </c>
      <c r="AA315">
        <v>8</v>
      </c>
      <c r="AB315" s="17">
        <f t="shared" si="177"/>
        <v>0.7</v>
      </c>
      <c r="AC315" s="17">
        <f t="shared" si="178"/>
        <v>0.8</v>
      </c>
      <c r="AD315" s="18">
        <f t="shared" si="179"/>
        <v>0.875</v>
      </c>
      <c r="AE315">
        <v>40</v>
      </c>
      <c r="AF315" s="17">
        <f t="shared" si="180"/>
        <v>4</v>
      </c>
      <c r="AG315">
        <v>9</v>
      </c>
      <c r="AH315" s="17">
        <f t="shared" si="181"/>
        <v>0.9</v>
      </c>
      <c r="AI315">
        <v>31</v>
      </c>
      <c r="AJ315" s="17">
        <f t="shared" si="182"/>
        <v>3.1</v>
      </c>
      <c r="AK315">
        <v>18</v>
      </c>
      <c r="AL315" s="17">
        <f t="shared" si="183"/>
        <v>1.8</v>
      </c>
      <c r="AM315">
        <v>6</v>
      </c>
      <c r="AN315" s="17">
        <f t="shared" si="184"/>
        <v>0.6</v>
      </c>
      <c r="AO315">
        <v>0</v>
      </c>
      <c r="AQ315">
        <v>11</v>
      </c>
      <c r="AR315" s="17">
        <f t="shared" si="185"/>
        <v>1.1000000000000001</v>
      </c>
      <c r="AS315">
        <v>32</v>
      </c>
      <c r="AT315" s="17">
        <f t="shared" si="186"/>
        <v>3.2</v>
      </c>
      <c r="BD315" s="65">
        <f t="shared" si="187"/>
        <v>58.924788135593218</v>
      </c>
      <c r="BE315" s="65">
        <f t="shared" si="188"/>
        <v>56.944444444444443</v>
      </c>
      <c r="BF315" s="66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14.856741993637861</v>
      </c>
      <c r="BG315" s="38">
        <f t="shared" si="189"/>
        <v>0.63888888888888884</v>
      </c>
      <c r="BH315" s="38">
        <f t="shared" si="190"/>
        <v>0.1111111111111111</v>
      </c>
      <c r="BI315" s="67">
        <f>IFERROR(((AG315*(12000/5))/((F315*60+G315)*(SUMIFS(팀공격력!X:X,팀공격력!A:A,B315,팀공격력!B:B,D315)+SUMIFS(팀수비력!X:X,팀수비력!A:A,B315,팀수비력!B:B,D315))))*100,"")</f>
        <v>1.8845996796180546</v>
      </c>
      <c r="BJ315" s="67">
        <f>IFERROR(((AI315*(12000/5))/((F315*60+G315)*(SUMIFS(팀공격력!V:V,팀공격력!A:A,B315,팀공격력!B:B,D315)+SUMIFS(팀수비력!W:W,팀수비력!A:A,B315,팀수비력!B:B,D315))))*100,"")</f>
        <v>14.15762151958471</v>
      </c>
      <c r="BK315" s="67">
        <f>IFERROR(((AE315*(12000/5))/((F315*60+G315)*(SUMIFS(팀공격력!X:X,팀공격력!A:A,B315,팀공격력!B:B,D315)+SUMIFS(팀수비력!X:X,팀수비력!A:A,B315,팀수비력!B:B,D315))))*100,"")</f>
        <v>8.3759985760802422</v>
      </c>
      <c r="BL315" s="67">
        <f>IFERROR(100*AK315/(((((F315*60+G315)/(12000/5))*SUMIFS(팀공격력!P:P,팀공격력!A:A,B315,팀공격력!B:B,D315))-K315)),"")</f>
        <v>10.293164576264726</v>
      </c>
      <c r="BM315" s="67">
        <f>IFERROR(100*((AM315/E315*(2400))/((F315*60+G315)*SUMIFS(팀공격력!AR:AR,팀공격력!A:A,B315,팀공격력!B:B,D315))),"")</f>
        <v>1.1133204011080871</v>
      </c>
      <c r="BN315" s="67">
        <f>IFERROR((AO315*40)/(((F315*60+G315)/60)*(SUMIFS(팀수비력!Q:Q,팀수비력!A:A,B315,팀수비력!B:B,D315)-SUMIFS(팀수비력!N:N,팀수비력!A:A,B315,팀수비력!B:B,D315)))*100,"")</f>
        <v>0</v>
      </c>
      <c r="BO315" s="67">
        <f t="shared" si="191"/>
        <v>12.713823393435044</v>
      </c>
      <c r="BT315" t="s">
        <v>89</v>
      </c>
      <c r="BV315" t="s">
        <v>93</v>
      </c>
      <c r="CF315">
        <v>5</v>
      </c>
      <c r="CG315">
        <v>5</v>
      </c>
    </row>
    <row r="316" spans="1:85" x14ac:dyDescent="0.4">
      <c r="A316" s="11" t="s">
        <v>85</v>
      </c>
      <c r="B316" t="s">
        <v>245</v>
      </c>
      <c r="C316" t="s">
        <v>248</v>
      </c>
      <c r="D316" s="46" t="s">
        <v>306</v>
      </c>
      <c r="E316">
        <v>10</v>
      </c>
      <c r="F316">
        <v>16</v>
      </c>
      <c r="G316" s="1">
        <v>24</v>
      </c>
      <c r="H316" s="16">
        <f t="shared" si="166"/>
        <v>9840</v>
      </c>
      <c r="I316">
        <v>75</v>
      </c>
      <c r="J316" s="17">
        <f t="shared" si="167"/>
        <v>7.5</v>
      </c>
      <c r="K316">
        <v>25</v>
      </c>
      <c r="L316">
        <v>45</v>
      </c>
      <c r="M316" s="17">
        <f t="shared" si="168"/>
        <v>2.5</v>
      </c>
      <c r="N316" s="17">
        <f t="shared" si="169"/>
        <v>4.5</v>
      </c>
      <c r="O316" s="18">
        <f t="shared" si="170"/>
        <v>0.55555555555555558</v>
      </c>
      <c r="P316">
        <v>25</v>
      </c>
      <c r="Q316">
        <v>45</v>
      </c>
      <c r="R316" s="17">
        <f t="shared" si="171"/>
        <v>2.5</v>
      </c>
      <c r="S316" s="17">
        <f t="shared" si="172"/>
        <v>4.5</v>
      </c>
      <c r="T316" s="18">
        <f t="shared" si="173"/>
        <v>0.55555555555555558</v>
      </c>
      <c r="U316">
        <v>0</v>
      </c>
      <c r="V316">
        <v>0</v>
      </c>
      <c r="W316" s="17">
        <f t="shared" si="174"/>
        <v>0</v>
      </c>
      <c r="X316" s="17">
        <f t="shared" si="175"/>
        <v>0</v>
      </c>
      <c r="Y316" s="18" t="e">
        <f t="shared" si="176"/>
        <v>#DIV/0!</v>
      </c>
      <c r="Z316">
        <v>25</v>
      </c>
      <c r="AA316">
        <v>28</v>
      </c>
      <c r="AB316" s="17">
        <f t="shared" si="177"/>
        <v>2.5</v>
      </c>
      <c r="AC316" s="17">
        <f t="shared" si="178"/>
        <v>2.8</v>
      </c>
      <c r="AD316" s="18">
        <f t="shared" si="179"/>
        <v>0.8928571428571429</v>
      </c>
      <c r="AE316">
        <v>36</v>
      </c>
      <c r="AF316" s="17">
        <f t="shared" si="180"/>
        <v>3.6</v>
      </c>
      <c r="AG316">
        <v>17</v>
      </c>
      <c r="AH316" s="17">
        <f t="shared" si="181"/>
        <v>1.7</v>
      </c>
      <c r="AI316">
        <v>19</v>
      </c>
      <c r="AJ316" s="17">
        <f t="shared" si="182"/>
        <v>1.9</v>
      </c>
      <c r="AK316">
        <v>18</v>
      </c>
      <c r="AL316" s="17">
        <f t="shared" si="183"/>
        <v>1.8</v>
      </c>
      <c r="AM316">
        <v>7</v>
      </c>
      <c r="AN316" s="17">
        <f t="shared" si="184"/>
        <v>0.7</v>
      </c>
      <c r="AO316">
        <v>4</v>
      </c>
      <c r="AQ316">
        <v>17</v>
      </c>
      <c r="AR316" s="17">
        <f t="shared" si="185"/>
        <v>1.7</v>
      </c>
      <c r="AS316">
        <v>28</v>
      </c>
      <c r="AT316" s="17">
        <f t="shared" si="186"/>
        <v>2.8</v>
      </c>
      <c r="BD316" s="65">
        <f t="shared" si="187"/>
        <v>65.422191207257498</v>
      </c>
      <c r="BE316" s="65">
        <f t="shared" si="188"/>
        <v>55.555555555555557</v>
      </c>
      <c r="BF316" s="66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20.906566327150628</v>
      </c>
      <c r="BG316" s="38">
        <f t="shared" si="189"/>
        <v>0</v>
      </c>
      <c r="BH316" s="38">
        <f t="shared" si="190"/>
        <v>0.62222222222222223</v>
      </c>
      <c r="BI316" s="67">
        <f>IFERROR(((AG316*(12000/5))/((F316*60+G316)*(SUMIFS(팀공격력!X:X,팀공격력!A:A,B316,팀공격력!B:B,D316)+SUMIFS(팀수비력!X:X,팀수비력!A:A,B316,팀수비력!B:B,D316))))*100,"")</f>
        <v>5.8317038866591195</v>
      </c>
      <c r="BJ316" s="67">
        <f>IFERROR(((AI316*(12000/5))/((F316*60+G316)*(SUMIFS(팀공격력!V:V,팀공격력!A:A,B316,팀공격력!B:B,D316)+SUMIFS(팀수비력!W:W,팀수비력!A:A,B316,팀수비력!B:B,D316))))*100,"")</f>
        <v>14.215172826574893</v>
      </c>
      <c r="BK316" s="67">
        <f>IFERROR(((AE316*(12000/5))/((F316*60+G316)*(SUMIFS(팀공격력!X:X,팀공격력!A:A,B316,팀공격력!B:B,D316)+SUMIFS(팀수비력!X:X,팀수비력!A:A,B316,팀수비력!B:B,D316))))*100,"")</f>
        <v>12.349490583513429</v>
      </c>
      <c r="BL316" s="67">
        <f>IFERROR(100*AK316/(((((F316*60+G316)/(12000/5))*SUMIFS(팀공격력!P:P,팀공격력!A:A,B316,팀공격력!B:B,D316))-K316)),"")</f>
        <v>17.772511848341235</v>
      </c>
      <c r="BM316" s="67">
        <f>IFERROR(100*((AM316/E316*(2400))/((F316*60+G316)*SUMIFS(팀공격력!AR:AR,팀공격력!A:A,B316,팀공격력!B:B,D316))),"")</f>
        <v>2.1278298452072582</v>
      </c>
      <c r="BN316" s="67">
        <f>IFERROR((AO316*40)/(((F316*60+G316)/60)*(SUMIFS(팀수비력!Q:Q,팀수비력!A:A,B316,팀수비력!B:B,D316)-SUMIFS(팀수비력!N:N,팀수비력!A:A,B316,팀수비력!B:B,D316)))*100,"")</f>
        <v>2.0453034719026437</v>
      </c>
      <c r="BO316" s="67">
        <f t="shared" si="191"/>
        <v>22.874058127018301</v>
      </c>
      <c r="BT316" t="s">
        <v>89</v>
      </c>
      <c r="BV316" t="s">
        <v>102</v>
      </c>
      <c r="CF316">
        <v>5</v>
      </c>
      <c r="CG316">
        <v>5</v>
      </c>
    </row>
    <row r="317" spans="1:85" x14ac:dyDescent="0.4">
      <c r="A317" s="11" t="s">
        <v>85</v>
      </c>
      <c r="B317" t="s">
        <v>245</v>
      </c>
      <c r="C317" t="s">
        <v>249</v>
      </c>
      <c r="D317" s="46" t="s">
        <v>306</v>
      </c>
      <c r="E317">
        <v>10</v>
      </c>
      <c r="F317">
        <v>21</v>
      </c>
      <c r="G317" s="1">
        <v>28</v>
      </c>
      <c r="H317" s="16">
        <f t="shared" si="166"/>
        <v>12880</v>
      </c>
      <c r="I317">
        <v>37</v>
      </c>
      <c r="J317" s="17">
        <f t="shared" si="167"/>
        <v>3.7</v>
      </c>
      <c r="K317">
        <v>14</v>
      </c>
      <c r="L317">
        <v>46</v>
      </c>
      <c r="M317" s="17">
        <f t="shared" si="168"/>
        <v>1.4</v>
      </c>
      <c r="N317" s="17">
        <f t="shared" si="169"/>
        <v>4.5999999999999996</v>
      </c>
      <c r="O317" s="18">
        <f t="shared" si="170"/>
        <v>0.30434782608695654</v>
      </c>
      <c r="P317">
        <v>13</v>
      </c>
      <c r="Q317">
        <v>25</v>
      </c>
      <c r="R317" s="17">
        <f t="shared" si="171"/>
        <v>1.3</v>
      </c>
      <c r="S317" s="17">
        <f t="shared" si="172"/>
        <v>2.5</v>
      </c>
      <c r="T317" s="18">
        <f t="shared" si="173"/>
        <v>0.52</v>
      </c>
      <c r="U317">
        <v>1</v>
      </c>
      <c r="V317">
        <v>21</v>
      </c>
      <c r="W317" s="17">
        <f t="shared" si="174"/>
        <v>0.1</v>
      </c>
      <c r="X317" s="17">
        <f t="shared" si="175"/>
        <v>2.1</v>
      </c>
      <c r="Y317" s="18">
        <f t="shared" si="176"/>
        <v>4.7619047619047616E-2</v>
      </c>
      <c r="Z317">
        <v>8</v>
      </c>
      <c r="AA317">
        <v>8</v>
      </c>
      <c r="AB317" s="17">
        <f t="shared" si="177"/>
        <v>0.8</v>
      </c>
      <c r="AC317" s="17">
        <f t="shared" si="178"/>
        <v>0.8</v>
      </c>
      <c r="AD317" s="18">
        <f t="shared" si="179"/>
        <v>1</v>
      </c>
      <c r="AE317">
        <v>21</v>
      </c>
      <c r="AF317" s="17">
        <f t="shared" si="180"/>
        <v>2.1</v>
      </c>
      <c r="AG317">
        <v>1</v>
      </c>
      <c r="AH317" s="17">
        <f t="shared" si="181"/>
        <v>0.1</v>
      </c>
      <c r="AI317">
        <v>20</v>
      </c>
      <c r="AJ317" s="17">
        <f t="shared" si="182"/>
        <v>2</v>
      </c>
      <c r="AK317">
        <v>28</v>
      </c>
      <c r="AL317" s="17">
        <f t="shared" si="183"/>
        <v>2.8</v>
      </c>
      <c r="AM317">
        <v>6</v>
      </c>
      <c r="AN317" s="17">
        <f t="shared" si="184"/>
        <v>0.6</v>
      </c>
      <c r="AO317">
        <v>0</v>
      </c>
      <c r="AQ317">
        <v>9</v>
      </c>
      <c r="AR317" s="17">
        <f t="shared" si="185"/>
        <v>0.9</v>
      </c>
      <c r="AS317">
        <v>19</v>
      </c>
      <c r="AT317" s="17">
        <f t="shared" si="186"/>
        <v>1.9</v>
      </c>
      <c r="BD317" s="65">
        <f t="shared" si="187"/>
        <v>37.358642972536352</v>
      </c>
      <c r="BE317" s="65">
        <f t="shared" si="188"/>
        <v>31.521739130434785</v>
      </c>
      <c r="BF317" s="66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12.576522220528414</v>
      </c>
      <c r="BG317" s="38">
        <f t="shared" si="189"/>
        <v>0.45652173913043476</v>
      </c>
      <c r="BH317" s="38">
        <f t="shared" si="190"/>
        <v>0.17391304347826086</v>
      </c>
      <c r="BI317" s="67">
        <f>IFERROR(((AG317*(12000/5))/((F317*60+G317)*(SUMIFS(팀공격력!X:X,팀공격력!A:A,B317,팀공격력!B:B,D317)+SUMIFS(팀수비력!X:X,팀수비력!A:A,B317,팀수비력!B:B,D317))))*100,"")</f>
        <v>0.26207511072673428</v>
      </c>
      <c r="BJ317" s="67">
        <f>IFERROR(((AI317*(12000/5))/((F317*60+G317)*(SUMIFS(팀공격력!V:V,팀공격력!A:A,B317,팀공격력!B:B,D317)+SUMIFS(팀수비력!W:W,팀수비력!A:A,B317,팀수비력!B:B,D317))))*100,"")</f>
        <v>11.431619860534239</v>
      </c>
      <c r="BK317" s="67">
        <f>IFERROR(((AE317*(12000/5))/((F317*60+G317)*(SUMIFS(팀공격력!X:X,팀공격력!A:A,B317,팀공격력!B:B,D317)+SUMIFS(팀수비력!X:X,팀수비력!A:A,B317,팀수비력!B:B,D317))))*100,"")</f>
        <v>5.5035773252614195</v>
      </c>
      <c r="BL317" s="67">
        <f>IFERROR(100*AK317/(((((F317*60+G317)/(12000/5))*SUMIFS(팀공격력!P:P,팀공격력!A:A,B317,팀공격력!B:B,D317))-K317)),"")</f>
        <v>18.507094386181372</v>
      </c>
      <c r="BM317" s="67">
        <f>IFERROR(100*((AM317/E317*(2400))/((F317*60+G317)*SUMIFS(팀공격력!AR:AR,팀공격력!A:A,B317,팀공격력!B:B,D317))),"")</f>
        <v>1.3933792597719226</v>
      </c>
      <c r="BN317" s="67">
        <f>IFERROR((AO317*40)/(((F317*60+G317)/60)*(SUMIFS(팀수비력!Q:Q,팀수비력!A:A,B317,팀수비력!B:B,D317)-SUMIFS(팀수비력!N:N,팀수비력!A:A,B317,팀수비력!B:B,D317)))*100,"")</f>
        <v>0</v>
      </c>
      <c r="BO317" s="67">
        <f t="shared" si="191"/>
        <v>15.379357484620641</v>
      </c>
      <c r="BT317" t="s">
        <v>89</v>
      </c>
      <c r="BV317" t="s">
        <v>90</v>
      </c>
      <c r="CF317">
        <v>5</v>
      </c>
      <c r="CG317">
        <v>5</v>
      </c>
    </row>
    <row r="318" spans="1:85" x14ac:dyDescent="0.4">
      <c r="A318" s="11" t="s">
        <v>85</v>
      </c>
      <c r="B318" t="s">
        <v>245</v>
      </c>
      <c r="C318" t="s">
        <v>250</v>
      </c>
      <c r="D318" s="46" t="s">
        <v>306</v>
      </c>
      <c r="E318">
        <v>10</v>
      </c>
      <c r="F318">
        <v>24</v>
      </c>
      <c r="G318" s="1">
        <v>53</v>
      </c>
      <c r="H318" s="16">
        <f t="shared" si="166"/>
        <v>14930</v>
      </c>
      <c r="I318">
        <v>34</v>
      </c>
      <c r="J318" s="17">
        <f t="shared" si="167"/>
        <v>3.4</v>
      </c>
      <c r="K318">
        <v>11</v>
      </c>
      <c r="L318">
        <v>52</v>
      </c>
      <c r="M318" s="17">
        <f t="shared" si="168"/>
        <v>1.1000000000000001</v>
      </c>
      <c r="N318" s="17">
        <f t="shared" si="169"/>
        <v>5.2</v>
      </c>
      <c r="O318" s="18">
        <f t="shared" si="170"/>
        <v>0.21153846153846154</v>
      </c>
      <c r="P318">
        <v>7</v>
      </c>
      <c r="Q318">
        <v>28</v>
      </c>
      <c r="R318" s="17">
        <f t="shared" si="171"/>
        <v>0.7</v>
      </c>
      <c r="S318" s="17">
        <f t="shared" si="172"/>
        <v>2.8</v>
      </c>
      <c r="T318" s="18">
        <f t="shared" si="173"/>
        <v>0.25</v>
      </c>
      <c r="U318">
        <v>4</v>
      </c>
      <c r="V318">
        <v>24</v>
      </c>
      <c r="W318" s="17">
        <f t="shared" si="174"/>
        <v>0.4</v>
      </c>
      <c r="X318" s="17">
        <f t="shared" si="175"/>
        <v>2.4</v>
      </c>
      <c r="Y318" s="18">
        <f t="shared" si="176"/>
        <v>0.16666666666666666</v>
      </c>
      <c r="Z318">
        <v>8</v>
      </c>
      <c r="AA318">
        <v>14</v>
      </c>
      <c r="AB318" s="17">
        <f t="shared" si="177"/>
        <v>0.8</v>
      </c>
      <c r="AC318" s="17">
        <f t="shared" si="178"/>
        <v>1.4</v>
      </c>
      <c r="AD318" s="18">
        <f t="shared" si="179"/>
        <v>0.5714285714285714</v>
      </c>
      <c r="AE318">
        <v>23</v>
      </c>
      <c r="AF318" s="17">
        <f t="shared" si="180"/>
        <v>2.2999999999999998</v>
      </c>
      <c r="AG318">
        <v>3</v>
      </c>
      <c r="AH318" s="17">
        <f t="shared" si="181"/>
        <v>0.3</v>
      </c>
      <c r="AI318">
        <v>20</v>
      </c>
      <c r="AJ318" s="17">
        <f t="shared" si="182"/>
        <v>2</v>
      </c>
      <c r="AK318">
        <v>25</v>
      </c>
      <c r="AL318" s="17">
        <f t="shared" si="183"/>
        <v>2.5</v>
      </c>
      <c r="AM318">
        <v>11</v>
      </c>
      <c r="AN318" s="17">
        <f t="shared" si="184"/>
        <v>1.1000000000000001</v>
      </c>
      <c r="AO318">
        <v>2</v>
      </c>
      <c r="AQ318">
        <v>7</v>
      </c>
      <c r="AR318" s="17">
        <f t="shared" si="185"/>
        <v>0.7</v>
      </c>
      <c r="AS318">
        <v>25</v>
      </c>
      <c r="AT318" s="17">
        <f t="shared" si="186"/>
        <v>2.5</v>
      </c>
      <c r="BD318" s="65">
        <f t="shared" si="187"/>
        <v>29.229711141678134</v>
      </c>
      <c r="BE318" s="65">
        <f t="shared" si="188"/>
        <v>25</v>
      </c>
      <c r="BF318" s="66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12.080735503457298</v>
      </c>
      <c r="BG318" s="38">
        <f t="shared" si="189"/>
        <v>0.46153846153846156</v>
      </c>
      <c r="BH318" s="38">
        <f t="shared" si="190"/>
        <v>0.26923076923076922</v>
      </c>
      <c r="BI318" s="67">
        <f>IFERROR(((AG318*(12000/5))/((F318*60+G318)*(SUMIFS(팀공격력!X:X,팀공격력!A:A,B318,팀공격력!B:B,D318)+SUMIFS(팀수비력!X:X,팀수비력!A:A,B318,팀수비력!B:B,D318))))*100,"")</f>
        <v>0.67827074872612281</v>
      </c>
      <c r="BJ318" s="67">
        <f>IFERROR(((AI318*(12000/5))/((F318*60+G318)*(SUMIFS(팀공격력!V:V,팀공격력!A:A,B318,팀공격력!B:B,D318)+SUMIFS(팀수비력!W:W,팀수비력!A:A,B318,팀수비력!B:B,D318))))*100,"")</f>
        <v>9.861973463073074</v>
      </c>
      <c r="BK318" s="67">
        <f>IFERROR(((AE318*(12000/5))/((F318*60+G318)*(SUMIFS(팀공격력!X:X,팀공격력!A:A,B318,팀공격력!B:B,D318)+SUMIFS(팀수비력!X:X,팀수비력!A:A,B318,팀수비력!B:B,D318))))*100,"")</f>
        <v>5.2000757402336077</v>
      </c>
      <c r="BL318" s="67">
        <f>IFERROR(100*AK318/(((((F318*60+G318)/(12000/5))*SUMIFS(팀공격력!P:P,팀공격력!A:A,B318,팀공격력!B:B,D318))-K318)),"")</f>
        <v>13.842618654312899</v>
      </c>
      <c r="BM318" s="67">
        <f>IFERROR(100*((AM318/E318*(2400))/((F318*60+G318)*SUMIFS(팀공격력!AR:AR,팀공격력!A:A,B318,팀공격력!B:B,D318))),"")</f>
        <v>2.2037728681009821</v>
      </c>
      <c r="BN318" s="67">
        <f>IFERROR((AO318*40)/(((F318*60+G318)/60)*(SUMIFS(팀수비력!Q:Q,팀수비력!A:A,B318,팀수비력!B:B,D318)-SUMIFS(팀수비력!N:N,팀수비력!A:A,B318,팀수비력!B:B,D318)))*100,"")</f>
        <v>0.67400489496054961</v>
      </c>
      <c r="BO318" s="67">
        <f t="shared" si="191"/>
        <v>10.74278698588091</v>
      </c>
      <c r="BT318" t="s">
        <v>89</v>
      </c>
      <c r="BV318" t="s">
        <v>90</v>
      </c>
      <c r="CF318">
        <v>5</v>
      </c>
      <c r="CG318">
        <v>5</v>
      </c>
    </row>
    <row r="319" spans="1:85" x14ac:dyDescent="0.4">
      <c r="A319" s="11" t="s">
        <v>85</v>
      </c>
      <c r="B319" t="s">
        <v>245</v>
      </c>
      <c r="C319" t="s">
        <v>251</v>
      </c>
      <c r="D319" s="46" t="s">
        <v>306</v>
      </c>
      <c r="E319">
        <v>1</v>
      </c>
      <c r="F319">
        <v>2</v>
      </c>
      <c r="G319" s="1">
        <v>37</v>
      </c>
      <c r="H319" s="16">
        <f t="shared" si="166"/>
        <v>157</v>
      </c>
      <c r="I319">
        <v>2</v>
      </c>
      <c r="J319" s="17">
        <f t="shared" si="167"/>
        <v>2</v>
      </c>
      <c r="K319">
        <v>1</v>
      </c>
      <c r="L319">
        <v>2</v>
      </c>
      <c r="M319" s="17">
        <f t="shared" si="168"/>
        <v>1</v>
      </c>
      <c r="N319" s="17">
        <f t="shared" si="169"/>
        <v>2</v>
      </c>
      <c r="O319" s="18">
        <f t="shared" si="170"/>
        <v>0.5</v>
      </c>
      <c r="P319">
        <v>1</v>
      </c>
      <c r="Q319">
        <v>1</v>
      </c>
      <c r="R319" s="17">
        <f t="shared" si="171"/>
        <v>1</v>
      </c>
      <c r="S319" s="17">
        <f t="shared" si="172"/>
        <v>1</v>
      </c>
      <c r="T319" s="18">
        <f t="shared" si="173"/>
        <v>1</v>
      </c>
      <c r="U319">
        <v>0</v>
      </c>
      <c r="V319">
        <v>1</v>
      </c>
      <c r="W319" s="17">
        <f t="shared" si="174"/>
        <v>0</v>
      </c>
      <c r="X319" s="17">
        <f t="shared" si="175"/>
        <v>1</v>
      </c>
      <c r="Y319" s="18">
        <f t="shared" si="176"/>
        <v>0</v>
      </c>
      <c r="Z319">
        <v>0</v>
      </c>
      <c r="AA319">
        <v>0</v>
      </c>
      <c r="AB319" s="17">
        <f t="shared" si="177"/>
        <v>0</v>
      </c>
      <c r="AC319" s="17">
        <f t="shared" si="178"/>
        <v>0</v>
      </c>
      <c r="AD319" s="18" t="e">
        <f t="shared" si="179"/>
        <v>#DIV/0!</v>
      </c>
      <c r="AE319">
        <v>2</v>
      </c>
      <c r="AF319" s="17">
        <f t="shared" si="180"/>
        <v>2</v>
      </c>
      <c r="AG319">
        <v>2</v>
      </c>
      <c r="AH319" s="17">
        <f t="shared" si="181"/>
        <v>2</v>
      </c>
      <c r="AI319">
        <v>0</v>
      </c>
      <c r="AJ319" s="17">
        <f t="shared" si="182"/>
        <v>0</v>
      </c>
      <c r="AK319">
        <v>1</v>
      </c>
      <c r="AL319" s="17">
        <f t="shared" si="183"/>
        <v>1</v>
      </c>
      <c r="AM319">
        <v>1</v>
      </c>
      <c r="AN319" s="17">
        <f t="shared" si="184"/>
        <v>1</v>
      </c>
      <c r="AO319">
        <v>0</v>
      </c>
      <c r="AQ319">
        <v>0</v>
      </c>
      <c r="AR319" s="17">
        <f t="shared" si="185"/>
        <v>0</v>
      </c>
      <c r="AS319">
        <v>0</v>
      </c>
      <c r="AT319" s="17">
        <f t="shared" si="186"/>
        <v>0</v>
      </c>
      <c r="BD319" s="65">
        <f t="shared" si="187"/>
        <v>50</v>
      </c>
      <c r="BE319" s="65">
        <f t="shared" si="188"/>
        <v>50</v>
      </c>
      <c r="BF319" s="66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3.5261635458160305</v>
      </c>
      <c r="BG319" s="38">
        <f t="shared" si="189"/>
        <v>0.5</v>
      </c>
      <c r="BH319" s="38">
        <f t="shared" si="190"/>
        <v>0</v>
      </c>
      <c r="BI319" s="67">
        <f>IFERROR(((AG319*(12000/5))/((F319*60+G319)*(SUMIFS(팀공격력!X:X,팀공격력!A:A,B319,팀공격력!B:B,D319)+SUMIFS(팀수비력!X:X,팀수비력!A:A,B319,팀수비력!B:B,D319))))*100,"")</f>
        <v>4.3000349377838702</v>
      </c>
      <c r="BJ319" s="67">
        <f>IFERROR(((AI319*(12000/5))/((F319*60+G319)*(SUMIFS(팀공격력!V:V,팀공격력!A:A,B319,팀공격력!B:B,D319)+SUMIFS(팀수비력!W:W,팀수비력!A:A,B319,팀수비력!B:B,D319))))*100,"")</f>
        <v>0</v>
      </c>
      <c r="BK319" s="67">
        <f>IFERROR(((AE319*(12000/5))/((F319*60+G319)*(SUMIFS(팀공격력!X:X,팀공격력!A:A,B319,팀공격력!B:B,D319)+SUMIFS(팀수비력!X:X,팀수비력!A:A,B319,팀수비력!B:B,D319))))*100,"")</f>
        <v>4.3000349377838702</v>
      </c>
      <c r="BL319" s="67">
        <f>IFERROR(100*AK319/(((((F319*60+G319)/(12000/5))*SUMIFS(팀공격력!P:P,팀공격력!A:A,B319,팀공격력!B:B,D319))-K319)),"")</f>
        <v>5.2223866306902256</v>
      </c>
      <c r="BM319" s="67">
        <f>IFERROR(100*((AM319/E319*(2400))/((F319*60+G319)*SUMIFS(팀공격력!AR:AR,팀공격력!A:A,B319,팀공격력!B:B,D319))),"")</f>
        <v>19.051724910681912</v>
      </c>
      <c r="BN319" s="67">
        <f>IFERROR((AO319*40)/(((F319*60+G319)/60)*(SUMIFS(팀수비력!Q:Q,팀수비력!A:A,B319,팀수비력!B:B,D319)-SUMIFS(팀수비력!N:N,팀수비력!A:A,B319,팀수비력!B:B,D319)))*100,"")</f>
        <v>0</v>
      </c>
      <c r="BO319" s="67">
        <f t="shared" si="191"/>
        <v>0</v>
      </c>
      <c r="BT319" t="s">
        <v>89</v>
      </c>
      <c r="BV319" t="s">
        <v>102</v>
      </c>
      <c r="CF319">
        <v>0</v>
      </c>
      <c r="CG319">
        <v>1</v>
      </c>
    </row>
    <row r="320" spans="1:85" x14ac:dyDescent="0.4">
      <c r="A320" s="11" t="s">
        <v>85</v>
      </c>
      <c r="B320" t="s">
        <v>245</v>
      </c>
      <c r="C320" t="s">
        <v>252</v>
      </c>
      <c r="D320" s="46" t="s">
        <v>306</v>
      </c>
      <c r="E320">
        <v>4</v>
      </c>
      <c r="F320">
        <v>1</v>
      </c>
      <c r="G320" s="1">
        <v>27</v>
      </c>
      <c r="H320" s="16">
        <f t="shared" si="166"/>
        <v>348</v>
      </c>
      <c r="I320">
        <v>2</v>
      </c>
      <c r="J320" s="17">
        <f t="shared" si="167"/>
        <v>0.5</v>
      </c>
      <c r="K320">
        <v>0</v>
      </c>
      <c r="L320">
        <v>0</v>
      </c>
      <c r="M320" s="17">
        <f t="shared" si="168"/>
        <v>0</v>
      </c>
      <c r="N320" s="17">
        <f t="shared" si="169"/>
        <v>0</v>
      </c>
      <c r="O320" s="18" t="e">
        <f t="shared" si="170"/>
        <v>#DIV/0!</v>
      </c>
      <c r="P320">
        <v>0</v>
      </c>
      <c r="Q320">
        <v>0</v>
      </c>
      <c r="R320" s="17">
        <f t="shared" si="171"/>
        <v>0</v>
      </c>
      <c r="S320" s="17">
        <f t="shared" si="172"/>
        <v>0</v>
      </c>
      <c r="T320" s="18" t="e">
        <f t="shared" si="173"/>
        <v>#DIV/0!</v>
      </c>
      <c r="U320">
        <v>0</v>
      </c>
      <c r="V320">
        <v>0</v>
      </c>
      <c r="W320" s="17">
        <f t="shared" si="174"/>
        <v>0</v>
      </c>
      <c r="X320" s="17">
        <f t="shared" si="175"/>
        <v>0</v>
      </c>
      <c r="Y320" s="18" t="e">
        <f t="shared" si="176"/>
        <v>#DIV/0!</v>
      </c>
      <c r="Z320">
        <v>2</v>
      </c>
      <c r="AA320">
        <v>2</v>
      </c>
      <c r="AB320" s="17">
        <f t="shared" si="177"/>
        <v>0.5</v>
      </c>
      <c r="AC320" s="17">
        <f t="shared" si="178"/>
        <v>0.5</v>
      </c>
      <c r="AD320" s="18">
        <f t="shared" si="179"/>
        <v>1</v>
      </c>
      <c r="AE320">
        <v>0</v>
      </c>
      <c r="AF320" s="17">
        <f t="shared" si="180"/>
        <v>0</v>
      </c>
      <c r="AG320">
        <v>0</v>
      </c>
      <c r="AH320" s="17">
        <f t="shared" si="181"/>
        <v>0</v>
      </c>
      <c r="AI320">
        <v>0</v>
      </c>
      <c r="AJ320" s="17">
        <f t="shared" si="182"/>
        <v>0</v>
      </c>
      <c r="AK320">
        <v>0</v>
      </c>
      <c r="AL320" s="17">
        <f t="shared" si="183"/>
        <v>0</v>
      </c>
      <c r="AM320">
        <v>1</v>
      </c>
      <c r="AN320" s="17">
        <f t="shared" si="184"/>
        <v>0.25</v>
      </c>
      <c r="AO320">
        <v>0</v>
      </c>
      <c r="AQ320">
        <v>0</v>
      </c>
      <c r="AR320" s="17">
        <f t="shared" si="185"/>
        <v>0</v>
      </c>
      <c r="AS320">
        <v>0</v>
      </c>
      <c r="AT320" s="17">
        <f t="shared" si="186"/>
        <v>0</v>
      </c>
      <c r="BD320" s="65">
        <f t="shared" si="187"/>
        <v>113.63636363636364</v>
      </c>
      <c r="BE320" s="65" t="str">
        <f t="shared" si="188"/>
        <v/>
      </c>
      <c r="BF320" s="66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2.7998549166088669</v>
      </c>
      <c r="BG320" s="38" t="str">
        <f t="shared" si="189"/>
        <v/>
      </c>
      <c r="BH320" s="38" t="str">
        <f t="shared" si="190"/>
        <v/>
      </c>
      <c r="BI320" s="67">
        <f>IFERROR(((AG320*(12000/5))/((F320*60+G320)*(SUMIFS(팀공격력!X:X,팀공격력!A:A,B320,팀공격력!B:B,D320)+SUMIFS(팀수비력!X:X,팀수비력!A:A,B320,팀수비력!B:B,D320))))*100,"")</f>
        <v>0</v>
      </c>
      <c r="BJ320" s="67">
        <f>IFERROR(((AI320*(12000/5))/((F320*60+G320)*(SUMIFS(팀공격력!V:V,팀공격력!A:A,B320,팀공격력!B:B,D320)+SUMIFS(팀수비력!W:W,팀수비력!A:A,B320,팀수비력!B:B,D320))))*100,"")</f>
        <v>0</v>
      </c>
      <c r="BK320" s="67">
        <f>IFERROR(((AE320*(12000/5))/((F320*60+G320)*(SUMIFS(팀공격력!X:X,팀공격력!A:A,B320,팀공격력!B:B,D320)+SUMIFS(팀수비력!X:X,팀수비력!A:A,B320,팀수비력!B:B,D320))))*100,"")</f>
        <v>0</v>
      </c>
      <c r="BL320" s="67">
        <f>IFERROR(100*AK320/(((((F320*60+G320)/(12000/5))*SUMIFS(팀공격력!P:P,팀공격력!A:A,B320,팀공격력!B:B,D320))-K320)),"")</f>
        <v>0</v>
      </c>
      <c r="BM320" s="67">
        <f>IFERROR(100*((AM320/E320*(2400))/((F320*60+G320)*SUMIFS(팀공격력!AR:AR,팀공격력!A:A,B320,팀공격력!B:B,D320))),"")</f>
        <v>8.5951747441869557</v>
      </c>
      <c r="BN320" s="67">
        <f>IFERROR((AO320*40)/(((F320*60+G320)/60)*(SUMIFS(팀수비력!Q:Q,팀수비력!A:A,B320,팀수비력!B:B,D320)-SUMIFS(팀수비력!N:N,팀수비력!A:A,B320,팀수비력!B:B,D320)))*100,"")</f>
        <v>0</v>
      </c>
      <c r="BO320" s="67">
        <f t="shared" si="191"/>
        <v>0</v>
      </c>
      <c r="BT320" t="s">
        <v>89</v>
      </c>
      <c r="BV320" t="s">
        <v>90</v>
      </c>
      <c r="CF320">
        <v>1</v>
      </c>
      <c r="CG320">
        <v>3</v>
      </c>
    </row>
    <row r="321" spans="1:85" x14ac:dyDescent="0.4">
      <c r="A321" s="11" t="s">
        <v>85</v>
      </c>
      <c r="B321" t="s">
        <v>245</v>
      </c>
      <c r="C321" t="s">
        <v>255</v>
      </c>
      <c r="D321" s="46" t="s">
        <v>306</v>
      </c>
      <c r="E321">
        <v>2</v>
      </c>
      <c r="F321">
        <v>3</v>
      </c>
      <c r="G321" s="1">
        <v>46</v>
      </c>
      <c r="H321" s="16">
        <f t="shared" si="166"/>
        <v>452</v>
      </c>
      <c r="I321">
        <v>0</v>
      </c>
      <c r="J321" s="17">
        <f t="shared" si="167"/>
        <v>0</v>
      </c>
      <c r="K321">
        <v>0</v>
      </c>
      <c r="L321">
        <v>2</v>
      </c>
      <c r="M321" s="17">
        <f t="shared" si="168"/>
        <v>0</v>
      </c>
      <c r="N321" s="17">
        <f t="shared" si="169"/>
        <v>1</v>
      </c>
      <c r="O321" s="18">
        <f t="shared" si="170"/>
        <v>0</v>
      </c>
      <c r="P321">
        <v>0</v>
      </c>
      <c r="Q321">
        <v>0</v>
      </c>
      <c r="R321" s="17">
        <f t="shared" si="171"/>
        <v>0</v>
      </c>
      <c r="S321" s="17">
        <f t="shared" si="172"/>
        <v>0</v>
      </c>
      <c r="T321" s="18" t="e">
        <f t="shared" si="173"/>
        <v>#DIV/0!</v>
      </c>
      <c r="U321">
        <v>0</v>
      </c>
      <c r="V321">
        <v>2</v>
      </c>
      <c r="W321" s="17">
        <f t="shared" si="174"/>
        <v>0</v>
      </c>
      <c r="X321" s="17">
        <f t="shared" si="175"/>
        <v>1</v>
      </c>
      <c r="Y321" s="18">
        <f t="shared" si="176"/>
        <v>0</v>
      </c>
      <c r="Z321">
        <v>0</v>
      </c>
      <c r="AA321">
        <v>0</v>
      </c>
      <c r="AB321" s="17">
        <f t="shared" si="177"/>
        <v>0</v>
      </c>
      <c r="AC321" s="17">
        <f t="shared" si="178"/>
        <v>0</v>
      </c>
      <c r="AD321" s="18" t="e">
        <f t="shared" si="179"/>
        <v>#DIV/0!</v>
      </c>
      <c r="AE321">
        <v>2</v>
      </c>
      <c r="AF321" s="17">
        <f t="shared" si="180"/>
        <v>1</v>
      </c>
      <c r="AG321">
        <v>0</v>
      </c>
      <c r="AH321" s="17">
        <f t="shared" si="181"/>
        <v>0</v>
      </c>
      <c r="AI321">
        <v>2</v>
      </c>
      <c r="AJ321" s="17">
        <f t="shared" si="182"/>
        <v>1</v>
      </c>
      <c r="AK321">
        <v>0</v>
      </c>
      <c r="AL321" s="17">
        <f t="shared" si="183"/>
        <v>0</v>
      </c>
      <c r="AM321">
        <v>0</v>
      </c>
      <c r="AN321" s="17">
        <f t="shared" si="184"/>
        <v>0</v>
      </c>
      <c r="AO321">
        <v>0</v>
      </c>
      <c r="AQ321">
        <v>1</v>
      </c>
      <c r="AR321" s="17">
        <f t="shared" si="185"/>
        <v>0.5</v>
      </c>
      <c r="AS321">
        <v>0</v>
      </c>
      <c r="AT321" s="17">
        <f t="shared" si="186"/>
        <v>0</v>
      </c>
      <c r="BD321" s="65">
        <f t="shared" si="187"/>
        <v>0</v>
      </c>
      <c r="BE321" s="65">
        <f t="shared" si="188"/>
        <v>0</v>
      </c>
      <c r="BF321" s="66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3.6743872346888287</v>
      </c>
      <c r="BG321" s="38">
        <f t="shared" si="189"/>
        <v>1</v>
      </c>
      <c r="BH321" s="38">
        <f t="shared" si="190"/>
        <v>0</v>
      </c>
      <c r="BI321" s="67">
        <f>IFERROR(((AG321*(12000/5))/((F321*60+G321)*(SUMIFS(팀공격력!X:X,팀공격력!A:A,B321,팀공격력!B:B,D321)+SUMIFS(팀수비력!X:X,팀수비력!A:A,B321,팀수비력!B:B,D321))))*100,"")</f>
        <v>0</v>
      </c>
      <c r="BJ321" s="67">
        <f>IFERROR(((AI321*(12000/5))/((F321*60+G321)*(SUMIFS(팀공격력!V:V,팀공격력!A:A,B321,팀공격력!B:B,D321)+SUMIFS(팀수비력!W:W,팀수비력!A:A,B321,팀수비력!B:B,D321))))*100,"")</f>
        <v>6.5150116727292469</v>
      </c>
      <c r="BK321" s="67">
        <f>IFERROR(((AE321*(12000/5))/((F321*60+G321)*(SUMIFS(팀공격력!X:X,팀공격력!A:A,B321,팀공격력!B:B,D321)+SUMIFS(팀수비력!X:X,팀수비력!A:A,B321,팀수비력!B:B,D321))))*100,"")</f>
        <v>2.9871924125312721</v>
      </c>
      <c r="BL321" s="67">
        <f>IFERROR(100*AK321/(((((F321*60+G321)/(12000/5))*SUMIFS(팀공격력!P:P,팀공격력!A:A,B321,팀공격력!B:B,D321))-K321)),"")</f>
        <v>0</v>
      </c>
      <c r="BM321" s="67">
        <f>IFERROR(100*((AM321/E321*(2400))/((F321*60+G321)*SUMIFS(팀공격력!AR:AR,팀공격력!A:A,B321,팀공격력!B:B,D321))),"")</f>
        <v>0</v>
      </c>
      <c r="BN321" s="67">
        <f>IFERROR((AO321*40)/(((F321*60+G321)/60)*(SUMIFS(팀수비력!Q:Q,팀수비력!A:A,B321,팀수비력!B:B,D321)-SUMIFS(팀수비력!N:N,팀수비력!A:A,B321,팀수비력!B:B,D321)))*100,"")</f>
        <v>0</v>
      </c>
      <c r="BO321" s="67">
        <f t="shared" si="191"/>
        <v>33.333333333333336</v>
      </c>
      <c r="BT321" t="s">
        <v>89</v>
      </c>
      <c r="BV321" t="s">
        <v>93</v>
      </c>
      <c r="CF321">
        <v>2</v>
      </c>
      <c r="CG321">
        <v>0</v>
      </c>
    </row>
    <row r="322" spans="1:85" x14ac:dyDescent="0.4">
      <c r="A322" s="11" t="s">
        <v>85</v>
      </c>
      <c r="B322" t="s">
        <v>245</v>
      </c>
      <c r="C322" t="s">
        <v>256</v>
      </c>
      <c r="D322" s="46" t="s">
        <v>306</v>
      </c>
      <c r="E322">
        <v>4</v>
      </c>
      <c r="F322">
        <v>19</v>
      </c>
      <c r="G322" s="1">
        <v>50</v>
      </c>
      <c r="H322" s="16">
        <f t="shared" ref="H322:H385" si="192">(F322*60+G322)*E322</f>
        <v>4760</v>
      </c>
      <c r="I322">
        <v>23</v>
      </c>
      <c r="J322" s="17">
        <f t="shared" ref="J322:J385" si="193">I322/$E322</f>
        <v>5.75</v>
      </c>
      <c r="K322">
        <v>9</v>
      </c>
      <c r="L322">
        <v>29</v>
      </c>
      <c r="M322" s="17">
        <f t="shared" ref="M322:M385" si="194">K322/$E322</f>
        <v>2.25</v>
      </c>
      <c r="N322" s="17">
        <f t="shared" ref="N322:N385" si="195">L322/$E322</f>
        <v>7.25</v>
      </c>
      <c r="O322" s="18">
        <f t="shared" ref="O322:O385" si="196">K322/L322</f>
        <v>0.31034482758620691</v>
      </c>
      <c r="P322">
        <v>4</v>
      </c>
      <c r="Q322">
        <v>12</v>
      </c>
      <c r="R322" s="17">
        <f t="shared" ref="R322:R385" si="197">P322/$E322</f>
        <v>1</v>
      </c>
      <c r="S322" s="17">
        <f t="shared" ref="S322:S385" si="198">Q322/$E322</f>
        <v>3</v>
      </c>
      <c r="T322" s="18">
        <f t="shared" ref="T322:T385" si="199">P322/Q322</f>
        <v>0.33333333333333331</v>
      </c>
      <c r="U322">
        <v>5</v>
      </c>
      <c r="V322">
        <v>17</v>
      </c>
      <c r="W322" s="17">
        <f t="shared" ref="W322:W385" si="200">U322/$E322</f>
        <v>1.25</v>
      </c>
      <c r="X322" s="17">
        <f t="shared" ref="X322:X385" si="201">V322/$E322</f>
        <v>4.25</v>
      </c>
      <c r="Y322" s="18">
        <f t="shared" ref="Y322:Y385" si="202">U322/V322</f>
        <v>0.29411764705882354</v>
      </c>
      <c r="Z322">
        <v>0</v>
      </c>
      <c r="AA322">
        <v>0</v>
      </c>
      <c r="AB322" s="17">
        <f t="shared" ref="AB322:AB385" si="203">Z322/$E322</f>
        <v>0</v>
      </c>
      <c r="AC322" s="17">
        <f t="shared" ref="AC322:AC385" si="204">AA322/$E322</f>
        <v>0</v>
      </c>
      <c r="AD322" s="18" t="e">
        <f t="shared" ref="AD322:AD385" si="205">Z322/AA322</f>
        <v>#DIV/0!</v>
      </c>
      <c r="AE322">
        <v>6</v>
      </c>
      <c r="AF322" s="17">
        <f t="shared" ref="AF322:AF385" si="206">AE322/$E322</f>
        <v>1.5</v>
      </c>
      <c r="AG322">
        <v>1</v>
      </c>
      <c r="AH322" s="17">
        <f t="shared" ref="AH322:AH385" si="207">AG322/$E322</f>
        <v>0.25</v>
      </c>
      <c r="AI322">
        <v>5</v>
      </c>
      <c r="AJ322" s="17">
        <f t="shared" ref="AJ322:AJ385" si="208">AI322/$E322</f>
        <v>1.25</v>
      </c>
      <c r="AK322">
        <v>10</v>
      </c>
      <c r="AL322" s="17">
        <f t="shared" ref="AL322:AL385" si="209">AK322/$E322</f>
        <v>2.5</v>
      </c>
      <c r="AM322">
        <v>3</v>
      </c>
      <c r="AN322" s="17">
        <f t="shared" ref="AN322:AN385" si="210">AM322/$E322</f>
        <v>0.75</v>
      </c>
      <c r="AO322">
        <v>1</v>
      </c>
      <c r="AQ322">
        <v>5</v>
      </c>
      <c r="AR322" s="17">
        <f t="shared" ref="AR322:AR385" si="211">AQ322/$E322</f>
        <v>1.25</v>
      </c>
      <c r="AS322">
        <v>7</v>
      </c>
      <c r="AT322" s="17">
        <f t="shared" ref="AT322:AT385" si="212">AS322/$E322</f>
        <v>1.75</v>
      </c>
      <c r="BD322" s="65">
        <f t="shared" ref="BD322:BD385" si="213">IFERROR((I322/(2*(L322+(0.44*AA322))))*100,"")</f>
        <v>39.655172413793103</v>
      </c>
      <c r="BE322" s="65">
        <f t="shared" ref="BE322:BE385" si="214">IFERROR(((P322+(1.5*U322))/L322)*100,"")</f>
        <v>39.655172413793103</v>
      </c>
      <c r="BF322" s="66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7.9086810956159548</v>
      </c>
      <c r="BG322" s="38">
        <f t="shared" ref="BG322:BG385" si="215">IFERROR(V322/L322,"")</f>
        <v>0.58620689655172409</v>
      </c>
      <c r="BH322" s="38">
        <f t="shared" ref="BH322:BH385" si="216">IFERROR(AA322/L322,"")</f>
        <v>0</v>
      </c>
      <c r="BI322" s="67">
        <f>IFERROR(((AG322*(12000/5))/((F322*60+G322)*(SUMIFS(팀공격력!X:X,팀공격력!A:A,B322,팀공격력!B:B,D322)+SUMIFS(팀수비력!X:X,팀수비력!A:A,B322,팀수비력!B:B,D322))))*100,"")</f>
        <v>0.28365776690423006</v>
      </c>
      <c r="BJ322" s="67">
        <f>IFERROR(((AI322*(12000/5))/((F322*60+G322)*(SUMIFS(팀공격력!V:V,팀공격력!A:A,B322,팀공격력!B:B,D322)+SUMIFS(팀수비력!W:W,팀수비력!A:A,B322,팀수비력!B:B,D322))))*100,"")</f>
        <v>3.0932618446151463</v>
      </c>
      <c r="BK322" s="67">
        <f>IFERROR(((AE322*(12000/5))/((F322*60+G322)*(SUMIFS(팀공격력!X:X,팀공격력!A:A,B322,팀공격력!B:B,D322)+SUMIFS(팀수비력!X:X,팀수비력!A:A,B322,팀수비력!B:B,D322))))*100,"")</f>
        <v>1.7019466014253803</v>
      </c>
      <c r="BL322" s="67">
        <f>IFERROR(100*AK322/(((((F322*60+G322)/(12000/5))*SUMIFS(팀공격력!P:P,팀공격력!A:A,B322,팀공격력!B:B,D322))-K322)),"")</f>
        <v>6.9581352197611039</v>
      </c>
      <c r="BM322" s="67">
        <f>IFERROR(100*((AM322/E322*(2400))/((F322*60+G322)*SUMIFS(팀공격력!AR:AR,팀공격력!A:A,B322,팀공격력!B:B,D322))),"")</f>
        <v>1.885160174985542</v>
      </c>
      <c r="BN322" s="67">
        <f>IFERROR((AO322*40)/(((F322*60+G322)/60)*(SUMIFS(팀수비력!Q:Q,팀수비력!A:A,B322,팀수비력!B:B,D322)-SUMIFS(팀수비력!N:N,팀수비력!A:A,B322,팀수비력!B:B,D322)))*100,"")</f>
        <v>0.42281063368743727</v>
      </c>
      <c r="BO322" s="67">
        <f t="shared" ref="BO322:BO385" si="217">IFERROR(100*AQ322/(L322+0.44*AA322+AQ322),"")</f>
        <v>14.705882352941176</v>
      </c>
      <c r="BT322" t="s">
        <v>89</v>
      </c>
      <c r="BV322" t="s">
        <v>90</v>
      </c>
      <c r="CF322">
        <v>3</v>
      </c>
      <c r="CG322">
        <v>1</v>
      </c>
    </row>
    <row r="323" spans="1:85" x14ac:dyDescent="0.4">
      <c r="A323" s="11" t="s">
        <v>85</v>
      </c>
      <c r="B323" t="s">
        <v>245</v>
      </c>
      <c r="C323" t="s">
        <v>257</v>
      </c>
      <c r="D323" s="46" t="s">
        <v>306</v>
      </c>
      <c r="E323">
        <v>8</v>
      </c>
      <c r="F323">
        <v>6</v>
      </c>
      <c r="G323" s="1">
        <v>51</v>
      </c>
      <c r="H323" s="16">
        <f t="shared" si="192"/>
        <v>3288</v>
      </c>
      <c r="I323">
        <v>12</v>
      </c>
      <c r="J323" s="17">
        <f t="shared" si="193"/>
        <v>1.5</v>
      </c>
      <c r="K323">
        <v>6</v>
      </c>
      <c r="L323">
        <v>19</v>
      </c>
      <c r="M323" s="17">
        <f t="shared" si="194"/>
        <v>0.75</v>
      </c>
      <c r="N323" s="17">
        <f t="shared" si="195"/>
        <v>2.375</v>
      </c>
      <c r="O323" s="18">
        <f t="shared" si="196"/>
        <v>0.31578947368421051</v>
      </c>
      <c r="P323">
        <v>6</v>
      </c>
      <c r="Q323">
        <v>10</v>
      </c>
      <c r="R323" s="17">
        <f t="shared" si="197"/>
        <v>0.75</v>
      </c>
      <c r="S323" s="17">
        <f t="shared" si="198"/>
        <v>1.25</v>
      </c>
      <c r="T323" s="18">
        <f t="shared" si="199"/>
        <v>0.6</v>
      </c>
      <c r="U323">
        <v>0</v>
      </c>
      <c r="V323">
        <v>9</v>
      </c>
      <c r="W323" s="17">
        <f t="shared" si="200"/>
        <v>0</v>
      </c>
      <c r="X323" s="17">
        <f t="shared" si="201"/>
        <v>1.125</v>
      </c>
      <c r="Y323" s="18">
        <f t="shared" si="202"/>
        <v>0</v>
      </c>
      <c r="Z323">
        <v>0</v>
      </c>
      <c r="AA323">
        <v>0</v>
      </c>
      <c r="AB323" s="17">
        <f t="shared" si="203"/>
        <v>0</v>
      </c>
      <c r="AC323" s="17">
        <f t="shared" si="204"/>
        <v>0</v>
      </c>
      <c r="AD323" s="18" t="e">
        <f t="shared" si="205"/>
        <v>#DIV/0!</v>
      </c>
      <c r="AE323">
        <v>9</v>
      </c>
      <c r="AF323" s="17">
        <f t="shared" si="206"/>
        <v>1.125</v>
      </c>
      <c r="AG323">
        <v>7</v>
      </c>
      <c r="AH323" s="17">
        <f t="shared" si="207"/>
        <v>0.875</v>
      </c>
      <c r="AI323">
        <v>2</v>
      </c>
      <c r="AJ323" s="17">
        <f t="shared" si="208"/>
        <v>0.25</v>
      </c>
      <c r="AK323">
        <v>4</v>
      </c>
      <c r="AL323" s="17">
        <f t="shared" si="209"/>
        <v>0.5</v>
      </c>
      <c r="AM323">
        <v>3</v>
      </c>
      <c r="AN323" s="17">
        <f t="shared" si="210"/>
        <v>0.375</v>
      </c>
      <c r="AO323">
        <v>0</v>
      </c>
      <c r="AQ323">
        <v>2</v>
      </c>
      <c r="AR323" s="17">
        <f t="shared" si="211"/>
        <v>0.25</v>
      </c>
      <c r="AS323">
        <v>6</v>
      </c>
      <c r="AT323" s="17">
        <f t="shared" si="212"/>
        <v>0.75</v>
      </c>
      <c r="BD323" s="65">
        <f t="shared" si="213"/>
        <v>31.578947368421051</v>
      </c>
      <c r="BE323" s="65">
        <f t="shared" si="214"/>
        <v>31.578947368421051</v>
      </c>
      <c r="BF323" s="66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14.143261813327802</v>
      </c>
      <c r="BG323" s="38">
        <f t="shared" si="215"/>
        <v>0.47368421052631576</v>
      </c>
      <c r="BH323" s="38">
        <f t="shared" si="216"/>
        <v>0</v>
      </c>
      <c r="BI323" s="67">
        <f>IFERROR(((AG323*(12000/5))/((F323*60+G323)*(SUMIFS(팀공격력!X:X,팀공격력!A:A,B323,팀공격력!B:B,D323)+SUMIFS(팀수비력!X:X,팀수비력!A:A,B323,팀수비력!B:B,D323))))*100,"")</f>
        <v>5.7490734752122536</v>
      </c>
      <c r="BJ323" s="67">
        <f>IFERROR(((AI323*(12000/5))/((F323*60+G323)*(SUMIFS(팀공격력!V:V,팀공격력!A:A,B323,팀공격력!B:B,D323)+SUMIFS(팀수비력!W:W,팀수비력!A:A,B323,팀수비력!B:B,D323))))*100,"")</f>
        <v>3.5824638395056203</v>
      </c>
      <c r="BK323" s="67">
        <f>IFERROR(((AE323*(12000/5))/((F323*60+G323)*(SUMIFS(팀공격력!X:X,팀공격력!A:A,B323,팀공격력!B:B,D323)+SUMIFS(팀수비력!X:X,팀수비력!A:A,B323,팀수비력!B:B,D323))))*100,"")</f>
        <v>7.3916658967014683</v>
      </c>
      <c r="BL323" s="67">
        <f>IFERROR(100*AK323/(((((F323*60+G323)/(12000/5))*SUMIFS(팀공격력!P:P,팀공격력!A:A,B323,팀공격력!B:B,D323))-K323)),"")</f>
        <v>8.5570649267301313</v>
      </c>
      <c r="BM323" s="67">
        <f>IFERROR(100*((AM323/E323*(2400))/((F323*60+G323)*SUMIFS(팀공격력!AR:AR,팀공격력!A:A,B323,팀공격력!B:B,D323))),"")</f>
        <v>2.729124827533814</v>
      </c>
      <c r="BN323" s="67">
        <f>IFERROR((AO323*40)/(((F323*60+G323)/60)*(SUMIFS(팀수비력!Q:Q,팀수비력!A:A,B323,팀수비력!B:B,D323)-SUMIFS(팀수비력!N:N,팀수비력!A:A,B323,팀수비력!B:B,D323)))*100,"")</f>
        <v>0</v>
      </c>
      <c r="BO323" s="67">
        <f t="shared" si="217"/>
        <v>9.5238095238095237</v>
      </c>
      <c r="BT323" t="s">
        <v>89</v>
      </c>
      <c r="BV323" t="s">
        <v>93</v>
      </c>
      <c r="CF323">
        <v>4</v>
      </c>
      <c r="CG323">
        <v>4</v>
      </c>
    </row>
    <row r="324" spans="1:85" x14ac:dyDescent="0.4">
      <c r="A324" s="11" t="s">
        <v>85</v>
      </c>
      <c r="B324" t="s">
        <v>245</v>
      </c>
      <c r="C324" t="s">
        <v>258</v>
      </c>
      <c r="D324" s="46" t="s">
        <v>306</v>
      </c>
      <c r="E324">
        <v>8</v>
      </c>
      <c r="F324">
        <v>31</v>
      </c>
      <c r="G324" s="1">
        <v>2</v>
      </c>
      <c r="H324" s="16">
        <f t="shared" si="192"/>
        <v>14896</v>
      </c>
      <c r="I324">
        <v>95</v>
      </c>
      <c r="J324" s="17">
        <f t="shared" si="193"/>
        <v>11.875</v>
      </c>
      <c r="K324">
        <v>41</v>
      </c>
      <c r="L324">
        <v>86</v>
      </c>
      <c r="M324" s="17">
        <f t="shared" si="194"/>
        <v>5.125</v>
      </c>
      <c r="N324" s="17">
        <f t="shared" si="195"/>
        <v>10.75</v>
      </c>
      <c r="O324" s="18">
        <f t="shared" si="196"/>
        <v>0.47674418604651164</v>
      </c>
      <c r="P324">
        <v>33</v>
      </c>
      <c r="Q324">
        <v>66</v>
      </c>
      <c r="R324" s="17">
        <f t="shared" si="197"/>
        <v>4.125</v>
      </c>
      <c r="S324" s="17">
        <f t="shared" si="198"/>
        <v>8.25</v>
      </c>
      <c r="T324" s="18">
        <f t="shared" si="199"/>
        <v>0.5</v>
      </c>
      <c r="U324">
        <v>8</v>
      </c>
      <c r="V324">
        <v>20</v>
      </c>
      <c r="W324" s="17">
        <f t="shared" si="200"/>
        <v>1</v>
      </c>
      <c r="X324" s="17">
        <f t="shared" si="201"/>
        <v>2.5</v>
      </c>
      <c r="Y324" s="18">
        <f t="shared" si="202"/>
        <v>0.4</v>
      </c>
      <c r="Z324">
        <v>5</v>
      </c>
      <c r="AA324">
        <v>8</v>
      </c>
      <c r="AB324" s="17">
        <f t="shared" si="203"/>
        <v>0.625</v>
      </c>
      <c r="AC324" s="17">
        <f t="shared" si="204"/>
        <v>1</v>
      </c>
      <c r="AD324" s="18">
        <f t="shared" si="205"/>
        <v>0.625</v>
      </c>
      <c r="AE324">
        <v>32</v>
      </c>
      <c r="AF324" s="17">
        <f t="shared" si="206"/>
        <v>4</v>
      </c>
      <c r="AG324">
        <v>6</v>
      </c>
      <c r="AH324" s="17">
        <f t="shared" si="207"/>
        <v>0.75</v>
      </c>
      <c r="AI324">
        <v>26</v>
      </c>
      <c r="AJ324" s="17">
        <f t="shared" si="208"/>
        <v>3.25</v>
      </c>
      <c r="AK324">
        <v>22</v>
      </c>
      <c r="AL324" s="17">
        <f t="shared" si="209"/>
        <v>2.75</v>
      </c>
      <c r="AM324">
        <v>6</v>
      </c>
      <c r="AN324" s="17">
        <f t="shared" si="210"/>
        <v>0.75</v>
      </c>
      <c r="AO324">
        <v>1</v>
      </c>
      <c r="AQ324">
        <v>9</v>
      </c>
      <c r="AR324" s="17">
        <f t="shared" si="211"/>
        <v>1.125</v>
      </c>
      <c r="AS324">
        <v>21</v>
      </c>
      <c r="AT324" s="17">
        <f t="shared" si="212"/>
        <v>2.625</v>
      </c>
      <c r="BD324" s="65">
        <f t="shared" si="213"/>
        <v>53.060768543342277</v>
      </c>
      <c r="BE324" s="65">
        <f t="shared" si="214"/>
        <v>52.325581395348841</v>
      </c>
      <c r="BF324" s="66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14.645925968798569</v>
      </c>
      <c r="BG324" s="38">
        <f t="shared" si="215"/>
        <v>0.23255813953488372</v>
      </c>
      <c r="BH324" s="38">
        <f t="shared" si="216"/>
        <v>9.3023255813953487E-2</v>
      </c>
      <c r="BI324" s="67">
        <f>IFERROR(((AG324*(12000/5))/((F324*60+G324)*(SUMIFS(팀공격력!X:X,팀공격력!A:A,B324,팀공격력!B:B,D324)+SUMIFS(팀수비력!X:X,팀수비력!A:A,B324,팀수비력!B:B,D324))))*100,"")</f>
        <v>1.0877102339936642</v>
      </c>
      <c r="BJ324" s="67">
        <f>IFERROR(((AI324*(12000/5))/((F324*60+G324)*(SUMIFS(팀공격력!V:V,팀공격력!A:A,B324,팀공격력!B:B,D324)+SUMIFS(팀수비력!W:W,팀수비력!A:A,B324,팀수비력!B:B,D324))))*100,"")</f>
        <v>10.279862671578156</v>
      </c>
      <c r="BK324" s="67">
        <f>IFERROR(((AE324*(12000/5))/((F324*60+G324)*(SUMIFS(팀공격력!X:X,팀공격력!A:A,B324,팀공격력!B:B,D324)+SUMIFS(팀수비력!X:X,팀수비력!A:A,B324,팀수비력!B:B,D324))))*100,"")</f>
        <v>5.8011212479662086</v>
      </c>
      <c r="BL324" s="67">
        <f>IFERROR(100*AK324/(((((F324*60+G324)/(12000/5))*SUMIFS(팀공격력!P:P,팀공격력!A:A,B324,팀공격력!B:B,D324))-K324)),"")</f>
        <v>11.113543368077188</v>
      </c>
      <c r="BM324" s="67">
        <f>IFERROR(100*((AM324/E324*(2400))/((F324*60+G324)*SUMIFS(팀공격력!AR:AR,팀공격력!A:A,B324,팀공격력!B:B,D324))),"")</f>
        <v>1.2048016155922638</v>
      </c>
      <c r="BN324" s="67">
        <f>IFERROR((AO324*40)/(((F324*60+G324)/60)*(SUMIFS(팀수비력!Q:Q,팀수비력!A:A,B324,팀수비력!B:B,D324)-SUMIFS(팀수비력!N:N,팀수비력!A:A,B324,팀수비력!B:B,D324)))*100,"")</f>
        <v>0.27021732228144485</v>
      </c>
      <c r="BO324" s="67">
        <f t="shared" si="217"/>
        <v>9.1352009744214371</v>
      </c>
      <c r="BT324" t="s">
        <v>89</v>
      </c>
      <c r="BV324" t="s">
        <v>93</v>
      </c>
      <c r="CF324">
        <v>4</v>
      </c>
      <c r="CG324">
        <v>4</v>
      </c>
    </row>
    <row r="325" spans="1:85" x14ac:dyDescent="0.4">
      <c r="A325" s="11" t="s">
        <v>85</v>
      </c>
      <c r="B325" t="s">
        <v>245</v>
      </c>
      <c r="C325" t="s">
        <v>259</v>
      </c>
      <c r="D325" s="46" t="s">
        <v>306</v>
      </c>
      <c r="E325">
        <v>8</v>
      </c>
      <c r="F325">
        <v>9</v>
      </c>
      <c r="G325" s="1">
        <v>1</v>
      </c>
      <c r="H325" s="16">
        <f t="shared" si="192"/>
        <v>4328</v>
      </c>
      <c r="I325">
        <v>26</v>
      </c>
      <c r="J325" s="17">
        <f t="shared" si="193"/>
        <v>3.25</v>
      </c>
      <c r="K325">
        <v>12</v>
      </c>
      <c r="L325">
        <v>23</v>
      </c>
      <c r="M325" s="17">
        <f t="shared" si="194"/>
        <v>1.5</v>
      </c>
      <c r="N325" s="17">
        <f t="shared" si="195"/>
        <v>2.875</v>
      </c>
      <c r="O325" s="18">
        <f t="shared" si="196"/>
        <v>0.52173913043478259</v>
      </c>
      <c r="P325">
        <v>12</v>
      </c>
      <c r="Q325">
        <v>23</v>
      </c>
      <c r="R325" s="17">
        <f t="shared" si="197"/>
        <v>1.5</v>
      </c>
      <c r="S325" s="17">
        <f t="shared" si="198"/>
        <v>2.875</v>
      </c>
      <c r="T325" s="18">
        <f t="shared" si="199"/>
        <v>0.52173913043478259</v>
      </c>
      <c r="U325">
        <v>0</v>
      </c>
      <c r="V325">
        <v>0</v>
      </c>
      <c r="W325" s="17">
        <f t="shared" si="200"/>
        <v>0</v>
      </c>
      <c r="X325" s="17">
        <f t="shared" si="201"/>
        <v>0</v>
      </c>
      <c r="Y325" s="18" t="e">
        <f t="shared" si="202"/>
        <v>#DIV/0!</v>
      </c>
      <c r="Z325">
        <v>2</v>
      </c>
      <c r="AA325">
        <v>5</v>
      </c>
      <c r="AB325" s="17">
        <f t="shared" si="203"/>
        <v>0.25</v>
      </c>
      <c r="AC325" s="17">
        <f t="shared" si="204"/>
        <v>0.625</v>
      </c>
      <c r="AD325" s="18">
        <f t="shared" si="205"/>
        <v>0.4</v>
      </c>
      <c r="AE325">
        <v>15</v>
      </c>
      <c r="AF325" s="17">
        <f t="shared" si="206"/>
        <v>1.875</v>
      </c>
      <c r="AG325">
        <v>4</v>
      </c>
      <c r="AH325" s="17">
        <f t="shared" si="207"/>
        <v>0.5</v>
      </c>
      <c r="AI325">
        <v>11</v>
      </c>
      <c r="AJ325" s="17">
        <f t="shared" si="208"/>
        <v>1.375</v>
      </c>
      <c r="AK325">
        <v>6</v>
      </c>
      <c r="AL325" s="17">
        <f t="shared" si="209"/>
        <v>0.75</v>
      </c>
      <c r="AM325">
        <v>3</v>
      </c>
      <c r="AN325" s="17">
        <f t="shared" si="210"/>
        <v>0.375</v>
      </c>
      <c r="AO325">
        <v>4</v>
      </c>
      <c r="AQ325">
        <v>2</v>
      </c>
      <c r="AR325" s="17">
        <f t="shared" si="211"/>
        <v>0.25</v>
      </c>
      <c r="AS325">
        <v>13</v>
      </c>
      <c r="AT325" s="17">
        <f t="shared" si="212"/>
        <v>1.625</v>
      </c>
      <c r="BD325" s="65">
        <f t="shared" si="213"/>
        <v>51.587301587301596</v>
      </c>
      <c r="BE325" s="65">
        <f t="shared" si="214"/>
        <v>52.173913043478258</v>
      </c>
      <c r="BF325" s="66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13.916939746814029</v>
      </c>
      <c r="BG325" s="38">
        <f t="shared" si="215"/>
        <v>0</v>
      </c>
      <c r="BH325" s="38">
        <f t="shared" si="216"/>
        <v>0.21739130434782608</v>
      </c>
      <c r="BI325" s="67">
        <f>IFERROR(((AG325*(12000/5))/((F325*60+G325)*(SUMIFS(팀공격력!X:X,팀공격력!A:A,B325,팀공격력!B:B,D325)+SUMIFS(팀수비력!X:X,팀수비력!A:A,B325,팀수비력!B:B,D325))))*100,"")</f>
        <v>2.4957688918006196</v>
      </c>
      <c r="BJ325" s="67">
        <f>IFERROR(((AI325*(12000/5))/((F325*60+G325)*(SUMIFS(팀공격력!V:V,팀공격력!A:A,B325,팀공격력!B:B,D325)+SUMIFS(팀수비력!W:W,팀수비력!A:A,B325,팀수비력!B:B,D325))))*100,"")</f>
        <v>14.968871551206014</v>
      </c>
      <c r="BK325" s="67">
        <f>IFERROR(((AE325*(12000/5))/((F325*60+G325)*(SUMIFS(팀공격력!X:X,팀공격력!A:A,B325,팀공격력!B:B,D325)+SUMIFS(팀수비력!X:X,팀수비력!A:A,B325,팀수비력!B:B,D325))))*100,"")</f>
        <v>9.3591333442523226</v>
      </c>
      <c r="BL325" s="67">
        <f>IFERROR(100*AK325/(((((F325*60+G325)/(12000/5))*SUMIFS(팀공격력!P:P,팀공격력!A:A,B325,팀공격력!B:B,D325))-K325)),"")</f>
        <v>10.447804509968948</v>
      </c>
      <c r="BM325" s="67">
        <f>IFERROR(100*((AM325/E325*(2400))/((F325*60+G325)*SUMIFS(팀공격력!AR:AR,팀공격력!A:A,B325,팀공격력!B:B,D325))),"")</f>
        <v>2.0733277340414005</v>
      </c>
      <c r="BN325" s="67">
        <f>IFERROR((AO325*40)/(((F325*60+G325)/60)*(SUMIFS(팀수비력!Q:Q,팀수비력!A:A,B325,팀수비력!B:B,D325)-SUMIFS(팀수비력!N:N,팀수비력!A:A,B325,팀수비력!B:B,D325)))*100,"")</f>
        <v>3.7201083481556396</v>
      </c>
      <c r="BO325" s="67">
        <f t="shared" si="217"/>
        <v>7.3529411764705888</v>
      </c>
      <c r="BT325" t="s">
        <v>89</v>
      </c>
      <c r="BV325" t="s">
        <v>102</v>
      </c>
      <c r="CF325">
        <v>4</v>
      </c>
      <c r="CG325">
        <v>4</v>
      </c>
    </row>
    <row r="326" spans="1:85" x14ac:dyDescent="0.4">
      <c r="A326" s="11" t="s">
        <v>85</v>
      </c>
      <c r="B326" t="s">
        <v>245</v>
      </c>
      <c r="C326" t="s">
        <v>260</v>
      </c>
      <c r="D326" s="46" t="s">
        <v>306</v>
      </c>
      <c r="E326">
        <v>5</v>
      </c>
      <c r="F326">
        <v>15</v>
      </c>
      <c r="G326" s="1">
        <v>17</v>
      </c>
      <c r="H326" s="16">
        <f t="shared" si="192"/>
        <v>4585</v>
      </c>
      <c r="I326">
        <v>11</v>
      </c>
      <c r="J326" s="17">
        <f t="shared" si="193"/>
        <v>2.2000000000000002</v>
      </c>
      <c r="K326">
        <v>5</v>
      </c>
      <c r="L326">
        <v>20</v>
      </c>
      <c r="M326" s="17">
        <f t="shared" si="194"/>
        <v>1</v>
      </c>
      <c r="N326" s="17">
        <f t="shared" si="195"/>
        <v>4</v>
      </c>
      <c r="O326" s="18">
        <f t="shared" si="196"/>
        <v>0.25</v>
      </c>
      <c r="P326">
        <v>4</v>
      </c>
      <c r="Q326">
        <v>11</v>
      </c>
      <c r="R326" s="17">
        <f t="shared" si="197"/>
        <v>0.8</v>
      </c>
      <c r="S326" s="17">
        <f t="shared" si="198"/>
        <v>2.2000000000000002</v>
      </c>
      <c r="T326" s="18">
        <f t="shared" si="199"/>
        <v>0.36363636363636365</v>
      </c>
      <c r="U326">
        <v>1</v>
      </c>
      <c r="V326">
        <v>9</v>
      </c>
      <c r="W326" s="17">
        <f t="shared" si="200"/>
        <v>0.2</v>
      </c>
      <c r="X326" s="17">
        <f t="shared" si="201"/>
        <v>1.8</v>
      </c>
      <c r="Y326" s="18">
        <f t="shared" si="202"/>
        <v>0.1111111111111111</v>
      </c>
      <c r="Z326">
        <v>0</v>
      </c>
      <c r="AA326">
        <v>0</v>
      </c>
      <c r="AB326" s="17">
        <f t="shared" si="203"/>
        <v>0</v>
      </c>
      <c r="AC326" s="17">
        <f t="shared" si="204"/>
        <v>0</v>
      </c>
      <c r="AD326" s="18" t="e">
        <f t="shared" si="205"/>
        <v>#DIV/0!</v>
      </c>
      <c r="AE326">
        <v>6</v>
      </c>
      <c r="AF326" s="17">
        <f t="shared" si="206"/>
        <v>1.2</v>
      </c>
      <c r="AG326">
        <v>1</v>
      </c>
      <c r="AH326" s="17">
        <f t="shared" si="207"/>
        <v>0.2</v>
      </c>
      <c r="AI326">
        <v>5</v>
      </c>
      <c r="AJ326" s="17">
        <f t="shared" si="208"/>
        <v>1</v>
      </c>
      <c r="AK326">
        <v>3</v>
      </c>
      <c r="AL326" s="17">
        <f t="shared" si="209"/>
        <v>0.6</v>
      </c>
      <c r="AM326">
        <v>4</v>
      </c>
      <c r="AN326" s="17">
        <f t="shared" si="210"/>
        <v>0.8</v>
      </c>
      <c r="AO326">
        <v>0</v>
      </c>
      <c r="AQ326">
        <v>3</v>
      </c>
      <c r="AR326" s="17">
        <f t="shared" si="211"/>
        <v>0.6</v>
      </c>
      <c r="AS326">
        <v>8</v>
      </c>
      <c r="AT326" s="17">
        <f t="shared" si="212"/>
        <v>1.6</v>
      </c>
      <c r="BD326" s="65">
        <f t="shared" si="213"/>
        <v>27.500000000000004</v>
      </c>
      <c r="BE326" s="65">
        <f t="shared" si="214"/>
        <v>27.500000000000004</v>
      </c>
      <c r="BF326" s="66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6.9427353129453042</v>
      </c>
      <c r="BG326" s="38">
        <f t="shared" si="215"/>
        <v>0.45</v>
      </c>
      <c r="BH326" s="38">
        <f t="shared" si="216"/>
        <v>0</v>
      </c>
      <c r="BI326" s="67">
        <f>IFERROR(((AG326*(12000/5))/((F326*60+G326)*(SUMIFS(팀공격력!X:X,팀공격력!A:A,B326,팀공격력!B:B,D326)+SUMIFS(팀수비력!X:X,팀수비력!A:A,B326,팀수비력!B:B,D326))))*100,"")</f>
        <v>0.36810549903602374</v>
      </c>
      <c r="BJ326" s="67">
        <f>IFERROR(((AI326*(12000/5))/((F326*60+G326)*(SUMIFS(팀공격력!V:V,팀공격력!A:A,B326,팀공격력!B:B,D326)+SUMIFS(팀수비력!W:W,팀수비력!A:A,B326,팀수비력!B:B,D326))))*100,"")</f>
        <v>4.0141565922486633</v>
      </c>
      <c r="BK326" s="67">
        <f>IFERROR(((AE326*(12000/5))/((F326*60+G326)*(SUMIFS(팀공격력!X:X,팀공격력!A:A,B326,팀공격력!B:B,D326)+SUMIFS(팀수비력!X:X,팀수비력!A:A,B326,팀수비력!B:B,D326))))*100,"")</f>
        <v>2.2086329942161425</v>
      </c>
      <c r="BL326" s="67">
        <f>IFERROR(100*AK326/(((((F326*60+G326)/(12000/5))*SUMIFS(팀공격력!P:P,팀공격력!A:A,B326,팀공격력!B:B,D326))-K326)),"")</f>
        <v>2.662367436288068</v>
      </c>
      <c r="BM326" s="67">
        <f>IFERROR(100*((AM326/E326*(2400))/((F326*60+G326)*SUMIFS(팀공격력!AR:AR,팀공격력!A:A,B326,팀공격력!B:B,D326))),"")</f>
        <v>2.6094838045601398</v>
      </c>
      <c r="BN326" s="67">
        <f>IFERROR((AO326*40)/(((F326*60+G326)/60)*(SUMIFS(팀수비력!Q:Q,팀수비력!A:A,B326,팀수비력!B:B,D326)-SUMIFS(팀수비력!N:N,팀수비력!A:A,B326,팀수비력!B:B,D326)))*100,"")</f>
        <v>0</v>
      </c>
      <c r="BO326" s="67">
        <f t="shared" si="217"/>
        <v>13.043478260869565</v>
      </c>
      <c r="BT326" t="s">
        <v>89</v>
      </c>
      <c r="BV326" t="s">
        <v>93</v>
      </c>
      <c r="CF326">
        <v>1</v>
      </c>
      <c r="CG326">
        <v>4</v>
      </c>
    </row>
    <row r="327" spans="1:85" x14ac:dyDescent="0.4">
      <c r="A327" s="11" t="s">
        <v>85</v>
      </c>
      <c r="B327" t="s">
        <v>245</v>
      </c>
      <c r="C327" t="s">
        <v>261</v>
      </c>
      <c r="D327" s="46" t="s">
        <v>306</v>
      </c>
      <c r="E327">
        <v>10</v>
      </c>
      <c r="F327">
        <v>18</v>
      </c>
      <c r="G327" s="1">
        <v>34</v>
      </c>
      <c r="H327" s="16">
        <f t="shared" si="192"/>
        <v>11140</v>
      </c>
      <c r="I327">
        <v>154</v>
      </c>
      <c r="J327" s="17">
        <f t="shared" si="193"/>
        <v>15.4</v>
      </c>
      <c r="K327">
        <v>59</v>
      </c>
      <c r="L327">
        <v>122</v>
      </c>
      <c r="M327" s="17">
        <f t="shared" si="194"/>
        <v>5.9</v>
      </c>
      <c r="N327" s="17">
        <f t="shared" si="195"/>
        <v>12.2</v>
      </c>
      <c r="O327" s="18">
        <f t="shared" si="196"/>
        <v>0.48360655737704916</v>
      </c>
      <c r="P327">
        <v>51</v>
      </c>
      <c r="Q327">
        <v>82</v>
      </c>
      <c r="R327" s="17">
        <f t="shared" si="197"/>
        <v>5.0999999999999996</v>
      </c>
      <c r="S327" s="17">
        <f t="shared" si="198"/>
        <v>8.1999999999999993</v>
      </c>
      <c r="T327" s="18">
        <f t="shared" si="199"/>
        <v>0.62195121951219512</v>
      </c>
      <c r="U327">
        <v>8</v>
      </c>
      <c r="V327">
        <v>40</v>
      </c>
      <c r="W327" s="17">
        <f t="shared" si="200"/>
        <v>0.8</v>
      </c>
      <c r="X327" s="17">
        <f t="shared" si="201"/>
        <v>4</v>
      </c>
      <c r="Y327" s="18">
        <f t="shared" si="202"/>
        <v>0.2</v>
      </c>
      <c r="Z327">
        <v>28</v>
      </c>
      <c r="AA327">
        <v>44</v>
      </c>
      <c r="AB327" s="17">
        <f t="shared" si="203"/>
        <v>2.8</v>
      </c>
      <c r="AC327" s="17">
        <f t="shared" si="204"/>
        <v>4.4000000000000004</v>
      </c>
      <c r="AD327" s="18">
        <f t="shared" si="205"/>
        <v>0.63636363636363635</v>
      </c>
      <c r="AE327">
        <v>64</v>
      </c>
      <c r="AF327" s="17">
        <f t="shared" si="206"/>
        <v>6.4</v>
      </c>
      <c r="AG327">
        <v>25</v>
      </c>
      <c r="AH327" s="17">
        <f t="shared" si="207"/>
        <v>2.5</v>
      </c>
      <c r="AI327">
        <v>39</v>
      </c>
      <c r="AJ327" s="17">
        <f t="shared" si="208"/>
        <v>3.9</v>
      </c>
      <c r="AK327">
        <v>6</v>
      </c>
      <c r="AL327" s="17">
        <f t="shared" si="209"/>
        <v>0.6</v>
      </c>
      <c r="AM327">
        <v>2</v>
      </c>
      <c r="AN327" s="17">
        <f t="shared" si="210"/>
        <v>0.2</v>
      </c>
      <c r="AO327">
        <v>8</v>
      </c>
      <c r="AQ327">
        <v>14</v>
      </c>
      <c r="AR327" s="17">
        <f t="shared" si="211"/>
        <v>1.4</v>
      </c>
      <c r="AS327">
        <v>14</v>
      </c>
      <c r="AT327" s="17">
        <f t="shared" si="212"/>
        <v>1.4</v>
      </c>
      <c r="BD327" s="65">
        <f t="shared" si="213"/>
        <v>54.470854555744197</v>
      </c>
      <c r="BE327" s="65">
        <f t="shared" si="214"/>
        <v>51.639344262295083</v>
      </c>
      <c r="BF327" s="66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38.603450920575696</v>
      </c>
      <c r="BG327" s="38">
        <f t="shared" si="215"/>
        <v>0.32786885245901637</v>
      </c>
      <c r="BH327" s="38">
        <f t="shared" si="216"/>
        <v>0.36065573770491804</v>
      </c>
      <c r="BI327" s="67">
        <f>IFERROR(((AG327*(12000/5))/((F327*60+G327)*(SUMIFS(팀공격력!X:X,팀공격력!A:A,B327,팀공격력!B:B,D327)+SUMIFS(팀수비력!X:X,팀수비력!A:A,B327,팀수비력!B:B,D327))))*100,"")</f>
        <v>7.5752410820474365</v>
      </c>
      <c r="BJ327" s="67">
        <f>IFERROR(((AI327*(12000/5))/((F327*60+G327)*(SUMIFS(팀공격력!V:V,팀공격력!A:A,B327,팀공격력!B:B,D327)+SUMIFS(팀수비력!W:W,팀수비력!A:A,B327,팀수비력!B:B,D327))))*100,"")</f>
        <v>25.773479750195506</v>
      </c>
      <c r="BK327" s="67">
        <f>IFERROR(((AE327*(12000/5))/((F327*60+G327)*(SUMIFS(팀공격력!X:X,팀공격력!A:A,B327,팀공격력!B:B,D327)+SUMIFS(팀수비력!X:X,팀수비력!A:A,B327,팀수비력!B:B,D327))))*100,"")</f>
        <v>19.392617170041436</v>
      </c>
      <c r="BL327" s="67">
        <f>IFERROR(100*AK327/(((((F327*60+G327)/(12000/5))*SUMIFS(팀공격력!P:P,팀공격력!A:A,B327,팀공격력!B:B,D327))-K327)),"")</f>
        <v>7.1459764182778196</v>
      </c>
      <c r="BM327" s="67">
        <f>IFERROR(100*((AM327/E327*(2400))/((F327*60+G327)*SUMIFS(팀공격력!AR:AR,팀공격력!A:A,B327,팀공격력!B:B,D327))),"")</f>
        <v>0.53700553159372721</v>
      </c>
      <c r="BN327" s="67">
        <f>IFERROR((AO327*40)/(((F327*60+G327)/60)*(SUMIFS(팀수비력!Q:Q,팀수비력!A:A,B327,팀수비력!B:B,D327)-SUMIFS(팀수비력!N:N,팀수비력!A:A,B327,팀수비력!B:B,D327)))*100,"")</f>
        <v>3.613247067059608</v>
      </c>
      <c r="BO327" s="67">
        <f t="shared" si="217"/>
        <v>9.0113285272914521</v>
      </c>
      <c r="BT327" t="s">
        <v>96</v>
      </c>
      <c r="BV327" t="s">
        <v>93</v>
      </c>
      <c r="CF327">
        <v>5</v>
      </c>
      <c r="CG327">
        <v>5</v>
      </c>
    </row>
    <row r="328" spans="1:85" x14ac:dyDescent="0.4">
      <c r="A328" s="11" t="s">
        <v>85</v>
      </c>
      <c r="B328" t="s">
        <v>245</v>
      </c>
      <c r="C328" t="s">
        <v>262</v>
      </c>
      <c r="D328" s="46" t="s">
        <v>306</v>
      </c>
      <c r="E328">
        <v>10</v>
      </c>
      <c r="F328">
        <v>16</v>
      </c>
      <c r="G328" s="1">
        <v>14</v>
      </c>
      <c r="H328" s="16">
        <f t="shared" si="192"/>
        <v>9740</v>
      </c>
      <c r="I328">
        <v>61</v>
      </c>
      <c r="J328" s="17">
        <f t="shared" si="193"/>
        <v>6.1</v>
      </c>
      <c r="K328">
        <v>22</v>
      </c>
      <c r="L328">
        <v>43</v>
      </c>
      <c r="M328" s="17">
        <f t="shared" si="194"/>
        <v>2.2000000000000002</v>
      </c>
      <c r="N328" s="17">
        <f t="shared" si="195"/>
        <v>4.3</v>
      </c>
      <c r="O328" s="18">
        <f t="shared" si="196"/>
        <v>0.51162790697674421</v>
      </c>
      <c r="P328">
        <v>18</v>
      </c>
      <c r="Q328">
        <v>30</v>
      </c>
      <c r="R328" s="17">
        <f t="shared" si="197"/>
        <v>1.8</v>
      </c>
      <c r="S328" s="17">
        <f t="shared" si="198"/>
        <v>3</v>
      </c>
      <c r="T328" s="18">
        <f t="shared" si="199"/>
        <v>0.6</v>
      </c>
      <c r="U328">
        <v>4</v>
      </c>
      <c r="V328">
        <v>13</v>
      </c>
      <c r="W328" s="17">
        <f t="shared" si="200"/>
        <v>0.4</v>
      </c>
      <c r="X328" s="17">
        <f t="shared" si="201"/>
        <v>1.3</v>
      </c>
      <c r="Y328" s="18">
        <f t="shared" si="202"/>
        <v>0.30769230769230771</v>
      </c>
      <c r="Z328">
        <v>13</v>
      </c>
      <c r="AA328">
        <v>18</v>
      </c>
      <c r="AB328" s="17">
        <f t="shared" si="203"/>
        <v>1.3</v>
      </c>
      <c r="AC328" s="17">
        <f t="shared" si="204"/>
        <v>1.8</v>
      </c>
      <c r="AD328" s="18">
        <f t="shared" si="205"/>
        <v>0.72222222222222221</v>
      </c>
      <c r="AE328">
        <v>27</v>
      </c>
      <c r="AF328" s="17">
        <f t="shared" si="206"/>
        <v>2.7</v>
      </c>
      <c r="AG328">
        <v>14</v>
      </c>
      <c r="AH328" s="17">
        <f t="shared" si="207"/>
        <v>1.4</v>
      </c>
      <c r="AI328">
        <v>13</v>
      </c>
      <c r="AJ328" s="17">
        <f t="shared" si="208"/>
        <v>1.3</v>
      </c>
      <c r="AK328">
        <v>22</v>
      </c>
      <c r="AL328" s="17">
        <f t="shared" si="209"/>
        <v>2.2000000000000002</v>
      </c>
      <c r="AM328">
        <v>6</v>
      </c>
      <c r="AN328" s="17">
        <f t="shared" si="210"/>
        <v>0.6</v>
      </c>
      <c r="AO328">
        <v>3</v>
      </c>
      <c r="AQ328">
        <v>9</v>
      </c>
      <c r="AR328" s="17">
        <f t="shared" si="211"/>
        <v>0.9</v>
      </c>
      <c r="AS328">
        <v>13</v>
      </c>
      <c r="AT328" s="17">
        <f t="shared" si="212"/>
        <v>1.3</v>
      </c>
      <c r="BD328" s="65">
        <f t="shared" si="213"/>
        <v>59.897879025923018</v>
      </c>
      <c r="BE328" s="65">
        <f t="shared" si="214"/>
        <v>55.813953488372093</v>
      </c>
      <c r="BF328" s="66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17.028835722511069</v>
      </c>
      <c r="BG328" s="38">
        <f t="shared" si="215"/>
        <v>0.30232558139534882</v>
      </c>
      <c r="BH328" s="38">
        <f t="shared" si="216"/>
        <v>0.41860465116279072</v>
      </c>
      <c r="BI328" s="67">
        <f>IFERROR(((AG328*(12000/5))/((F328*60+G328)*(SUMIFS(팀공격력!X:X,팀공격력!A:A,B328,팀공격력!B:B,D328)+SUMIFS(팀수비력!X:X,팀수비력!A:A,B328,팀수비력!B:B,D328))))*100,"")</f>
        <v>4.8518874708670143</v>
      </c>
      <c r="BJ328" s="67">
        <f>IFERROR(((AI328*(12000/5))/((F328*60+G328)*(SUMIFS(팀공격력!V:V,팀공격력!A:A,B328,팀공격력!B:B,D328)+SUMIFS(팀수비력!W:W,팀수비력!A:A,B328,팀수비력!B:B,D328))))*100,"")</f>
        <v>9.8260288986029405</v>
      </c>
      <c r="BK328" s="67">
        <f>IFERROR(((AE328*(12000/5))/((F328*60+G328)*(SUMIFS(팀공격력!X:X,팀공격력!A:A,B328,팀공격력!B:B,D328)+SUMIFS(팀수비력!X:X,팀수비력!A:A,B328,팀수비력!B:B,D328))))*100,"")</f>
        <v>9.357211550957814</v>
      </c>
      <c r="BL328" s="67">
        <f>IFERROR(100*AK328/(((((F328*60+G328)/(12000/5))*SUMIFS(팀공격력!P:P,팀공격력!A:A,B328,팀공격력!B:B,D328))-K328)),"")</f>
        <v>21.359914560341757</v>
      </c>
      <c r="BM328" s="67">
        <f>IFERROR(100*((AM328/E328*(2400))/((F328*60+G328)*SUMIFS(팀공격력!AR:AR,팀공격력!A:A,B328,팀공격력!B:B,D328))),"")</f>
        <v>1.8425795550166695</v>
      </c>
      <c r="BN328" s="67">
        <f>IFERROR((AO328*40)/(((F328*60+G328)/60)*(SUMIFS(팀수비력!Q:Q,팀수비력!A:A,B328,팀수비력!B:B,D328)-SUMIFS(팀수비력!N:N,팀수비력!A:A,B328,팀수비력!B:B,D328)))*100,"")</f>
        <v>1.5497268606408119</v>
      </c>
      <c r="BO328" s="67">
        <f t="shared" si="217"/>
        <v>15.020026702269693</v>
      </c>
      <c r="BT328" t="s">
        <v>89</v>
      </c>
      <c r="BV328" t="s">
        <v>93</v>
      </c>
      <c r="CF328">
        <v>5</v>
      </c>
      <c r="CG328">
        <v>5</v>
      </c>
    </row>
    <row r="329" spans="1:85" x14ac:dyDescent="0.4">
      <c r="A329" s="11" t="s">
        <v>85</v>
      </c>
      <c r="B329" t="s">
        <v>263</v>
      </c>
      <c r="C329" t="s">
        <v>264</v>
      </c>
      <c r="D329" s="46" t="s">
        <v>306</v>
      </c>
      <c r="E329">
        <v>10</v>
      </c>
      <c r="F329">
        <v>28</v>
      </c>
      <c r="G329" s="1">
        <v>57</v>
      </c>
      <c r="H329" s="16">
        <f t="shared" si="192"/>
        <v>17370</v>
      </c>
      <c r="I329">
        <v>144</v>
      </c>
      <c r="J329" s="17">
        <f t="shared" si="193"/>
        <v>14.4</v>
      </c>
      <c r="K329">
        <v>54</v>
      </c>
      <c r="L329">
        <v>98</v>
      </c>
      <c r="M329" s="17">
        <f t="shared" si="194"/>
        <v>5.4</v>
      </c>
      <c r="N329" s="17">
        <f t="shared" si="195"/>
        <v>9.8000000000000007</v>
      </c>
      <c r="O329" s="18">
        <f t="shared" si="196"/>
        <v>0.55102040816326525</v>
      </c>
      <c r="P329">
        <v>39</v>
      </c>
      <c r="Q329">
        <v>66</v>
      </c>
      <c r="R329" s="17">
        <f t="shared" si="197"/>
        <v>3.9</v>
      </c>
      <c r="S329" s="17">
        <f t="shared" si="198"/>
        <v>6.6</v>
      </c>
      <c r="T329" s="18">
        <f t="shared" si="199"/>
        <v>0.59090909090909094</v>
      </c>
      <c r="U329">
        <v>15</v>
      </c>
      <c r="V329">
        <v>32</v>
      </c>
      <c r="W329" s="17">
        <f t="shared" si="200"/>
        <v>1.5</v>
      </c>
      <c r="X329" s="17">
        <f t="shared" si="201"/>
        <v>3.2</v>
      </c>
      <c r="Y329" s="18">
        <f t="shared" si="202"/>
        <v>0.46875</v>
      </c>
      <c r="Z329">
        <v>21</v>
      </c>
      <c r="AA329">
        <v>25</v>
      </c>
      <c r="AB329" s="17">
        <f t="shared" si="203"/>
        <v>2.1</v>
      </c>
      <c r="AC329" s="17">
        <f t="shared" si="204"/>
        <v>2.5</v>
      </c>
      <c r="AD329" s="18">
        <f t="shared" si="205"/>
        <v>0.84</v>
      </c>
      <c r="AE329">
        <v>63</v>
      </c>
      <c r="AF329" s="17">
        <f t="shared" si="206"/>
        <v>6.3</v>
      </c>
      <c r="AG329">
        <v>18</v>
      </c>
      <c r="AH329" s="17">
        <f t="shared" si="207"/>
        <v>1.8</v>
      </c>
      <c r="AI329">
        <v>45</v>
      </c>
      <c r="AJ329" s="17">
        <f t="shared" si="208"/>
        <v>4.5</v>
      </c>
      <c r="AK329">
        <v>42</v>
      </c>
      <c r="AL329" s="17">
        <f t="shared" si="209"/>
        <v>4.2</v>
      </c>
      <c r="AM329">
        <v>10</v>
      </c>
      <c r="AN329" s="17">
        <f t="shared" si="210"/>
        <v>1</v>
      </c>
      <c r="AO329">
        <v>5</v>
      </c>
      <c r="AQ329">
        <v>26</v>
      </c>
      <c r="AR329" s="17">
        <f t="shared" si="211"/>
        <v>2.6</v>
      </c>
      <c r="AS329">
        <v>32</v>
      </c>
      <c r="AT329" s="17">
        <f t="shared" si="212"/>
        <v>3.2</v>
      </c>
      <c r="BD329" s="65">
        <f t="shared" si="213"/>
        <v>66.055045871559642</v>
      </c>
      <c r="BE329" s="65">
        <f t="shared" si="214"/>
        <v>62.755102040816325</v>
      </c>
      <c r="BF329" s="66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21.674238602059777</v>
      </c>
      <c r="BG329" s="38">
        <f t="shared" si="215"/>
        <v>0.32653061224489793</v>
      </c>
      <c r="BH329" s="38">
        <f t="shared" si="216"/>
        <v>0.25510204081632654</v>
      </c>
      <c r="BI329" s="67">
        <f>IFERROR(((AG329*(12000/5))/((F329*60+G329)*(SUMIFS(팀공격력!X:X,팀공격력!A:A,B329,팀공격력!B:B,D329)+SUMIFS(팀수비력!X:X,팀수비력!A:A,B329,팀수비력!B:B,D329))))*100,"")</f>
        <v>3.5631040574847459</v>
      </c>
      <c r="BJ329" s="67">
        <f>IFERROR(((AI329*(12000/5))/((F329*60+G329)*(SUMIFS(팀공격력!V:V,팀공격력!A:A,B329,팀공격력!B:B,D329)+SUMIFS(팀수비력!W:W,팀수비력!A:A,B329,팀수비력!B:B,D329))))*100,"")</f>
        <v>20.520186733699276</v>
      </c>
      <c r="BK329" s="67">
        <f>IFERROR(((AE329*(12000/5))/((F329*60+G329)*(SUMIFS(팀공격력!X:X,팀공격력!A:A,B329,팀공격력!B:B,D329)+SUMIFS(팀수비력!X:X,팀수비력!A:A,B329,팀수비력!B:B,D329))))*100,"")</f>
        <v>12.470864201196608</v>
      </c>
      <c r="BL329" s="67">
        <f>IFERROR(100*AK329/(((((F329*60+G329)/(12000/5))*SUMIFS(팀공격력!P:P,팀공격력!A:A,B329,팀공격력!B:B,D329))-K329)),"")</f>
        <v>20.405560515240403</v>
      </c>
      <c r="BM329" s="67">
        <f>IFERROR(100*((AM329/E329*(2400))/((F329*60+G329)*SUMIFS(팀공격력!AR:AR,팀공격력!A:A,B329,팀공격력!B:B,D329))),"")</f>
        <v>1.6772106173132499</v>
      </c>
      <c r="BN329" s="67">
        <f>IFERROR((AO329*40)/(((F329*60+G329)/60)*(SUMIFS(팀수비력!Q:Q,팀수비력!A:A,B329,팀수비력!B:B,D329)-SUMIFS(팀수비력!N:N,팀수비력!A:A,B329,팀수비력!B:B,D329)))*100,"")</f>
        <v>1.4483150664595577</v>
      </c>
      <c r="BO329" s="67">
        <f t="shared" si="217"/>
        <v>19.25925925925926</v>
      </c>
      <c r="BT329" t="s">
        <v>89</v>
      </c>
      <c r="BV329" t="s">
        <v>93</v>
      </c>
      <c r="CF329">
        <v>9</v>
      </c>
      <c r="CG329">
        <v>1</v>
      </c>
    </row>
    <row r="330" spans="1:85" x14ac:dyDescent="0.4">
      <c r="A330" s="11" t="s">
        <v>85</v>
      </c>
      <c r="B330" t="s">
        <v>263</v>
      </c>
      <c r="C330" t="s">
        <v>265</v>
      </c>
      <c r="D330" s="46" t="s">
        <v>306</v>
      </c>
      <c r="E330">
        <v>1</v>
      </c>
      <c r="F330">
        <v>3</v>
      </c>
      <c r="G330" s="1">
        <v>50</v>
      </c>
      <c r="H330" s="16">
        <f t="shared" si="192"/>
        <v>230</v>
      </c>
      <c r="I330">
        <v>3</v>
      </c>
      <c r="J330" s="17">
        <f t="shared" si="193"/>
        <v>3</v>
      </c>
      <c r="K330">
        <v>1</v>
      </c>
      <c r="L330">
        <v>1</v>
      </c>
      <c r="M330" s="17">
        <f t="shared" si="194"/>
        <v>1</v>
      </c>
      <c r="N330" s="17">
        <f t="shared" si="195"/>
        <v>1</v>
      </c>
      <c r="O330" s="18">
        <f t="shared" si="196"/>
        <v>1</v>
      </c>
      <c r="P330">
        <v>1</v>
      </c>
      <c r="Q330">
        <v>1</v>
      </c>
      <c r="R330" s="17">
        <f t="shared" si="197"/>
        <v>1</v>
      </c>
      <c r="S330" s="17">
        <f t="shared" si="198"/>
        <v>1</v>
      </c>
      <c r="T330" s="18">
        <f t="shared" si="199"/>
        <v>1</v>
      </c>
      <c r="U330">
        <v>0</v>
      </c>
      <c r="V330">
        <v>0</v>
      </c>
      <c r="W330" s="17">
        <f t="shared" si="200"/>
        <v>0</v>
      </c>
      <c r="X330" s="17">
        <f t="shared" si="201"/>
        <v>0</v>
      </c>
      <c r="Y330" s="18" t="e">
        <f t="shared" si="202"/>
        <v>#DIV/0!</v>
      </c>
      <c r="Z330">
        <v>1</v>
      </c>
      <c r="AA330">
        <v>2</v>
      </c>
      <c r="AB330" s="17">
        <f t="shared" si="203"/>
        <v>1</v>
      </c>
      <c r="AC330" s="17">
        <f t="shared" si="204"/>
        <v>2</v>
      </c>
      <c r="AD330" s="18">
        <f t="shared" si="205"/>
        <v>0.5</v>
      </c>
      <c r="AE330">
        <v>2</v>
      </c>
      <c r="AF330" s="17">
        <f t="shared" si="206"/>
        <v>2</v>
      </c>
      <c r="AG330">
        <v>1</v>
      </c>
      <c r="AH330" s="17">
        <f t="shared" si="207"/>
        <v>1</v>
      </c>
      <c r="AI330">
        <v>1</v>
      </c>
      <c r="AJ330" s="17">
        <f t="shared" si="208"/>
        <v>1</v>
      </c>
      <c r="AK330">
        <v>1</v>
      </c>
      <c r="AL330" s="17">
        <f t="shared" si="209"/>
        <v>1</v>
      </c>
      <c r="AM330">
        <v>0</v>
      </c>
      <c r="AN330" s="17">
        <f t="shared" si="210"/>
        <v>0</v>
      </c>
      <c r="AO330">
        <v>0</v>
      </c>
      <c r="AQ330">
        <v>1</v>
      </c>
      <c r="AR330" s="17">
        <f t="shared" si="211"/>
        <v>1</v>
      </c>
      <c r="AS330">
        <v>3</v>
      </c>
      <c r="AT330" s="17">
        <f t="shared" si="212"/>
        <v>3</v>
      </c>
      <c r="BD330" s="65">
        <f t="shared" si="213"/>
        <v>79.787234042553195</v>
      </c>
      <c r="BE330" s="65">
        <f t="shared" si="214"/>
        <v>100</v>
      </c>
      <c r="BF330" s="66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3.4920025462518565</v>
      </c>
      <c r="BG330" s="38">
        <f t="shared" si="215"/>
        <v>0</v>
      </c>
      <c r="BH330" s="38">
        <f t="shared" si="216"/>
        <v>2</v>
      </c>
      <c r="BI330" s="67">
        <f>IFERROR(((AG330*(12000/5))/((F330*60+G330)*(SUMIFS(팀공격력!X:X,팀공격력!A:A,B330,팀공격력!B:B,D330)+SUMIFS(팀수비력!X:X,팀수비력!A:A,B330,팀수비력!B:B,D330))))*100,"")</f>
        <v>1.4949545284664256</v>
      </c>
      <c r="BJ330" s="67">
        <f>IFERROR(((AI330*(12000/5))/((F330*60+G330)*(SUMIFS(팀공격력!V:V,팀공격력!A:A,B330,팀공격력!B:B,D330)+SUMIFS(팀수비력!W:W,팀수비력!A:A,B330,팀수비력!B:B,D330))))*100,"")</f>
        <v>3.4438226431338785</v>
      </c>
      <c r="BK330" s="67">
        <f>IFERROR(((AE330*(12000/5))/((F330*60+G330)*(SUMIFS(팀공격력!X:X,팀공격력!A:A,B330,팀공격력!B:B,D330)+SUMIFS(팀수비력!X:X,팀수비력!A:A,B330,팀수비력!B:B,D330))))*100,"")</f>
        <v>2.9899090569328513</v>
      </c>
      <c r="BL330" s="67">
        <f>IFERROR(100*AK330/(((((F330*60+G330)/(12000/5))*SUMIFS(팀공격력!P:P,팀공격력!A:A,B330,팀공격력!B:B,D330))-K330)),"")</f>
        <v>2.9936385181489333</v>
      </c>
      <c r="BM330" s="67">
        <f>IFERROR(100*((AM330/E330*(2400))/((F330*60+G330)*SUMIFS(팀공격력!AR:AR,팀공격력!A:A,B330,팀공격력!B:B,D330))),"")</f>
        <v>0</v>
      </c>
      <c r="BN330" s="67">
        <f>IFERROR((AO330*40)/(((F330*60+G330)/60)*(SUMIFS(팀수비력!Q:Q,팀수비력!A:A,B330,팀수비력!B:B,D330)-SUMIFS(팀수비력!N:N,팀수비력!A:A,B330,팀수비력!B:B,D330)))*100,"")</f>
        <v>0</v>
      </c>
      <c r="BO330" s="67">
        <f t="shared" si="217"/>
        <v>34.722222222222221</v>
      </c>
      <c r="BT330" t="s">
        <v>96</v>
      </c>
      <c r="BV330" t="s">
        <v>102</v>
      </c>
      <c r="CF330">
        <v>1</v>
      </c>
      <c r="CG330">
        <v>0</v>
      </c>
    </row>
    <row r="331" spans="1:85" x14ac:dyDescent="0.4">
      <c r="A331" s="11" t="s">
        <v>85</v>
      </c>
      <c r="B331" t="s">
        <v>263</v>
      </c>
      <c r="C331" t="s">
        <v>266</v>
      </c>
      <c r="D331" s="46" t="s">
        <v>306</v>
      </c>
      <c r="E331">
        <v>10</v>
      </c>
      <c r="F331">
        <v>15</v>
      </c>
      <c r="G331" s="1">
        <v>15</v>
      </c>
      <c r="H331" s="16">
        <f t="shared" si="192"/>
        <v>9150</v>
      </c>
      <c r="I331">
        <v>31</v>
      </c>
      <c r="J331" s="17">
        <f t="shared" si="193"/>
        <v>3.1</v>
      </c>
      <c r="K331">
        <v>9</v>
      </c>
      <c r="L331">
        <v>23</v>
      </c>
      <c r="M331" s="17">
        <f t="shared" si="194"/>
        <v>0.9</v>
      </c>
      <c r="N331" s="17">
        <f t="shared" si="195"/>
        <v>2.2999999999999998</v>
      </c>
      <c r="O331" s="18">
        <f t="shared" si="196"/>
        <v>0.39130434782608697</v>
      </c>
      <c r="P331">
        <v>2</v>
      </c>
      <c r="Q331">
        <v>5</v>
      </c>
      <c r="R331" s="17">
        <f t="shared" si="197"/>
        <v>0.2</v>
      </c>
      <c r="S331" s="17">
        <f t="shared" si="198"/>
        <v>0.5</v>
      </c>
      <c r="T331" s="18">
        <f t="shared" si="199"/>
        <v>0.4</v>
      </c>
      <c r="U331">
        <v>7</v>
      </c>
      <c r="V331">
        <v>18</v>
      </c>
      <c r="W331" s="17">
        <f t="shared" si="200"/>
        <v>0.7</v>
      </c>
      <c r="X331" s="17">
        <f t="shared" si="201"/>
        <v>1.8</v>
      </c>
      <c r="Y331" s="18">
        <f t="shared" si="202"/>
        <v>0.3888888888888889</v>
      </c>
      <c r="Z331">
        <v>6</v>
      </c>
      <c r="AA331">
        <v>8</v>
      </c>
      <c r="AB331" s="17">
        <f t="shared" si="203"/>
        <v>0.6</v>
      </c>
      <c r="AC331" s="17">
        <f t="shared" si="204"/>
        <v>0.8</v>
      </c>
      <c r="AD331" s="18">
        <f t="shared" si="205"/>
        <v>0.75</v>
      </c>
      <c r="AE331">
        <v>16</v>
      </c>
      <c r="AF331" s="17">
        <f t="shared" si="206"/>
        <v>1.6</v>
      </c>
      <c r="AG331">
        <v>5</v>
      </c>
      <c r="AH331" s="17">
        <f t="shared" si="207"/>
        <v>0.5</v>
      </c>
      <c r="AI331">
        <v>11</v>
      </c>
      <c r="AJ331" s="17">
        <f t="shared" si="208"/>
        <v>1.1000000000000001</v>
      </c>
      <c r="AK331">
        <v>5</v>
      </c>
      <c r="AL331" s="17">
        <f t="shared" si="209"/>
        <v>0.5</v>
      </c>
      <c r="AM331">
        <v>4</v>
      </c>
      <c r="AN331" s="17">
        <f t="shared" si="210"/>
        <v>0.4</v>
      </c>
      <c r="AO331">
        <v>0</v>
      </c>
      <c r="AQ331">
        <v>3</v>
      </c>
      <c r="AR331" s="17">
        <f t="shared" si="211"/>
        <v>0.3</v>
      </c>
      <c r="AS331">
        <v>19</v>
      </c>
      <c r="AT331" s="17">
        <f t="shared" si="212"/>
        <v>1.9</v>
      </c>
      <c r="BD331" s="65">
        <f t="shared" si="213"/>
        <v>58.44645550527904</v>
      </c>
      <c r="BE331" s="65">
        <f t="shared" si="214"/>
        <v>54.347826086956516</v>
      </c>
      <c r="BF331" s="66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8.9971541014084728</v>
      </c>
      <c r="BG331" s="38">
        <f t="shared" si="215"/>
        <v>0.78260869565217395</v>
      </c>
      <c r="BH331" s="38">
        <f t="shared" si="216"/>
        <v>0.34782608695652173</v>
      </c>
      <c r="BI331" s="67">
        <f>IFERROR(((AG331*(12000/5))/((F331*60+G331)*(SUMIFS(팀공격력!X:X,팀공격력!A:A,B331,팀공격력!B:B,D331)+SUMIFS(팀수비력!X:X,팀수비력!A:A,B331,팀수비력!B:B,D331))))*100,"")</f>
        <v>1.8789045986190049</v>
      </c>
      <c r="BJ331" s="67">
        <f>IFERROR(((AI331*(12000/5))/((F331*60+G331)*(SUMIFS(팀공격력!V:V,팀공격력!A:A,B331,팀공격력!B:B,D331)+SUMIFS(팀수비력!W:W,팀수비력!A:A,B331,팀수비력!B:B,D331))))*100,"")</f>
        <v>9.5222637017800142</v>
      </c>
      <c r="BK331" s="67">
        <f>IFERROR(((AE331*(12000/5))/((F331*60+G331)*(SUMIFS(팀공격력!X:X,팀공격력!A:A,B331,팀공격력!B:B,D331)+SUMIFS(팀수비력!X:X,팀수비력!A:A,B331,팀수비력!B:B,D331))))*100,"")</f>
        <v>6.0124947155808162</v>
      </c>
      <c r="BL331" s="67">
        <f>IFERROR(100*AK331/(((((F331*60+G331)/(12000/5))*SUMIFS(팀공격력!P:P,팀공격력!A:A,B331,팀공격력!B:B,D331))-K331)),"")</f>
        <v>3.9102595434771983</v>
      </c>
      <c r="BM331" s="67">
        <f>IFERROR(100*((AM331/E331*(2400))/((F331*60+G331)*SUMIFS(팀공격력!AR:AR,팀공격력!A:A,B331,팀공격력!B:B,D331))),"")</f>
        <v>1.2735802589172087</v>
      </c>
      <c r="BN331" s="67">
        <f>IFERROR((AO331*40)/(((F331*60+G331)/60)*(SUMIFS(팀수비력!Q:Q,팀수비력!A:A,B331,팀수비력!B:B,D331)-SUMIFS(팀수비력!N:N,팀수비력!A:A,B331,팀수비력!B:B,D331)))*100,"")</f>
        <v>0</v>
      </c>
      <c r="BO331" s="67">
        <f t="shared" si="217"/>
        <v>10.16260162601626</v>
      </c>
      <c r="BT331" t="s">
        <v>89</v>
      </c>
      <c r="BV331" t="s">
        <v>90</v>
      </c>
      <c r="CF331">
        <v>9</v>
      </c>
      <c r="CG331">
        <v>1</v>
      </c>
    </row>
    <row r="332" spans="1:85" x14ac:dyDescent="0.4">
      <c r="A332" s="11" t="s">
        <v>85</v>
      </c>
      <c r="B332" t="s">
        <v>263</v>
      </c>
      <c r="C332" t="s">
        <v>267</v>
      </c>
      <c r="D332" s="46" t="s">
        <v>306</v>
      </c>
      <c r="E332">
        <v>10</v>
      </c>
      <c r="F332">
        <v>20</v>
      </c>
      <c r="G332" s="1">
        <v>59</v>
      </c>
      <c r="H332" s="16">
        <f t="shared" si="192"/>
        <v>12590</v>
      </c>
      <c r="I332">
        <v>100</v>
      </c>
      <c r="J332" s="17">
        <f t="shared" si="193"/>
        <v>10</v>
      </c>
      <c r="K332">
        <v>40</v>
      </c>
      <c r="L332">
        <v>65</v>
      </c>
      <c r="M332" s="17">
        <f t="shared" si="194"/>
        <v>4</v>
      </c>
      <c r="N332" s="17">
        <f t="shared" si="195"/>
        <v>6.5</v>
      </c>
      <c r="O332" s="18">
        <f t="shared" si="196"/>
        <v>0.61538461538461542</v>
      </c>
      <c r="P332">
        <v>40</v>
      </c>
      <c r="Q332">
        <v>65</v>
      </c>
      <c r="R332" s="17">
        <f t="shared" si="197"/>
        <v>4</v>
      </c>
      <c r="S332" s="17">
        <f t="shared" si="198"/>
        <v>6.5</v>
      </c>
      <c r="T332" s="18">
        <f t="shared" si="199"/>
        <v>0.61538461538461542</v>
      </c>
      <c r="U332">
        <v>0</v>
      </c>
      <c r="V332">
        <v>0</v>
      </c>
      <c r="W332" s="17">
        <f t="shared" si="200"/>
        <v>0</v>
      </c>
      <c r="X332" s="17">
        <f t="shared" si="201"/>
        <v>0</v>
      </c>
      <c r="Y332" s="18" t="e">
        <f t="shared" si="202"/>
        <v>#DIV/0!</v>
      </c>
      <c r="Z332">
        <v>20</v>
      </c>
      <c r="AA332">
        <v>23</v>
      </c>
      <c r="AB332" s="17">
        <f t="shared" si="203"/>
        <v>2</v>
      </c>
      <c r="AC332" s="17">
        <f t="shared" si="204"/>
        <v>2.2999999999999998</v>
      </c>
      <c r="AD332" s="18">
        <f t="shared" si="205"/>
        <v>0.86956521739130432</v>
      </c>
      <c r="AE332">
        <v>58</v>
      </c>
      <c r="AF332" s="17">
        <f t="shared" si="206"/>
        <v>5.8</v>
      </c>
      <c r="AG332">
        <v>19</v>
      </c>
      <c r="AH332" s="17">
        <f t="shared" si="207"/>
        <v>1.9</v>
      </c>
      <c r="AI332">
        <v>39</v>
      </c>
      <c r="AJ332" s="17">
        <f t="shared" si="208"/>
        <v>3.9</v>
      </c>
      <c r="AK332">
        <v>9</v>
      </c>
      <c r="AL332" s="17">
        <f t="shared" si="209"/>
        <v>0.9</v>
      </c>
      <c r="AM332">
        <v>4</v>
      </c>
      <c r="AN332" s="17">
        <f t="shared" si="210"/>
        <v>0.4</v>
      </c>
      <c r="AO332">
        <v>16</v>
      </c>
      <c r="AQ332">
        <v>10</v>
      </c>
      <c r="AR332" s="17">
        <f t="shared" si="211"/>
        <v>1</v>
      </c>
      <c r="AS332">
        <v>20</v>
      </c>
      <c r="AT332" s="17">
        <f t="shared" si="212"/>
        <v>2</v>
      </c>
      <c r="BD332" s="65">
        <f t="shared" si="213"/>
        <v>66.560170394036206</v>
      </c>
      <c r="BE332" s="65">
        <f t="shared" si="214"/>
        <v>61.53846153846154</v>
      </c>
      <c r="BF332" s="66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18.854533207985931</v>
      </c>
      <c r="BG332" s="38">
        <f t="shared" si="215"/>
        <v>0</v>
      </c>
      <c r="BH332" s="38">
        <f t="shared" si="216"/>
        <v>0.35384615384615387</v>
      </c>
      <c r="BI332" s="67">
        <f>IFERROR(((AG332*(12000/5))/((F332*60+G332)*(SUMIFS(팀공격력!X:X,팀공격력!A:A,B332,팀공격력!B:B,D332)+SUMIFS(팀수비력!X:X,팀수비력!A:A,B332,팀수비력!B:B,D332))))*100,"")</f>
        <v>5.1890002298636064</v>
      </c>
      <c r="BJ332" s="67">
        <f>IFERROR(((AI332*(12000/5))/((F332*60+G332)*(SUMIFS(팀공격력!V:V,팀공격력!A:A,B332,팀공격력!B:B,D332)+SUMIFS(팀수비력!W:W,팀수비력!A:A,B332,팀수비력!B:B,D332))))*100,"")</f>
        <v>24.536210571017389</v>
      </c>
      <c r="BK332" s="67">
        <f>IFERROR(((AE332*(12000/5))/((F332*60+G332)*(SUMIFS(팀공격력!X:X,팀공격력!A:A,B332,팀공격력!B:B,D332)+SUMIFS(팀수비력!X:X,팀수비력!A:A,B332,팀수비력!B:B,D332))))*100,"")</f>
        <v>15.840105964846799</v>
      </c>
      <c r="BL332" s="67">
        <f>IFERROR(100*AK332/(((((F332*60+G332)/(12000/5))*SUMIFS(팀공격력!P:P,팀공격력!A:A,B332,팀공격력!B:B,D332))-K332)),"")</f>
        <v>6.0677395703703292</v>
      </c>
      <c r="BM332" s="67">
        <f>IFERROR(100*((AM332/E332*(2400))/((F332*60+G332)*SUMIFS(팀공격력!AR:AR,팀공격력!A:A,B332,팀공격력!B:B,D332))),"")</f>
        <v>0.92559645505102939</v>
      </c>
      <c r="BN332" s="67">
        <f>IFERROR((AO332*40)/(((F332*60+G332)/60)*(SUMIFS(팀수비력!Q:Q,팀수비력!A:A,B332,팀수비력!B:B,D332)-SUMIFS(팀수비력!N:N,팀수비력!A:A,B332,팀수비력!B:B,D332)))*100,"")</f>
        <v>6.3942132370204963</v>
      </c>
      <c r="BO332" s="67">
        <f t="shared" si="217"/>
        <v>11.748120300751879</v>
      </c>
      <c r="BT332" t="s">
        <v>89</v>
      </c>
      <c r="BV332" t="s">
        <v>102</v>
      </c>
      <c r="CF332">
        <v>9</v>
      </c>
      <c r="CG332">
        <v>1</v>
      </c>
    </row>
    <row r="333" spans="1:85" x14ac:dyDescent="0.4">
      <c r="A333" s="11" t="s">
        <v>85</v>
      </c>
      <c r="B333" t="s">
        <v>263</v>
      </c>
      <c r="C333" t="s">
        <v>268</v>
      </c>
      <c r="D333" s="46" t="s">
        <v>306</v>
      </c>
      <c r="E333">
        <v>8</v>
      </c>
      <c r="F333">
        <v>3</v>
      </c>
      <c r="G333" s="1">
        <v>51</v>
      </c>
      <c r="H333" s="16">
        <f t="shared" si="192"/>
        <v>1848</v>
      </c>
      <c r="I333">
        <v>10</v>
      </c>
      <c r="J333" s="17">
        <f t="shared" si="193"/>
        <v>1.25</v>
      </c>
      <c r="K333">
        <v>4</v>
      </c>
      <c r="L333">
        <v>9</v>
      </c>
      <c r="M333" s="17">
        <f t="shared" si="194"/>
        <v>0.5</v>
      </c>
      <c r="N333" s="17">
        <f t="shared" si="195"/>
        <v>1.125</v>
      </c>
      <c r="O333" s="18">
        <f t="shared" si="196"/>
        <v>0.44444444444444442</v>
      </c>
      <c r="P333">
        <v>2</v>
      </c>
      <c r="Q333">
        <v>4</v>
      </c>
      <c r="R333" s="17">
        <f t="shared" si="197"/>
        <v>0.25</v>
      </c>
      <c r="S333" s="17">
        <f t="shared" si="198"/>
        <v>0.5</v>
      </c>
      <c r="T333" s="18">
        <f t="shared" si="199"/>
        <v>0.5</v>
      </c>
      <c r="U333">
        <v>2</v>
      </c>
      <c r="V333">
        <v>5</v>
      </c>
      <c r="W333" s="17">
        <f t="shared" si="200"/>
        <v>0.25</v>
      </c>
      <c r="X333" s="17">
        <f t="shared" si="201"/>
        <v>0.625</v>
      </c>
      <c r="Y333" s="18">
        <f t="shared" si="202"/>
        <v>0.4</v>
      </c>
      <c r="Z333">
        <v>0</v>
      </c>
      <c r="AA333">
        <v>0</v>
      </c>
      <c r="AB333" s="17">
        <f t="shared" si="203"/>
        <v>0</v>
      </c>
      <c r="AC333" s="17">
        <f t="shared" si="204"/>
        <v>0</v>
      </c>
      <c r="AD333" s="18" t="e">
        <f t="shared" si="205"/>
        <v>#DIV/0!</v>
      </c>
      <c r="AE333">
        <v>4</v>
      </c>
      <c r="AF333" s="17">
        <f t="shared" si="206"/>
        <v>0.5</v>
      </c>
      <c r="AG333">
        <v>0</v>
      </c>
      <c r="AH333" s="17">
        <f t="shared" si="207"/>
        <v>0</v>
      </c>
      <c r="AI333">
        <v>4</v>
      </c>
      <c r="AJ333" s="17">
        <f t="shared" si="208"/>
        <v>0.5</v>
      </c>
      <c r="AK333">
        <v>3</v>
      </c>
      <c r="AL333" s="17">
        <f t="shared" si="209"/>
        <v>0.375</v>
      </c>
      <c r="AM333">
        <v>0</v>
      </c>
      <c r="AN333" s="17">
        <f t="shared" si="210"/>
        <v>0</v>
      </c>
      <c r="AO333">
        <v>0</v>
      </c>
      <c r="AQ333">
        <v>1</v>
      </c>
      <c r="AR333" s="17">
        <f t="shared" si="211"/>
        <v>0.125</v>
      </c>
      <c r="AS333">
        <v>2</v>
      </c>
      <c r="AT333" s="17">
        <f t="shared" si="212"/>
        <v>0.25</v>
      </c>
      <c r="BD333" s="65">
        <f t="shared" si="213"/>
        <v>55.555555555555557</v>
      </c>
      <c r="BE333" s="65">
        <f t="shared" si="214"/>
        <v>55.555555555555557</v>
      </c>
      <c r="BF333" s="66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12.072519625389715</v>
      </c>
      <c r="BG333" s="38">
        <f t="shared" si="215"/>
        <v>0.55555555555555558</v>
      </c>
      <c r="BH333" s="38">
        <f t="shared" si="216"/>
        <v>0</v>
      </c>
      <c r="BI333" s="67">
        <f>IFERROR(((AG333*(12000/5))/((F333*60+G333)*(SUMIFS(팀공격력!X:X,팀공격력!A:A,B333,팀공격력!B:B,D333)+SUMIFS(팀수비력!X:X,팀수비력!A:A,B333,팀수비력!B:B,D333))))*100,"")</f>
        <v>0</v>
      </c>
      <c r="BJ333" s="67">
        <f>IFERROR(((AI333*(12000/5))/((F333*60+G333)*(SUMIFS(팀공격력!V:V,팀공격력!A:A,B333,팀공격력!B:B,D333)+SUMIFS(팀수비력!W:W,팀수비력!A:A,B333,팀수비력!B:B,D333))))*100,"")</f>
        <v>13.715657280013716</v>
      </c>
      <c r="BK333" s="67">
        <f>IFERROR(((AE333*(12000/5))/((F333*60+G333)*(SUMIFS(팀공격력!X:X,팀공격력!A:A,B333,팀공격력!B:B,D333)+SUMIFS(팀수비력!X:X,팀수비력!A:A,B333,팀수비력!B:B,D333))))*100,"")</f>
        <v>5.9539314553641196</v>
      </c>
      <c r="BL333" s="67">
        <f>IFERROR(100*AK333/(((((F333*60+G333)/(12000/5))*SUMIFS(팀공격력!P:P,팀공격력!A:A,B333,팀공격력!B:B,D333))-K333)),"")</f>
        <v>9.8187620177555939</v>
      </c>
      <c r="BM333" s="67">
        <f>IFERROR(100*((AM333/E333*(2400))/((F333*60+G333)*SUMIFS(팀공격력!AR:AR,팀공격력!A:A,B333,팀공격력!B:B,D333))),"")</f>
        <v>0</v>
      </c>
      <c r="BN333" s="67">
        <f>IFERROR((AO333*40)/(((F333*60+G333)/60)*(SUMIFS(팀수비력!Q:Q,팀수비력!A:A,B333,팀수비력!B:B,D333)-SUMIFS(팀수비력!N:N,팀수비력!A:A,B333,팀수비력!B:B,D333)))*100,"")</f>
        <v>0</v>
      </c>
      <c r="BO333" s="67">
        <f t="shared" si="217"/>
        <v>10</v>
      </c>
      <c r="BT333" t="s">
        <v>89</v>
      </c>
      <c r="BV333" t="s">
        <v>90</v>
      </c>
      <c r="CF333">
        <v>7</v>
      </c>
      <c r="CG333">
        <v>1</v>
      </c>
    </row>
    <row r="334" spans="1:85" x14ac:dyDescent="0.4">
      <c r="A334" s="11" t="s">
        <v>85</v>
      </c>
      <c r="B334" t="s">
        <v>263</v>
      </c>
      <c r="C334" t="s">
        <v>269</v>
      </c>
      <c r="D334" s="46" t="s">
        <v>306</v>
      </c>
      <c r="E334">
        <v>1</v>
      </c>
      <c r="F334">
        <v>3</v>
      </c>
      <c r="G334" s="1">
        <v>46</v>
      </c>
      <c r="H334" s="16">
        <f t="shared" si="192"/>
        <v>226</v>
      </c>
      <c r="I334">
        <v>6</v>
      </c>
      <c r="J334" s="17">
        <f t="shared" si="193"/>
        <v>6</v>
      </c>
      <c r="K334">
        <v>2</v>
      </c>
      <c r="L334">
        <v>2</v>
      </c>
      <c r="M334" s="17">
        <f t="shared" si="194"/>
        <v>2</v>
      </c>
      <c r="N334" s="17">
        <f t="shared" si="195"/>
        <v>2</v>
      </c>
      <c r="O334" s="18">
        <f t="shared" si="196"/>
        <v>1</v>
      </c>
      <c r="P334">
        <v>0</v>
      </c>
      <c r="Q334">
        <v>0</v>
      </c>
      <c r="R334" s="17">
        <f t="shared" si="197"/>
        <v>0</v>
      </c>
      <c r="S334" s="17">
        <f t="shared" si="198"/>
        <v>0</v>
      </c>
      <c r="T334" s="18" t="e">
        <f t="shared" si="199"/>
        <v>#DIV/0!</v>
      </c>
      <c r="U334">
        <v>2</v>
      </c>
      <c r="V334">
        <v>2</v>
      </c>
      <c r="W334" s="17">
        <f t="shared" si="200"/>
        <v>2</v>
      </c>
      <c r="X334" s="17">
        <f t="shared" si="201"/>
        <v>2</v>
      </c>
      <c r="Y334" s="18">
        <f t="shared" si="202"/>
        <v>1</v>
      </c>
      <c r="Z334">
        <v>0</v>
      </c>
      <c r="AA334">
        <v>0</v>
      </c>
      <c r="AB334" s="17">
        <f t="shared" si="203"/>
        <v>0</v>
      </c>
      <c r="AC334" s="17">
        <f t="shared" si="204"/>
        <v>0</v>
      </c>
      <c r="AD334" s="18" t="e">
        <f t="shared" si="205"/>
        <v>#DIV/0!</v>
      </c>
      <c r="AE334">
        <v>0</v>
      </c>
      <c r="AF334" s="17">
        <f t="shared" si="206"/>
        <v>0</v>
      </c>
      <c r="AG334">
        <v>0</v>
      </c>
      <c r="AH334" s="17">
        <f t="shared" si="207"/>
        <v>0</v>
      </c>
      <c r="AI334">
        <v>0</v>
      </c>
      <c r="AJ334" s="17">
        <f t="shared" si="208"/>
        <v>0</v>
      </c>
      <c r="AK334">
        <v>0</v>
      </c>
      <c r="AL334" s="17">
        <f t="shared" si="209"/>
        <v>0</v>
      </c>
      <c r="AM334">
        <v>0</v>
      </c>
      <c r="AN334" s="17">
        <f t="shared" si="210"/>
        <v>0</v>
      </c>
      <c r="AO334">
        <v>0</v>
      </c>
      <c r="AQ334">
        <v>0</v>
      </c>
      <c r="AR334" s="17">
        <f t="shared" si="211"/>
        <v>0</v>
      </c>
      <c r="AS334">
        <v>2</v>
      </c>
      <c r="AT334" s="17">
        <f t="shared" si="212"/>
        <v>2</v>
      </c>
      <c r="BD334" s="65">
        <f t="shared" si="213"/>
        <v>150</v>
      </c>
      <c r="BE334" s="65">
        <f t="shared" si="214"/>
        <v>150</v>
      </c>
      <c r="BF334" s="66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2.4679221535088711</v>
      </c>
      <c r="BG334" s="38">
        <f t="shared" si="215"/>
        <v>1</v>
      </c>
      <c r="BH334" s="38">
        <f t="shared" si="216"/>
        <v>0</v>
      </c>
      <c r="BI334" s="67">
        <f>IFERROR(((AG334*(12000/5))/((F334*60+G334)*(SUMIFS(팀공격력!X:X,팀공격력!A:A,B334,팀공격력!B:B,D334)+SUMIFS(팀수비력!X:X,팀수비력!A:A,B334,팀수비력!B:B,D334))))*100,"")</f>
        <v>0</v>
      </c>
      <c r="BJ334" s="67">
        <f>IFERROR(((AI334*(12000/5))/((F334*60+G334)*(SUMIFS(팀공격력!V:V,팀공격력!A:A,B334,팀공격력!B:B,D334)+SUMIFS(팀수비력!W:W,팀수비력!A:A,B334,팀수비력!B:B,D334))))*100,"")</f>
        <v>0</v>
      </c>
      <c r="BK334" s="67">
        <f>IFERROR(((AE334*(12000/5))/((F334*60+G334)*(SUMIFS(팀공격력!X:X,팀공격력!A:A,B334,팀공격력!B:B,D334)+SUMIFS(팀수비력!X:X,팀수비력!A:A,B334,팀수비력!B:B,D334))))*100,"")</f>
        <v>0</v>
      </c>
      <c r="BL334" s="67">
        <f>IFERROR(100*AK334/(((((F334*60+G334)/(12000/5))*SUMIFS(팀공격력!P:P,팀공격력!A:A,B334,팀공격력!B:B,D334))-K334)),"")</f>
        <v>0</v>
      </c>
      <c r="BM334" s="67">
        <f>IFERROR(100*((AM334/E334*(2400))/((F334*60+G334)*SUMIFS(팀공격력!AR:AR,팀공격력!A:A,B334,팀공격력!B:B,D334))),"")</f>
        <v>0</v>
      </c>
      <c r="BN334" s="67">
        <f>IFERROR((AO334*40)/(((F334*60+G334)/60)*(SUMIFS(팀수비력!Q:Q,팀수비력!A:A,B334,팀수비력!B:B,D334)-SUMIFS(팀수비력!N:N,팀수비력!A:A,B334,팀수비력!B:B,D334)))*100,"")</f>
        <v>0</v>
      </c>
      <c r="BO334" s="67">
        <f t="shared" si="217"/>
        <v>0</v>
      </c>
      <c r="BT334" t="s">
        <v>89</v>
      </c>
      <c r="BV334" t="s">
        <v>93</v>
      </c>
      <c r="CF334">
        <v>1</v>
      </c>
      <c r="CG334">
        <v>0</v>
      </c>
    </row>
    <row r="335" spans="1:85" x14ac:dyDescent="0.4">
      <c r="A335" s="11" t="s">
        <v>85</v>
      </c>
      <c r="B335" t="s">
        <v>263</v>
      </c>
      <c r="C335" t="s">
        <v>272</v>
      </c>
      <c r="D335" s="46" t="s">
        <v>306</v>
      </c>
      <c r="E335">
        <v>10</v>
      </c>
      <c r="F335">
        <v>33</v>
      </c>
      <c r="G335" s="1">
        <v>22</v>
      </c>
      <c r="H335" s="16">
        <f t="shared" si="192"/>
        <v>20020</v>
      </c>
      <c r="I335">
        <v>244</v>
      </c>
      <c r="J335" s="17">
        <f t="shared" si="193"/>
        <v>24.4</v>
      </c>
      <c r="K335">
        <v>92</v>
      </c>
      <c r="L335">
        <v>187</v>
      </c>
      <c r="M335" s="17">
        <f t="shared" si="194"/>
        <v>9.1999999999999993</v>
      </c>
      <c r="N335" s="17">
        <f t="shared" si="195"/>
        <v>18.7</v>
      </c>
      <c r="O335" s="18">
        <f t="shared" si="196"/>
        <v>0.49197860962566847</v>
      </c>
      <c r="P335">
        <v>66</v>
      </c>
      <c r="Q335">
        <v>111</v>
      </c>
      <c r="R335" s="17">
        <f t="shared" si="197"/>
        <v>6.6</v>
      </c>
      <c r="S335" s="17">
        <f t="shared" si="198"/>
        <v>11.1</v>
      </c>
      <c r="T335" s="18">
        <f t="shared" si="199"/>
        <v>0.59459459459459463</v>
      </c>
      <c r="U335">
        <v>26</v>
      </c>
      <c r="V335">
        <v>76</v>
      </c>
      <c r="W335" s="17">
        <f t="shared" si="200"/>
        <v>2.6</v>
      </c>
      <c r="X335" s="17">
        <f t="shared" si="201"/>
        <v>7.6</v>
      </c>
      <c r="Y335" s="18">
        <f t="shared" si="202"/>
        <v>0.34210526315789475</v>
      </c>
      <c r="Z335">
        <v>34</v>
      </c>
      <c r="AA335">
        <v>39</v>
      </c>
      <c r="AB335" s="17">
        <f t="shared" si="203"/>
        <v>3.4</v>
      </c>
      <c r="AC335" s="17">
        <f t="shared" si="204"/>
        <v>3.9</v>
      </c>
      <c r="AD335" s="18">
        <f t="shared" si="205"/>
        <v>0.87179487179487181</v>
      </c>
      <c r="AE335">
        <v>93</v>
      </c>
      <c r="AF335" s="17">
        <f t="shared" si="206"/>
        <v>9.3000000000000007</v>
      </c>
      <c r="AG335">
        <v>18</v>
      </c>
      <c r="AH335" s="17">
        <f t="shared" si="207"/>
        <v>1.8</v>
      </c>
      <c r="AI335">
        <v>75</v>
      </c>
      <c r="AJ335" s="17">
        <f t="shared" si="208"/>
        <v>7.5</v>
      </c>
      <c r="AK335">
        <v>50</v>
      </c>
      <c r="AL335" s="17">
        <f t="shared" si="209"/>
        <v>5</v>
      </c>
      <c r="AM335">
        <v>7</v>
      </c>
      <c r="AN335" s="17">
        <f t="shared" si="210"/>
        <v>0.7</v>
      </c>
      <c r="AO335">
        <v>14</v>
      </c>
      <c r="AQ335">
        <v>16</v>
      </c>
      <c r="AR335" s="17">
        <f t="shared" si="211"/>
        <v>1.6</v>
      </c>
      <c r="AS335">
        <v>20</v>
      </c>
      <c r="AT335" s="17">
        <f t="shared" si="212"/>
        <v>2</v>
      </c>
      <c r="BD335" s="65">
        <f t="shared" si="213"/>
        <v>59.757053291536053</v>
      </c>
      <c r="BE335" s="65">
        <f t="shared" si="214"/>
        <v>56.149732620320862</v>
      </c>
      <c r="BF335" s="66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30.667914469913075</v>
      </c>
      <c r="BG335" s="38">
        <f t="shared" si="215"/>
        <v>0.40641711229946526</v>
      </c>
      <c r="BH335" s="38">
        <f t="shared" si="216"/>
        <v>0.20855614973262032</v>
      </c>
      <c r="BI335" s="67">
        <f>IFERROR(((AG335*(12000/5))/((F335*60+G335)*(SUMIFS(팀공격력!X:X,팀공격력!A:A,B335,팀공격력!B:B,D335)+SUMIFS(팀수비력!X:X,팀수비력!A:A,B335,팀수비력!B:B,D335))))*100,"")</f>
        <v>3.0914644095159853</v>
      </c>
      <c r="BJ335" s="67">
        <f>IFERROR(((AI335*(12000/5))/((F335*60+G335)*(SUMIFS(팀공격력!V:V,팀공격력!A:A,B335,팀공격력!B:B,D335)+SUMIFS(팀수비력!W:W,팀수비력!A:A,B335,팀수비력!B:B,D335))))*100,"")</f>
        <v>29.673297000029674</v>
      </c>
      <c r="BK335" s="67">
        <f>IFERROR(((AE335*(12000/5))/((F335*60+G335)*(SUMIFS(팀공격력!X:X,팀공격력!A:A,B335,팀공격력!B:B,D335)+SUMIFS(팀수비력!X:X,팀수비력!A:A,B335,팀수비력!B:B,D335))))*100,"")</f>
        <v>15.972566115832592</v>
      </c>
      <c r="BL335" s="67">
        <f>IFERROR(100*AK335/(((((F335*60+G335)/(12000/5))*SUMIFS(팀공격력!P:P,팀공격력!A:A,B335,팀공격력!B:B,D335))-K335)),"")</f>
        <v>24.100353873529379</v>
      </c>
      <c r="BM335" s="67">
        <f>IFERROR(100*((AM335/E335*(2400))/((F335*60+G335)*SUMIFS(팀공격력!AR:AR,팀공격력!A:A,B335,팀공격력!B:B,D335))),"")</f>
        <v>1.0186415532423478</v>
      </c>
      <c r="BN335" s="67">
        <f>IFERROR((AO335*40)/(((F335*60+G335)/60)*(SUMIFS(팀수비력!Q:Q,팀수비력!A:A,B335,팀수비력!B:B,D335)-SUMIFS(팀수비력!N:N,팀수비력!A:A,B335,팀수비력!B:B,D335)))*100,"")</f>
        <v>3.5184940845318202</v>
      </c>
      <c r="BO335" s="67">
        <f t="shared" si="217"/>
        <v>7.2674418604651168</v>
      </c>
      <c r="BT335" t="s">
        <v>96</v>
      </c>
      <c r="BV335" t="s">
        <v>93</v>
      </c>
      <c r="CF335">
        <v>9</v>
      </c>
      <c r="CG335">
        <v>1</v>
      </c>
    </row>
    <row r="336" spans="1:85" x14ac:dyDescent="0.4">
      <c r="A336" s="11" t="s">
        <v>85</v>
      </c>
      <c r="B336" t="s">
        <v>263</v>
      </c>
      <c r="C336" t="s">
        <v>273</v>
      </c>
      <c r="D336" s="46" t="s">
        <v>306</v>
      </c>
      <c r="E336">
        <v>2</v>
      </c>
      <c r="F336">
        <v>9</v>
      </c>
      <c r="G336" s="1">
        <v>30</v>
      </c>
      <c r="H336" s="16">
        <f t="shared" si="192"/>
        <v>1140</v>
      </c>
      <c r="I336">
        <v>9</v>
      </c>
      <c r="J336" s="17">
        <f t="shared" si="193"/>
        <v>4.5</v>
      </c>
      <c r="K336">
        <v>4</v>
      </c>
      <c r="L336">
        <v>5</v>
      </c>
      <c r="M336" s="17">
        <f t="shared" si="194"/>
        <v>2</v>
      </c>
      <c r="N336" s="17">
        <f t="shared" si="195"/>
        <v>2.5</v>
      </c>
      <c r="O336" s="18">
        <f t="shared" si="196"/>
        <v>0.8</v>
      </c>
      <c r="P336">
        <v>3</v>
      </c>
      <c r="Q336">
        <v>4</v>
      </c>
      <c r="R336" s="17">
        <f t="shared" si="197"/>
        <v>1.5</v>
      </c>
      <c r="S336" s="17">
        <f t="shared" si="198"/>
        <v>2</v>
      </c>
      <c r="T336" s="18">
        <f t="shared" si="199"/>
        <v>0.75</v>
      </c>
      <c r="U336">
        <v>1</v>
      </c>
      <c r="V336">
        <v>1</v>
      </c>
      <c r="W336" s="17">
        <f t="shared" si="200"/>
        <v>0.5</v>
      </c>
      <c r="X336" s="17">
        <f t="shared" si="201"/>
        <v>0.5</v>
      </c>
      <c r="Y336" s="18">
        <f t="shared" si="202"/>
        <v>1</v>
      </c>
      <c r="Z336">
        <v>0</v>
      </c>
      <c r="AA336">
        <v>0</v>
      </c>
      <c r="AB336" s="17">
        <f t="shared" si="203"/>
        <v>0</v>
      </c>
      <c r="AC336" s="17">
        <f t="shared" si="204"/>
        <v>0</v>
      </c>
      <c r="AD336" s="18" t="e">
        <f t="shared" si="205"/>
        <v>#DIV/0!</v>
      </c>
      <c r="AE336">
        <v>3</v>
      </c>
      <c r="AF336" s="17">
        <f t="shared" si="206"/>
        <v>1.5</v>
      </c>
      <c r="AG336">
        <v>0</v>
      </c>
      <c r="AH336" s="17">
        <f t="shared" si="207"/>
        <v>0</v>
      </c>
      <c r="AI336">
        <v>3</v>
      </c>
      <c r="AJ336" s="17">
        <f t="shared" si="208"/>
        <v>1.5</v>
      </c>
      <c r="AK336">
        <v>4</v>
      </c>
      <c r="AL336" s="17">
        <f t="shared" si="209"/>
        <v>2</v>
      </c>
      <c r="AM336">
        <v>0</v>
      </c>
      <c r="AN336" s="17">
        <f t="shared" si="210"/>
        <v>0</v>
      </c>
      <c r="AO336">
        <v>0</v>
      </c>
      <c r="AQ336">
        <v>1</v>
      </c>
      <c r="AR336" s="17">
        <f t="shared" si="211"/>
        <v>0.5</v>
      </c>
      <c r="AS336">
        <v>2</v>
      </c>
      <c r="AT336" s="17">
        <f t="shared" si="212"/>
        <v>1</v>
      </c>
      <c r="BD336" s="65">
        <f t="shared" si="213"/>
        <v>90</v>
      </c>
      <c r="BE336" s="65">
        <f t="shared" si="214"/>
        <v>90</v>
      </c>
      <c r="BF336" s="66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2.935528456278973</v>
      </c>
      <c r="BG336" s="38">
        <f t="shared" si="215"/>
        <v>0.2</v>
      </c>
      <c r="BH336" s="38">
        <f t="shared" si="216"/>
        <v>0</v>
      </c>
      <c r="BI336" s="67">
        <f>IFERROR(((AG336*(12000/5))/((F336*60+G336)*(SUMIFS(팀공격력!X:X,팀공격력!A:A,B336,팀공격력!B:B,D336)+SUMIFS(팀수비력!X:X,팀수비력!A:A,B336,팀수비력!B:B,D336))))*100,"")</f>
        <v>0</v>
      </c>
      <c r="BJ336" s="67">
        <f>IFERROR(((AI336*(12000/5))/((F336*60+G336)*(SUMIFS(팀공격력!V:V,팀공격력!A:A,B336,팀공격력!B:B,D336)+SUMIFS(팀수비력!W:W,팀수비력!A:A,B336,팀수비력!B:B,D336))))*100,"")</f>
        <v>4.1688379364252217</v>
      </c>
      <c r="BK336" s="67">
        <f>IFERROR(((AE336*(12000/5))/((F336*60+G336)*(SUMIFS(팀공격력!X:X,팀공격력!A:A,B336,팀공격력!B:B,D336)+SUMIFS(팀수비력!X:X,팀수비력!A:A,B336,팀수비력!B:B,D336))))*100,"")</f>
        <v>1.8096817976172523</v>
      </c>
      <c r="BL336" s="67">
        <f>IFERROR(100*AK336/(((((F336*60+G336)/(12000/5))*SUMIFS(팀공격력!P:P,팀공격력!A:A,B336,팀공격력!B:B,D336))-K336)),"")</f>
        <v>4.9223196431318259</v>
      </c>
      <c r="BM336" s="67">
        <f>IFERROR(100*((AM336/E336*(2400))/((F336*60+G336)*SUMIFS(팀공격력!AR:AR,팀공격력!A:A,B336,팀공격력!B:B,D336))),"")</f>
        <v>0</v>
      </c>
      <c r="BN336" s="67">
        <f>IFERROR((AO336*40)/(((F336*60+G336)/60)*(SUMIFS(팀수비력!Q:Q,팀수비력!A:A,B336,팀수비력!B:B,D336)-SUMIFS(팀수비력!N:N,팀수비력!A:A,B336,팀수비력!B:B,D336)))*100,"")</f>
        <v>0</v>
      </c>
      <c r="BO336" s="67">
        <f t="shared" si="217"/>
        <v>16.666666666666668</v>
      </c>
      <c r="BT336" t="s">
        <v>89</v>
      </c>
      <c r="BV336" t="s">
        <v>90</v>
      </c>
      <c r="CF336">
        <v>2</v>
      </c>
      <c r="CG336">
        <v>0</v>
      </c>
    </row>
    <row r="337" spans="1:85" x14ac:dyDescent="0.4">
      <c r="A337" s="11" t="s">
        <v>85</v>
      </c>
      <c r="B337" t="s">
        <v>263</v>
      </c>
      <c r="C337" t="s">
        <v>274</v>
      </c>
      <c r="D337" s="46" t="s">
        <v>306</v>
      </c>
      <c r="E337">
        <v>10</v>
      </c>
      <c r="F337">
        <v>19</v>
      </c>
      <c r="G337" s="1">
        <v>31</v>
      </c>
      <c r="H337" s="16">
        <f t="shared" si="192"/>
        <v>11710</v>
      </c>
      <c r="I337">
        <v>74</v>
      </c>
      <c r="J337" s="17">
        <f t="shared" si="193"/>
        <v>7.4</v>
      </c>
      <c r="K337">
        <v>27</v>
      </c>
      <c r="L337">
        <v>56</v>
      </c>
      <c r="M337" s="17">
        <f t="shared" si="194"/>
        <v>2.7</v>
      </c>
      <c r="N337" s="17">
        <f t="shared" si="195"/>
        <v>5.6</v>
      </c>
      <c r="O337" s="18">
        <f t="shared" si="196"/>
        <v>0.48214285714285715</v>
      </c>
      <c r="P337">
        <v>12</v>
      </c>
      <c r="Q337">
        <v>22</v>
      </c>
      <c r="R337" s="17">
        <f t="shared" si="197"/>
        <v>1.2</v>
      </c>
      <c r="S337" s="17">
        <f t="shared" si="198"/>
        <v>2.2000000000000002</v>
      </c>
      <c r="T337" s="18">
        <f t="shared" si="199"/>
        <v>0.54545454545454541</v>
      </c>
      <c r="U337">
        <v>15</v>
      </c>
      <c r="V337">
        <v>34</v>
      </c>
      <c r="W337" s="17">
        <f t="shared" si="200"/>
        <v>1.5</v>
      </c>
      <c r="X337" s="17">
        <f t="shared" si="201"/>
        <v>3.4</v>
      </c>
      <c r="Y337" s="18">
        <f t="shared" si="202"/>
        <v>0.44117647058823528</v>
      </c>
      <c r="Z337">
        <v>5</v>
      </c>
      <c r="AA337">
        <v>6</v>
      </c>
      <c r="AB337" s="17">
        <f t="shared" si="203"/>
        <v>0.5</v>
      </c>
      <c r="AC337" s="17">
        <f t="shared" si="204"/>
        <v>0.6</v>
      </c>
      <c r="AD337" s="18">
        <f t="shared" si="205"/>
        <v>0.83333333333333337</v>
      </c>
      <c r="AE337">
        <v>19</v>
      </c>
      <c r="AF337" s="17">
        <f t="shared" si="206"/>
        <v>1.9</v>
      </c>
      <c r="AG337">
        <v>6</v>
      </c>
      <c r="AH337" s="17">
        <f t="shared" si="207"/>
        <v>0.6</v>
      </c>
      <c r="AI337">
        <v>13</v>
      </c>
      <c r="AJ337" s="17">
        <f t="shared" si="208"/>
        <v>1.3</v>
      </c>
      <c r="AK337">
        <v>9</v>
      </c>
      <c r="AL337" s="17">
        <f t="shared" si="209"/>
        <v>0.9</v>
      </c>
      <c r="AM337">
        <v>5</v>
      </c>
      <c r="AN337" s="17">
        <f t="shared" si="210"/>
        <v>0.5</v>
      </c>
      <c r="AO337">
        <v>0</v>
      </c>
      <c r="AQ337">
        <v>7</v>
      </c>
      <c r="AR337" s="17">
        <f t="shared" si="211"/>
        <v>0.7</v>
      </c>
      <c r="AS337">
        <v>19</v>
      </c>
      <c r="AT337" s="17">
        <f t="shared" si="212"/>
        <v>1.9</v>
      </c>
      <c r="BD337" s="65">
        <f t="shared" si="213"/>
        <v>63.096862210095495</v>
      </c>
      <c r="BE337" s="65">
        <f t="shared" si="214"/>
        <v>61.607142857142861</v>
      </c>
      <c r="BF337" s="66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15.632253072300957</v>
      </c>
      <c r="BG337" s="38">
        <f t="shared" si="215"/>
        <v>0.6071428571428571</v>
      </c>
      <c r="BH337" s="38">
        <f t="shared" si="216"/>
        <v>0.10714285714285714</v>
      </c>
      <c r="BI337" s="67">
        <f>IFERROR(((AG337*(12000/5))/((F337*60+G337)*(SUMIFS(팀공격력!X:X,팀공격력!A:A,B337,팀공격력!B:B,D337)+SUMIFS(팀수비력!X:X,팀수비력!A:A,B337,팀수비력!B:B,D337))))*100,"")</f>
        <v>1.7617739105752928</v>
      </c>
      <c r="BJ337" s="67">
        <f>IFERROR(((AI337*(12000/5))/((F337*60+G337)*(SUMIFS(팀공격력!V:V,팀공격력!A:A,B337,팀공격력!B:B,D337)+SUMIFS(팀수비력!W:W,팀수비력!A:A,B337,팀수비력!B:B,D337))))*100,"")</f>
        <v>8.793364391947307</v>
      </c>
      <c r="BK337" s="67">
        <f>IFERROR(((AE337*(12000/5))/((F337*60+G337)*(SUMIFS(팀공격력!X:X,팀공격력!A:A,B337,팀공격력!B:B,D337)+SUMIFS(팀수비력!X:X,팀수비력!A:A,B337,팀수비력!B:B,D337))))*100,"")</f>
        <v>5.57895071682176</v>
      </c>
      <c r="BL337" s="67">
        <f>IFERROR(100*AK337/(((((F337*60+G337)/(12000/5))*SUMIFS(팀공격력!P:P,팀공격력!A:A,B337,팀공격력!B:B,D337))-K337)),"")</f>
        <v>6.0744286240575498</v>
      </c>
      <c r="BM337" s="67">
        <f>IFERROR(100*((AM337/E337*(2400))/((F337*60+G337)*SUMIFS(팀공격력!AR:AR,팀공격력!A:A,B337,팀공격력!B:B,D337))),"")</f>
        <v>1.2439431435837383</v>
      </c>
      <c r="BN337" s="67">
        <f>IFERROR((AO337*40)/(((F337*60+G337)/60)*(SUMIFS(팀수비력!Q:Q,팀수비력!A:A,B337,팀수비력!B:B,D337)-SUMIFS(팀수비력!N:N,팀수비력!A:A,B337,팀수비력!B:B,D337)))*100,"")</f>
        <v>0</v>
      </c>
      <c r="BO337" s="67">
        <f t="shared" si="217"/>
        <v>10.664229128580134</v>
      </c>
      <c r="BT337" t="s">
        <v>89</v>
      </c>
      <c r="BV337" t="s">
        <v>93</v>
      </c>
      <c r="CF337">
        <v>9</v>
      </c>
      <c r="CG337">
        <v>1</v>
      </c>
    </row>
    <row r="338" spans="1:85" x14ac:dyDescent="0.4">
      <c r="A338" s="11" t="s">
        <v>85</v>
      </c>
      <c r="B338" t="s">
        <v>263</v>
      </c>
      <c r="C338" t="s">
        <v>275</v>
      </c>
      <c r="D338" s="46" t="s">
        <v>306</v>
      </c>
      <c r="E338">
        <v>6</v>
      </c>
      <c r="F338">
        <v>6</v>
      </c>
      <c r="G338" s="1">
        <v>23</v>
      </c>
      <c r="H338" s="16">
        <f t="shared" si="192"/>
        <v>2298</v>
      </c>
      <c r="I338">
        <v>19</v>
      </c>
      <c r="J338" s="17">
        <f t="shared" si="193"/>
        <v>3.1666666666666665</v>
      </c>
      <c r="K338">
        <v>7</v>
      </c>
      <c r="L338">
        <v>18</v>
      </c>
      <c r="M338" s="17">
        <f t="shared" si="194"/>
        <v>1.1666666666666667</v>
      </c>
      <c r="N338" s="17">
        <f t="shared" si="195"/>
        <v>3</v>
      </c>
      <c r="O338" s="18">
        <f t="shared" si="196"/>
        <v>0.3888888888888889</v>
      </c>
      <c r="P338">
        <v>2</v>
      </c>
      <c r="Q338">
        <v>6</v>
      </c>
      <c r="R338" s="17">
        <f t="shared" si="197"/>
        <v>0.33333333333333331</v>
      </c>
      <c r="S338" s="17">
        <f t="shared" si="198"/>
        <v>1</v>
      </c>
      <c r="T338" s="18">
        <f t="shared" si="199"/>
        <v>0.33333333333333331</v>
      </c>
      <c r="U338">
        <v>5</v>
      </c>
      <c r="V338">
        <v>12</v>
      </c>
      <c r="W338" s="17">
        <f t="shared" si="200"/>
        <v>0.83333333333333337</v>
      </c>
      <c r="X338" s="17">
        <f t="shared" si="201"/>
        <v>2</v>
      </c>
      <c r="Y338" s="18">
        <f t="shared" si="202"/>
        <v>0.41666666666666669</v>
      </c>
      <c r="Z338">
        <v>0</v>
      </c>
      <c r="AA338">
        <v>0</v>
      </c>
      <c r="AB338" s="17">
        <f t="shared" si="203"/>
        <v>0</v>
      </c>
      <c r="AC338" s="17">
        <f t="shared" si="204"/>
        <v>0</v>
      </c>
      <c r="AD338" s="18" t="e">
        <f t="shared" si="205"/>
        <v>#DIV/0!</v>
      </c>
      <c r="AE338">
        <v>2</v>
      </c>
      <c r="AF338" s="17">
        <f t="shared" si="206"/>
        <v>0.33333333333333331</v>
      </c>
      <c r="AG338">
        <v>1</v>
      </c>
      <c r="AH338" s="17">
        <f t="shared" si="207"/>
        <v>0.16666666666666666</v>
      </c>
      <c r="AI338">
        <v>1</v>
      </c>
      <c r="AJ338" s="17">
        <f t="shared" si="208"/>
        <v>0.16666666666666666</v>
      </c>
      <c r="AK338">
        <v>3</v>
      </c>
      <c r="AL338" s="17">
        <f t="shared" si="209"/>
        <v>0.5</v>
      </c>
      <c r="AM338">
        <v>0</v>
      </c>
      <c r="AN338" s="17">
        <f t="shared" si="210"/>
        <v>0</v>
      </c>
      <c r="AO338">
        <v>1</v>
      </c>
      <c r="AQ338">
        <v>2</v>
      </c>
      <c r="AR338" s="17">
        <f t="shared" si="211"/>
        <v>0.33333333333333331</v>
      </c>
      <c r="AS338">
        <v>5</v>
      </c>
      <c r="AT338" s="17">
        <f t="shared" si="212"/>
        <v>0.83333333333333337</v>
      </c>
      <c r="BD338" s="65">
        <f t="shared" si="213"/>
        <v>52.777777777777779</v>
      </c>
      <c r="BE338" s="65">
        <f t="shared" si="214"/>
        <v>52.777777777777779</v>
      </c>
      <c r="BF338" s="66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14.562673803994906</v>
      </c>
      <c r="BG338" s="38">
        <f t="shared" si="215"/>
        <v>0.66666666666666663</v>
      </c>
      <c r="BH338" s="38">
        <f t="shared" si="216"/>
        <v>0</v>
      </c>
      <c r="BI338" s="67">
        <f>IFERROR(((AG338*(12000/5))/((F338*60+G338)*(SUMIFS(팀공격력!X:X,팀공격력!A:A,B338,팀공격력!B:B,D338)+SUMIFS(팀수비력!X:X,팀수비력!A:A,B338,팀수비력!B:B,D338))))*100,"")</f>
        <v>0.89775337218610429</v>
      </c>
      <c r="BJ338" s="67">
        <f>IFERROR(((AI338*(12000/5))/((F338*60+G338)*(SUMIFS(팀공격력!V:V,팀공격력!A:A,B338,팀공격력!B:B,D338)+SUMIFS(팀수비력!W:W,팀수비력!A:A,B338,팀수비력!B:B,D338))))*100,"")</f>
        <v>2.0680919266861411</v>
      </c>
      <c r="BK338" s="67">
        <f>IFERROR(((AE338*(12000/5))/((F338*60+G338)*(SUMIFS(팀공격력!X:X,팀공격력!A:A,B338,팀공격력!B:B,D338)+SUMIFS(팀수비력!X:X,팀수비력!A:A,B338,팀수비력!B:B,D338))))*100,"")</f>
        <v>1.7955067443722086</v>
      </c>
      <c r="BL338" s="67">
        <f>IFERROR(100*AK338/(((((F338*60+G338)/(12000/5))*SUMIFS(팀공격력!P:P,팀공격력!A:A,B338,팀공격력!B:B,D338))-K338)),"")</f>
        <v>5.9653512514809819</v>
      </c>
      <c r="BM338" s="67">
        <f>IFERROR(100*((AM338/E338*(2400))/((F338*60+G338)*SUMIFS(팀공격력!AR:AR,팀공격력!A:A,B338,팀공격력!B:B,D338))),"")</f>
        <v>0</v>
      </c>
      <c r="BN338" s="67">
        <f>IFERROR((AO338*40)/(((F338*60+G338)/60)*(SUMIFS(팀수비력!Q:Q,팀수비력!A:A,B338,팀수비력!B:B,D338)-SUMIFS(팀수비력!N:N,팀수비력!A:A,B338,팀수비력!B:B,D338)))*100,"")</f>
        <v>1.3136936138069197</v>
      </c>
      <c r="BO338" s="67">
        <f t="shared" si="217"/>
        <v>10</v>
      </c>
      <c r="BT338" t="s">
        <v>89</v>
      </c>
      <c r="BV338" t="s">
        <v>90</v>
      </c>
      <c r="CF338">
        <v>5</v>
      </c>
      <c r="CG338">
        <v>1</v>
      </c>
    </row>
    <row r="339" spans="1:85" x14ac:dyDescent="0.4">
      <c r="A339" s="11" t="s">
        <v>85</v>
      </c>
      <c r="B339" t="s">
        <v>263</v>
      </c>
      <c r="C339" t="s">
        <v>276</v>
      </c>
      <c r="D339" s="46" t="s">
        <v>306</v>
      </c>
      <c r="E339">
        <v>10</v>
      </c>
      <c r="F339">
        <v>12</v>
      </c>
      <c r="G339" s="1">
        <v>22</v>
      </c>
      <c r="H339" s="16">
        <f t="shared" si="192"/>
        <v>7420</v>
      </c>
      <c r="I339">
        <v>48</v>
      </c>
      <c r="J339" s="17">
        <f t="shared" si="193"/>
        <v>4.8</v>
      </c>
      <c r="K339">
        <v>20</v>
      </c>
      <c r="L339">
        <v>35</v>
      </c>
      <c r="M339" s="17">
        <f t="shared" si="194"/>
        <v>2</v>
      </c>
      <c r="N339" s="17">
        <f t="shared" si="195"/>
        <v>3.5</v>
      </c>
      <c r="O339" s="18">
        <f t="shared" si="196"/>
        <v>0.5714285714285714</v>
      </c>
      <c r="P339">
        <v>15</v>
      </c>
      <c r="Q339">
        <v>19</v>
      </c>
      <c r="R339" s="17">
        <f t="shared" si="197"/>
        <v>1.5</v>
      </c>
      <c r="S339" s="17">
        <f t="shared" si="198"/>
        <v>1.9</v>
      </c>
      <c r="T339" s="18">
        <f t="shared" si="199"/>
        <v>0.78947368421052633</v>
      </c>
      <c r="U339">
        <v>5</v>
      </c>
      <c r="V339">
        <v>16</v>
      </c>
      <c r="W339" s="17">
        <f t="shared" si="200"/>
        <v>0.5</v>
      </c>
      <c r="X339" s="17">
        <f t="shared" si="201"/>
        <v>1.6</v>
      </c>
      <c r="Y339" s="18">
        <f t="shared" si="202"/>
        <v>0.3125</v>
      </c>
      <c r="Z339">
        <v>3</v>
      </c>
      <c r="AA339">
        <v>6</v>
      </c>
      <c r="AB339" s="17">
        <f t="shared" si="203"/>
        <v>0.3</v>
      </c>
      <c r="AC339" s="17">
        <f t="shared" si="204"/>
        <v>0.6</v>
      </c>
      <c r="AD339" s="18">
        <f t="shared" si="205"/>
        <v>0.5</v>
      </c>
      <c r="AE339">
        <v>29</v>
      </c>
      <c r="AF339" s="17">
        <f t="shared" si="206"/>
        <v>2.9</v>
      </c>
      <c r="AG339">
        <v>10</v>
      </c>
      <c r="AH339" s="17">
        <f t="shared" si="207"/>
        <v>1</v>
      </c>
      <c r="AI339">
        <v>19</v>
      </c>
      <c r="AJ339" s="17">
        <f t="shared" si="208"/>
        <v>1.9</v>
      </c>
      <c r="AK339">
        <v>6</v>
      </c>
      <c r="AL339" s="17">
        <f t="shared" si="209"/>
        <v>0.6</v>
      </c>
      <c r="AM339">
        <v>3</v>
      </c>
      <c r="AN339" s="17">
        <f t="shared" si="210"/>
        <v>0.3</v>
      </c>
      <c r="AO339">
        <v>0</v>
      </c>
      <c r="AQ339">
        <v>6</v>
      </c>
      <c r="AR339" s="17">
        <f t="shared" si="211"/>
        <v>0.6</v>
      </c>
      <c r="AS339">
        <v>17</v>
      </c>
      <c r="AT339" s="17">
        <f t="shared" si="212"/>
        <v>1.7</v>
      </c>
      <c r="BD339" s="65">
        <f t="shared" si="213"/>
        <v>63.761955366631241</v>
      </c>
      <c r="BE339" s="65">
        <f t="shared" si="214"/>
        <v>64.285714285714292</v>
      </c>
      <c r="BF339" s="66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16.401770719732298</v>
      </c>
      <c r="BG339" s="38">
        <f t="shared" si="215"/>
        <v>0.45714285714285713</v>
      </c>
      <c r="BH339" s="38">
        <f t="shared" si="216"/>
        <v>0.17142857142857143</v>
      </c>
      <c r="BI339" s="67">
        <f>IFERROR(((AG339*(12000/5))/((F339*60+G339)*(SUMIFS(팀공격력!X:X,팀공격력!A:A,B339,팀공격력!B:B,D339)+SUMIFS(팀수비력!X:X,팀수비력!A:A,B339,팀수비력!B:B,D339))))*100,"")</f>
        <v>4.6339560855428292</v>
      </c>
      <c r="BJ339" s="67">
        <f>IFERROR(((AI339*(12000/5))/((F339*60+G339)*(SUMIFS(팀공격력!V:V,팀공격력!A:A,B339,팀공격력!B:B,D339)+SUMIFS(팀수비력!W:W,팀수비력!A:A,B339,팀수비력!B:B,D339))))*100,"")</f>
        <v>20.282351685303301</v>
      </c>
      <c r="BK339" s="67">
        <f>IFERROR(((AE339*(12000/5))/((F339*60+G339)*(SUMIFS(팀공격력!X:X,팀공격력!A:A,B339,팀공격력!B:B,D339)+SUMIFS(팀수비력!X:X,팀수비력!A:A,B339,팀수비력!B:B,D339))))*100,"")</f>
        <v>13.438472648074203</v>
      </c>
      <c r="BL339" s="67">
        <f>IFERROR(100*AK339/(((((F339*60+G339)/(12000/5))*SUMIFS(팀공격력!P:P,팀공격력!A:A,B339,팀공격력!B:B,D339))-K339)),"")</f>
        <v>6.5940708313108471</v>
      </c>
      <c r="BM339" s="67">
        <f>IFERROR(100*((AM339/E339*(2400))/((F339*60+G339)*SUMIFS(팀공격력!AR:AR,팀공격력!A:A,B339,팀공격력!B:B,D339))),"")</f>
        <v>1.1778900979540896</v>
      </c>
      <c r="BN339" s="67">
        <f>IFERROR((AO339*40)/(((F339*60+G339)/60)*(SUMIFS(팀수비력!Q:Q,팀수비력!A:A,B339,팀수비력!B:B,D339)-SUMIFS(팀수비력!N:N,팀수비력!A:A,B339,팀수비력!B:B,D339)))*100,"")</f>
        <v>0</v>
      </c>
      <c r="BO339" s="67">
        <f t="shared" si="217"/>
        <v>13.748854262144821</v>
      </c>
      <c r="BT339" t="s">
        <v>89</v>
      </c>
      <c r="BV339" t="s">
        <v>93</v>
      </c>
      <c r="CF339">
        <v>9</v>
      </c>
      <c r="CG339">
        <v>1</v>
      </c>
    </row>
    <row r="340" spans="1:85" x14ac:dyDescent="0.4">
      <c r="A340" s="11" t="s">
        <v>85</v>
      </c>
      <c r="B340" t="s">
        <v>263</v>
      </c>
      <c r="C340" t="s">
        <v>278</v>
      </c>
      <c r="D340" s="46" t="s">
        <v>306</v>
      </c>
      <c r="E340">
        <v>10</v>
      </c>
      <c r="F340">
        <v>32</v>
      </c>
      <c r="G340" s="1">
        <v>44</v>
      </c>
      <c r="H340" s="16">
        <f t="shared" si="192"/>
        <v>19640</v>
      </c>
      <c r="I340">
        <v>163</v>
      </c>
      <c r="J340" s="17">
        <f t="shared" si="193"/>
        <v>16.3</v>
      </c>
      <c r="K340">
        <v>60</v>
      </c>
      <c r="L340">
        <v>119</v>
      </c>
      <c r="M340" s="17">
        <f t="shared" si="194"/>
        <v>6</v>
      </c>
      <c r="N340" s="17">
        <f t="shared" si="195"/>
        <v>11.9</v>
      </c>
      <c r="O340" s="18">
        <f t="shared" si="196"/>
        <v>0.50420168067226889</v>
      </c>
      <c r="P340">
        <v>46</v>
      </c>
      <c r="Q340">
        <v>85</v>
      </c>
      <c r="R340" s="17">
        <f t="shared" si="197"/>
        <v>4.5999999999999996</v>
      </c>
      <c r="S340" s="17">
        <f t="shared" si="198"/>
        <v>8.5</v>
      </c>
      <c r="T340" s="18">
        <f t="shared" si="199"/>
        <v>0.54117647058823526</v>
      </c>
      <c r="U340">
        <v>14</v>
      </c>
      <c r="V340">
        <v>34</v>
      </c>
      <c r="W340" s="17">
        <f t="shared" si="200"/>
        <v>1.4</v>
      </c>
      <c r="X340" s="17">
        <f t="shared" si="201"/>
        <v>3.4</v>
      </c>
      <c r="Y340" s="18">
        <f t="shared" si="202"/>
        <v>0.41176470588235292</v>
      </c>
      <c r="Z340">
        <v>29</v>
      </c>
      <c r="AA340">
        <v>38</v>
      </c>
      <c r="AB340" s="17">
        <f t="shared" si="203"/>
        <v>2.9</v>
      </c>
      <c r="AC340" s="17">
        <f t="shared" si="204"/>
        <v>3.8</v>
      </c>
      <c r="AD340" s="18">
        <f t="shared" si="205"/>
        <v>0.76315789473684215</v>
      </c>
      <c r="AE340">
        <v>29</v>
      </c>
      <c r="AF340" s="17">
        <f t="shared" si="206"/>
        <v>2.9</v>
      </c>
      <c r="AG340">
        <v>7</v>
      </c>
      <c r="AH340" s="17">
        <f t="shared" si="207"/>
        <v>0.7</v>
      </c>
      <c r="AI340">
        <v>22</v>
      </c>
      <c r="AJ340" s="17">
        <f t="shared" si="208"/>
        <v>2.2000000000000002</v>
      </c>
      <c r="AK340">
        <v>73</v>
      </c>
      <c r="AL340" s="17">
        <f t="shared" si="209"/>
        <v>7.3</v>
      </c>
      <c r="AM340">
        <v>21</v>
      </c>
      <c r="AN340" s="17">
        <f t="shared" si="210"/>
        <v>2.1</v>
      </c>
      <c r="AO340">
        <v>2</v>
      </c>
      <c r="AQ340">
        <v>25</v>
      </c>
      <c r="AR340" s="17">
        <f t="shared" si="211"/>
        <v>2.5</v>
      </c>
      <c r="AS340">
        <v>26</v>
      </c>
      <c r="AT340" s="17">
        <f t="shared" si="212"/>
        <v>2.6</v>
      </c>
      <c r="BD340" s="65">
        <f t="shared" si="213"/>
        <v>60.050103153551426</v>
      </c>
      <c r="BE340" s="65">
        <f t="shared" si="214"/>
        <v>56.30252100840336</v>
      </c>
      <c r="BF340" s="66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22.821192811532519</v>
      </c>
      <c r="BG340" s="38">
        <f t="shared" si="215"/>
        <v>0.2857142857142857</v>
      </c>
      <c r="BH340" s="38">
        <f t="shared" si="216"/>
        <v>0.31932773109243695</v>
      </c>
      <c r="BI340" s="67">
        <f>IFERROR(((AG340*(12000/5))/((F340*60+G340)*(SUMIFS(팀공격력!X:X,팀공격력!A:A,B340,팀공격력!B:B,D340)+SUMIFS(팀수비력!X:X,팀수비력!A:A,B340,팀수비력!B:B,D340))))*100,"")</f>
        <v>1.2254973476735975</v>
      </c>
      <c r="BJ340" s="67">
        <f>IFERROR(((AI340*(12000/5))/((F340*60+G340)*(SUMIFS(팀공격력!V:V,팀공격력!A:A,B340,팀공격력!B:B,D340)+SUMIFS(팀수비력!W:W,팀수비력!A:A,B340,팀수비력!B:B,D340))))*100,"")</f>
        <v>8.872577685467121</v>
      </c>
      <c r="BK340" s="67">
        <f>IFERROR(((AE340*(12000/5))/((F340*60+G340)*(SUMIFS(팀공격력!X:X,팀공격력!A:A,B340,팀공격력!B:B,D340)+SUMIFS(팀수비력!X:X,팀수비력!A:A,B340,팀수비력!B:B,D340))))*100,"")</f>
        <v>5.0770604403620467</v>
      </c>
      <c r="BL340" s="67">
        <f>IFERROR(100*AK340/(((((F340*60+G340)/(12000/5))*SUMIFS(팀공격력!P:P,팀공격력!A:A,B340,팀공격력!B:B,D340))-K340)),"")</f>
        <v>31.225716302247822</v>
      </c>
      <c r="BM340" s="67">
        <f>IFERROR(100*((AM340/E340*(2400))/((F340*60+G340)*SUMIFS(팀공격력!AR:AR,팀공격력!A:A,B340,팀공격력!B:B,D340))),"")</f>
        <v>3.1150515115954893</v>
      </c>
      <c r="BN340" s="67">
        <f>IFERROR((AO340*40)/(((F340*60+G340)/60)*(SUMIFS(팀수비력!Q:Q,팀수비력!A:A,B340,팀수비력!B:B,D340)-SUMIFS(팀수비력!N:N,팀수비력!A:A,B340,팀수비력!B:B,D340)))*100,"")</f>
        <v>0.51236726485544837</v>
      </c>
      <c r="BO340" s="67">
        <f t="shared" si="217"/>
        <v>15.555002488800397</v>
      </c>
      <c r="BT340" t="s">
        <v>113</v>
      </c>
      <c r="BV340" t="s">
        <v>90</v>
      </c>
      <c r="CF340">
        <v>9</v>
      </c>
      <c r="CG340">
        <v>1</v>
      </c>
    </row>
    <row r="341" spans="1:85" x14ac:dyDescent="0.4">
      <c r="A341" s="11" t="s">
        <v>85</v>
      </c>
      <c r="B341" t="s">
        <v>263</v>
      </c>
      <c r="C341" t="s">
        <v>280</v>
      </c>
      <c r="D341" s="46" t="s">
        <v>306</v>
      </c>
      <c r="E341">
        <v>1</v>
      </c>
      <c r="F341">
        <v>0</v>
      </c>
      <c r="G341" s="1">
        <v>45</v>
      </c>
      <c r="H341" s="16">
        <f t="shared" si="192"/>
        <v>45</v>
      </c>
      <c r="I341">
        <v>0</v>
      </c>
      <c r="J341" s="17">
        <f t="shared" si="193"/>
        <v>0</v>
      </c>
      <c r="K341">
        <v>0</v>
      </c>
      <c r="L341">
        <v>0</v>
      </c>
      <c r="M341" s="17">
        <f t="shared" si="194"/>
        <v>0</v>
      </c>
      <c r="N341" s="17">
        <f t="shared" si="195"/>
        <v>0</v>
      </c>
      <c r="O341" s="18" t="e">
        <f t="shared" si="196"/>
        <v>#DIV/0!</v>
      </c>
      <c r="P341">
        <v>0</v>
      </c>
      <c r="Q341">
        <v>0</v>
      </c>
      <c r="R341" s="17">
        <f t="shared" si="197"/>
        <v>0</v>
      </c>
      <c r="S341" s="17">
        <f t="shared" si="198"/>
        <v>0</v>
      </c>
      <c r="T341" s="18" t="e">
        <f t="shared" si="199"/>
        <v>#DIV/0!</v>
      </c>
      <c r="U341">
        <v>0</v>
      </c>
      <c r="V341">
        <v>0</v>
      </c>
      <c r="W341" s="17">
        <f t="shared" si="200"/>
        <v>0</v>
      </c>
      <c r="X341" s="17">
        <f t="shared" si="201"/>
        <v>0</v>
      </c>
      <c r="Y341" s="18" t="e">
        <f t="shared" si="202"/>
        <v>#DIV/0!</v>
      </c>
      <c r="Z341">
        <v>0</v>
      </c>
      <c r="AA341">
        <v>0</v>
      </c>
      <c r="AB341" s="17">
        <f t="shared" si="203"/>
        <v>0</v>
      </c>
      <c r="AC341" s="17">
        <f t="shared" si="204"/>
        <v>0</v>
      </c>
      <c r="AD341" s="18" t="e">
        <f t="shared" si="205"/>
        <v>#DIV/0!</v>
      </c>
      <c r="AE341">
        <v>1</v>
      </c>
      <c r="AF341" s="17">
        <f t="shared" si="206"/>
        <v>1</v>
      </c>
      <c r="AG341">
        <v>0</v>
      </c>
      <c r="AH341" s="17">
        <f t="shared" si="207"/>
        <v>0</v>
      </c>
      <c r="AI341">
        <v>1</v>
      </c>
      <c r="AJ341" s="17">
        <f t="shared" si="208"/>
        <v>1</v>
      </c>
      <c r="AK341">
        <v>0</v>
      </c>
      <c r="AL341" s="17">
        <f t="shared" si="209"/>
        <v>0</v>
      </c>
      <c r="AM341">
        <v>0</v>
      </c>
      <c r="AN341" s="17">
        <f t="shared" si="210"/>
        <v>0</v>
      </c>
      <c r="AO341">
        <v>0</v>
      </c>
      <c r="AQ341">
        <v>0</v>
      </c>
      <c r="AR341" s="17">
        <f t="shared" si="211"/>
        <v>0</v>
      </c>
      <c r="AS341">
        <v>0</v>
      </c>
      <c r="AT341" s="17">
        <f t="shared" si="212"/>
        <v>0</v>
      </c>
      <c r="BD341" s="65" t="str">
        <f t="shared" si="213"/>
        <v/>
      </c>
      <c r="BE341" s="65" t="str">
        <f t="shared" si="214"/>
        <v/>
      </c>
      <c r="BF341" s="66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0</v>
      </c>
      <c r="BG341" s="38" t="str">
        <f t="shared" si="215"/>
        <v/>
      </c>
      <c r="BH341" s="38" t="str">
        <f t="shared" si="216"/>
        <v/>
      </c>
      <c r="BI341" s="67">
        <f>IFERROR(((AG341*(12000/5))/((F341*60+G341)*(SUMIFS(팀공격력!X:X,팀공격력!A:A,B341,팀공격력!B:B,D341)+SUMIFS(팀수비력!X:X,팀수비력!A:A,B341,팀수비력!B:B,D341))))*100,"")</f>
        <v>0</v>
      </c>
      <c r="BJ341" s="67">
        <f>IFERROR(((AI341*(12000/5))/((F341*60+G341)*(SUMIFS(팀공격력!V:V,팀공격력!A:A,B341,팀공격력!B:B,D341)+SUMIFS(팀수비력!W:W,팀수비력!A:A,B341,팀수비력!B:B,D341))))*100,"")</f>
        <v>17.601760176017603</v>
      </c>
      <c r="BK341" s="67">
        <f>IFERROR(((AE341*(12000/5))/((F341*60+G341)*(SUMIFS(팀공격력!X:X,팀공격력!A:A,B341,팀공격력!B:B,D341)+SUMIFS(팀수비력!X:X,팀수비력!A:A,B341,팀수비력!B:B,D341))))*100,"")</f>
        <v>7.6408787010506209</v>
      </c>
      <c r="BL341" s="67">
        <f>IFERROR(100*AK341/(((((F341*60+G341)/(12000/5))*SUMIFS(팀공격력!P:P,팀공격력!A:A,B341,팀공격력!B:B,D341))-K341)),"")</f>
        <v>0</v>
      </c>
      <c r="BM341" s="67">
        <f>IFERROR(100*((AM341/E341*(2400))/((F341*60+G341)*SUMIFS(팀공격력!AR:AR,팀공격력!A:A,B341,팀공격력!B:B,D341))),"")</f>
        <v>0</v>
      </c>
      <c r="BN341" s="67">
        <f>IFERROR((AO341*40)/(((F341*60+G341)/60)*(SUMIFS(팀수비력!Q:Q,팀수비력!A:A,B341,팀수비력!B:B,D341)-SUMIFS(팀수비력!N:N,팀수비력!A:A,B341,팀수비력!B:B,D341)))*100,"")</f>
        <v>0</v>
      </c>
      <c r="BO341" s="67" t="str">
        <f t="shared" si="217"/>
        <v/>
      </c>
      <c r="BT341" t="s">
        <v>89</v>
      </c>
      <c r="BV341" t="s">
        <v>102</v>
      </c>
      <c r="CF341">
        <v>1</v>
      </c>
      <c r="CG341">
        <v>0</v>
      </c>
    </row>
    <row r="342" spans="1:85" x14ac:dyDescent="0.4">
      <c r="A342" s="11" t="s">
        <v>85</v>
      </c>
      <c r="B342" t="s">
        <v>263</v>
      </c>
      <c r="C342" t="s">
        <v>281</v>
      </c>
      <c r="D342" s="46" t="s">
        <v>306</v>
      </c>
      <c r="E342">
        <v>2</v>
      </c>
      <c r="F342">
        <v>0</v>
      </c>
      <c r="G342" s="1">
        <v>37</v>
      </c>
      <c r="H342" s="16">
        <f t="shared" si="192"/>
        <v>74</v>
      </c>
      <c r="I342">
        <v>0</v>
      </c>
      <c r="J342" s="17">
        <f t="shared" si="193"/>
        <v>0</v>
      </c>
      <c r="K342">
        <v>0</v>
      </c>
      <c r="L342">
        <v>2</v>
      </c>
      <c r="M342" s="17">
        <f t="shared" si="194"/>
        <v>0</v>
      </c>
      <c r="N342" s="17">
        <f t="shared" si="195"/>
        <v>1</v>
      </c>
      <c r="O342" s="18">
        <f t="shared" si="196"/>
        <v>0</v>
      </c>
      <c r="P342">
        <v>0</v>
      </c>
      <c r="Q342">
        <v>0</v>
      </c>
      <c r="R342" s="17">
        <f t="shared" si="197"/>
        <v>0</v>
      </c>
      <c r="S342" s="17">
        <f t="shared" si="198"/>
        <v>0</v>
      </c>
      <c r="T342" s="18" t="e">
        <f t="shared" si="199"/>
        <v>#DIV/0!</v>
      </c>
      <c r="U342">
        <v>0</v>
      </c>
      <c r="V342">
        <v>2</v>
      </c>
      <c r="W342" s="17">
        <f t="shared" si="200"/>
        <v>0</v>
      </c>
      <c r="X342" s="17">
        <f t="shared" si="201"/>
        <v>1</v>
      </c>
      <c r="Y342" s="18">
        <f t="shared" si="202"/>
        <v>0</v>
      </c>
      <c r="Z342">
        <v>0</v>
      </c>
      <c r="AA342">
        <v>0</v>
      </c>
      <c r="AB342" s="17">
        <f t="shared" si="203"/>
        <v>0</v>
      </c>
      <c r="AC342" s="17">
        <f t="shared" si="204"/>
        <v>0</v>
      </c>
      <c r="AD342" s="18" t="e">
        <f t="shared" si="205"/>
        <v>#DIV/0!</v>
      </c>
      <c r="AE342">
        <v>0</v>
      </c>
      <c r="AF342" s="17">
        <f t="shared" si="206"/>
        <v>0</v>
      </c>
      <c r="AG342">
        <v>0</v>
      </c>
      <c r="AH342" s="17">
        <f t="shared" si="207"/>
        <v>0</v>
      </c>
      <c r="AI342">
        <v>0</v>
      </c>
      <c r="AJ342" s="17">
        <f t="shared" si="208"/>
        <v>0</v>
      </c>
      <c r="AK342">
        <v>0</v>
      </c>
      <c r="AL342" s="17">
        <f t="shared" si="209"/>
        <v>0</v>
      </c>
      <c r="AM342">
        <v>0</v>
      </c>
      <c r="AN342" s="17">
        <f t="shared" si="210"/>
        <v>0</v>
      </c>
      <c r="AO342">
        <v>0</v>
      </c>
      <c r="AQ342">
        <v>0</v>
      </c>
      <c r="AR342" s="17">
        <f t="shared" si="211"/>
        <v>0</v>
      </c>
      <c r="AS342">
        <v>0</v>
      </c>
      <c r="AT342" s="17">
        <f t="shared" si="212"/>
        <v>0</v>
      </c>
      <c r="BD342" s="65">
        <f t="shared" si="213"/>
        <v>0</v>
      </c>
      <c r="BE342" s="65">
        <f t="shared" si="214"/>
        <v>0</v>
      </c>
      <c r="BF342" s="66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15.074335316027158</v>
      </c>
      <c r="BG342" s="38">
        <f t="shared" si="215"/>
        <v>1</v>
      </c>
      <c r="BH342" s="38">
        <f t="shared" si="216"/>
        <v>0</v>
      </c>
      <c r="BI342" s="67">
        <f>IFERROR(((AG342*(12000/5))/((F342*60+G342)*(SUMIFS(팀공격력!X:X,팀공격력!A:A,B342,팀공격력!B:B,D342)+SUMIFS(팀수비력!X:X,팀수비력!A:A,B342,팀수비력!B:B,D342))))*100,"")</f>
        <v>0</v>
      </c>
      <c r="BJ342" s="67">
        <f>IFERROR(((AI342*(12000/5))/((F342*60+G342)*(SUMIFS(팀공격력!V:V,팀공격력!A:A,B342,팀공격력!B:B,D342)+SUMIFS(팀수비력!W:W,팀수비력!A:A,B342,팀수비력!B:B,D342))))*100,"")</f>
        <v>0</v>
      </c>
      <c r="BK342" s="67">
        <f>IFERROR(((AE342*(12000/5))/((F342*60+G342)*(SUMIFS(팀공격력!X:X,팀공격력!A:A,B342,팀공격력!B:B,D342)+SUMIFS(팀수비력!X:X,팀수비력!A:A,B342,팀수비력!B:B,D342))))*100,"")</f>
        <v>0</v>
      </c>
      <c r="BL342" s="67">
        <f>IFERROR(100*AK342/(((((F342*60+G342)/(12000/5))*SUMIFS(팀공격력!P:P,팀공격력!A:A,B342,팀공격력!B:B,D342))-K342)),"")</f>
        <v>0</v>
      </c>
      <c r="BM342" s="67">
        <f>IFERROR(100*((AM342/E342*(2400))/((F342*60+G342)*SUMIFS(팀공격력!AR:AR,팀공격력!A:A,B342,팀공격력!B:B,D342))),"")</f>
        <v>0</v>
      </c>
      <c r="BN342" s="67">
        <f>IFERROR((AO342*40)/(((F342*60+G342)/60)*(SUMIFS(팀수비력!Q:Q,팀수비력!A:A,B342,팀수비력!B:B,D342)-SUMIFS(팀수비력!N:N,팀수비력!A:A,B342,팀수비력!B:B,D342)))*100,"")</f>
        <v>0</v>
      </c>
      <c r="BO342" s="67">
        <f t="shared" si="217"/>
        <v>0</v>
      </c>
      <c r="BT342" t="s">
        <v>89</v>
      </c>
      <c r="BV342" t="s">
        <v>90</v>
      </c>
      <c r="CF342">
        <v>2</v>
      </c>
      <c r="CG342">
        <v>0</v>
      </c>
    </row>
    <row r="343" spans="1:85" x14ac:dyDescent="0.4">
      <c r="A343" s="11" t="s">
        <v>85</v>
      </c>
      <c r="B343" t="s">
        <v>263</v>
      </c>
      <c r="C343" t="s">
        <v>283</v>
      </c>
      <c r="D343" s="46" t="s">
        <v>306</v>
      </c>
      <c r="E343">
        <v>6</v>
      </c>
      <c r="F343">
        <v>7</v>
      </c>
      <c r="G343" s="1">
        <v>25</v>
      </c>
      <c r="H343" s="16">
        <f t="shared" si="192"/>
        <v>2670</v>
      </c>
      <c r="I343">
        <v>20</v>
      </c>
      <c r="J343" s="17">
        <f t="shared" si="193"/>
        <v>3.3333333333333335</v>
      </c>
      <c r="K343">
        <v>6</v>
      </c>
      <c r="L343">
        <v>13</v>
      </c>
      <c r="M343" s="17">
        <f t="shared" si="194"/>
        <v>1</v>
      </c>
      <c r="N343" s="17">
        <f t="shared" si="195"/>
        <v>2.1666666666666665</v>
      </c>
      <c r="O343" s="18">
        <f t="shared" si="196"/>
        <v>0.46153846153846156</v>
      </c>
      <c r="P343">
        <v>5</v>
      </c>
      <c r="Q343">
        <v>11</v>
      </c>
      <c r="R343" s="17">
        <f t="shared" si="197"/>
        <v>0.83333333333333337</v>
      </c>
      <c r="S343" s="17">
        <f t="shared" si="198"/>
        <v>1.8333333333333333</v>
      </c>
      <c r="T343" s="18">
        <f t="shared" si="199"/>
        <v>0.45454545454545453</v>
      </c>
      <c r="U343">
        <v>1</v>
      </c>
      <c r="V343">
        <v>2</v>
      </c>
      <c r="W343" s="17">
        <f t="shared" si="200"/>
        <v>0.16666666666666666</v>
      </c>
      <c r="X343" s="17">
        <f t="shared" si="201"/>
        <v>0.33333333333333331</v>
      </c>
      <c r="Y343" s="18">
        <f t="shared" si="202"/>
        <v>0.5</v>
      </c>
      <c r="Z343">
        <v>7</v>
      </c>
      <c r="AA343">
        <v>12</v>
      </c>
      <c r="AB343" s="17">
        <f t="shared" si="203"/>
        <v>1.1666666666666667</v>
      </c>
      <c r="AC343" s="17">
        <f t="shared" si="204"/>
        <v>2</v>
      </c>
      <c r="AD343" s="18">
        <f t="shared" si="205"/>
        <v>0.58333333333333337</v>
      </c>
      <c r="AE343">
        <v>18</v>
      </c>
      <c r="AF343" s="17">
        <f t="shared" si="206"/>
        <v>3</v>
      </c>
      <c r="AG343">
        <v>3</v>
      </c>
      <c r="AH343" s="17">
        <f t="shared" si="207"/>
        <v>0.5</v>
      </c>
      <c r="AI343">
        <v>15</v>
      </c>
      <c r="AJ343" s="17">
        <f t="shared" si="208"/>
        <v>2.5</v>
      </c>
      <c r="AK343">
        <v>2</v>
      </c>
      <c r="AL343" s="17">
        <f t="shared" si="209"/>
        <v>0.33333333333333331</v>
      </c>
      <c r="AM343">
        <v>1</v>
      </c>
      <c r="AN343" s="17">
        <f t="shared" si="210"/>
        <v>0.16666666666666666</v>
      </c>
      <c r="AO343">
        <v>4</v>
      </c>
      <c r="AQ343">
        <v>3</v>
      </c>
      <c r="AR343" s="17">
        <f t="shared" si="211"/>
        <v>0.5</v>
      </c>
      <c r="AS343">
        <v>8</v>
      </c>
      <c r="AT343" s="17">
        <f t="shared" si="212"/>
        <v>1.3333333333333333</v>
      </c>
      <c r="BD343" s="65">
        <f t="shared" si="213"/>
        <v>54.704595185995622</v>
      </c>
      <c r="BE343" s="65">
        <f t="shared" si="214"/>
        <v>50</v>
      </c>
      <c r="BF343" s="66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13.335874892614768</v>
      </c>
      <c r="BG343" s="38">
        <f t="shared" si="215"/>
        <v>0.15384615384615385</v>
      </c>
      <c r="BH343" s="38">
        <f t="shared" si="216"/>
        <v>0.92307692307692313</v>
      </c>
      <c r="BI343" s="67">
        <f>IFERROR(((AG343*(12000/5))/((F343*60+G343)*(SUMIFS(팀공격력!X:X,팀공격력!A:A,B343,팀공격력!B:B,D343)+SUMIFS(팀수비력!X:X,팀수비력!A:A,B343,팀수비력!B:B,D343))))*100,"")</f>
        <v>2.3180193812176042</v>
      </c>
      <c r="BJ343" s="67">
        <f>IFERROR(((AI343*(12000/5))/((F343*60+G343)*(SUMIFS(팀공격력!V:V,팀공격력!A:A,B343,팀공격력!B:B,D343)+SUMIFS(팀수비력!W:W,팀수비력!A:A,B343,팀수비력!B:B,D343))))*100,"")</f>
        <v>26.699299143397486</v>
      </c>
      <c r="BK343" s="67">
        <f>IFERROR(((AE343*(12000/5))/((F343*60+G343)*(SUMIFS(팀공격력!X:X,팀공격력!A:A,B343,팀공격력!B:B,D343)+SUMIFS(팀수비력!X:X,팀수비력!A:A,B343,팀수비력!B:B,D343))))*100,"")</f>
        <v>13.908116287305624</v>
      </c>
      <c r="BL343" s="67">
        <f>IFERROR(100*AK343/(((((F343*60+G343)/(12000/5))*SUMIFS(팀공격력!P:P,팀공격력!A:A,B343,팀공격력!B:B,D343))-K343)),"")</f>
        <v>3.3022599841766711</v>
      </c>
      <c r="BM343" s="67">
        <f>IFERROR(100*((AM343/E343*(2400))/((F343*60+G343)*SUMIFS(팀공격력!AR:AR,팀공격력!A:A,B343,팀공격력!B:B,D343))),"")</f>
        <v>1.0911291544094064</v>
      </c>
      <c r="BN343" s="67">
        <f>IFERROR((AO343*40)/(((F343*60+G343)/60)*(SUMIFS(팀수비력!Q:Q,팀수비력!A:A,B343,팀수비력!B:B,D343)-SUMIFS(팀수비력!N:N,팀수비력!A:A,B343,팀수비력!B:B,D343)))*100,"")</f>
        <v>4.5226485760723625</v>
      </c>
      <c r="BO343" s="67">
        <f t="shared" si="217"/>
        <v>14.097744360902254</v>
      </c>
      <c r="BT343" t="s">
        <v>96</v>
      </c>
      <c r="BV343" t="s">
        <v>102</v>
      </c>
      <c r="CF343">
        <v>5</v>
      </c>
      <c r="CG343">
        <v>1</v>
      </c>
    </row>
    <row r="344" spans="1:85" x14ac:dyDescent="0.4">
      <c r="A344" s="11" t="s">
        <v>85</v>
      </c>
      <c r="B344" t="s">
        <v>263</v>
      </c>
      <c r="C344" t="s">
        <v>285</v>
      </c>
      <c r="D344" s="46" t="s">
        <v>306</v>
      </c>
      <c r="E344">
        <v>10</v>
      </c>
      <c r="F344">
        <v>22</v>
      </c>
      <c r="G344" s="1">
        <v>38</v>
      </c>
      <c r="H344" s="16">
        <f t="shared" si="192"/>
        <v>13580</v>
      </c>
      <c r="I344">
        <v>81</v>
      </c>
      <c r="J344" s="17">
        <f t="shared" si="193"/>
        <v>8.1</v>
      </c>
      <c r="K344">
        <v>33</v>
      </c>
      <c r="L344">
        <v>51</v>
      </c>
      <c r="M344" s="17">
        <f t="shared" si="194"/>
        <v>3.3</v>
      </c>
      <c r="N344" s="17">
        <f t="shared" si="195"/>
        <v>5.0999999999999996</v>
      </c>
      <c r="O344" s="18">
        <f t="shared" si="196"/>
        <v>0.6470588235294118</v>
      </c>
      <c r="P344">
        <v>23</v>
      </c>
      <c r="Q344">
        <v>35</v>
      </c>
      <c r="R344" s="17">
        <f t="shared" si="197"/>
        <v>2.2999999999999998</v>
      </c>
      <c r="S344" s="17">
        <f t="shared" si="198"/>
        <v>3.5</v>
      </c>
      <c r="T344" s="18">
        <f t="shared" si="199"/>
        <v>0.65714285714285714</v>
      </c>
      <c r="U344">
        <v>10</v>
      </c>
      <c r="V344">
        <v>16</v>
      </c>
      <c r="W344" s="17">
        <f t="shared" si="200"/>
        <v>1</v>
      </c>
      <c r="X344" s="17">
        <f t="shared" si="201"/>
        <v>1.6</v>
      </c>
      <c r="Y344" s="18">
        <f t="shared" si="202"/>
        <v>0.625</v>
      </c>
      <c r="Z344">
        <v>5</v>
      </c>
      <c r="AA344">
        <v>6</v>
      </c>
      <c r="AB344" s="17">
        <f t="shared" si="203"/>
        <v>0.5</v>
      </c>
      <c r="AC344" s="17">
        <f t="shared" si="204"/>
        <v>0.6</v>
      </c>
      <c r="AD344" s="18">
        <f t="shared" si="205"/>
        <v>0.83333333333333337</v>
      </c>
      <c r="AE344">
        <v>13</v>
      </c>
      <c r="AF344" s="17">
        <f t="shared" si="206"/>
        <v>1.3</v>
      </c>
      <c r="AG344">
        <v>7</v>
      </c>
      <c r="AH344" s="17">
        <f t="shared" si="207"/>
        <v>0.7</v>
      </c>
      <c r="AI344">
        <v>6</v>
      </c>
      <c r="AJ344" s="17">
        <f t="shared" si="208"/>
        <v>0.6</v>
      </c>
      <c r="AK344">
        <v>15</v>
      </c>
      <c r="AL344" s="17">
        <f t="shared" si="209"/>
        <v>1.5</v>
      </c>
      <c r="AM344">
        <v>12</v>
      </c>
      <c r="AN344" s="17">
        <f t="shared" si="210"/>
        <v>1.2</v>
      </c>
      <c r="AO344">
        <v>1</v>
      </c>
      <c r="AQ344">
        <v>3</v>
      </c>
      <c r="AR344" s="17">
        <f t="shared" si="211"/>
        <v>0.3</v>
      </c>
      <c r="AS344">
        <v>21</v>
      </c>
      <c r="AT344" s="17">
        <f t="shared" si="212"/>
        <v>2.1</v>
      </c>
      <c r="BD344" s="65">
        <f t="shared" si="213"/>
        <v>75.503355704697981</v>
      </c>
      <c r="BE344" s="65">
        <f t="shared" si="214"/>
        <v>74.509803921568633</v>
      </c>
      <c r="BF344" s="66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11.631437052684754</v>
      </c>
      <c r="BG344" s="38">
        <f t="shared" si="215"/>
        <v>0.31372549019607843</v>
      </c>
      <c r="BH344" s="38">
        <f t="shared" si="216"/>
        <v>0.11764705882352941</v>
      </c>
      <c r="BI344" s="67">
        <f>IFERROR(((AG344*(12000/5))/((F344*60+G344)*(SUMIFS(팀공격력!X:X,팀공격력!A:A,B344,팀공격력!B:B,D344)+SUMIFS(팀수비력!X:X,팀수비력!A:A,B344,팀수비력!B:B,D344))))*100,"")</f>
        <v>1.7723687708622575</v>
      </c>
      <c r="BJ344" s="67">
        <f>IFERROR(((AI344*(12000/5))/((F344*60+G344)*(SUMIFS(팀공격력!V:V,팀공격력!A:A,B344,팀공격력!B:B,D344)+SUMIFS(팀수비력!W:W,팀수비력!A:A,B344,팀수비력!B:B,D344))))*100,"")</f>
        <v>3.4996135843333964</v>
      </c>
      <c r="BK344" s="67">
        <f>IFERROR(((AE344*(12000/5))/((F344*60+G344)*(SUMIFS(팀공격력!X:X,팀공격력!A:A,B344,팀공격력!B:B,D344)+SUMIFS(팀수비력!X:X,팀수비력!A:A,B344,팀수비력!B:B,D344))))*100,"")</f>
        <v>3.2915420030299067</v>
      </c>
      <c r="BL344" s="67">
        <f>IFERROR(100*AK344/(((((F344*60+G344)/(12000/5))*SUMIFS(팀공격력!P:P,팀공격력!A:A,B344,팀공격력!B:B,D344))-K344)),"")</f>
        <v>8.8165712354465349</v>
      </c>
      <c r="BM344" s="67">
        <f>IFERROR(100*((AM344/E344*(2400))/((F344*60+G344)*SUMIFS(팀공격력!AR:AR,팀공격력!A:A,B344,팀공격력!B:B,D344))),"")</f>
        <v>2.5743577398584225</v>
      </c>
      <c r="BN344" s="67">
        <f>IFERROR((AO344*40)/(((F344*60+G344)/60)*(SUMIFS(팀수비력!Q:Q,팀수비력!A:A,B344,팀수비력!B:B,D344)-SUMIFS(팀수비력!N:N,팀수비력!A:A,B344,팀수비력!B:B,D344)))*100,"")</f>
        <v>0.37050416354053778</v>
      </c>
      <c r="BO344" s="67">
        <f t="shared" si="217"/>
        <v>5.2966101694915251</v>
      </c>
      <c r="BT344" t="s">
        <v>89</v>
      </c>
      <c r="BV344" t="s">
        <v>93</v>
      </c>
      <c r="CF344">
        <v>9</v>
      </c>
      <c r="CG344">
        <v>1</v>
      </c>
    </row>
    <row r="345" spans="1:85" x14ac:dyDescent="0.4">
      <c r="A345" s="11" t="s">
        <v>85</v>
      </c>
      <c r="B345" t="s">
        <v>286</v>
      </c>
      <c r="C345" t="s">
        <v>288</v>
      </c>
      <c r="D345" s="46" t="s">
        <v>306</v>
      </c>
      <c r="E345">
        <v>9</v>
      </c>
      <c r="F345">
        <v>13</v>
      </c>
      <c r="G345" s="1">
        <v>20</v>
      </c>
      <c r="H345" s="16">
        <f t="shared" si="192"/>
        <v>7200</v>
      </c>
      <c r="I345">
        <v>78</v>
      </c>
      <c r="J345" s="17">
        <f t="shared" si="193"/>
        <v>8.6666666666666661</v>
      </c>
      <c r="K345">
        <v>35</v>
      </c>
      <c r="L345">
        <v>65</v>
      </c>
      <c r="M345" s="17">
        <f t="shared" si="194"/>
        <v>3.8888888888888888</v>
      </c>
      <c r="N345" s="17">
        <f t="shared" si="195"/>
        <v>7.2222222222222223</v>
      </c>
      <c r="O345" s="18">
        <f t="shared" si="196"/>
        <v>0.53846153846153844</v>
      </c>
      <c r="P345">
        <v>34</v>
      </c>
      <c r="Q345">
        <v>64</v>
      </c>
      <c r="R345" s="17">
        <f t="shared" si="197"/>
        <v>3.7777777777777777</v>
      </c>
      <c r="S345" s="17">
        <f t="shared" si="198"/>
        <v>7.1111111111111107</v>
      </c>
      <c r="T345" s="18">
        <f t="shared" si="199"/>
        <v>0.53125</v>
      </c>
      <c r="U345">
        <v>1</v>
      </c>
      <c r="V345">
        <v>1</v>
      </c>
      <c r="W345" s="17">
        <f t="shared" si="200"/>
        <v>0.1111111111111111</v>
      </c>
      <c r="X345" s="17">
        <f t="shared" si="201"/>
        <v>0.1111111111111111</v>
      </c>
      <c r="Y345" s="18">
        <f t="shared" si="202"/>
        <v>1</v>
      </c>
      <c r="Z345">
        <v>7</v>
      </c>
      <c r="AA345">
        <v>10</v>
      </c>
      <c r="AB345" s="17">
        <f t="shared" si="203"/>
        <v>0.77777777777777779</v>
      </c>
      <c r="AC345" s="17">
        <f t="shared" si="204"/>
        <v>1.1111111111111112</v>
      </c>
      <c r="AD345" s="18">
        <f t="shared" si="205"/>
        <v>0.7</v>
      </c>
      <c r="AE345">
        <v>44</v>
      </c>
      <c r="AF345" s="17">
        <f t="shared" si="206"/>
        <v>4.8888888888888893</v>
      </c>
      <c r="AG345">
        <v>12</v>
      </c>
      <c r="AH345" s="17">
        <f t="shared" si="207"/>
        <v>1.3333333333333333</v>
      </c>
      <c r="AI345">
        <v>32</v>
      </c>
      <c r="AJ345" s="17">
        <f t="shared" si="208"/>
        <v>3.5555555555555554</v>
      </c>
      <c r="AK345">
        <v>6</v>
      </c>
      <c r="AL345" s="17">
        <f t="shared" si="209"/>
        <v>0.66666666666666663</v>
      </c>
      <c r="AM345">
        <v>9</v>
      </c>
      <c r="AN345" s="17">
        <f t="shared" si="210"/>
        <v>1</v>
      </c>
      <c r="AO345">
        <v>4</v>
      </c>
      <c r="AQ345">
        <v>9</v>
      </c>
      <c r="AR345" s="17">
        <f t="shared" si="211"/>
        <v>1</v>
      </c>
      <c r="AS345">
        <v>18</v>
      </c>
      <c r="AT345" s="17">
        <f t="shared" si="212"/>
        <v>2</v>
      </c>
      <c r="BD345" s="65">
        <f t="shared" si="213"/>
        <v>56.195965417867434</v>
      </c>
      <c r="BE345" s="65">
        <f t="shared" si="214"/>
        <v>54.615384615384613</v>
      </c>
      <c r="BF345" s="66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30.434782608695652</v>
      </c>
      <c r="BG345" s="38">
        <f t="shared" si="215"/>
        <v>1.5384615384615385E-2</v>
      </c>
      <c r="BH345" s="38">
        <f t="shared" si="216"/>
        <v>0.15384615384615385</v>
      </c>
      <c r="BI345" s="67">
        <f>IFERROR(((AG345*(12000/5))/((F345*60+G345)*(SUMIFS(팀공격력!X:X,팀공격력!A:A,B345,팀공격력!B:B,D345)+SUMIFS(팀수비력!X:X,팀수비력!A:A,B345,팀수비력!B:B,D345))))*100,"")</f>
        <v>5.4380664652567976</v>
      </c>
      <c r="BJ345" s="67">
        <f>IFERROR(((AI345*(12000/5))/((F345*60+G345)*(SUMIFS(팀공격력!V:V,팀공격력!A:A,B345,팀공격력!B:B,D345)+SUMIFS(팀수비력!W:W,팀수비력!A:A,B345,팀수비력!B:B,D345))))*100,"")</f>
        <v>28.318584070796462</v>
      </c>
      <c r="BK345" s="67">
        <f>IFERROR(((AE345*(12000/5))/((F345*60+G345)*(SUMIFS(팀공격력!X:X,팀공격력!A:A,B345,팀공격력!B:B,D345)+SUMIFS(팀수비력!X:X,팀수비력!A:A,B345,팀수비력!B:B,D345))))*100,"")</f>
        <v>19.939577039274926</v>
      </c>
      <c r="BL345" s="67">
        <f>IFERROR(100*AK345/(((((F345*60+G345)/(12000/5))*SUMIFS(팀공격력!P:P,팀공격력!A:A,B345,팀공격력!B:B,D345))-K345)),"")</f>
        <v>10.285714285714286</v>
      </c>
      <c r="BM345" s="67">
        <f>IFERROR(100*((AM345/E345*(2400))/((F345*60+G345)*SUMIFS(팀공격력!AR:AR,팀공격력!A:A,B345,팀공격력!B:B,D345))),"")</f>
        <v>4.1931252052557957</v>
      </c>
      <c r="BN345" s="67">
        <f>IFERROR((AO345*40)/(((F345*60+G345)/60)*(SUMIFS(팀수비력!Q:Q,팀수비력!A:A,B345,팀수비력!B:B,D345)-SUMIFS(팀수비력!N:N,팀수비력!A:A,B345,팀수비력!B:B,D345)))*100,"")</f>
        <v>3.183023872679045</v>
      </c>
      <c r="BO345" s="67">
        <f t="shared" si="217"/>
        <v>11.479591836734693</v>
      </c>
      <c r="BT345" t="s">
        <v>96</v>
      </c>
      <c r="BV345" t="s">
        <v>93</v>
      </c>
      <c r="CF345">
        <v>5</v>
      </c>
      <c r="CG345">
        <v>4</v>
      </c>
    </row>
    <row r="346" spans="1:85" x14ac:dyDescent="0.4">
      <c r="A346" s="11" t="s">
        <v>85</v>
      </c>
      <c r="B346" t="s">
        <v>286</v>
      </c>
      <c r="C346" t="s">
        <v>289</v>
      </c>
      <c r="D346" s="46" t="s">
        <v>306</v>
      </c>
      <c r="E346">
        <v>1</v>
      </c>
      <c r="F346">
        <v>0</v>
      </c>
      <c r="G346" s="1">
        <v>43</v>
      </c>
      <c r="H346" s="16">
        <f t="shared" si="192"/>
        <v>43</v>
      </c>
      <c r="I346">
        <v>0</v>
      </c>
      <c r="J346" s="17">
        <f t="shared" si="193"/>
        <v>0</v>
      </c>
      <c r="K346">
        <v>0</v>
      </c>
      <c r="L346">
        <v>0</v>
      </c>
      <c r="M346" s="17">
        <f t="shared" si="194"/>
        <v>0</v>
      </c>
      <c r="N346" s="17">
        <f t="shared" si="195"/>
        <v>0</v>
      </c>
      <c r="O346" s="18" t="e">
        <f t="shared" si="196"/>
        <v>#DIV/0!</v>
      </c>
      <c r="P346">
        <v>0</v>
      </c>
      <c r="Q346">
        <v>0</v>
      </c>
      <c r="R346" s="17">
        <f t="shared" si="197"/>
        <v>0</v>
      </c>
      <c r="S346" s="17">
        <f t="shared" si="198"/>
        <v>0</v>
      </c>
      <c r="T346" s="18" t="e">
        <f t="shared" si="199"/>
        <v>#DIV/0!</v>
      </c>
      <c r="U346">
        <v>0</v>
      </c>
      <c r="V346">
        <v>0</v>
      </c>
      <c r="W346" s="17">
        <f t="shared" si="200"/>
        <v>0</v>
      </c>
      <c r="X346" s="17">
        <f t="shared" si="201"/>
        <v>0</v>
      </c>
      <c r="Y346" s="18" t="e">
        <f t="shared" si="202"/>
        <v>#DIV/0!</v>
      </c>
      <c r="Z346">
        <v>0</v>
      </c>
      <c r="AA346">
        <v>0</v>
      </c>
      <c r="AB346" s="17">
        <f t="shared" si="203"/>
        <v>0</v>
      </c>
      <c r="AC346" s="17">
        <f t="shared" si="204"/>
        <v>0</v>
      </c>
      <c r="AD346" s="18" t="e">
        <f t="shared" si="205"/>
        <v>#DIV/0!</v>
      </c>
      <c r="AE346">
        <v>0</v>
      </c>
      <c r="AF346" s="17">
        <f t="shared" si="206"/>
        <v>0</v>
      </c>
      <c r="AG346">
        <v>0</v>
      </c>
      <c r="AH346" s="17">
        <f t="shared" si="207"/>
        <v>0</v>
      </c>
      <c r="AI346">
        <v>0</v>
      </c>
      <c r="AJ346" s="17">
        <f t="shared" si="208"/>
        <v>0</v>
      </c>
      <c r="AK346">
        <v>0</v>
      </c>
      <c r="AL346" s="17">
        <f t="shared" si="209"/>
        <v>0</v>
      </c>
      <c r="AM346">
        <v>0</v>
      </c>
      <c r="AN346" s="17">
        <f t="shared" si="210"/>
        <v>0</v>
      </c>
      <c r="AO346">
        <v>0</v>
      </c>
      <c r="AQ346">
        <v>0</v>
      </c>
      <c r="AR346" s="17">
        <f t="shared" si="211"/>
        <v>0</v>
      </c>
      <c r="AS346">
        <v>1</v>
      </c>
      <c r="AT346" s="17">
        <f t="shared" si="212"/>
        <v>1</v>
      </c>
      <c r="BD346" s="65" t="str">
        <f t="shared" si="213"/>
        <v/>
      </c>
      <c r="BE346" s="65" t="str">
        <f t="shared" si="214"/>
        <v/>
      </c>
      <c r="BF346" s="66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0</v>
      </c>
      <c r="BG346" s="38" t="str">
        <f t="shared" si="215"/>
        <v/>
      </c>
      <c r="BH346" s="38" t="str">
        <f t="shared" si="216"/>
        <v/>
      </c>
      <c r="BI346" s="67">
        <f>IFERROR(((AG346*(12000/5))/((F346*60+G346)*(SUMIFS(팀공격력!X:X,팀공격력!A:A,B346,팀공격력!B:B,D346)+SUMIFS(팀수비력!X:X,팀수비력!A:A,B346,팀수비력!B:B,D346))))*100,"")</f>
        <v>0</v>
      </c>
      <c r="BJ346" s="67">
        <f>IFERROR(((AI346*(12000/5))/((F346*60+G346)*(SUMIFS(팀공격력!V:V,팀공격력!A:A,B346,팀공격력!B:B,D346)+SUMIFS(팀수비력!W:W,팀수비력!A:A,B346,팀수비력!B:B,D346))))*100,"")</f>
        <v>0</v>
      </c>
      <c r="BK346" s="67">
        <f>IFERROR(((AE346*(12000/5))/((F346*60+G346)*(SUMIFS(팀공격력!X:X,팀공격력!A:A,B346,팀공격력!B:B,D346)+SUMIFS(팀수비력!X:X,팀수비력!A:A,B346,팀수비력!B:B,D346))))*100,"")</f>
        <v>0</v>
      </c>
      <c r="BL346" s="67">
        <f>IFERROR(100*AK346/(((((F346*60+G346)/(12000/5))*SUMIFS(팀공격력!P:P,팀공격력!A:A,B346,팀공격력!B:B,D346))-K346)),"")</f>
        <v>0</v>
      </c>
      <c r="BM346" s="67">
        <f>IFERROR(100*((AM346/E346*(2400))/((F346*60+G346)*SUMIFS(팀공격력!AR:AR,팀공격력!A:A,B346,팀공격력!B:B,D346))),"")</f>
        <v>0</v>
      </c>
      <c r="BN346" s="67">
        <f>IFERROR((AO346*40)/(((F346*60+G346)/60)*(SUMIFS(팀수비력!Q:Q,팀수비력!A:A,B346,팀수비력!B:B,D346)-SUMIFS(팀수비력!N:N,팀수비력!A:A,B346,팀수비력!B:B,D346)))*100,"")</f>
        <v>0</v>
      </c>
      <c r="BO346" s="67" t="str">
        <f t="shared" si="217"/>
        <v/>
      </c>
      <c r="BT346" t="s">
        <v>89</v>
      </c>
      <c r="BV346" t="s">
        <v>102</v>
      </c>
      <c r="CF346">
        <v>0</v>
      </c>
      <c r="CG346">
        <v>1</v>
      </c>
    </row>
    <row r="347" spans="1:85" x14ac:dyDescent="0.4">
      <c r="A347" s="11" t="s">
        <v>85</v>
      </c>
      <c r="B347" t="s">
        <v>286</v>
      </c>
      <c r="C347" t="s">
        <v>291</v>
      </c>
      <c r="D347" s="46" t="s">
        <v>306</v>
      </c>
      <c r="E347">
        <v>9</v>
      </c>
      <c r="F347">
        <v>26</v>
      </c>
      <c r="G347" s="1">
        <v>40</v>
      </c>
      <c r="H347" s="16">
        <f t="shared" si="192"/>
        <v>14400</v>
      </c>
      <c r="I347">
        <v>136</v>
      </c>
      <c r="J347" s="17">
        <f t="shared" si="193"/>
        <v>15.111111111111111</v>
      </c>
      <c r="K347">
        <v>60</v>
      </c>
      <c r="L347">
        <v>114</v>
      </c>
      <c r="M347" s="17">
        <f t="shared" si="194"/>
        <v>6.666666666666667</v>
      </c>
      <c r="N347" s="17">
        <f t="shared" si="195"/>
        <v>12.666666666666666</v>
      </c>
      <c r="O347" s="18">
        <f t="shared" si="196"/>
        <v>0.52631578947368418</v>
      </c>
      <c r="P347">
        <v>60</v>
      </c>
      <c r="Q347">
        <v>114</v>
      </c>
      <c r="R347" s="17">
        <f t="shared" si="197"/>
        <v>6.666666666666667</v>
      </c>
      <c r="S347" s="17">
        <f t="shared" si="198"/>
        <v>12.666666666666666</v>
      </c>
      <c r="T347" s="18">
        <f t="shared" si="199"/>
        <v>0.52631578947368418</v>
      </c>
      <c r="U347">
        <v>0</v>
      </c>
      <c r="V347">
        <v>0</v>
      </c>
      <c r="W347" s="17">
        <f t="shared" si="200"/>
        <v>0</v>
      </c>
      <c r="X347" s="17">
        <f t="shared" si="201"/>
        <v>0</v>
      </c>
      <c r="Y347" s="18" t="e">
        <f t="shared" si="202"/>
        <v>#DIV/0!</v>
      </c>
      <c r="Z347">
        <v>16</v>
      </c>
      <c r="AA347">
        <v>36</v>
      </c>
      <c r="AB347" s="17">
        <f t="shared" si="203"/>
        <v>1.7777777777777777</v>
      </c>
      <c r="AC347" s="17">
        <f t="shared" si="204"/>
        <v>4</v>
      </c>
      <c r="AD347" s="18">
        <f t="shared" si="205"/>
        <v>0.44444444444444442</v>
      </c>
      <c r="AE347">
        <v>122</v>
      </c>
      <c r="AF347" s="17">
        <f t="shared" si="206"/>
        <v>13.555555555555555</v>
      </c>
      <c r="AG347">
        <v>57</v>
      </c>
      <c r="AH347" s="17">
        <f t="shared" si="207"/>
        <v>6.333333333333333</v>
      </c>
      <c r="AI347">
        <v>65</v>
      </c>
      <c r="AJ347" s="17">
        <f t="shared" si="208"/>
        <v>7.2222222222222223</v>
      </c>
      <c r="AK347">
        <v>17</v>
      </c>
      <c r="AL347" s="17">
        <f t="shared" si="209"/>
        <v>1.8888888888888888</v>
      </c>
      <c r="AM347">
        <v>7</v>
      </c>
      <c r="AN347" s="17">
        <f t="shared" si="210"/>
        <v>0.77777777777777779</v>
      </c>
      <c r="AO347">
        <v>9</v>
      </c>
      <c r="AQ347">
        <v>16</v>
      </c>
      <c r="AR347" s="17">
        <f t="shared" si="211"/>
        <v>1.7777777777777777</v>
      </c>
      <c r="AS347">
        <v>24</v>
      </c>
      <c r="AT347" s="17">
        <f t="shared" si="212"/>
        <v>2.6666666666666665</v>
      </c>
      <c r="BD347" s="65">
        <f t="shared" si="213"/>
        <v>52.372150338878619</v>
      </c>
      <c r="BE347" s="65">
        <f t="shared" si="214"/>
        <v>52.631578947368418</v>
      </c>
      <c r="BF347" s="66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28.30745341614907</v>
      </c>
      <c r="BG347" s="38">
        <f t="shared" si="215"/>
        <v>0</v>
      </c>
      <c r="BH347" s="38">
        <f t="shared" si="216"/>
        <v>0.31578947368421051</v>
      </c>
      <c r="BI347" s="67">
        <f>IFERROR(((AG347*(12000/5))/((F347*60+G347)*(SUMIFS(팀공격력!X:X,팀공격력!A:A,B347,팀공격력!B:B,D347)+SUMIFS(팀수비력!X:X,팀수비력!A:A,B347,팀수비력!B:B,D347))))*100,"")</f>
        <v>12.915407854984895</v>
      </c>
      <c r="BJ347" s="67">
        <f>IFERROR(((AI347*(12000/5))/((F347*60+G347)*(SUMIFS(팀공격력!V:V,팀공격력!A:A,B347,팀공격력!B:B,D347)+SUMIFS(팀수비력!W:W,팀수비력!A:A,B347,팀수비력!B:B,D347))))*100,"")</f>
        <v>28.761061946902654</v>
      </c>
      <c r="BK347" s="67">
        <f>IFERROR(((AE347*(12000/5))/((F347*60+G347)*(SUMIFS(팀공격력!X:X,팀공격력!A:A,B347,팀공격력!B:B,D347)+SUMIFS(팀수비력!X:X,팀수비력!A:A,B347,팀수비력!B:B,D347))))*100,"")</f>
        <v>27.643504531722051</v>
      </c>
      <c r="BL347" s="67">
        <f>IFERROR(100*AK347/(((((F347*60+G347)/(12000/5))*SUMIFS(팀공격력!P:P,팀공격력!A:A,B347,팀공격력!B:B,D347))-K347)),"")</f>
        <v>13.421052631578949</v>
      </c>
      <c r="BM347" s="67">
        <f>IFERROR(100*((AM347/E347*(2400))/((F347*60+G347)*SUMIFS(팀공격력!AR:AR,팀공격력!A:A,B347,팀공격력!B:B,D347))),"")</f>
        <v>1.6306598020439207</v>
      </c>
      <c r="BN347" s="67">
        <f>IFERROR((AO347*40)/(((F347*60+G347)/60)*(SUMIFS(팀수비력!Q:Q,팀수비력!A:A,B347,팀수비력!B:B,D347)-SUMIFS(팀수비력!N:N,팀수비력!A:A,B347,팀수비력!B:B,D347)))*100,"")</f>
        <v>3.5809018567639255</v>
      </c>
      <c r="BO347" s="67">
        <f t="shared" si="217"/>
        <v>10.970927043335161</v>
      </c>
      <c r="BT347" t="s">
        <v>96</v>
      </c>
      <c r="BV347" t="s">
        <v>102</v>
      </c>
      <c r="CF347">
        <v>5</v>
      </c>
      <c r="CG347">
        <v>4</v>
      </c>
    </row>
    <row r="348" spans="1:85" x14ac:dyDescent="0.4">
      <c r="A348" s="11" t="s">
        <v>85</v>
      </c>
      <c r="B348" t="s">
        <v>286</v>
      </c>
      <c r="C348" t="s">
        <v>292</v>
      </c>
      <c r="D348" s="46" t="s">
        <v>306</v>
      </c>
      <c r="E348">
        <v>9</v>
      </c>
      <c r="F348">
        <v>17</v>
      </c>
      <c r="G348" s="1">
        <v>16</v>
      </c>
      <c r="H348" s="16">
        <f t="shared" si="192"/>
        <v>9324</v>
      </c>
      <c r="I348">
        <v>36</v>
      </c>
      <c r="J348" s="17">
        <f t="shared" si="193"/>
        <v>4</v>
      </c>
      <c r="K348">
        <v>14</v>
      </c>
      <c r="L348">
        <v>44</v>
      </c>
      <c r="M348" s="17">
        <f t="shared" si="194"/>
        <v>1.5555555555555556</v>
      </c>
      <c r="N348" s="17">
        <f t="shared" si="195"/>
        <v>4.8888888888888893</v>
      </c>
      <c r="O348" s="18">
        <f t="shared" si="196"/>
        <v>0.31818181818181818</v>
      </c>
      <c r="P348">
        <v>11</v>
      </c>
      <c r="Q348">
        <v>29</v>
      </c>
      <c r="R348" s="17">
        <f t="shared" si="197"/>
        <v>1.2222222222222223</v>
      </c>
      <c r="S348" s="17">
        <f t="shared" si="198"/>
        <v>3.2222222222222223</v>
      </c>
      <c r="T348" s="18">
        <f t="shared" si="199"/>
        <v>0.37931034482758619</v>
      </c>
      <c r="U348">
        <v>3</v>
      </c>
      <c r="V348">
        <v>15</v>
      </c>
      <c r="W348" s="17">
        <f t="shared" si="200"/>
        <v>0.33333333333333331</v>
      </c>
      <c r="X348" s="17">
        <f t="shared" si="201"/>
        <v>1.6666666666666667</v>
      </c>
      <c r="Y348" s="18">
        <f t="shared" si="202"/>
        <v>0.2</v>
      </c>
      <c r="Z348">
        <v>5</v>
      </c>
      <c r="AA348">
        <v>8</v>
      </c>
      <c r="AB348" s="17">
        <f t="shared" si="203"/>
        <v>0.55555555555555558</v>
      </c>
      <c r="AC348" s="17">
        <f t="shared" si="204"/>
        <v>0.88888888888888884</v>
      </c>
      <c r="AD348" s="18">
        <f t="shared" si="205"/>
        <v>0.625</v>
      </c>
      <c r="AE348">
        <v>17</v>
      </c>
      <c r="AF348" s="17">
        <f t="shared" si="206"/>
        <v>1.8888888888888888</v>
      </c>
      <c r="AG348">
        <v>1</v>
      </c>
      <c r="AH348" s="17">
        <f t="shared" si="207"/>
        <v>0.1111111111111111</v>
      </c>
      <c r="AI348">
        <v>16</v>
      </c>
      <c r="AJ348" s="17">
        <f t="shared" si="208"/>
        <v>1.7777777777777777</v>
      </c>
      <c r="AK348">
        <v>26</v>
      </c>
      <c r="AL348" s="17">
        <f t="shared" si="209"/>
        <v>2.8888888888888888</v>
      </c>
      <c r="AM348">
        <v>0</v>
      </c>
      <c r="AN348" s="17">
        <f t="shared" si="210"/>
        <v>0</v>
      </c>
      <c r="AO348">
        <v>0</v>
      </c>
      <c r="AQ348">
        <v>5</v>
      </c>
      <c r="AR348" s="17">
        <f t="shared" si="211"/>
        <v>0.55555555555555558</v>
      </c>
      <c r="AS348">
        <v>19</v>
      </c>
      <c r="AT348" s="17">
        <f t="shared" si="212"/>
        <v>2.1111111111111112</v>
      </c>
      <c r="BD348" s="65">
        <f t="shared" si="213"/>
        <v>37.878787878787875</v>
      </c>
      <c r="BE348" s="65">
        <f t="shared" si="214"/>
        <v>35.227272727272727</v>
      </c>
      <c r="BF348" s="66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15.74378282452817</v>
      </c>
      <c r="BG348" s="38">
        <f t="shared" si="215"/>
        <v>0.34090909090909088</v>
      </c>
      <c r="BH348" s="38">
        <f t="shared" si="216"/>
        <v>0.18181818181818182</v>
      </c>
      <c r="BI348" s="67">
        <f>IFERROR(((AG348*(12000/5))/((F348*60+G348)*(SUMIFS(팀공격력!X:X,팀공격력!A:A,B348,팀공격력!B:B,D348)+SUMIFS(팀수비력!X:X,팀수비력!A:A,B348,팀수비력!B:B,D348))))*100,"")</f>
        <v>0.3499399269792019</v>
      </c>
      <c r="BJ348" s="67">
        <f>IFERROR(((AI348*(12000/5))/((F348*60+G348)*(SUMIFS(팀공격력!V:V,팀공격력!A:A,B348,팀공격력!B:B,D348)+SUMIFS(팀수비력!W:W,팀수비력!A:A,B348,팀수비력!B:B,D348))))*100,"")</f>
        <v>10.933816243550757</v>
      </c>
      <c r="BK348" s="67">
        <f>IFERROR(((AE348*(12000/5))/((F348*60+G348)*(SUMIFS(팀공격력!X:X,팀공격력!A:A,B348,팀공격력!B:B,D348)+SUMIFS(팀수비력!X:X,팀수비력!A:A,B348,팀수비력!B:B,D348))))*100,"")</f>
        <v>5.9489787586464322</v>
      </c>
      <c r="BL348" s="67">
        <f>IFERROR(100*AK348/(((((F348*60+G348)/(12000/5))*SUMIFS(팀공격력!P:P,팀공격력!A:A,B348,팀공격력!B:B,D348))-K348)),"")</f>
        <v>24.32938240798503</v>
      </c>
      <c r="BM348" s="67">
        <f>IFERROR(100*((AM348/E348*(2400))/((F348*60+G348)*SUMIFS(팀공격력!AR:AR,팀공격력!A:A,B348,팀공격력!B:B,D348))),"")</f>
        <v>0</v>
      </c>
      <c r="BN348" s="67">
        <f>IFERROR((AO348*40)/(((F348*60+G348)/60)*(SUMIFS(팀수비력!Q:Q,팀수비력!A:A,B348,팀수비력!B:B,D348)-SUMIFS(팀수비력!N:N,팀수비력!A:A,B348,팀수비력!B:B,D348)))*100,"")</f>
        <v>0</v>
      </c>
      <c r="BO348" s="67">
        <f t="shared" si="217"/>
        <v>9.5201827875095191</v>
      </c>
      <c r="BT348" t="s">
        <v>89</v>
      </c>
      <c r="BV348" t="s">
        <v>90</v>
      </c>
      <c r="CF348">
        <v>5</v>
      </c>
      <c r="CG348">
        <v>4</v>
      </c>
    </row>
    <row r="349" spans="1:85" x14ac:dyDescent="0.4">
      <c r="A349" s="11" t="s">
        <v>85</v>
      </c>
      <c r="B349" t="s">
        <v>286</v>
      </c>
      <c r="C349" t="s">
        <v>293</v>
      </c>
      <c r="D349" s="46" t="s">
        <v>306</v>
      </c>
      <c r="E349">
        <v>9</v>
      </c>
      <c r="F349">
        <v>25</v>
      </c>
      <c r="G349" s="1">
        <v>9</v>
      </c>
      <c r="H349" s="16">
        <f t="shared" si="192"/>
        <v>13581</v>
      </c>
      <c r="I349">
        <v>84</v>
      </c>
      <c r="J349" s="17">
        <f t="shared" si="193"/>
        <v>9.3333333333333339</v>
      </c>
      <c r="K349">
        <v>30</v>
      </c>
      <c r="L349">
        <v>87</v>
      </c>
      <c r="M349" s="17">
        <f t="shared" si="194"/>
        <v>3.3333333333333335</v>
      </c>
      <c r="N349" s="17">
        <f t="shared" si="195"/>
        <v>9.6666666666666661</v>
      </c>
      <c r="O349" s="18">
        <f t="shared" si="196"/>
        <v>0.34482758620689657</v>
      </c>
      <c r="P349">
        <v>15</v>
      </c>
      <c r="Q349">
        <v>44</v>
      </c>
      <c r="R349" s="17">
        <f t="shared" si="197"/>
        <v>1.6666666666666667</v>
      </c>
      <c r="S349" s="17">
        <f t="shared" si="198"/>
        <v>4.8888888888888893</v>
      </c>
      <c r="T349" s="18">
        <f t="shared" si="199"/>
        <v>0.34090909090909088</v>
      </c>
      <c r="U349">
        <v>15</v>
      </c>
      <c r="V349">
        <v>43</v>
      </c>
      <c r="W349" s="17">
        <f t="shared" si="200"/>
        <v>1.6666666666666667</v>
      </c>
      <c r="X349" s="17">
        <f t="shared" si="201"/>
        <v>4.7777777777777777</v>
      </c>
      <c r="Y349" s="18">
        <f t="shared" si="202"/>
        <v>0.34883720930232559</v>
      </c>
      <c r="Z349">
        <v>9</v>
      </c>
      <c r="AA349">
        <v>15</v>
      </c>
      <c r="AB349" s="17">
        <f t="shared" si="203"/>
        <v>1</v>
      </c>
      <c r="AC349" s="17">
        <f t="shared" si="204"/>
        <v>1.6666666666666667</v>
      </c>
      <c r="AD349" s="18">
        <f t="shared" si="205"/>
        <v>0.6</v>
      </c>
      <c r="AE349">
        <v>36</v>
      </c>
      <c r="AF349" s="17">
        <f t="shared" si="206"/>
        <v>4</v>
      </c>
      <c r="AG349">
        <v>14</v>
      </c>
      <c r="AH349" s="17">
        <f t="shared" si="207"/>
        <v>1.5555555555555556</v>
      </c>
      <c r="AI349">
        <v>22</v>
      </c>
      <c r="AJ349" s="17">
        <f t="shared" si="208"/>
        <v>2.4444444444444446</v>
      </c>
      <c r="AK349">
        <v>19</v>
      </c>
      <c r="AL349" s="17">
        <f t="shared" si="209"/>
        <v>2.1111111111111112</v>
      </c>
      <c r="AM349">
        <v>6</v>
      </c>
      <c r="AN349" s="17">
        <f t="shared" si="210"/>
        <v>0.66666666666666663</v>
      </c>
      <c r="AO349">
        <v>1</v>
      </c>
      <c r="AQ349">
        <v>9</v>
      </c>
      <c r="AR349" s="17">
        <f t="shared" si="211"/>
        <v>1</v>
      </c>
      <c r="AS349">
        <v>22</v>
      </c>
      <c r="AT349" s="17">
        <f t="shared" si="212"/>
        <v>2.4444444444444446</v>
      </c>
      <c r="BD349" s="65">
        <f t="shared" si="213"/>
        <v>44.871794871794876</v>
      </c>
      <c r="BE349" s="65">
        <f t="shared" si="214"/>
        <v>43.103448275862064</v>
      </c>
      <c r="BF349" s="66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21.115542768235308</v>
      </c>
      <c r="BG349" s="38">
        <f t="shared" si="215"/>
        <v>0.4942528735632184</v>
      </c>
      <c r="BH349" s="38">
        <f t="shared" si="216"/>
        <v>0.17241379310344829</v>
      </c>
      <c r="BI349" s="67">
        <f>IFERROR(((AG349*(12000/5))/((F349*60+G349)*(SUMIFS(팀공격력!X:X,팀공격력!A:A,B349,팀공격력!B:B,D349)+SUMIFS(팀수비력!X:X,팀수비력!A:A,B349,팀수비력!B:B,D349))))*100,"")</f>
        <v>3.3635047719723956</v>
      </c>
      <c r="BJ349" s="67">
        <f>IFERROR(((AI349*(12000/5))/((F349*60+G349)*(SUMIFS(팀공격력!V:V,팀공격력!A:A,B349,팀공격력!B:B,D349)+SUMIFS(팀수비력!W:W,팀수비력!A:A,B349,팀수비력!B:B,D349))))*100,"")</f>
        <v>10.321551516857557</v>
      </c>
      <c r="BK349" s="67">
        <f>IFERROR(((AE349*(12000/5))/((F349*60+G349)*(SUMIFS(팀공격력!X:X,팀공격력!A:A,B349,팀공격력!B:B,D349)+SUMIFS(팀수비력!X:X,팀수비력!A:A,B349,팀수비력!B:B,D349))))*100,"")</f>
        <v>8.6490122707861588</v>
      </c>
      <c r="BL349" s="67">
        <f>IFERROR(100*AK349/(((((F349*60+G349)/(12000/5))*SUMIFS(팀공격력!P:P,팀공격력!A:A,B349,팀공격력!B:B,D349))-K349)),"")</f>
        <v>13.009243409791166</v>
      </c>
      <c r="BM349" s="67">
        <f>IFERROR(100*((AM349/E349*(2400))/((F349*60+G349)*SUMIFS(팀공격력!AR:AR,팀공격력!A:A,B349,팀공격력!B:B,D349))),"")</f>
        <v>1.4819969799887951</v>
      </c>
      <c r="BN349" s="67">
        <f>IFERROR((AO349*40)/(((F349*60+G349)/60)*(SUMIFS(팀수비력!Q:Q,팀수비력!A:A,B349,팀수비력!B:B,D349)-SUMIFS(팀수비력!N:N,팀수비력!A:A,B349,팀수비력!B:B,D349)))*100,"")</f>
        <v>0.42187195131597682</v>
      </c>
      <c r="BO349" s="67">
        <f t="shared" si="217"/>
        <v>8.7719298245614041</v>
      </c>
      <c r="BT349" t="s">
        <v>89</v>
      </c>
      <c r="BV349" t="s">
        <v>93</v>
      </c>
      <c r="CF349">
        <v>5</v>
      </c>
      <c r="CG349">
        <v>4</v>
      </c>
    </row>
    <row r="350" spans="1:85" x14ac:dyDescent="0.4">
      <c r="A350" s="11" t="s">
        <v>85</v>
      </c>
      <c r="B350" t="s">
        <v>286</v>
      </c>
      <c r="C350" t="s">
        <v>294</v>
      </c>
      <c r="D350" s="46" t="s">
        <v>306</v>
      </c>
      <c r="E350">
        <v>7</v>
      </c>
      <c r="F350">
        <v>16</v>
      </c>
      <c r="G350" s="1">
        <v>27</v>
      </c>
      <c r="H350" s="16">
        <f t="shared" si="192"/>
        <v>6909</v>
      </c>
      <c r="I350">
        <v>47</v>
      </c>
      <c r="J350" s="17">
        <f t="shared" si="193"/>
        <v>6.7142857142857144</v>
      </c>
      <c r="K350">
        <v>16</v>
      </c>
      <c r="L350">
        <v>36</v>
      </c>
      <c r="M350" s="17">
        <f t="shared" si="194"/>
        <v>2.2857142857142856</v>
      </c>
      <c r="N350" s="17">
        <f t="shared" si="195"/>
        <v>5.1428571428571432</v>
      </c>
      <c r="O350" s="18">
        <f t="shared" si="196"/>
        <v>0.44444444444444442</v>
      </c>
      <c r="P350">
        <v>7</v>
      </c>
      <c r="Q350">
        <v>11</v>
      </c>
      <c r="R350" s="17">
        <f t="shared" si="197"/>
        <v>1</v>
      </c>
      <c r="S350" s="17">
        <f t="shared" si="198"/>
        <v>1.5714285714285714</v>
      </c>
      <c r="T350" s="18">
        <f t="shared" si="199"/>
        <v>0.63636363636363635</v>
      </c>
      <c r="U350">
        <v>9</v>
      </c>
      <c r="V350">
        <v>25</v>
      </c>
      <c r="W350" s="17">
        <f t="shared" si="200"/>
        <v>1.2857142857142858</v>
      </c>
      <c r="X350" s="17">
        <f t="shared" si="201"/>
        <v>3.5714285714285716</v>
      </c>
      <c r="Y350" s="18">
        <f t="shared" si="202"/>
        <v>0.36</v>
      </c>
      <c r="Z350">
        <v>6</v>
      </c>
      <c r="AA350">
        <v>10</v>
      </c>
      <c r="AB350" s="17">
        <f t="shared" si="203"/>
        <v>0.8571428571428571</v>
      </c>
      <c r="AC350" s="17">
        <f t="shared" si="204"/>
        <v>1.4285714285714286</v>
      </c>
      <c r="AD350" s="18">
        <f t="shared" si="205"/>
        <v>0.6</v>
      </c>
      <c r="AE350">
        <v>14</v>
      </c>
      <c r="AF350" s="17">
        <f t="shared" si="206"/>
        <v>2</v>
      </c>
      <c r="AG350">
        <v>4</v>
      </c>
      <c r="AH350" s="17">
        <f t="shared" si="207"/>
        <v>0.5714285714285714</v>
      </c>
      <c r="AI350">
        <v>10</v>
      </c>
      <c r="AJ350" s="17">
        <f t="shared" si="208"/>
        <v>1.4285714285714286</v>
      </c>
      <c r="AK350">
        <v>6</v>
      </c>
      <c r="AL350" s="17">
        <f t="shared" si="209"/>
        <v>0.8571428571428571</v>
      </c>
      <c r="AM350">
        <v>11</v>
      </c>
      <c r="AN350" s="17">
        <f t="shared" si="210"/>
        <v>1.5714285714285714</v>
      </c>
      <c r="AO350">
        <v>4</v>
      </c>
      <c r="AQ350">
        <v>7</v>
      </c>
      <c r="AR350" s="17">
        <f t="shared" si="211"/>
        <v>1</v>
      </c>
      <c r="AS350">
        <v>10</v>
      </c>
      <c r="AT350" s="17">
        <f t="shared" si="212"/>
        <v>1.4285714285714286</v>
      </c>
      <c r="BD350" s="65">
        <f t="shared" si="213"/>
        <v>58.168316831683178</v>
      </c>
      <c r="BE350" s="65">
        <f t="shared" si="214"/>
        <v>56.944444444444443</v>
      </c>
      <c r="BF350" s="66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14.914383884913818</v>
      </c>
      <c r="BG350" s="38">
        <f t="shared" si="215"/>
        <v>0.69444444444444442</v>
      </c>
      <c r="BH350" s="38">
        <f t="shared" si="216"/>
        <v>0.27777777777777779</v>
      </c>
      <c r="BI350" s="67">
        <f>IFERROR(((AG350*(12000/5))/((F350*60+G350)*(SUMIFS(팀공격력!X:X,팀공격력!A:A,B350,팀공격력!B:B,D350)+SUMIFS(팀수비력!X:X,팀수비력!A:A,B350,팀수비력!B:B,D350))))*100,"")</f>
        <v>1.4692513246218972</v>
      </c>
      <c r="BJ350" s="67">
        <f>IFERROR(((AI350*(12000/5))/((F350*60+G350)*(SUMIFS(팀공격력!V:V,팀공격력!A:A,B350,팀공격력!B:B,D350)+SUMIFS(팀수비력!W:W,팀수비력!A:A,B350,팀수비력!B:B,D350))))*100,"")</f>
        <v>7.1728936349535104</v>
      </c>
      <c r="BK350" s="67">
        <f>IFERROR(((AE350*(12000/5))/((F350*60+G350)*(SUMIFS(팀공격력!X:X,팀공격력!A:A,B350,팀공격력!B:B,D350)+SUMIFS(팀수비력!X:X,팀수비력!A:A,B350,팀수비력!B:B,D350))))*100,"")</f>
        <v>5.1423796361766412</v>
      </c>
      <c r="BL350" s="67">
        <f>IFERROR(100*AK350/(((((F350*60+G350)/(12000/5))*SUMIFS(팀공격력!P:P,팀공격력!A:A,B350,팀공격력!B:B,D350))-K350)),"")</f>
        <v>6.0514372163388801</v>
      </c>
      <c r="BM350" s="67">
        <f>IFERROR(100*((AM350/E350*(2400))/((F350*60+G350)*SUMIFS(팀공격력!AR:AR,팀공격력!A:A,B350,팀공격력!B:B,D350))),"")</f>
        <v>5.3407876402158063</v>
      </c>
      <c r="BN350" s="67">
        <f>IFERROR((AO350*40)/(((F350*60+G350)/60)*(SUMIFS(팀수비력!Q:Q,팀수비력!A:A,B350,팀수비력!B:B,D350)-SUMIFS(팀수비력!N:N,팀수비력!A:A,B350,팀수비력!B:B,D350)))*100,"")</f>
        <v>2.5799585594156396</v>
      </c>
      <c r="BO350" s="67">
        <f t="shared" si="217"/>
        <v>14.767932489451477</v>
      </c>
      <c r="BT350" t="s">
        <v>89</v>
      </c>
      <c r="BV350" t="s">
        <v>90</v>
      </c>
      <c r="CF350">
        <v>4</v>
      </c>
      <c r="CG350">
        <v>3</v>
      </c>
    </row>
    <row r="351" spans="1:85" x14ac:dyDescent="0.4">
      <c r="A351" s="11" t="s">
        <v>85</v>
      </c>
      <c r="B351" t="s">
        <v>286</v>
      </c>
      <c r="C351" t="s">
        <v>295</v>
      </c>
      <c r="D351" s="46" t="s">
        <v>306</v>
      </c>
      <c r="E351">
        <v>9</v>
      </c>
      <c r="F351">
        <v>14</v>
      </c>
      <c r="G351" s="1">
        <v>0</v>
      </c>
      <c r="H351" s="16">
        <f t="shared" si="192"/>
        <v>7560</v>
      </c>
      <c r="I351">
        <v>30</v>
      </c>
      <c r="J351" s="17">
        <f t="shared" si="193"/>
        <v>3.3333333333333335</v>
      </c>
      <c r="K351">
        <v>11</v>
      </c>
      <c r="L351">
        <v>33</v>
      </c>
      <c r="M351" s="17">
        <f t="shared" si="194"/>
        <v>1.2222222222222223</v>
      </c>
      <c r="N351" s="17">
        <f t="shared" si="195"/>
        <v>3.6666666666666665</v>
      </c>
      <c r="O351" s="18">
        <f t="shared" si="196"/>
        <v>0.33333333333333331</v>
      </c>
      <c r="P351">
        <v>8</v>
      </c>
      <c r="Q351">
        <v>12</v>
      </c>
      <c r="R351" s="17">
        <f t="shared" si="197"/>
        <v>0.88888888888888884</v>
      </c>
      <c r="S351" s="17">
        <f t="shared" si="198"/>
        <v>1.3333333333333333</v>
      </c>
      <c r="T351" s="18">
        <f t="shared" si="199"/>
        <v>0.66666666666666663</v>
      </c>
      <c r="U351">
        <v>3</v>
      </c>
      <c r="V351">
        <v>21</v>
      </c>
      <c r="W351" s="17">
        <f t="shared" si="200"/>
        <v>0.33333333333333331</v>
      </c>
      <c r="X351" s="17">
        <f t="shared" si="201"/>
        <v>2.3333333333333335</v>
      </c>
      <c r="Y351" s="18">
        <f t="shared" si="202"/>
        <v>0.14285714285714285</v>
      </c>
      <c r="Z351">
        <v>5</v>
      </c>
      <c r="AA351">
        <v>6</v>
      </c>
      <c r="AB351" s="17">
        <f t="shared" si="203"/>
        <v>0.55555555555555558</v>
      </c>
      <c r="AC351" s="17">
        <f t="shared" si="204"/>
        <v>0.66666666666666663</v>
      </c>
      <c r="AD351" s="18">
        <f t="shared" si="205"/>
        <v>0.83333333333333337</v>
      </c>
      <c r="AE351">
        <v>16</v>
      </c>
      <c r="AF351" s="17">
        <f t="shared" si="206"/>
        <v>1.7777777777777777</v>
      </c>
      <c r="AG351">
        <v>5</v>
      </c>
      <c r="AH351" s="17">
        <f t="shared" si="207"/>
        <v>0.55555555555555558</v>
      </c>
      <c r="AI351">
        <v>11</v>
      </c>
      <c r="AJ351" s="17">
        <f t="shared" si="208"/>
        <v>1.2222222222222223</v>
      </c>
      <c r="AK351">
        <v>6</v>
      </c>
      <c r="AL351" s="17">
        <f t="shared" si="209"/>
        <v>0.66666666666666663</v>
      </c>
      <c r="AM351">
        <v>2</v>
      </c>
      <c r="AN351" s="17">
        <f t="shared" si="210"/>
        <v>0.22222222222222221</v>
      </c>
      <c r="AO351">
        <v>0</v>
      </c>
      <c r="AQ351">
        <v>2</v>
      </c>
      <c r="AR351" s="17">
        <f t="shared" si="211"/>
        <v>0.22222222222222221</v>
      </c>
      <c r="AS351">
        <v>5</v>
      </c>
      <c r="AT351" s="17">
        <f t="shared" si="212"/>
        <v>0.55555555555555558</v>
      </c>
      <c r="BD351" s="65">
        <f t="shared" si="213"/>
        <v>42.087542087542083</v>
      </c>
      <c r="BE351" s="65">
        <f t="shared" si="214"/>
        <v>37.878787878787875</v>
      </c>
      <c r="BF351" s="66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13.916001183081928</v>
      </c>
      <c r="BG351" s="38">
        <f t="shared" si="215"/>
        <v>0.63636363636363635</v>
      </c>
      <c r="BH351" s="38">
        <f t="shared" si="216"/>
        <v>0.18181818181818182</v>
      </c>
      <c r="BI351" s="67">
        <f>IFERROR(((AG351*(12000/5))/((F351*60+G351)*(SUMIFS(팀공격력!X:X,팀공격력!A:A,B351,팀공격력!B:B,D351)+SUMIFS(팀수비력!X:X,팀수비력!A:A,B351,팀수비력!B:B,D351))))*100,"")</f>
        <v>2.1579628830384121</v>
      </c>
      <c r="BJ351" s="67">
        <f>IFERROR(((AI351*(12000/5))/((F351*60+G351)*(SUMIFS(팀공격력!V:V,팀공격력!A:A,B351,팀공격력!B:B,D351)+SUMIFS(팀수비력!W:W,팀수비력!A:A,B351,팀수비력!B:B,D351))))*100,"")</f>
        <v>9.2709650231774141</v>
      </c>
      <c r="BK351" s="67">
        <f>IFERROR(((AE351*(12000/5))/((F351*60+G351)*(SUMIFS(팀공격력!X:X,팀공격력!A:A,B351,팀공격력!B:B,D351)+SUMIFS(팀수비력!X:X,팀수비력!A:A,B351,팀수비력!B:B,D351))))*100,"")</f>
        <v>6.9054812257229177</v>
      </c>
      <c r="BL351" s="67">
        <f>IFERROR(100*AK351/(((((F351*60+G351)/(12000/5))*SUMIFS(팀공격력!P:P,팀공격력!A:A,B351,팀공격력!B:B,D351))-K351)),"")</f>
        <v>6.8965517241379306</v>
      </c>
      <c r="BM351" s="67">
        <f>IFERROR(100*((AM351/E351*(2400))/((F351*60+G351)*SUMIFS(팀공격력!AR:AR,팀공격력!A:A,B351,팀공격력!B:B,D351))),"")</f>
        <v>0.88743390587424242</v>
      </c>
      <c r="BN351" s="67">
        <f>IFERROR((AO351*40)/(((F351*60+G351)/60)*(SUMIFS(팀수비력!Q:Q,팀수비력!A:A,B351,팀수비력!B:B,D351)-SUMIFS(팀수비력!N:N,팀수비력!A:A,B351,팀수비력!B:B,D351)))*100,"")</f>
        <v>0</v>
      </c>
      <c r="BO351" s="67">
        <f t="shared" si="217"/>
        <v>5.3134962805526031</v>
      </c>
      <c r="BT351" t="s">
        <v>89</v>
      </c>
      <c r="BV351" t="s">
        <v>90</v>
      </c>
      <c r="CF351">
        <v>5</v>
      </c>
      <c r="CG351">
        <v>4</v>
      </c>
    </row>
    <row r="352" spans="1:85" x14ac:dyDescent="0.4">
      <c r="A352" s="11" t="s">
        <v>85</v>
      </c>
      <c r="B352" t="s">
        <v>286</v>
      </c>
      <c r="C352" t="s">
        <v>296</v>
      </c>
      <c r="D352" s="46" t="s">
        <v>306</v>
      </c>
      <c r="E352">
        <v>9</v>
      </c>
      <c r="F352">
        <v>20</v>
      </c>
      <c r="G352" s="1">
        <v>19</v>
      </c>
      <c r="H352" s="16">
        <f t="shared" si="192"/>
        <v>10971</v>
      </c>
      <c r="I352">
        <v>75</v>
      </c>
      <c r="J352" s="17">
        <f t="shared" si="193"/>
        <v>8.3333333333333339</v>
      </c>
      <c r="K352">
        <v>27</v>
      </c>
      <c r="L352">
        <v>73</v>
      </c>
      <c r="M352" s="17">
        <f t="shared" si="194"/>
        <v>3</v>
      </c>
      <c r="N352" s="17">
        <f t="shared" si="195"/>
        <v>8.1111111111111107</v>
      </c>
      <c r="O352" s="18">
        <f t="shared" si="196"/>
        <v>0.36986301369863012</v>
      </c>
      <c r="P352">
        <v>18</v>
      </c>
      <c r="Q352">
        <v>40</v>
      </c>
      <c r="R352" s="17">
        <f t="shared" si="197"/>
        <v>2</v>
      </c>
      <c r="S352" s="17">
        <f t="shared" si="198"/>
        <v>4.4444444444444446</v>
      </c>
      <c r="T352" s="18">
        <f t="shared" si="199"/>
        <v>0.45</v>
      </c>
      <c r="U352">
        <v>9</v>
      </c>
      <c r="V352">
        <v>33</v>
      </c>
      <c r="W352" s="17">
        <f t="shared" si="200"/>
        <v>1</v>
      </c>
      <c r="X352" s="17">
        <f t="shared" si="201"/>
        <v>3.6666666666666665</v>
      </c>
      <c r="Y352" s="18">
        <f t="shared" si="202"/>
        <v>0.27272727272727271</v>
      </c>
      <c r="Z352">
        <v>12</v>
      </c>
      <c r="AA352">
        <v>14</v>
      </c>
      <c r="AB352" s="17">
        <f t="shared" si="203"/>
        <v>1.3333333333333333</v>
      </c>
      <c r="AC352" s="17">
        <f t="shared" si="204"/>
        <v>1.5555555555555556</v>
      </c>
      <c r="AD352" s="18">
        <f t="shared" si="205"/>
        <v>0.8571428571428571</v>
      </c>
      <c r="AE352">
        <v>21</v>
      </c>
      <c r="AF352" s="17">
        <f t="shared" si="206"/>
        <v>2.3333333333333335</v>
      </c>
      <c r="AG352">
        <v>6</v>
      </c>
      <c r="AH352" s="17">
        <f t="shared" si="207"/>
        <v>0.66666666666666663</v>
      </c>
      <c r="AI352">
        <v>15</v>
      </c>
      <c r="AJ352" s="17">
        <f t="shared" si="208"/>
        <v>1.6666666666666667</v>
      </c>
      <c r="AK352">
        <v>12</v>
      </c>
      <c r="AL352" s="17">
        <f t="shared" si="209"/>
        <v>1.3333333333333333</v>
      </c>
      <c r="AM352">
        <v>2</v>
      </c>
      <c r="AN352" s="17">
        <f t="shared" si="210"/>
        <v>0.22222222222222221</v>
      </c>
      <c r="AO352">
        <v>1</v>
      </c>
      <c r="AQ352">
        <v>9</v>
      </c>
      <c r="AR352" s="17">
        <f t="shared" si="211"/>
        <v>1</v>
      </c>
      <c r="AS352">
        <v>7</v>
      </c>
      <c r="AT352" s="17">
        <f t="shared" si="212"/>
        <v>0.77777777777777779</v>
      </c>
      <c r="BD352" s="65">
        <f t="shared" si="213"/>
        <v>47.372410308236482</v>
      </c>
      <c r="BE352" s="65">
        <f t="shared" si="214"/>
        <v>43.150684931506852</v>
      </c>
      <c r="BF352" s="66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22.460116478734733</v>
      </c>
      <c r="BG352" s="38">
        <f t="shared" si="215"/>
        <v>0.45205479452054792</v>
      </c>
      <c r="BH352" s="38">
        <f t="shared" si="216"/>
        <v>0.19178082191780821</v>
      </c>
      <c r="BI352" s="67">
        <f>IFERROR(((AG352*(12000/5))/((F352*60+G352)*(SUMIFS(팀공격력!X:X,팀공격력!A:A,B352,팀공격력!B:B,D352)+SUMIFS(팀수비력!X:X,팀수비력!A:A,B352,팀수비력!B:B,D352))))*100,"")</f>
        <v>1.7844352634148637</v>
      </c>
      <c r="BJ352" s="67">
        <f>IFERROR(((AI352*(12000/5))/((F352*60+G352)*(SUMIFS(팀공격력!V:V,팀공격력!A:A,B352,팀공격력!B:B,D352)+SUMIFS(팀수비력!W:W,팀수비력!A:A,B352,팀수비력!B:B,D352))))*100,"")</f>
        <v>8.7116234836330388</v>
      </c>
      <c r="BK352" s="67">
        <f>IFERROR(((AE352*(12000/5))/((F352*60+G352)*(SUMIFS(팀공격력!X:X,팀공격력!A:A,B352,팀공격력!B:B,D352)+SUMIFS(팀수비력!X:X,팀수비력!A:A,B352,팀수비력!B:B,D352))))*100,"")</f>
        <v>6.245523421952023</v>
      </c>
      <c r="BL352" s="67">
        <f>IFERROR(100*AK352/(((((F352*60+G352)/(12000/5))*SUMIFS(팀공격력!P:P,팀공격력!A:A,B352,팀공격력!B:B,D352))-K352)),"")</f>
        <v>10.415159843772603</v>
      </c>
      <c r="BM352" s="67">
        <f>IFERROR(100*((AM352/E352*(2400))/((F352*60+G352)*SUMIFS(팀공격력!AR:AR,팀공격력!A:A,B352,팀공격력!B:B,D352))),"")</f>
        <v>0.61152131331777171</v>
      </c>
      <c r="BN352" s="67">
        <f>IFERROR((AO352*40)/(((F352*60+G352)/60)*(SUMIFS(팀수비력!Q:Q,팀수비력!A:A,B352,팀수비력!B:B,D352)-SUMIFS(팀수비력!N:N,팀수비력!A:A,B352,팀수비력!B:B,D352)))*100,"")</f>
        <v>0.52223525392601233</v>
      </c>
      <c r="BO352" s="67">
        <f t="shared" si="217"/>
        <v>10.208711433756806</v>
      </c>
      <c r="BT352" t="s">
        <v>89</v>
      </c>
      <c r="BV352" t="s">
        <v>90</v>
      </c>
      <c r="CF352">
        <v>5</v>
      </c>
      <c r="CG352">
        <v>4</v>
      </c>
    </row>
    <row r="353" spans="1:85" x14ac:dyDescent="0.4">
      <c r="A353" s="11" t="s">
        <v>85</v>
      </c>
      <c r="B353" t="s">
        <v>286</v>
      </c>
      <c r="C353" t="s">
        <v>297</v>
      </c>
      <c r="D353" s="46" t="s">
        <v>306</v>
      </c>
      <c r="E353">
        <v>3</v>
      </c>
      <c r="F353">
        <v>5</v>
      </c>
      <c r="G353" s="1">
        <v>13</v>
      </c>
      <c r="H353" s="16">
        <f t="shared" si="192"/>
        <v>939</v>
      </c>
      <c r="I353">
        <v>1</v>
      </c>
      <c r="J353" s="17">
        <f t="shared" si="193"/>
        <v>0.33333333333333331</v>
      </c>
      <c r="K353">
        <v>0</v>
      </c>
      <c r="L353">
        <v>2</v>
      </c>
      <c r="M353" s="17">
        <f t="shared" si="194"/>
        <v>0</v>
      </c>
      <c r="N353" s="17">
        <f t="shared" si="195"/>
        <v>0.66666666666666663</v>
      </c>
      <c r="O353" s="18">
        <f t="shared" si="196"/>
        <v>0</v>
      </c>
      <c r="P353">
        <v>0</v>
      </c>
      <c r="Q353">
        <v>2</v>
      </c>
      <c r="R353" s="17">
        <f t="shared" si="197"/>
        <v>0</v>
      </c>
      <c r="S353" s="17">
        <f t="shared" si="198"/>
        <v>0.66666666666666663</v>
      </c>
      <c r="T353" s="18">
        <f t="shared" si="199"/>
        <v>0</v>
      </c>
      <c r="U353">
        <v>0</v>
      </c>
      <c r="V353">
        <v>0</v>
      </c>
      <c r="W353" s="17">
        <f t="shared" si="200"/>
        <v>0</v>
      </c>
      <c r="X353" s="17">
        <f t="shared" si="201"/>
        <v>0</v>
      </c>
      <c r="Y353" s="18" t="e">
        <f t="shared" si="202"/>
        <v>#DIV/0!</v>
      </c>
      <c r="Z353">
        <v>1</v>
      </c>
      <c r="AA353">
        <v>2</v>
      </c>
      <c r="AB353" s="17">
        <f t="shared" si="203"/>
        <v>0.33333333333333331</v>
      </c>
      <c r="AC353" s="17">
        <f t="shared" si="204"/>
        <v>0.66666666666666663</v>
      </c>
      <c r="AD353" s="18">
        <f t="shared" si="205"/>
        <v>0.5</v>
      </c>
      <c r="AE353">
        <v>3</v>
      </c>
      <c r="AF353" s="17">
        <f t="shared" si="206"/>
        <v>1</v>
      </c>
      <c r="AG353">
        <v>3</v>
      </c>
      <c r="AH353" s="17">
        <f t="shared" si="207"/>
        <v>1</v>
      </c>
      <c r="AI353">
        <v>0</v>
      </c>
      <c r="AJ353" s="17">
        <f t="shared" si="208"/>
        <v>0</v>
      </c>
      <c r="AK353">
        <v>0</v>
      </c>
      <c r="AL353" s="17">
        <f t="shared" si="209"/>
        <v>0</v>
      </c>
      <c r="AM353">
        <v>0</v>
      </c>
      <c r="AN353" s="17">
        <f t="shared" si="210"/>
        <v>0</v>
      </c>
      <c r="AO353">
        <v>0</v>
      </c>
      <c r="AQ353">
        <v>0</v>
      </c>
      <c r="AR353" s="17">
        <f t="shared" si="211"/>
        <v>0</v>
      </c>
      <c r="AS353">
        <v>1</v>
      </c>
      <c r="AT353" s="17">
        <f t="shared" si="212"/>
        <v>0.33333333333333331</v>
      </c>
      <c r="BD353" s="65">
        <f t="shared" si="213"/>
        <v>17.361111111111111</v>
      </c>
      <c r="BE353" s="65">
        <f t="shared" si="214"/>
        <v>0</v>
      </c>
      <c r="BF353" s="66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2.8575397376619769</v>
      </c>
      <c r="BG353" s="38">
        <f t="shared" si="215"/>
        <v>0</v>
      </c>
      <c r="BH353" s="38">
        <f t="shared" si="216"/>
        <v>1</v>
      </c>
      <c r="BI353" s="67">
        <f>IFERROR(((AG353*(12000/5))/((F353*60+G353)*(SUMIFS(팀공격력!X:X,팀공격력!A:A,B353,팀공격력!B:B,D353)+SUMIFS(팀수비력!X:X,팀수비력!A:A,B353,팀수비력!B:B,D353))))*100,"")</f>
        <v>3.4748028531992317</v>
      </c>
      <c r="BJ353" s="67">
        <f>IFERROR(((AI353*(12000/5))/((F353*60+G353)*(SUMIFS(팀공격력!V:V,팀공격력!A:A,B353,팀공격력!B:B,D353)+SUMIFS(팀수비력!W:W,팀수비력!A:A,B353,팀수비력!B:B,D353))))*100,"")</f>
        <v>0</v>
      </c>
      <c r="BK353" s="67">
        <f>IFERROR(((AE353*(12000/5))/((F353*60+G353)*(SUMIFS(팀공격력!X:X,팀공격력!A:A,B353,팀공격력!B:B,D353)+SUMIFS(팀수비력!X:X,팀수비력!A:A,B353,팀수비력!B:B,D353))))*100,"")</f>
        <v>3.4748028531992317</v>
      </c>
      <c r="BL353" s="67">
        <f>IFERROR(100*AK353/(((((F353*60+G353)/(12000/5))*SUMIFS(팀공격력!P:P,팀공격력!A:A,B353,팀공격력!B:B,D353))-K353)),"")</f>
        <v>0</v>
      </c>
      <c r="BM353" s="67">
        <f>IFERROR(100*((AM353/E353*(2400))/((F353*60+G353)*SUMIFS(팀공격력!AR:AR,팀공격력!A:A,B353,팀공격력!B:B,D353))),"")</f>
        <v>0</v>
      </c>
      <c r="BN353" s="67">
        <f>IFERROR((AO353*40)/(((F353*60+G353)/60)*(SUMIFS(팀수비력!Q:Q,팀수비력!A:A,B353,팀수비력!B:B,D353)-SUMIFS(팀수비력!N:N,팀수비력!A:A,B353,팀수비력!B:B,D353)))*100,"")</f>
        <v>0</v>
      </c>
      <c r="BO353" s="67">
        <f t="shared" si="217"/>
        <v>0</v>
      </c>
      <c r="BT353" t="s">
        <v>89</v>
      </c>
      <c r="BV353" t="s">
        <v>93</v>
      </c>
      <c r="CF353">
        <v>3</v>
      </c>
      <c r="CG353">
        <v>0</v>
      </c>
    </row>
    <row r="354" spans="1:85" x14ac:dyDescent="0.4">
      <c r="A354" s="11" t="s">
        <v>85</v>
      </c>
      <c r="B354" t="s">
        <v>286</v>
      </c>
      <c r="C354" t="s">
        <v>298</v>
      </c>
      <c r="D354" s="46" t="s">
        <v>306</v>
      </c>
      <c r="E354">
        <v>9</v>
      </c>
      <c r="F354">
        <v>21</v>
      </c>
      <c r="G354" s="1">
        <v>34</v>
      </c>
      <c r="H354" s="16">
        <f t="shared" si="192"/>
        <v>11646</v>
      </c>
      <c r="I354">
        <v>81</v>
      </c>
      <c r="J354" s="17">
        <f t="shared" si="193"/>
        <v>9</v>
      </c>
      <c r="K354">
        <v>26</v>
      </c>
      <c r="L354">
        <v>61</v>
      </c>
      <c r="M354" s="17">
        <f t="shared" si="194"/>
        <v>2.8888888888888888</v>
      </c>
      <c r="N354" s="17">
        <f t="shared" si="195"/>
        <v>6.7777777777777777</v>
      </c>
      <c r="O354" s="18">
        <f t="shared" si="196"/>
        <v>0.42622950819672129</v>
      </c>
      <c r="P354">
        <v>19</v>
      </c>
      <c r="Q354">
        <v>41</v>
      </c>
      <c r="R354" s="17">
        <f t="shared" si="197"/>
        <v>2.1111111111111112</v>
      </c>
      <c r="S354" s="17">
        <f t="shared" si="198"/>
        <v>4.5555555555555554</v>
      </c>
      <c r="T354" s="18">
        <f t="shared" si="199"/>
        <v>0.46341463414634149</v>
      </c>
      <c r="U354">
        <v>7</v>
      </c>
      <c r="V354">
        <v>20</v>
      </c>
      <c r="W354" s="17">
        <f t="shared" si="200"/>
        <v>0.77777777777777779</v>
      </c>
      <c r="X354" s="17">
        <f t="shared" si="201"/>
        <v>2.2222222222222223</v>
      </c>
      <c r="Y354" s="18">
        <f t="shared" si="202"/>
        <v>0.35</v>
      </c>
      <c r="Z354">
        <v>22</v>
      </c>
      <c r="AA354">
        <v>24</v>
      </c>
      <c r="AB354" s="17">
        <f t="shared" si="203"/>
        <v>2.4444444444444446</v>
      </c>
      <c r="AC354" s="17">
        <f t="shared" si="204"/>
        <v>2.6666666666666665</v>
      </c>
      <c r="AD354" s="18">
        <f t="shared" si="205"/>
        <v>0.91666666666666663</v>
      </c>
      <c r="AE354">
        <v>23</v>
      </c>
      <c r="AF354" s="17">
        <f t="shared" si="206"/>
        <v>2.5555555555555554</v>
      </c>
      <c r="AG354">
        <v>3</v>
      </c>
      <c r="AH354" s="17">
        <f t="shared" si="207"/>
        <v>0.33333333333333331</v>
      </c>
      <c r="AI354">
        <v>20</v>
      </c>
      <c r="AJ354" s="17">
        <f t="shared" si="208"/>
        <v>2.2222222222222223</v>
      </c>
      <c r="AK354">
        <v>35</v>
      </c>
      <c r="AL354" s="17">
        <f t="shared" si="209"/>
        <v>3.8888888888888888</v>
      </c>
      <c r="AM354">
        <v>12</v>
      </c>
      <c r="AN354" s="17">
        <f t="shared" si="210"/>
        <v>1.3333333333333333</v>
      </c>
      <c r="AO354">
        <v>1</v>
      </c>
      <c r="AQ354">
        <v>9</v>
      </c>
      <c r="AR354" s="17">
        <f t="shared" si="211"/>
        <v>1</v>
      </c>
      <c r="AS354">
        <v>18</v>
      </c>
      <c r="AT354" s="17">
        <f t="shared" si="212"/>
        <v>2</v>
      </c>
      <c r="BD354" s="65">
        <f t="shared" si="213"/>
        <v>56.595863610955846</v>
      </c>
      <c r="BE354" s="65">
        <f t="shared" si="214"/>
        <v>48.360655737704917</v>
      </c>
      <c r="BF354" s="66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19.334338130117985</v>
      </c>
      <c r="BG354" s="38">
        <f t="shared" si="215"/>
        <v>0.32786885245901637</v>
      </c>
      <c r="BH354" s="38">
        <f t="shared" si="216"/>
        <v>0.39344262295081966</v>
      </c>
      <c r="BI354" s="67">
        <f>IFERROR(((AG354*(12000/5))/((F354*60+G354)*(SUMIFS(팀공격력!X:X,팀공격력!A:A,B354,팀공격력!B:B,D354)+SUMIFS(팀수비력!X:X,팀수비력!A:A,B354,팀수비력!B:B,D354))))*100,"")</f>
        <v>0.84050486325452822</v>
      </c>
      <c r="BJ354" s="67">
        <f>IFERROR(((AI354*(12000/5))/((F354*60+G354)*(SUMIFS(팀공격력!V:V,팀공격력!A:A,B354,팀공격력!B:B,D354)+SUMIFS(팀수비력!W:W,팀수비력!A:A,B354,팀수비력!B:B,D354))))*100,"")</f>
        <v>10.942265869704968</v>
      </c>
      <c r="BK354" s="67">
        <f>IFERROR(((AE354*(12000/5))/((F354*60+G354)*(SUMIFS(팀공격력!X:X,팀공격력!A:A,B354,팀공격력!B:B,D354)+SUMIFS(팀수비력!X:X,팀수비력!A:A,B354,팀수비력!B:B,D354))))*100,"")</f>
        <v>6.4438706182847163</v>
      </c>
      <c r="BL354" s="67">
        <f>IFERROR(100*AK354/(((((F354*60+G354)/(12000/5))*SUMIFS(팀공격력!P:P,팀공격력!A:A,B354,팀공격력!B:B,D354))-K354)),"")</f>
        <v>28.007468658308881</v>
      </c>
      <c r="BM354" s="67">
        <f>IFERROR(100*((AM354/E354*(2400))/((F354*60+G354)*SUMIFS(팀공격력!AR:AR,팀공격력!A:A,B354,팀공격력!B:B,D354))),"")</f>
        <v>3.4564659085055509</v>
      </c>
      <c r="BN354" s="67">
        <f>IFERROR((AO354*40)/(((F354*60+G354)/60)*(SUMIFS(팀수비력!Q:Q,팀수비력!A:A,B354,팀수비력!B:B,D354)-SUMIFS(팀수비력!N:N,팀수비력!A:A,B354,팀수비력!B:B,D354)))*100,"")</f>
        <v>0.49196659546816779</v>
      </c>
      <c r="BO354" s="67">
        <f t="shared" si="217"/>
        <v>11.171797418073485</v>
      </c>
      <c r="BT354" t="s">
        <v>89</v>
      </c>
      <c r="BV354" t="s">
        <v>90</v>
      </c>
      <c r="CF354">
        <v>5</v>
      </c>
      <c r="CG354">
        <v>4</v>
      </c>
    </row>
    <row r="355" spans="1:85" x14ac:dyDescent="0.4">
      <c r="A355" s="11" t="s">
        <v>85</v>
      </c>
      <c r="B355" t="s">
        <v>286</v>
      </c>
      <c r="C355" t="s">
        <v>299</v>
      </c>
      <c r="D355" s="46" t="s">
        <v>306</v>
      </c>
      <c r="E355">
        <v>3</v>
      </c>
      <c r="F355">
        <v>5</v>
      </c>
      <c r="G355" s="1">
        <v>52</v>
      </c>
      <c r="H355" s="16">
        <f t="shared" si="192"/>
        <v>1056</v>
      </c>
      <c r="I355">
        <v>9</v>
      </c>
      <c r="J355" s="17">
        <f t="shared" si="193"/>
        <v>3</v>
      </c>
      <c r="K355">
        <v>3</v>
      </c>
      <c r="L355">
        <v>6</v>
      </c>
      <c r="M355" s="17">
        <f t="shared" si="194"/>
        <v>1</v>
      </c>
      <c r="N355" s="17">
        <f t="shared" si="195"/>
        <v>2</v>
      </c>
      <c r="O355" s="18">
        <f t="shared" si="196"/>
        <v>0.5</v>
      </c>
      <c r="P355">
        <v>0</v>
      </c>
      <c r="Q355">
        <v>1</v>
      </c>
      <c r="R355" s="17">
        <f t="shared" si="197"/>
        <v>0</v>
      </c>
      <c r="S355" s="17">
        <f t="shared" si="198"/>
        <v>0.33333333333333331</v>
      </c>
      <c r="T355" s="18">
        <f t="shared" si="199"/>
        <v>0</v>
      </c>
      <c r="U355">
        <v>3</v>
      </c>
      <c r="V355">
        <v>5</v>
      </c>
      <c r="W355" s="17">
        <f t="shared" si="200"/>
        <v>1</v>
      </c>
      <c r="X355" s="17">
        <f t="shared" si="201"/>
        <v>1.6666666666666667</v>
      </c>
      <c r="Y355" s="18">
        <f t="shared" si="202"/>
        <v>0.6</v>
      </c>
      <c r="Z355">
        <v>0</v>
      </c>
      <c r="AA355">
        <v>0</v>
      </c>
      <c r="AB355" s="17">
        <f t="shared" si="203"/>
        <v>0</v>
      </c>
      <c r="AC355" s="17">
        <f t="shared" si="204"/>
        <v>0</v>
      </c>
      <c r="AD355" s="18" t="e">
        <f t="shared" si="205"/>
        <v>#DIV/0!</v>
      </c>
      <c r="AE355">
        <v>1</v>
      </c>
      <c r="AF355" s="17">
        <f t="shared" si="206"/>
        <v>0.33333333333333331</v>
      </c>
      <c r="AG355">
        <v>0</v>
      </c>
      <c r="AH355" s="17">
        <f t="shared" si="207"/>
        <v>0</v>
      </c>
      <c r="AI355">
        <v>1</v>
      </c>
      <c r="AJ355" s="17">
        <f t="shared" si="208"/>
        <v>0.33333333333333331</v>
      </c>
      <c r="AK355">
        <v>0</v>
      </c>
      <c r="AL355" s="17">
        <f t="shared" si="209"/>
        <v>0</v>
      </c>
      <c r="AM355">
        <v>2</v>
      </c>
      <c r="AN355" s="17">
        <f t="shared" si="210"/>
        <v>0.66666666666666663</v>
      </c>
      <c r="AO355">
        <v>0</v>
      </c>
      <c r="AQ355">
        <v>1</v>
      </c>
      <c r="AR355" s="17">
        <f t="shared" si="211"/>
        <v>0.33333333333333331</v>
      </c>
      <c r="AS355">
        <v>0</v>
      </c>
      <c r="AT355" s="17">
        <f t="shared" si="212"/>
        <v>0</v>
      </c>
      <c r="BD355" s="65">
        <f t="shared" si="213"/>
        <v>75</v>
      </c>
      <c r="BE355" s="65">
        <f t="shared" si="214"/>
        <v>75</v>
      </c>
      <c r="BF355" s="66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6.1758893280632412</v>
      </c>
      <c r="BG355" s="38">
        <f t="shared" si="215"/>
        <v>0.83333333333333337</v>
      </c>
      <c r="BH355" s="38">
        <f t="shared" si="216"/>
        <v>0</v>
      </c>
      <c r="BI355" s="67">
        <f>IFERROR(((AG355*(12000/5))/((F355*60+G355)*(SUMIFS(팀공격력!X:X,팀공격력!A:A,B355,팀공격력!B:B,D355)+SUMIFS(팀수비력!X:X,팀수비력!A:A,B355,팀수비력!B:B,D355))))*100,"")</f>
        <v>0</v>
      </c>
      <c r="BJ355" s="67">
        <f>IFERROR(((AI355*(12000/5))/((F355*60+G355)*(SUMIFS(팀공격력!V:V,팀공격력!A:A,B355,팀공격력!B:B,D355)+SUMIFS(팀수비력!W:W,팀수비력!A:A,B355,팀수비력!B:B,D355))))*100,"")</f>
        <v>2.0112630732099759</v>
      </c>
      <c r="BK355" s="67">
        <f>IFERROR(((AE355*(12000/5))/((F355*60+G355)*(SUMIFS(팀공격력!X:X,팀공격력!A:A,B355,팀공격력!B:B,D355)+SUMIFS(팀수비력!X:X,팀수비력!A:A,B355,팀수비력!B:B,D355))))*100,"")</f>
        <v>1.0299368305410601</v>
      </c>
      <c r="BL355" s="67">
        <f>IFERROR(100*AK355/(((((F355*60+G355)/(12000/5))*SUMIFS(팀공격력!P:P,팀공격력!A:A,B355,팀공격력!B:B,D355))-K355)),"")</f>
        <v>0</v>
      </c>
      <c r="BM355" s="67">
        <f>IFERROR(100*((AM355/E355*(2400))/((F355*60+G355)*SUMIFS(팀공격력!AR:AR,팀공격력!A:A,B355,팀공격력!B:B,D355))),"")</f>
        <v>6.3532200079633281</v>
      </c>
      <c r="BN355" s="67">
        <f>IFERROR((AO355*40)/(((F355*60+G355)/60)*(SUMIFS(팀수비력!Q:Q,팀수비력!A:A,B355,팀수비력!B:B,D355)-SUMIFS(팀수비력!N:N,팀수비력!A:A,B355,팀수비력!B:B,D355)))*100,"")</f>
        <v>0</v>
      </c>
      <c r="BO355" s="67">
        <f t="shared" si="217"/>
        <v>14.285714285714286</v>
      </c>
      <c r="BT355" t="s">
        <v>89</v>
      </c>
      <c r="BV355" t="s">
        <v>93</v>
      </c>
      <c r="CF355">
        <v>1</v>
      </c>
      <c r="CG355">
        <v>2</v>
      </c>
    </row>
    <row r="356" spans="1:85" x14ac:dyDescent="0.4">
      <c r="A356" s="11" t="s">
        <v>85</v>
      </c>
      <c r="B356" t="s">
        <v>286</v>
      </c>
      <c r="C356" t="s">
        <v>300</v>
      </c>
      <c r="D356" s="46" t="s">
        <v>306</v>
      </c>
      <c r="E356">
        <v>9</v>
      </c>
      <c r="F356">
        <v>12</v>
      </c>
      <c r="G356" s="1">
        <v>10</v>
      </c>
      <c r="H356" s="16">
        <f t="shared" si="192"/>
        <v>6570</v>
      </c>
      <c r="I356">
        <v>64</v>
      </c>
      <c r="J356" s="17">
        <f t="shared" si="193"/>
        <v>7.1111111111111107</v>
      </c>
      <c r="K356">
        <v>27</v>
      </c>
      <c r="L356">
        <v>42</v>
      </c>
      <c r="M356" s="17">
        <f t="shared" si="194"/>
        <v>3</v>
      </c>
      <c r="N356" s="17">
        <f t="shared" si="195"/>
        <v>4.666666666666667</v>
      </c>
      <c r="O356" s="18">
        <f t="shared" si="196"/>
        <v>0.6428571428571429</v>
      </c>
      <c r="P356">
        <v>24</v>
      </c>
      <c r="Q356">
        <v>38</v>
      </c>
      <c r="R356" s="17">
        <f t="shared" si="197"/>
        <v>2.6666666666666665</v>
      </c>
      <c r="S356" s="17">
        <f t="shared" si="198"/>
        <v>4.2222222222222223</v>
      </c>
      <c r="T356" s="18">
        <f t="shared" si="199"/>
        <v>0.63157894736842102</v>
      </c>
      <c r="U356">
        <v>3</v>
      </c>
      <c r="V356">
        <v>4</v>
      </c>
      <c r="W356" s="17">
        <f t="shared" si="200"/>
        <v>0.33333333333333331</v>
      </c>
      <c r="X356" s="17">
        <f t="shared" si="201"/>
        <v>0.44444444444444442</v>
      </c>
      <c r="Y356" s="18">
        <f t="shared" si="202"/>
        <v>0.75</v>
      </c>
      <c r="Z356">
        <v>7</v>
      </c>
      <c r="AA356">
        <v>7</v>
      </c>
      <c r="AB356" s="17">
        <f t="shared" si="203"/>
        <v>0.77777777777777779</v>
      </c>
      <c r="AC356" s="17">
        <f t="shared" si="204"/>
        <v>0.77777777777777779</v>
      </c>
      <c r="AD356" s="18">
        <f t="shared" si="205"/>
        <v>1</v>
      </c>
      <c r="AE356">
        <v>24</v>
      </c>
      <c r="AF356" s="17">
        <f t="shared" si="206"/>
        <v>2.6666666666666665</v>
      </c>
      <c r="AG356">
        <v>4</v>
      </c>
      <c r="AH356" s="17">
        <f t="shared" si="207"/>
        <v>0.44444444444444442</v>
      </c>
      <c r="AI356">
        <v>20</v>
      </c>
      <c r="AJ356" s="17">
        <f t="shared" si="208"/>
        <v>2.2222222222222223</v>
      </c>
      <c r="AK356">
        <v>17</v>
      </c>
      <c r="AL356" s="17">
        <f t="shared" si="209"/>
        <v>1.8888888888888888</v>
      </c>
      <c r="AM356">
        <v>2</v>
      </c>
      <c r="AN356" s="17">
        <f t="shared" si="210"/>
        <v>0.22222222222222221</v>
      </c>
      <c r="AO356">
        <v>3</v>
      </c>
      <c r="AQ356">
        <v>7</v>
      </c>
      <c r="AR356" s="17">
        <f t="shared" si="211"/>
        <v>0.77777777777777779</v>
      </c>
      <c r="AS356">
        <v>16</v>
      </c>
      <c r="AT356" s="17">
        <f t="shared" si="212"/>
        <v>1.7777777777777777</v>
      </c>
      <c r="BD356" s="65">
        <f t="shared" si="213"/>
        <v>70.984915705412604</v>
      </c>
      <c r="BE356" s="65">
        <f t="shared" si="214"/>
        <v>67.857142857142861</v>
      </c>
      <c r="BF356" s="66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22.156045265038713</v>
      </c>
      <c r="BG356" s="38">
        <f t="shared" si="215"/>
        <v>9.5238095238095233E-2</v>
      </c>
      <c r="BH356" s="38">
        <f t="shared" si="216"/>
        <v>0.16666666666666666</v>
      </c>
      <c r="BI356" s="67">
        <f>IFERROR(((AG356*(12000/5))/((F356*60+G356)*(SUMIFS(팀공격력!X:X,팀공격력!A:A,B356,팀공격력!B:B,D356)+SUMIFS(팀수비력!X:X,팀수비력!A:A,B356,팀수비력!B:B,D356))))*100,"")</f>
        <v>1.9865082978107023</v>
      </c>
      <c r="BJ356" s="67">
        <f>IFERROR(((AI356*(12000/5))/((F356*60+G356)*(SUMIFS(팀공격력!V:V,팀공격력!A:A,B356,팀공격력!B:B,D356)+SUMIFS(팀수비력!W:W,팀수비력!A:A,B356,팀수비력!B:B,D356))))*100,"")</f>
        <v>19.396290459449631</v>
      </c>
      <c r="BK356" s="67">
        <f>IFERROR(((AE356*(12000/5))/((F356*60+G356)*(SUMIFS(팀공격력!X:X,팀공격력!A:A,B356,팀공격력!B:B,D356)+SUMIFS(팀수비력!X:X,팀수비력!A:A,B356,팀수비력!B:B,D356))))*100,"")</f>
        <v>11.919049786864214</v>
      </c>
      <c r="BL356" s="67">
        <f>IFERROR(100*AK356/(((((F356*60+G356)/(12000/5))*SUMIFS(팀공격력!P:P,팀공격력!A:A,B356,팀공격력!B:B,D356))-K356)),"")</f>
        <v>29.226361031518628</v>
      </c>
      <c r="BM356" s="67">
        <f>IFERROR(100*((AM356/E356*(2400))/((F356*60+G356)*SUMIFS(팀공격력!AR:AR,팀공격력!A:A,B356,팀공격력!B:B,D356))),"")</f>
        <v>1.0211568231977586</v>
      </c>
      <c r="BN356" s="67">
        <f>IFERROR((AO356*40)/(((F356*60+G356)/60)*(SUMIFS(팀수비력!Q:Q,팀수비력!A:A,B356,팀수비력!B:B,D356)-SUMIFS(팀수비력!N:N,팀수비력!A:A,B356,팀수비력!B:B,D356)))*100,"")</f>
        <v>2.6161840049416809</v>
      </c>
      <c r="BO356" s="67">
        <f t="shared" si="217"/>
        <v>13.440860215053764</v>
      </c>
      <c r="BT356" t="s">
        <v>113</v>
      </c>
      <c r="BV356" t="s">
        <v>93</v>
      </c>
      <c r="CF356">
        <v>5</v>
      </c>
      <c r="CG356">
        <v>4</v>
      </c>
    </row>
    <row r="357" spans="1:85" x14ac:dyDescent="0.4">
      <c r="A357" s="11" t="s">
        <v>85</v>
      </c>
      <c r="B357" t="s">
        <v>286</v>
      </c>
      <c r="C357" t="s">
        <v>301</v>
      </c>
      <c r="D357" s="46" t="s">
        <v>306</v>
      </c>
      <c r="E357">
        <v>8</v>
      </c>
      <c r="F357">
        <v>15</v>
      </c>
      <c r="G357" s="1">
        <v>0</v>
      </c>
      <c r="H357" s="16">
        <f t="shared" si="192"/>
        <v>7200</v>
      </c>
      <c r="I357">
        <v>44</v>
      </c>
      <c r="J357" s="17">
        <f t="shared" si="193"/>
        <v>5.5</v>
      </c>
      <c r="K357">
        <v>18</v>
      </c>
      <c r="L357">
        <v>30</v>
      </c>
      <c r="M357" s="17">
        <f t="shared" si="194"/>
        <v>2.25</v>
      </c>
      <c r="N357" s="17">
        <f t="shared" si="195"/>
        <v>3.75</v>
      </c>
      <c r="O357" s="18">
        <f t="shared" si="196"/>
        <v>0.6</v>
      </c>
      <c r="P357">
        <v>11</v>
      </c>
      <c r="Q357">
        <v>18</v>
      </c>
      <c r="R357" s="17">
        <f t="shared" si="197"/>
        <v>1.375</v>
      </c>
      <c r="S357" s="17">
        <f t="shared" si="198"/>
        <v>2.25</v>
      </c>
      <c r="T357" s="18">
        <f t="shared" si="199"/>
        <v>0.61111111111111116</v>
      </c>
      <c r="U357">
        <v>7</v>
      </c>
      <c r="V357">
        <v>12</v>
      </c>
      <c r="W357" s="17">
        <f t="shared" si="200"/>
        <v>0.875</v>
      </c>
      <c r="X357" s="17">
        <f t="shared" si="201"/>
        <v>1.5</v>
      </c>
      <c r="Y357" s="18">
        <f t="shared" si="202"/>
        <v>0.58333333333333337</v>
      </c>
      <c r="Z357">
        <v>1</v>
      </c>
      <c r="AA357">
        <v>2</v>
      </c>
      <c r="AB357" s="17">
        <f t="shared" si="203"/>
        <v>0.125</v>
      </c>
      <c r="AC357" s="17">
        <f t="shared" si="204"/>
        <v>0.25</v>
      </c>
      <c r="AD357" s="18">
        <f t="shared" si="205"/>
        <v>0.5</v>
      </c>
      <c r="AE357">
        <v>11</v>
      </c>
      <c r="AF357" s="17">
        <f t="shared" si="206"/>
        <v>1.375</v>
      </c>
      <c r="AG357">
        <v>2</v>
      </c>
      <c r="AH357" s="17">
        <f t="shared" si="207"/>
        <v>0.25</v>
      </c>
      <c r="AI357">
        <v>9</v>
      </c>
      <c r="AJ357" s="17">
        <f t="shared" si="208"/>
        <v>1.125</v>
      </c>
      <c r="AK357">
        <v>5</v>
      </c>
      <c r="AL357" s="17">
        <f t="shared" si="209"/>
        <v>0.625</v>
      </c>
      <c r="AM357">
        <v>4</v>
      </c>
      <c r="AN357" s="17">
        <f t="shared" si="210"/>
        <v>0.5</v>
      </c>
      <c r="AO357">
        <v>1</v>
      </c>
      <c r="AQ357">
        <v>1</v>
      </c>
      <c r="AR357" s="17">
        <f t="shared" si="211"/>
        <v>0.125</v>
      </c>
      <c r="AS357">
        <v>10</v>
      </c>
      <c r="AT357" s="17">
        <f t="shared" si="212"/>
        <v>1.25</v>
      </c>
      <c r="BD357" s="65">
        <f t="shared" si="213"/>
        <v>71.243523316062181</v>
      </c>
      <c r="BE357" s="65">
        <f t="shared" si="214"/>
        <v>71.666666666666671</v>
      </c>
      <c r="BF357" s="66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11.000690131124914</v>
      </c>
      <c r="BG357" s="38">
        <f t="shared" si="215"/>
        <v>0.4</v>
      </c>
      <c r="BH357" s="38">
        <f t="shared" si="216"/>
        <v>6.6666666666666666E-2</v>
      </c>
      <c r="BI357" s="67">
        <f>IFERROR(((AG357*(12000/5))/((F357*60+G357)*(SUMIFS(팀공격력!X:X,팀공격력!A:A,B357,팀공격력!B:B,D357)+SUMIFS(팀수비력!X:X,팀수비력!A:A,B357,팀수비력!B:B,D357))))*100,"")</f>
        <v>0.80563947633434041</v>
      </c>
      <c r="BJ357" s="67">
        <f>IFERROR(((AI357*(12000/5))/((F357*60+G357)*(SUMIFS(팀공격력!V:V,팀공격력!A:A,B357,팀공격력!B:B,D357)+SUMIFS(팀수비력!W:W,팀수비력!A:A,B357,팀수비력!B:B,D357))))*100,"")</f>
        <v>7.0796460176991154</v>
      </c>
      <c r="BK357" s="67">
        <f>IFERROR(((AE357*(12000/5))/((F357*60+G357)*(SUMIFS(팀공격력!X:X,팀공격력!A:A,B357,팀공격력!B:B,D357)+SUMIFS(팀수비력!X:X,팀수비력!A:A,B357,팀수비력!B:B,D357))))*100,"")</f>
        <v>4.4310171198388728</v>
      </c>
      <c r="BL357" s="67">
        <f>IFERROR(100*AK357/(((((F357*60+G357)/(12000/5))*SUMIFS(팀공격력!P:P,팀공격력!A:A,B357,팀공격력!B:B,D357))-K357)),"")</f>
        <v>5.7471264367816088</v>
      </c>
      <c r="BM357" s="67">
        <f>IFERROR(100*((AM357/E357*(2400))/((F357*60+G357)*SUMIFS(팀공격력!AR:AR,팀공격력!A:A,B357,팀공격력!B:B,D357))),"")</f>
        <v>1.8636112023359095</v>
      </c>
      <c r="BN357" s="67">
        <f>IFERROR((AO357*40)/(((F357*60+G357)/60)*(SUMIFS(팀수비력!Q:Q,팀수비력!A:A,B357,팀수비력!B:B,D357)-SUMIFS(팀수비력!N:N,팀수비력!A:A,B357,팀수비력!B:B,D357)))*100,"")</f>
        <v>0.70733863837312105</v>
      </c>
      <c r="BO357" s="67">
        <f t="shared" si="217"/>
        <v>3.1367628607277291</v>
      </c>
      <c r="BT357" t="s">
        <v>89</v>
      </c>
      <c r="BV357" t="s">
        <v>93</v>
      </c>
      <c r="CF357">
        <v>5</v>
      </c>
      <c r="CG357">
        <v>3</v>
      </c>
    </row>
    <row r="358" spans="1:85" x14ac:dyDescent="0.4">
      <c r="A358" s="11" t="s">
        <v>85</v>
      </c>
      <c r="B358" t="s">
        <v>286</v>
      </c>
      <c r="C358" t="s">
        <v>302</v>
      </c>
      <c r="D358" s="46" t="s">
        <v>306</v>
      </c>
      <c r="E358">
        <v>9</v>
      </c>
      <c r="F358">
        <v>19</v>
      </c>
      <c r="G358" s="1">
        <v>39</v>
      </c>
      <c r="H358" s="16">
        <f t="shared" si="192"/>
        <v>10611</v>
      </c>
      <c r="I358">
        <v>44</v>
      </c>
      <c r="J358" s="17">
        <f t="shared" si="193"/>
        <v>4.8888888888888893</v>
      </c>
      <c r="K358">
        <v>13</v>
      </c>
      <c r="L358">
        <v>36</v>
      </c>
      <c r="M358" s="17">
        <f t="shared" si="194"/>
        <v>1.4444444444444444</v>
      </c>
      <c r="N358" s="17">
        <f t="shared" si="195"/>
        <v>4</v>
      </c>
      <c r="O358" s="18">
        <f t="shared" si="196"/>
        <v>0.3611111111111111</v>
      </c>
      <c r="P358">
        <v>4</v>
      </c>
      <c r="Q358">
        <v>8</v>
      </c>
      <c r="R358" s="17">
        <f t="shared" si="197"/>
        <v>0.44444444444444442</v>
      </c>
      <c r="S358" s="17">
        <f t="shared" si="198"/>
        <v>0.88888888888888884</v>
      </c>
      <c r="T358" s="18">
        <f t="shared" si="199"/>
        <v>0.5</v>
      </c>
      <c r="U358">
        <v>9</v>
      </c>
      <c r="V358">
        <v>28</v>
      </c>
      <c r="W358" s="17">
        <f t="shared" si="200"/>
        <v>1</v>
      </c>
      <c r="X358" s="17">
        <f t="shared" si="201"/>
        <v>3.1111111111111112</v>
      </c>
      <c r="Y358" s="18">
        <f t="shared" si="202"/>
        <v>0.32142857142857145</v>
      </c>
      <c r="Z358">
        <v>9</v>
      </c>
      <c r="AA358">
        <v>11</v>
      </c>
      <c r="AB358" s="17">
        <f t="shared" si="203"/>
        <v>1</v>
      </c>
      <c r="AC358" s="17">
        <f t="shared" si="204"/>
        <v>1.2222222222222223</v>
      </c>
      <c r="AD358" s="18">
        <f t="shared" si="205"/>
        <v>0.81818181818181823</v>
      </c>
      <c r="AE358">
        <v>18</v>
      </c>
      <c r="AF358" s="17">
        <f t="shared" si="206"/>
        <v>2</v>
      </c>
      <c r="AG358">
        <v>1</v>
      </c>
      <c r="AH358" s="17">
        <f t="shared" si="207"/>
        <v>0.1111111111111111</v>
      </c>
      <c r="AI358">
        <v>17</v>
      </c>
      <c r="AJ358" s="17">
        <f t="shared" si="208"/>
        <v>1.8888888888888888</v>
      </c>
      <c r="AK358">
        <v>12</v>
      </c>
      <c r="AL358" s="17">
        <f t="shared" si="209"/>
        <v>1.3333333333333333</v>
      </c>
      <c r="AM358">
        <v>4</v>
      </c>
      <c r="AN358" s="17">
        <f t="shared" si="210"/>
        <v>0.44444444444444442</v>
      </c>
      <c r="AO358">
        <v>2</v>
      </c>
      <c r="AQ358">
        <v>5</v>
      </c>
      <c r="AR358" s="17">
        <f t="shared" si="211"/>
        <v>0.55555555555555558</v>
      </c>
      <c r="AS358">
        <v>24</v>
      </c>
      <c r="AT358" s="17">
        <f t="shared" si="212"/>
        <v>2.6666666666666665</v>
      </c>
      <c r="BD358" s="65">
        <f t="shared" si="213"/>
        <v>53.868756121449557</v>
      </c>
      <c r="BE358" s="65">
        <f t="shared" si="214"/>
        <v>48.611111111111107</v>
      </c>
      <c r="BF358" s="66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12.074660597727311</v>
      </c>
      <c r="BG358" s="38">
        <f t="shared" si="215"/>
        <v>0.77777777777777779</v>
      </c>
      <c r="BH358" s="38">
        <f t="shared" si="216"/>
        <v>0.30555555555555558</v>
      </c>
      <c r="BI358" s="67">
        <f>IFERROR(((AG358*(12000/5))/((F358*60+G358)*(SUMIFS(팀공격력!X:X,팀공격력!A:A,B358,팀공격력!B:B,D358)+SUMIFS(팀수비력!X:X,팀수비력!A:A,B358,팀수비력!B:B,D358))))*100,"")</f>
        <v>0.30749598333371769</v>
      </c>
      <c r="BJ358" s="67">
        <f>IFERROR(((AI358*(12000/5))/((F358*60+G358)*(SUMIFS(팀공격력!V:V,팀공격력!A:A,B358,팀공격력!B:B,D358)+SUMIFS(팀수비력!W:W,팀수비력!A:A,B358,팀수비력!B:B,D358))))*100,"")</f>
        <v>10.208140992441471</v>
      </c>
      <c r="BK358" s="67">
        <f>IFERROR(((AE358*(12000/5))/((F358*60+G358)*(SUMIFS(팀공격력!X:X,팀공격력!A:A,B358,팀공격력!B:B,D358)+SUMIFS(팀수비력!X:X,팀수비력!A:A,B358,팀수비력!B:B,D358))))*100,"")</f>
        <v>5.5349277000069188</v>
      </c>
      <c r="BL358" s="67">
        <f>IFERROR(100*AK358/(((((F358*60+G358)/(12000/5))*SUMIFS(팀공격력!P:P,팀공격력!A:A,B358,팀공격력!B:B,D358))-K358)),"")</f>
        <v>9.6346848655158563</v>
      </c>
      <c r="BM358" s="67">
        <f>IFERROR(100*((AM358/E358*(2400))/((F358*60+G358)*SUMIFS(팀공격력!AR:AR,팀공격력!A:A,B358,팀공격력!B:B,D358))),"")</f>
        <v>1.264536863332254</v>
      </c>
      <c r="BN358" s="67">
        <f>IFERROR((AO358*40)/(((F358*60+G358)/60)*(SUMIFS(팀수비력!Q:Q,팀수비력!A:A,B358,팀수비력!B:B,D358)-SUMIFS(팀수비력!N:N,팀수비력!A:A,B358,팀수비력!B:B,D358)))*100,"")</f>
        <v>1.0799063181269024</v>
      </c>
      <c r="BO358" s="67">
        <f t="shared" si="217"/>
        <v>10.907504363001744</v>
      </c>
      <c r="BT358" t="s">
        <v>89</v>
      </c>
      <c r="BV358" t="s">
        <v>93</v>
      </c>
      <c r="CF358">
        <v>5</v>
      </c>
      <c r="CG358">
        <v>4</v>
      </c>
    </row>
    <row r="359" spans="1:85" x14ac:dyDescent="0.4">
      <c r="A359" s="11" t="s">
        <v>85</v>
      </c>
      <c r="B359" t="s">
        <v>99</v>
      </c>
      <c r="C359" t="s">
        <v>100</v>
      </c>
      <c r="D359" s="46" t="s">
        <v>307</v>
      </c>
      <c r="E359">
        <v>4</v>
      </c>
      <c r="F359">
        <v>18</v>
      </c>
      <c r="G359" s="1">
        <v>33</v>
      </c>
      <c r="H359" s="16">
        <f t="shared" si="192"/>
        <v>4452</v>
      </c>
      <c r="I359">
        <v>20</v>
      </c>
      <c r="J359" s="17">
        <f t="shared" si="193"/>
        <v>5</v>
      </c>
      <c r="K359">
        <v>7</v>
      </c>
      <c r="L359">
        <v>22</v>
      </c>
      <c r="M359" s="17">
        <f t="shared" si="194"/>
        <v>1.75</v>
      </c>
      <c r="N359" s="17">
        <f t="shared" si="195"/>
        <v>5.5</v>
      </c>
      <c r="O359" s="18">
        <f t="shared" si="196"/>
        <v>0.31818181818181818</v>
      </c>
      <c r="P359">
        <v>2</v>
      </c>
      <c r="Q359">
        <v>5</v>
      </c>
      <c r="R359" s="17">
        <f t="shared" si="197"/>
        <v>0.5</v>
      </c>
      <c r="S359" s="17">
        <f t="shared" si="198"/>
        <v>1.25</v>
      </c>
      <c r="T359" s="18">
        <f t="shared" si="199"/>
        <v>0.4</v>
      </c>
      <c r="U359">
        <v>5</v>
      </c>
      <c r="V359">
        <v>17</v>
      </c>
      <c r="W359" s="17">
        <f t="shared" si="200"/>
        <v>1.25</v>
      </c>
      <c r="X359" s="17">
        <f t="shared" si="201"/>
        <v>4.25</v>
      </c>
      <c r="Y359" s="18">
        <f t="shared" si="202"/>
        <v>0.29411764705882354</v>
      </c>
      <c r="Z359">
        <v>1</v>
      </c>
      <c r="AA359">
        <v>2</v>
      </c>
      <c r="AB359" s="17">
        <f t="shared" si="203"/>
        <v>0.25</v>
      </c>
      <c r="AC359" s="17">
        <f t="shared" si="204"/>
        <v>0.5</v>
      </c>
      <c r="AD359" s="18">
        <f t="shared" si="205"/>
        <v>0.5</v>
      </c>
      <c r="AE359">
        <v>5</v>
      </c>
      <c r="AF359" s="17">
        <f t="shared" si="206"/>
        <v>1.25</v>
      </c>
      <c r="AG359">
        <v>1</v>
      </c>
      <c r="AH359" s="17">
        <f t="shared" si="207"/>
        <v>0.25</v>
      </c>
      <c r="AI359">
        <v>4</v>
      </c>
      <c r="AJ359" s="17">
        <f t="shared" si="208"/>
        <v>1</v>
      </c>
      <c r="AK359">
        <v>2</v>
      </c>
      <c r="AL359" s="17">
        <f t="shared" si="209"/>
        <v>0.5</v>
      </c>
      <c r="AM359">
        <v>5</v>
      </c>
      <c r="AN359" s="17">
        <f t="shared" si="210"/>
        <v>1.25</v>
      </c>
      <c r="AO359">
        <v>0</v>
      </c>
      <c r="AQ359">
        <v>0</v>
      </c>
      <c r="AR359" s="17">
        <f t="shared" si="211"/>
        <v>0</v>
      </c>
      <c r="AS359">
        <v>6</v>
      </c>
      <c r="AT359" s="17">
        <f t="shared" si="212"/>
        <v>1.5</v>
      </c>
      <c r="BD359" s="65">
        <f t="shared" si="213"/>
        <v>43.706293706293707</v>
      </c>
      <c r="BE359" s="65">
        <f t="shared" si="214"/>
        <v>43.18181818181818</v>
      </c>
      <c r="BF359" s="66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6.6805133542381618</v>
      </c>
      <c r="BG359" s="38">
        <f t="shared" si="215"/>
        <v>0.77272727272727271</v>
      </c>
      <c r="BH359" s="38">
        <f t="shared" si="216"/>
        <v>9.0909090909090912E-2</v>
      </c>
      <c r="BI359" s="67">
        <f>IFERROR(((AG359*(12000/5))/((F359*60+G359)*(SUMIFS(팀공격력!X:X,팀공격력!A:A,B359,팀공격력!B:B,D359)+SUMIFS(팀수비력!X:X,팀수비력!A:A,B359,팀수비력!B:B,D359))))*100,"")</f>
        <v>0.34556638330223238</v>
      </c>
      <c r="BJ359" s="67">
        <f>IFERROR(((AI359*(12000/5))/((F359*60+G359)*(SUMIFS(팀공격력!V:V,팀공격력!A:A,B359,팀공격력!B:B,D359)+SUMIFS(팀수비력!W:W,팀수비력!A:A,B359,팀수비력!B:B,D359))))*100,"")</f>
        <v>2.6539498237611445</v>
      </c>
      <c r="BK359" s="67">
        <f>IFERROR(((AE359*(12000/5))/((F359*60+G359)*(SUMIFS(팀공격력!X:X,팀공격력!A:A,B359,팀공격력!B:B,D359)+SUMIFS(팀수비력!X:X,팀수비력!A:A,B359,팀수비력!B:B,D359))))*100,"")</f>
        <v>1.727831916511162</v>
      </c>
      <c r="BL359" s="67">
        <f>IFERROR(100*AK359/(((((F359*60+G359)/(12000/5))*SUMIFS(팀공격력!P:P,팀공격력!A:A,B359,팀공격력!B:B,D359))-K359)),"")</f>
        <v>1.8437640442964311</v>
      </c>
      <c r="BM359" s="67">
        <f>IFERROR(100*((AM359/E359*(2400))/((F359*60+G359)*SUMIFS(팀공격력!AR:AR,팀공격력!A:A,B359,팀공격력!B:B,D359))),"")</f>
        <v>3.8341201807071066</v>
      </c>
      <c r="BN359" s="67">
        <f>IFERROR((AO359*40)/(((F359*60+G359)/60)*(SUMIFS(팀수비력!Q:Q,팀수비력!A:A,B359,팀수비력!B:B,D359)-SUMIFS(팀수비력!N:N,팀수비력!A:A,B359,팀수비력!B:B,D359)))*100,"")</f>
        <v>0</v>
      </c>
      <c r="BO359" s="67">
        <f t="shared" si="217"/>
        <v>0</v>
      </c>
      <c r="BT359" t="s">
        <v>89</v>
      </c>
      <c r="BV359" t="s">
        <v>90</v>
      </c>
      <c r="CF359">
        <v>0</v>
      </c>
      <c r="CG359">
        <v>4</v>
      </c>
    </row>
    <row r="360" spans="1:85" x14ac:dyDescent="0.4">
      <c r="A360" s="11" t="s">
        <v>85</v>
      </c>
      <c r="B360" t="s">
        <v>99</v>
      </c>
      <c r="C360" t="s">
        <v>101</v>
      </c>
      <c r="D360" s="46" t="s">
        <v>307</v>
      </c>
      <c r="E360">
        <v>8</v>
      </c>
      <c r="F360">
        <v>19</v>
      </c>
      <c r="G360" s="1">
        <v>55</v>
      </c>
      <c r="H360" s="16">
        <f t="shared" si="192"/>
        <v>9560</v>
      </c>
      <c r="I360">
        <v>55</v>
      </c>
      <c r="J360" s="17">
        <f t="shared" si="193"/>
        <v>6.875</v>
      </c>
      <c r="K360">
        <v>20</v>
      </c>
      <c r="L360">
        <v>46</v>
      </c>
      <c r="M360" s="17">
        <f t="shared" si="194"/>
        <v>2.5</v>
      </c>
      <c r="N360" s="17">
        <f t="shared" si="195"/>
        <v>5.75</v>
      </c>
      <c r="O360" s="18">
        <f t="shared" si="196"/>
        <v>0.43478260869565216</v>
      </c>
      <c r="P360">
        <v>6</v>
      </c>
      <c r="Q360">
        <v>10</v>
      </c>
      <c r="R360" s="17">
        <f t="shared" si="197"/>
        <v>0.75</v>
      </c>
      <c r="S360" s="17">
        <f t="shared" si="198"/>
        <v>1.25</v>
      </c>
      <c r="T360" s="18">
        <f t="shared" si="199"/>
        <v>0.6</v>
      </c>
      <c r="U360">
        <v>14</v>
      </c>
      <c r="V360">
        <v>36</v>
      </c>
      <c r="W360" s="17">
        <f t="shared" si="200"/>
        <v>1.75</v>
      </c>
      <c r="X360" s="17">
        <f t="shared" si="201"/>
        <v>4.5</v>
      </c>
      <c r="Y360" s="18">
        <f t="shared" si="202"/>
        <v>0.3888888888888889</v>
      </c>
      <c r="Z360">
        <v>1</v>
      </c>
      <c r="AA360">
        <v>3</v>
      </c>
      <c r="AB360" s="17">
        <f t="shared" si="203"/>
        <v>0.125</v>
      </c>
      <c r="AC360" s="17">
        <f t="shared" si="204"/>
        <v>0.375</v>
      </c>
      <c r="AD360" s="18">
        <f t="shared" si="205"/>
        <v>0.33333333333333331</v>
      </c>
      <c r="AE360">
        <v>22</v>
      </c>
      <c r="AF360" s="17">
        <f t="shared" si="206"/>
        <v>2.75</v>
      </c>
      <c r="AG360">
        <v>10</v>
      </c>
      <c r="AH360" s="17">
        <f t="shared" si="207"/>
        <v>1.25</v>
      </c>
      <c r="AI360">
        <v>12</v>
      </c>
      <c r="AJ360" s="17">
        <f t="shared" si="208"/>
        <v>1.5</v>
      </c>
      <c r="AK360">
        <v>2</v>
      </c>
      <c r="AL360" s="17">
        <f t="shared" si="209"/>
        <v>0.25</v>
      </c>
      <c r="AM360">
        <v>0</v>
      </c>
      <c r="AN360" s="17">
        <f t="shared" si="210"/>
        <v>0</v>
      </c>
      <c r="AO360">
        <v>2</v>
      </c>
      <c r="AQ360">
        <v>5</v>
      </c>
      <c r="AR360" s="17">
        <f t="shared" si="211"/>
        <v>0.625</v>
      </c>
      <c r="AS360">
        <v>15</v>
      </c>
      <c r="AT360" s="17">
        <f t="shared" si="212"/>
        <v>1.875</v>
      </c>
      <c r="BD360" s="65">
        <f t="shared" si="213"/>
        <v>58.11496196111581</v>
      </c>
      <c r="BE360" s="65">
        <f t="shared" si="214"/>
        <v>58.695652173913047</v>
      </c>
      <c r="BF360" s="66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14.228162306746253</v>
      </c>
      <c r="BG360" s="38">
        <f t="shared" si="215"/>
        <v>0.78260869565217395</v>
      </c>
      <c r="BH360" s="38">
        <f t="shared" si="216"/>
        <v>6.5217391304347824E-2</v>
      </c>
      <c r="BI360" s="67">
        <f>IFERROR(((AG360*(12000/5))/((F360*60+G360)*(SUMIFS(팀공격력!X:X,팀공격력!A:A,B360,팀공격력!B:B,D360)+SUMIFS(팀수비력!X:X,팀수비력!A:A,B360,팀수비력!B:B,D360))))*100,"")</f>
        <v>3.21853878339234</v>
      </c>
      <c r="BJ360" s="67">
        <f>IFERROR(((AI360*(12000/5))/((F360*60+G360)*(SUMIFS(팀공격력!V:V,팀공격력!A:A,B360,팀공격력!B:B,D360)+SUMIFS(팀수비력!W:W,팀수비력!A:A,B360,팀수비력!B:B,D360))))*100,"")</f>
        <v>7.4155133569359517</v>
      </c>
      <c r="BK360" s="67">
        <f>IFERROR(((AE360*(12000/5))/((F360*60+G360)*(SUMIFS(팀공격력!X:X,팀공격력!A:A,B360,팀공격력!B:B,D360)+SUMIFS(팀수비력!X:X,팀수비력!A:A,B360,팀수비력!B:B,D360))))*100,"")</f>
        <v>7.0807853234631475</v>
      </c>
      <c r="BL360" s="67">
        <f>IFERROR(100*AK360/(((((F360*60+G360)/(12000/5))*SUMIFS(팀공격력!P:P,팀공격력!A:A,B360,팀공격력!B:B,D360))-K360)),"")</f>
        <v>1.9234236941756326</v>
      </c>
      <c r="BM360" s="67">
        <f>IFERROR(100*((AM360/E360*(2400))/((F360*60+G360)*SUMIFS(팀공격력!AR:AR,팀공격력!A:A,B360,팀공격력!B:B,D360))),"")</f>
        <v>0</v>
      </c>
      <c r="BN360" s="67">
        <f>IFERROR((AO360*40)/(((F360*60+G360)/60)*(SUMIFS(팀수비력!Q:Q,팀수비력!A:A,B360,팀수비력!B:B,D360)-SUMIFS(팀수비력!N:N,팀수비력!A:A,B360,팀수비력!B:B,D360)))*100,"")</f>
        <v>1.1065389536291019</v>
      </c>
      <c r="BO360" s="67">
        <f t="shared" si="217"/>
        <v>9.5565749235473998</v>
      </c>
      <c r="BT360" t="s">
        <v>89</v>
      </c>
      <c r="BV360" t="s">
        <v>102</v>
      </c>
      <c r="CF360">
        <v>4</v>
      </c>
      <c r="CG360">
        <v>4</v>
      </c>
    </row>
    <row r="361" spans="1:85" x14ac:dyDescent="0.4">
      <c r="A361" s="11" t="s">
        <v>85</v>
      </c>
      <c r="B361" t="s">
        <v>99</v>
      </c>
      <c r="C361" t="s">
        <v>103</v>
      </c>
      <c r="D361" s="46" t="s">
        <v>307</v>
      </c>
      <c r="E361">
        <v>3</v>
      </c>
      <c r="F361">
        <v>6</v>
      </c>
      <c r="G361" s="1">
        <v>47</v>
      </c>
      <c r="H361" s="16">
        <f t="shared" si="192"/>
        <v>1221</v>
      </c>
      <c r="I361">
        <v>3</v>
      </c>
      <c r="J361" s="17">
        <f t="shared" si="193"/>
        <v>1</v>
      </c>
      <c r="K361">
        <v>1</v>
      </c>
      <c r="L361">
        <v>9</v>
      </c>
      <c r="M361" s="17">
        <f t="shared" si="194"/>
        <v>0.33333333333333331</v>
      </c>
      <c r="N361" s="17">
        <f t="shared" si="195"/>
        <v>3</v>
      </c>
      <c r="O361" s="18">
        <f t="shared" si="196"/>
        <v>0.1111111111111111</v>
      </c>
      <c r="P361">
        <v>0</v>
      </c>
      <c r="Q361">
        <v>1</v>
      </c>
      <c r="R361" s="17">
        <f t="shared" si="197"/>
        <v>0</v>
      </c>
      <c r="S361" s="17">
        <f t="shared" si="198"/>
        <v>0.33333333333333331</v>
      </c>
      <c r="T361" s="18">
        <f t="shared" si="199"/>
        <v>0</v>
      </c>
      <c r="U361">
        <v>1</v>
      </c>
      <c r="V361">
        <v>8</v>
      </c>
      <c r="W361" s="17">
        <f t="shared" si="200"/>
        <v>0.33333333333333331</v>
      </c>
      <c r="X361" s="17">
        <f t="shared" si="201"/>
        <v>2.6666666666666665</v>
      </c>
      <c r="Y361" s="18">
        <f t="shared" si="202"/>
        <v>0.125</v>
      </c>
      <c r="Z361">
        <v>0</v>
      </c>
      <c r="AA361">
        <v>0</v>
      </c>
      <c r="AB361" s="17">
        <f t="shared" si="203"/>
        <v>0</v>
      </c>
      <c r="AC361" s="17">
        <f t="shared" si="204"/>
        <v>0</v>
      </c>
      <c r="AD361" s="18" t="e">
        <f t="shared" si="205"/>
        <v>#DIV/0!</v>
      </c>
      <c r="AE361">
        <v>3</v>
      </c>
      <c r="AF361" s="17">
        <f t="shared" si="206"/>
        <v>1</v>
      </c>
      <c r="AG361">
        <v>1</v>
      </c>
      <c r="AH361" s="17">
        <f t="shared" si="207"/>
        <v>0.33333333333333331</v>
      </c>
      <c r="AI361">
        <v>2</v>
      </c>
      <c r="AJ361" s="17">
        <f t="shared" si="208"/>
        <v>0.66666666666666663</v>
      </c>
      <c r="AK361">
        <v>0</v>
      </c>
      <c r="AL361" s="17">
        <f t="shared" si="209"/>
        <v>0</v>
      </c>
      <c r="AM361">
        <v>1</v>
      </c>
      <c r="AN361" s="17">
        <f t="shared" si="210"/>
        <v>0.33333333333333331</v>
      </c>
      <c r="AO361">
        <v>0</v>
      </c>
      <c r="AQ361">
        <v>0</v>
      </c>
      <c r="AR361" s="17">
        <f t="shared" si="211"/>
        <v>0</v>
      </c>
      <c r="AS361">
        <v>1</v>
      </c>
      <c r="AT361" s="17">
        <f t="shared" si="212"/>
        <v>0.33333333333333331</v>
      </c>
      <c r="BD361" s="65">
        <f t="shared" si="213"/>
        <v>16.666666666666664</v>
      </c>
      <c r="BE361" s="65">
        <f t="shared" si="214"/>
        <v>16.666666666666664</v>
      </c>
      <c r="BF361" s="66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7.1861632821390167</v>
      </c>
      <c r="BG361" s="38">
        <f t="shared" si="215"/>
        <v>0.88888888888888884</v>
      </c>
      <c r="BH361" s="38">
        <f t="shared" si="216"/>
        <v>0</v>
      </c>
      <c r="BI361" s="67">
        <f>IFERROR(((AG361*(12000/5))/((F361*60+G361)*(SUMIFS(팀공격력!X:X,팀공격력!A:A,B361,팀공격력!B:B,D361)+SUMIFS(팀수비력!X:X,팀수비력!A:A,B361,팀수비력!B:B,D361))))*100,"")</f>
        <v>0.945000945000945</v>
      </c>
      <c r="BJ361" s="67">
        <f>IFERROR(((AI361*(12000/5))/((F361*60+G361)*(SUMIFS(팀공격력!V:V,팀공격력!A:A,B361,팀공격력!B:B,D361)+SUMIFS(팀수비력!W:W,팀수비력!A:A,B361,팀수비력!B:B,D361))))*100,"")</f>
        <v>3.6288036288036283</v>
      </c>
      <c r="BK361" s="67">
        <f>IFERROR(((AE361*(12000/5))/((F361*60+G361)*(SUMIFS(팀공격력!X:X,팀공격력!A:A,B361,팀공격력!B:B,D361)+SUMIFS(팀수비력!X:X,팀수비력!A:A,B361,팀수비력!B:B,D361))))*100,"")</f>
        <v>2.8350028350028351</v>
      </c>
      <c r="BL361" s="67">
        <f>IFERROR(100*AK361/(((((F361*60+G361)/(12000/5))*SUMIFS(팀공격력!P:P,팀공격력!A:A,B361,팀공격력!B:B,D361))-K361)),"")</f>
        <v>0</v>
      </c>
      <c r="BM361" s="67">
        <f>IFERROR(100*((AM361/E361*(2400))/((F361*60+G361)*SUMIFS(팀공격력!AR:AR,팀공격력!A:A,B361,팀공격력!B:B,D361))),"")</f>
        <v>2.7959873946778115</v>
      </c>
      <c r="BN361" s="67">
        <f>IFERROR((AO361*40)/(((F361*60+G361)/60)*(SUMIFS(팀수비력!Q:Q,팀수비력!A:A,B361,팀수비력!B:B,D361)-SUMIFS(팀수비력!N:N,팀수비력!A:A,B361,팀수비력!B:B,D361)))*100,"")</f>
        <v>0</v>
      </c>
      <c r="BO361" s="67">
        <f t="shared" si="217"/>
        <v>0</v>
      </c>
      <c r="BT361" t="s">
        <v>89</v>
      </c>
      <c r="BV361" t="s">
        <v>90</v>
      </c>
      <c r="CF361">
        <v>1</v>
      </c>
      <c r="CG361">
        <v>2</v>
      </c>
    </row>
    <row r="362" spans="1:85" x14ac:dyDescent="0.4">
      <c r="A362" s="11" t="s">
        <v>85</v>
      </c>
      <c r="B362" t="s">
        <v>99</v>
      </c>
      <c r="C362" t="s">
        <v>105</v>
      </c>
      <c r="D362" s="46" t="s">
        <v>307</v>
      </c>
      <c r="E362">
        <v>9</v>
      </c>
      <c r="F362">
        <v>11</v>
      </c>
      <c r="G362" s="1">
        <v>57</v>
      </c>
      <c r="H362" s="16">
        <f t="shared" si="192"/>
        <v>6453</v>
      </c>
      <c r="I362">
        <v>8</v>
      </c>
      <c r="J362" s="17">
        <f t="shared" si="193"/>
        <v>0.88888888888888884</v>
      </c>
      <c r="K362">
        <v>4</v>
      </c>
      <c r="L362">
        <v>12</v>
      </c>
      <c r="M362" s="17">
        <f t="shared" si="194"/>
        <v>0.44444444444444442</v>
      </c>
      <c r="N362" s="17">
        <f t="shared" si="195"/>
        <v>1.3333333333333333</v>
      </c>
      <c r="O362" s="18">
        <f t="shared" si="196"/>
        <v>0.33333333333333331</v>
      </c>
      <c r="P362">
        <v>4</v>
      </c>
      <c r="Q362">
        <v>6</v>
      </c>
      <c r="R362" s="17">
        <f t="shared" si="197"/>
        <v>0.44444444444444442</v>
      </c>
      <c r="S362" s="17">
        <f t="shared" si="198"/>
        <v>0.66666666666666663</v>
      </c>
      <c r="T362" s="18">
        <f t="shared" si="199"/>
        <v>0.66666666666666663</v>
      </c>
      <c r="U362">
        <v>0</v>
      </c>
      <c r="V362">
        <v>6</v>
      </c>
      <c r="W362" s="17">
        <f t="shared" si="200"/>
        <v>0</v>
      </c>
      <c r="X362" s="17">
        <f t="shared" si="201"/>
        <v>0.66666666666666663</v>
      </c>
      <c r="Y362" s="18">
        <f t="shared" si="202"/>
        <v>0</v>
      </c>
      <c r="Z362">
        <v>0</v>
      </c>
      <c r="AA362">
        <v>0</v>
      </c>
      <c r="AB362" s="17">
        <f t="shared" si="203"/>
        <v>0</v>
      </c>
      <c r="AC362" s="17">
        <f t="shared" si="204"/>
        <v>0</v>
      </c>
      <c r="AD362" s="18" t="e">
        <f t="shared" si="205"/>
        <v>#DIV/0!</v>
      </c>
      <c r="AE362">
        <v>29</v>
      </c>
      <c r="AF362" s="17">
        <f t="shared" si="206"/>
        <v>3.2222222222222223</v>
      </c>
      <c r="AG362">
        <v>16</v>
      </c>
      <c r="AH362" s="17">
        <f t="shared" si="207"/>
        <v>1.7777777777777777</v>
      </c>
      <c r="AI362">
        <v>13</v>
      </c>
      <c r="AJ362" s="17">
        <f t="shared" si="208"/>
        <v>1.4444444444444444</v>
      </c>
      <c r="AK362">
        <v>4</v>
      </c>
      <c r="AL362" s="17">
        <f t="shared" si="209"/>
        <v>0.44444444444444442</v>
      </c>
      <c r="AM362">
        <v>7</v>
      </c>
      <c r="AN362" s="17">
        <f t="shared" si="210"/>
        <v>0.77777777777777779</v>
      </c>
      <c r="AO362">
        <v>0</v>
      </c>
      <c r="AQ362">
        <v>1</v>
      </c>
      <c r="AR362" s="17">
        <f t="shared" si="211"/>
        <v>0.1111111111111111</v>
      </c>
      <c r="AS362">
        <v>19</v>
      </c>
      <c r="AT362" s="17">
        <f t="shared" si="212"/>
        <v>2.1111111111111112</v>
      </c>
      <c r="BD362" s="65">
        <f t="shared" si="213"/>
        <v>33.333333333333329</v>
      </c>
      <c r="BE362" s="65">
        <f t="shared" si="214"/>
        <v>33.333333333333329</v>
      </c>
      <c r="BF362" s="66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5.8921416280485888</v>
      </c>
      <c r="BG362" s="38">
        <f t="shared" si="215"/>
        <v>0.5</v>
      </c>
      <c r="BH362" s="38">
        <f t="shared" si="216"/>
        <v>0</v>
      </c>
      <c r="BI362" s="67">
        <f>IFERROR(((AG362*(12000/5))/((F362*60+G362)*(SUMIFS(팀공격력!X:X,팀공격력!A:A,B362,팀공격력!B:B,D362)+SUMIFS(팀수비력!X:X,팀수비력!A:A,B362,팀수비력!B:B,D362))))*100,"")</f>
        <v>8.5827700890462388</v>
      </c>
      <c r="BJ362" s="67">
        <f>IFERROR(((AI362*(12000/5))/((F362*60+G362)*(SUMIFS(팀공격력!V:V,팀공격력!A:A,B362,팀공격력!B:B,D362)+SUMIFS(팀수비력!W:W,팀수비력!A:A,B362,팀수비력!B:B,D362))))*100,"")</f>
        <v>13.389121338912133</v>
      </c>
      <c r="BK362" s="67">
        <f>IFERROR(((AE362*(12000/5))/((F362*60+G362)*(SUMIFS(팀공격력!X:X,팀공격력!A:A,B362,팀공격력!B:B,D362)+SUMIFS(팀수비력!X:X,팀수비력!A:A,B362,팀수비력!B:B,D362))))*100,"")</f>
        <v>15.556270786396309</v>
      </c>
      <c r="BL362" s="67">
        <f>IFERROR(100*AK362/(((((F362*60+G362)/(12000/5))*SUMIFS(팀공격력!P:P,팀공격력!A:A,B362,팀공격력!B:B,D362))-K362)),"")</f>
        <v>5.6827262879366378</v>
      </c>
      <c r="BM362" s="67">
        <f>IFERROR(100*((AM362/E362*(2400))/((F362*60+G362)*SUMIFS(팀공격력!AR:AR,팀공격력!A:A,B362,팀공격력!B:B,D362))),"")</f>
        <v>3.7032859541780976</v>
      </c>
      <c r="BN362" s="67">
        <f>IFERROR((AO362*40)/(((F362*60+G362)/60)*(SUMIFS(팀수비력!Q:Q,팀수비력!A:A,B362,팀수비력!B:B,D362)-SUMIFS(팀수비력!N:N,팀수비력!A:A,B362,팀수비력!B:B,D362)))*100,"")</f>
        <v>0</v>
      </c>
      <c r="BO362" s="67">
        <f t="shared" si="217"/>
        <v>7.6923076923076925</v>
      </c>
      <c r="BT362" t="s">
        <v>89</v>
      </c>
      <c r="BV362" t="s">
        <v>90</v>
      </c>
      <c r="CF362">
        <v>4</v>
      </c>
      <c r="CG362">
        <v>5</v>
      </c>
    </row>
    <row r="363" spans="1:85" x14ac:dyDescent="0.4">
      <c r="A363" s="11" t="s">
        <v>85</v>
      </c>
      <c r="B363" t="s">
        <v>99</v>
      </c>
      <c r="C363" t="s">
        <v>107</v>
      </c>
      <c r="D363" s="46" t="s">
        <v>307</v>
      </c>
      <c r="E363">
        <v>8</v>
      </c>
      <c r="F363">
        <v>9</v>
      </c>
      <c r="G363" s="1">
        <v>30</v>
      </c>
      <c r="H363" s="16">
        <f t="shared" si="192"/>
        <v>4560</v>
      </c>
      <c r="I363">
        <v>35</v>
      </c>
      <c r="J363" s="17">
        <f t="shared" si="193"/>
        <v>4.375</v>
      </c>
      <c r="K363">
        <v>13</v>
      </c>
      <c r="L363">
        <v>29</v>
      </c>
      <c r="M363" s="17">
        <f t="shared" si="194"/>
        <v>1.625</v>
      </c>
      <c r="N363" s="17">
        <f t="shared" si="195"/>
        <v>3.625</v>
      </c>
      <c r="O363" s="18">
        <f t="shared" si="196"/>
        <v>0.44827586206896552</v>
      </c>
      <c r="P363">
        <v>12</v>
      </c>
      <c r="Q363">
        <v>21</v>
      </c>
      <c r="R363" s="17">
        <f t="shared" si="197"/>
        <v>1.5</v>
      </c>
      <c r="S363" s="17">
        <f t="shared" si="198"/>
        <v>2.625</v>
      </c>
      <c r="T363" s="18">
        <f t="shared" si="199"/>
        <v>0.5714285714285714</v>
      </c>
      <c r="U363">
        <v>1</v>
      </c>
      <c r="V363">
        <v>8</v>
      </c>
      <c r="W363" s="17">
        <f t="shared" si="200"/>
        <v>0.125</v>
      </c>
      <c r="X363" s="17">
        <f t="shared" si="201"/>
        <v>1</v>
      </c>
      <c r="Y363" s="18">
        <f t="shared" si="202"/>
        <v>0.125</v>
      </c>
      <c r="Z363">
        <v>8</v>
      </c>
      <c r="AA363">
        <v>9</v>
      </c>
      <c r="AB363" s="17">
        <f t="shared" si="203"/>
        <v>1</v>
      </c>
      <c r="AC363" s="17">
        <f t="shared" si="204"/>
        <v>1.125</v>
      </c>
      <c r="AD363" s="18">
        <f t="shared" si="205"/>
        <v>0.88888888888888884</v>
      </c>
      <c r="AE363">
        <v>28</v>
      </c>
      <c r="AF363" s="17">
        <f t="shared" si="206"/>
        <v>3.5</v>
      </c>
      <c r="AG363">
        <v>8</v>
      </c>
      <c r="AH363" s="17">
        <f t="shared" si="207"/>
        <v>1</v>
      </c>
      <c r="AI363">
        <v>20</v>
      </c>
      <c r="AJ363" s="17">
        <f t="shared" si="208"/>
        <v>2.5</v>
      </c>
      <c r="AK363">
        <v>0</v>
      </c>
      <c r="AL363" s="17">
        <f t="shared" si="209"/>
        <v>0</v>
      </c>
      <c r="AM363">
        <v>1</v>
      </c>
      <c r="AN363" s="17">
        <f t="shared" si="210"/>
        <v>0.125</v>
      </c>
      <c r="AO363">
        <v>8</v>
      </c>
      <c r="AQ363">
        <v>2</v>
      </c>
      <c r="AR363" s="17">
        <f t="shared" si="211"/>
        <v>0.25</v>
      </c>
      <c r="AS363">
        <v>4</v>
      </c>
      <c r="AT363" s="17">
        <f t="shared" si="212"/>
        <v>0.5</v>
      </c>
      <c r="BD363" s="65">
        <f t="shared" si="213"/>
        <v>53.094660194174757</v>
      </c>
      <c r="BE363" s="65">
        <f t="shared" si="214"/>
        <v>46.551724137931032</v>
      </c>
      <c r="BF363" s="66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19.931755402697288</v>
      </c>
      <c r="BG363" s="38">
        <f t="shared" si="215"/>
        <v>0.27586206896551724</v>
      </c>
      <c r="BH363" s="38">
        <f t="shared" si="216"/>
        <v>0.31034482758620691</v>
      </c>
      <c r="BI363" s="67">
        <f>IFERROR(((AG363*(12000/5))/((F363*60+G363)*(SUMIFS(팀공격력!X:X,팀공격력!A:A,B363,팀공격력!B:B,D363)+SUMIFS(팀수비력!X:X,팀수비력!A:A,B363,팀수비력!B:B,D363))))*100,"")</f>
        <v>5.3981106612685563</v>
      </c>
      <c r="BJ363" s="67">
        <f>IFERROR(((AI363*(12000/5))/((F363*60+G363)*(SUMIFS(팀공격력!V:V,팀공격력!A:A,B363,팀공격력!B:B,D363)+SUMIFS(팀수비력!W:W,팀수비력!A:A,B363,팀수비력!B:B,D363))))*100,"")</f>
        <v>25.910931174089068</v>
      </c>
      <c r="BK363" s="67">
        <f>IFERROR(((AE363*(12000/5))/((F363*60+G363)*(SUMIFS(팀공격력!X:X,팀공격력!A:A,B363,팀공격력!B:B,D363)+SUMIFS(팀수비력!X:X,팀수비력!A:A,B363,팀수비력!B:B,D363))))*100,"")</f>
        <v>18.893387314439948</v>
      </c>
      <c r="BL363" s="67">
        <f>IFERROR(100*AK363/(((((F363*60+G363)/(12000/5))*SUMIFS(팀공격력!P:P,팀공격력!A:A,B363,팀공격력!B:B,D363))-K363)),"")</f>
        <v>0</v>
      </c>
      <c r="BM363" s="67">
        <f>IFERROR(100*((AM363/E363*(2400))/((F363*60+G363)*SUMIFS(팀공격력!AR:AR,팀공격력!A:A,B363,팀공격력!B:B,D363))),"")</f>
        <v>0.74866241423280888</v>
      </c>
      <c r="BN363" s="67">
        <f>IFERROR((AO363*40)/(((F363*60+G363)/60)*(SUMIFS(팀수비력!Q:Q,팀수비력!A:A,B363,팀수비력!B:B,D363)-SUMIFS(팀수비력!N:N,팀수비력!A:A,B363,팀수비력!B:B,D363)))*100,"")</f>
        <v>9.279396839205452</v>
      </c>
      <c r="BO363" s="67">
        <f t="shared" si="217"/>
        <v>5.7208237986270021</v>
      </c>
      <c r="BT363" t="s">
        <v>96</v>
      </c>
      <c r="BV363" t="s">
        <v>102</v>
      </c>
      <c r="CF363">
        <v>4</v>
      </c>
      <c r="CG363">
        <v>4</v>
      </c>
    </row>
    <row r="364" spans="1:85" x14ac:dyDescent="0.4">
      <c r="A364" s="11" t="s">
        <v>85</v>
      </c>
      <c r="B364" t="s">
        <v>99</v>
      </c>
      <c r="C364" t="s">
        <v>108</v>
      </c>
      <c r="D364" s="46" t="s">
        <v>307</v>
      </c>
      <c r="E364">
        <v>1</v>
      </c>
      <c r="F364">
        <v>5</v>
      </c>
      <c r="G364" s="1">
        <v>20</v>
      </c>
      <c r="H364" s="16">
        <f t="shared" si="192"/>
        <v>320</v>
      </c>
      <c r="I364">
        <v>0</v>
      </c>
      <c r="J364" s="17">
        <f t="shared" si="193"/>
        <v>0</v>
      </c>
      <c r="K364">
        <v>0</v>
      </c>
      <c r="L364">
        <v>2</v>
      </c>
      <c r="M364" s="17">
        <f t="shared" si="194"/>
        <v>0</v>
      </c>
      <c r="N364" s="17">
        <f t="shared" si="195"/>
        <v>2</v>
      </c>
      <c r="O364" s="18">
        <f t="shared" si="196"/>
        <v>0</v>
      </c>
      <c r="P364">
        <v>0</v>
      </c>
      <c r="Q364">
        <v>0</v>
      </c>
      <c r="R364" s="17">
        <f t="shared" si="197"/>
        <v>0</v>
      </c>
      <c r="S364" s="17">
        <f t="shared" si="198"/>
        <v>0</v>
      </c>
      <c r="T364" s="18" t="e">
        <f t="shared" si="199"/>
        <v>#DIV/0!</v>
      </c>
      <c r="U364">
        <v>0</v>
      </c>
      <c r="V364">
        <v>2</v>
      </c>
      <c r="W364" s="17">
        <f t="shared" si="200"/>
        <v>0</v>
      </c>
      <c r="X364" s="17">
        <f t="shared" si="201"/>
        <v>2</v>
      </c>
      <c r="Y364" s="18">
        <f t="shared" si="202"/>
        <v>0</v>
      </c>
      <c r="Z364">
        <v>0</v>
      </c>
      <c r="AA364">
        <v>0</v>
      </c>
      <c r="AB364" s="17">
        <f t="shared" si="203"/>
        <v>0</v>
      </c>
      <c r="AC364" s="17">
        <f t="shared" si="204"/>
        <v>0</v>
      </c>
      <c r="AD364" s="18" t="e">
        <f t="shared" si="205"/>
        <v>#DIV/0!</v>
      </c>
      <c r="AE364">
        <v>0</v>
      </c>
      <c r="AF364" s="17">
        <f t="shared" si="206"/>
        <v>0</v>
      </c>
      <c r="AG364">
        <v>0</v>
      </c>
      <c r="AH364" s="17">
        <f t="shared" si="207"/>
        <v>0</v>
      </c>
      <c r="AI364">
        <v>0</v>
      </c>
      <c r="AJ364" s="17">
        <f t="shared" si="208"/>
        <v>0</v>
      </c>
      <c r="AK364">
        <v>0</v>
      </c>
      <c r="AL364" s="17">
        <f t="shared" si="209"/>
        <v>0</v>
      </c>
      <c r="AM364">
        <v>0</v>
      </c>
      <c r="AN364" s="17">
        <f t="shared" si="210"/>
        <v>0</v>
      </c>
      <c r="AO364">
        <v>0</v>
      </c>
      <c r="AQ364">
        <v>1</v>
      </c>
      <c r="AR364" s="17">
        <f t="shared" si="211"/>
        <v>1</v>
      </c>
      <c r="AS364">
        <v>0</v>
      </c>
      <c r="AT364" s="17">
        <f t="shared" si="212"/>
        <v>0</v>
      </c>
      <c r="BD364" s="65">
        <f t="shared" si="213"/>
        <v>0</v>
      </c>
      <c r="BE364" s="65">
        <f t="shared" si="214"/>
        <v>0</v>
      </c>
      <c r="BF364" s="66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3.0466338081568543</v>
      </c>
      <c r="BG364" s="38">
        <f t="shared" si="215"/>
        <v>1</v>
      </c>
      <c r="BH364" s="38">
        <f t="shared" si="216"/>
        <v>0</v>
      </c>
      <c r="BI364" s="67">
        <f>IFERROR(((AG364*(12000/5))/((F364*60+G364)*(SUMIFS(팀공격력!X:X,팀공격력!A:A,B364,팀공격력!B:B,D364)+SUMIFS(팀수비력!X:X,팀수비력!A:A,B364,팀수비력!B:B,D364))))*100,"")</f>
        <v>0</v>
      </c>
      <c r="BJ364" s="67">
        <f>IFERROR(((AI364*(12000/5))/((F364*60+G364)*(SUMIFS(팀공격력!V:V,팀공격력!A:A,B364,팀공격력!B:B,D364)+SUMIFS(팀수비력!W:W,팀수비력!A:A,B364,팀수비력!B:B,D364))))*100,"")</f>
        <v>0</v>
      </c>
      <c r="BK364" s="67">
        <f>IFERROR(((AE364*(12000/5))/((F364*60+G364)*(SUMIFS(팀공격력!X:X,팀공격력!A:A,B364,팀공격력!B:B,D364)+SUMIFS(팀수비력!X:X,팀수비력!A:A,B364,팀수비력!B:B,D364))))*100,"")</f>
        <v>0</v>
      </c>
      <c r="BL364" s="67">
        <f>IFERROR(100*AK364/(((((F364*60+G364)/(12000/5))*SUMIFS(팀공격력!P:P,팀공격력!A:A,B364,팀공격력!B:B,D364))-K364)),"")</f>
        <v>0</v>
      </c>
      <c r="BM364" s="67">
        <f>IFERROR(100*((AM364/E364*(2400))/((F364*60+G364)*SUMIFS(팀공격력!AR:AR,팀공격력!A:A,B364,팀공격력!B:B,D364))),"")</f>
        <v>0</v>
      </c>
      <c r="BN364" s="67">
        <f>IFERROR((AO364*40)/(((F364*60+G364)/60)*(SUMIFS(팀수비력!Q:Q,팀수비력!A:A,B364,팀수비력!B:B,D364)-SUMIFS(팀수비력!N:N,팀수비력!A:A,B364,팀수비력!B:B,D364)))*100,"")</f>
        <v>0</v>
      </c>
      <c r="BO364" s="67">
        <f t="shared" si="217"/>
        <v>33.333333333333336</v>
      </c>
      <c r="BT364" t="s">
        <v>89</v>
      </c>
      <c r="BV364" t="s">
        <v>90</v>
      </c>
      <c r="CF364">
        <v>0</v>
      </c>
      <c r="CG364">
        <v>1</v>
      </c>
    </row>
    <row r="365" spans="1:85" x14ac:dyDescent="0.4">
      <c r="A365" s="11" t="s">
        <v>85</v>
      </c>
      <c r="B365" t="s">
        <v>99</v>
      </c>
      <c r="C365" t="s">
        <v>109</v>
      </c>
      <c r="D365" s="46" t="s">
        <v>307</v>
      </c>
      <c r="E365">
        <v>2</v>
      </c>
      <c r="F365">
        <v>2</v>
      </c>
      <c r="G365" s="1">
        <v>19</v>
      </c>
      <c r="H365" s="16">
        <f t="shared" si="192"/>
        <v>278</v>
      </c>
      <c r="I365">
        <v>0</v>
      </c>
      <c r="J365" s="17">
        <f t="shared" si="193"/>
        <v>0</v>
      </c>
      <c r="K365">
        <v>0</v>
      </c>
      <c r="L365">
        <v>2</v>
      </c>
      <c r="M365" s="17">
        <f t="shared" si="194"/>
        <v>0</v>
      </c>
      <c r="N365" s="17">
        <f t="shared" si="195"/>
        <v>1</v>
      </c>
      <c r="O365" s="18">
        <f t="shared" si="196"/>
        <v>0</v>
      </c>
      <c r="P365">
        <v>0</v>
      </c>
      <c r="Q365">
        <v>0</v>
      </c>
      <c r="R365" s="17">
        <f t="shared" si="197"/>
        <v>0</v>
      </c>
      <c r="S365" s="17">
        <f t="shared" si="198"/>
        <v>0</v>
      </c>
      <c r="T365" s="18" t="e">
        <f t="shared" si="199"/>
        <v>#DIV/0!</v>
      </c>
      <c r="U365">
        <v>0</v>
      </c>
      <c r="V365">
        <v>2</v>
      </c>
      <c r="W365" s="17">
        <f t="shared" si="200"/>
        <v>0</v>
      </c>
      <c r="X365" s="17">
        <f t="shared" si="201"/>
        <v>1</v>
      </c>
      <c r="Y365" s="18">
        <f t="shared" si="202"/>
        <v>0</v>
      </c>
      <c r="Z365">
        <v>0</v>
      </c>
      <c r="AA365">
        <v>0</v>
      </c>
      <c r="AB365" s="17">
        <f t="shared" si="203"/>
        <v>0</v>
      </c>
      <c r="AC365" s="17">
        <f t="shared" si="204"/>
        <v>0</v>
      </c>
      <c r="AD365" s="18" t="e">
        <f t="shared" si="205"/>
        <v>#DIV/0!</v>
      </c>
      <c r="AE365">
        <v>0</v>
      </c>
      <c r="AF365" s="17">
        <f t="shared" si="206"/>
        <v>0</v>
      </c>
      <c r="AG365">
        <v>0</v>
      </c>
      <c r="AH365" s="17">
        <f t="shared" si="207"/>
        <v>0</v>
      </c>
      <c r="AI365">
        <v>0</v>
      </c>
      <c r="AJ365" s="17">
        <f t="shared" si="208"/>
        <v>0</v>
      </c>
      <c r="AK365">
        <v>0</v>
      </c>
      <c r="AL365" s="17">
        <f t="shared" si="209"/>
        <v>0</v>
      </c>
      <c r="AM365">
        <v>0</v>
      </c>
      <c r="AN365" s="17">
        <f t="shared" si="210"/>
        <v>0</v>
      </c>
      <c r="AO365">
        <v>0</v>
      </c>
      <c r="AQ365">
        <v>0</v>
      </c>
      <c r="AR365" s="17">
        <f t="shared" si="211"/>
        <v>0</v>
      </c>
      <c r="AS365">
        <v>0</v>
      </c>
      <c r="AT365" s="17">
        <f t="shared" si="212"/>
        <v>0</v>
      </c>
      <c r="BD365" s="65">
        <f t="shared" si="213"/>
        <v>0</v>
      </c>
      <c r="BE365" s="65">
        <f t="shared" si="214"/>
        <v>0</v>
      </c>
      <c r="BF365" s="66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4.6758888182743084</v>
      </c>
      <c r="BG365" s="38">
        <f t="shared" si="215"/>
        <v>1</v>
      </c>
      <c r="BH365" s="38">
        <f t="shared" si="216"/>
        <v>0</v>
      </c>
      <c r="BI365" s="67">
        <f>IFERROR(((AG365*(12000/5))/((F365*60+G365)*(SUMIFS(팀공격력!X:X,팀공격력!A:A,B365,팀공격력!B:B,D365)+SUMIFS(팀수비력!X:X,팀수비력!A:A,B365,팀수비력!B:B,D365))))*100,"")</f>
        <v>0</v>
      </c>
      <c r="BJ365" s="67">
        <f>IFERROR(((AI365*(12000/5))/((F365*60+G365)*(SUMIFS(팀공격력!V:V,팀공격력!A:A,B365,팀공격력!B:B,D365)+SUMIFS(팀수비력!W:W,팀수비력!A:A,B365,팀수비력!B:B,D365))))*100,"")</f>
        <v>0</v>
      </c>
      <c r="BK365" s="67">
        <f>IFERROR(((AE365*(12000/5))/((F365*60+G365)*(SUMIFS(팀공격력!X:X,팀공격력!A:A,B365,팀공격력!B:B,D365)+SUMIFS(팀수비력!X:X,팀수비력!A:A,B365,팀수비력!B:B,D365))))*100,"")</f>
        <v>0</v>
      </c>
      <c r="BL365" s="67">
        <f>IFERROR(100*AK365/(((((F365*60+G365)/(12000/5))*SUMIFS(팀공격력!P:P,팀공격력!A:A,B365,팀공격력!B:B,D365))-K365)),"")</f>
        <v>0</v>
      </c>
      <c r="BM365" s="67">
        <f>IFERROR(100*((AM365/E365*(2400))/((F365*60+G365)*SUMIFS(팀공격력!AR:AR,팀공격력!A:A,B365,팀공격력!B:B,D365))),"")</f>
        <v>0</v>
      </c>
      <c r="BN365" s="67">
        <f>IFERROR((AO365*40)/(((F365*60+G365)/60)*(SUMIFS(팀수비력!Q:Q,팀수비력!A:A,B365,팀수비력!B:B,D365)-SUMIFS(팀수비력!N:N,팀수비력!A:A,B365,팀수비력!B:B,D365)))*100,"")</f>
        <v>0</v>
      </c>
      <c r="BO365" s="67">
        <f t="shared" si="217"/>
        <v>0</v>
      </c>
      <c r="BT365" t="s">
        <v>89</v>
      </c>
      <c r="BV365" t="s">
        <v>90</v>
      </c>
      <c r="CF365">
        <v>2</v>
      </c>
      <c r="CG365">
        <v>0</v>
      </c>
    </row>
    <row r="366" spans="1:85" x14ac:dyDescent="0.4">
      <c r="A366" s="11" t="s">
        <v>85</v>
      </c>
      <c r="B366" t="s">
        <v>99</v>
      </c>
      <c r="C366" t="s">
        <v>110</v>
      </c>
      <c r="D366" s="46" t="s">
        <v>307</v>
      </c>
      <c r="E366">
        <v>6</v>
      </c>
      <c r="F366">
        <v>8</v>
      </c>
      <c r="G366" s="1">
        <v>13</v>
      </c>
      <c r="H366" s="16">
        <f t="shared" si="192"/>
        <v>2958</v>
      </c>
      <c r="I366">
        <v>6</v>
      </c>
      <c r="J366" s="17">
        <f t="shared" si="193"/>
        <v>1</v>
      </c>
      <c r="K366">
        <v>2</v>
      </c>
      <c r="L366">
        <v>10</v>
      </c>
      <c r="M366" s="17">
        <f t="shared" si="194"/>
        <v>0.33333333333333331</v>
      </c>
      <c r="N366" s="17">
        <f t="shared" si="195"/>
        <v>1.6666666666666667</v>
      </c>
      <c r="O366" s="18">
        <f t="shared" si="196"/>
        <v>0.2</v>
      </c>
      <c r="P366">
        <v>0</v>
      </c>
      <c r="Q366">
        <v>1</v>
      </c>
      <c r="R366" s="17">
        <f t="shared" si="197"/>
        <v>0</v>
      </c>
      <c r="S366" s="17">
        <f t="shared" si="198"/>
        <v>0.16666666666666666</v>
      </c>
      <c r="T366" s="18">
        <f t="shared" si="199"/>
        <v>0</v>
      </c>
      <c r="U366">
        <v>2</v>
      </c>
      <c r="V366">
        <v>9</v>
      </c>
      <c r="W366" s="17">
        <f t="shared" si="200"/>
        <v>0.33333333333333331</v>
      </c>
      <c r="X366" s="17">
        <f t="shared" si="201"/>
        <v>1.5</v>
      </c>
      <c r="Y366" s="18">
        <f t="shared" si="202"/>
        <v>0.22222222222222221</v>
      </c>
      <c r="Z366">
        <v>0</v>
      </c>
      <c r="AA366">
        <v>0</v>
      </c>
      <c r="AB366" s="17">
        <f t="shared" si="203"/>
        <v>0</v>
      </c>
      <c r="AC366" s="17">
        <f t="shared" si="204"/>
        <v>0</v>
      </c>
      <c r="AD366" s="18" t="e">
        <f t="shared" si="205"/>
        <v>#DIV/0!</v>
      </c>
      <c r="AE366">
        <v>5</v>
      </c>
      <c r="AF366" s="17">
        <f t="shared" si="206"/>
        <v>0.83333333333333337</v>
      </c>
      <c r="AG366">
        <v>4</v>
      </c>
      <c r="AH366" s="17">
        <f t="shared" si="207"/>
        <v>0.66666666666666663</v>
      </c>
      <c r="AI366">
        <v>1</v>
      </c>
      <c r="AJ366" s="17">
        <f t="shared" si="208"/>
        <v>0.16666666666666666</v>
      </c>
      <c r="AK366">
        <v>3</v>
      </c>
      <c r="AL366" s="17">
        <f t="shared" si="209"/>
        <v>0.5</v>
      </c>
      <c r="AM366">
        <v>1</v>
      </c>
      <c r="AN366" s="17">
        <f t="shared" si="210"/>
        <v>0.16666666666666666</v>
      </c>
      <c r="AO366">
        <v>0</v>
      </c>
      <c r="AQ366">
        <v>2</v>
      </c>
      <c r="AR366" s="17">
        <f t="shared" si="211"/>
        <v>0.33333333333333331</v>
      </c>
      <c r="AS366">
        <v>6</v>
      </c>
      <c r="AT366" s="17">
        <f t="shared" si="212"/>
        <v>1</v>
      </c>
      <c r="BD366" s="65">
        <f t="shared" si="213"/>
        <v>30</v>
      </c>
      <c r="BE366" s="65">
        <f t="shared" si="214"/>
        <v>30</v>
      </c>
      <c r="BF366" s="66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7.9101242889265189</v>
      </c>
      <c r="BG366" s="38">
        <f t="shared" si="215"/>
        <v>0.9</v>
      </c>
      <c r="BH366" s="38">
        <f t="shared" si="216"/>
        <v>0</v>
      </c>
      <c r="BI366" s="67">
        <f>IFERROR(((AG366*(12000/5))/((F366*60+G366)*(SUMIFS(팀공격력!X:X,팀공격력!A:A,B366,팀공격력!B:B,D366)+SUMIFS(팀수비력!X:X,팀수비력!A:A,B366,팀수비력!B:B,D366))))*100,"")</f>
        <v>3.120611639881417</v>
      </c>
      <c r="BJ366" s="67">
        <f>IFERROR(((AI366*(12000/5))/((F366*60+G366)*(SUMIFS(팀공격력!V:V,팀공격력!A:A,B366,팀공격력!B:B,D366)+SUMIFS(팀수비력!W:W,팀수비력!A:A,B366,팀수비력!B:B,D366))))*100,"")</f>
        <v>1.4978935871430801</v>
      </c>
      <c r="BK366" s="67">
        <f>IFERROR(((AE366*(12000/5))/((F366*60+G366)*(SUMIFS(팀공격력!X:X,팀공격력!A:A,B366,팀공격력!B:B,D366)+SUMIFS(팀수비력!X:X,팀수비력!A:A,B366,팀수비력!B:B,D366))))*100,"")</f>
        <v>3.9007645498517709</v>
      </c>
      <c r="BL366" s="67">
        <f>IFERROR(100*AK366/(((((F366*60+G366)/(12000/5))*SUMIFS(팀공격력!P:P,팀공격력!A:A,B366,팀공격력!B:B,D366))-K366)),"")</f>
        <v>6.1039192248022589</v>
      </c>
      <c r="BM366" s="67">
        <f>IFERROR(100*((AM366/E366*(2400))/((F366*60+G366)*SUMIFS(팀공격력!AR:AR,팀공격력!A:A,B366,팀공격력!B:B,D366))),"")</f>
        <v>1.1541246142331334</v>
      </c>
      <c r="BN366" s="67">
        <f>IFERROR((AO366*40)/(((F366*60+G366)/60)*(SUMIFS(팀수비력!Q:Q,팀수비력!A:A,B366,팀수비력!B:B,D366)-SUMIFS(팀수비력!N:N,팀수비력!A:A,B366,팀수비력!B:B,D366)))*100,"")</f>
        <v>0</v>
      </c>
      <c r="BO366" s="67">
        <f t="shared" si="217"/>
        <v>16.666666666666668</v>
      </c>
      <c r="BT366" t="s">
        <v>89</v>
      </c>
      <c r="BV366" t="s">
        <v>90</v>
      </c>
      <c r="CF366">
        <v>3</v>
      </c>
      <c r="CG366">
        <v>3</v>
      </c>
    </row>
    <row r="367" spans="1:85" x14ac:dyDescent="0.4">
      <c r="A367" s="11" t="s">
        <v>85</v>
      </c>
      <c r="B367" t="s">
        <v>99</v>
      </c>
      <c r="C367" t="s">
        <v>111</v>
      </c>
      <c r="D367" s="46" t="s">
        <v>307</v>
      </c>
      <c r="E367">
        <v>4</v>
      </c>
      <c r="F367">
        <v>4</v>
      </c>
      <c r="G367" s="1">
        <v>10</v>
      </c>
      <c r="H367" s="16">
        <f t="shared" si="192"/>
        <v>1000</v>
      </c>
      <c r="I367">
        <v>0</v>
      </c>
      <c r="J367" s="17">
        <f t="shared" si="193"/>
        <v>0</v>
      </c>
      <c r="K367">
        <v>0</v>
      </c>
      <c r="L367">
        <v>2</v>
      </c>
      <c r="M367" s="17">
        <f t="shared" si="194"/>
        <v>0</v>
      </c>
      <c r="N367" s="17">
        <f t="shared" si="195"/>
        <v>0.5</v>
      </c>
      <c r="O367" s="18">
        <f t="shared" si="196"/>
        <v>0</v>
      </c>
      <c r="P367">
        <v>0</v>
      </c>
      <c r="Q367">
        <v>0</v>
      </c>
      <c r="R367" s="17">
        <f t="shared" si="197"/>
        <v>0</v>
      </c>
      <c r="S367" s="17">
        <f t="shared" si="198"/>
        <v>0</v>
      </c>
      <c r="T367" s="18" t="e">
        <f t="shared" si="199"/>
        <v>#DIV/0!</v>
      </c>
      <c r="U367">
        <v>0</v>
      </c>
      <c r="V367">
        <v>2</v>
      </c>
      <c r="W367" s="17">
        <f t="shared" si="200"/>
        <v>0</v>
      </c>
      <c r="X367" s="17">
        <f t="shared" si="201"/>
        <v>0.5</v>
      </c>
      <c r="Y367" s="18">
        <f t="shared" si="202"/>
        <v>0</v>
      </c>
      <c r="Z367">
        <v>0</v>
      </c>
      <c r="AA367">
        <v>0</v>
      </c>
      <c r="AB367" s="17">
        <f t="shared" si="203"/>
        <v>0</v>
      </c>
      <c r="AC367" s="17">
        <f t="shared" si="204"/>
        <v>0</v>
      </c>
      <c r="AD367" s="18" t="e">
        <f t="shared" si="205"/>
        <v>#DIV/0!</v>
      </c>
      <c r="AE367">
        <v>0</v>
      </c>
      <c r="AF367" s="17">
        <f t="shared" si="206"/>
        <v>0</v>
      </c>
      <c r="AG367">
        <v>0</v>
      </c>
      <c r="AH367" s="17">
        <f t="shared" si="207"/>
        <v>0</v>
      </c>
      <c r="AI367">
        <v>0</v>
      </c>
      <c r="AJ367" s="17">
        <f t="shared" si="208"/>
        <v>0</v>
      </c>
      <c r="AK367">
        <v>0</v>
      </c>
      <c r="AL367" s="17">
        <f t="shared" si="209"/>
        <v>0</v>
      </c>
      <c r="AM367">
        <v>1</v>
      </c>
      <c r="AN367" s="17">
        <f t="shared" si="210"/>
        <v>0.25</v>
      </c>
      <c r="AO367">
        <v>0</v>
      </c>
      <c r="AQ367">
        <v>0</v>
      </c>
      <c r="AR367" s="17">
        <f t="shared" si="211"/>
        <v>0</v>
      </c>
      <c r="AS367">
        <v>3</v>
      </c>
      <c r="AT367" s="17">
        <f t="shared" si="212"/>
        <v>0.75</v>
      </c>
      <c r="BD367" s="65">
        <f t="shared" si="213"/>
        <v>0</v>
      </c>
      <c r="BE367" s="65">
        <f t="shared" si="214"/>
        <v>0</v>
      </c>
      <c r="BF367" s="66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2.5997941829605158</v>
      </c>
      <c r="BG367" s="38">
        <f t="shared" si="215"/>
        <v>1</v>
      </c>
      <c r="BH367" s="38">
        <f t="shared" si="216"/>
        <v>0</v>
      </c>
      <c r="BI367" s="67">
        <f>IFERROR(((AG367*(12000/5))/((F367*60+G367)*(SUMIFS(팀공격력!X:X,팀공격력!A:A,B367,팀공격력!B:B,D367)+SUMIFS(팀수비력!X:X,팀수비력!A:A,B367,팀수비력!B:B,D367))))*100,"")</f>
        <v>0</v>
      </c>
      <c r="BJ367" s="67">
        <f>IFERROR(((AI367*(12000/5))/((F367*60+G367)*(SUMIFS(팀공격력!V:V,팀공격력!A:A,B367,팀공격력!B:B,D367)+SUMIFS(팀수비력!W:W,팀수비력!A:A,B367,팀수비력!B:B,D367))))*100,"")</f>
        <v>0</v>
      </c>
      <c r="BK367" s="67">
        <f>IFERROR(((AE367*(12000/5))/((F367*60+G367)*(SUMIFS(팀공격력!X:X,팀공격력!A:A,B367,팀공격력!B:B,D367)+SUMIFS(팀수비력!X:X,팀수비력!A:A,B367,팀수비력!B:B,D367))))*100,"")</f>
        <v>0</v>
      </c>
      <c r="BL367" s="67">
        <f>IFERROR(100*AK367/(((((F367*60+G367)/(12000/5))*SUMIFS(팀공격력!P:P,팀공격력!A:A,B367,팀공격력!B:B,D367))-K367)),"")</f>
        <v>0</v>
      </c>
      <c r="BM367" s="67">
        <f>IFERROR(100*((AM367/E367*(2400))/((F367*60+G367)*SUMIFS(팀공격력!AR:AR,팀공격력!A:A,B367,팀공격력!B:B,D367))),"")</f>
        <v>3.4139006089016077</v>
      </c>
      <c r="BN367" s="67">
        <f>IFERROR((AO367*40)/(((F367*60+G367)/60)*(SUMIFS(팀수비력!Q:Q,팀수비력!A:A,B367,팀수비력!B:B,D367)-SUMIFS(팀수비력!N:N,팀수비력!A:A,B367,팀수비력!B:B,D367)))*100,"")</f>
        <v>0</v>
      </c>
      <c r="BO367" s="67">
        <f t="shared" si="217"/>
        <v>0</v>
      </c>
      <c r="BT367" t="s">
        <v>89</v>
      </c>
      <c r="BV367" t="s">
        <v>93</v>
      </c>
      <c r="CF367">
        <v>0</v>
      </c>
      <c r="CG367">
        <v>4</v>
      </c>
    </row>
    <row r="368" spans="1:85" x14ac:dyDescent="0.4">
      <c r="A368" s="11" t="s">
        <v>85</v>
      </c>
      <c r="B368" t="s">
        <v>99</v>
      </c>
      <c r="C368" s="11" t="s">
        <v>114</v>
      </c>
      <c r="D368" s="46" t="s">
        <v>307</v>
      </c>
      <c r="E368">
        <v>9</v>
      </c>
      <c r="F368">
        <v>36</v>
      </c>
      <c r="G368" s="1">
        <v>4</v>
      </c>
      <c r="H368" s="16">
        <f t="shared" si="192"/>
        <v>19476</v>
      </c>
      <c r="I368">
        <v>189</v>
      </c>
      <c r="J368" s="17">
        <f t="shared" si="193"/>
        <v>21</v>
      </c>
      <c r="K368">
        <v>61</v>
      </c>
      <c r="L368">
        <v>131</v>
      </c>
      <c r="M368" s="17">
        <f t="shared" si="194"/>
        <v>6.7777777777777777</v>
      </c>
      <c r="N368" s="17">
        <f t="shared" si="195"/>
        <v>14.555555555555555</v>
      </c>
      <c r="O368" s="18">
        <f t="shared" si="196"/>
        <v>0.46564885496183206</v>
      </c>
      <c r="P368">
        <v>35</v>
      </c>
      <c r="Q368">
        <v>68</v>
      </c>
      <c r="R368" s="17">
        <f t="shared" si="197"/>
        <v>3.8888888888888888</v>
      </c>
      <c r="S368" s="17">
        <f t="shared" si="198"/>
        <v>7.5555555555555554</v>
      </c>
      <c r="T368" s="18">
        <f t="shared" si="199"/>
        <v>0.51470588235294112</v>
      </c>
      <c r="U368">
        <v>26</v>
      </c>
      <c r="V368">
        <v>63</v>
      </c>
      <c r="W368" s="17">
        <f t="shared" si="200"/>
        <v>2.8888888888888888</v>
      </c>
      <c r="X368" s="17">
        <f t="shared" si="201"/>
        <v>7</v>
      </c>
      <c r="Y368" s="18">
        <f t="shared" si="202"/>
        <v>0.41269841269841268</v>
      </c>
      <c r="Z368">
        <v>41</v>
      </c>
      <c r="AA368">
        <v>45</v>
      </c>
      <c r="AB368" s="17">
        <f t="shared" si="203"/>
        <v>4.5555555555555554</v>
      </c>
      <c r="AC368" s="17">
        <f t="shared" si="204"/>
        <v>5</v>
      </c>
      <c r="AD368" s="18">
        <f t="shared" si="205"/>
        <v>0.91111111111111109</v>
      </c>
      <c r="AE368">
        <v>30</v>
      </c>
      <c r="AF368" s="17">
        <f t="shared" si="206"/>
        <v>3.3333333333333335</v>
      </c>
      <c r="AG368">
        <v>4</v>
      </c>
      <c r="AH368" s="17">
        <f t="shared" si="207"/>
        <v>0.44444444444444442</v>
      </c>
      <c r="AI368">
        <v>26</v>
      </c>
      <c r="AJ368" s="17">
        <f t="shared" si="208"/>
        <v>2.8888888888888888</v>
      </c>
      <c r="AK368">
        <v>47</v>
      </c>
      <c r="AL368" s="17">
        <f t="shared" si="209"/>
        <v>5.2222222222222223</v>
      </c>
      <c r="AM368">
        <v>18</v>
      </c>
      <c r="AN368" s="17">
        <f t="shared" si="210"/>
        <v>2</v>
      </c>
      <c r="AO368">
        <v>0</v>
      </c>
      <c r="AQ368">
        <v>18</v>
      </c>
      <c r="AR368" s="17">
        <f t="shared" si="211"/>
        <v>2</v>
      </c>
      <c r="AS368">
        <v>24</v>
      </c>
      <c r="AT368" s="17">
        <f t="shared" si="212"/>
        <v>2.6666666666666665</v>
      </c>
      <c r="BD368" s="65">
        <f t="shared" si="213"/>
        <v>62.665782493368695</v>
      </c>
      <c r="BE368" s="65">
        <f t="shared" si="214"/>
        <v>56.488549618320619</v>
      </c>
      <c r="BF368" s="66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25.349194667498558</v>
      </c>
      <c r="BG368" s="38">
        <f t="shared" si="215"/>
        <v>0.48091603053435117</v>
      </c>
      <c r="BH368" s="38">
        <f t="shared" si="216"/>
        <v>0.34351145038167941</v>
      </c>
      <c r="BI368" s="67">
        <f>IFERROR(((AG368*(12000/5))/((F368*60+G368)*(SUMIFS(팀공격력!X:X,팀공격력!A:A,B368,팀공격력!B:B,D368)+SUMIFS(팀수비력!X:X,팀수비력!A:A,B368,팀수비력!B:B,D368))))*100,"")</f>
        <v>0.71093416749608984</v>
      </c>
      <c r="BJ368" s="67">
        <f>IFERROR(((AI368*(12000/5))/((F368*60+G368)*(SUMIFS(팀공격력!V:V,팀공격력!A:A,B368,팀공격력!B:B,D368)+SUMIFS(팀수비력!W:W,팀수비력!A:A,B368,팀수비력!B:B,D368))))*100,"")</f>
        <v>8.8724584103512019</v>
      </c>
      <c r="BK368" s="67">
        <f>IFERROR(((AE368*(12000/5))/((F368*60+G368)*(SUMIFS(팀공격력!X:X,팀공격력!A:A,B368,팀공격력!B:B,D368)+SUMIFS(팀수비력!X:X,팀수비력!A:A,B368,팀수비력!B:B,D368))))*100,"")</f>
        <v>5.3320062562206738</v>
      </c>
      <c r="BL368" s="67">
        <f>IFERROR(100*AK368/(((((F368*60+G368)/(12000/5))*SUMIFS(팀공격력!P:P,팀공격력!A:A,B368,팀공격력!B:B,D368))-K368)),"")</f>
        <v>28.743540347980311</v>
      </c>
      <c r="BM368" s="67">
        <f>IFERROR(100*((AM368/E368*(2400))/((F368*60+G368)*SUMIFS(팀공격력!AR:AR,팀공격력!A:A,B368,팀공격력!B:B,D368))),"")</f>
        <v>3.1551761634950166</v>
      </c>
      <c r="BN368" s="67">
        <f>IFERROR((AO368*40)/(((F368*60+G368)/60)*(SUMIFS(팀수비력!Q:Q,팀수비력!A:A,B368,팀수비력!B:B,D368)-SUMIFS(팀수비력!N:N,팀수비력!A:A,B368,팀수비력!B:B,D368)))*100,"")</f>
        <v>0</v>
      </c>
      <c r="BO368" s="67">
        <f t="shared" si="217"/>
        <v>10.663507109004739</v>
      </c>
      <c r="BT368" t="s">
        <v>89</v>
      </c>
      <c r="BV368" t="s">
        <v>90</v>
      </c>
      <c r="CF368">
        <v>4</v>
      </c>
      <c r="CG368">
        <v>5</v>
      </c>
    </row>
    <row r="369" spans="1:85" x14ac:dyDescent="0.4">
      <c r="A369" s="11" t="s">
        <v>85</v>
      </c>
      <c r="B369" t="s">
        <v>99</v>
      </c>
      <c r="C369" t="s">
        <v>117</v>
      </c>
      <c r="D369" s="46" t="s">
        <v>307</v>
      </c>
      <c r="E369">
        <v>6</v>
      </c>
      <c r="F369">
        <v>27</v>
      </c>
      <c r="G369" s="1">
        <v>29</v>
      </c>
      <c r="H369" s="16">
        <f t="shared" si="192"/>
        <v>9894</v>
      </c>
      <c r="I369">
        <v>73</v>
      </c>
      <c r="J369" s="17">
        <f t="shared" si="193"/>
        <v>12.166666666666666</v>
      </c>
      <c r="K369">
        <v>25</v>
      </c>
      <c r="L369">
        <v>66</v>
      </c>
      <c r="M369" s="17">
        <f t="shared" si="194"/>
        <v>4.166666666666667</v>
      </c>
      <c r="N369" s="17">
        <f t="shared" si="195"/>
        <v>11</v>
      </c>
      <c r="O369" s="18">
        <f t="shared" si="196"/>
        <v>0.37878787878787878</v>
      </c>
      <c r="P369">
        <v>6</v>
      </c>
      <c r="Q369">
        <v>19</v>
      </c>
      <c r="R369" s="17">
        <f t="shared" si="197"/>
        <v>1</v>
      </c>
      <c r="S369" s="17">
        <f t="shared" si="198"/>
        <v>3.1666666666666665</v>
      </c>
      <c r="T369" s="18">
        <f t="shared" si="199"/>
        <v>0.31578947368421051</v>
      </c>
      <c r="U369">
        <v>19</v>
      </c>
      <c r="V369">
        <v>47</v>
      </c>
      <c r="W369" s="17">
        <f t="shared" si="200"/>
        <v>3.1666666666666665</v>
      </c>
      <c r="X369" s="17">
        <f t="shared" si="201"/>
        <v>7.833333333333333</v>
      </c>
      <c r="Y369" s="18">
        <f t="shared" si="202"/>
        <v>0.40425531914893614</v>
      </c>
      <c r="Z369">
        <v>4</v>
      </c>
      <c r="AA369">
        <v>4</v>
      </c>
      <c r="AB369" s="17">
        <f t="shared" si="203"/>
        <v>0.66666666666666663</v>
      </c>
      <c r="AC369" s="17">
        <f t="shared" si="204"/>
        <v>0.66666666666666663</v>
      </c>
      <c r="AD369" s="18">
        <f t="shared" si="205"/>
        <v>1</v>
      </c>
      <c r="AE369">
        <v>10</v>
      </c>
      <c r="AF369" s="17">
        <f t="shared" si="206"/>
        <v>1.6666666666666667</v>
      </c>
      <c r="AG369">
        <v>0</v>
      </c>
      <c r="AH369" s="17">
        <f t="shared" si="207"/>
        <v>0</v>
      </c>
      <c r="AI369">
        <v>10</v>
      </c>
      <c r="AJ369" s="17">
        <f t="shared" si="208"/>
        <v>1.6666666666666667</v>
      </c>
      <c r="AK369">
        <v>10</v>
      </c>
      <c r="AL369" s="17">
        <f t="shared" si="209"/>
        <v>1.6666666666666667</v>
      </c>
      <c r="AM369">
        <v>0</v>
      </c>
      <c r="AN369" s="17">
        <f t="shared" si="210"/>
        <v>0</v>
      </c>
      <c r="AO369">
        <v>0</v>
      </c>
      <c r="AQ369">
        <v>7</v>
      </c>
      <c r="AR369" s="17">
        <f t="shared" si="211"/>
        <v>1.1666666666666667</v>
      </c>
      <c r="AS369">
        <v>10</v>
      </c>
      <c r="AT369" s="17">
        <f t="shared" si="212"/>
        <v>1.6666666666666667</v>
      </c>
      <c r="BD369" s="65">
        <f t="shared" si="213"/>
        <v>53.866587957497046</v>
      </c>
      <c r="BE369" s="65">
        <f t="shared" si="214"/>
        <v>52.272727272727273</v>
      </c>
      <c r="BF369" s="66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14.733218095673752</v>
      </c>
      <c r="BG369" s="38">
        <f t="shared" si="215"/>
        <v>0.71212121212121215</v>
      </c>
      <c r="BH369" s="38">
        <f t="shared" si="216"/>
        <v>6.0606060606060608E-2</v>
      </c>
      <c r="BI369" s="67">
        <f>IFERROR(((AG369*(12000/5))/((F369*60+G369)*(SUMIFS(팀공격력!X:X,팀공격력!A:A,B369,팀공격력!B:B,D369)+SUMIFS(팀수비력!X:X,팀수비력!A:A,B369,팀수비력!B:B,D369))))*100,"")</f>
        <v>0</v>
      </c>
      <c r="BJ369" s="67">
        <f>IFERROR(((AI369*(12000/5))/((F369*60+G369)*(SUMIFS(팀공격력!V:V,팀공격력!A:A,B369,팀공격력!B:B,D369)+SUMIFS(팀수비력!W:W,팀수비력!A:A,B369,팀수비력!B:B,D369))))*100,"")</f>
        <v>4.4782385594999301</v>
      </c>
      <c r="BK369" s="67">
        <f>IFERROR(((AE369*(12000/5))/((F369*60+G369)*(SUMIFS(팀공격력!X:X,팀공격력!A:A,B369,팀공격력!B:B,D369)+SUMIFS(팀수비력!X:X,팀수비력!A:A,B369,팀수비력!B:B,D369))))*100,"")</f>
        <v>2.3324159164062137</v>
      </c>
      <c r="BL369" s="67">
        <f>IFERROR(100*AK369/(((((F369*60+G369)/(12000/5))*SUMIFS(팀공격력!P:P,팀공격력!A:A,B369,팀공격력!B:B,D369))-K369)),"")</f>
        <v>6.8453883474376855</v>
      </c>
      <c r="BM369" s="67">
        <f>IFERROR(100*((AM369/E369*(2400))/((F369*60+G369)*SUMIFS(팀공격력!AR:AR,팀공격력!A:A,B369,팀공격력!B:B,D369))),"")</f>
        <v>0</v>
      </c>
      <c r="BN369" s="67">
        <f>IFERROR((AO369*40)/(((F369*60+G369)/60)*(SUMIFS(팀수비력!Q:Q,팀수비력!A:A,B369,팀수비력!B:B,D369)-SUMIFS(팀수비력!N:N,팀수비력!A:A,B369,팀수비력!B:B,D369)))*100,"")</f>
        <v>0</v>
      </c>
      <c r="BO369" s="67">
        <f t="shared" si="217"/>
        <v>9.3632958801498116</v>
      </c>
      <c r="BT369" t="s">
        <v>89</v>
      </c>
      <c r="BV369" t="s">
        <v>93</v>
      </c>
      <c r="CF369">
        <v>4</v>
      </c>
      <c r="CG369">
        <v>2</v>
      </c>
    </row>
    <row r="370" spans="1:85" x14ac:dyDescent="0.4">
      <c r="A370" s="11" t="s">
        <v>85</v>
      </c>
      <c r="B370" t="s">
        <v>99</v>
      </c>
      <c r="C370" t="s">
        <v>118</v>
      </c>
      <c r="D370" s="46" t="s">
        <v>307</v>
      </c>
      <c r="E370">
        <v>4</v>
      </c>
      <c r="F370">
        <v>10</v>
      </c>
      <c r="G370" s="1">
        <v>28</v>
      </c>
      <c r="H370" s="16">
        <f t="shared" si="192"/>
        <v>2512</v>
      </c>
      <c r="I370">
        <v>9</v>
      </c>
      <c r="J370" s="17">
        <f t="shared" si="193"/>
        <v>2.25</v>
      </c>
      <c r="K370">
        <v>4</v>
      </c>
      <c r="L370">
        <v>19</v>
      </c>
      <c r="M370" s="17">
        <f t="shared" si="194"/>
        <v>1</v>
      </c>
      <c r="N370" s="17">
        <f t="shared" si="195"/>
        <v>4.75</v>
      </c>
      <c r="O370" s="18">
        <f t="shared" si="196"/>
        <v>0.21052631578947367</v>
      </c>
      <c r="P370">
        <v>3</v>
      </c>
      <c r="Q370">
        <v>8</v>
      </c>
      <c r="R370" s="17">
        <f t="shared" si="197"/>
        <v>0.75</v>
      </c>
      <c r="S370" s="17">
        <f t="shared" si="198"/>
        <v>2</v>
      </c>
      <c r="T370" s="18">
        <f t="shared" si="199"/>
        <v>0.375</v>
      </c>
      <c r="U370">
        <v>1</v>
      </c>
      <c r="V370">
        <v>11</v>
      </c>
      <c r="W370" s="17">
        <f t="shared" si="200"/>
        <v>0.25</v>
      </c>
      <c r="X370" s="17">
        <f t="shared" si="201"/>
        <v>2.75</v>
      </c>
      <c r="Y370" s="18">
        <f t="shared" si="202"/>
        <v>9.0909090909090912E-2</v>
      </c>
      <c r="Z370">
        <v>0</v>
      </c>
      <c r="AA370">
        <v>0</v>
      </c>
      <c r="AB370" s="17">
        <f t="shared" si="203"/>
        <v>0</v>
      </c>
      <c r="AC370" s="17">
        <f t="shared" si="204"/>
        <v>0</v>
      </c>
      <c r="AD370" s="18" t="e">
        <f t="shared" si="205"/>
        <v>#DIV/0!</v>
      </c>
      <c r="AE370">
        <v>5</v>
      </c>
      <c r="AF370" s="17">
        <f t="shared" si="206"/>
        <v>1.25</v>
      </c>
      <c r="AG370">
        <v>1</v>
      </c>
      <c r="AH370" s="17">
        <f t="shared" si="207"/>
        <v>0.25</v>
      </c>
      <c r="AI370">
        <v>4</v>
      </c>
      <c r="AJ370" s="17">
        <f t="shared" si="208"/>
        <v>1</v>
      </c>
      <c r="AK370">
        <v>4</v>
      </c>
      <c r="AL370" s="17">
        <f t="shared" si="209"/>
        <v>1</v>
      </c>
      <c r="AM370">
        <v>1</v>
      </c>
      <c r="AN370" s="17">
        <f t="shared" si="210"/>
        <v>0.25</v>
      </c>
      <c r="AO370">
        <v>0</v>
      </c>
      <c r="AQ370">
        <v>0</v>
      </c>
      <c r="AR370" s="17">
        <f t="shared" si="211"/>
        <v>0</v>
      </c>
      <c r="AS370">
        <v>8</v>
      </c>
      <c r="AT370" s="17">
        <f t="shared" si="212"/>
        <v>2</v>
      </c>
      <c r="BD370" s="65">
        <f t="shared" si="213"/>
        <v>23.684210526315788</v>
      </c>
      <c r="BE370" s="65">
        <f t="shared" si="214"/>
        <v>23.684210526315788</v>
      </c>
      <c r="BF370" s="66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9.8320241791898475</v>
      </c>
      <c r="BG370" s="38">
        <f t="shared" si="215"/>
        <v>0.57894736842105265</v>
      </c>
      <c r="BH370" s="38">
        <f t="shared" si="216"/>
        <v>0</v>
      </c>
      <c r="BI370" s="67">
        <f>IFERROR(((AG370*(12000/5))/((F370*60+G370)*(SUMIFS(팀공격력!X:X,팀공격력!A:A,B370,팀공격력!B:B,D370)+SUMIFS(팀수비력!X:X,팀수비력!A:A,B370,팀수비력!B:B,D370))))*100,"")</f>
        <v>0.61244487996080355</v>
      </c>
      <c r="BJ370" s="67">
        <f>IFERROR(((AI370*(12000/5))/((F370*60+G370)*(SUMIFS(팀공격력!V:V,팀공격력!A:A,B370,팀공격력!B:B,D370)+SUMIFS(팀수비력!W:W,팀수비력!A:A,B370,팀수비력!B:B,D370))))*100,"")</f>
        <v>4.7035766780989707</v>
      </c>
      <c r="BK370" s="67">
        <f>IFERROR(((AE370*(12000/5))/((F370*60+G370)*(SUMIFS(팀공격력!X:X,팀공격력!A:A,B370,팀공격력!B:B,D370)+SUMIFS(팀수비력!X:X,팀수비력!A:A,B370,팀수비력!B:B,D370))))*100,"")</f>
        <v>3.0622243998040175</v>
      </c>
      <c r="BL370" s="67">
        <f>IFERROR(100*AK370/(((((F370*60+G370)/(12000/5))*SUMIFS(팀공격력!P:P,팀공격력!A:A,B370,팀공격력!B:B,D370))-K370)),"")</f>
        <v>6.5407570926334726</v>
      </c>
      <c r="BM370" s="67">
        <f>IFERROR(100*((AM370/E370*(2400))/((F370*60+G370)*SUMIFS(팀공격력!AR:AR,팀공격력!A:A,B370,팀공격력!B:B,D370))),"")</f>
        <v>1.3590368666009589</v>
      </c>
      <c r="BN370" s="67">
        <f>IFERROR((AO370*40)/(((F370*60+G370)/60)*(SUMIFS(팀수비력!Q:Q,팀수비력!A:A,B370,팀수비력!B:B,D370)-SUMIFS(팀수비력!N:N,팀수비력!A:A,B370,팀수비력!B:B,D370)))*100,"")</f>
        <v>0</v>
      </c>
      <c r="BO370" s="67">
        <f t="shared" si="217"/>
        <v>0</v>
      </c>
      <c r="BT370" t="s">
        <v>96</v>
      </c>
      <c r="BV370" t="s">
        <v>90</v>
      </c>
      <c r="CF370">
        <v>3</v>
      </c>
      <c r="CG370">
        <v>1</v>
      </c>
    </row>
    <row r="371" spans="1:85" x14ac:dyDescent="0.4">
      <c r="A371" s="11" t="s">
        <v>85</v>
      </c>
      <c r="B371" t="s">
        <v>99</v>
      </c>
      <c r="C371" t="s">
        <v>98</v>
      </c>
      <c r="D371" s="46" t="s">
        <v>307</v>
      </c>
      <c r="E371">
        <v>1</v>
      </c>
      <c r="F371">
        <v>9</v>
      </c>
      <c r="G371" s="1">
        <v>42</v>
      </c>
      <c r="H371" s="16">
        <f t="shared" si="192"/>
        <v>582</v>
      </c>
      <c r="I371">
        <v>0</v>
      </c>
      <c r="J371" s="17">
        <f t="shared" si="193"/>
        <v>0</v>
      </c>
      <c r="K371">
        <v>0</v>
      </c>
      <c r="L371">
        <v>1</v>
      </c>
      <c r="M371" s="17">
        <f t="shared" si="194"/>
        <v>0</v>
      </c>
      <c r="N371" s="17">
        <f t="shared" si="195"/>
        <v>1</v>
      </c>
      <c r="O371" s="18">
        <f t="shared" si="196"/>
        <v>0</v>
      </c>
      <c r="P371">
        <v>0</v>
      </c>
      <c r="Q371">
        <v>1</v>
      </c>
      <c r="R371" s="17">
        <f t="shared" si="197"/>
        <v>0</v>
      </c>
      <c r="S371" s="17">
        <f t="shared" si="198"/>
        <v>1</v>
      </c>
      <c r="T371" s="18">
        <f t="shared" si="199"/>
        <v>0</v>
      </c>
      <c r="U371">
        <v>0</v>
      </c>
      <c r="V371">
        <v>0</v>
      </c>
      <c r="W371" s="17">
        <f t="shared" si="200"/>
        <v>0</v>
      </c>
      <c r="X371" s="17">
        <f t="shared" si="201"/>
        <v>0</v>
      </c>
      <c r="Y371" s="18" t="e">
        <f t="shared" si="202"/>
        <v>#DIV/0!</v>
      </c>
      <c r="Z371">
        <v>0</v>
      </c>
      <c r="AA371">
        <v>0</v>
      </c>
      <c r="AB371" s="17">
        <f t="shared" si="203"/>
        <v>0</v>
      </c>
      <c r="AC371" s="17">
        <f t="shared" si="204"/>
        <v>0</v>
      </c>
      <c r="AD371" s="18" t="e">
        <f t="shared" si="205"/>
        <v>#DIV/0!</v>
      </c>
      <c r="AE371">
        <v>0</v>
      </c>
      <c r="AF371" s="17">
        <f t="shared" si="206"/>
        <v>0</v>
      </c>
      <c r="AG371">
        <v>0</v>
      </c>
      <c r="AH371" s="17">
        <f t="shared" si="207"/>
        <v>0</v>
      </c>
      <c r="AI371">
        <v>0</v>
      </c>
      <c r="AJ371" s="17">
        <f t="shared" si="208"/>
        <v>0</v>
      </c>
      <c r="AK371">
        <v>2</v>
      </c>
      <c r="AL371" s="17">
        <f t="shared" si="209"/>
        <v>2</v>
      </c>
      <c r="AM371">
        <v>1</v>
      </c>
      <c r="AN371" s="17">
        <f t="shared" si="210"/>
        <v>1</v>
      </c>
      <c r="AO371">
        <v>0</v>
      </c>
      <c r="AQ371">
        <v>0</v>
      </c>
      <c r="AR371" s="17">
        <f t="shared" si="211"/>
        <v>0</v>
      </c>
      <c r="AS371">
        <v>2</v>
      </c>
      <c r="AT371" s="17">
        <f t="shared" si="212"/>
        <v>2</v>
      </c>
      <c r="BD371" s="65">
        <f t="shared" si="213"/>
        <v>0</v>
      </c>
      <c r="BE371" s="65">
        <f t="shared" si="214"/>
        <v>0</v>
      </c>
      <c r="BF371" s="66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0.55837503929564336</v>
      </c>
      <c r="BG371" s="38">
        <f t="shared" si="215"/>
        <v>0</v>
      </c>
      <c r="BH371" s="38">
        <f t="shared" si="216"/>
        <v>0</v>
      </c>
      <c r="BI371" s="67">
        <f>IFERROR(((AG371*(12000/5))/((F371*60+G371)*(SUMIFS(팀공격력!X:X,팀공격력!A:A,B371,팀공격력!B:B,D371)+SUMIFS(팀수비력!X:X,팀수비력!A:A,B371,팀수비력!B:B,D371))))*100,"")</f>
        <v>0</v>
      </c>
      <c r="BJ371" s="67">
        <f>IFERROR(((AI371*(12000/5))/((F371*60+G371)*(SUMIFS(팀공격력!V:V,팀공격력!A:A,B371,팀공격력!B:B,D371)+SUMIFS(팀수비력!W:W,팀수비력!A:A,B371,팀수비력!B:B,D371))))*100,"")</f>
        <v>0</v>
      </c>
      <c r="BK371" s="67">
        <f>IFERROR(((AE371*(12000/5))/((F371*60+G371)*(SUMIFS(팀공격력!X:X,팀공격력!A:A,B371,팀공격력!B:B,D371)+SUMIFS(팀수비력!X:X,팀수비력!A:A,B371,팀수비력!B:B,D371))))*100,"")</f>
        <v>0</v>
      </c>
      <c r="BL371" s="67">
        <f>IFERROR(100*AK371/(((((F371*60+G371)/(12000/5))*SUMIFS(팀공격력!P:P,팀공격력!A:A,B371,팀공격력!B:B,D371))-K371)),"")</f>
        <v>3.3122179439407113</v>
      </c>
      <c r="BM371" s="67">
        <f>IFERROR(100*((AM371/E371*(2400))/((F371*60+G371)*SUMIFS(팀공격력!AR:AR,팀공격력!A:A,B371,팀공격력!B:B,D371))),"")</f>
        <v>5.8658086063601518</v>
      </c>
      <c r="BN371" s="67">
        <f>IFERROR((AO371*40)/(((F371*60+G371)/60)*(SUMIFS(팀수비력!Q:Q,팀수비력!A:A,B371,팀수비력!B:B,D371)-SUMIFS(팀수비력!N:N,팀수비력!A:A,B371,팀수비력!B:B,D371)))*100,"")</f>
        <v>0</v>
      </c>
      <c r="BO371" s="67">
        <f t="shared" si="217"/>
        <v>0</v>
      </c>
      <c r="BT371" t="s">
        <v>89</v>
      </c>
      <c r="BV371" t="s">
        <v>90</v>
      </c>
      <c r="CF371">
        <v>0</v>
      </c>
      <c r="CG371">
        <v>1</v>
      </c>
    </row>
    <row r="372" spans="1:85" x14ac:dyDescent="0.4">
      <c r="A372" s="11" t="s">
        <v>85</v>
      </c>
      <c r="B372" t="s">
        <v>99</v>
      </c>
      <c r="C372" t="s">
        <v>308</v>
      </c>
      <c r="D372" s="46" t="s">
        <v>307</v>
      </c>
      <c r="E372">
        <v>1</v>
      </c>
      <c r="F372">
        <v>8</v>
      </c>
      <c r="G372" s="1">
        <v>34</v>
      </c>
      <c r="H372" s="16">
        <f t="shared" si="192"/>
        <v>514</v>
      </c>
      <c r="I372">
        <v>0</v>
      </c>
      <c r="J372" s="17">
        <f t="shared" si="193"/>
        <v>0</v>
      </c>
      <c r="K372">
        <v>0</v>
      </c>
      <c r="L372">
        <v>0</v>
      </c>
      <c r="M372" s="17">
        <f t="shared" si="194"/>
        <v>0</v>
      </c>
      <c r="N372" s="17">
        <f t="shared" si="195"/>
        <v>0</v>
      </c>
      <c r="O372" s="18" t="e">
        <f t="shared" si="196"/>
        <v>#DIV/0!</v>
      </c>
      <c r="P372">
        <v>0</v>
      </c>
      <c r="Q372">
        <v>0</v>
      </c>
      <c r="R372" s="17">
        <f t="shared" si="197"/>
        <v>0</v>
      </c>
      <c r="S372" s="17">
        <f t="shared" si="198"/>
        <v>0</v>
      </c>
      <c r="T372" s="18" t="e">
        <f t="shared" si="199"/>
        <v>#DIV/0!</v>
      </c>
      <c r="U372">
        <v>0</v>
      </c>
      <c r="V372">
        <v>0</v>
      </c>
      <c r="W372" s="17">
        <f t="shared" si="200"/>
        <v>0</v>
      </c>
      <c r="X372" s="17">
        <f t="shared" si="201"/>
        <v>0</v>
      </c>
      <c r="Y372" s="18" t="e">
        <f t="shared" si="202"/>
        <v>#DIV/0!</v>
      </c>
      <c r="Z372">
        <v>0</v>
      </c>
      <c r="AA372">
        <v>0</v>
      </c>
      <c r="AB372" s="17">
        <f t="shared" si="203"/>
        <v>0</v>
      </c>
      <c r="AC372" s="17">
        <f t="shared" si="204"/>
        <v>0</v>
      </c>
      <c r="AD372" s="18" t="e">
        <f t="shared" si="205"/>
        <v>#DIV/0!</v>
      </c>
      <c r="AE372">
        <v>1</v>
      </c>
      <c r="AF372" s="17">
        <f t="shared" si="206"/>
        <v>1</v>
      </c>
      <c r="AG372">
        <v>1</v>
      </c>
      <c r="AH372" s="17">
        <f t="shared" si="207"/>
        <v>1</v>
      </c>
      <c r="AI372">
        <v>0</v>
      </c>
      <c r="AJ372" s="17">
        <f t="shared" si="208"/>
        <v>0</v>
      </c>
      <c r="AK372">
        <v>0</v>
      </c>
      <c r="AL372" s="17">
        <f t="shared" si="209"/>
        <v>0</v>
      </c>
      <c r="AM372">
        <v>0</v>
      </c>
      <c r="AN372" s="17">
        <f t="shared" si="210"/>
        <v>0</v>
      </c>
      <c r="AO372">
        <v>0</v>
      </c>
      <c r="AQ372">
        <v>1</v>
      </c>
      <c r="AR372" s="17">
        <f t="shared" si="211"/>
        <v>1</v>
      </c>
      <c r="AS372">
        <v>3</v>
      </c>
      <c r="AT372" s="17">
        <f t="shared" si="212"/>
        <v>3</v>
      </c>
      <c r="BD372" s="65" t="str">
        <f t="shared" si="213"/>
        <v/>
      </c>
      <c r="BE372" s="65" t="str">
        <f t="shared" si="214"/>
        <v/>
      </c>
      <c r="BF372" s="66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0.63224566706238228</v>
      </c>
      <c r="BG372" s="38" t="str">
        <f t="shared" si="215"/>
        <v/>
      </c>
      <c r="BH372" s="38" t="str">
        <f t="shared" si="216"/>
        <v/>
      </c>
      <c r="BI372" s="67">
        <f>IFERROR(((AG372*(12000/5))/((F372*60+G372)*(SUMIFS(팀공격력!X:X,팀공격력!A:A,B372,팀공격력!B:B,D372)+SUMIFS(팀수비력!X:X,팀수비력!A:A,B372,팀수비력!B:B,D372))))*100,"")</f>
        <v>0.74827895839568992</v>
      </c>
      <c r="BJ372" s="67">
        <f>IFERROR(((AI372*(12000/5))/((F372*60+G372)*(SUMIFS(팀공격력!V:V,팀공격력!A:A,B372,팀공격력!B:B,D372)+SUMIFS(팀수비력!W:W,팀수비력!A:A,B372,팀수비력!B:B,D372))))*100,"")</f>
        <v>0</v>
      </c>
      <c r="BK372" s="67">
        <f>IFERROR(((AE372*(12000/5))/((F372*60+G372)*(SUMIFS(팀공격력!X:X,팀공격력!A:A,B372,팀공격력!B:B,D372)+SUMIFS(팀수비력!X:X,팀수비력!A:A,B372,팀수비력!B:B,D372))))*100,"")</f>
        <v>0.74827895839568992</v>
      </c>
      <c r="BL372" s="67">
        <f>IFERROR(100*AK372/(((((F372*60+G372)/(12000/5))*SUMIFS(팀공격력!P:P,팀공격력!A:A,B372,팀공격력!B:B,D372))-K372)),"")</f>
        <v>0</v>
      </c>
      <c r="BM372" s="67">
        <f>IFERROR(100*((AM372/E372*(2400))/((F372*60+G372)*SUMIFS(팀공격력!AR:AR,팀공격력!A:A,B372,팀공격력!B:B,D372))),"")</f>
        <v>0</v>
      </c>
      <c r="BN372" s="67">
        <f>IFERROR((AO372*40)/(((F372*60+G372)/60)*(SUMIFS(팀수비력!Q:Q,팀수비력!A:A,B372,팀수비력!B:B,D372)-SUMIFS(팀수비력!N:N,팀수비력!A:A,B372,팀수비력!B:B,D372)))*100,"")</f>
        <v>0</v>
      </c>
      <c r="BO372" s="67">
        <f t="shared" si="217"/>
        <v>100</v>
      </c>
      <c r="BT372" t="s">
        <v>89</v>
      </c>
      <c r="BV372" t="s">
        <v>102</v>
      </c>
      <c r="CF372">
        <v>0</v>
      </c>
      <c r="CG372">
        <v>1</v>
      </c>
    </row>
    <row r="373" spans="1:85" x14ac:dyDescent="0.4">
      <c r="A373" s="11" t="s">
        <v>85</v>
      </c>
      <c r="B373" t="s">
        <v>99</v>
      </c>
      <c r="C373" t="s">
        <v>119</v>
      </c>
      <c r="D373" s="46" t="s">
        <v>307</v>
      </c>
      <c r="E373">
        <v>9</v>
      </c>
      <c r="F373">
        <v>16</v>
      </c>
      <c r="G373" s="1">
        <v>51</v>
      </c>
      <c r="H373" s="16">
        <f t="shared" si="192"/>
        <v>9099</v>
      </c>
      <c r="I373">
        <v>40</v>
      </c>
      <c r="J373" s="17">
        <f t="shared" si="193"/>
        <v>4.4444444444444446</v>
      </c>
      <c r="K373">
        <v>14</v>
      </c>
      <c r="L373">
        <v>43</v>
      </c>
      <c r="M373" s="17">
        <f t="shared" si="194"/>
        <v>1.5555555555555556</v>
      </c>
      <c r="N373" s="17">
        <f t="shared" si="195"/>
        <v>4.7777777777777777</v>
      </c>
      <c r="O373" s="18">
        <f t="shared" si="196"/>
        <v>0.32558139534883723</v>
      </c>
      <c r="P373">
        <v>3</v>
      </c>
      <c r="Q373">
        <v>11</v>
      </c>
      <c r="R373" s="17">
        <f t="shared" si="197"/>
        <v>0.33333333333333331</v>
      </c>
      <c r="S373" s="17">
        <f t="shared" si="198"/>
        <v>1.2222222222222223</v>
      </c>
      <c r="T373" s="18">
        <f t="shared" si="199"/>
        <v>0.27272727272727271</v>
      </c>
      <c r="U373">
        <v>11</v>
      </c>
      <c r="V373">
        <v>32</v>
      </c>
      <c r="W373" s="17">
        <f t="shared" si="200"/>
        <v>1.2222222222222223</v>
      </c>
      <c r="X373" s="17">
        <f t="shared" si="201"/>
        <v>3.5555555555555554</v>
      </c>
      <c r="Y373" s="18">
        <f t="shared" si="202"/>
        <v>0.34375</v>
      </c>
      <c r="Z373">
        <v>1</v>
      </c>
      <c r="AA373">
        <v>2</v>
      </c>
      <c r="AB373" s="17">
        <f t="shared" si="203"/>
        <v>0.1111111111111111</v>
      </c>
      <c r="AC373" s="17">
        <f t="shared" si="204"/>
        <v>0.22222222222222221</v>
      </c>
      <c r="AD373" s="18">
        <f t="shared" si="205"/>
        <v>0.5</v>
      </c>
      <c r="AE373">
        <v>19</v>
      </c>
      <c r="AF373" s="17">
        <f t="shared" si="206"/>
        <v>2.1111111111111112</v>
      </c>
      <c r="AG373">
        <v>6</v>
      </c>
      <c r="AH373" s="17">
        <f t="shared" si="207"/>
        <v>0.66666666666666663</v>
      </c>
      <c r="AI373">
        <v>13</v>
      </c>
      <c r="AJ373" s="17">
        <f t="shared" si="208"/>
        <v>1.4444444444444444</v>
      </c>
      <c r="AK373">
        <v>7</v>
      </c>
      <c r="AL373" s="17">
        <f t="shared" si="209"/>
        <v>0.77777777777777779</v>
      </c>
      <c r="AM373">
        <v>4</v>
      </c>
      <c r="AN373" s="17">
        <f t="shared" si="210"/>
        <v>0.44444444444444442</v>
      </c>
      <c r="AO373">
        <v>0</v>
      </c>
      <c r="AQ373">
        <v>3</v>
      </c>
      <c r="AR373" s="17">
        <f t="shared" si="211"/>
        <v>0.33333333333333331</v>
      </c>
      <c r="AS373">
        <v>24</v>
      </c>
      <c r="AT373" s="17">
        <f t="shared" si="212"/>
        <v>2.6666666666666665</v>
      </c>
      <c r="BD373" s="65">
        <f t="shared" si="213"/>
        <v>45.578851412944395</v>
      </c>
      <c r="BE373" s="65">
        <f t="shared" si="214"/>
        <v>45.348837209302324</v>
      </c>
      <c r="BF373" s="66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15.069034532293395</v>
      </c>
      <c r="BG373" s="38">
        <f t="shared" si="215"/>
        <v>0.7441860465116279</v>
      </c>
      <c r="BH373" s="38">
        <f t="shared" si="216"/>
        <v>4.6511627906976744E-2</v>
      </c>
      <c r="BI373" s="67">
        <f>IFERROR(((AG373*(12000/5))/((F373*60+G373)*(SUMIFS(팀공격력!X:X,팀공격력!A:A,B373,팀공격력!B:B,D373)+SUMIFS(팀수비력!X:X,팀수비력!A:A,B373,팀수비력!B:B,D373))))*100,"")</f>
        <v>2.2825838849577722</v>
      </c>
      <c r="BJ373" s="67">
        <f>IFERROR(((AI373*(12000/5))/((F373*60+G373)*(SUMIFS(팀공격력!V:V,팀공격력!A:A,B373,팀공격력!B:B,D373)+SUMIFS(팀수비력!W:W,팀수비력!A:A,B373,팀수비력!B:B,D373))))*100,"")</f>
        <v>9.4955489614243334</v>
      </c>
      <c r="BK373" s="67">
        <f>IFERROR(((AE373*(12000/5))/((F373*60+G373)*(SUMIFS(팀공격력!X:X,팀공격력!A:A,B373,팀공격력!B:B,D373)+SUMIFS(팀수비력!X:X,팀수비력!A:A,B373,팀수비력!B:B,D373))))*100,"")</f>
        <v>7.228182302366279</v>
      </c>
      <c r="BL373" s="67">
        <f>IFERROR(100*AK373/(((((F373*60+G373)/(12000/5))*SUMIFS(팀공격력!P:P,팀공격력!A:A,B373,팀공격력!B:B,D373))-K373)),"")</f>
        <v>7.7015114216164919</v>
      </c>
      <c r="BM373" s="67">
        <f>IFERROR(100*((AM373/E373*(2400))/((F373*60+G373)*SUMIFS(팀공격력!AR:AR,팀공격력!A:A,B373,팀공격력!B:B,D373))),"")</f>
        <v>1.5007805732065538</v>
      </c>
      <c r="BN373" s="67">
        <f>IFERROR((AO373*40)/(((F373*60+G373)/60)*(SUMIFS(팀수비력!Q:Q,팀수비력!A:A,B373,팀수비력!B:B,D373)-SUMIFS(팀수비력!N:N,팀수비력!A:A,B373,팀수비력!B:B,D373)))*100,"")</f>
        <v>0</v>
      </c>
      <c r="BO373" s="67">
        <f t="shared" si="217"/>
        <v>6.3993174061433447</v>
      </c>
      <c r="BT373" t="s">
        <v>89</v>
      </c>
      <c r="BV373" t="s">
        <v>93</v>
      </c>
      <c r="CF373">
        <v>4</v>
      </c>
      <c r="CG373">
        <v>5</v>
      </c>
    </row>
    <row r="374" spans="1:85" x14ac:dyDescent="0.4">
      <c r="A374" s="11" t="s">
        <v>85</v>
      </c>
      <c r="B374" t="s">
        <v>99</v>
      </c>
      <c r="C374" t="s">
        <v>120</v>
      </c>
      <c r="D374" s="46" t="s">
        <v>307</v>
      </c>
      <c r="E374">
        <v>9</v>
      </c>
      <c r="F374">
        <v>31</v>
      </c>
      <c r="G374" s="1">
        <v>34</v>
      </c>
      <c r="H374" s="16">
        <f t="shared" si="192"/>
        <v>17046</v>
      </c>
      <c r="I374">
        <v>166</v>
      </c>
      <c r="J374" s="17">
        <f t="shared" si="193"/>
        <v>18.444444444444443</v>
      </c>
      <c r="K374">
        <v>70</v>
      </c>
      <c r="L374">
        <v>129</v>
      </c>
      <c r="M374" s="17">
        <f t="shared" si="194"/>
        <v>7.7777777777777777</v>
      </c>
      <c r="N374" s="17">
        <f t="shared" si="195"/>
        <v>14.333333333333334</v>
      </c>
      <c r="O374" s="18">
        <f t="shared" si="196"/>
        <v>0.54263565891472865</v>
      </c>
      <c r="P374">
        <v>65</v>
      </c>
      <c r="Q374">
        <v>111</v>
      </c>
      <c r="R374" s="17">
        <f t="shared" si="197"/>
        <v>7.2222222222222223</v>
      </c>
      <c r="S374" s="17">
        <f t="shared" si="198"/>
        <v>12.333333333333334</v>
      </c>
      <c r="T374" s="18">
        <f t="shared" si="199"/>
        <v>0.5855855855855856</v>
      </c>
      <c r="U374">
        <v>5</v>
      </c>
      <c r="V374">
        <v>18</v>
      </c>
      <c r="W374" s="17">
        <f t="shared" si="200"/>
        <v>0.55555555555555558</v>
      </c>
      <c r="X374" s="17">
        <f t="shared" si="201"/>
        <v>2</v>
      </c>
      <c r="Y374" s="18">
        <f t="shared" si="202"/>
        <v>0.27777777777777779</v>
      </c>
      <c r="Z374">
        <v>21</v>
      </c>
      <c r="AA374">
        <v>31</v>
      </c>
      <c r="AB374" s="17">
        <f t="shared" si="203"/>
        <v>2.3333333333333335</v>
      </c>
      <c r="AC374" s="17">
        <f t="shared" si="204"/>
        <v>3.4444444444444446</v>
      </c>
      <c r="AD374" s="18">
        <f t="shared" si="205"/>
        <v>0.67741935483870963</v>
      </c>
      <c r="AE374">
        <v>105</v>
      </c>
      <c r="AF374" s="17">
        <f t="shared" si="206"/>
        <v>11.666666666666666</v>
      </c>
      <c r="AG374">
        <v>29</v>
      </c>
      <c r="AH374" s="17">
        <f t="shared" si="207"/>
        <v>3.2222222222222223</v>
      </c>
      <c r="AI374">
        <v>76</v>
      </c>
      <c r="AJ374" s="17">
        <f t="shared" si="208"/>
        <v>8.4444444444444446</v>
      </c>
      <c r="AK374">
        <v>38</v>
      </c>
      <c r="AL374" s="17">
        <f t="shared" si="209"/>
        <v>4.2222222222222223</v>
      </c>
      <c r="AM374">
        <v>10</v>
      </c>
      <c r="AN374" s="17">
        <f t="shared" si="210"/>
        <v>1.1111111111111112</v>
      </c>
      <c r="AO374">
        <v>5</v>
      </c>
      <c r="AQ374">
        <v>31</v>
      </c>
      <c r="AR374" s="17">
        <f t="shared" si="211"/>
        <v>3.4444444444444446</v>
      </c>
      <c r="AS374">
        <v>22</v>
      </c>
      <c r="AT374" s="17">
        <f t="shared" si="212"/>
        <v>2.4444444444444446</v>
      </c>
      <c r="BD374" s="65">
        <f t="shared" si="213"/>
        <v>58.188446438586659</v>
      </c>
      <c r="BE374" s="65">
        <f t="shared" si="214"/>
        <v>56.201550387596896</v>
      </c>
      <c r="BF374" s="66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29.793311901350574</v>
      </c>
      <c r="BG374" s="38">
        <f t="shared" si="215"/>
        <v>0.13953488372093023</v>
      </c>
      <c r="BH374" s="38">
        <f t="shared" si="216"/>
        <v>0.24031007751937986</v>
      </c>
      <c r="BI374" s="67">
        <f>IFERROR(((AG374*(12000/5))/((F374*60+G374)*(SUMIFS(팀공격력!X:X,팀공격력!A:A,B374,팀공격력!B:B,D374)+SUMIFS(팀수비력!X:X,팀수비력!A:A,B374,팀수비력!B:B,D374))))*100,"")</f>
        <v>5.8890423198765331</v>
      </c>
      <c r="BJ374" s="67">
        <f>IFERROR(((AI374*(12000/5))/((F374*60+G374)*(SUMIFS(팀공격력!V:V,팀공격력!A:A,B374,팀공격력!B:B,D374)+SUMIFS(팀수비력!W:W,팀수비력!A:A,B374,팀수비력!B:B,D374))))*100,"")</f>
        <v>29.632036390220129</v>
      </c>
      <c r="BK374" s="67">
        <f>IFERROR(((AE374*(12000/5))/((F374*60+G374)*(SUMIFS(팀공격력!X:X,팀공격력!A:A,B374,팀공격력!B:B,D374)+SUMIFS(팀수비력!X:X,팀수비력!A:A,B374,팀수비력!B:B,D374))))*100,"")</f>
        <v>21.322394606449517</v>
      </c>
      <c r="BL374" s="67">
        <f>IFERROR(100*AK374/(((((F374*60+G374)/(12000/5))*SUMIFS(팀공격력!P:P,팀공격력!A:A,B374,팀공격력!B:B,D374))-K374)),"")</f>
        <v>30.038932036916268</v>
      </c>
      <c r="BM374" s="67">
        <f>IFERROR(100*((AM374/E374*(2400))/((F374*60+G374)*SUMIFS(팀공격력!AR:AR,팀공격력!A:A,B374,팀공격력!B:B,D374))),"")</f>
        <v>2.0027576023123368</v>
      </c>
      <c r="BN374" s="67">
        <f>IFERROR((AO374*40)/(((F374*60+G374)/60)*(SUMIFS(팀수비력!Q:Q,팀수비력!A:A,B374,팀수비력!B:B,D374)-SUMIFS(팀수비력!N:N,팀수비력!A:A,B374,팀수비력!B:B,D374)))*100,"")</f>
        <v>1.7453986926963792</v>
      </c>
      <c r="BO374" s="67">
        <f t="shared" si="217"/>
        <v>17.853029255931816</v>
      </c>
      <c r="BT374" t="s">
        <v>96</v>
      </c>
      <c r="BV374" t="s">
        <v>102</v>
      </c>
      <c r="CF374">
        <v>4</v>
      </c>
      <c r="CG374">
        <v>5</v>
      </c>
    </row>
    <row r="375" spans="1:85" x14ac:dyDescent="0.4">
      <c r="A375" s="11" t="s">
        <v>85</v>
      </c>
      <c r="B375" t="s">
        <v>99</v>
      </c>
      <c r="C375" t="s">
        <v>121</v>
      </c>
      <c r="D375" s="46" t="s">
        <v>307</v>
      </c>
      <c r="E375">
        <v>9</v>
      </c>
      <c r="F375">
        <v>26</v>
      </c>
      <c r="G375" s="1">
        <v>57</v>
      </c>
      <c r="H375" s="16">
        <f t="shared" si="192"/>
        <v>14553</v>
      </c>
      <c r="I375">
        <v>70</v>
      </c>
      <c r="J375" s="17">
        <f t="shared" si="193"/>
        <v>7.7777777777777777</v>
      </c>
      <c r="K375">
        <v>25</v>
      </c>
      <c r="L375">
        <v>72</v>
      </c>
      <c r="M375" s="17">
        <f t="shared" si="194"/>
        <v>2.7777777777777777</v>
      </c>
      <c r="N375" s="17">
        <f t="shared" si="195"/>
        <v>8</v>
      </c>
      <c r="O375" s="18">
        <f t="shared" si="196"/>
        <v>0.34722222222222221</v>
      </c>
      <c r="P375">
        <v>12</v>
      </c>
      <c r="Q375">
        <v>23</v>
      </c>
      <c r="R375" s="17">
        <f t="shared" si="197"/>
        <v>1.3333333333333333</v>
      </c>
      <c r="S375" s="17">
        <f t="shared" si="198"/>
        <v>2.5555555555555554</v>
      </c>
      <c r="T375" s="18">
        <f t="shared" si="199"/>
        <v>0.52173913043478259</v>
      </c>
      <c r="U375">
        <v>13</v>
      </c>
      <c r="V375">
        <v>49</v>
      </c>
      <c r="W375" s="17">
        <f t="shared" si="200"/>
        <v>1.4444444444444444</v>
      </c>
      <c r="X375" s="17">
        <f t="shared" si="201"/>
        <v>5.4444444444444446</v>
      </c>
      <c r="Y375" s="18">
        <f t="shared" si="202"/>
        <v>0.26530612244897961</v>
      </c>
      <c r="Z375">
        <v>7</v>
      </c>
      <c r="AA375">
        <v>12</v>
      </c>
      <c r="AB375" s="17">
        <f t="shared" si="203"/>
        <v>0.77777777777777779</v>
      </c>
      <c r="AC375" s="17">
        <f t="shared" si="204"/>
        <v>1.3333333333333333</v>
      </c>
      <c r="AD375" s="18">
        <f t="shared" si="205"/>
        <v>0.58333333333333337</v>
      </c>
      <c r="AE375">
        <v>23</v>
      </c>
      <c r="AF375" s="17">
        <f t="shared" si="206"/>
        <v>2.5555555555555554</v>
      </c>
      <c r="AG375">
        <v>4</v>
      </c>
      <c r="AH375" s="17">
        <f t="shared" si="207"/>
        <v>0.44444444444444442</v>
      </c>
      <c r="AI375">
        <v>19</v>
      </c>
      <c r="AJ375" s="17">
        <f t="shared" si="208"/>
        <v>2.1111111111111112</v>
      </c>
      <c r="AK375">
        <v>29</v>
      </c>
      <c r="AL375" s="17">
        <f t="shared" si="209"/>
        <v>3.2222222222222223</v>
      </c>
      <c r="AM375">
        <v>9</v>
      </c>
      <c r="AN375" s="17">
        <f t="shared" si="210"/>
        <v>1</v>
      </c>
      <c r="AO375">
        <v>0</v>
      </c>
      <c r="AQ375">
        <v>11</v>
      </c>
      <c r="AR375" s="17">
        <f t="shared" si="211"/>
        <v>1.2222222222222223</v>
      </c>
      <c r="AS375">
        <v>19</v>
      </c>
      <c r="AT375" s="17">
        <f t="shared" si="212"/>
        <v>2.1111111111111112</v>
      </c>
      <c r="BD375" s="65">
        <f t="shared" si="213"/>
        <v>45.289855072463766</v>
      </c>
      <c r="BE375" s="65">
        <f t="shared" si="214"/>
        <v>43.75</v>
      </c>
      <c r="BF375" s="66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17.741947315379893</v>
      </c>
      <c r="BG375" s="38">
        <f t="shared" si="215"/>
        <v>0.68055555555555558</v>
      </c>
      <c r="BH375" s="38">
        <f t="shared" si="216"/>
        <v>0.16666666666666666</v>
      </c>
      <c r="BI375" s="67">
        <f>IFERROR(((AG375*(12000/5))/((F375*60+G375)*(SUMIFS(팀공격력!X:X,팀공격력!A:A,B375,팀공격력!B:B,D375)+SUMIFS(팀수비력!X:X,팀수비력!A:A,B375,팀수비력!B:B,D375))))*100,"")</f>
        <v>0.95142952285809435</v>
      </c>
      <c r="BJ375" s="67">
        <f>IFERROR(((AI375*(12000/5))/((F375*60+G375)*(SUMIFS(팀공격력!V:V,팀공격력!A:A,B375,팀공격력!B:B,D375)+SUMIFS(팀수비력!W:W,팀수비력!A:A,B375,팀수비력!B:B,D375))))*100,"")</f>
        <v>8.6770372484658207</v>
      </c>
      <c r="BK375" s="67">
        <f>IFERROR(((AE375*(12000/5))/((F375*60+G375)*(SUMIFS(팀공격력!X:X,팀공격력!A:A,B375,팀공격력!B:B,D375)+SUMIFS(팀수비력!X:X,팀수비력!A:A,B375,팀수비력!B:B,D375))))*100,"")</f>
        <v>5.4707197564340424</v>
      </c>
      <c r="BL375" s="67">
        <f>IFERROR(100*AK375/(((((F375*60+G375)/(12000/5))*SUMIFS(팀공격력!P:P,팀공격력!A:A,B375,팀공격력!B:B,D375))-K375)),"")</f>
        <v>20.313279806673613</v>
      </c>
      <c r="BM375" s="67">
        <f>IFERROR(100*((AM375/E375*(2400))/((F375*60+G375)*SUMIFS(팀공격력!AR:AR,팀공격력!A:A,B375,팀공격력!B:B,D375))),"")</f>
        <v>2.1112557878179397</v>
      </c>
      <c r="BN375" s="67">
        <f>IFERROR((AO375*40)/(((F375*60+G375)/60)*(SUMIFS(팀수비력!Q:Q,팀수비력!A:A,B375,팀수비력!B:B,D375)-SUMIFS(팀수비력!N:N,팀수비력!A:A,B375,팀수비력!B:B,D375)))*100,"")</f>
        <v>0</v>
      </c>
      <c r="BO375" s="67">
        <f t="shared" si="217"/>
        <v>12.460353420933394</v>
      </c>
      <c r="BT375" t="s">
        <v>89</v>
      </c>
      <c r="BV375" t="s">
        <v>90</v>
      </c>
      <c r="CF375">
        <v>4</v>
      </c>
      <c r="CG375">
        <v>5</v>
      </c>
    </row>
    <row r="376" spans="1:85" x14ac:dyDescent="0.4">
      <c r="A376" s="11" t="s">
        <v>85</v>
      </c>
      <c r="B376" t="s">
        <v>99</v>
      </c>
      <c r="C376" t="s">
        <v>122</v>
      </c>
      <c r="D376" s="46" t="s">
        <v>307</v>
      </c>
      <c r="E376">
        <v>5</v>
      </c>
      <c r="F376">
        <v>11</v>
      </c>
      <c r="G376" s="1">
        <v>46</v>
      </c>
      <c r="H376" s="16">
        <f t="shared" si="192"/>
        <v>3530</v>
      </c>
      <c r="I376">
        <v>9</v>
      </c>
      <c r="J376" s="17">
        <f t="shared" si="193"/>
        <v>1.8</v>
      </c>
      <c r="K376">
        <v>3</v>
      </c>
      <c r="L376">
        <v>13</v>
      </c>
      <c r="M376" s="17">
        <f t="shared" si="194"/>
        <v>0.6</v>
      </c>
      <c r="N376" s="17">
        <f t="shared" si="195"/>
        <v>2.6</v>
      </c>
      <c r="O376" s="18">
        <f t="shared" si="196"/>
        <v>0.23076923076923078</v>
      </c>
      <c r="P376">
        <v>0</v>
      </c>
      <c r="Q376">
        <v>5</v>
      </c>
      <c r="R376" s="17">
        <f t="shared" si="197"/>
        <v>0</v>
      </c>
      <c r="S376" s="17">
        <f t="shared" si="198"/>
        <v>1</v>
      </c>
      <c r="T376" s="18">
        <f t="shared" si="199"/>
        <v>0</v>
      </c>
      <c r="U376">
        <v>3</v>
      </c>
      <c r="V376">
        <v>8</v>
      </c>
      <c r="W376" s="17">
        <f t="shared" si="200"/>
        <v>0.6</v>
      </c>
      <c r="X376" s="17">
        <f t="shared" si="201"/>
        <v>1.6</v>
      </c>
      <c r="Y376" s="18">
        <f t="shared" si="202"/>
        <v>0.375</v>
      </c>
      <c r="Z376">
        <v>0</v>
      </c>
      <c r="AA376">
        <v>0</v>
      </c>
      <c r="AB376" s="17">
        <f t="shared" si="203"/>
        <v>0</v>
      </c>
      <c r="AC376" s="17">
        <f t="shared" si="204"/>
        <v>0</v>
      </c>
      <c r="AD376" s="18" t="e">
        <f t="shared" si="205"/>
        <v>#DIV/0!</v>
      </c>
      <c r="AE376">
        <v>1</v>
      </c>
      <c r="AF376" s="17">
        <f t="shared" si="206"/>
        <v>0.2</v>
      </c>
      <c r="AG376">
        <v>0</v>
      </c>
      <c r="AH376" s="17">
        <f t="shared" si="207"/>
        <v>0</v>
      </c>
      <c r="AI376">
        <v>1</v>
      </c>
      <c r="AJ376" s="17">
        <f t="shared" si="208"/>
        <v>0.2</v>
      </c>
      <c r="AK376">
        <v>2</v>
      </c>
      <c r="AL376" s="17">
        <f t="shared" si="209"/>
        <v>0.4</v>
      </c>
      <c r="AM376">
        <v>0</v>
      </c>
      <c r="AN376" s="17">
        <f t="shared" si="210"/>
        <v>0</v>
      </c>
      <c r="AO376">
        <v>1</v>
      </c>
      <c r="AQ376">
        <v>1</v>
      </c>
      <c r="AR376" s="17">
        <f t="shared" si="211"/>
        <v>0.2</v>
      </c>
      <c r="AS376">
        <v>11</v>
      </c>
      <c r="AT376" s="17">
        <f t="shared" si="212"/>
        <v>2.2000000000000002</v>
      </c>
      <c r="BD376" s="65">
        <f t="shared" si="213"/>
        <v>34.615384615384613</v>
      </c>
      <c r="BE376" s="65">
        <f t="shared" si="214"/>
        <v>34.615384615384613</v>
      </c>
      <c r="BF376" s="66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6.4442490370834316</v>
      </c>
      <c r="BG376" s="38">
        <f t="shared" si="215"/>
        <v>0.61538461538461542</v>
      </c>
      <c r="BH376" s="38">
        <f t="shared" si="216"/>
        <v>0</v>
      </c>
      <c r="BI376" s="67">
        <f>IFERROR(((AG376*(12000/5))/((F376*60+G376)*(SUMIFS(팀공격력!X:X,팀공격력!A:A,B376,팀공격력!B:B,D376)+SUMIFS(팀수비력!X:X,팀수비력!A:A,B376,팀수비력!B:B,D376))))*100,"")</f>
        <v>0</v>
      </c>
      <c r="BJ376" s="67">
        <f>IFERROR(((AI376*(12000/5))/((F376*60+G376)*(SUMIFS(팀공격력!V:V,팀공격력!A:A,B376,팀공격력!B:B,D376)+SUMIFS(팀수비력!W:W,팀수비력!A:A,B376,팀수비력!B:B,D376))))*100,"")</f>
        <v>1.0459795162344738</v>
      </c>
      <c r="BK376" s="67">
        <f>IFERROR(((AE376*(12000/5))/((F376*60+G376)*(SUMIFS(팀공격력!X:X,팀공격력!A:A,B376,팀공격력!B:B,D376)+SUMIFS(팀수비력!X:X,팀수비력!A:A,B376,팀수비력!B:B,D376))))*100,"")</f>
        <v>0.54478099803878843</v>
      </c>
      <c r="BL376" s="67">
        <f>IFERROR(100*AK376/(((((F376*60+G376)/(12000/5))*SUMIFS(팀공격력!P:P,팀공격력!A:A,B376,팀공격력!B:B,D376))-K376)),"")</f>
        <v>2.8470764084131108</v>
      </c>
      <c r="BM376" s="67">
        <f>IFERROR(100*((AM376/E376*(2400))/((F376*60+G376)*SUMIFS(팀공격력!AR:AR,팀공격력!A:A,B376,팀공격력!B:B,D376))),"")</f>
        <v>0</v>
      </c>
      <c r="BN376" s="67">
        <f>IFERROR((AO376*40)/(((F376*60+G376)/60)*(SUMIFS(팀수비력!Q:Q,팀수비력!A:A,B376,팀수비력!B:B,D376)-SUMIFS(팀수비력!N:N,팀수비력!A:A,B376,팀수비력!B:B,D376)))*100,"")</f>
        <v>0.93648303795097509</v>
      </c>
      <c r="BO376" s="67">
        <f t="shared" si="217"/>
        <v>7.1428571428571432</v>
      </c>
      <c r="BT376" t="s">
        <v>89</v>
      </c>
      <c r="BV376" t="s">
        <v>93</v>
      </c>
      <c r="CF376">
        <v>1</v>
      </c>
      <c r="CG376">
        <v>4</v>
      </c>
    </row>
    <row r="377" spans="1:85" x14ac:dyDescent="0.4">
      <c r="A377" s="11" t="s">
        <v>85</v>
      </c>
      <c r="B377" t="s">
        <v>123</v>
      </c>
      <c r="C377" t="s">
        <v>124</v>
      </c>
      <c r="D377" s="46" t="s">
        <v>307</v>
      </c>
      <c r="E377">
        <v>6</v>
      </c>
      <c r="F377">
        <v>21</v>
      </c>
      <c r="G377" s="1">
        <v>48</v>
      </c>
      <c r="H377" s="16">
        <f t="shared" si="192"/>
        <v>7848</v>
      </c>
      <c r="I377">
        <v>59</v>
      </c>
      <c r="J377" s="17">
        <f t="shared" si="193"/>
        <v>9.8333333333333339</v>
      </c>
      <c r="K377">
        <v>23</v>
      </c>
      <c r="L377">
        <v>49</v>
      </c>
      <c r="M377" s="17">
        <f t="shared" si="194"/>
        <v>3.8333333333333335</v>
      </c>
      <c r="N377" s="17">
        <f t="shared" si="195"/>
        <v>8.1666666666666661</v>
      </c>
      <c r="O377" s="18">
        <f t="shared" si="196"/>
        <v>0.46938775510204084</v>
      </c>
      <c r="P377">
        <v>15</v>
      </c>
      <c r="Q377">
        <v>26</v>
      </c>
      <c r="R377" s="17">
        <f t="shared" si="197"/>
        <v>2.5</v>
      </c>
      <c r="S377" s="17">
        <f t="shared" si="198"/>
        <v>4.333333333333333</v>
      </c>
      <c r="T377" s="18">
        <f t="shared" si="199"/>
        <v>0.57692307692307687</v>
      </c>
      <c r="U377">
        <v>8</v>
      </c>
      <c r="V377">
        <v>23</v>
      </c>
      <c r="W377" s="17">
        <f t="shared" si="200"/>
        <v>1.3333333333333333</v>
      </c>
      <c r="X377" s="17">
        <f t="shared" si="201"/>
        <v>3.8333333333333335</v>
      </c>
      <c r="Y377" s="18">
        <f t="shared" si="202"/>
        <v>0.34782608695652173</v>
      </c>
      <c r="Z377">
        <v>5</v>
      </c>
      <c r="AA377">
        <v>6</v>
      </c>
      <c r="AB377" s="17">
        <f t="shared" si="203"/>
        <v>0.83333333333333337</v>
      </c>
      <c r="AC377" s="17">
        <f t="shared" si="204"/>
        <v>1</v>
      </c>
      <c r="AD377" s="18">
        <f t="shared" si="205"/>
        <v>0.83333333333333337</v>
      </c>
      <c r="AE377">
        <v>7</v>
      </c>
      <c r="AF377" s="17">
        <f t="shared" si="206"/>
        <v>1.1666666666666667</v>
      </c>
      <c r="AG377">
        <v>2</v>
      </c>
      <c r="AH377" s="17">
        <f t="shared" si="207"/>
        <v>0.33333333333333331</v>
      </c>
      <c r="AI377">
        <v>5</v>
      </c>
      <c r="AJ377" s="17">
        <f t="shared" si="208"/>
        <v>0.83333333333333337</v>
      </c>
      <c r="AK377">
        <v>19</v>
      </c>
      <c r="AL377" s="17">
        <f t="shared" si="209"/>
        <v>3.1666666666666665</v>
      </c>
      <c r="AM377">
        <v>3</v>
      </c>
      <c r="AN377" s="17">
        <f t="shared" si="210"/>
        <v>0.5</v>
      </c>
      <c r="AO377">
        <v>0</v>
      </c>
      <c r="AQ377">
        <v>8</v>
      </c>
      <c r="AR377" s="17">
        <f t="shared" si="211"/>
        <v>1.3333333333333333</v>
      </c>
      <c r="AS377">
        <v>14</v>
      </c>
      <c r="AT377" s="17">
        <f t="shared" si="212"/>
        <v>2.3333333333333335</v>
      </c>
      <c r="BD377" s="65">
        <f t="shared" si="213"/>
        <v>57.126258714175059</v>
      </c>
      <c r="BE377" s="65">
        <f t="shared" si="214"/>
        <v>55.102040816326522</v>
      </c>
      <c r="BF377" s="66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14.853031198836861</v>
      </c>
      <c r="BG377" s="38">
        <f t="shared" si="215"/>
        <v>0.46938775510204084</v>
      </c>
      <c r="BH377" s="38">
        <f t="shared" si="216"/>
        <v>0.12244897959183673</v>
      </c>
      <c r="BI377" s="67">
        <f>IFERROR(((AG377*(12000/5))/((F377*60+G377)*(SUMIFS(팀공격력!X:X,팀공격력!A:A,B377,팀공격력!B:B,D377)+SUMIFS(팀수비력!X:X,팀수비력!A:A,B377,팀수비력!B:B,D377))))*100,"")</f>
        <v>0.61060312323497534</v>
      </c>
      <c r="BJ377" s="67">
        <f>IFERROR(((AI377*(12000/5))/((F377*60+G377)*(SUMIFS(팀공격력!V:V,팀공격력!A:A,B377,팀공격력!B:B,D377)+SUMIFS(팀수비력!W:W,팀수비력!A:A,B377,팀수비력!B:B,D377))))*100,"")</f>
        <v>3.1205142607501717</v>
      </c>
      <c r="BK377" s="67">
        <f>IFERROR(((AE377*(12000/5))/((F377*60+G377)*(SUMIFS(팀공격력!X:X,팀공격력!A:A,B377,팀공격력!B:B,D377)+SUMIFS(팀수비력!X:X,팀수비력!A:A,B377,팀수비력!B:B,D377))))*100,"")</f>
        <v>2.1371109313224137</v>
      </c>
      <c r="BL377" s="67">
        <f>IFERROR(100*AK377/(((((F377*60+G377)/(12000/5))*SUMIFS(팀공격력!P:P,팀공격력!A:A,B377,팀공격력!B:B,D377))-K377)),"")</f>
        <v>14.784841646564468</v>
      </c>
      <c r="BM377" s="67">
        <f>IFERROR(100*((AM377/E377*(2400))/((F377*60+G377)*SUMIFS(팀공격력!AR:AR,팀공격력!A:A,B377,팀공격력!B:B,D377))),"")</f>
        <v>1.2730491977410758</v>
      </c>
      <c r="BN377" s="67">
        <f>IFERROR((AO377*40)/(((F377*60+G377)/60)*(SUMIFS(팀수비력!Q:Q,팀수비력!A:A,B377,팀수비력!B:B,D377)-SUMIFS(팀수비력!N:N,팀수비력!A:A,B377,팀수비력!B:B,D377)))*100,"")</f>
        <v>0</v>
      </c>
      <c r="BO377" s="67">
        <f t="shared" si="217"/>
        <v>13.413816230717639</v>
      </c>
      <c r="BT377" t="s">
        <v>89</v>
      </c>
      <c r="BV377" t="s">
        <v>90</v>
      </c>
      <c r="CF377">
        <v>1</v>
      </c>
      <c r="CG377">
        <v>5</v>
      </c>
    </row>
    <row r="378" spans="1:85" x14ac:dyDescent="0.4">
      <c r="A378" s="11" t="s">
        <v>85</v>
      </c>
      <c r="B378" t="s">
        <v>123</v>
      </c>
      <c r="C378" t="s">
        <v>125</v>
      </c>
      <c r="D378" s="46" t="s">
        <v>307</v>
      </c>
      <c r="E378">
        <v>7</v>
      </c>
      <c r="F378">
        <v>11</v>
      </c>
      <c r="G378" s="1">
        <v>12</v>
      </c>
      <c r="H378" s="16">
        <f t="shared" si="192"/>
        <v>4704</v>
      </c>
      <c r="I378">
        <v>23</v>
      </c>
      <c r="J378" s="17">
        <f t="shared" si="193"/>
        <v>3.2857142857142856</v>
      </c>
      <c r="K378">
        <v>10</v>
      </c>
      <c r="L378">
        <v>14</v>
      </c>
      <c r="M378" s="17">
        <f t="shared" si="194"/>
        <v>1.4285714285714286</v>
      </c>
      <c r="N378" s="17">
        <f t="shared" si="195"/>
        <v>2</v>
      </c>
      <c r="O378" s="18">
        <f t="shared" si="196"/>
        <v>0.7142857142857143</v>
      </c>
      <c r="P378">
        <v>10</v>
      </c>
      <c r="Q378">
        <v>14</v>
      </c>
      <c r="R378" s="17">
        <f t="shared" si="197"/>
        <v>1.4285714285714286</v>
      </c>
      <c r="S378" s="17">
        <f t="shared" si="198"/>
        <v>2</v>
      </c>
      <c r="T378" s="18">
        <f t="shared" si="199"/>
        <v>0.7142857142857143</v>
      </c>
      <c r="U378">
        <v>0</v>
      </c>
      <c r="V378">
        <v>0</v>
      </c>
      <c r="W378" s="17">
        <f t="shared" si="200"/>
        <v>0</v>
      </c>
      <c r="X378" s="17">
        <f t="shared" si="201"/>
        <v>0</v>
      </c>
      <c r="Y378" s="18" t="e">
        <f t="shared" si="202"/>
        <v>#DIV/0!</v>
      </c>
      <c r="Z378">
        <v>3</v>
      </c>
      <c r="AA378">
        <v>6</v>
      </c>
      <c r="AB378" s="17">
        <f t="shared" si="203"/>
        <v>0.42857142857142855</v>
      </c>
      <c r="AC378" s="17">
        <f t="shared" si="204"/>
        <v>0.8571428571428571</v>
      </c>
      <c r="AD378" s="18">
        <f t="shared" si="205"/>
        <v>0.5</v>
      </c>
      <c r="AE378">
        <v>18</v>
      </c>
      <c r="AF378" s="17">
        <f t="shared" si="206"/>
        <v>2.5714285714285716</v>
      </c>
      <c r="AG378">
        <v>8</v>
      </c>
      <c r="AH378" s="17">
        <f t="shared" si="207"/>
        <v>1.1428571428571428</v>
      </c>
      <c r="AI378">
        <v>10</v>
      </c>
      <c r="AJ378" s="17">
        <f t="shared" si="208"/>
        <v>1.4285714285714286</v>
      </c>
      <c r="AK378">
        <v>4</v>
      </c>
      <c r="AL378" s="17">
        <f t="shared" si="209"/>
        <v>0.5714285714285714</v>
      </c>
      <c r="AM378">
        <v>1</v>
      </c>
      <c r="AN378" s="17">
        <f t="shared" si="210"/>
        <v>0.14285714285714285</v>
      </c>
      <c r="AO378">
        <v>0</v>
      </c>
      <c r="AQ378">
        <v>6</v>
      </c>
      <c r="AR378" s="17">
        <f t="shared" si="211"/>
        <v>0.8571428571428571</v>
      </c>
      <c r="AS378">
        <v>11</v>
      </c>
      <c r="AT378" s="17">
        <f t="shared" si="212"/>
        <v>1.5714285714285714</v>
      </c>
      <c r="BD378" s="65">
        <f t="shared" si="213"/>
        <v>69.11057692307692</v>
      </c>
      <c r="BE378" s="65">
        <f t="shared" si="214"/>
        <v>71.428571428571431</v>
      </c>
      <c r="BF378" s="66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10.974692282037958</v>
      </c>
      <c r="BG378" s="38">
        <f t="shared" si="215"/>
        <v>0</v>
      </c>
      <c r="BH378" s="38">
        <f t="shared" si="216"/>
        <v>0.42857142857142855</v>
      </c>
      <c r="BI378" s="67">
        <f>IFERROR(((AG378*(12000/5))/((F378*60+G378)*(SUMIFS(팀공격력!X:X,팀공격력!A:A,B378,팀공격력!B:B,D378)+SUMIFS(팀수비력!X:X,팀수비력!A:A,B378,팀수비력!B:B,D378))))*100,"")</f>
        <v>4.7539814594723087</v>
      </c>
      <c r="BJ378" s="67">
        <f>IFERROR(((AI378*(12000/5))/((F378*60+G378)*(SUMIFS(팀공격력!V:V,팀공격력!A:A,B378,팀공격력!B:B,D378)+SUMIFS(팀수비력!W:W,팀수비력!A:A,B378,팀수비력!B:B,D378))))*100,"")</f>
        <v>12.147716229348884</v>
      </c>
      <c r="BK378" s="67">
        <f>IFERROR(((AE378*(12000/5))/((F378*60+G378)*(SUMIFS(팀공격력!X:X,팀공격력!A:A,B378,팀공격력!B:B,D378)+SUMIFS(팀수비력!X:X,팀수비력!A:A,B378,팀수비력!B:B,D378))))*100,"")</f>
        <v>10.696458283812692</v>
      </c>
      <c r="BL378" s="67">
        <f>IFERROR(100*AK378/(((((F378*60+G378)/(12000/5))*SUMIFS(팀공격력!P:P,팀공격력!A:A,B378,팀공격력!B:B,D378))-K378)),"")</f>
        <v>5.8962264150943398</v>
      </c>
      <c r="BM378" s="67">
        <f>IFERROR(100*((AM378/E378*(2400))/((F378*60+G378)*SUMIFS(팀공격력!AR:AR,팀공격력!A:A,B378,팀공격력!B:B,D378))),"")</f>
        <v>0.7079712375192716</v>
      </c>
      <c r="BN378" s="67">
        <f>IFERROR((AO378*40)/(((F378*60+G378)/60)*(SUMIFS(팀수비력!Q:Q,팀수비력!A:A,B378,팀수비력!B:B,D378)-SUMIFS(팀수비력!N:N,팀수비력!A:A,B378,팀수비력!B:B,D378)))*100,"")</f>
        <v>0</v>
      </c>
      <c r="BO378" s="67">
        <f t="shared" si="217"/>
        <v>26.501766784452297</v>
      </c>
      <c r="BT378" t="s">
        <v>89</v>
      </c>
      <c r="BV378" t="s">
        <v>102</v>
      </c>
      <c r="CF378">
        <v>1</v>
      </c>
      <c r="CG378">
        <v>6</v>
      </c>
    </row>
    <row r="379" spans="1:85" x14ac:dyDescent="0.4">
      <c r="A379" s="11" t="s">
        <v>85</v>
      </c>
      <c r="B379" t="s">
        <v>123</v>
      </c>
      <c r="C379" t="s">
        <v>95</v>
      </c>
      <c r="D379" s="46" t="s">
        <v>307</v>
      </c>
      <c r="E379">
        <v>6</v>
      </c>
      <c r="F379">
        <v>15</v>
      </c>
      <c r="G379" s="1">
        <v>5</v>
      </c>
      <c r="H379" s="16">
        <f t="shared" si="192"/>
        <v>5430</v>
      </c>
      <c r="I379">
        <v>43</v>
      </c>
      <c r="J379" s="17">
        <f t="shared" si="193"/>
        <v>7.166666666666667</v>
      </c>
      <c r="K379">
        <v>18</v>
      </c>
      <c r="L379">
        <v>33</v>
      </c>
      <c r="M379" s="17">
        <f t="shared" si="194"/>
        <v>3</v>
      </c>
      <c r="N379" s="17">
        <f t="shared" si="195"/>
        <v>5.5</v>
      </c>
      <c r="O379" s="18">
        <f t="shared" si="196"/>
        <v>0.54545454545454541</v>
      </c>
      <c r="P379">
        <v>18</v>
      </c>
      <c r="Q379">
        <v>31</v>
      </c>
      <c r="R379" s="17">
        <f t="shared" si="197"/>
        <v>3</v>
      </c>
      <c r="S379" s="17">
        <f t="shared" si="198"/>
        <v>5.166666666666667</v>
      </c>
      <c r="T379" s="18">
        <f t="shared" si="199"/>
        <v>0.58064516129032262</v>
      </c>
      <c r="U379">
        <v>0</v>
      </c>
      <c r="V379">
        <v>2</v>
      </c>
      <c r="W379" s="17">
        <f t="shared" si="200"/>
        <v>0</v>
      </c>
      <c r="X379" s="17">
        <f t="shared" si="201"/>
        <v>0.33333333333333331</v>
      </c>
      <c r="Y379" s="18">
        <f t="shared" si="202"/>
        <v>0</v>
      </c>
      <c r="Z379">
        <v>7</v>
      </c>
      <c r="AA379">
        <v>14</v>
      </c>
      <c r="AB379" s="17">
        <f t="shared" si="203"/>
        <v>1.1666666666666667</v>
      </c>
      <c r="AC379" s="17">
        <f t="shared" si="204"/>
        <v>2.3333333333333335</v>
      </c>
      <c r="AD379" s="18">
        <f t="shared" si="205"/>
        <v>0.5</v>
      </c>
      <c r="AE379">
        <v>24</v>
      </c>
      <c r="AF379" s="17">
        <f t="shared" si="206"/>
        <v>4</v>
      </c>
      <c r="AG379">
        <v>11</v>
      </c>
      <c r="AH379" s="17">
        <f t="shared" si="207"/>
        <v>1.8333333333333333</v>
      </c>
      <c r="AI379">
        <v>13</v>
      </c>
      <c r="AJ379" s="17">
        <f t="shared" si="208"/>
        <v>2.1666666666666665</v>
      </c>
      <c r="AK379">
        <v>5</v>
      </c>
      <c r="AL379" s="17">
        <f t="shared" si="209"/>
        <v>0.83333333333333337</v>
      </c>
      <c r="AM379">
        <v>2</v>
      </c>
      <c r="AN379" s="17">
        <f t="shared" si="210"/>
        <v>0.33333333333333331</v>
      </c>
      <c r="AO379">
        <v>7</v>
      </c>
      <c r="AQ379">
        <v>9</v>
      </c>
      <c r="AR379" s="17">
        <f t="shared" si="211"/>
        <v>1.5</v>
      </c>
      <c r="AS379">
        <v>14</v>
      </c>
      <c r="AT379" s="17">
        <f t="shared" si="212"/>
        <v>2.3333333333333335</v>
      </c>
      <c r="BD379" s="65">
        <f t="shared" si="213"/>
        <v>54.902962206332994</v>
      </c>
      <c r="BE379" s="65">
        <f t="shared" si="214"/>
        <v>54.54545454545454</v>
      </c>
      <c r="BF379" s="66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17.33497028500776</v>
      </c>
      <c r="BG379" s="38">
        <f t="shared" si="215"/>
        <v>6.0606060606060608E-2</v>
      </c>
      <c r="BH379" s="38">
        <f t="shared" si="216"/>
        <v>0.42424242424242425</v>
      </c>
      <c r="BI379" s="67">
        <f>IFERROR(((AG379*(12000/5))/((F379*60+G379)*(SUMIFS(팀공격력!X:X,팀공격력!A:A,B379,팀공격력!B:B,D379)+SUMIFS(팀수비력!X:X,팀수비력!A:A,B379,팀수비력!B:B,D379))))*100,"")</f>
        <v>4.8537888050302902</v>
      </c>
      <c r="BJ379" s="67">
        <f>IFERROR(((AI379*(12000/5))/((F379*60+G379)*(SUMIFS(팀공격력!V:V,팀공격력!A:A,B379,팀공격력!B:B,D379)+SUMIFS(팀수비력!W:W,팀수비력!A:A,B379,팀수비력!B:B,D379))))*100,"")</f>
        <v>11.726237456308491</v>
      </c>
      <c r="BK379" s="67">
        <f>IFERROR(((AE379*(12000/5))/((F379*60+G379)*(SUMIFS(팀공격력!X:X,팀공격력!A:A,B379,팀공격력!B:B,D379)+SUMIFS(팀수비력!X:X,팀수비력!A:A,B379,팀수비력!B:B,D379))))*100,"")</f>
        <v>10.590084665520633</v>
      </c>
      <c r="BL379" s="67">
        <f>IFERROR(100*AK379/(((((F379*60+G379)/(12000/5))*SUMIFS(팀공격력!P:P,팀공격력!A:A,B379,팀공격력!B:B,D379))-K379)),"")</f>
        <v>5.7584337060319593</v>
      </c>
      <c r="BM379" s="67">
        <f>IFERROR(100*((AM379/E379*(2400))/((F379*60+G379)*SUMIFS(팀공격력!AR:AR,팀공격력!A:A,B379,팀공격력!B:B,D379))),"")</f>
        <v>1.2266286192599096</v>
      </c>
      <c r="BN379" s="67">
        <f>IFERROR((AO379*40)/(((F379*60+G379)/60)*(SUMIFS(팀수비력!Q:Q,팀수비력!A:A,B379,팀수비력!B:B,D379)-SUMIFS(팀수비력!N:N,팀수비력!A:A,B379,팀수비력!B:B,D379)))*100,"")</f>
        <v>4.8723191369034673</v>
      </c>
      <c r="BO379" s="67">
        <f t="shared" si="217"/>
        <v>18.687707641196013</v>
      </c>
      <c r="BT379" t="s">
        <v>96</v>
      </c>
      <c r="BV379" t="s">
        <v>93</v>
      </c>
      <c r="CF379">
        <v>3</v>
      </c>
      <c r="CG379">
        <v>3</v>
      </c>
    </row>
    <row r="380" spans="1:85" x14ac:dyDescent="0.4">
      <c r="A380" s="11" t="s">
        <v>85</v>
      </c>
      <c r="B380" t="s">
        <v>123</v>
      </c>
      <c r="C380" t="s">
        <v>128</v>
      </c>
      <c r="D380" s="46" t="s">
        <v>307</v>
      </c>
      <c r="E380">
        <v>4</v>
      </c>
      <c r="F380">
        <v>12</v>
      </c>
      <c r="G380" s="1">
        <v>34</v>
      </c>
      <c r="H380" s="16">
        <f t="shared" si="192"/>
        <v>3016</v>
      </c>
      <c r="I380">
        <v>7</v>
      </c>
      <c r="J380" s="17">
        <f t="shared" si="193"/>
        <v>1.75</v>
      </c>
      <c r="K380">
        <v>3</v>
      </c>
      <c r="L380">
        <v>9</v>
      </c>
      <c r="M380" s="17">
        <f t="shared" si="194"/>
        <v>0.75</v>
      </c>
      <c r="N380" s="17">
        <f t="shared" si="195"/>
        <v>2.25</v>
      </c>
      <c r="O380" s="18">
        <f t="shared" si="196"/>
        <v>0.33333333333333331</v>
      </c>
      <c r="P380">
        <v>2</v>
      </c>
      <c r="Q380">
        <v>2</v>
      </c>
      <c r="R380" s="17">
        <f t="shared" si="197"/>
        <v>0.5</v>
      </c>
      <c r="S380" s="17">
        <f t="shared" si="198"/>
        <v>0.5</v>
      </c>
      <c r="T380" s="18">
        <f t="shared" si="199"/>
        <v>1</v>
      </c>
      <c r="U380">
        <v>1</v>
      </c>
      <c r="V380">
        <v>7</v>
      </c>
      <c r="W380" s="17">
        <f t="shared" si="200"/>
        <v>0.25</v>
      </c>
      <c r="X380" s="17">
        <f t="shared" si="201"/>
        <v>1.75</v>
      </c>
      <c r="Y380" s="18">
        <f t="shared" si="202"/>
        <v>0.14285714285714285</v>
      </c>
      <c r="Z380">
        <v>0</v>
      </c>
      <c r="AA380">
        <v>0</v>
      </c>
      <c r="AB380" s="17">
        <f t="shared" si="203"/>
        <v>0</v>
      </c>
      <c r="AC380" s="17">
        <f t="shared" si="204"/>
        <v>0</v>
      </c>
      <c r="AD380" s="18" t="e">
        <f t="shared" si="205"/>
        <v>#DIV/0!</v>
      </c>
      <c r="AE380">
        <v>7</v>
      </c>
      <c r="AF380" s="17">
        <f t="shared" si="206"/>
        <v>1.75</v>
      </c>
      <c r="AG380">
        <v>1</v>
      </c>
      <c r="AH380" s="17">
        <f t="shared" si="207"/>
        <v>0.25</v>
      </c>
      <c r="AI380">
        <v>6</v>
      </c>
      <c r="AJ380" s="17">
        <f t="shared" si="208"/>
        <v>1.5</v>
      </c>
      <c r="AK380">
        <v>0</v>
      </c>
      <c r="AL380" s="17">
        <f t="shared" si="209"/>
        <v>0</v>
      </c>
      <c r="AM380">
        <v>1</v>
      </c>
      <c r="AN380" s="17">
        <f t="shared" si="210"/>
        <v>0.25</v>
      </c>
      <c r="AO380">
        <v>0</v>
      </c>
      <c r="AQ380">
        <v>0</v>
      </c>
      <c r="AR380" s="17">
        <f t="shared" si="211"/>
        <v>0</v>
      </c>
      <c r="AS380">
        <v>8</v>
      </c>
      <c r="AT380" s="17">
        <f t="shared" si="212"/>
        <v>2</v>
      </c>
      <c r="BD380" s="65">
        <f t="shared" si="213"/>
        <v>38.888888888888893</v>
      </c>
      <c r="BE380" s="65">
        <f t="shared" si="214"/>
        <v>38.888888888888893</v>
      </c>
      <c r="BF380" s="66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3.8882695659524682</v>
      </c>
      <c r="BG380" s="38">
        <f t="shared" si="215"/>
        <v>0.77777777777777779</v>
      </c>
      <c r="BH380" s="38">
        <f t="shared" si="216"/>
        <v>0</v>
      </c>
      <c r="BI380" s="67">
        <f>IFERROR(((AG380*(12000/5))/((F380*60+G380)*(SUMIFS(팀공격력!X:X,팀공격력!A:A,B380,팀공격력!B:B,D380)+SUMIFS(팀수비력!X:X,팀수비력!A:A,B380,팀수비력!B:B,D380))))*100,"")</f>
        <v>0.52962127665208736</v>
      </c>
      <c r="BJ380" s="67">
        <f>IFERROR(((AI380*(12000/5))/((F380*60+G380)*(SUMIFS(팀공격력!V:V,팀공격력!A:A,B380,팀공격력!B:B,D380)+SUMIFS(팀수비력!W:W,팀수비력!A:A,B380,팀수비력!B:B,D380))))*100,"")</f>
        <v>6.4959670871000919</v>
      </c>
      <c r="BK380" s="67">
        <f>IFERROR(((AE380*(12000/5))/((F380*60+G380)*(SUMIFS(팀공격력!X:X,팀공격력!A:A,B380,팀공격력!B:B,D380)+SUMIFS(팀수비력!X:X,팀수비력!A:A,B380,팀수비력!B:B,D380))))*100,"")</f>
        <v>3.7073489365646117</v>
      </c>
      <c r="BL380" s="67">
        <f>IFERROR(100*AK380/(((((F380*60+G380)/(12000/5))*SUMIFS(팀공격력!P:P,팀공격력!A:A,B380,팀공격력!B:B,D380))-K380)),"")</f>
        <v>0</v>
      </c>
      <c r="BM380" s="67">
        <f>IFERROR(100*((AM380/E380*(2400))/((F380*60+G380)*SUMIFS(팀공격력!AR:AR,팀공격력!A:A,B380,팀공격력!B:B,D380))),"")</f>
        <v>1.1042097815950445</v>
      </c>
      <c r="BN380" s="67">
        <f>IFERROR((AO380*40)/(((F380*60+G380)/60)*(SUMIFS(팀수비력!Q:Q,팀수비력!A:A,B380,팀수비력!B:B,D380)-SUMIFS(팀수비력!N:N,팀수비력!A:A,B380,팀수비력!B:B,D380)))*100,"")</f>
        <v>0</v>
      </c>
      <c r="BO380" s="67">
        <f t="shared" si="217"/>
        <v>0</v>
      </c>
      <c r="BT380" t="s">
        <v>89</v>
      </c>
      <c r="BV380" t="s">
        <v>93</v>
      </c>
      <c r="CF380">
        <v>0</v>
      </c>
      <c r="CG380">
        <v>4</v>
      </c>
    </row>
    <row r="381" spans="1:85" x14ac:dyDescent="0.4">
      <c r="A381" s="11" t="s">
        <v>85</v>
      </c>
      <c r="B381" t="s">
        <v>123</v>
      </c>
      <c r="C381" t="s">
        <v>129</v>
      </c>
      <c r="D381" s="46" t="s">
        <v>307</v>
      </c>
      <c r="E381">
        <v>7</v>
      </c>
      <c r="F381">
        <v>13</v>
      </c>
      <c r="G381" s="1">
        <v>48</v>
      </c>
      <c r="H381" s="16">
        <f t="shared" si="192"/>
        <v>5796</v>
      </c>
      <c r="I381">
        <v>34</v>
      </c>
      <c r="J381" s="17">
        <f t="shared" si="193"/>
        <v>4.8571428571428568</v>
      </c>
      <c r="K381">
        <v>12</v>
      </c>
      <c r="L381">
        <v>22</v>
      </c>
      <c r="M381" s="17">
        <f t="shared" si="194"/>
        <v>1.7142857142857142</v>
      </c>
      <c r="N381" s="17">
        <f t="shared" si="195"/>
        <v>3.1428571428571428</v>
      </c>
      <c r="O381" s="18">
        <f t="shared" si="196"/>
        <v>0.54545454545454541</v>
      </c>
      <c r="P381">
        <v>7</v>
      </c>
      <c r="Q381">
        <v>11</v>
      </c>
      <c r="R381" s="17">
        <f t="shared" si="197"/>
        <v>1</v>
      </c>
      <c r="S381" s="17">
        <f t="shared" si="198"/>
        <v>1.5714285714285714</v>
      </c>
      <c r="T381" s="18">
        <f t="shared" si="199"/>
        <v>0.63636363636363635</v>
      </c>
      <c r="U381">
        <v>5</v>
      </c>
      <c r="V381">
        <v>11</v>
      </c>
      <c r="W381" s="17">
        <f t="shared" si="200"/>
        <v>0.7142857142857143</v>
      </c>
      <c r="X381" s="17">
        <f t="shared" si="201"/>
        <v>1.5714285714285714</v>
      </c>
      <c r="Y381" s="18">
        <f t="shared" si="202"/>
        <v>0.45454545454545453</v>
      </c>
      <c r="Z381">
        <v>5</v>
      </c>
      <c r="AA381">
        <v>7</v>
      </c>
      <c r="AB381" s="17">
        <f t="shared" si="203"/>
        <v>0.7142857142857143</v>
      </c>
      <c r="AC381" s="17">
        <f t="shared" si="204"/>
        <v>1</v>
      </c>
      <c r="AD381" s="18">
        <f t="shared" si="205"/>
        <v>0.7142857142857143</v>
      </c>
      <c r="AE381">
        <v>13</v>
      </c>
      <c r="AF381" s="17">
        <f t="shared" si="206"/>
        <v>1.8571428571428572</v>
      </c>
      <c r="AG381">
        <v>2</v>
      </c>
      <c r="AH381" s="17">
        <f t="shared" si="207"/>
        <v>0.2857142857142857</v>
      </c>
      <c r="AI381">
        <v>11</v>
      </c>
      <c r="AJ381" s="17">
        <f t="shared" si="208"/>
        <v>1.5714285714285714</v>
      </c>
      <c r="AK381">
        <v>9</v>
      </c>
      <c r="AL381" s="17">
        <f t="shared" si="209"/>
        <v>1.2857142857142858</v>
      </c>
      <c r="AM381">
        <v>5</v>
      </c>
      <c r="AN381" s="17">
        <f t="shared" si="210"/>
        <v>0.7142857142857143</v>
      </c>
      <c r="AO381">
        <v>0</v>
      </c>
      <c r="AQ381">
        <v>4</v>
      </c>
      <c r="AR381" s="17">
        <f t="shared" si="211"/>
        <v>0.5714285714285714</v>
      </c>
      <c r="AS381">
        <v>9</v>
      </c>
      <c r="AT381" s="17">
        <f t="shared" si="212"/>
        <v>1.2857142857142858</v>
      </c>
      <c r="BD381" s="65">
        <f t="shared" si="213"/>
        <v>67.783094098883581</v>
      </c>
      <c r="BE381" s="65">
        <f t="shared" si="214"/>
        <v>65.909090909090907</v>
      </c>
      <c r="BF381" s="66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11.44061228520329</v>
      </c>
      <c r="BG381" s="38">
        <f t="shared" si="215"/>
        <v>0.5</v>
      </c>
      <c r="BH381" s="38">
        <f t="shared" si="216"/>
        <v>0.31818181818181818</v>
      </c>
      <c r="BI381" s="67">
        <f>IFERROR(((AG381*(12000/5))/((F381*60+G381)*(SUMIFS(팀공격력!X:X,팀공격력!A:A,B381,팀공격력!B:B,D381)+SUMIFS(팀수비력!X:X,팀수비력!A:A,B381,팀수비력!B:B,D381))))*100,"")</f>
        <v>0.96457594829872906</v>
      </c>
      <c r="BJ381" s="67">
        <f>IFERROR(((AI381*(12000/5))/((F381*60+G381)*(SUMIFS(팀공격력!V:V,팀공격력!A:A,B381,팀공격력!B:B,D381)+SUMIFS(팀수비력!W:W,팀수비력!A:A,B381,팀수비력!B:B,D381))))*100,"")</f>
        <v>10.844917677215813</v>
      </c>
      <c r="BK381" s="67">
        <f>IFERROR(((AE381*(12000/5))/((F381*60+G381)*(SUMIFS(팀공격력!X:X,팀공격력!A:A,B381,팀공격력!B:B,D381)+SUMIFS(팀수비력!X:X,팀수비력!A:A,B381,팀수비력!B:B,D381))))*100,"")</f>
        <v>6.269743663941739</v>
      </c>
      <c r="BL381" s="67">
        <f>IFERROR(100*AK381/(((((F381*60+G381)/(12000/5))*SUMIFS(팀공격력!P:P,팀공격력!A:A,B381,팀공격력!B:B,D381))-K381)),"")</f>
        <v>10.72577761887737</v>
      </c>
      <c r="BM381" s="67">
        <f>IFERROR(100*((AM381/E381*(2400))/((F381*60+G381)*SUMIFS(팀공격력!AR:AR,팀공격력!A:A,B381,팀공격력!B:B,D381))),"")</f>
        <v>2.8729267609477689</v>
      </c>
      <c r="BN381" s="67">
        <f>IFERROR((AO381*40)/(((F381*60+G381)/60)*(SUMIFS(팀수비력!Q:Q,팀수비력!A:A,B381,팀수비력!B:B,D381)-SUMIFS(팀수비력!N:N,팀수비력!A:A,B381,팀수비력!B:B,D381)))*100,"")</f>
        <v>0</v>
      </c>
      <c r="BO381" s="67">
        <f t="shared" si="217"/>
        <v>13.75515818431912</v>
      </c>
      <c r="BT381" t="s">
        <v>89</v>
      </c>
      <c r="BV381" t="s">
        <v>93</v>
      </c>
      <c r="CF381">
        <v>2</v>
      </c>
      <c r="CG381">
        <v>5</v>
      </c>
    </row>
    <row r="382" spans="1:85" x14ac:dyDescent="0.4">
      <c r="A382" s="11" t="s">
        <v>85</v>
      </c>
      <c r="B382" t="s">
        <v>123</v>
      </c>
      <c r="C382" t="s">
        <v>130</v>
      </c>
      <c r="D382" s="46" t="s">
        <v>307</v>
      </c>
      <c r="E382">
        <v>9</v>
      </c>
      <c r="F382">
        <v>31</v>
      </c>
      <c r="G382" s="1">
        <v>58</v>
      </c>
      <c r="H382" s="16">
        <f t="shared" si="192"/>
        <v>17262</v>
      </c>
      <c r="I382">
        <v>132</v>
      </c>
      <c r="J382" s="17">
        <f t="shared" si="193"/>
        <v>14.666666666666666</v>
      </c>
      <c r="K382">
        <v>50</v>
      </c>
      <c r="L382">
        <v>93</v>
      </c>
      <c r="M382" s="17">
        <f t="shared" si="194"/>
        <v>5.5555555555555554</v>
      </c>
      <c r="N382" s="17">
        <f t="shared" si="195"/>
        <v>10.333333333333334</v>
      </c>
      <c r="O382" s="18">
        <f t="shared" si="196"/>
        <v>0.5376344086021505</v>
      </c>
      <c r="P382">
        <v>33</v>
      </c>
      <c r="Q382">
        <v>52</v>
      </c>
      <c r="R382" s="17">
        <f t="shared" si="197"/>
        <v>3.6666666666666665</v>
      </c>
      <c r="S382" s="17">
        <f t="shared" si="198"/>
        <v>5.7777777777777777</v>
      </c>
      <c r="T382" s="18">
        <f t="shared" si="199"/>
        <v>0.63461538461538458</v>
      </c>
      <c r="U382">
        <v>17</v>
      </c>
      <c r="V382">
        <v>41</v>
      </c>
      <c r="W382" s="17">
        <f t="shared" si="200"/>
        <v>1.8888888888888888</v>
      </c>
      <c r="X382" s="17">
        <f t="shared" si="201"/>
        <v>4.5555555555555554</v>
      </c>
      <c r="Y382" s="18">
        <f t="shared" si="202"/>
        <v>0.41463414634146339</v>
      </c>
      <c r="Z382">
        <v>15</v>
      </c>
      <c r="AA382">
        <v>19</v>
      </c>
      <c r="AB382" s="17">
        <f t="shared" si="203"/>
        <v>1.6666666666666667</v>
      </c>
      <c r="AC382" s="17">
        <f t="shared" si="204"/>
        <v>2.1111111111111112</v>
      </c>
      <c r="AD382" s="18">
        <f t="shared" si="205"/>
        <v>0.78947368421052633</v>
      </c>
      <c r="AE382">
        <v>27</v>
      </c>
      <c r="AF382" s="17">
        <f t="shared" si="206"/>
        <v>3</v>
      </c>
      <c r="AG382">
        <v>3</v>
      </c>
      <c r="AH382" s="17">
        <f t="shared" si="207"/>
        <v>0.33333333333333331</v>
      </c>
      <c r="AI382">
        <v>24</v>
      </c>
      <c r="AJ382" s="17">
        <f t="shared" si="208"/>
        <v>2.6666666666666665</v>
      </c>
      <c r="AK382">
        <v>34</v>
      </c>
      <c r="AL382" s="17">
        <f t="shared" si="209"/>
        <v>3.7777777777777777</v>
      </c>
      <c r="AM382">
        <v>8</v>
      </c>
      <c r="AN382" s="17">
        <f t="shared" si="210"/>
        <v>0.88888888888888884</v>
      </c>
      <c r="AO382">
        <v>0</v>
      </c>
      <c r="AQ382">
        <v>12</v>
      </c>
      <c r="AR382" s="17">
        <f t="shared" si="211"/>
        <v>1.3333333333333333</v>
      </c>
      <c r="AS382">
        <v>30</v>
      </c>
      <c r="AT382" s="17">
        <f t="shared" si="212"/>
        <v>3.3333333333333335</v>
      </c>
      <c r="BD382" s="65">
        <f t="shared" si="213"/>
        <v>65.11444356748224</v>
      </c>
      <c r="BE382" s="65">
        <f t="shared" si="214"/>
        <v>62.903225806451616</v>
      </c>
      <c r="BF382" s="66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19.252912492716046</v>
      </c>
      <c r="BG382" s="38">
        <f t="shared" si="215"/>
        <v>0.44086021505376344</v>
      </c>
      <c r="BH382" s="38">
        <f t="shared" si="216"/>
        <v>0.20430107526881722</v>
      </c>
      <c r="BI382" s="67">
        <f>IFERROR(((AG382*(12000/5))/((F382*60+G382)*(SUMIFS(팀공격력!X:X,팀공격력!A:A,B382,팀공격력!B:B,D382)+SUMIFS(팀수비력!X:X,팀수비력!A:A,B382,팀수비력!B:B,D382))))*100,"")</f>
        <v>0.6246107027043909</v>
      </c>
      <c r="BJ382" s="67">
        <f>IFERROR(((AI382*(12000/5))/((F382*60+G382)*(SUMIFS(팀공격력!V:V,팀공격력!A:A,B382,팀공격력!B:B,D382)+SUMIFS(팀수비력!W:W,팀수비력!A:A,B382,팀수비력!B:B,D382))))*100,"")</f>
        <v>10.214721968036432</v>
      </c>
      <c r="BK382" s="67">
        <f>IFERROR(((AE382*(12000/5))/((F382*60+G382)*(SUMIFS(팀공격력!X:X,팀공격력!A:A,B382,팀공격력!B:B,D382)+SUMIFS(팀수비력!X:X,팀수비력!A:A,B382,팀수비력!B:B,D382))))*100,"")</f>
        <v>5.6214963243395175</v>
      </c>
      <c r="BL382" s="67">
        <f>IFERROR(100*AK382/(((((F382*60+G382)/(12000/5))*SUMIFS(팀공격력!P:P,팀공격력!A:A,B382,팀공격력!B:B,D382))-K382)),"")</f>
        <v>19.748114732674416</v>
      </c>
      <c r="BM382" s="67">
        <f>IFERROR(100*((AM382/E382*(2400))/((F382*60+G382)*SUMIFS(팀공격력!AR:AR,팀공격력!A:A,B382,팀공격력!B:B,D382))),"")</f>
        <v>1.5434117489471226</v>
      </c>
      <c r="BN382" s="67">
        <f>IFERROR((AO382*40)/(((F382*60+G382)/60)*(SUMIFS(팀수비력!Q:Q,팀수비력!A:A,B382,팀수비력!B:B,D382)-SUMIFS(팀수비력!N:N,팀수비력!A:A,B382,팀수비력!B:B,D382)))*100,"")</f>
        <v>0</v>
      </c>
      <c r="BO382" s="67">
        <f t="shared" si="217"/>
        <v>10.585744530698658</v>
      </c>
      <c r="BT382" t="s">
        <v>113</v>
      </c>
      <c r="BV382" t="s">
        <v>90</v>
      </c>
      <c r="CF382">
        <v>2</v>
      </c>
      <c r="CG382">
        <v>7</v>
      </c>
    </row>
    <row r="383" spans="1:85" x14ac:dyDescent="0.4">
      <c r="A383" s="11" t="s">
        <v>85</v>
      </c>
      <c r="B383" t="s">
        <v>123</v>
      </c>
      <c r="C383" t="s">
        <v>131</v>
      </c>
      <c r="D383" s="46" t="s">
        <v>307</v>
      </c>
      <c r="E383">
        <v>9</v>
      </c>
      <c r="F383">
        <v>25</v>
      </c>
      <c r="G383" s="1">
        <v>4</v>
      </c>
      <c r="H383" s="16">
        <f t="shared" si="192"/>
        <v>13536</v>
      </c>
      <c r="I383">
        <v>45</v>
      </c>
      <c r="J383" s="17">
        <f t="shared" si="193"/>
        <v>5</v>
      </c>
      <c r="K383">
        <v>17</v>
      </c>
      <c r="L383">
        <v>55</v>
      </c>
      <c r="M383" s="17">
        <f t="shared" si="194"/>
        <v>1.8888888888888888</v>
      </c>
      <c r="N383" s="17">
        <f t="shared" si="195"/>
        <v>6.1111111111111107</v>
      </c>
      <c r="O383" s="18">
        <f t="shared" si="196"/>
        <v>0.30909090909090908</v>
      </c>
      <c r="P383">
        <v>10</v>
      </c>
      <c r="Q383">
        <v>28</v>
      </c>
      <c r="R383" s="17">
        <f t="shared" si="197"/>
        <v>1.1111111111111112</v>
      </c>
      <c r="S383" s="17">
        <f t="shared" si="198"/>
        <v>3.1111111111111112</v>
      </c>
      <c r="T383" s="18">
        <f t="shared" si="199"/>
        <v>0.35714285714285715</v>
      </c>
      <c r="U383">
        <v>7</v>
      </c>
      <c r="V383">
        <v>27</v>
      </c>
      <c r="W383" s="17">
        <f t="shared" si="200"/>
        <v>0.77777777777777779</v>
      </c>
      <c r="X383" s="17">
        <f t="shared" si="201"/>
        <v>3</v>
      </c>
      <c r="Y383" s="18">
        <f t="shared" si="202"/>
        <v>0.25925925925925924</v>
      </c>
      <c r="Z383">
        <v>4</v>
      </c>
      <c r="AA383">
        <v>9</v>
      </c>
      <c r="AB383" s="17">
        <f t="shared" si="203"/>
        <v>0.44444444444444442</v>
      </c>
      <c r="AC383" s="17">
        <f t="shared" si="204"/>
        <v>1</v>
      </c>
      <c r="AD383" s="18">
        <f t="shared" si="205"/>
        <v>0.44444444444444442</v>
      </c>
      <c r="AE383">
        <v>39</v>
      </c>
      <c r="AF383" s="17">
        <f t="shared" si="206"/>
        <v>4.333333333333333</v>
      </c>
      <c r="AG383">
        <v>9</v>
      </c>
      <c r="AH383" s="17">
        <f t="shared" si="207"/>
        <v>1</v>
      </c>
      <c r="AI383">
        <v>30</v>
      </c>
      <c r="AJ383" s="17">
        <f t="shared" si="208"/>
        <v>3.3333333333333335</v>
      </c>
      <c r="AK383">
        <v>15</v>
      </c>
      <c r="AL383" s="17">
        <f t="shared" si="209"/>
        <v>1.6666666666666667</v>
      </c>
      <c r="AM383">
        <v>4</v>
      </c>
      <c r="AN383" s="17">
        <f t="shared" si="210"/>
        <v>0.44444444444444442</v>
      </c>
      <c r="AO383">
        <v>3</v>
      </c>
      <c r="AQ383">
        <v>12</v>
      </c>
      <c r="AR383" s="17">
        <f t="shared" si="211"/>
        <v>1.3333333333333333</v>
      </c>
      <c r="AS383">
        <v>24</v>
      </c>
      <c r="AT383" s="17">
        <f t="shared" si="212"/>
        <v>2.6666666666666665</v>
      </c>
      <c r="BD383" s="65">
        <f t="shared" si="213"/>
        <v>38.161465400271375</v>
      </c>
      <c r="BE383" s="65">
        <f t="shared" si="214"/>
        <v>37.272727272727273</v>
      </c>
      <c r="BF383" s="66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15.369189770507562</v>
      </c>
      <c r="BG383" s="38">
        <f t="shared" si="215"/>
        <v>0.49090909090909091</v>
      </c>
      <c r="BH383" s="38">
        <f t="shared" si="216"/>
        <v>0.16363636363636364</v>
      </c>
      <c r="BI383" s="67">
        <f>IFERROR(((AG383*(12000/5))/((F383*60+G383)*(SUMIFS(팀공격력!X:X,팀공격력!A:A,B383,팀공격력!B:B,D383)+SUMIFS(팀수비력!X:X,팀수비력!A:A,B383,팀수비력!B:B,D383))))*100,"")</f>
        <v>2.3896342974475164</v>
      </c>
      <c r="BJ383" s="67">
        <f>IFERROR(((AI383*(12000/5))/((F383*60+G383)*(SUMIFS(팀공격력!V:V,팀공격력!A:A,B383,팀공격력!B:B,D383)+SUMIFS(팀수비력!W:W,팀수비력!A:A,B383,팀수비력!B:B,D383))))*100,"")</f>
        <v>16.283108988276162</v>
      </c>
      <c r="BK383" s="67">
        <f>IFERROR(((AE383*(12000/5))/((F383*60+G383)*(SUMIFS(팀공격력!X:X,팀공격력!A:A,B383,팀공격력!B:B,D383)+SUMIFS(팀수비력!X:X,팀수비력!A:A,B383,팀수비력!B:B,D383))))*100,"")</f>
        <v>10.355081955605904</v>
      </c>
      <c r="BL383" s="67">
        <f>IFERROR(100*AK383/(((((F383*60+G383)/(12000/5))*SUMIFS(팀공격력!P:P,팀공격력!A:A,B383,팀공격력!B:B,D383))-K383)),"")</f>
        <v>9.5411754728182512</v>
      </c>
      <c r="BM383" s="67">
        <f>IFERROR(100*((AM383/E383*(2400))/((F383*60+G383)*SUMIFS(팀공격력!AR:AR,팀공격력!A:A,B383,팀공격력!B:B,D383))),"")</f>
        <v>0.9841302308778529</v>
      </c>
      <c r="BN383" s="67">
        <f>IFERROR((AO383*40)/(((F383*60+G383)/60)*(SUMIFS(팀수비력!Q:Q,팀수비력!A:A,B383,팀수비력!B:B,D383)-SUMIFS(팀수비력!N:N,팀수비력!A:A,B383,팀수비력!B:B,D383)))*100,"")</f>
        <v>1.2564918746858771</v>
      </c>
      <c r="BO383" s="67">
        <f t="shared" si="217"/>
        <v>16.910935738444191</v>
      </c>
      <c r="BT383" t="s">
        <v>89</v>
      </c>
      <c r="BV383" t="s">
        <v>93</v>
      </c>
      <c r="CF383">
        <v>2</v>
      </c>
      <c r="CG383">
        <v>7</v>
      </c>
    </row>
    <row r="384" spans="1:85" x14ac:dyDescent="0.4">
      <c r="A384" s="11" t="s">
        <v>85</v>
      </c>
      <c r="B384" t="s">
        <v>123</v>
      </c>
      <c r="C384" t="s">
        <v>132</v>
      </c>
      <c r="D384" s="46" t="s">
        <v>307</v>
      </c>
      <c r="E384">
        <v>5</v>
      </c>
      <c r="F384">
        <v>5</v>
      </c>
      <c r="G384" s="1">
        <v>16</v>
      </c>
      <c r="H384" s="16">
        <f t="shared" si="192"/>
        <v>1580</v>
      </c>
      <c r="I384">
        <v>11</v>
      </c>
      <c r="J384" s="17">
        <f t="shared" si="193"/>
        <v>2.2000000000000002</v>
      </c>
      <c r="K384">
        <v>5</v>
      </c>
      <c r="L384">
        <v>10</v>
      </c>
      <c r="M384" s="17">
        <f t="shared" si="194"/>
        <v>1</v>
      </c>
      <c r="N384" s="17">
        <f t="shared" si="195"/>
        <v>2</v>
      </c>
      <c r="O384" s="18">
        <f t="shared" si="196"/>
        <v>0.5</v>
      </c>
      <c r="P384">
        <v>4</v>
      </c>
      <c r="Q384">
        <v>8</v>
      </c>
      <c r="R384" s="17">
        <f t="shared" si="197"/>
        <v>0.8</v>
      </c>
      <c r="S384" s="17">
        <f t="shared" si="198"/>
        <v>1.6</v>
      </c>
      <c r="T384" s="18">
        <f t="shared" si="199"/>
        <v>0.5</v>
      </c>
      <c r="U384">
        <v>1</v>
      </c>
      <c r="V384">
        <v>2</v>
      </c>
      <c r="W384" s="17">
        <f t="shared" si="200"/>
        <v>0.2</v>
      </c>
      <c r="X384" s="17">
        <f t="shared" si="201"/>
        <v>0.4</v>
      </c>
      <c r="Y384" s="18">
        <f t="shared" si="202"/>
        <v>0.5</v>
      </c>
      <c r="Z384">
        <v>0</v>
      </c>
      <c r="AA384">
        <v>0</v>
      </c>
      <c r="AB384" s="17">
        <f t="shared" si="203"/>
        <v>0</v>
      </c>
      <c r="AC384" s="17">
        <f t="shared" si="204"/>
        <v>0</v>
      </c>
      <c r="AD384" s="18" t="e">
        <f t="shared" si="205"/>
        <v>#DIV/0!</v>
      </c>
      <c r="AE384">
        <v>5</v>
      </c>
      <c r="AF384" s="17">
        <f t="shared" si="206"/>
        <v>1</v>
      </c>
      <c r="AG384">
        <v>1</v>
      </c>
      <c r="AH384" s="17">
        <f t="shared" si="207"/>
        <v>0.2</v>
      </c>
      <c r="AI384">
        <v>4</v>
      </c>
      <c r="AJ384" s="17">
        <f t="shared" si="208"/>
        <v>0.8</v>
      </c>
      <c r="AK384">
        <v>1</v>
      </c>
      <c r="AL384" s="17">
        <f t="shared" si="209"/>
        <v>0.2</v>
      </c>
      <c r="AM384">
        <v>1</v>
      </c>
      <c r="AN384" s="17">
        <f t="shared" si="210"/>
        <v>0.2</v>
      </c>
      <c r="AO384">
        <v>0</v>
      </c>
      <c r="AQ384">
        <v>3</v>
      </c>
      <c r="AR384" s="17">
        <f t="shared" si="211"/>
        <v>0.6</v>
      </c>
      <c r="AS384">
        <v>5</v>
      </c>
      <c r="AT384" s="17">
        <f t="shared" si="212"/>
        <v>1</v>
      </c>
      <c r="BD384" s="65">
        <f t="shared" si="213"/>
        <v>55.000000000000007</v>
      </c>
      <c r="BE384" s="65">
        <f t="shared" si="214"/>
        <v>55.000000000000007</v>
      </c>
      <c r="BF384" s="66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13.401131605297502</v>
      </c>
      <c r="BG384" s="38">
        <f t="shared" si="215"/>
        <v>0.2</v>
      </c>
      <c r="BH384" s="38">
        <f t="shared" si="216"/>
        <v>0</v>
      </c>
      <c r="BI384" s="67">
        <f>IFERROR(((AG384*(12000/5))/((F384*60+G384)*(SUMIFS(팀공격력!X:X,팀공격력!A:A,B384,팀공격력!B:B,D384)+SUMIFS(팀수비력!X:X,팀수비력!A:A,B384,팀수비력!B:B,D384))))*100,"")</f>
        <v>1.2637165904926388</v>
      </c>
      <c r="BJ384" s="67">
        <f>IFERROR(((AI384*(12000/5))/((F384*60+G384)*(SUMIFS(팀공격력!V:V,팀공격력!A:A,B384,팀공격력!B:B,D384)+SUMIFS(팀수비력!W:W,팀수비력!A:A,B384,팀수비력!B:B,D384))))*100,"")</f>
        <v>10.333247222939809</v>
      </c>
      <c r="BK384" s="67">
        <f>IFERROR(((AE384*(12000/5))/((F384*60+G384)*(SUMIFS(팀공격력!X:X,팀공격력!A:A,B384,팀공격력!B:B,D384)+SUMIFS(팀수비력!X:X,팀수비력!A:A,B384,팀수비력!B:B,D384))))*100,"")</f>
        <v>6.3185829524631947</v>
      </c>
      <c r="BL384" s="67">
        <f>IFERROR(100*AK384/(((((F384*60+G384)/(12000/5))*SUMIFS(팀공격력!P:P,팀공격력!A:A,B384,팀공격력!B:B,D384))-K384)),"")</f>
        <v>3.1642231832085224</v>
      </c>
      <c r="BM384" s="67">
        <f>IFERROR(100*((AM384/E384*(2400))/((F384*60+G384)*SUMIFS(팀공격력!AR:AR,팀공격력!A:A,B384,팀공격력!B:B,D384))),"")</f>
        <v>2.1077827223358572</v>
      </c>
      <c r="BN384" s="67">
        <f>IFERROR((AO384*40)/(((F384*60+G384)/60)*(SUMIFS(팀수비력!Q:Q,팀수비력!A:A,B384,팀수비력!B:B,D384)-SUMIFS(팀수비력!N:N,팀수비력!A:A,B384,팀수비력!B:B,D384)))*100,"")</f>
        <v>0</v>
      </c>
      <c r="BO384" s="67">
        <f t="shared" si="217"/>
        <v>23.076923076923077</v>
      </c>
      <c r="BT384" t="s">
        <v>89</v>
      </c>
      <c r="BV384" t="s">
        <v>102</v>
      </c>
      <c r="CF384">
        <v>1</v>
      </c>
      <c r="CG384">
        <v>4</v>
      </c>
    </row>
    <row r="385" spans="1:85" x14ac:dyDescent="0.4">
      <c r="A385" s="11" t="s">
        <v>85</v>
      </c>
      <c r="B385" t="s">
        <v>123</v>
      </c>
      <c r="C385" t="s">
        <v>133</v>
      </c>
      <c r="D385" s="46" t="s">
        <v>307</v>
      </c>
      <c r="E385">
        <v>4</v>
      </c>
      <c r="F385">
        <v>8</v>
      </c>
      <c r="G385" s="1">
        <v>8</v>
      </c>
      <c r="H385" s="16">
        <f t="shared" si="192"/>
        <v>1952</v>
      </c>
      <c r="I385">
        <v>19</v>
      </c>
      <c r="J385" s="17">
        <f t="shared" si="193"/>
        <v>4.75</v>
      </c>
      <c r="K385">
        <v>7</v>
      </c>
      <c r="L385">
        <v>14</v>
      </c>
      <c r="M385" s="17">
        <f t="shared" si="194"/>
        <v>1.75</v>
      </c>
      <c r="N385" s="17">
        <f t="shared" si="195"/>
        <v>3.5</v>
      </c>
      <c r="O385" s="18">
        <f t="shared" si="196"/>
        <v>0.5</v>
      </c>
      <c r="P385">
        <v>3</v>
      </c>
      <c r="Q385">
        <v>9</v>
      </c>
      <c r="R385" s="17">
        <f t="shared" si="197"/>
        <v>0.75</v>
      </c>
      <c r="S385" s="17">
        <f t="shared" si="198"/>
        <v>2.25</v>
      </c>
      <c r="T385" s="18">
        <f t="shared" si="199"/>
        <v>0.33333333333333331</v>
      </c>
      <c r="U385">
        <v>4</v>
      </c>
      <c r="V385">
        <v>5</v>
      </c>
      <c r="W385" s="17">
        <f t="shared" si="200"/>
        <v>1</v>
      </c>
      <c r="X385" s="17">
        <f t="shared" si="201"/>
        <v>1.25</v>
      </c>
      <c r="Y385" s="18">
        <f t="shared" si="202"/>
        <v>0.8</v>
      </c>
      <c r="Z385">
        <v>1</v>
      </c>
      <c r="AA385">
        <v>1</v>
      </c>
      <c r="AB385" s="17">
        <f t="shared" si="203"/>
        <v>0.25</v>
      </c>
      <c r="AC385" s="17">
        <f t="shared" si="204"/>
        <v>0.25</v>
      </c>
      <c r="AD385" s="18">
        <f t="shared" si="205"/>
        <v>1</v>
      </c>
      <c r="AE385">
        <v>2</v>
      </c>
      <c r="AF385" s="17">
        <f t="shared" si="206"/>
        <v>0.5</v>
      </c>
      <c r="AG385">
        <v>0</v>
      </c>
      <c r="AH385" s="17">
        <f t="shared" si="207"/>
        <v>0</v>
      </c>
      <c r="AI385">
        <v>2</v>
      </c>
      <c r="AJ385" s="17">
        <f t="shared" si="208"/>
        <v>0.5</v>
      </c>
      <c r="AK385">
        <v>0</v>
      </c>
      <c r="AL385" s="17">
        <f t="shared" si="209"/>
        <v>0</v>
      </c>
      <c r="AM385">
        <v>4</v>
      </c>
      <c r="AN385" s="17">
        <f t="shared" si="210"/>
        <v>1</v>
      </c>
      <c r="AO385">
        <v>0</v>
      </c>
      <c r="AQ385">
        <v>2</v>
      </c>
      <c r="AR385" s="17">
        <f t="shared" si="211"/>
        <v>0.5</v>
      </c>
      <c r="AS385">
        <v>6</v>
      </c>
      <c r="AT385" s="17">
        <f t="shared" si="212"/>
        <v>1.5</v>
      </c>
      <c r="BD385" s="65">
        <f t="shared" si="213"/>
        <v>65.789473684210535</v>
      </c>
      <c r="BE385" s="65">
        <f t="shared" si="214"/>
        <v>64.285714285714292</v>
      </c>
      <c r="BF385" s="66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10.974056547097213</v>
      </c>
      <c r="BG385" s="38">
        <f t="shared" si="215"/>
        <v>0.35714285714285715</v>
      </c>
      <c r="BH385" s="38">
        <f t="shared" si="216"/>
        <v>7.1428571428571425E-2</v>
      </c>
      <c r="BI385" s="67">
        <f>IFERROR(((AG385*(12000/5))/((F385*60+G385)*(SUMIFS(팀공격력!X:X,팀공격력!A:A,B385,팀공격력!B:B,D385)+SUMIFS(팀수비력!X:X,팀수비력!A:A,B385,팀수비력!B:B,D385))))*100,"")</f>
        <v>0</v>
      </c>
      <c r="BJ385" s="67">
        <f>IFERROR(((AI385*(12000/5))/((F385*60+G385)*(SUMIFS(팀공격력!V:V,팀공격력!A:A,B385,팀공격력!B:B,D385)+SUMIFS(팀수비력!W:W,팀수비력!A:A,B385,팀수비력!B:B,D385))))*100,"")</f>
        <v>3.3456005352960858</v>
      </c>
      <c r="BK385" s="67">
        <f>IFERROR(((AE385*(12000/5))/((F385*60+G385)*(SUMIFS(팀공격력!X:X,팀공격력!A:A,B385,팀공격력!B:B,D385)+SUMIFS(팀수비력!X:X,팀수비력!A:A,B385,팀수비력!B:B,D385))))*100,"")</f>
        <v>1.6366165680150571</v>
      </c>
      <c r="BL385" s="67">
        <f>IFERROR(100*AK385/(((((F385*60+G385)/(12000/5))*SUMIFS(팀공격력!P:P,팀공격력!A:A,B385,팀공격력!B:B,D385))-K385)),"")</f>
        <v>0</v>
      </c>
      <c r="BM385" s="67">
        <f>IFERROR(100*((AM385/E385*(2400))/((F385*60+G385)*SUMIFS(팀공격력!AR:AR,팀공격력!A:A,B385,팀공격력!B:B,D385))),"")</f>
        <v>6.8243784862513399</v>
      </c>
      <c r="BN385" s="67">
        <f>IFERROR((AO385*40)/(((F385*60+G385)/60)*(SUMIFS(팀수비력!Q:Q,팀수비력!A:A,B385,팀수비력!B:B,D385)-SUMIFS(팀수비력!N:N,팀수비력!A:A,B385,팀수비력!B:B,D385)))*100,"")</f>
        <v>0</v>
      </c>
      <c r="BO385" s="67">
        <f t="shared" si="217"/>
        <v>12.165450121654503</v>
      </c>
      <c r="BT385" t="s">
        <v>89</v>
      </c>
      <c r="BV385" t="s">
        <v>90</v>
      </c>
      <c r="CF385">
        <v>1</v>
      </c>
      <c r="CG385">
        <v>3</v>
      </c>
    </row>
    <row r="386" spans="1:85" x14ac:dyDescent="0.4">
      <c r="A386" s="11" t="s">
        <v>85</v>
      </c>
      <c r="B386" t="s">
        <v>123</v>
      </c>
      <c r="C386" t="s">
        <v>134</v>
      </c>
      <c r="D386" s="46" t="s">
        <v>307</v>
      </c>
      <c r="E386">
        <v>9</v>
      </c>
      <c r="F386">
        <v>23</v>
      </c>
      <c r="G386" s="1">
        <v>47</v>
      </c>
      <c r="H386" s="16">
        <f t="shared" ref="H386:H449" si="218">(F386*60+G386)*E386</f>
        <v>12843</v>
      </c>
      <c r="I386">
        <v>160</v>
      </c>
      <c r="J386" s="17">
        <f t="shared" ref="J386:J449" si="219">I386/$E386</f>
        <v>17.777777777777779</v>
      </c>
      <c r="K386">
        <v>66</v>
      </c>
      <c r="L386">
        <v>139</v>
      </c>
      <c r="M386" s="17">
        <f t="shared" ref="M386:M449" si="220">K386/$E386</f>
        <v>7.333333333333333</v>
      </c>
      <c r="N386" s="17">
        <f t="shared" ref="N386:N449" si="221">L386/$E386</f>
        <v>15.444444444444445</v>
      </c>
      <c r="O386" s="18">
        <f t="shared" ref="O386:O449" si="222">K386/L386</f>
        <v>0.47482014388489208</v>
      </c>
      <c r="P386">
        <v>46</v>
      </c>
      <c r="Q386">
        <v>85</v>
      </c>
      <c r="R386" s="17">
        <f t="shared" ref="R386:R449" si="223">P386/$E386</f>
        <v>5.1111111111111107</v>
      </c>
      <c r="S386" s="17">
        <f t="shared" ref="S386:S449" si="224">Q386/$E386</f>
        <v>9.4444444444444446</v>
      </c>
      <c r="T386" s="18">
        <f t="shared" ref="T386:T449" si="225">P386/Q386</f>
        <v>0.54117647058823526</v>
      </c>
      <c r="U386">
        <v>20</v>
      </c>
      <c r="V386">
        <v>54</v>
      </c>
      <c r="W386" s="17">
        <f t="shared" ref="W386:W449" si="226">U386/$E386</f>
        <v>2.2222222222222223</v>
      </c>
      <c r="X386" s="17">
        <f t="shared" ref="X386:X449" si="227">V386/$E386</f>
        <v>6</v>
      </c>
      <c r="Y386" s="18">
        <f t="shared" ref="Y386:Y449" si="228">U386/V386</f>
        <v>0.37037037037037035</v>
      </c>
      <c r="Z386">
        <v>8</v>
      </c>
      <c r="AA386">
        <v>15</v>
      </c>
      <c r="AB386" s="17">
        <f t="shared" ref="AB386:AB449" si="229">Z386/$E386</f>
        <v>0.88888888888888884</v>
      </c>
      <c r="AC386" s="17">
        <f t="shared" ref="AC386:AC449" si="230">AA386/$E386</f>
        <v>1.6666666666666667</v>
      </c>
      <c r="AD386" s="18">
        <f t="shared" ref="AD386:AD449" si="231">Z386/AA386</f>
        <v>0.53333333333333333</v>
      </c>
      <c r="AE386">
        <v>55</v>
      </c>
      <c r="AF386" s="17">
        <f t="shared" ref="AF386:AF449" si="232">AE386/$E386</f>
        <v>6.1111111111111107</v>
      </c>
      <c r="AG386">
        <v>5</v>
      </c>
      <c r="AH386" s="17">
        <f t="shared" ref="AH386:AH449" si="233">AG386/$E386</f>
        <v>0.55555555555555558</v>
      </c>
      <c r="AI386">
        <v>50</v>
      </c>
      <c r="AJ386" s="17">
        <f t="shared" ref="AJ386:AJ449" si="234">AI386/$E386</f>
        <v>5.5555555555555554</v>
      </c>
      <c r="AK386">
        <v>5</v>
      </c>
      <c r="AL386" s="17">
        <f t="shared" ref="AL386:AL449" si="235">AK386/$E386</f>
        <v>0.55555555555555558</v>
      </c>
      <c r="AM386">
        <v>2</v>
      </c>
      <c r="AN386" s="17">
        <f t="shared" ref="AN386:AN449" si="236">AM386/$E386</f>
        <v>0.22222222222222221</v>
      </c>
      <c r="AO386">
        <v>5</v>
      </c>
      <c r="AQ386">
        <v>13</v>
      </c>
      <c r="AR386" s="17">
        <f t="shared" ref="AR386:AR449" si="237">AQ386/$E386</f>
        <v>1.4444444444444444</v>
      </c>
      <c r="AS386">
        <v>23</v>
      </c>
      <c r="AT386" s="17">
        <f t="shared" ref="AT386:AT449" si="238">AS386/$E386</f>
        <v>2.5555555555555554</v>
      </c>
      <c r="BD386" s="65">
        <f t="shared" ref="BD386:BD449" si="239">IFERROR((I386/(2*(L386+(0.44*AA386))))*100,"")</f>
        <v>54.945054945054949</v>
      </c>
      <c r="BE386" s="65">
        <f t="shared" ref="BE386:BE449" si="240">IFERROR(((P386+(1.5*U386))/L386)*100,"")</f>
        <v>54.676258992805757</v>
      </c>
      <c r="BF386" s="66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36.204654915727346</v>
      </c>
      <c r="BG386" s="38">
        <f t="shared" ref="BG386:BG449" si="241">IFERROR(V386/L386,"")</f>
        <v>0.38848920863309355</v>
      </c>
      <c r="BH386" s="38">
        <f t="shared" ref="BH386:BH449" si="242">IFERROR(AA386/L386,"")</f>
        <v>0.1079136690647482</v>
      </c>
      <c r="BI386" s="67">
        <f>IFERROR(((AG386*(12000/5))/((F386*60+G386)*(SUMIFS(팀공격력!X:X,팀공격력!A:A,B386,팀공격력!B:B,D386)+SUMIFS(팀수비력!X:X,팀수비력!A:A,B386,팀수비력!B:B,D386))))*100,"")</f>
        <v>1.3992096797325644</v>
      </c>
      <c r="BJ386" s="67">
        <f>IFERROR(((AI386*(12000/5))/((F386*60+G386)*(SUMIFS(팀공격력!V:V,팀공격력!A:A,B386,팀공격력!B:B,D386)+SUMIFS(팀수비력!W:W,팀수비력!A:A,B386,팀수비력!B:B,D386))))*100,"")</f>
        <v>28.602891752356165</v>
      </c>
      <c r="BK386" s="67">
        <f>IFERROR(((AE386*(12000/5))/((F386*60+G386)*(SUMIFS(팀공격력!X:X,팀공격력!A:A,B386,팀공격력!B:B,D386)+SUMIFS(팀수비력!X:X,팀수비력!A:A,B386,팀수비력!B:B,D386))))*100,"")</f>
        <v>15.391306477058208</v>
      </c>
      <c r="BL386" s="67">
        <f>IFERROR(100*AK386/(((((F386*60+G386)/(12000/5))*SUMIFS(팀공격력!P:P,팀공격력!A:A,B386,팀공격력!B:B,D386))-K386)),"")</f>
        <v>5.0355425377455871</v>
      </c>
      <c r="BM386" s="67">
        <f>IFERROR(100*((AM386/E386*(2400))/((F386*60+G386)*SUMIFS(팀공격력!AR:AR,팀공격력!A:A,B386,팀공격력!B:B,D386))),"")</f>
        <v>0.51861663182911377</v>
      </c>
      <c r="BN386" s="67">
        <f>IFERROR((AO386*40)/(((F386*60+G386)/60)*(SUMIFS(팀수비력!Q:Q,팀수비력!A:A,B386,팀수비력!B:B,D386)-SUMIFS(팀수비력!N:N,팀수비력!A:A,B386,팀수비력!B:B,D386)))*100,"")</f>
        <v>2.2071522769534675</v>
      </c>
      <c r="BO386" s="67">
        <f t="shared" ref="BO386:BO449" si="243">IFERROR(100*AQ386/(L386+0.44*AA386+AQ386),"")</f>
        <v>8.1967213114754109</v>
      </c>
      <c r="BT386" t="s">
        <v>96</v>
      </c>
      <c r="BV386" t="s">
        <v>93</v>
      </c>
      <c r="CF386">
        <v>2</v>
      </c>
      <c r="CG386">
        <v>7</v>
      </c>
    </row>
    <row r="387" spans="1:85" x14ac:dyDescent="0.4">
      <c r="A387" s="11" t="s">
        <v>85</v>
      </c>
      <c r="B387" t="s">
        <v>123</v>
      </c>
      <c r="C387" t="s">
        <v>135</v>
      </c>
      <c r="D387" s="46" t="s">
        <v>307</v>
      </c>
      <c r="E387">
        <v>6</v>
      </c>
      <c r="F387">
        <v>13</v>
      </c>
      <c r="G387" s="1">
        <v>36</v>
      </c>
      <c r="H387" s="16">
        <f t="shared" si="218"/>
        <v>4896</v>
      </c>
      <c r="I387">
        <v>16</v>
      </c>
      <c r="J387" s="17">
        <f t="shared" si="219"/>
        <v>2.6666666666666665</v>
      </c>
      <c r="K387">
        <v>6</v>
      </c>
      <c r="L387">
        <v>24</v>
      </c>
      <c r="M387" s="17">
        <f t="shared" si="220"/>
        <v>1</v>
      </c>
      <c r="N387" s="17">
        <f t="shared" si="221"/>
        <v>4</v>
      </c>
      <c r="O387" s="18">
        <f t="shared" si="222"/>
        <v>0.25</v>
      </c>
      <c r="P387">
        <v>6</v>
      </c>
      <c r="Q387">
        <v>24</v>
      </c>
      <c r="R387" s="17">
        <f t="shared" si="223"/>
        <v>1</v>
      </c>
      <c r="S387" s="17">
        <f t="shared" si="224"/>
        <v>4</v>
      </c>
      <c r="T387" s="18">
        <f t="shared" si="225"/>
        <v>0.25</v>
      </c>
      <c r="U387">
        <v>0</v>
      </c>
      <c r="V387">
        <v>0</v>
      </c>
      <c r="W387" s="17">
        <f t="shared" si="226"/>
        <v>0</v>
      </c>
      <c r="X387" s="17">
        <f t="shared" si="227"/>
        <v>0</v>
      </c>
      <c r="Y387" s="18" t="e">
        <f t="shared" si="228"/>
        <v>#DIV/0!</v>
      </c>
      <c r="Z387">
        <v>4</v>
      </c>
      <c r="AA387">
        <v>6</v>
      </c>
      <c r="AB387" s="17">
        <f t="shared" si="229"/>
        <v>0.66666666666666663</v>
      </c>
      <c r="AC387" s="17">
        <f t="shared" si="230"/>
        <v>1</v>
      </c>
      <c r="AD387" s="18">
        <f t="shared" si="231"/>
        <v>0.66666666666666663</v>
      </c>
      <c r="AE387">
        <v>27</v>
      </c>
      <c r="AF387" s="17">
        <f t="shared" si="232"/>
        <v>4.5</v>
      </c>
      <c r="AG387">
        <v>6</v>
      </c>
      <c r="AH387" s="17">
        <f t="shared" si="233"/>
        <v>1</v>
      </c>
      <c r="AI387">
        <v>21</v>
      </c>
      <c r="AJ387" s="17">
        <f t="shared" si="234"/>
        <v>3.5</v>
      </c>
      <c r="AK387">
        <v>4</v>
      </c>
      <c r="AL387" s="17">
        <f t="shared" si="235"/>
        <v>0.66666666666666663</v>
      </c>
      <c r="AM387">
        <v>2</v>
      </c>
      <c r="AN387" s="17">
        <f t="shared" si="236"/>
        <v>0.33333333333333331</v>
      </c>
      <c r="AO387">
        <v>0</v>
      </c>
      <c r="AQ387">
        <v>8</v>
      </c>
      <c r="AR387" s="17">
        <f t="shared" si="237"/>
        <v>1.3333333333333333</v>
      </c>
      <c r="AS387">
        <v>14</v>
      </c>
      <c r="AT387" s="17">
        <f t="shared" si="238"/>
        <v>2.3333333333333335</v>
      </c>
      <c r="BD387" s="65">
        <f t="shared" si="239"/>
        <v>30.03003003003003</v>
      </c>
      <c r="BE387" s="65">
        <f t="shared" si="240"/>
        <v>25</v>
      </c>
      <c r="BF387" s="66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13.828431638685117</v>
      </c>
      <c r="BG387" s="38">
        <f t="shared" si="241"/>
        <v>0</v>
      </c>
      <c r="BH387" s="38">
        <f t="shared" si="242"/>
        <v>0.25</v>
      </c>
      <c r="BI387" s="67">
        <f>IFERROR(((AG387*(12000/5))/((F387*60+G387)*(SUMIFS(팀공격력!X:X,팀공격력!A:A,B387,팀공격력!B:B,D387)+SUMIFS(팀수비력!X:X,팀수비력!A:A,B387,팀수비력!B:B,D387))))*100,"")</f>
        <v>2.9362826661446606</v>
      </c>
      <c r="BJ387" s="67">
        <f>IFERROR(((AI387*(12000/5))/((F387*60+G387)*(SUMIFS(팀공격력!V:V,팀공격력!A:A,B387,팀공격력!B:B,D387)+SUMIFS(팀수비력!W:W,팀수비력!A:A,B387,팀수비력!B:B,D387))))*100,"")</f>
        <v>21.008403361344538</v>
      </c>
      <c r="BK387" s="67">
        <f>IFERROR(((AE387*(12000/5))/((F387*60+G387)*(SUMIFS(팀공격력!X:X,팀공격력!A:A,B387,팀공격력!B:B,D387)+SUMIFS(팀수비력!X:X,팀수비력!A:A,B387,팀수비력!B:B,D387))))*100,"")</f>
        <v>13.213271997650974</v>
      </c>
      <c r="BL387" s="67">
        <f>IFERROR(100*AK387/(((((F387*60+G387)/(12000/5))*SUMIFS(팀공격력!P:P,팀공격력!A:A,B387,팀공격력!B:B,D387))-K387)),"")</f>
        <v>4.5187528242205151</v>
      </c>
      <c r="BM387" s="67">
        <f>IFERROR(100*((AM387/E387*(2400))/((F387*60+G387)*SUMIFS(팀공격력!AR:AR,팀공격력!A:A,B387,팀공격력!B:B,D387))),"")</f>
        <v>1.3604153191546791</v>
      </c>
      <c r="BN387" s="67">
        <f>IFERROR((AO387*40)/(((F387*60+G387)/60)*(SUMIFS(팀수비력!Q:Q,팀수비력!A:A,B387,팀수비력!B:B,D387)-SUMIFS(팀수비력!N:N,팀수비력!A:A,B387,팀수비력!B:B,D387)))*100,"")</f>
        <v>0</v>
      </c>
      <c r="BO387" s="67">
        <f t="shared" si="243"/>
        <v>23.094688221709006</v>
      </c>
      <c r="BT387" t="s">
        <v>96</v>
      </c>
      <c r="BV387" t="s">
        <v>93</v>
      </c>
      <c r="CF387">
        <v>1</v>
      </c>
      <c r="CG387">
        <v>5</v>
      </c>
    </row>
    <row r="388" spans="1:85" x14ac:dyDescent="0.4">
      <c r="A388" s="11" t="s">
        <v>85</v>
      </c>
      <c r="B388" t="s">
        <v>123</v>
      </c>
      <c r="C388" t="s">
        <v>136</v>
      </c>
      <c r="D388" s="46" t="s">
        <v>307</v>
      </c>
      <c r="E388">
        <v>5</v>
      </c>
      <c r="F388">
        <v>9</v>
      </c>
      <c r="G388" s="1">
        <v>9</v>
      </c>
      <c r="H388" s="16">
        <f t="shared" si="218"/>
        <v>2745</v>
      </c>
      <c r="I388">
        <v>2</v>
      </c>
      <c r="J388" s="17">
        <f t="shared" si="219"/>
        <v>0.4</v>
      </c>
      <c r="K388">
        <v>1</v>
      </c>
      <c r="L388">
        <v>6</v>
      </c>
      <c r="M388" s="17">
        <f t="shared" si="220"/>
        <v>0.2</v>
      </c>
      <c r="N388" s="17">
        <f t="shared" si="221"/>
        <v>1.2</v>
      </c>
      <c r="O388" s="18">
        <f t="shared" si="222"/>
        <v>0.16666666666666666</v>
      </c>
      <c r="P388">
        <v>1</v>
      </c>
      <c r="Q388">
        <v>3</v>
      </c>
      <c r="R388" s="17">
        <f t="shared" si="223"/>
        <v>0.2</v>
      </c>
      <c r="S388" s="17">
        <f t="shared" si="224"/>
        <v>0.6</v>
      </c>
      <c r="T388" s="18">
        <f t="shared" si="225"/>
        <v>0.33333333333333331</v>
      </c>
      <c r="U388">
        <v>0</v>
      </c>
      <c r="V388">
        <v>3</v>
      </c>
      <c r="W388" s="17">
        <f t="shared" si="226"/>
        <v>0</v>
      </c>
      <c r="X388" s="17">
        <f t="shared" si="227"/>
        <v>0.6</v>
      </c>
      <c r="Y388" s="18">
        <f t="shared" si="228"/>
        <v>0</v>
      </c>
      <c r="Z388">
        <v>0</v>
      </c>
      <c r="AA388">
        <v>0</v>
      </c>
      <c r="AB388" s="17">
        <f t="shared" si="229"/>
        <v>0</v>
      </c>
      <c r="AC388" s="17">
        <f t="shared" si="230"/>
        <v>0</v>
      </c>
      <c r="AD388" s="18" t="e">
        <f t="shared" si="231"/>
        <v>#DIV/0!</v>
      </c>
      <c r="AE388">
        <v>4</v>
      </c>
      <c r="AF388" s="17">
        <f t="shared" si="232"/>
        <v>0.8</v>
      </c>
      <c r="AG388">
        <v>2</v>
      </c>
      <c r="AH388" s="17">
        <f t="shared" si="233"/>
        <v>0.4</v>
      </c>
      <c r="AI388">
        <v>2</v>
      </c>
      <c r="AJ388" s="17">
        <f t="shared" si="234"/>
        <v>0.4</v>
      </c>
      <c r="AK388">
        <v>0</v>
      </c>
      <c r="AL388" s="17">
        <f t="shared" si="235"/>
        <v>0</v>
      </c>
      <c r="AM388">
        <v>4</v>
      </c>
      <c r="AN388" s="17">
        <f t="shared" si="236"/>
        <v>0.8</v>
      </c>
      <c r="AO388">
        <v>0</v>
      </c>
      <c r="AQ388">
        <v>0</v>
      </c>
      <c r="AR388" s="17">
        <f t="shared" si="237"/>
        <v>0</v>
      </c>
      <c r="AS388">
        <v>3</v>
      </c>
      <c r="AT388" s="17">
        <f t="shared" si="238"/>
        <v>0.6</v>
      </c>
      <c r="BD388" s="65">
        <f t="shared" si="239"/>
        <v>16.666666666666664</v>
      </c>
      <c r="BE388" s="65">
        <f t="shared" si="240"/>
        <v>16.666666666666664</v>
      </c>
      <c r="BF388" s="66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3.5601156681580584</v>
      </c>
      <c r="BG388" s="38">
        <f t="shared" si="241"/>
        <v>0.5</v>
      </c>
      <c r="BH388" s="38">
        <f t="shared" si="242"/>
        <v>0</v>
      </c>
      <c r="BI388" s="67">
        <f>IFERROR(((AG388*(12000/5))/((F388*60+G388)*(SUMIFS(팀공격력!X:X,팀공격력!A:A,B388,팀공격력!B:B,D388)+SUMIFS(팀수비력!X:X,팀수비력!A:A,B388,팀수비력!B:B,D388))))*100,"")</f>
        <v>1.4547702826800506</v>
      </c>
      <c r="BJ388" s="67">
        <f>IFERROR(((AI388*(12000/5))/((F388*60+G388)*(SUMIFS(팀공격력!V:V,팀공격력!A:A,B388,팀공격력!B:B,D388)+SUMIFS(팀수비력!W:W,팀수비력!A:A,B388,팀수비력!B:B,D388))))*100,"")</f>
        <v>2.9738671424854095</v>
      </c>
      <c r="BK388" s="67">
        <f>IFERROR(((AE388*(12000/5))/((F388*60+G388)*(SUMIFS(팀공격력!X:X,팀공격력!A:A,B388,팀공격력!B:B,D388)+SUMIFS(팀수비력!X:X,팀수비력!A:A,B388,팀수비력!B:B,D388))))*100,"")</f>
        <v>2.9095405653601012</v>
      </c>
      <c r="BL388" s="67">
        <f>IFERROR(100*AK388/(((((F388*60+G388)/(12000/5))*SUMIFS(팀공격력!P:P,팀공격력!A:A,B388,팀공격력!B:B,D388))-K388)),"")</f>
        <v>0</v>
      </c>
      <c r="BM388" s="67">
        <f>IFERROR(100*((AM388/E388*(2400))/((F388*60+G388)*SUMIFS(팀공격력!AR:AR,팀공격력!A:A,B388,팀공격력!B:B,D388))),"")</f>
        <v>4.8528913680009538</v>
      </c>
      <c r="BN388" s="67">
        <f>IFERROR((AO388*40)/(((F388*60+G388)/60)*(SUMIFS(팀수비력!Q:Q,팀수비력!A:A,B388,팀수비력!B:B,D388)-SUMIFS(팀수비력!N:N,팀수비력!A:A,B388,팀수비력!B:B,D388)))*100,"")</f>
        <v>0</v>
      </c>
      <c r="BO388" s="67">
        <f t="shared" si="243"/>
        <v>0</v>
      </c>
      <c r="BT388" t="s">
        <v>89</v>
      </c>
      <c r="BV388" t="s">
        <v>93</v>
      </c>
      <c r="CF388">
        <v>2</v>
      </c>
      <c r="CG388">
        <v>3</v>
      </c>
    </row>
    <row r="389" spans="1:85" x14ac:dyDescent="0.4">
      <c r="A389" s="11" t="s">
        <v>85</v>
      </c>
      <c r="B389" t="s">
        <v>123</v>
      </c>
      <c r="C389" t="s">
        <v>137</v>
      </c>
      <c r="D389" s="46" t="s">
        <v>307</v>
      </c>
      <c r="E389">
        <v>5</v>
      </c>
      <c r="F389">
        <v>7</v>
      </c>
      <c r="G389" s="1">
        <v>26</v>
      </c>
      <c r="H389" s="16">
        <f t="shared" si="218"/>
        <v>2230</v>
      </c>
      <c r="I389">
        <v>6</v>
      </c>
      <c r="J389" s="17">
        <f t="shared" si="219"/>
        <v>1.2</v>
      </c>
      <c r="K389">
        <v>1</v>
      </c>
      <c r="L389">
        <v>7</v>
      </c>
      <c r="M389" s="17">
        <f t="shared" si="220"/>
        <v>0.2</v>
      </c>
      <c r="N389" s="17">
        <f t="shared" si="221"/>
        <v>1.4</v>
      </c>
      <c r="O389" s="18">
        <f t="shared" si="222"/>
        <v>0.14285714285714285</v>
      </c>
      <c r="P389">
        <v>0</v>
      </c>
      <c r="Q389">
        <v>2</v>
      </c>
      <c r="R389" s="17">
        <f t="shared" si="223"/>
        <v>0</v>
      </c>
      <c r="S389" s="17">
        <f t="shared" si="224"/>
        <v>0.4</v>
      </c>
      <c r="T389" s="18">
        <f t="shared" si="225"/>
        <v>0</v>
      </c>
      <c r="U389">
        <v>1</v>
      </c>
      <c r="V389">
        <v>5</v>
      </c>
      <c r="W389" s="17">
        <f t="shared" si="226"/>
        <v>0.2</v>
      </c>
      <c r="X389" s="17">
        <f t="shared" si="227"/>
        <v>1</v>
      </c>
      <c r="Y389" s="18">
        <f t="shared" si="228"/>
        <v>0.2</v>
      </c>
      <c r="Z389">
        <v>3</v>
      </c>
      <c r="AA389">
        <v>4</v>
      </c>
      <c r="AB389" s="17">
        <f t="shared" si="229"/>
        <v>0.6</v>
      </c>
      <c r="AC389" s="17">
        <f t="shared" si="230"/>
        <v>0.8</v>
      </c>
      <c r="AD389" s="18">
        <f t="shared" si="231"/>
        <v>0.75</v>
      </c>
      <c r="AE389">
        <v>4</v>
      </c>
      <c r="AF389" s="17">
        <f t="shared" si="232"/>
        <v>0.8</v>
      </c>
      <c r="AG389">
        <v>1</v>
      </c>
      <c r="AH389" s="17">
        <f t="shared" si="233"/>
        <v>0.2</v>
      </c>
      <c r="AI389">
        <v>3</v>
      </c>
      <c r="AJ389" s="17">
        <f t="shared" si="234"/>
        <v>0.6</v>
      </c>
      <c r="AK389">
        <v>6</v>
      </c>
      <c r="AL389" s="17">
        <f t="shared" si="235"/>
        <v>1.2</v>
      </c>
      <c r="AM389">
        <v>1</v>
      </c>
      <c r="AN389" s="17">
        <f t="shared" si="236"/>
        <v>0.2</v>
      </c>
      <c r="AO389">
        <v>0</v>
      </c>
      <c r="AQ389">
        <v>3</v>
      </c>
      <c r="AR389" s="17">
        <f t="shared" si="237"/>
        <v>0.6</v>
      </c>
      <c r="AS389">
        <v>4</v>
      </c>
      <c r="AT389" s="17">
        <f t="shared" si="238"/>
        <v>0.8</v>
      </c>
      <c r="BD389" s="65">
        <f t="shared" si="239"/>
        <v>34.246575342465754</v>
      </c>
      <c r="BE389" s="65">
        <f t="shared" si="240"/>
        <v>21.428571428571427</v>
      </c>
      <c r="BF389" s="66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8.5892979003695</v>
      </c>
      <c r="BG389" s="38">
        <f t="shared" si="241"/>
        <v>0.7142857142857143</v>
      </c>
      <c r="BH389" s="38">
        <f t="shared" si="242"/>
        <v>0.5714285714285714</v>
      </c>
      <c r="BI389" s="67">
        <f>IFERROR(((AG389*(12000/5))/((F389*60+G389)*(SUMIFS(팀공격력!X:X,팀공격력!A:A,B389,팀공격력!B:B,D389)+SUMIFS(팀수비력!X:X,팀수비력!A:A,B389,팀수비력!B:B,D389))))*100,"")</f>
        <v>0.89536870537146618</v>
      </c>
      <c r="BJ389" s="67">
        <f>IFERROR(((AI389*(12000/5))/((F389*60+G389)*(SUMIFS(팀공격력!V:V,팀공격력!A:A,B389,팀공격력!B:B,D389)+SUMIFS(팀수비력!W:W,팀수비력!A:A,B389,팀수비력!B:B,D389))))*100,"")</f>
        <v>5.49098563192093</v>
      </c>
      <c r="BK389" s="67">
        <f>IFERROR(((AE389*(12000/5))/((F389*60+G389)*(SUMIFS(팀공격력!X:X,팀공격력!A:A,B389,팀공격력!B:B,D389)+SUMIFS(팀수비력!X:X,팀수비력!A:A,B389,팀수비력!B:B,D389))))*100,"")</f>
        <v>3.5814748214858647</v>
      </c>
      <c r="BL389" s="67">
        <f>IFERROR(100*AK389/(((((F389*60+G389)/(12000/5))*SUMIFS(팀공격력!P:P,팀공격력!A:A,B389,팀공격력!B:B,D389))-K389)),"")</f>
        <v>11.843274007303354</v>
      </c>
      <c r="BM389" s="67">
        <f>IFERROR(100*((AM389/E389*(2400))/((F389*60+G389)*SUMIFS(팀공격력!AR:AR,팀공격력!A:A,B389,팀공격력!B:B,D389))),"")</f>
        <v>1.4934065925070197</v>
      </c>
      <c r="BN389" s="67">
        <f>IFERROR((AO389*40)/(((F389*60+G389)/60)*(SUMIFS(팀수비력!Q:Q,팀수비력!A:A,B389,팀수비력!B:B,D389)-SUMIFS(팀수비력!N:N,팀수비력!A:A,B389,팀수비력!B:B,D389)))*100,"")</f>
        <v>0</v>
      </c>
      <c r="BO389" s="67">
        <f t="shared" si="243"/>
        <v>25.510204081632654</v>
      </c>
      <c r="BT389" t="s">
        <v>89</v>
      </c>
      <c r="BV389" t="s">
        <v>90</v>
      </c>
      <c r="CF389">
        <v>1</v>
      </c>
      <c r="CG389">
        <v>4</v>
      </c>
    </row>
    <row r="390" spans="1:85" x14ac:dyDescent="0.4">
      <c r="A390" s="11" t="s">
        <v>85</v>
      </c>
      <c r="B390" t="s">
        <v>123</v>
      </c>
      <c r="C390" t="s">
        <v>138</v>
      </c>
      <c r="D390" s="46" t="s">
        <v>307</v>
      </c>
      <c r="E390">
        <v>1</v>
      </c>
      <c r="F390">
        <v>3</v>
      </c>
      <c r="G390" s="1">
        <v>49</v>
      </c>
      <c r="H390" s="16">
        <f t="shared" si="218"/>
        <v>229</v>
      </c>
      <c r="I390">
        <v>0</v>
      </c>
      <c r="J390" s="17">
        <f t="shared" si="219"/>
        <v>0</v>
      </c>
      <c r="K390">
        <v>0</v>
      </c>
      <c r="L390">
        <v>1</v>
      </c>
      <c r="M390" s="17">
        <f t="shared" si="220"/>
        <v>0</v>
      </c>
      <c r="N390" s="17">
        <f t="shared" si="221"/>
        <v>1</v>
      </c>
      <c r="O390" s="18">
        <f t="shared" si="222"/>
        <v>0</v>
      </c>
      <c r="P390">
        <v>0</v>
      </c>
      <c r="Q390">
        <v>0</v>
      </c>
      <c r="R390" s="17">
        <f t="shared" si="223"/>
        <v>0</v>
      </c>
      <c r="S390" s="17">
        <f t="shared" si="224"/>
        <v>0</v>
      </c>
      <c r="T390" s="18" t="e">
        <f t="shared" si="225"/>
        <v>#DIV/0!</v>
      </c>
      <c r="U390">
        <v>0</v>
      </c>
      <c r="V390">
        <v>1</v>
      </c>
      <c r="W390" s="17">
        <f t="shared" si="226"/>
        <v>0</v>
      </c>
      <c r="X390" s="17">
        <f t="shared" si="227"/>
        <v>1</v>
      </c>
      <c r="Y390" s="18">
        <f t="shared" si="228"/>
        <v>0</v>
      </c>
      <c r="Z390">
        <v>0</v>
      </c>
      <c r="AA390">
        <v>0</v>
      </c>
      <c r="AB390" s="17">
        <f t="shared" si="229"/>
        <v>0</v>
      </c>
      <c r="AC390" s="17">
        <f t="shared" si="230"/>
        <v>0</v>
      </c>
      <c r="AD390" s="18" t="e">
        <f t="shared" si="231"/>
        <v>#DIV/0!</v>
      </c>
      <c r="AE390">
        <v>1</v>
      </c>
      <c r="AF390" s="17">
        <f t="shared" si="232"/>
        <v>1</v>
      </c>
      <c r="AG390">
        <v>0</v>
      </c>
      <c r="AH390" s="17">
        <f t="shared" si="233"/>
        <v>0</v>
      </c>
      <c r="AI390">
        <v>1</v>
      </c>
      <c r="AJ390" s="17">
        <f t="shared" si="234"/>
        <v>1</v>
      </c>
      <c r="AK390">
        <v>0</v>
      </c>
      <c r="AL390" s="17">
        <f t="shared" si="235"/>
        <v>0</v>
      </c>
      <c r="AM390">
        <v>0</v>
      </c>
      <c r="AN390" s="17">
        <f t="shared" si="236"/>
        <v>0</v>
      </c>
      <c r="AO390">
        <v>0</v>
      </c>
      <c r="AQ390">
        <v>0</v>
      </c>
      <c r="AR390" s="17">
        <f t="shared" si="237"/>
        <v>0</v>
      </c>
      <c r="AS390">
        <v>1</v>
      </c>
      <c r="AT390" s="17">
        <f t="shared" si="238"/>
        <v>1</v>
      </c>
      <c r="BD390" s="65">
        <f t="shared" si="239"/>
        <v>0</v>
      </c>
      <c r="BE390" s="65">
        <f t="shared" si="240"/>
        <v>0</v>
      </c>
      <c r="BF390" s="66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1.4224916316002723</v>
      </c>
      <c r="BG390" s="38">
        <f t="shared" si="241"/>
        <v>1</v>
      </c>
      <c r="BH390" s="38">
        <f t="shared" si="242"/>
        <v>0</v>
      </c>
      <c r="BI390" s="67">
        <f>IFERROR(((AG390*(12000/5))/((F390*60+G390)*(SUMIFS(팀공격력!X:X,팀공격력!A:A,B390,팀공격력!B:B,D390)+SUMIFS(팀수비력!X:X,팀수비력!A:A,B390,팀수비력!B:B,D390))))*100,"")</f>
        <v>0</v>
      </c>
      <c r="BJ390" s="67">
        <f>IFERROR(((AI390*(12000/5))/((F390*60+G390)*(SUMIFS(팀공격력!V:V,팀공격력!A:A,B390,팀공격력!B:B,D390)+SUMIFS(팀수비력!W:W,팀수비력!A:A,B390,팀수비력!B:B,D390))))*100,"")</f>
        <v>3.5647446751626415</v>
      </c>
      <c r="BK390" s="67">
        <f>IFERROR(((AE390*(12000/5))/((F390*60+G390)*(SUMIFS(팀공격력!X:X,팀공격력!A:A,B390,팀공격력!B:B,D390)+SUMIFS(팀수비력!X:X,팀수비력!A:A,B390,팀수비력!B:B,D390))))*100,"")</f>
        <v>1.7438185266186634</v>
      </c>
      <c r="BL390" s="67">
        <f>IFERROR(100*AK390/(((((F390*60+G390)/(12000/5))*SUMIFS(팀공격력!P:P,팀공격력!A:A,B390,팀공격력!B:B,D390))-K390)),"")</f>
        <v>0</v>
      </c>
      <c r="BM390" s="67">
        <f>IFERROR(100*((AM390/E390*(2400))/((F390*60+G390)*SUMIFS(팀공격력!AR:AR,팀공격력!A:A,B390,팀공격력!B:B,D390))),"")</f>
        <v>0</v>
      </c>
      <c r="BN390" s="67">
        <f>IFERROR((AO390*40)/(((F390*60+G390)/60)*(SUMIFS(팀수비력!Q:Q,팀수비력!A:A,B390,팀수비력!B:B,D390)-SUMIFS(팀수비력!N:N,팀수비력!A:A,B390,팀수비력!B:B,D390)))*100,"")</f>
        <v>0</v>
      </c>
      <c r="BO390" s="67">
        <f t="shared" si="243"/>
        <v>0</v>
      </c>
      <c r="BT390" t="s">
        <v>89</v>
      </c>
      <c r="BV390" t="s">
        <v>90</v>
      </c>
      <c r="CF390">
        <v>0</v>
      </c>
      <c r="CG390">
        <v>1</v>
      </c>
    </row>
    <row r="391" spans="1:85" x14ac:dyDescent="0.4">
      <c r="A391" s="11" t="s">
        <v>85</v>
      </c>
      <c r="B391" t="s">
        <v>123</v>
      </c>
      <c r="C391" t="s">
        <v>139</v>
      </c>
      <c r="D391" s="46" t="s">
        <v>307</v>
      </c>
      <c r="E391">
        <v>8</v>
      </c>
      <c r="F391">
        <v>28</v>
      </c>
      <c r="G391" s="1">
        <v>54</v>
      </c>
      <c r="H391" s="16">
        <f t="shared" si="218"/>
        <v>13872</v>
      </c>
      <c r="I391">
        <v>98</v>
      </c>
      <c r="J391" s="17">
        <f t="shared" si="219"/>
        <v>12.25</v>
      </c>
      <c r="K391">
        <v>44</v>
      </c>
      <c r="L391">
        <v>82</v>
      </c>
      <c r="M391" s="17">
        <f t="shared" si="220"/>
        <v>5.5</v>
      </c>
      <c r="N391" s="17">
        <f t="shared" si="221"/>
        <v>10.25</v>
      </c>
      <c r="O391" s="18">
        <f t="shared" si="222"/>
        <v>0.53658536585365857</v>
      </c>
      <c r="P391">
        <v>41</v>
      </c>
      <c r="Q391">
        <v>72</v>
      </c>
      <c r="R391" s="17">
        <f t="shared" si="223"/>
        <v>5.125</v>
      </c>
      <c r="S391" s="17">
        <f t="shared" si="224"/>
        <v>9</v>
      </c>
      <c r="T391" s="18">
        <f t="shared" si="225"/>
        <v>0.56944444444444442</v>
      </c>
      <c r="U391">
        <v>3</v>
      </c>
      <c r="V391">
        <v>10</v>
      </c>
      <c r="W391" s="17">
        <f t="shared" si="226"/>
        <v>0.375</v>
      </c>
      <c r="X391" s="17">
        <f t="shared" si="227"/>
        <v>1.25</v>
      </c>
      <c r="Y391" s="18">
        <f t="shared" si="228"/>
        <v>0.3</v>
      </c>
      <c r="Z391">
        <v>7</v>
      </c>
      <c r="AA391">
        <v>14</v>
      </c>
      <c r="AB391" s="17">
        <f t="shared" si="229"/>
        <v>0.875</v>
      </c>
      <c r="AC391" s="17">
        <f t="shared" si="230"/>
        <v>1.75</v>
      </c>
      <c r="AD391" s="18">
        <f t="shared" si="231"/>
        <v>0.5</v>
      </c>
      <c r="AE391">
        <v>36</v>
      </c>
      <c r="AF391" s="17">
        <f t="shared" si="232"/>
        <v>4.5</v>
      </c>
      <c r="AG391">
        <v>12</v>
      </c>
      <c r="AH391" s="17">
        <f t="shared" si="233"/>
        <v>1.5</v>
      </c>
      <c r="AI391">
        <v>24</v>
      </c>
      <c r="AJ391" s="17">
        <f t="shared" si="234"/>
        <v>3</v>
      </c>
      <c r="AK391">
        <v>14</v>
      </c>
      <c r="AL391" s="17">
        <f t="shared" si="235"/>
        <v>1.75</v>
      </c>
      <c r="AM391">
        <v>5</v>
      </c>
      <c r="AN391" s="17">
        <f t="shared" si="236"/>
        <v>0.625</v>
      </c>
      <c r="AO391">
        <v>1</v>
      </c>
      <c r="AQ391">
        <v>8</v>
      </c>
      <c r="AR391" s="17">
        <f t="shared" si="237"/>
        <v>1</v>
      </c>
      <c r="AS391">
        <v>15</v>
      </c>
      <c r="AT391" s="17">
        <f t="shared" si="238"/>
        <v>1.875</v>
      </c>
      <c r="BD391" s="65">
        <f t="shared" si="239"/>
        <v>55.580762250453716</v>
      </c>
      <c r="BE391" s="65">
        <f t="shared" si="240"/>
        <v>55.487804878048784</v>
      </c>
      <c r="BF391" s="66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18.064692112158141</v>
      </c>
      <c r="BG391" s="38">
        <f t="shared" si="241"/>
        <v>0.12195121951219512</v>
      </c>
      <c r="BH391" s="38">
        <f t="shared" si="242"/>
        <v>0.17073170731707318</v>
      </c>
      <c r="BI391" s="67">
        <f>IFERROR(((AG391*(12000/5))/((F391*60+G391)*(SUMIFS(팀공격력!X:X,팀공격력!A:A,B391,팀공격력!B:B,D391)+SUMIFS(팀수비력!X:X,팀수비력!A:A,B391,팀수비력!B:B,D391))))*100,"")</f>
        <v>2.7635601563714456</v>
      </c>
      <c r="BJ391" s="67">
        <f>IFERROR(((AI391*(12000/5))/((F391*60+G391)*(SUMIFS(팀공격력!V:V,팀공격력!A:A,B391,팀공격력!B:B,D391)+SUMIFS(팀수비력!W:W,팀수비력!A:A,B391,팀수비력!B:B,D391))))*100,"")</f>
        <v>11.298637101899583</v>
      </c>
      <c r="BK391" s="67">
        <f>IFERROR(((AE391*(12000/5))/((F391*60+G391)*(SUMIFS(팀공격력!X:X,팀공격력!A:A,B391,팀공격력!B:B,D391)+SUMIFS(팀수비력!X:X,팀수비력!A:A,B391,팀수비력!B:B,D391))))*100,"")</f>
        <v>8.2906804691143368</v>
      </c>
      <c r="BL391" s="67">
        <f>IFERROR(100*AK391/(((((F391*60+G391)/(12000/5))*SUMIFS(팀공격력!P:P,팀공격력!A:A,B391,팀공격력!B:B,D391))-K391)),"")</f>
        <v>8.925440693634247</v>
      </c>
      <c r="BM391" s="67">
        <f>IFERROR(100*((AM391/E391*(2400))/((F391*60+G391)*SUMIFS(팀공격력!AR:AR,팀공격력!A:A,B391,팀공격력!B:B,D391))),"")</f>
        <v>1.2003664580776578</v>
      </c>
      <c r="BN391" s="67">
        <f>IFERROR((AO391*40)/(((F391*60+G391)/60)*(SUMIFS(팀수비력!Q:Q,팀수비력!A:A,B391,팀수비력!B:B,D391)-SUMIFS(팀수비력!N:N,팀수비력!A:A,B391,팀수비력!B:B,D391)))*100,"")</f>
        <v>0.36327638975923859</v>
      </c>
      <c r="BO391" s="67">
        <f t="shared" si="243"/>
        <v>8.3194675540765388</v>
      </c>
      <c r="BT391" t="s">
        <v>89</v>
      </c>
      <c r="BV391" t="s">
        <v>93</v>
      </c>
      <c r="CF391">
        <v>1</v>
      </c>
      <c r="CG391">
        <v>7</v>
      </c>
    </row>
    <row r="392" spans="1:85" x14ac:dyDescent="0.4">
      <c r="A392" s="11" t="s">
        <v>85</v>
      </c>
      <c r="B392" t="s">
        <v>123</v>
      </c>
      <c r="C392" t="s">
        <v>141</v>
      </c>
      <c r="D392" s="46" t="s">
        <v>307</v>
      </c>
      <c r="E392">
        <v>3</v>
      </c>
      <c r="F392">
        <v>8</v>
      </c>
      <c r="G392" s="1">
        <v>19</v>
      </c>
      <c r="H392" s="16">
        <f t="shared" si="218"/>
        <v>1497</v>
      </c>
      <c r="I392">
        <v>4</v>
      </c>
      <c r="J392" s="17">
        <f t="shared" si="219"/>
        <v>1.3333333333333333</v>
      </c>
      <c r="K392">
        <v>1</v>
      </c>
      <c r="L392">
        <v>7</v>
      </c>
      <c r="M392" s="17">
        <f t="shared" si="220"/>
        <v>0.33333333333333331</v>
      </c>
      <c r="N392" s="17">
        <f t="shared" si="221"/>
        <v>2.3333333333333335</v>
      </c>
      <c r="O392" s="18">
        <f t="shared" si="222"/>
        <v>0.14285714285714285</v>
      </c>
      <c r="P392">
        <v>1</v>
      </c>
      <c r="Q392">
        <v>4</v>
      </c>
      <c r="R392" s="17">
        <f t="shared" si="223"/>
        <v>0.33333333333333331</v>
      </c>
      <c r="S392" s="17">
        <f t="shared" si="224"/>
        <v>1.3333333333333333</v>
      </c>
      <c r="T392" s="18">
        <f t="shared" si="225"/>
        <v>0.25</v>
      </c>
      <c r="U392">
        <v>0</v>
      </c>
      <c r="V392">
        <v>3</v>
      </c>
      <c r="W392" s="17">
        <f t="shared" si="226"/>
        <v>0</v>
      </c>
      <c r="X392" s="17">
        <f t="shared" si="227"/>
        <v>1</v>
      </c>
      <c r="Y392" s="18">
        <f t="shared" si="228"/>
        <v>0</v>
      </c>
      <c r="Z392">
        <v>2</v>
      </c>
      <c r="AA392">
        <v>2</v>
      </c>
      <c r="AB392" s="17">
        <f t="shared" si="229"/>
        <v>0.66666666666666663</v>
      </c>
      <c r="AC392" s="17">
        <f t="shared" si="230"/>
        <v>0.66666666666666663</v>
      </c>
      <c r="AD392" s="18">
        <f t="shared" si="231"/>
        <v>1</v>
      </c>
      <c r="AE392">
        <v>4</v>
      </c>
      <c r="AF392" s="17">
        <f t="shared" si="232"/>
        <v>1.3333333333333333</v>
      </c>
      <c r="AG392">
        <v>1</v>
      </c>
      <c r="AH392" s="17">
        <f t="shared" si="233"/>
        <v>0.33333333333333331</v>
      </c>
      <c r="AI392">
        <v>3</v>
      </c>
      <c r="AJ392" s="17">
        <f t="shared" si="234"/>
        <v>1</v>
      </c>
      <c r="AK392">
        <v>4</v>
      </c>
      <c r="AL392" s="17">
        <f t="shared" si="235"/>
        <v>1.3333333333333333</v>
      </c>
      <c r="AM392">
        <v>1</v>
      </c>
      <c r="AN392" s="17">
        <f t="shared" si="236"/>
        <v>0.33333333333333331</v>
      </c>
      <c r="AO392">
        <v>0</v>
      </c>
      <c r="AQ392">
        <v>0</v>
      </c>
      <c r="AR392" s="17">
        <f t="shared" si="237"/>
        <v>0</v>
      </c>
      <c r="AS392">
        <v>3</v>
      </c>
      <c r="AT392" s="17">
        <f t="shared" si="238"/>
        <v>1</v>
      </c>
      <c r="BD392" s="65">
        <f t="shared" si="239"/>
        <v>25.380710659898476</v>
      </c>
      <c r="BE392" s="65">
        <f t="shared" si="240"/>
        <v>14.285714285714285</v>
      </c>
      <c r="BF392" s="66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5.1441174329766</v>
      </c>
      <c r="BG392" s="38">
        <f t="shared" si="241"/>
        <v>0.42857142857142855</v>
      </c>
      <c r="BH392" s="38">
        <f t="shared" si="242"/>
        <v>0.2857142857142857</v>
      </c>
      <c r="BI392" s="67">
        <f>IFERROR(((AG392*(12000/5))/((F392*60+G392)*(SUMIFS(팀공격력!X:X,팀공격력!A:A,B392,팀공격력!B:B,D392)+SUMIFS(팀수비력!X:X,팀수비력!A:A,B392,팀수비력!B:B,D392))))*100,"")</f>
        <v>0.80026942403942669</v>
      </c>
      <c r="BJ392" s="67">
        <f>IFERROR(((AI392*(12000/5))/((F392*60+G392)*(SUMIFS(팀공격력!V:V,팀공격력!A:A,B392,팀공격력!B:B,D392)+SUMIFS(팀수비력!W:W,팀수비력!A:A,B392,팀수비력!B:B,D392))))*100,"")</f>
        <v>4.9077747331397488</v>
      </c>
      <c r="BK392" s="67">
        <f>IFERROR(((AE392*(12000/5))/((F392*60+G392)*(SUMIFS(팀공격력!X:X,팀공격력!A:A,B392,팀공격력!B:B,D392)+SUMIFS(팀수비력!X:X,팀수비력!A:A,B392,팀수비력!B:B,D392))))*100,"")</f>
        <v>3.2010776961577068</v>
      </c>
      <c r="BL392" s="67">
        <f>IFERROR(100*AK392/(((((F392*60+G392)/(12000/5))*SUMIFS(팀공격력!P:P,팀공격력!A:A,B392,팀공격력!B:B,D392))-K392)),"")</f>
        <v>7.0421502031953764</v>
      </c>
      <c r="BM392" s="67">
        <f>IFERROR(100*((AM392/E392*(2400))/((F392*60+G392)*SUMIFS(팀공격력!AR:AR,팀공격력!A:A,B392,팀공격력!B:B,D392))),"")</f>
        <v>2.2246470950505373</v>
      </c>
      <c r="BN392" s="67">
        <f>IFERROR((AO392*40)/(((F392*60+G392)/60)*(SUMIFS(팀수비력!Q:Q,팀수비력!A:A,B392,팀수비력!B:B,D392)-SUMIFS(팀수비력!N:N,팀수비력!A:A,B392,팀수비력!B:B,D392)))*100,"")</f>
        <v>0</v>
      </c>
      <c r="BO392" s="67">
        <f t="shared" si="243"/>
        <v>0</v>
      </c>
      <c r="BT392" t="s">
        <v>89</v>
      </c>
      <c r="BV392" t="s">
        <v>90</v>
      </c>
      <c r="CF392">
        <v>0</v>
      </c>
      <c r="CG392">
        <v>3</v>
      </c>
    </row>
    <row r="393" spans="1:85" x14ac:dyDescent="0.4">
      <c r="A393" s="11" t="s">
        <v>85</v>
      </c>
      <c r="B393" t="s">
        <v>123</v>
      </c>
      <c r="C393" t="s">
        <v>142</v>
      </c>
      <c r="D393" s="46" t="s">
        <v>307</v>
      </c>
      <c r="E393">
        <v>5</v>
      </c>
      <c r="F393">
        <v>8</v>
      </c>
      <c r="G393" s="1">
        <v>52</v>
      </c>
      <c r="H393" s="16">
        <f t="shared" si="218"/>
        <v>2660</v>
      </c>
      <c r="I393">
        <v>16</v>
      </c>
      <c r="J393" s="17">
        <f t="shared" si="219"/>
        <v>3.2</v>
      </c>
      <c r="K393">
        <v>4</v>
      </c>
      <c r="L393">
        <v>11</v>
      </c>
      <c r="M393" s="17">
        <f t="shared" si="220"/>
        <v>0.8</v>
      </c>
      <c r="N393" s="17">
        <f t="shared" si="221"/>
        <v>2.2000000000000002</v>
      </c>
      <c r="O393" s="18">
        <f t="shared" si="222"/>
        <v>0.36363636363636365</v>
      </c>
      <c r="P393">
        <v>1</v>
      </c>
      <c r="Q393">
        <v>2</v>
      </c>
      <c r="R393" s="17">
        <f t="shared" si="223"/>
        <v>0.2</v>
      </c>
      <c r="S393" s="17">
        <f t="shared" si="224"/>
        <v>0.4</v>
      </c>
      <c r="T393" s="18">
        <f t="shared" si="225"/>
        <v>0.5</v>
      </c>
      <c r="U393">
        <v>3</v>
      </c>
      <c r="V393">
        <v>9</v>
      </c>
      <c r="W393" s="17">
        <f t="shared" si="226"/>
        <v>0.6</v>
      </c>
      <c r="X393" s="17">
        <f t="shared" si="227"/>
        <v>1.8</v>
      </c>
      <c r="Y393" s="18">
        <f t="shared" si="228"/>
        <v>0.33333333333333331</v>
      </c>
      <c r="Z393">
        <v>5</v>
      </c>
      <c r="AA393">
        <v>5</v>
      </c>
      <c r="AB393" s="17">
        <f t="shared" si="229"/>
        <v>1</v>
      </c>
      <c r="AC393" s="17">
        <f t="shared" si="230"/>
        <v>1</v>
      </c>
      <c r="AD393" s="18">
        <f t="shared" si="231"/>
        <v>1</v>
      </c>
      <c r="AE393">
        <v>5</v>
      </c>
      <c r="AF393" s="17">
        <f t="shared" si="232"/>
        <v>1</v>
      </c>
      <c r="AG393">
        <v>3</v>
      </c>
      <c r="AH393" s="17">
        <f t="shared" si="233"/>
        <v>0.6</v>
      </c>
      <c r="AI393">
        <v>2</v>
      </c>
      <c r="AJ393" s="17">
        <f t="shared" si="234"/>
        <v>0.4</v>
      </c>
      <c r="AK393">
        <v>2</v>
      </c>
      <c r="AL393" s="17">
        <f t="shared" si="235"/>
        <v>0.4</v>
      </c>
      <c r="AM393">
        <v>0</v>
      </c>
      <c r="AN393" s="17">
        <f t="shared" si="236"/>
        <v>0</v>
      </c>
      <c r="AO393">
        <v>0</v>
      </c>
      <c r="AQ393">
        <v>1</v>
      </c>
      <c r="AR393" s="17">
        <f t="shared" si="237"/>
        <v>0.2</v>
      </c>
      <c r="AS393">
        <v>4</v>
      </c>
      <c r="AT393" s="17">
        <f t="shared" si="238"/>
        <v>0.8</v>
      </c>
      <c r="BD393" s="65">
        <f t="shared" si="239"/>
        <v>60.606060606060609</v>
      </c>
      <c r="BE393" s="65">
        <f t="shared" si="240"/>
        <v>50</v>
      </c>
      <c r="BF393" s="66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8.694846405334145</v>
      </c>
      <c r="BG393" s="38">
        <f t="shared" si="241"/>
        <v>0.81818181818181823</v>
      </c>
      <c r="BH393" s="38">
        <f t="shared" si="242"/>
        <v>0.45454545454545453</v>
      </c>
      <c r="BI393" s="67">
        <f>IFERROR(((AG393*(12000/5))/((F393*60+G393)*(SUMIFS(팀공격력!X:X,팀공격력!A:A,B393,팀공격력!B:B,D393)+SUMIFS(팀수비력!X:X,팀수비력!A:A,B393,팀수비력!B:B,D393))))*100,"")</f>
        <v>2.251885954486883</v>
      </c>
      <c r="BJ393" s="67">
        <f>IFERROR(((AI393*(12000/5))/((F393*60+G393)*(SUMIFS(팀공격력!V:V,팀공격력!A:A,B393,팀공격력!B:B,D393)+SUMIFS(팀수비력!W:W,팀수비력!A:A,B393,팀수비력!B:B,D393))))*100,"")</f>
        <v>3.0688967316249807</v>
      </c>
      <c r="BK393" s="67">
        <f>IFERROR(((AE393*(12000/5))/((F393*60+G393)*(SUMIFS(팀공격력!X:X,팀공격력!A:A,B393,팀공격력!B:B,D393)+SUMIFS(팀수비력!X:X,팀수비력!A:A,B393,팀수비력!B:B,D393))))*100,"")</f>
        <v>3.753143257478138</v>
      </c>
      <c r="BL393" s="67">
        <f>IFERROR(100*AK393/(((((F393*60+G393)/(12000/5))*SUMIFS(팀공격력!P:P,팀공격력!A:A,B393,팀공격력!B:B,D393))-K393)),"")</f>
        <v>3.4708162202811361</v>
      </c>
      <c r="BM393" s="67">
        <f>IFERROR(100*((AM393/E393*(2400))/((F393*60+G393)*SUMIFS(팀공격력!AR:AR,팀공격력!A:A,B393,팀공격력!B:B,D393))),"")</f>
        <v>0</v>
      </c>
      <c r="BN393" s="67">
        <f>IFERROR((AO393*40)/(((F393*60+G393)/60)*(SUMIFS(팀수비력!Q:Q,팀수비력!A:A,B393,팀수비력!B:B,D393)-SUMIFS(팀수비력!N:N,팀수비력!A:A,B393,팀수비력!B:B,D393)))*100,"")</f>
        <v>0</v>
      </c>
      <c r="BO393" s="67">
        <f t="shared" si="243"/>
        <v>7.042253521126761</v>
      </c>
      <c r="BT393" t="s">
        <v>89</v>
      </c>
      <c r="BV393" t="s">
        <v>90</v>
      </c>
      <c r="CF393">
        <v>2</v>
      </c>
      <c r="CG393">
        <v>3</v>
      </c>
    </row>
    <row r="394" spans="1:85" x14ac:dyDescent="0.4">
      <c r="A394" s="11" t="s">
        <v>85</v>
      </c>
      <c r="B394" t="s">
        <v>123</v>
      </c>
      <c r="C394" t="s">
        <v>143</v>
      </c>
      <c r="D394" s="46" t="s">
        <v>307</v>
      </c>
      <c r="E394">
        <v>9</v>
      </c>
      <c r="F394">
        <v>17</v>
      </c>
      <c r="G394" s="1">
        <v>36</v>
      </c>
      <c r="H394" s="16">
        <f t="shared" si="218"/>
        <v>9504</v>
      </c>
      <c r="I394">
        <v>37</v>
      </c>
      <c r="J394" s="17">
        <f t="shared" si="219"/>
        <v>4.1111111111111107</v>
      </c>
      <c r="K394">
        <v>13</v>
      </c>
      <c r="L394">
        <v>27</v>
      </c>
      <c r="M394" s="17">
        <f t="shared" si="220"/>
        <v>1.4444444444444444</v>
      </c>
      <c r="N394" s="17">
        <f t="shared" si="221"/>
        <v>3</v>
      </c>
      <c r="O394" s="18">
        <f t="shared" si="222"/>
        <v>0.48148148148148145</v>
      </c>
      <c r="P394">
        <v>4</v>
      </c>
      <c r="Q394">
        <v>8</v>
      </c>
      <c r="R394" s="17">
        <f t="shared" si="223"/>
        <v>0.44444444444444442</v>
      </c>
      <c r="S394" s="17">
        <f t="shared" si="224"/>
        <v>0.88888888888888884</v>
      </c>
      <c r="T394" s="18">
        <f t="shared" si="225"/>
        <v>0.5</v>
      </c>
      <c r="U394">
        <v>9</v>
      </c>
      <c r="V394">
        <v>19</v>
      </c>
      <c r="W394" s="17">
        <f t="shared" si="226"/>
        <v>1</v>
      </c>
      <c r="X394" s="17">
        <f t="shared" si="227"/>
        <v>2.1111111111111112</v>
      </c>
      <c r="Y394" s="18">
        <f t="shared" si="228"/>
        <v>0.47368421052631576</v>
      </c>
      <c r="Z394">
        <v>2</v>
      </c>
      <c r="AA394">
        <v>2</v>
      </c>
      <c r="AB394" s="17">
        <f t="shared" si="229"/>
        <v>0.22222222222222221</v>
      </c>
      <c r="AC394" s="17">
        <f t="shared" si="230"/>
        <v>0.22222222222222221</v>
      </c>
      <c r="AD394" s="18">
        <f t="shared" si="231"/>
        <v>1</v>
      </c>
      <c r="AE394">
        <v>19</v>
      </c>
      <c r="AF394" s="17">
        <f t="shared" si="232"/>
        <v>2.1111111111111112</v>
      </c>
      <c r="AG394">
        <v>9</v>
      </c>
      <c r="AH394" s="17">
        <f t="shared" si="233"/>
        <v>1</v>
      </c>
      <c r="AI394">
        <v>10</v>
      </c>
      <c r="AJ394" s="17">
        <f t="shared" si="234"/>
        <v>1.1111111111111112</v>
      </c>
      <c r="AK394">
        <v>8</v>
      </c>
      <c r="AL394" s="17">
        <f t="shared" si="235"/>
        <v>0.88888888888888884</v>
      </c>
      <c r="AM394">
        <v>3</v>
      </c>
      <c r="AN394" s="17">
        <f t="shared" si="236"/>
        <v>0.33333333333333331</v>
      </c>
      <c r="AO394">
        <v>2</v>
      </c>
      <c r="AQ394">
        <v>8</v>
      </c>
      <c r="AR394" s="17">
        <f t="shared" si="237"/>
        <v>0.88888888888888884</v>
      </c>
      <c r="AS394">
        <v>18</v>
      </c>
      <c r="AT394" s="17">
        <f t="shared" si="238"/>
        <v>2</v>
      </c>
      <c r="BD394" s="65">
        <f t="shared" si="239"/>
        <v>66.355810616929702</v>
      </c>
      <c r="BE394" s="65">
        <f t="shared" si="240"/>
        <v>64.81481481481481</v>
      </c>
      <c r="BF394" s="66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11.068116421284344</v>
      </c>
      <c r="BG394" s="38">
        <f t="shared" si="241"/>
        <v>0.70370370370370372</v>
      </c>
      <c r="BH394" s="38">
        <f t="shared" si="242"/>
        <v>7.407407407407407E-2</v>
      </c>
      <c r="BI394" s="67">
        <f>IFERROR(((AG394*(12000/5))/((F394*60+G394)*(SUMIFS(팀공격력!X:X,팀공격력!A:A,B394,팀공격력!B:B,D394)+SUMIFS(팀수비력!X:X,팀수비력!A:A,B394,팀수비력!B:B,D394))))*100,"")</f>
        <v>3.4034185448494929</v>
      </c>
      <c r="BJ394" s="67">
        <f>IFERROR(((AI394*(12000/5))/((F394*60+G394)*(SUMIFS(팀공격력!V:V,팀공격력!A:A,B394,팀공격력!B:B,D394)+SUMIFS(팀수비력!W:W,팀수비력!A:A,B394,팀수비력!B:B,D394))))*100,"")</f>
        <v>7.7303648732220163</v>
      </c>
      <c r="BK394" s="67">
        <f>IFERROR(((AE394*(12000/5))/((F394*60+G394)*(SUMIFS(팀공격력!X:X,팀공격력!A:A,B394,팀공격력!B:B,D394)+SUMIFS(팀수비력!X:X,팀수비력!A:A,B394,팀수비력!B:B,D394))))*100,"")</f>
        <v>7.1849947057933754</v>
      </c>
      <c r="BL394" s="67">
        <f>IFERROR(100*AK394/(((((F394*60+G394)/(12000/5))*SUMIFS(팀공격력!P:P,팀공격력!A:A,B394,팀공격력!B:B,D394))-K394)),"")</f>
        <v>7.3179656055616533</v>
      </c>
      <c r="BM394" s="67">
        <f>IFERROR(100*((AM394/E394*(2400))/((F394*60+G394)*SUMIFS(팀공격력!AR:AR,팀공격력!A:A,B394,팀공격력!B:B,D394))),"")</f>
        <v>1.0512300193467974</v>
      </c>
      <c r="BN394" s="67">
        <f>IFERROR((AO394*40)/(((F394*60+G394)/60)*(SUMIFS(팀수비력!Q:Q,팀수비력!A:A,B394,팀수비력!B:B,D394)-SUMIFS(팀수비력!N:N,팀수비력!A:A,B394,팀수비력!B:B,D394)))*100,"")</f>
        <v>1.1930326890956811</v>
      </c>
      <c r="BO394" s="67">
        <f t="shared" si="243"/>
        <v>22.296544035674472</v>
      </c>
      <c r="BT394" t="s">
        <v>89</v>
      </c>
      <c r="BV394" t="s">
        <v>93</v>
      </c>
      <c r="CF394">
        <v>2</v>
      </c>
      <c r="CG394">
        <v>7</v>
      </c>
    </row>
    <row r="395" spans="1:85" x14ac:dyDescent="0.4">
      <c r="A395" s="11" t="s">
        <v>85</v>
      </c>
      <c r="B395" t="s">
        <v>145</v>
      </c>
      <c r="C395" t="s">
        <v>147</v>
      </c>
      <c r="D395" s="46" t="s">
        <v>307</v>
      </c>
      <c r="E395">
        <v>4</v>
      </c>
      <c r="F395">
        <v>2</v>
      </c>
      <c r="G395" s="1">
        <v>38</v>
      </c>
      <c r="H395" s="16">
        <f t="shared" si="218"/>
        <v>632</v>
      </c>
      <c r="I395">
        <v>2</v>
      </c>
      <c r="J395" s="17">
        <f t="shared" si="219"/>
        <v>0.5</v>
      </c>
      <c r="K395">
        <v>0</v>
      </c>
      <c r="L395">
        <v>0</v>
      </c>
      <c r="M395" s="17">
        <f t="shared" si="220"/>
        <v>0</v>
      </c>
      <c r="N395" s="17">
        <f t="shared" si="221"/>
        <v>0</v>
      </c>
      <c r="O395" s="18" t="e">
        <f t="shared" si="222"/>
        <v>#DIV/0!</v>
      </c>
      <c r="P395">
        <v>0</v>
      </c>
      <c r="Q395">
        <v>0</v>
      </c>
      <c r="R395" s="17">
        <f t="shared" si="223"/>
        <v>0</v>
      </c>
      <c r="S395" s="17">
        <f t="shared" si="224"/>
        <v>0</v>
      </c>
      <c r="T395" s="18" t="e">
        <f t="shared" si="225"/>
        <v>#DIV/0!</v>
      </c>
      <c r="U395">
        <v>0</v>
      </c>
      <c r="V395">
        <v>0</v>
      </c>
      <c r="W395" s="17">
        <f t="shared" si="226"/>
        <v>0</v>
      </c>
      <c r="X395" s="17">
        <f t="shared" si="227"/>
        <v>0</v>
      </c>
      <c r="Y395" s="18" t="e">
        <f t="shared" si="228"/>
        <v>#DIV/0!</v>
      </c>
      <c r="Z395">
        <v>2</v>
      </c>
      <c r="AA395">
        <v>2</v>
      </c>
      <c r="AB395" s="17">
        <f t="shared" si="229"/>
        <v>0.5</v>
      </c>
      <c r="AC395" s="17">
        <f t="shared" si="230"/>
        <v>0.5</v>
      </c>
      <c r="AD395" s="18">
        <f t="shared" si="231"/>
        <v>1</v>
      </c>
      <c r="AE395">
        <v>0</v>
      </c>
      <c r="AF395" s="17">
        <f t="shared" si="232"/>
        <v>0</v>
      </c>
      <c r="AG395">
        <v>0</v>
      </c>
      <c r="AH395" s="17">
        <f t="shared" si="233"/>
        <v>0</v>
      </c>
      <c r="AI395">
        <v>0</v>
      </c>
      <c r="AJ395" s="17">
        <f t="shared" si="234"/>
        <v>0</v>
      </c>
      <c r="AK395">
        <v>0</v>
      </c>
      <c r="AL395" s="17">
        <f t="shared" si="235"/>
        <v>0</v>
      </c>
      <c r="AM395">
        <v>1</v>
      </c>
      <c r="AN395" s="17">
        <f t="shared" si="236"/>
        <v>0.25</v>
      </c>
      <c r="AO395">
        <v>0</v>
      </c>
      <c r="AQ395">
        <v>0</v>
      </c>
      <c r="AR395" s="17">
        <f t="shared" si="237"/>
        <v>0</v>
      </c>
      <c r="AS395">
        <v>1</v>
      </c>
      <c r="AT395" s="17">
        <f t="shared" si="238"/>
        <v>0.25</v>
      </c>
      <c r="BD395" s="65">
        <f t="shared" si="239"/>
        <v>113.63636363636364</v>
      </c>
      <c r="BE395" s="65" t="str">
        <f t="shared" si="240"/>
        <v/>
      </c>
      <c r="BF395" s="66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1.9533388776588343</v>
      </c>
      <c r="BG395" s="38" t="str">
        <f t="shared" si="241"/>
        <v/>
      </c>
      <c r="BH395" s="38" t="str">
        <f t="shared" si="242"/>
        <v/>
      </c>
      <c r="BI395" s="67">
        <f>IFERROR(((AG395*(12000/5))/((F395*60+G395)*(SUMIFS(팀공격력!X:X,팀공격력!A:A,B395,팀공격력!B:B,D395)+SUMIFS(팀수비력!X:X,팀수비력!A:A,B395,팀수비력!B:B,D395))))*100,"")</f>
        <v>0</v>
      </c>
      <c r="BJ395" s="67">
        <f>IFERROR(((AI395*(12000/5))/((F395*60+G395)*(SUMIFS(팀공격력!V:V,팀공격력!A:A,B395,팀공격력!B:B,D395)+SUMIFS(팀수비력!W:W,팀수비력!A:A,B395,팀수비력!B:B,D395))))*100,"")</f>
        <v>0</v>
      </c>
      <c r="BK395" s="67">
        <f>IFERROR(((AE395*(12000/5))/((F395*60+G395)*(SUMIFS(팀공격력!X:X,팀공격력!A:A,B395,팀공격력!B:B,D395)+SUMIFS(팀수비력!X:X,팀수비력!A:A,B395,팀수비력!B:B,D395))))*100,"")</f>
        <v>0</v>
      </c>
      <c r="BL395" s="67">
        <f>IFERROR(100*AK395/(((((F395*60+G395)/(12000/5))*SUMIFS(팀공격력!P:P,팀공격력!A:A,B395,팀공격력!B:B,D395))-K395)),"")</f>
        <v>0</v>
      </c>
      <c r="BM395" s="67">
        <f>IFERROR(100*((AM395/E395*(2400))/((F395*60+G395)*SUMIFS(팀공격력!AR:AR,팀공격력!A:A,B395,팀공격력!B:B,D395))),"")</f>
        <v>5.737453578197381</v>
      </c>
      <c r="BN395" s="67">
        <f>IFERROR((AO395*40)/(((F395*60+G395)/60)*(SUMIFS(팀수비력!Q:Q,팀수비력!A:A,B395,팀수비력!B:B,D395)-SUMIFS(팀수비력!N:N,팀수비력!A:A,B395,팀수비력!B:B,D395)))*100,"")</f>
        <v>0</v>
      </c>
      <c r="BO395" s="67">
        <f t="shared" si="243"/>
        <v>0</v>
      </c>
      <c r="BT395" t="s">
        <v>89</v>
      </c>
      <c r="BV395" t="s">
        <v>90</v>
      </c>
      <c r="CF395">
        <v>1</v>
      </c>
      <c r="CG395">
        <v>3</v>
      </c>
    </row>
    <row r="396" spans="1:85" x14ac:dyDescent="0.4">
      <c r="A396" s="11" t="s">
        <v>85</v>
      </c>
      <c r="B396" t="s">
        <v>145</v>
      </c>
      <c r="C396" t="s">
        <v>148</v>
      </c>
      <c r="D396" s="46" t="s">
        <v>307</v>
      </c>
      <c r="E396">
        <v>8</v>
      </c>
      <c r="F396">
        <v>18</v>
      </c>
      <c r="G396" s="1">
        <v>3</v>
      </c>
      <c r="H396" s="16">
        <f t="shared" si="218"/>
        <v>8664</v>
      </c>
      <c r="I396">
        <v>94</v>
      </c>
      <c r="J396" s="17">
        <f t="shared" si="219"/>
        <v>11.75</v>
      </c>
      <c r="K396">
        <v>37</v>
      </c>
      <c r="L396">
        <v>65</v>
      </c>
      <c r="M396" s="17">
        <f t="shared" si="220"/>
        <v>4.625</v>
      </c>
      <c r="N396" s="17">
        <f t="shared" si="221"/>
        <v>8.125</v>
      </c>
      <c r="O396" s="18">
        <f t="shared" si="222"/>
        <v>0.56923076923076921</v>
      </c>
      <c r="P396">
        <v>32</v>
      </c>
      <c r="Q396">
        <v>51</v>
      </c>
      <c r="R396" s="17">
        <f t="shared" si="223"/>
        <v>4</v>
      </c>
      <c r="S396" s="17">
        <f t="shared" si="224"/>
        <v>6.375</v>
      </c>
      <c r="T396" s="18">
        <f t="shared" si="225"/>
        <v>0.62745098039215685</v>
      </c>
      <c r="U396">
        <v>5</v>
      </c>
      <c r="V396">
        <v>14</v>
      </c>
      <c r="W396" s="17">
        <f t="shared" si="226"/>
        <v>0.625</v>
      </c>
      <c r="X396" s="17">
        <f t="shared" si="227"/>
        <v>1.75</v>
      </c>
      <c r="Y396" s="18">
        <f t="shared" si="228"/>
        <v>0.35714285714285715</v>
      </c>
      <c r="Z396">
        <v>15</v>
      </c>
      <c r="AA396">
        <v>19</v>
      </c>
      <c r="AB396" s="17">
        <f t="shared" si="229"/>
        <v>1.875</v>
      </c>
      <c r="AC396" s="17">
        <f t="shared" si="230"/>
        <v>2.375</v>
      </c>
      <c r="AD396" s="18">
        <f t="shared" si="231"/>
        <v>0.78947368421052633</v>
      </c>
      <c r="AE396">
        <v>60</v>
      </c>
      <c r="AF396" s="17">
        <f t="shared" si="232"/>
        <v>7.5</v>
      </c>
      <c r="AG396">
        <v>14</v>
      </c>
      <c r="AH396" s="17">
        <f t="shared" si="233"/>
        <v>1.75</v>
      </c>
      <c r="AI396">
        <v>46</v>
      </c>
      <c r="AJ396" s="17">
        <f t="shared" si="234"/>
        <v>5.75</v>
      </c>
      <c r="AK396">
        <v>6</v>
      </c>
      <c r="AL396" s="17">
        <f t="shared" si="235"/>
        <v>0.75</v>
      </c>
      <c r="AM396">
        <v>2</v>
      </c>
      <c r="AN396" s="17">
        <f t="shared" si="236"/>
        <v>0.25</v>
      </c>
      <c r="AO396">
        <v>6</v>
      </c>
      <c r="AQ396">
        <v>11</v>
      </c>
      <c r="AR396" s="17">
        <f t="shared" si="237"/>
        <v>1.375</v>
      </c>
      <c r="AS396">
        <v>10</v>
      </c>
      <c r="AT396" s="17">
        <f t="shared" si="238"/>
        <v>1.25</v>
      </c>
      <c r="BD396" s="65">
        <f t="shared" si="239"/>
        <v>64.067611777535433</v>
      </c>
      <c r="BE396" s="65">
        <f t="shared" si="240"/>
        <v>60.769230769230766</v>
      </c>
      <c r="BF396" s="66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27.3187059301281</v>
      </c>
      <c r="BG396" s="38">
        <f t="shared" si="241"/>
        <v>0.2153846153846154</v>
      </c>
      <c r="BH396" s="38">
        <f t="shared" si="242"/>
        <v>0.29230769230769232</v>
      </c>
      <c r="BI396" s="67">
        <f>IFERROR(((AG396*(12000/5))/((F396*60+G396)*(SUMIFS(팀공격력!X:X,팀공격력!A:A,B396,팀공격력!B:B,D396)+SUMIFS(팀수비력!X:X,팀수비력!A:A,B396,팀수비력!B:B,D396))))*100,"")</f>
        <v>5.2406977614733847</v>
      </c>
      <c r="BJ396" s="67">
        <f>IFERROR(((AI396*(12000/5))/((F396*60+G396)*(SUMIFS(팀공격력!V:V,팀공격력!A:A,B396,팀공격력!B:B,D396)+SUMIFS(팀수비력!W:W,팀수비력!A:A,B396,팀수비력!B:B,D396))))*100,"")</f>
        <v>35.273030509254376</v>
      </c>
      <c r="BK396" s="67">
        <f>IFERROR(((AE396*(12000/5))/((F396*60+G396)*(SUMIFS(팀공격력!X:X,팀공격력!A:A,B396,팀공격력!B:B,D396)+SUMIFS(팀수비력!X:X,팀수비력!A:A,B396,팀수비력!B:B,D396))))*100,"")</f>
        <v>22.460133263457362</v>
      </c>
      <c r="BL396" s="67">
        <f>IFERROR(100*AK396/(((((F396*60+G396)/(12000/5))*SUMIFS(팀공격력!P:P,팀공격력!A:A,B396,팀공격력!B:B,D396))-K396)),"")</f>
        <v>8.9837170129140933</v>
      </c>
      <c r="BM396" s="67">
        <f>IFERROR(100*((AM396/E396*(2400))/((F396*60+G396)*SUMIFS(팀공격력!AR:AR,팀공격력!A:A,B396,팀공격력!B:B,D396))),"")</f>
        <v>0.8370430889706244</v>
      </c>
      <c r="BN396" s="67">
        <f>IFERROR((AO396*40)/(((F396*60+G396)/60)*(SUMIFS(팀수비력!Q:Q,팀수비력!A:A,B396,팀수비력!B:B,D396)-SUMIFS(팀수비력!N:N,팀수비력!A:A,B396,팀수비력!B:B,D396)))*100,"")</f>
        <v>3.7349435089794261</v>
      </c>
      <c r="BO396" s="67">
        <f t="shared" si="243"/>
        <v>13.039355144618302</v>
      </c>
      <c r="BT396" t="s">
        <v>96</v>
      </c>
      <c r="BV396" t="s">
        <v>102</v>
      </c>
      <c r="CF396">
        <v>4</v>
      </c>
      <c r="CG396">
        <v>4</v>
      </c>
    </row>
    <row r="397" spans="1:85" x14ac:dyDescent="0.4">
      <c r="A397" s="11" t="s">
        <v>85</v>
      </c>
      <c r="B397" t="s">
        <v>145</v>
      </c>
      <c r="C397" t="s">
        <v>150</v>
      </c>
      <c r="D397" s="46" t="s">
        <v>307</v>
      </c>
      <c r="E397">
        <v>6</v>
      </c>
      <c r="F397">
        <v>25</v>
      </c>
      <c r="G397" s="1">
        <v>32</v>
      </c>
      <c r="H397" s="16">
        <f t="shared" si="218"/>
        <v>9192</v>
      </c>
      <c r="I397">
        <v>51</v>
      </c>
      <c r="J397" s="17">
        <f t="shared" si="219"/>
        <v>8.5</v>
      </c>
      <c r="K397">
        <v>21</v>
      </c>
      <c r="L397">
        <v>42</v>
      </c>
      <c r="M397" s="17">
        <f t="shared" si="220"/>
        <v>3.5</v>
      </c>
      <c r="N397" s="17">
        <f t="shared" si="221"/>
        <v>7</v>
      </c>
      <c r="O397" s="18">
        <f t="shared" si="222"/>
        <v>0.5</v>
      </c>
      <c r="P397">
        <v>17</v>
      </c>
      <c r="Q397">
        <v>34</v>
      </c>
      <c r="R397" s="17">
        <f t="shared" si="223"/>
        <v>2.8333333333333335</v>
      </c>
      <c r="S397" s="17">
        <f t="shared" si="224"/>
        <v>5.666666666666667</v>
      </c>
      <c r="T397" s="18">
        <f t="shared" si="225"/>
        <v>0.5</v>
      </c>
      <c r="U397">
        <v>4</v>
      </c>
      <c r="V397">
        <v>8</v>
      </c>
      <c r="W397" s="17">
        <f t="shared" si="226"/>
        <v>0.66666666666666663</v>
      </c>
      <c r="X397" s="17">
        <f t="shared" si="227"/>
        <v>1.3333333333333333</v>
      </c>
      <c r="Y397" s="18">
        <f t="shared" si="228"/>
        <v>0.5</v>
      </c>
      <c r="Z397">
        <v>5</v>
      </c>
      <c r="AA397">
        <v>7</v>
      </c>
      <c r="AB397" s="17">
        <f t="shared" si="229"/>
        <v>0.83333333333333337</v>
      </c>
      <c r="AC397" s="17">
        <f t="shared" si="230"/>
        <v>1.1666666666666667</v>
      </c>
      <c r="AD397" s="18">
        <f t="shared" si="231"/>
        <v>0.7142857142857143</v>
      </c>
      <c r="AE397">
        <v>22</v>
      </c>
      <c r="AF397" s="17">
        <f t="shared" si="232"/>
        <v>3.6666666666666665</v>
      </c>
      <c r="AG397">
        <v>6</v>
      </c>
      <c r="AH397" s="17">
        <f t="shared" si="233"/>
        <v>1</v>
      </c>
      <c r="AI397">
        <v>16</v>
      </c>
      <c r="AJ397" s="17">
        <f t="shared" si="234"/>
        <v>2.6666666666666665</v>
      </c>
      <c r="AK397">
        <v>12</v>
      </c>
      <c r="AL397" s="17">
        <f t="shared" si="235"/>
        <v>2</v>
      </c>
      <c r="AM397">
        <v>2</v>
      </c>
      <c r="AN397" s="17">
        <f t="shared" si="236"/>
        <v>0.33333333333333331</v>
      </c>
      <c r="AO397">
        <v>1</v>
      </c>
      <c r="AQ397">
        <v>5</v>
      </c>
      <c r="AR397" s="17">
        <f t="shared" si="237"/>
        <v>0.83333333333333337</v>
      </c>
      <c r="AS397">
        <v>12</v>
      </c>
      <c r="AT397" s="17">
        <f t="shared" si="238"/>
        <v>2</v>
      </c>
      <c r="BD397" s="65">
        <f t="shared" si="239"/>
        <v>56.566104702750664</v>
      </c>
      <c r="BE397" s="65">
        <f t="shared" si="240"/>
        <v>54.761904761904766</v>
      </c>
      <c r="BF397" s="66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11.464564544948967</v>
      </c>
      <c r="BG397" s="38">
        <f t="shared" si="241"/>
        <v>0.19047619047619047</v>
      </c>
      <c r="BH397" s="38">
        <f t="shared" si="242"/>
        <v>0.16666666666666666</v>
      </c>
      <c r="BI397" s="67">
        <f>IFERROR(((AG397*(12000/5))/((F397*60+G397)*(SUMIFS(팀공격력!X:X,팀공격력!A:A,B397,팀공격력!B:B,D397)+SUMIFS(팀수비력!X:X,팀수비력!A:A,B397,팀수비력!B:B,D397))))*100,"")</f>
        <v>1.5877496295250864</v>
      </c>
      <c r="BJ397" s="67">
        <f>IFERROR(((AI397*(12000/5))/((F397*60+G397)*(SUMIFS(팀공격력!V:V,팀공격력!A:A,B397,팀공격력!B:B,D397)+SUMIFS(팀수비력!W:W,팀수비력!A:A,B397,팀수비력!B:B,D397))))*100,"")</f>
        <v>8.6731052427114292</v>
      </c>
      <c r="BK397" s="67">
        <f>IFERROR(((AE397*(12000/5))/((F397*60+G397)*(SUMIFS(팀공격력!X:X,팀공격력!A:A,B397,팀공격력!B:B,D397)+SUMIFS(팀수비력!X:X,팀수비력!A:A,B397,팀수비력!B:B,D397))))*100,"")</f>
        <v>5.8217486415919844</v>
      </c>
      <c r="BL397" s="67">
        <f>IFERROR(100*AK397/(((((F397*60+G397)/(12000/5))*SUMIFS(팀공격력!P:P,팀공격력!A:A,B397,팀공격력!B:B,D397))-K397)),"")</f>
        <v>9.5376871108756127</v>
      </c>
      <c r="BM397" s="67">
        <f>IFERROR(100*((AM397/E397*(2400))/((F397*60+G397)*SUMIFS(팀공격력!AR:AR,팀공격력!A:A,B397,팀공격력!B:B,D397))),"")</f>
        <v>0.78896228490442666</v>
      </c>
      <c r="BN397" s="67">
        <f>IFERROR((AO397*40)/(((F397*60+G397)/60)*(SUMIFS(팀수비력!Q:Q,팀수비력!A:A,B397,팀수비력!B:B,D397)-SUMIFS(팀수비력!N:N,팀수비력!A:A,B397,팀수비력!B:B,D397)))*100,"")</f>
        <v>0.44005045911931234</v>
      </c>
      <c r="BO397" s="67">
        <f t="shared" si="243"/>
        <v>9.9840255591054312</v>
      </c>
      <c r="BT397" t="s">
        <v>89</v>
      </c>
      <c r="BV397" t="s">
        <v>93</v>
      </c>
      <c r="CF397">
        <v>3</v>
      </c>
      <c r="CG397">
        <v>3</v>
      </c>
    </row>
    <row r="398" spans="1:85" x14ac:dyDescent="0.4">
      <c r="A398" s="11" t="s">
        <v>85</v>
      </c>
      <c r="B398" t="s">
        <v>145</v>
      </c>
      <c r="C398" t="s">
        <v>151</v>
      </c>
      <c r="D398" s="46" t="s">
        <v>307</v>
      </c>
      <c r="E398">
        <v>6</v>
      </c>
      <c r="F398">
        <v>9</v>
      </c>
      <c r="G398" s="1">
        <v>41</v>
      </c>
      <c r="H398" s="16">
        <f t="shared" si="218"/>
        <v>3486</v>
      </c>
      <c r="I398">
        <v>11</v>
      </c>
      <c r="J398" s="17">
        <f t="shared" si="219"/>
        <v>1.8333333333333333</v>
      </c>
      <c r="K398">
        <v>3</v>
      </c>
      <c r="L398">
        <v>9</v>
      </c>
      <c r="M398" s="17">
        <f t="shared" si="220"/>
        <v>0.5</v>
      </c>
      <c r="N398" s="17">
        <f t="shared" si="221"/>
        <v>1.5</v>
      </c>
      <c r="O398" s="18">
        <f t="shared" si="222"/>
        <v>0.33333333333333331</v>
      </c>
      <c r="P398">
        <v>2</v>
      </c>
      <c r="Q398">
        <v>4</v>
      </c>
      <c r="R398" s="17">
        <f t="shared" si="223"/>
        <v>0.33333333333333331</v>
      </c>
      <c r="S398" s="17">
        <f t="shared" si="224"/>
        <v>0.66666666666666663</v>
      </c>
      <c r="T398" s="18">
        <f t="shared" si="225"/>
        <v>0.5</v>
      </c>
      <c r="U398">
        <v>1</v>
      </c>
      <c r="V398">
        <v>5</v>
      </c>
      <c r="W398" s="17">
        <f t="shared" si="226"/>
        <v>0.16666666666666666</v>
      </c>
      <c r="X398" s="17">
        <f t="shared" si="227"/>
        <v>0.83333333333333337</v>
      </c>
      <c r="Y398" s="18">
        <f t="shared" si="228"/>
        <v>0.2</v>
      </c>
      <c r="Z398">
        <v>4</v>
      </c>
      <c r="AA398">
        <v>5</v>
      </c>
      <c r="AB398" s="17">
        <f t="shared" si="229"/>
        <v>0.66666666666666663</v>
      </c>
      <c r="AC398" s="17">
        <f t="shared" si="230"/>
        <v>0.83333333333333337</v>
      </c>
      <c r="AD398" s="18">
        <f t="shared" si="231"/>
        <v>0.8</v>
      </c>
      <c r="AE398">
        <v>10</v>
      </c>
      <c r="AF398" s="17">
        <f t="shared" si="232"/>
        <v>1.6666666666666667</v>
      </c>
      <c r="AG398">
        <v>3</v>
      </c>
      <c r="AH398" s="17">
        <f t="shared" si="233"/>
        <v>0.5</v>
      </c>
      <c r="AI398">
        <v>7</v>
      </c>
      <c r="AJ398" s="17">
        <f t="shared" si="234"/>
        <v>1.1666666666666667</v>
      </c>
      <c r="AK398">
        <v>5</v>
      </c>
      <c r="AL398" s="17">
        <f t="shared" si="235"/>
        <v>0.83333333333333337</v>
      </c>
      <c r="AM398">
        <v>1</v>
      </c>
      <c r="AN398" s="17">
        <f t="shared" si="236"/>
        <v>0.16666666666666666</v>
      </c>
      <c r="AO398">
        <v>0</v>
      </c>
      <c r="AQ398">
        <v>1</v>
      </c>
      <c r="AR398" s="17">
        <f t="shared" si="237"/>
        <v>0.16666666666666666</v>
      </c>
      <c r="AS398">
        <v>10</v>
      </c>
      <c r="AT398" s="17">
        <f t="shared" si="238"/>
        <v>1.6666666666666667</v>
      </c>
      <c r="BD398" s="65">
        <f t="shared" si="239"/>
        <v>49.107142857142861</v>
      </c>
      <c r="BE398" s="65">
        <f t="shared" si="240"/>
        <v>38.888888888888893</v>
      </c>
      <c r="BF398" s="66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7.3643718130479758</v>
      </c>
      <c r="BG398" s="38">
        <f t="shared" si="241"/>
        <v>0.55555555555555558</v>
      </c>
      <c r="BH398" s="38">
        <f t="shared" si="242"/>
        <v>0.55555555555555558</v>
      </c>
      <c r="BI398" s="67">
        <f>IFERROR(((AG398*(12000/5))/((F398*60+G398)*(SUMIFS(팀공격력!X:X,팀공격력!A:A,B398,팀공격력!B:B,D398)+SUMIFS(팀수비력!X:X,팀수비력!A:A,B398,팀수비력!B:B,D398))))*100,"")</f>
        <v>2.0933153463273948</v>
      </c>
      <c r="BJ398" s="67">
        <f>IFERROR(((AI398*(12000/5))/((F398*60+G398)*(SUMIFS(팀공격력!V:V,팀공격력!A:A,B398,팀공격력!B:B,D398)+SUMIFS(팀수비력!W:W,팀수비력!A:A,B398,팀수비력!B:B,D398))))*100,"")</f>
        <v>10.005419602284571</v>
      </c>
      <c r="BK398" s="67">
        <f>IFERROR(((AE398*(12000/5))/((F398*60+G398)*(SUMIFS(팀공격력!X:X,팀공격력!A:A,B398,팀공격력!B:B,D398)+SUMIFS(팀수비력!X:X,팀수비력!A:A,B398,팀수비력!B:B,D398))))*100,"")</f>
        <v>6.977717821091316</v>
      </c>
      <c r="BL398" s="67">
        <f>IFERROR(100*AK398/(((((F398*60+G398)/(12000/5))*SUMIFS(팀공격력!P:P,팀공격력!A:A,B398,팀공격력!B:B,D398))-K398)),"")</f>
        <v>9.4914181760658067</v>
      </c>
      <c r="BM398" s="67">
        <f>IFERROR(100*((AM398/E398*(2400))/((F398*60+G398)*SUMIFS(팀공격력!AR:AR,팀공격력!A:A,B398,팀공격력!B:B,D398))),"")</f>
        <v>1.0401809126278672</v>
      </c>
      <c r="BN398" s="67">
        <f>IFERROR((AO398*40)/(((F398*60+G398)/60)*(SUMIFS(팀수비력!Q:Q,팀수비력!A:A,B398,팀수비력!B:B,D398)-SUMIFS(팀수비력!N:N,팀수비력!A:A,B398,팀수비력!B:B,D398)))*100,"")</f>
        <v>0</v>
      </c>
      <c r="BO398" s="67">
        <f t="shared" si="243"/>
        <v>8.1967213114754109</v>
      </c>
      <c r="BT398" t="s">
        <v>89</v>
      </c>
      <c r="BV398" t="s">
        <v>90</v>
      </c>
      <c r="CF398">
        <v>2</v>
      </c>
      <c r="CG398">
        <v>4</v>
      </c>
    </row>
    <row r="399" spans="1:85" x14ac:dyDescent="0.4">
      <c r="A399" s="11" t="s">
        <v>85</v>
      </c>
      <c r="B399" t="s">
        <v>145</v>
      </c>
      <c r="C399" t="s">
        <v>152</v>
      </c>
      <c r="D399" s="46" t="s">
        <v>307</v>
      </c>
      <c r="E399">
        <v>8</v>
      </c>
      <c r="F399">
        <v>21</v>
      </c>
      <c r="G399" s="1">
        <v>36</v>
      </c>
      <c r="H399" s="16">
        <f t="shared" si="218"/>
        <v>10368</v>
      </c>
      <c r="I399">
        <v>109</v>
      </c>
      <c r="J399" s="17">
        <f t="shared" si="219"/>
        <v>13.625</v>
      </c>
      <c r="K399">
        <v>44</v>
      </c>
      <c r="L399">
        <v>80</v>
      </c>
      <c r="M399" s="17">
        <f t="shared" si="220"/>
        <v>5.5</v>
      </c>
      <c r="N399" s="17">
        <f t="shared" si="221"/>
        <v>10</v>
      </c>
      <c r="O399" s="18">
        <f t="shared" si="222"/>
        <v>0.55000000000000004</v>
      </c>
      <c r="P399">
        <v>43</v>
      </c>
      <c r="Q399">
        <v>70</v>
      </c>
      <c r="R399" s="17">
        <f t="shared" si="223"/>
        <v>5.375</v>
      </c>
      <c r="S399" s="17">
        <f t="shared" si="224"/>
        <v>8.75</v>
      </c>
      <c r="T399" s="18">
        <f t="shared" si="225"/>
        <v>0.61428571428571432</v>
      </c>
      <c r="U399">
        <v>1</v>
      </c>
      <c r="V399">
        <v>10</v>
      </c>
      <c r="W399" s="17">
        <f t="shared" si="226"/>
        <v>0.125</v>
      </c>
      <c r="X399" s="17">
        <f t="shared" si="227"/>
        <v>1.25</v>
      </c>
      <c r="Y399" s="18">
        <f t="shared" si="228"/>
        <v>0.1</v>
      </c>
      <c r="Z399">
        <v>20</v>
      </c>
      <c r="AA399">
        <v>30</v>
      </c>
      <c r="AB399" s="17">
        <f t="shared" si="229"/>
        <v>2.5</v>
      </c>
      <c r="AC399" s="17">
        <f t="shared" si="230"/>
        <v>3.75</v>
      </c>
      <c r="AD399" s="18">
        <f t="shared" si="231"/>
        <v>0.66666666666666663</v>
      </c>
      <c r="AE399">
        <v>73</v>
      </c>
      <c r="AF399" s="17">
        <f t="shared" si="232"/>
        <v>9.125</v>
      </c>
      <c r="AG399">
        <v>22</v>
      </c>
      <c r="AH399" s="17">
        <f t="shared" si="233"/>
        <v>2.75</v>
      </c>
      <c r="AI399">
        <v>51</v>
      </c>
      <c r="AJ399" s="17">
        <f t="shared" si="234"/>
        <v>6.375</v>
      </c>
      <c r="AK399">
        <v>21</v>
      </c>
      <c r="AL399" s="17">
        <f t="shared" si="235"/>
        <v>2.625</v>
      </c>
      <c r="AM399">
        <v>6</v>
      </c>
      <c r="AN399" s="17">
        <f t="shared" si="236"/>
        <v>0.75</v>
      </c>
      <c r="AO399">
        <v>1</v>
      </c>
      <c r="AQ399">
        <v>17</v>
      </c>
      <c r="AR399" s="17">
        <f t="shared" si="237"/>
        <v>2.125</v>
      </c>
      <c r="AS399">
        <v>20</v>
      </c>
      <c r="AT399" s="17">
        <f t="shared" si="238"/>
        <v>2.5</v>
      </c>
      <c r="BD399" s="65">
        <f t="shared" si="239"/>
        <v>58.476394849785407</v>
      </c>
      <c r="BE399" s="65">
        <f t="shared" si="240"/>
        <v>55.625</v>
      </c>
      <c r="BF399" s="66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29.821439395907479</v>
      </c>
      <c r="BG399" s="38">
        <f t="shared" si="241"/>
        <v>0.125</v>
      </c>
      <c r="BH399" s="38">
        <f t="shared" si="242"/>
        <v>0.375</v>
      </c>
      <c r="BI399" s="67">
        <f>IFERROR(((AG399*(12000/5))/((F399*60+G399)*(SUMIFS(팀공격력!X:X,팀공격력!A:A,B399,팀공격력!B:B,D399)+SUMIFS(팀수비력!X:X,팀수비력!A:A,B399,팀수비력!B:B,D399))))*100,"")</f>
        <v>6.8818818818818821</v>
      </c>
      <c r="BJ399" s="67">
        <f>IFERROR(((AI399*(12000/5))/((F399*60+G399)*(SUMIFS(팀공격력!V:V,팀공격력!A:A,B399,팀공격력!B:B,D399)+SUMIFS(팀수비력!W:W,팀수비력!A:A,B399,팀수비력!B:B,D399))))*100,"")</f>
        <v>32.679738562091501</v>
      </c>
      <c r="BK399" s="67">
        <f>IFERROR(((AE399*(12000/5))/((F399*60+G399)*(SUMIFS(팀공격력!X:X,팀공격력!A:A,B399,팀공격력!B:B,D399)+SUMIFS(팀수비력!X:X,팀수비력!A:A,B399,팀수비력!B:B,D399))))*100,"")</f>
        <v>22.835335335335337</v>
      </c>
      <c r="BL399" s="67">
        <f>IFERROR(100*AK399/(((((F399*60+G399)/(12000/5))*SUMIFS(팀공격력!P:P,팀공격력!A:A,B399,팀공격력!B:B,D399))-K399)),"")</f>
        <v>26.184538653366584</v>
      </c>
      <c r="BM399" s="67">
        <f>IFERROR(100*((AM399/E399*(2400))/((F399*60+G399)*SUMIFS(팀공격력!AR:AR,팀공격력!A:A,B399,팀공격력!B:B,D399))),"")</f>
        <v>2.0984205216555236</v>
      </c>
      <c r="BN399" s="67">
        <f>IFERROR((AO399*40)/(((F399*60+G399)/60)*(SUMIFS(팀수비력!Q:Q,팀수비력!A:A,B399,팀수비력!B:B,D399)-SUMIFS(팀수비력!N:N,팀수비력!A:A,B399,팀수비력!B:B,D399)))*100,"")</f>
        <v>0.52018310445276739</v>
      </c>
      <c r="BO399" s="67">
        <f t="shared" si="243"/>
        <v>15.426497277676951</v>
      </c>
      <c r="BT399" t="s">
        <v>96</v>
      </c>
      <c r="BV399" t="s">
        <v>102</v>
      </c>
      <c r="CF399">
        <v>4</v>
      </c>
      <c r="CG399">
        <v>4</v>
      </c>
    </row>
    <row r="400" spans="1:85" x14ac:dyDescent="0.4">
      <c r="A400" s="11" t="s">
        <v>85</v>
      </c>
      <c r="B400" t="s">
        <v>145</v>
      </c>
      <c r="C400" t="s">
        <v>154</v>
      </c>
      <c r="D400" s="46" t="s">
        <v>307</v>
      </c>
      <c r="E400">
        <v>8</v>
      </c>
      <c r="F400">
        <v>10</v>
      </c>
      <c r="G400" s="1">
        <v>46</v>
      </c>
      <c r="H400" s="16">
        <f t="shared" si="218"/>
        <v>5168</v>
      </c>
      <c r="I400">
        <v>16</v>
      </c>
      <c r="J400" s="17">
        <f t="shared" si="219"/>
        <v>2</v>
      </c>
      <c r="K400">
        <v>6</v>
      </c>
      <c r="L400">
        <v>18</v>
      </c>
      <c r="M400" s="17">
        <f t="shared" si="220"/>
        <v>0.75</v>
      </c>
      <c r="N400" s="17">
        <f t="shared" si="221"/>
        <v>2.25</v>
      </c>
      <c r="O400" s="18">
        <f t="shared" si="222"/>
        <v>0.33333333333333331</v>
      </c>
      <c r="P400">
        <v>2</v>
      </c>
      <c r="Q400">
        <v>7</v>
      </c>
      <c r="R400" s="17">
        <f t="shared" si="223"/>
        <v>0.25</v>
      </c>
      <c r="S400" s="17">
        <f t="shared" si="224"/>
        <v>0.875</v>
      </c>
      <c r="T400" s="18">
        <f t="shared" si="225"/>
        <v>0.2857142857142857</v>
      </c>
      <c r="U400">
        <v>4</v>
      </c>
      <c r="V400">
        <v>11</v>
      </c>
      <c r="W400" s="17">
        <f t="shared" si="226"/>
        <v>0.5</v>
      </c>
      <c r="X400" s="17">
        <f t="shared" si="227"/>
        <v>1.375</v>
      </c>
      <c r="Y400" s="18">
        <f t="shared" si="228"/>
        <v>0.36363636363636365</v>
      </c>
      <c r="Z400">
        <v>0</v>
      </c>
      <c r="AA400">
        <v>0</v>
      </c>
      <c r="AB400" s="17">
        <f t="shared" si="229"/>
        <v>0</v>
      </c>
      <c r="AC400" s="17">
        <f t="shared" si="230"/>
        <v>0</v>
      </c>
      <c r="AD400" s="18" t="e">
        <f t="shared" si="231"/>
        <v>#DIV/0!</v>
      </c>
      <c r="AE400">
        <v>7</v>
      </c>
      <c r="AF400" s="17">
        <f t="shared" si="232"/>
        <v>0.875</v>
      </c>
      <c r="AG400">
        <v>2</v>
      </c>
      <c r="AH400" s="17">
        <f t="shared" si="233"/>
        <v>0.25</v>
      </c>
      <c r="AI400">
        <v>5</v>
      </c>
      <c r="AJ400" s="17">
        <f t="shared" si="234"/>
        <v>0.625</v>
      </c>
      <c r="AK400">
        <v>1</v>
      </c>
      <c r="AL400" s="17">
        <f t="shared" si="235"/>
        <v>0.125</v>
      </c>
      <c r="AM400">
        <v>0</v>
      </c>
      <c r="AN400" s="17">
        <f t="shared" si="236"/>
        <v>0</v>
      </c>
      <c r="AO400">
        <v>1</v>
      </c>
      <c r="AQ400">
        <v>1</v>
      </c>
      <c r="AR400" s="17">
        <f t="shared" si="237"/>
        <v>0.125</v>
      </c>
      <c r="AS400">
        <v>5</v>
      </c>
      <c r="AT400" s="17">
        <f t="shared" si="238"/>
        <v>0.625</v>
      </c>
      <c r="BD400" s="65">
        <f t="shared" si="239"/>
        <v>44.444444444444443</v>
      </c>
      <c r="BE400" s="65">
        <f t="shared" si="240"/>
        <v>44.444444444444443</v>
      </c>
      <c r="BF400" s="66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10.315091666781278</v>
      </c>
      <c r="BG400" s="38">
        <f t="shared" si="241"/>
        <v>0.61111111111111116</v>
      </c>
      <c r="BH400" s="38">
        <f t="shared" si="242"/>
        <v>0</v>
      </c>
      <c r="BI400" s="67">
        <f>IFERROR(((AG400*(12000/5))/((F400*60+G400)*(SUMIFS(팀공격력!X:X,팀공격력!A:A,B400,팀공격력!B:B,D400)+SUMIFS(팀수비력!X:X,팀수비력!A:A,B400,팀수비력!B:B,D400))))*100,"")</f>
        <v>1.2551250941343821</v>
      </c>
      <c r="BJ400" s="67">
        <f>IFERROR(((AI400*(12000/5))/((F400*60+G400)*(SUMIFS(팀공격력!V:V,팀공격력!A:A,B400,팀공격력!B:B,D400)+SUMIFS(팀수비력!W:W,팀수비력!A:A,B400,팀수비력!B:B,D400))))*100,"")</f>
        <v>6.4276302398577343</v>
      </c>
      <c r="BK400" s="67">
        <f>IFERROR(((AE400*(12000/5))/((F400*60+G400)*(SUMIFS(팀공격력!X:X,팀공격력!A:A,B400,팀공격력!B:B,D400)+SUMIFS(팀수비력!X:X,팀수비력!A:A,B400,팀수비력!B:B,D400))))*100,"")</f>
        <v>4.3929378294703367</v>
      </c>
      <c r="BL400" s="67">
        <f>IFERROR(100*AK400/(((((F400*60+G400)/(12000/5))*SUMIFS(팀공격력!P:P,팀공격력!A:A,B400,팀공격력!B:B,D400))-K400)),"")</f>
        <v>1.7886421225219855</v>
      </c>
      <c r="BM400" s="67">
        <f>IFERROR(100*((AM400/E400*(2400))/((F400*60+G400)*SUMIFS(팀공격력!AR:AR,팀공격력!A:A,B400,팀공격력!B:B,D400))),"")</f>
        <v>0</v>
      </c>
      <c r="BN400" s="67">
        <f>IFERROR((AO400*40)/(((F400*60+G400)/60)*(SUMIFS(팀수비력!Q:Q,팀수비력!A:A,B400,팀수비력!B:B,D400)-SUMIFS(팀수비력!N:N,팀수비력!A:A,B400,팀수비력!B:B,D400)))*100,"")</f>
        <v>1.043587156920722</v>
      </c>
      <c r="BO400" s="67">
        <f t="shared" si="243"/>
        <v>5.2631578947368425</v>
      </c>
      <c r="BT400" t="s">
        <v>89</v>
      </c>
      <c r="BV400" t="s">
        <v>93</v>
      </c>
      <c r="CF400">
        <v>4</v>
      </c>
      <c r="CG400">
        <v>4</v>
      </c>
    </row>
    <row r="401" spans="1:85" x14ac:dyDescent="0.4">
      <c r="A401" s="11" t="s">
        <v>85</v>
      </c>
      <c r="B401" t="s">
        <v>145</v>
      </c>
      <c r="C401" t="s">
        <v>155</v>
      </c>
      <c r="D401" s="46" t="s">
        <v>307</v>
      </c>
      <c r="E401">
        <v>8</v>
      </c>
      <c r="F401">
        <v>18</v>
      </c>
      <c r="G401" s="1">
        <v>8</v>
      </c>
      <c r="H401" s="16">
        <f t="shared" si="218"/>
        <v>8704</v>
      </c>
      <c r="I401">
        <v>32</v>
      </c>
      <c r="J401" s="17">
        <f t="shared" si="219"/>
        <v>4</v>
      </c>
      <c r="K401">
        <v>12</v>
      </c>
      <c r="L401">
        <v>31</v>
      </c>
      <c r="M401" s="17">
        <f t="shared" si="220"/>
        <v>1.5</v>
      </c>
      <c r="N401" s="17">
        <f t="shared" si="221"/>
        <v>3.875</v>
      </c>
      <c r="O401" s="18">
        <f t="shared" si="222"/>
        <v>0.38709677419354838</v>
      </c>
      <c r="P401">
        <v>11</v>
      </c>
      <c r="Q401">
        <v>29</v>
      </c>
      <c r="R401" s="17">
        <f t="shared" si="223"/>
        <v>1.375</v>
      </c>
      <c r="S401" s="17">
        <f t="shared" si="224"/>
        <v>3.625</v>
      </c>
      <c r="T401" s="18">
        <f t="shared" si="225"/>
        <v>0.37931034482758619</v>
      </c>
      <c r="U401">
        <v>1</v>
      </c>
      <c r="V401">
        <v>2</v>
      </c>
      <c r="W401" s="17">
        <f t="shared" si="226"/>
        <v>0.125</v>
      </c>
      <c r="X401" s="17">
        <f t="shared" si="227"/>
        <v>0.25</v>
      </c>
      <c r="Y401" s="18">
        <f t="shared" si="228"/>
        <v>0.5</v>
      </c>
      <c r="Z401">
        <v>7</v>
      </c>
      <c r="AA401">
        <v>8</v>
      </c>
      <c r="AB401" s="17">
        <f t="shared" si="229"/>
        <v>0.875</v>
      </c>
      <c r="AC401" s="17">
        <f t="shared" si="230"/>
        <v>1</v>
      </c>
      <c r="AD401" s="18">
        <f t="shared" si="231"/>
        <v>0.875</v>
      </c>
      <c r="AE401">
        <v>20</v>
      </c>
      <c r="AF401" s="17">
        <f t="shared" si="232"/>
        <v>2.5</v>
      </c>
      <c r="AG401">
        <v>8</v>
      </c>
      <c r="AH401" s="17">
        <f t="shared" si="233"/>
        <v>1</v>
      </c>
      <c r="AI401">
        <v>12</v>
      </c>
      <c r="AJ401" s="17">
        <f t="shared" si="234"/>
        <v>1.5</v>
      </c>
      <c r="AK401">
        <v>8</v>
      </c>
      <c r="AL401" s="17">
        <f t="shared" si="235"/>
        <v>1</v>
      </c>
      <c r="AM401">
        <v>9</v>
      </c>
      <c r="AN401" s="17">
        <f t="shared" si="236"/>
        <v>1.125</v>
      </c>
      <c r="AO401">
        <v>1</v>
      </c>
      <c r="AQ401">
        <v>8</v>
      </c>
      <c r="AR401" s="17">
        <f t="shared" si="237"/>
        <v>1</v>
      </c>
      <c r="AS401">
        <v>16</v>
      </c>
      <c r="AT401" s="17">
        <f t="shared" si="238"/>
        <v>2</v>
      </c>
      <c r="BD401" s="65">
        <f t="shared" si="239"/>
        <v>46.349942062572417</v>
      </c>
      <c r="BE401" s="65">
        <f t="shared" si="240"/>
        <v>40.322580645161288</v>
      </c>
      <c r="BF401" s="66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13.706178052235627</v>
      </c>
      <c r="BG401" s="38">
        <f t="shared" si="241"/>
        <v>6.4516129032258063E-2</v>
      </c>
      <c r="BH401" s="38">
        <f t="shared" si="242"/>
        <v>0.25806451612903225</v>
      </c>
      <c r="BI401" s="67">
        <f>IFERROR(((AG401*(12000/5))/((F401*60+G401)*(SUMIFS(팀공격력!X:X,팀공격력!A:A,B401,팀공격력!B:B,D401)+SUMIFS(팀수비력!X:X,팀수비력!A:A,B401,팀수비력!B:B,D401))))*100,"")</f>
        <v>2.9809220985691574</v>
      </c>
      <c r="BJ401" s="67">
        <f>IFERROR(((AI401*(12000/5))/((F401*60+G401)*(SUMIFS(팀공격력!V:V,팀공격력!A:A,B401,팀공격력!B:B,D401)+SUMIFS(팀수비력!W:W,팀수비력!A:A,B401,팀수비력!B:B,D401))))*100,"")</f>
        <v>9.1593730917972724</v>
      </c>
      <c r="BK401" s="67">
        <f>IFERROR(((AE401*(12000/5))/((F401*60+G401)*(SUMIFS(팀공격력!X:X,팀공격력!A:A,B401,팀공격력!B:B,D401)+SUMIFS(팀수비력!X:X,팀수비력!A:A,B401,팀수비력!B:B,D401))))*100,"")</f>
        <v>7.4523052464228936</v>
      </c>
      <c r="BL401" s="67">
        <f>IFERROR(100*AK401/(((((F401*60+G401)/(12000/5))*SUMIFS(팀공격력!P:P,팀공격력!A:A,B401,팀공격력!B:B,D401))-K401)),"")</f>
        <v>8.6705202312138727</v>
      </c>
      <c r="BM401" s="67">
        <f>IFERROR(100*((AM401/E401*(2400))/((F401*60+G401)*SUMIFS(팀공격력!AR:AR,팀공격력!A:A,B401,팀공격력!B:B,D401))),"")</f>
        <v>3.7493837261933254</v>
      </c>
      <c r="BN401" s="67">
        <f>IFERROR((AO401*40)/(((F401*60+G401)/60)*(SUMIFS(팀수비력!Q:Q,팀수비력!A:A,B401,팀수비력!B:B,D401)-SUMIFS(팀수비력!N:N,팀수비력!A:A,B401,팀수비력!B:B,D401)))*100,"")</f>
        <v>0.61962987442167883</v>
      </c>
      <c r="BO401" s="67">
        <f t="shared" si="243"/>
        <v>18.81467544684854</v>
      </c>
      <c r="BT401" t="s">
        <v>89</v>
      </c>
      <c r="BV401" t="s">
        <v>93</v>
      </c>
      <c r="CF401">
        <v>4</v>
      </c>
      <c r="CG401">
        <v>4</v>
      </c>
    </row>
    <row r="402" spans="1:85" x14ac:dyDescent="0.4">
      <c r="A402" s="11" t="s">
        <v>85</v>
      </c>
      <c r="B402" t="s">
        <v>145</v>
      </c>
      <c r="C402" t="s">
        <v>157</v>
      </c>
      <c r="D402" s="46" t="s">
        <v>307</v>
      </c>
      <c r="E402">
        <v>3</v>
      </c>
      <c r="F402">
        <v>3</v>
      </c>
      <c r="G402" s="1">
        <v>37</v>
      </c>
      <c r="H402" s="16">
        <f t="shared" si="218"/>
        <v>651</v>
      </c>
      <c r="I402">
        <v>3</v>
      </c>
      <c r="J402" s="17">
        <f t="shared" si="219"/>
        <v>1</v>
      </c>
      <c r="K402">
        <v>1</v>
      </c>
      <c r="L402">
        <v>3</v>
      </c>
      <c r="M402" s="17">
        <f t="shared" si="220"/>
        <v>0.33333333333333331</v>
      </c>
      <c r="N402" s="17">
        <f t="shared" si="221"/>
        <v>1</v>
      </c>
      <c r="O402" s="18">
        <f t="shared" si="222"/>
        <v>0.33333333333333331</v>
      </c>
      <c r="P402">
        <v>0</v>
      </c>
      <c r="Q402">
        <v>1</v>
      </c>
      <c r="R402" s="17">
        <f t="shared" si="223"/>
        <v>0</v>
      </c>
      <c r="S402" s="17">
        <f t="shared" si="224"/>
        <v>0.33333333333333331</v>
      </c>
      <c r="T402" s="18">
        <f t="shared" si="225"/>
        <v>0</v>
      </c>
      <c r="U402">
        <v>1</v>
      </c>
      <c r="V402">
        <v>2</v>
      </c>
      <c r="W402" s="17">
        <f t="shared" si="226"/>
        <v>0.33333333333333331</v>
      </c>
      <c r="X402" s="17">
        <f t="shared" si="227"/>
        <v>0.66666666666666663</v>
      </c>
      <c r="Y402" s="18">
        <f t="shared" si="228"/>
        <v>0.5</v>
      </c>
      <c r="Z402">
        <v>0</v>
      </c>
      <c r="AA402">
        <v>0</v>
      </c>
      <c r="AB402" s="17">
        <f t="shared" si="229"/>
        <v>0</v>
      </c>
      <c r="AC402" s="17">
        <f t="shared" si="230"/>
        <v>0</v>
      </c>
      <c r="AD402" s="18" t="e">
        <f t="shared" si="231"/>
        <v>#DIV/0!</v>
      </c>
      <c r="AE402">
        <v>0</v>
      </c>
      <c r="AF402" s="17">
        <f t="shared" si="232"/>
        <v>0</v>
      </c>
      <c r="AG402">
        <v>0</v>
      </c>
      <c r="AH402" s="17">
        <f t="shared" si="233"/>
        <v>0</v>
      </c>
      <c r="AI402">
        <v>0</v>
      </c>
      <c r="AJ402" s="17">
        <f t="shared" si="234"/>
        <v>0</v>
      </c>
      <c r="AK402">
        <v>1</v>
      </c>
      <c r="AL402" s="17">
        <f t="shared" si="235"/>
        <v>0.33333333333333331</v>
      </c>
      <c r="AM402">
        <v>1</v>
      </c>
      <c r="AN402" s="17">
        <f t="shared" si="236"/>
        <v>0.33333333333333331</v>
      </c>
      <c r="AO402">
        <v>0</v>
      </c>
      <c r="AQ402">
        <v>0</v>
      </c>
      <c r="AR402" s="17">
        <f t="shared" si="237"/>
        <v>0</v>
      </c>
      <c r="AS402">
        <v>1</v>
      </c>
      <c r="AT402" s="17">
        <f t="shared" si="238"/>
        <v>0.33333333333333331</v>
      </c>
      <c r="BD402" s="65">
        <f t="shared" si="239"/>
        <v>50</v>
      </c>
      <c r="BE402" s="65">
        <f t="shared" si="240"/>
        <v>50</v>
      </c>
      <c r="BF402" s="66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4.8485684332335968</v>
      </c>
      <c r="BG402" s="38">
        <f t="shared" si="241"/>
        <v>0.66666666666666663</v>
      </c>
      <c r="BH402" s="38">
        <f t="shared" si="242"/>
        <v>0</v>
      </c>
      <c r="BI402" s="67">
        <f>IFERROR(((AG402*(12000/5))/((F402*60+G402)*(SUMIFS(팀공격력!X:X,팀공격력!A:A,B402,팀공격력!B:B,D402)+SUMIFS(팀수비력!X:X,팀수비력!A:A,B402,팀수비력!B:B,D402))))*100,"")</f>
        <v>0</v>
      </c>
      <c r="BJ402" s="67">
        <f>IFERROR(((AI402*(12000/5))/((F402*60+G402)*(SUMIFS(팀공격력!V:V,팀공격력!A:A,B402,팀공격력!B:B,D402)+SUMIFS(팀수비력!W:W,팀수비력!A:A,B402,팀수비력!B:B,D402))))*100,"")</f>
        <v>0</v>
      </c>
      <c r="BK402" s="67">
        <f>IFERROR(((AE402*(12000/5))/((F402*60+G402)*(SUMIFS(팀공격력!X:X,팀공격력!A:A,B402,팀공격력!B:B,D402)+SUMIFS(팀수비력!X:X,팀수비력!A:A,B402,팀수비력!B:B,D402))))*100,"")</f>
        <v>0</v>
      </c>
      <c r="BL402" s="67">
        <f>IFERROR(100*AK402/(((((F402*60+G402)/(12000/5))*SUMIFS(팀공격력!P:P,팀공격력!A:A,B402,팀공격력!B:B,D402))-K402)),"")</f>
        <v>5.0515680909282255</v>
      </c>
      <c r="BM402" s="67">
        <f>IFERROR(100*((AM402/E402*(2400))/((F402*60+G402)*SUMIFS(팀공격력!AR:AR,팀공격력!A:A,B402,팀공격력!B:B,D402))),"")</f>
        <v>5.5700010160072884</v>
      </c>
      <c r="BN402" s="67">
        <f>IFERROR((AO402*40)/(((F402*60+G402)/60)*(SUMIFS(팀수비력!Q:Q,팀수비력!A:A,B402,팀수비력!B:B,D402)-SUMIFS(팀수비력!N:N,팀수비력!A:A,B402,팀수비력!B:B,D402)))*100,"")</f>
        <v>0</v>
      </c>
      <c r="BO402" s="67">
        <f t="shared" si="243"/>
        <v>0</v>
      </c>
      <c r="BT402" t="s">
        <v>89</v>
      </c>
      <c r="BV402" t="s">
        <v>90</v>
      </c>
      <c r="CF402">
        <v>1</v>
      </c>
      <c r="CG402">
        <v>2</v>
      </c>
    </row>
    <row r="403" spans="1:85" x14ac:dyDescent="0.4">
      <c r="A403" s="11" t="s">
        <v>85</v>
      </c>
      <c r="B403" t="s">
        <v>145</v>
      </c>
      <c r="C403" t="s">
        <v>158</v>
      </c>
      <c r="D403" s="46" t="s">
        <v>307</v>
      </c>
      <c r="E403">
        <v>7</v>
      </c>
      <c r="F403">
        <v>27</v>
      </c>
      <c r="G403" s="1">
        <v>13</v>
      </c>
      <c r="H403" s="16">
        <f t="shared" si="218"/>
        <v>11431</v>
      </c>
      <c r="I403">
        <v>49</v>
      </c>
      <c r="J403" s="17">
        <f t="shared" si="219"/>
        <v>7</v>
      </c>
      <c r="K403">
        <v>16</v>
      </c>
      <c r="L403">
        <v>38</v>
      </c>
      <c r="M403" s="17">
        <f t="shared" si="220"/>
        <v>2.2857142857142856</v>
      </c>
      <c r="N403" s="17">
        <f t="shared" si="221"/>
        <v>5.4285714285714288</v>
      </c>
      <c r="O403" s="18">
        <f t="shared" si="222"/>
        <v>0.42105263157894735</v>
      </c>
      <c r="P403">
        <v>9</v>
      </c>
      <c r="Q403">
        <v>17</v>
      </c>
      <c r="R403" s="17">
        <f t="shared" si="223"/>
        <v>1.2857142857142858</v>
      </c>
      <c r="S403" s="17">
        <f t="shared" si="224"/>
        <v>2.4285714285714284</v>
      </c>
      <c r="T403" s="18">
        <f t="shared" si="225"/>
        <v>0.52941176470588236</v>
      </c>
      <c r="U403">
        <v>7</v>
      </c>
      <c r="V403">
        <v>21</v>
      </c>
      <c r="W403" s="17">
        <f t="shared" si="226"/>
        <v>1</v>
      </c>
      <c r="X403" s="17">
        <f t="shared" si="227"/>
        <v>3</v>
      </c>
      <c r="Y403" s="18">
        <f t="shared" si="228"/>
        <v>0.33333333333333331</v>
      </c>
      <c r="Z403">
        <v>10</v>
      </c>
      <c r="AA403">
        <v>10</v>
      </c>
      <c r="AB403" s="17">
        <f t="shared" si="229"/>
        <v>1.4285714285714286</v>
      </c>
      <c r="AC403" s="17">
        <f t="shared" si="230"/>
        <v>1.4285714285714286</v>
      </c>
      <c r="AD403" s="18">
        <f t="shared" si="231"/>
        <v>1</v>
      </c>
      <c r="AE403">
        <v>19</v>
      </c>
      <c r="AF403" s="17">
        <f t="shared" si="232"/>
        <v>2.7142857142857144</v>
      </c>
      <c r="AG403">
        <v>5</v>
      </c>
      <c r="AH403" s="17">
        <f t="shared" si="233"/>
        <v>0.7142857142857143</v>
      </c>
      <c r="AI403">
        <v>14</v>
      </c>
      <c r="AJ403" s="17">
        <f t="shared" si="234"/>
        <v>2</v>
      </c>
      <c r="AK403">
        <v>11</v>
      </c>
      <c r="AL403" s="17">
        <f t="shared" si="235"/>
        <v>1.5714285714285714</v>
      </c>
      <c r="AM403">
        <v>8</v>
      </c>
      <c r="AN403" s="17">
        <f t="shared" si="236"/>
        <v>1.1428571428571428</v>
      </c>
      <c r="AO403">
        <v>0</v>
      </c>
      <c r="AQ403">
        <v>10</v>
      </c>
      <c r="AR403" s="17">
        <f t="shared" si="237"/>
        <v>1.4285714285714286</v>
      </c>
      <c r="AS403">
        <v>19</v>
      </c>
      <c r="AT403" s="17">
        <f t="shared" si="238"/>
        <v>2.7142857142857144</v>
      </c>
      <c r="BD403" s="65">
        <f t="shared" si="239"/>
        <v>57.783018867924532</v>
      </c>
      <c r="BE403" s="65">
        <f t="shared" si="240"/>
        <v>51.315789473684212</v>
      </c>
      <c r="BF403" s="66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11.253746058504301</v>
      </c>
      <c r="BG403" s="38">
        <f t="shared" si="241"/>
        <v>0.55263157894736847</v>
      </c>
      <c r="BH403" s="38">
        <f t="shared" si="242"/>
        <v>0.26315789473684209</v>
      </c>
      <c r="BI403" s="67">
        <f>IFERROR(((AG403*(12000/5))/((F403*60+G403)*(SUMIFS(팀공격력!X:X,팀공격력!A:A,B403,팀공격력!B:B,D403)+SUMIFS(팀수비력!X:X,팀수비력!A:A,B403,팀수비력!B:B,D403))))*100,"")</f>
        <v>1.2412902798695817</v>
      </c>
      <c r="BJ403" s="67">
        <f>IFERROR(((AI403*(12000/5))/((F403*60+G403)*(SUMIFS(팀공격력!V:V,팀공격력!A:A,B403,팀공격력!B:B,D403)+SUMIFS(팀수비력!W:W,팀수비력!A:A,B403,팀수비력!B:B,D403))))*100,"")</f>
        <v>7.1195943526360512</v>
      </c>
      <c r="BK403" s="67">
        <f>IFERROR(((AE403*(12000/5))/((F403*60+G403)*(SUMIFS(팀공격력!X:X,팀공격력!A:A,B403,팀공격력!B:B,D403)+SUMIFS(팀수비력!X:X,팀수비력!A:A,B403,팀수비력!B:B,D403))))*100,"")</f>
        <v>4.7169030635044109</v>
      </c>
      <c r="BL403" s="67">
        <f>IFERROR(100*AK403/(((((F403*60+G403)/(12000/5))*SUMIFS(팀공격력!P:P,팀공격력!A:A,B403,팀공격력!B:B,D403))-K403)),"")</f>
        <v>7.8294136836798245</v>
      </c>
      <c r="BM403" s="67">
        <f>IFERROR(100*((AM403/E403*(2400))/((F403*60+G403)*SUMIFS(팀공격력!AR:AR,팀공격력!A:A,B403,팀공격력!B:B,D403))),"")</f>
        <v>2.537710199577111</v>
      </c>
      <c r="BN403" s="67">
        <f>IFERROR((AO403*40)/(((F403*60+G403)/60)*(SUMIFS(팀수비력!Q:Q,팀수비력!A:A,B403,팀수비력!B:B,D403)-SUMIFS(팀수비력!N:N,팀수비력!A:A,B403,팀수비력!B:B,D403)))*100,"")</f>
        <v>0</v>
      </c>
      <c r="BO403" s="67">
        <f t="shared" si="243"/>
        <v>19.083969465648856</v>
      </c>
      <c r="BT403" t="s">
        <v>89</v>
      </c>
      <c r="BV403" t="s">
        <v>90</v>
      </c>
      <c r="CF403">
        <v>4</v>
      </c>
      <c r="CG403">
        <v>3</v>
      </c>
    </row>
    <row r="404" spans="1:85" x14ac:dyDescent="0.4">
      <c r="A404" s="11" t="s">
        <v>85</v>
      </c>
      <c r="B404" t="s">
        <v>145</v>
      </c>
      <c r="C404" t="s">
        <v>160</v>
      </c>
      <c r="D404" s="46" t="s">
        <v>307</v>
      </c>
      <c r="E404">
        <v>7</v>
      </c>
      <c r="F404">
        <v>20</v>
      </c>
      <c r="G404" s="1">
        <v>42</v>
      </c>
      <c r="H404" s="16">
        <f t="shared" si="218"/>
        <v>8694</v>
      </c>
      <c r="I404">
        <v>31</v>
      </c>
      <c r="J404" s="17">
        <f t="shared" si="219"/>
        <v>4.4285714285714288</v>
      </c>
      <c r="K404">
        <v>8</v>
      </c>
      <c r="L404">
        <v>23</v>
      </c>
      <c r="M404" s="17">
        <f t="shared" si="220"/>
        <v>1.1428571428571428</v>
      </c>
      <c r="N404" s="17">
        <f t="shared" si="221"/>
        <v>3.2857142857142856</v>
      </c>
      <c r="O404" s="18">
        <f t="shared" si="222"/>
        <v>0.34782608695652173</v>
      </c>
      <c r="P404">
        <v>7</v>
      </c>
      <c r="Q404">
        <v>14</v>
      </c>
      <c r="R404" s="17">
        <f t="shared" si="223"/>
        <v>1</v>
      </c>
      <c r="S404" s="17">
        <f t="shared" si="224"/>
        <v>2</v>
      </c>
      <c r="T404" s="18">
        <f t="shared" si="225"/>
        <v>0.5</v>
      </c>
      <c r="U404">
        <v>1</v>
      </c>
      <c r="V404">
        <v>9</v>
      </c>
      <c r="W404" s="17">
        <f t="shared" si="226"/>
        <v>0.14285714285714285</v>
      </c>
      <c r="X404" s="17">
        <f t="shared" si="227"/>
        <v>1.2857142857142858</v>
      </c>
      <c r="Y404" s="18">
        <f t="shared" si="228"/>
        <v>0.1111111111111111</v>
      </c>
      <c r="Z404">
        <v>14</v>
      </c>
      <c r="AA404">
        <v>14</v>
      </c>
      <c r="AB404" s="17">
        <f t="shared" si="229"/>
        <v>2</v>
      </c>
      <c r="AC404" s="17">
        <f t="shared" si="230"/>
        <v>2</v>
      </c>
      <c r="AD404" s="18">
        <f t="shared" si="231"/>
        <v>1</v>
      </c>
      <c r="AE404">
        <v>15</v>
      </c>
      <c r="AF404" s="17">
        <f t="shared" si="232"/>
        <v>2.1428571428571428</v>
      </c>
      <c r="AG404">
        <v>4</v>
      </c>
      <c r="AH404" s="17">
        <f t="shared" si="233"/>
        <v>0.5714285714285714</v>
      </c>
      <c r="AI404">
        <v>11</v>
      </c>
      <c r="AJ404" s="17">
        <f t="shared" si="234"/>
        <v>1.5714285714285714</v>
      </c>
      <c r="AK404">
        <v>15</v>
      </c>
      <c r="AL404" s="17">
        <f t="shared" si="235"/>
        <v>2.1428571428571428</v>
      </c>
      <c r="AM404">
        <v>2</v>
      </c>
      <c r="AN404" s="17">
        <f t="shared" si="236"/>
        <v>0.2857142857142857</v>
      </c>
      <c r="AO404">
        <v>1</v>
      </c>
      <c r="AQ404">
        <v>12</v>
      </c>
      <c r="AR404" s="17">
        <f t="shared" si="237"/>
        <v>1.7142857142857142</v>
      </c>
      <c r="AS404">
        <v>8</v>
      </c>
      <c r="AT404" s="17">
        <f t="shared" si="238"/>
        <v>1.1428571428571428</v>
      </c>
      <c r="BD404" s="65">
        <f t="shared" si="239"/>
        <v>53.155006858710564</v>
      </c>
      <c r="BE404" s="65">
        <f t="shared" si="240"/>
        <v>36.95652173913043</v>
      </c>
      <c r="BF404" s="66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11.622666571787752</v>
      </c>
      <c r="BG404" s="38">
        <f t="shared" si="241"/>
        <v>0.39130434782608697</v>
      </c>
      <c r="BH404" s="38">
        <f t="shared" si="242"/>
        <v>0.60869565217391308</v>
      </c>
      <c r="BI404" s="67">
        <f>IFERROR(((AG404*(12000/5))/((F404*60+G404)*(SUMIFS(팀공격력!X:X,팀공격력!A:A,B404,팀공격력!B:B,D404)+SUMIFS(팀수비력!X:X,팀수비력!A:A,B404,팀수비력!B:B,D404))))*100,"")</f>
        <v>1.3056534795665229</v>
      </c>
      <c r="BJ404" s="67">
        <f>IFERROR(((AI404*(12000/5))/((F404*60+G404)*(SUMIFS(팀공격력!V:V,팀공격력!A:A,B404,팀공격력!B:B,D404)+SUMIFS(팀수비력!W:W,팀수비력!A:A,B404,팀수비력!B:B,D404))))*100,"")</f>
        <v>7.3550306738211058</v>
      </c>
      <c r="BK404" s="67">
        <f>IFERROR(((AE404*(12000/5))/((F404*60+G404)*(SUMIFS(팀공격력!X:X,팀공격력!A:A,B404,팀공격력!B:B,D404)+SUMIFS(팀수비력!X:X,팀수비력!A:A,B404,팀수비력!B:B,D404))))*100,"")</f>
        <v>4.8962005483744617</v>
      </c>
      <c r="BL404" s="67">
        <f>IFERROR(100*AK404/(((((F404*60+G404)/(12000/5))*SUMIFS(팀공격력!P:P,팀공격력!A:A,B404,팀공격력!B:B,D404))-K404)),"")</f>
        <v>13.510470614726414</v>
      </c>
      <c r="BM404" s="67">
        <f>IFERROR(100*((AM404/E404*(2400))/((F404*60+G404)*SUMIFS(팀공격력!AR:AR,팀공격력!A:A,B404,팀공격력!B:B,D404))),"")</f>
        <v>0.83415474152766145</v>
      </c>
      <c r="BN404" s="67">
        <f>IFERROR((AO404*40)/(((F404*60+G404)/60)*(SUMIFS(팀수비력!Q:Q,팀수비력!A:A,B404,팀수비력!B:B,D404)-SUMIFS(팀수비력!N:N,팀수비력!A:A,B404,팀수비력!B:B,D404)))*100,"")</f>
        <v>0.54279976116810513</v>
      </c>
      <c r="BO404" s="67">
        <f t="shared" si="243"/>
        <v>29.154518950437321</v>
      </c>
      <c r="BT404" t="s">
        <v>89</v>
      </c>
      <c r="BV404" t="s">
        <v>90</v>
      </c>
      <c r="CF404">
        <v>3</v>
      </c>
      <c r="CG404">
        <v>4</v>
      </c>
    </row>
    <row r="405" spans="1:85" x14ac:dyDescent="0.4">
      <c r="A405" s="11" t="s">
        <v>85</v>
      </c>
      <c r="B405" t="s">
        <v>145</v>
      </c>
      <c r="C405" t="s">
        <v>161</v>
      </c>
      <c r="D405" s="46" t="s">
        <v>307</v>
      </c>
      <c r="E405">
        <v>8</v>
      </c>
      <c r="F405">
        <v>29</v>
      </c>
      <c r="G405" s="1">
        <v>56</v>
      </c>
      <c r="H405" s="16">
        <f t="shared" si="218"/>
        <v>14368</v>
      </c>
      <c r="I405">
        <v>121</v>
      </c>
      <c r="J405" s="17">
        <f t="shared" si="219"/>
        <v>15.125</v>
      </c>
      <c r="K405">
        <v>45</v>
      </c>
      <c r="L405">
        <v>114</v>
      </c>
      <c r="M405" s="17">
        <f t="shared" si="220"/>
        <v>5.625</v>
      </c>
      <c r="N405" s="17">
        <f t="shared" si="221"/>
        <v>14.25</v>
      </c>
      <c r="O405" s="18">
        <f t="shared" si="222"/>
        <v>0.39473684210526316</v>
      </c>
      <c r="P405">
        <v>37</v>
      </c>
      <c r="Q405">
        <v>76</v>
      </c>
      <c r="R405" s="17">
        <f t="shared" si="223"/>
        <v>4.625</v>
      </c>
      <c r="S405" s="17">
        <f t="shared" si="224"/>
        <v>9.5</v>
      </c>
      <c r="T405" s="18">
        <f t="shared" si="225"/>
        <v>0.48684210526315791</v>
      </c>
      <c r="U405">
        <v>8</v>
      </c>
      <c r="V405">
        <v>38</v>
      </c>
      <c r="W405" s="17">
        <f t="shared" si="226"/>
        <v>1</v>
      </c>
      <c r="X405" s="17">
        <f t="shared" si="227"/>
        <v>4.75</v>
      </c>
      <c r="Y405" s="18">
        <f t="shared" si="228"/>
        <v>0.21052631578947367</v>
      </c>
      <c r="Z405">
        <v>23</v>
      </c>
      <c r="AA405">
        <v>37</v>
      </c>
      <c r="AB405" s="17">
        <f t="shared" si="229"/>
        <v>2.875</v>
      </c>
      <c r="AC405" s="17">
        <f t="shared" si="230"/>
        <v>4.625</v>
      </c>
      <c r="AD405" s="18">
        <f t="shared" si="231"/>
        <v>0.6216216216216216</v>
      </c>
      <c r="AE405">
        <v>53</v>
      </c>
      <c r="AF405" s="17">
        <f t="shared" si="232"/>
        <v>6.625</v>
      </c>
      <c r="AG405">
        <v>13</v>
      </c>
      <c r="AH405" s="17">
        <f t="shared" si="233"/>
        <v>1.625</v>
      </c>
      <c r="AI405">
        <v>40</v>
      </c>
      <c r="AJ405" s="17">
        <f t="shared" si="234"/>
        <v>5</v>
      </c>
      <c r="AK405">
        <v>25</v>
      </c>
      <c r="AL405" s="17">
        <f t="shared" si="235"/>
        <v>3.125</v>
      </c>
      <c r="AM405">
        <v>4</v>
      </c>
      <c r="AN405" s="17">
        <f t="shared" si="236"/>
        <v>0.5</v>
      </c>
      <c r="AO405">
        <v>7</v>
      </c>
      <c r="AQ405">
        <v>20</v>
      </c>
      <c r="AR405" s="17">
        <f t="shared" si="237"/>
        <v>2.5</v>
      </c>
      <c r="AS405">
        <v>20</v>
      </c>
      <c r="AT405" s="17">
        <f t="shared" si="238"/>
        <v>2.5</v>
      </c>
      <c r="BD405" s="65">
        <f t="shared" si="239"/>
        <v>46.438440282468527</v>
      </c>
      <c r="BE405" s="65">
        <f t="shared" si="240"/>
        <v>42.982456140350877</v>
      </c>
      <c r="BF405" s="66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29.345861455040239</v>
      </c>
      <c r="BG405" s="38">
        <f t="shared" si="241"/>
        <v>0.33333333333333331</v>
      </c>
      <c r="BH405" s="38">
        <f t="shared" si="242"/>
        <v>0.32456140350877194</v>
      </c>
      <c r="BI405" s="67">
        <f>IFERROR(((AG405*(12000/5))/((F405*60+G405)*(SUMIFS(팀공격력!X:X,팀공격력!A:A,B405,팀공격력!B:B,D405)+SUMIFS(팀수비력!X:X,팀수비력!A:A,B405,팀수비력!B:B,D405))))*100,"")</f>
        <v>2.9344489255402397</v>
      </c>
      <c r="BJ405" s="67">
        <f>IFERROR(((AI405*(12000/5))/((F405*60+G405)*(SUMIFS(팀공격력!V:V,팀공격력!A:A,B405,팀공격력!B:B,D405)+SUMIFS(팀수비력!W:W,팀수비력!A:A,B405,팀수비력!B:B,D405))))*100,"")</f>
        <v>18.495541803777716</v>
      </c>
      <c r="BK405" s="67">
        <f>IFERROR(((AE405*(12000/5))/((F405*60+G405)*(SUMIFS(팀공격력!X:X,팀공격력!A:A,B405,팀공격력!B:B,D405)+SUMIFS(팀수비력!X:X,팀수비력!A:A,B405,팀수비력!B:B,D405))))*100,"")</f>
        <v>11.96352254258713</v>
      </c>
      <c r="BL405" s="67">
        <f>IFERROR(100*AK405/(((((F405*60+G405)/(12000/5))*SUMIFS(팀공격력!P:P,팀공격력!A:A,B405,팀공격력!B:B,D405))-K405)),"")</f>
        <v>19.666972597351517</v>
      </c>
      <c r="BM405" s="67">
        <f>IFERROR(100*((AM405/E405*(2400))/((F405*60+G405)*SUMIFS(팀공격력!AR:AR,팀공격력!A:A,B405,팀공격력!B:B,D405))),"")</f>
        <v>1.0094851507296059</v>
      </c>
      <c r="BN405" s="67">
        <f>IFERROR((AO405*40)/(((F405*60+G405)/60)*(SUMIFS(팀수비력!Q:Q,팀수비력!A:A,B405,팀수비력!B:B,D405)-SUMIFS(팀수비력!N:N,팀수비력!A:A,B405,팀수비력!B:B,D405)))*100,"")</f>
        <v>2.6275618728260053</v>
      </c>
      <c r="BO405" s="67">
        <f t="shared" si="243"/>
        <v>13.308490817141337</v>
      </c>
      <c r="BT405" t="s">
        <v>89</v>
      </c>
      <c r="BV405" t="s">
        <v>93</v>
      </c>
      <c r="CF405">
        <v>4</v>
      </c>
      <c r="CG405">
        <v>4</v>
      </c>
    </row>
    <row r="406" spans="1:85" x14ac:dyDescent="0.4">
      <c r="A406" s="11" t="s">
        <v>85</v>
      </c>
      <c r="B406" t="s">
        <v>145</v>
      </c>
      <c r="C406" t="s">
        <v>163</v>
      </c>
      <c r="D406" s="46" t="s">
        <v>307</v>
      </c>
      <c r="E406">
        <v>8</v>
      </c>
      <c r="F406">
        <v>30</v>
      </c>
      <c r="G406" s="1">
        <v>31</v>
      </c>
      <c r="H406" s="16">
        <f t="shared" si="218"/>
        <v>14648</v>
      </c>
      <c r="I406">
        <v>108</v>
      </c>
      <c r="J406" s="17">
        <f t="shared" si="219"/>
        <v>13.5</v>
      </c>
      <c r="K406">
        <v>37</v>
      </c>
      <c r="L406">
        <v>95</v>
      </c>
      <c r="M406" s="17">
        <f t="shared" si="220"/>
        <v>4.625</v>
      </c>
      <c r="N406" s="17">
        <f t="shared" si="221"/>
        <v>11.875</v>
      </c>
      <c r="O406" s="18">
        <f t="shared" si="222"/>
        <v>0.38947368421052631</v>
      </c>
      <c r="P406">
        <v>19</v>
      </c>
      <c r="Q406">
        <v>42</v>
      </c>
      <c r="R406" s="17">
        <f t="shared" si="223"/>
        <v>2.375</v>
      </c>
      <c r="S406" s="17">
        <f t="shared" si="224"/>
        <v>5.25</v>
      </c>
      <c r="T406" s="18">
        <f t="shared" si="225"/>
        <v>0.45238095238095238</v>
      </c>
      <c r="U406">
        <v>18</v>
      </c>
      <c r="V406">
        <v>53</v>
      </c>
      <c r="W406" s="17">
        <f t="shared" si="226"/>
        <v>2.25</v>
      </c>
      <c r="X406" s="17">
        <f t="shared" si="227"/>
        <v>6.625</v>
      </c>
      <c r="Y406" s="18">
        <f t="shared" si="228"/>
        <v>0.33962264150943394</v>
      </c>
      <c r="Z406">
        <v>16</v>
      </c>
      <c r="AA406">
        <v>21</v>
      </c>
      <c r="AB406" s="17">
        <f t="shared" si="229"/>
        <v>2</v>
      </c>
      <c r="AC406" s="17">
        <f t="shared" si="230"/>
        <v>2.625</v>
      </c>
      <c r="AD406" s="18">
        <f t="shared" si="231"/>
        <v>0.76190476190476186</v>
      </c>
      <c r="AE406">
        <v>17</v>
      </c>
      <c r="AF406" s="17">
        <f t="shared" si="232"/>
        <v>2.125</v>
      </c>
      <c r="AG406">
        <v>2</v>
      </c>
      <c r="AH406" s="17">
        <f t="shared" si="233"/>
        <v>0.25</v>
      </c>
      <c r="AI406">
        <v>15</v>
      </c>
      <c r="AJ406" s="17">
        <f t="shared" si="234"/>
        <v>1.875</v>
      </c>
      <c r="AK406">
        <v>14</v>
      </c>
      <c r="AL406" s="17">
        <f t="shared" si="235"/>
        <v>1.75</v>
      </c>
      <c r="AM406">
        <v>3</v>
      </c>
      <c r="AN406" s="17">
        <f t="shared" si="236"/>
        <v>0.375</v>
      </c>
      <c r="AO406">
        <v>0</v>
      </c>
      <c r="AQ406">
        <v>14</v>
      </c>
      <c r="AR406" s="17">
        <f t="shared" si="237"/>
        <v>1.75</v>
      </c>
      <c r="AS406">
        <v>18</v>
      </c>
      <c r="AT406" s="17">
        <f t="shared" si="238"/>
        <v>2.25</v>
      </c>
      <c r="BD406" s="65">
        <f t="shared" si="239"/>
        <v>51.803530314658488</v>
      </c>
      <c r="BE406" s="65">
        <f t="shared" si="240"/>
        <v>48.421052631578945</v>
      </c>
      <c r="BF406" s="66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22.647907654356864</v>
      </c>
      <c r="BG406" s="38">
        <f t="shared" si="241"/>
        <v>0.55789473684210522</v>
      </c>
      <c r="BH406" s="38">
        <f t="shared" si="242"/>
        <v>0.22105263157894736</v>
      </c>
      <c r="BI406" s="67">
        <f>IFERROR(((AG406*(12000/5))/((F406*60+G406)*(SUMIFS(팀공격력!X:X,팀공격력!A:A,B406,팀공격력!B:B,D406)+SUMIFS(팀수비력!X:X,팀수비력!A:A,B406,팀수비력!B:B,D406))))*100,"")</f>
        <v>0.44282403648870061</v>
      </c>
      <c r="BJ406" s="67">
        <f>IFERROR(((AI406*(12000/5))/((F406*60+G406)*(SUMIFS(팀공격력!V:V,팀공격력!A:A,B406,팀공격력!B:B,D406)+SUMIFS(팀수비력!W:W,팀수비력!A:A,B406,팀수비력!B:B,D406))))*100,"")</f>
        <v>6.8032481730443974</v>
      </c>
      <c r="BK406" s="67">
        <f>IFERROR(((AE406*(12000/5))/((F406*60+G406)*(SUMIFS(팀공격력!X:X,팀공격력!A:A,B406,팀공격력!B:B,D406)+SUMIFS(팀수비력!X:X,팀수비력!A:A,B406,팀수비력!B:B,D406))))*100,"")</f>
        <v>3.7640043101539553</v>
      </c>
      <c r="BL406" s="67">
        <f>IFERROR(100*AK406/(((((F406*60+G406)/(12000/5))*SUMIFS(팀공격력!P:P,팀공격력!A:A,B406,팀공격력!B:B,D406))-K406)),"")</f>
        <v>10.110432401528602</v>
      </c>
      <c r="BM406" s="67">
        <f>IFERROR(100*((AM406/E406*(2400))/((F406*60+G406)*SUMIFS(팀공격력!AR:AR,팀공격력!A:A,B406,팀공격력!B:B,D406))),"")</f>
        <v>0.7426414516836588</v>
      </c>
      <c r="BN406" s="67">
        <f>IFERROR((AO406*40)/(((F406*60+G406)/60)*(SUMIFS(팀수비력!Q:Q,팀수비력!A:A,B406,팀수비력!B:B,D406)-SUMIFS(팀수비력!N:N,팀수비력!A:A,B406,팀수비력!B:B,D406)))*100,"")</f>
        <v>0</v>
      </c>
      <c r="BO406" s="67">
        <f t="shared" si="243"/>
        <v>11.840324763193506</v>
      </c>
      <c r="BT406" t="s">
        <v>89</v>
      </c>
      <c r="BV406" t="s">
        <v>90</v>
      </c>
      <c r="CF406">
        <v>4</v>
      </c>
      <c r="CG406">
        <v>4</v>
      </c>
    </row>
    <row r="407" spans="1:85" x14ac:dyDescent="0.4">
      <c r="A407" s="11" t="s">
        <v>85</v>
      </c>
      <c r="B407" t="s">
        <v>164</v>
      </c>
      <c r="C407" t="s">
        <v>165</v>
      </c>
      <c r="D407" s="46" t="s">
        <v>307</v>
      </c>
      <c r="E407">
        <v>1</v>
      </c>
      <c r="F407">
        <v>4</v>
      </c>
      <c r="G407" s="1">
        <v>54</v>
      </c>
      <c r="H407" s="16">
        <f t="shared" si="218"/>
        <v>294</v>
      </c>
      <c r="I407">
        <v>2</v>
      </c>
      <c r="J407" s="17">
        <f t="shared" si="219"/>
        <v>2</v>
      </c>
      <c r="K407">
        <v>1</v>
      </c>
      <c r="L407">
        <v>3</v>
      </c>
      <c r="M407" s="17">
        <f t="shared" si="220"/>
        <v>1</v>
      </c>
      <c r="N407" s="17">
        <f t="shared" si="221"/>
        <v>3</v>
      </c>
      <c r="O407" s="18">
        <f t="shared" si="222"/>
        <v>0.33333333333333331</v>
      </c>
      <c r="P407">
        <v>1</v>
      </c>
      <c r="Q407">
        <v>2</v>
      </c>
      <c r="R407" s="17">
        <f t="shared" si="223"/>
        <v>1</v>
      </c>
      <c r="S407" s="17">
        <f t="shared" si="224"/>
        <v>2</v>
      </c>
      <c r="T407" s="18">
        <f t="shared" si="225"/>
        <v>0.5</v>
      </c>
      <c r="U407">
        <v>0</v>
      </c>
      <c r="V407">
        <v>1</v>
      </c>
      <c r="W407" s="17">
        <f t="shared" si="226"/>
        <v>0</v>
      </c>
      <c r="X407" s="17">
        <f t="shared" si="227"/>
        <v>1</v>
      </c>
      <c r="Y407" s="18">
        <f t="shared" si="228"/>
        <v>0</v>
      </c>
      <c r="Z407">
        <v>0</v>
      </c>
      <c r="AA407">
        <v>0</v>
      </c>
      <c r="AB407" s="17">
        <f t="shared" si="229"/>
        <v>0</v>
      </c>
      <c r="AC407" s="17">
        <f t="shared" si="230"/>
        <v>0</v>
      </c>
      <c r="AD407" s="18" t="e">
        <f t="shared" si="231"/>
        <v>#DIV/0!</v>
      </c>
      <c r="AE407">
        <v>0</v>
      </c>
      <c r="AF407" s="17">
        <f t="shared" si="232"/>
        <v>0</v>
      </c>
      <c r="AG407">
        <v>0</v>
      </c>
      <c r="AH407" s="17">
        <f t="shared" si="233"/>
        <v>0</v>
      </c>
      <c r="AI407">
        <v>0</v>
      </c>
      <c r="AJ407" s="17">
        <f t="shared" si="234"/>
        <v>0</v>
      </c>
      <c r="AK407">
        <v>0</v>
      </c>
      <c r="AL407" s="17">
        <f t="shared" si="235"/>
        <v>0</v>
      </c>
      <c r="AM407">
        <v>0</v>
      </c>
      <c r="AN407" s="17">
        <f t="shared" si="236"/>
        <v>0</v>
      </c>
      <c r="AO407">
        <v>1</v>
      </c>
      <c r="AQ407">
        <v>0</v>
      </c>
      <c r="AR407" s="17">
        <f t="shared" si="237"/>
        <v>0</v>
      </c>
      <c r="AS407">
        <v>0</v>
      </c>
      <c r="AT407" s="17">
        <f t="shared" si="238"/>
        <v>0</v>
      </c>
      <c r="BD407" s="65">
        <f t="shared" si="239"/>
        <v>33.333333333333329</v>
      </c>
      <c r="BE407" s="65">
        <f t="shared" si="240"/>
        <v>33.333333333333329</v>
      </c>
      <c r="BF407" s="66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3.2203076896653888</v>
      </c>
      <c r="BG407" s="38">
        <f t="shared" si="241"/>
        <v>0.33333333333333331</v>
      </c>
      <c r="BH407" s="38">
        <f t="shared" si="242"/>
        <v>0</v>
      </c>
      <c r="BI407" s="67">
        <f>IFERROR(((AG407*(12000/5))/((F407*60+G407)*(SUMIFS(팀공격력!X:X,팀공격력!A:A,B407,팀공격력!B:B,D407)+SUMIFS(팀수비력!X:X,팀수비력!A:A,B407,팀수비력!B:B,D407))))*100,"")</f>
        <v>0</v>
      </c>
      <c r="BJ407" s="67">
        <f>IFERROR(((AI407*(12000/5))/((F407*60+G407)*(SUMIFS(팀공격력!V:V,팀공격력!A:A,B407,팀공격력!B:B,D407)+SUMIFS(팀수비력!W:W,팀수비력!A:A,B407,팀수비력!B:B,D407))))*100,"")</f>
        <v>0</v>
      </c>
      <c r="BK407" s="67">
        <f>IFERROR(((AE407*(12000/5))/((F407*60+G407)*(SUMIFS(팀공격력!X:X,팀공격력!A:A,B407,팀공격력!B:B,D407)+SUMIFS(팀수비력!X:X,팀수비력!A:A,B407,팀수비력!B:B,D407))))*100,"")</f>
        <v>0</v>
      </c>
      <c r="BL407" s="67">
        <f>IFERROR(100*AK407/(((((F407*60+G407)/(12000/5))*SUMIFS(팀공격력!P:P,팀공격력!A:A,B407,팀공격력!B:B,D407))-K407)),"")</f>
        <v>0</v>
      </c>
      <c r="BM407" s="67">
        <f>IFERROR(100*((AM407/E407*(2400))/((F407*60+G407)*SUMIFS(팀공격력!AR:AR,팀공격력!A:A,B407,팀공격력!B:B,D407))),"")</f>
        <v>0</v>
      </c>
      <c r="BN407" s="67">
        <f>IFERROR((AO407*40)/(((F407*60+G407)/60)*(SUMIFS(팀수비력!Q:Q,팀수비력!A:A,B407,팀수비력!B:B,D407)-SUMIFS(팀수비력!N:N,팀수비력!A:A,B407,팀수비력!B:B,D407)))*100,"")</f>
        <v>2.3323615160349851</v>
      </c>
      <c r="BO407" s="67">
        <f t="shared" si="243"/>
        <v>0</v>
      </c>
      <c r="BT407" t="s">
        <v>113</v>
      </c>
      <c r="BV407" t="s">
        <v>90</v>
      </c>
      <c r="CF407">
        <v>1</v>
      </c>
      <c r="CG407">
        <v>0</v>
      </c>
    </row>
    <row r="408" spans="1:85" x14ac:dyDescent="0.4">
      <c r="A408" s="11" t="s">
        <v>85</v>
      </c>
      <c r="B408" t="s">
        <v>164</v>
      </c>
      <c r="C408" t="s">
        <v>167</v>
      </c>
      <c r="D408" s="46" t="s">
        <v>307</v>
      </c>
      <c r="E408">
        <v>9</v>
      </c>
      <c r="F408">
        <v>26</v>
      </c>
      <c r="G408" s="1">
        <v>46</v>
      </c>
      <c r="H408" s="16">
        <f t="shared" si="218"/>
        <v>14454</v>
      </c>
      <c r="I408">
        <v>87</v>
      </c>
      <c r="J408" s="17">
        <f t="shared" si="219"/>
        <v>9.6666666666666661</v>
      </c>
      <c r="K408">
        <v>33</v>
      </c>
      <c r="L408">
        <v>80</v>
      </c>
      <c r="M408" s="17">
        <f t="shared" si="220"/>
        <v>3.6666666666666665</v>
      </c>
      <c r="N408" s="17">
        <f t="shared" si="221"/>
        <v>8.8888888888888893</v>
      </c>
      <c r="O408" s="18">
        <f t="shared" si="222"/>
        <v>0.41249999999999998</v>
      </c>
      <c r="P408">
        <v>26</v>
      </c>
      <c r="Q408">
        <v>53</v>
      </c>
      <c r="R408" s="17">
        <f t="shared" si="223"/>
        <v>2.8888888888888888</v>
      </c>
      <c r="S408" s="17">
        <f t="shared" si="224"/>
        <v>5.8888888888888893</v>
      </c>
      <c r="T408" s="18">
        <f t="shared" si="225"/>
        <v>0.49056603773584906</v>
      </c>
      <c r="U408">
        <v>7</v>
      </c>
      <c r="V408">
        <v>27</v>
      </c>
      <c r="W408" s="17">
        <f t="shared" si="226"/>
        <v>0.77777777777777779</v>
      </c>
      <c r="X408" s="17">
        <f t="shared" si="227"/>
        <v>3</v>
      </c>
      <c r="Y408" s="18">
        <f t="shared" si="228"/>
        <v>0.25925925925925924</v>
      </c>
      <c r="Z408">
        <v>14</v>
      </c>
      <c r="AA408">
        <v>18</v>
      </c>
      <c r="AB408" s="17">
        <f t="shared" si="229"/>
        <v>1.5555555555555556</v>
      </c>
      <c r="AC408" s="17">
        <f t="shared" si="230"/>
        <v>2</v>
      </c>
      <c r="AD408" s="18">
        <f t="shared" si="231"/>
        <v>0.77777777777777779</v>
      </c>
      <c r="AE408">
        <v>19</v>
      </c>
      <c r="AF408" s="17">
        <f t="shared" si="232"/>
        <v>2.1111111111111112</v>
      </c>
      <c r="AG408">
        <v>5</v>
      </c>
      <c r="AH408" s="17">
        <f t="shared" si="233"/>
        <v>0.55555555555555558</v>
      </c>
      <c r="AI408">
        <v>14</v>
      </c>
      <c r="AJ408" s="17">
        <f t="shared" si="234"/>
        <v>1.5555555555555556</v>
      </c>
      <c r="AK408">
        <v>52</v>
      </c>
      <c r="AL408" s="17">
        <f t="shared" si="235"/>
        <v>5.7777777777777777</v>
      </c>
      <c r="AM408">
        <v>15</v>
      </c>
      <c r="AN408" s="17">
        <f t="shared" si="236"/>
        <v>1.6666666666666667</v>
      </c>
      <c r="AO408">
        <v>3</v>
      </c>
      <c r="AQ408">
        <v>13</v>
      </c>
      <c r="AR408" s="17">
        <f t="shared" si="237"/>
        <v>1.4444444444444444</v>
      </c>
      <c r="AS408">
        <v>20</v>
      </c>
      <c r="AT408" s="17">
        <f t="shared" si="238"/>
        <v>2.2222222222222223</v>
      </c>
      <c r="BD408" s="65">
        <f t="shared" si="239"/>
        <v>49.476797088262053</v>
      </c>
      <c r="BE408" s="65">
        <f t="shared" si="240"/>
        <v>45.625</v>
      </c>
      <c r="BF408" s="66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19.831480884197408</v>
      </c>
      <c r="BG408" s="38">
        <f t="shared" si="241"/>
        <v>0.33750000000000002</v>
      </c>
      <c r="BH408" s="38">
        <f t="shared" si="242"/>
        <v>0.22500000000000001</v>
      </c>
      <c r="BI408" s="67">
        <f>IFERROR(((AG408*(12000/5))/((F408*60+G408)*(SUMIFS(팀공격력!X:X,팀공격력!A:A,B408,팀공격력!B:B,D408)+SUMIFS(팀수비력!X:X,팀수비력!A:A,B408,팀수비력!B:B,D408))))*100,"")</f>
        <v>1.1460092139140798</v>
      </c>
      <c r="BJ408" s="67">
        <f>IFERROR(((AI408*(12000/5))/((F408*60+G408)*(SUMIFS(팀공격력!V:V,팀공격력!A:A,B408,팀공격력!B:B,D408)+SUMIFS(팀수비력!W:W,팀수비력!A:A,B408,팀수비력!B:B,D408))))*100,"")</f>
        <v>6.3980257520536519</v>
      </c>
      <c r="BK408" s="67">
        <f>IFERROR(((AE408*(12000/5))/((F408*60+G408)*(SUMIFS(팀공격력!X:X,팀공격력!A:A,B408,팀공격력!B:B,D408)+SUMIFS(팀수비력!X:X,팀수비력!A:A,B408,팀수비력!B:B,D408))))*100,"")</f>
        <v>4.3548350128735036</v>
      </c>
      <c r="BL408" s="67">
        <f>IFERROR(100*AK408/(((((F408*60+G408)/(12000/5))*SUMIFS(팀공격력!P:P,팀공격력!A:A,B408,팀공격력!B:B,D408))-K408)),"")</f>
        <v>33.540633079449378</v>
      </c>
      <c r="BM408" s="67">
        <f>IFERROR(100*((AM408/E408*(2400))/((F408*60+G408)*SUMIFS(팀공격력!AR:AR,팀공격력!A:A,B408,팀공격력!B:B,D408))),"")</f>
        <v>3.438117498028427</v>
      </c>
      <c r="BN408" s="67">
        <f>IFERROR((AO408*40)/(((F408*60+G408)/60)*(SUMIFS(팀수비력!Q:Q,팀수비력!A:A,B408,팀수비력!B:B,D408)-SUMIFS(팀수비력!N:N,팀수비력!A:A,B408,팀수비력!B:B,D408)))*100,"")</f>
        <v>1.280910869951966</v>
      </c>
      <c r="BO408" s="67">
        <f t="shared" si="243"/>
        <v>12.881490289338089</v>
      </c>
      <c r="BT408" t="s">
        <v>89</v>
      </c>
      <c r="BV408" t="s">
        <v>90</v>
      </c>
      <c r="CF408">
        <v>6</v>
      </c>
      <c r="CG408">
        <v>3</v>
      </c>
    </row>
    <row r="409" spans="1:85" x14ac:dyDescent="0.4">
      <c r="A409" s="11" t="s">
        <v>85</v>
      </c>
      <c r="B409" t="s">
        <v>164</v>
      </c>
      <c r="C409" t="s">
        <v>168</v>
      </c>
      <c r="D409" s="46" t="s">
        <v>307</v>
      </c>
      <c r="E409">
        <v>3</v>
      </c>
      <c r="F409">
        <v>1</v>
      </c>
      <c r="G409" s="1">
        <v>20</v>
      </c>
      <c r="H409" s="16">
        <f t="shared" si="218"/>
        <v>240</v>
      </c>
      <c r="I409">
        <v>2</v>
      </c>
      <c r="J409" s="17">
        <f t="shared" si="219"/>
        <v>0.66666666666666663</v>
      </c>
      <c r="K409">
        <v>1</v>
      </c>
      <c r="L409">
        <v>2</v>
      </c>
      <c r="M409" s="17">
        <f t="shared" si="220"/>
        <v>0.33333333333333331</v>
      </c>
      <c r="N409" s="17">
        <f t="shared" si="221"/>
        <v>0.66666666666666663</v>
      </c>
      <c r="O409" s="18">
        <f t="shared" si="222"/>
        <v>0.5</v>
      </c>
      <c r="P409">
        <v>1</v>
      </c>
      <c r="Q409">
        <v>1</v>
      </c>
      <c r="R409" s="17">
        <f t="shared" si="223"/>
        <v>0.33333333333333331</v>
      </c>
      <c r="S409" s="17">
        <f t="shared" si="224"/>
        <v>0.33333333333333331</v>
      </c>
      <c r="T409" s="18">
        <f t="shared" si="225"/>
        <v>1</v>
      </c>
      <c r="U409">
        <v>0</v>
      </c>
      <c r="V409">
        <v>1</v>
      </c>
      <c r="W409" s="17">
        <f t="shared" si="226"/>
        <v>0</v>
      </c>
      <c r="X409" s="17">
        <f t="shared" si="227"/>
        <v>0.33333333333333331</v>
      </c>
      <c r="Y409" s="18">
        <f t="shared" si="228"/>
        <v>0</v>
      </c>
      <c r="Z409">
        <v>0</v>
      </c>
      <c r="AA409">
        <v>0</v>
      </c>
      <c r="AB409" s="17">
        <f t="shared" si="229"/>
        <v>0</v>
      </c>
      <c r="AC409" s="17">
        <f t="shared" si="230"/>
        <v>0</v>
      </c>
      <c r="AD409" s="18" t="e">
        <f t="shared" si="231"/>
        <v>#DIV/0!</v>
      </c>
      <c r="AE409">
        <v>1</v>
      </c>
      <c r="AF409" s="17">
        <f t="shared" si="232"/>
        <v>0.33333333333333331</v>
      </c>
      <c r="AG409">
        <v>0</v>
      </c>
      <c r="AH409" s="17">
        <f t="shared" si="233"/>
        <v>0</v>
      </c>
      <c r="AI409">
        <v>1</v>
      </c>
      <c r="AJ409" s="17">
        <f t="shared" si="234"/>
        <v>0.33333333333333331</v>
      </c>
      <c r="AK409">
        <v>0</v>
      </c>
      <c r="AL409" s="17">
        <f t="shared" si="235"/>
        <v>0</v>
      </c>
      <c r="AM409">
        <v>0</v>
      </c>
      <c r="AN409" s="17">
        <f t="shared" si="236"/>
        <v>0</v>
      </c>
      <c r="AO409">
        <v>0</v>
      </c>
      <c r="AQ409">
        <v>1</v>
      </c>
      <c r="AR409" s="17">
        <f t="shared" si="237"/>
        <v>0.33333333333333331</v>
      </c>
      <c r="AS409">
        <v>0</v>
      </c>
      <c r="AT409" s="17">
        <f t="shared" si="238"/>
        <v>0</v>
      </c>
      <c r="BD409" s="65">
        <f t="shared" si="239"/>
        <v>50</v>
      </c>
      <c r="BE409" s="65">
        <f t="shared" si="240"/>
        <v>50</v>
      </c>
      <c r="BF409" s="66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11.834630759520303</v>
      </c>
      <c r="BG409" s="38">
        <f t="shared" si="241"/>
        <v>0.5</v>
      </c>
      <c r="BH409" s="38">
        <f t="shared" si="242"/>
        <v>0</v>
      </c>
      <c r="BI409" s="67">
        <f>IFERROR(((AG409*(12000/5))/((F409*60+G409)*(SUMIFS(팀공격력!X:X,팀공격력!A:A,B409,팀공격력!B:B,D409)+SUMIFS(팀수비력!X:X,팀수비력!A:A,B409,팀수비력!B:B,D409))))*100,"")</f>
        <v>0</v>
      </c>
      <c r="BJ409" s="67">
        <f>IFERROR(((AI409*(12000/5))/((F409*60+G409)*(SUMIFS(팀공격력!V:V,팀공격력!A:A,B409,팀공격력!B:B,D409)+SUMIFS(팀수비력!W:W,팀수비력!A:A,B409,팀수비력!B:B,D409))))*100,"")</f>
        <v>9.1743119266055047</v>
      </c>
      <c r="BK409" s="67">
        <f>IFERROR(((AE409*(12000/5))/((F409*60+G409)*(SUMIFS(팀공격력!X:X,팀공격력!A:A,B409,팀공격력!B:B,D409)+SUMIFS(팀수비력!X:X,팀수비력!A:A,B409,팀수비력!B:B,D409))))*100,"")</f>
        <v>4.6012269938650308</v>
      </c>
      <c r="BL409" s="67">
        <f>IFERROR(100*AK409/(((((F409*60+G409)/(12000/5))*SUMIFS(팀공격력!P:P,팀공격력!A:A,B409,팀공격력!B:B,D409))-K409)),"")</f>
        <v>0</v>
      </c>
      <c r="BM409" s="67">
        <f>IFERROR(100*((AM409/E409*(2400))/((F409*60+G409)*SUMIFS(팀공격력!AR:AR,팀공격력!A:A,B409,팀공격력!B:B,D409))),"")</f>
        <v>0</v>
      </c>
      <c r="BN409" s="67">
        <f>IFERROR((AO409*40)/(((F409*60+G409)/60)*(SUMIFS(팀수비력!Q:Q,팀수비력!A:A,B409,팀수비력!B:B,D409)-SUMIFS(팀수비력!N:N,팀수비력!A:A,B409,팀수비력!B:B,D409)))*100,"")</f>
        <v>0</v>
      </c>
      <c r="BO409" s="67">
        <f t="shared" si="243"/>
        <v>33.333333333333336</v>
      </c>
      <c r="BT409" t="s">
        <v>89</v>
      </c>
      <c r="BV409" t="s">
        <v>93</v>
      </c>
      <c r="CF409">
        <v>2</v>
      </c>
      <c r="CG409">
        <v>1</v>
      </c>
    </row>
    <row r="410" spans="1:85" x14ac:dyDescent="0.4">
      <c r="A410" s="11" t="s">
        <v>85</v>
      </c>
      <c r="B410" t="s">
        <v>164</v>
      </c>
      <c r="C410" t="s">
        <v>169</v>
      </c>
      <c r="D410" s="46" t="s">
        <v>307</v>
      </c>
      <c r="E410">
        <v>5</v>
      </c>
      <c r="F410">
        <v>7</v>
      </c>
      <c r="G410" s="1">
        <v>1</v>
      </c>
      <c r="H410" s="16">
        <f t="shared" si="218"/>
        <v>2105</v>
      </c>
      <c r="I410">
        <v>12</v>
      </c>
      <c r="J410" s="17">
        <f t="shared" si="219"/>
        <v>2.4</v>
      </c>
      <c r="K410">
        <v>4</v>
      </c>
      <c r="L410">
        <v>10</v>
      </c>
      <c r="M410" s="17">
        <f t="shared" si="220"/>
        <v>0.8</v>
      </c>
      <c r="N410" s="17">
        <f t="shared" si="221"/>
        <v>2</v>
      </c>
      <c r="O410" s="18">
        <f t="shared" si="222"/>
        <v>0.4</v>
      </c>
      <c r="P410">
        <v>3</v>
      </c>
      <c r="Q410">
        <v>7</v>
      </c>
      <c r="R410" s="17">
        <f t="shared" si="223"/>
        <v>0.6</v>
      </c>
      <c r="S410" s="17">
        <f t="shared" si="224"/>
        <v>1.4</v>
      </c>
      <c r="T410" s="18">
        <f t="shared" si="225"/>
        <v>0.42857142857142855</v>
      </c>
      <c r="U410">
        <v>1</v>
      </c>
      <c r="V410">
        <v>3</v>
      </c>
      <c r="W410" s="17">
        <f t="shared" si="226"/>
        <v>0.2</v>
      </c>
      <c r="X410" s="17">
        <f t="shared" si="227"/>
        <v>0.6</v>
      </c>
      <c r="Y410" s="18">
        <f t="shared" si="228"/>
        <v>0.33333333333333331</v>
      </c>
      <c r="Z410">
        <v>3</v>
      </c>
      <c r="AA410">
        <v>4</v>
      </c>
      <c r="AB410" s="17">
        <f t="shared" si="229"/>
        <v>0.6</v>
      </c>
      <c r="AC410" s="17">
        <f t="shared" si="230"/>
        <v>0.8</v>
      </c>
      <c r="AD410" s="18">
        <f t="shared" si="231"/>
        <v>0.75</v>
      </c>
      <c r="AE410">
        <v>9</v>
      </c>
      <c r="AF410" s="17">
        <f t="shared" si="232"/>
        <v>1.8</v>
      </c>
      <c r="AG410">
        <v>0</v>
      </c>
      <c r="AH410" s="17">
        <f t="shared" si="233"/>
        <v>0</v>
      </c>
      <c r="AI410">
        <v>9</v>
      </c>
      <c r="AJ410" s="17">
        <f t="shared" si="234"/>
        <v>1.8</v>
      </c>
      <c r="AK410">
        <v>1</v>
      </c>
      <c r="AL410" s="17">
        <f t="shared" si="235"/>
        <v>0.2</v>
      </c>
      <c r="AM410">
        <v>0</v>
      </c>
      <c r="AN410" s="17">
        <f t="shared" si="236"/>
        <v>0</v>
      </c>
      <c r="AO410">
        <v>1</v>
      </c>
      <c r="AQ410">
        <v>2</v>
      </c>
      <c r="AR410" s="17">
        <f t="shared" si="237"/>
        <v>0.4</v>
      </c>
      <c r="AS410">
        <v>4</v>
      </c>
      <c r="AT410" s="17">
        <f t="shared" si="238"/>
        <v>0.8</v>
      </c>
      <c r="BD410" s="65">
        <f t="shared" si="239"/>
        <v>51.020408163265309</v>
      </c>
      <c r="BE410" s="65">
        <f t="shared" si="240"/>
        <v>45</v>
      </c>
      <c r="BF410" s="66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10.314775566175731</v>
      </c>
      <c r="BG410" s="38">
        <f t="shared" si="241"/>
        <v>0.3</v>
      </c>
      <c r="BH410" s="38">
        <f t="shared" si="242"/>
        <v>0.4</v>
      </c>
      <c r="BI410" s="67">
        <f>IFERROR(((AG410*(12000/5))/((F410*60+G410)*(SUMIFS(팀공격력!X:X,팀공격력!A:A,B410,팀공격력!B:B,D410)+SUMIFS(팀수비력!X:X,팀수비력!A:A,B410,팀수비력!B:B,D410))))*100,"")</f>
        <v>0</v>
      </c>
      <c r="BJ410" s="67">
        <f>IFERROR(((AI410*(12000/5))/((F410*60+G410)*(SUMIFS(팀공격력!V:V,팀공격력!A:A,B410,팀공격력!B:B,D410)+SUMIFS(팀수비력!W:W,팀수비력!A:A,B410,팀수비력!B:B,D410))))*100,"")</f>
        <v>15.690034648826517</v>
      </c>
      <c r="BK410" s="67">
        <f>IFERROR(((AE410*(12000/5))/((F410*60+G410)*(SUMIFS(팀공격력!X:X,팀공격력!A:A,B410,팀공격력!B:B,D410)+SUMIFS(팀수비력!X:X,팀수비력!A:A,B410,팀수비력!B:B,D410))))*100,"")</f>
        <v>7.8690817947335443</v>
      </c>
      <c r="BL410" s="67">
        <f>IFERROR(100*AK410/(((((F410*60+G410)/(12000/5))*SUMIFS(팀공격력!P:P,팀공격력!A:A,B410,팀공격력!B:B,D410))-K410)),"")</f>
        <v>2.2078913717445103</v>
      </c>
      <c r="BM410" s="67">
        <f>IFERROR(100*((AM410/E410*(2400))/((F410*60+G410)*SUMIFS(팀공격력!AR:AR,팀공격력!A:A,B410,팀공격력!B:B,D410))),"")</f>
        <v>0</v>
      </c>
      <c r="BN410" s="67">
        <f>IFERROR((AO410*40)/(((F410*60+G410)/60)*(SUMIFS(팀수비력!Q:Q,팀수비력!A:A,B410,팀수비력!B:B,D410)-SUMIFS(팀수비력!N:N,팀수비력!A:A,B410,팀수비력!B:B,D410)))*100,"")</f>
        <v>1.6287750254496098</v>
      </c>
      <c r="BO410" s="67">
        <f t="shared" si="243"/>
        <v>14.534883720930234</v>
      </c>
      <c r="BT410" t="s">
        <v>96</v>
      </c>
      <c r="BV410" t="s">
        <v>102</v>
      </c>
      <c r="CF410">
        <v>2</v>
      </c>
      <c r="CG410">
        <v>3</v>
      </c>
    </row>
    <row r="411" spans="1:85" x14ac:dyDescent="0.4">
      <c r="A411" s="11" t="s">
        <v>85</v>
      </c>
      <c r="B411" t="s">
        <v>164</v>
      </c>
      <c r="C411" t="s">
        <v>92</v>
      </c>
      <c r="D411" s="46" t="s">
        <v>307</v>
      </c>
      <c r="E411">
        <v>3</v>
      </c>
      <c r="F411">
        <v>8</v>
      </c>
      <c r="G411" s="1">
        <v>33</v>
      </c>
      <c r="H411" s="16">
        <f t="shared" si="218"/>
        <v>1539</v>
      </c>
      <c r="I411">
        <v>11</v>
      </c>
      <c r="J411" s="17">
        <f t="shared" si="219"/>
        <v>3.6666666666666665</v>
      </c>
      <c r="K411">
        <v>3</v>
      </c>
      <c r="L411">
        <v>8</v>
      </c>
      <c r="M411" s="17">
        <f t="shared" si="220"/>
        <v>1</v>
      </c>
      <c r="N411" s="17">
        <f t="shared" si="221"/>
        <v>2.6666666666666665</v>
      </c>
      <c r="O411" s="18">
        <f t="shared" si="222"/>
        <v>0.375</v>
      </c>
      <c r="P411">
        <v>0</v>
      </c>
      <c r="Q411">
        <v>1</v>
      </c>
      <c r="R411" s="17">
        <f t="shared" si="223"/>
        <v>0</v>
      </c>
      <c r="S411" s="17">
        <f t="shared" si="224"/>
        <v>0.33333333333333331</v>
      </c>
      <c r="T411" s="18">
        <f t="shared" si="225"/>
        <v>0</v>
      </c>
      <c r="U411">
        <v>3</v>
      </c>
      <c r="V411">
        <v>7</v>
      </c>
      <c r="W411" s="17">
        <f t="shared" si="226"/>
        <v>1</v>
      </c>
      <c r="X411" s="17">
        <f t="shared" si="227"/>
        <v>2.3333333333333335</v>
      </c>
      <c r="Y411" s="18">
        <f t="shared" si="228"/>
        <v>0.42857142857142855</v>
      </c>
      <c r="Z411">
        <v>2</v>
      </c>
      <c r="AA411">
        <v>2</v>
      </c>
      <c r="AB411" s="17">
        <f t="shared" si="229"/>
        <v>0.66666666666666663</v>
      </c>
      <c r="AC411" s="17">
        <f t="shared" si="230"/>
        <v>0.66666666666666663</v>
      </c>
      <c r="AD411" s="18">
        <f t="shared" si="231"/>
        <v>1</v>
      </c>
      <c r="AE411">
        <v>3</v>
      </c>
      <c r="AF411" s="17">
        <f t="shared" si="232"/>
        <v>1</v>
      </c>
      <c r="AG411">
        <v>1</v>
      </c>
      <c r="AH411" s="17">
        <f t="shared" si="233"/>
        <v>0.33333333333333331</v>
      </c>
      <c r="AI411">
        <v>2</v>
      </c>
      <c r="AJ411" s="17">
        <f t="shared" si="234"/>
        <v>0.66666666666666663</v>
      </c>
      <c r="AK411">
        <v>0</v>
      </c>
      <c r="AL411" s="17">
        <f t="shared" si="235"/>
        <v>0</v>
      </c>
      <c r="AM411">
        <v>0</v>
      </c>
      <c r="AN411" s="17">
        <f t="shared" si="236"/>
        <v>0</v>
      </c>
      <c r="AO411">
        <v>0</v>
      </c>
      <c r="AQ411">
        <v>1</v>
      </c>
      <c r="AR411" s="17">
        <f t="shared" si="237"/>
        <v>0.33333333333333331</v>
      </c>
      <c r="AS411">
        <v>5</v>
      </c>
      <c r="AT411" s="17">
        <f t="shared" si="238"/>
        <v>1.6666666666666667</v>
      </c>
      <c r="BD411" s="65">
        <f t="shared" si="239"/>
        <v>61.936936936936924</v>
      </c>
      <c r="BE411" s="65">
        <f t="shared" si="240"/>
        <v>56.25</v>
      </c>
      <c r="BF411" s="66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6.0780325876054899</v>
      </c>
      <c r="BG411" s="38">
        <f t="shared" si="241"/>
        <v>0.875</v>
      </c>
      <c r="BH411" s="38">
        <f t="shared" si="242"/>
        <v>0.25</v>
      </c>
      <c r="BI411" s="67">
        <f>IFERROR(((AG411*(12000/5))/((F411*60+G411)*(SUMIFS(팀공격력!X:X,팀공격력!A:A,B411,팀공격력!B:B,D411)+SUMIFS(팀수비력!X:X,팀수비력!A:A,B411,팀수비력!B:B,D411))))*100,"")</f>
        <v>0.71754027194776315</v>
      </c>
      <c r="BJ411" s="67">
        <f>IFERROR(((AI411*(12000/5))/((F411*60+G411)*(SUMIFS(팀공격력!V:V,팀공격력!A:A,B411,팀공격력!B:B,D411)+SUMIFS(팀수비력!W:W,팀수비력!A:A,B411,팀수비력!B:B,D411))))*100,"")</f>
        <v>2.8613838367580522</v>
      </c>
      <c r="BK411" s="67">
        <f>IFERROR(((AE411*(12000/5))/((F411*60+G411)*(SUMIFS(팀공격력!X:X,팀공격력!A:A,B411,팀공격력!B:B,D411)+SUMIFS(팀수비력!X:X,팀수비력!A:A,B411,팀수비력!B:B,D411))))*100,"")</f>
        <v>2.1526208158432891</v>
      </c>
      <c r="BL411" s="67">
        <f>IFERROR(100*AK411/(((((F411*60+G411)/(12000/5))*SUMIFS(팀공격력!P:P,팀공격력!A:A,B411,팀공격력!B:B,D411))-K411)),"")</f>
        <v>0</v>
      </c>
      <c r="BM411" s="67">
        <f>IFERROR(100*((AM411/E411*(2400))/((F411*60+G411)*SUMIFS(팀공격력!AR:AR,팀공격력!A:A,B411,팀공격력!B:B,D411))),"")</f>
        <v>0</v>
      </c>
      <c r="BN411" s="67">
        <f>IFERROR((AO411*40)/(((F411*60+G411)/60)*(SUMIFS(팀수비력!Q:Q,팀수비력!A:A,B411,팀수비력!B:B,D411)-SUMIFS(팀수비력!N:N,팀수비력!A:A,B411,팀수비력!B:B,D411)))*100,"")</f>
        <v>0</v>
      </c>
      <c r="BO411" s="67">
        <f t="shared" si="243"/>
        <v>10.121457489878543</v>
      </c>
      <c r="BT411" t="s">
        <v>89</v>
      </c>
      <c r="BV411" t="s">
        <v>93</v>
      </c>
      <c r="CF411">
        <v>0</v>
      </c>
      <c r="CG411">
        <v>3</v>
      </c>
    </row>
    <row r="412" spans="1:85" x14ac:dyDescent="0.4">
      <c r="A412" s="11" t="s">
        <v>85</v>
      </c>
      <c r="B412" t="s">
        <v>164</v>
      </c>
      <c r="C412" t="s">
        <v>172</v>
      </c>
      <c r="D412" s="46" t="s">
        <v>307</v>
      </c>
      <c r="E412">
        <v>7</v>
      </c>
      <c r="F412">
        <v>7</v>
      </c>
      <c r="G412" s="1">
        <v>58</v>
      </c>
      <c r="H412" s="16">
        <f t="shared" si="218"/>
        <v>3346</v>
      </c>
      <c r="I412">
        <v>4</v>
      </c>
      <c r="J412" s="17">
        <f t="shared" si="219"/>
        <v>0.5714285714285714</v>
      </c>
      <c r="K412">
        <v>2</v>
      </c>
      <c r="L412">
        <v>8</v>
      </c>
      <c r="M412" s="17">
        <f t="shared" si="220"/>
        <v>0.2857142857142857</v>
      </c>
      <c r="N412" s="17">
        <f t="shared" si="221"/>
        <v>1.1428571428571428</v>
      </c>
      <c r="O412" s="18">
        <f t="shared" si="222"/>
        <v>0.25</v>
      </c>
      <c r="P412">
        <v>2</v>
      </c>
      <c r="Q412">
        <v>4</v>
      </c>
      <c r="R412" s="17">
        <f t="shared" si="223"/>
        <v>0.2857142857142857</v>
      </c>
      <c r="S412" s="17">
        <f t="shared" si="224"/>
        <v>0.5714285714285714</v>
      </c>
      <c r="T412" s="18">
        <f t="shared" si="225"/>
        <v>0.5</v>
      </c>
      <c r="U412">
        <v>0</v>
      </c>
      <c r="V412">
        <v>4</v>
      </c>
      <c r="W412" s="17">
        <f t="shared" si="226"/>
        <v>0</v>
      </c>
      <c r="X412" s="17">
        <f t="shared" si="227"/>
        <v>0.5714285714285714</v>
      </c>
      <c r="Y412" s="18">
        <f t="shared" si="228"/>
        <v>0</v>
      </c>
      <c r="Z412">
        <v>0</v>
      </c>
      <c r="AA412">
        <v>0</v>
      </c>
      <c r="AB412" s="17">
        <f t="shared" si="229"/>
        <v>0</v>
      </c>
      <c r="AC412" s="17">
        <f t="shared" si="230"/>
        <v>0</v>
      </c>
      <c r="AD412" s="18" t="e">
        <f t="shared" si="231"/>
        <v>#DIV/0!</v>
      </c>
      <c r="AE412">
        <v>11</v>
      </c>
      <c r="AF412" s="17">
        <f t="shared" si="232"/>
        <v>1.5714285714285714</v>
      </c>
      <c r="AG412">
        <v>3</v>
      </c>
      <c r="AH412" s="17">
        <f t="shared" si="233"/>
        <v>0.42857142857142855</v>
      </c>
      <c r="AI412">
        <v>8</v>
      </c>
      <c r="AJ412" s="17">
        <f t="shared" si="234"/>
        <v>1.1428571428571428</v>
      </c>
      <c r="AK412">
        <v>2</v>
      </c>
      <c r="AL412" s="17">
        <f t="shared" si="235"/>
        <v>0.2857142857142857</v>
      </c>
      <c r="AM412">
        <v>3</v>
      </c>
      <c r="AN412" s="17">
        <f t="shared" si="236"/>
        <v>0.42857142857142855</v>
      </c>
      <c r="AO412">
        <v>0</v>
      </c>
      <c r="AQ412">
        <v>0</v>
      </c>
      <c r="AR412" s="17">
        <f t="shared" si="237"/>
        <v>0</v>
      </c>
      <c r="AS412">
        <v>4</v>
      </c>
      <c r="AT412" s="17">
        <f t="shared" si="238"/>
        <v>0.5714285714285714</v>
      </c>
      <c r="BD412" s="65">
        <f t="shared" si="239"/>
        <v>25</v>
      </c>
      <c r="BE412" s="65">
        <f t="shared" si="240"/>
        <v>25</v>
      </c>
      <c r="BF412" s="66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5.2818435746813064</v>
      </c>
      <c r="BG412" s="38">
        <f t="shared" si="241"/>
        <v>0.5</v>
      </c>
      <c r="BH412" s="38">
        <f t="shared" si="242"/>
        <v>0</v>
      </c>
      <c r="BI412" s="67">
        <f>IFERROR(((AG412*(12000/5))/((F412*60+G412)*(SUMIFS(팀공격력!X:X,팀공격력!A:A,B412,팀공격력!B:B,D412)+SUMIFS(팀수비력!X:X,팀수비력!A:A,B412,팀수비력!B:B,D412))))*100,"")</f>
        <v>2.3102394948276301</v>
      </c>
      <c r="BJ412" s="67">
        <f>IFERROR(((AI412*(12000/5))/((F412*60+G412)*(SUMIFS(팀공격력!V:V,팀공격력!A:A,B412,팀공격력!B:B,D412)+SUMIFS(팀수비력!W:W,팀수비력!A:A,B412,팀수비력!B:B,D412))))*100,"")</f>
        <v>12.283597558634986</v>
      </c>
      <c r="BK412" s="67">
        <f>IFERROR(((AE412*(12000/5))/((F412*60+G412)*(SUMIFS(팀공격력!X:X,팀공격력!A:A,B412,팀공격력!B:B,D412)+SUMIFS(팀수비력!X:X,팀수비력!A:A,B412,팀수비력!B:B,D412))))*100,"")</f>
        <v>8.4708781477013115</v>
      </c>
      <c r="BL412" s="67">
        <f>IFERROR(100*AK412/(((((F412*60+G412)/(12000/5))*SUMIFS(팀공격력!P:P,팀공격력!A:A,B412,팀공격력!B:B,D412))-K412)),"")</f>
        <v>3.7060485801201382</v>
      </c>
      <c r="BM412" s="67">
        <f>IFERROR(100*((AM412/E412*(2400))/((F412*60+G412)*SUMIFS(팀공격력!AR:AR,팀공격력!A:A,B412,팀공격력!B:B,D412))),"")</f>
        <v>2.970385553885408</v>
      </c>
      <c r="BN412" s="67">
        <f>IFERROR((AO412*40)/(((F412*60+G412)/60)*(SUMIFS(팀수비력!Q:Q,팀수비력!A:A,B412,팀수비력!B:B,D412)-SUMIFS(팀수비력!N:N,팀수비력!A:A,B412,팀수비력!B:B,D412)))*100,"")</f>
        <v>0</v>
      </c>
      <c r="BO412" s="67">
        <f t="shared" si="243"/>
        <v>0</v>
      </c>
      <c r="BT412" t="s">
        <v>89</v>
      </c>
      <c r="BV412" t="s">
        <v>93</v>
      </c>
      <c r="CF412">
        <v>5</v>
      </c>
      <c r="CG412">
        <v>2</v>
      </c>
    </row>
    <row r="413" spans="1:85" x14ac:dyDescent="0.4">
      <c r="A413" s="11" t="s">
        <v>85</v>
      </c>
      <c r="B413" t="s">
        <v>164</v>
      </c>
      <c r="C413" t="s">
        <v>173</v>
      </c>
      <c r="D413" s="46" t="s">
        <v>307</v>
      </c>
      <c r="E413">
        <v>8</v>
      </c>
      <c r="F413">
        <v>33</v>
      </c>
      <c r="G413" s="1">
        <v>7</v>
      </c>
      <c r="H413" s="16">
        <f t="shared" si="218"/>
        <v>15896</v>
      </c>
      <c r="I413">
        <v>105</v>
      </c>
      <c r="J413" s="17">
        <f t="shared" si="219"/>
        <v>13.125</v>
      </c>
      <c r="K413">
        <v>35</v>
      </c>
      <c r="L413">
        <v>84</v>
      </c>
      <c r="M413" s="17">
        <f t="shared" si="220"/>
        <v>4.375</v>
      </c>
      <c r="N413" s="17">
        <f t="shared" si="221"/>
        <v>10.5</v>
      </c>
      <c r="O413" s="18">
        <f t="shared" si="222"/>
        <v>0.41666666666666669</v>
      </c>
      <c r="P413">
        <v>19</v>
      </c>
      <c r="Q413">
        <v>42</v>
      </c>
      <c r="R413" s="17">
        <f t="shared" si="223"/>
        <v>2.375</v>
      </c>
      <c r="S413" s="17">
        <f t="shared" si="224"/>
        <v>5.25</v>
      </c>
      <c r="T413" s="18">
        <f t="shared" si="225"/>
        <v>0.45238095238095238</v>
      </c>
      <c r="U413">
        <v>16</v>
      </c>
      <c r="V413">
        <v>42</v>
      </c>
      <c r="W413" s="17">
        <f t="shared" si="226"/>
        <v>2</v>
      </c>
      <c r="X413" s="17">
        <f t="shared" si="227"/>
        <v>5.25</v>
      </c>
      <c r="Y413" s="18">
        <f t="shared" si="228"/>
        <v>0.38095238095238093</v>
      </c>
      <c r="Z413">
        <v>19</v>
      </c>
      <c r="AA413">
        <v>23</v>
      </c>
      <c r="AB413" s="17">
        <f t="shared" si="229"/>
        <v>2.375</v>
      </c>
      <c r="AC413" s="17">
        <f t="shared" si="230"/>
        <v>2.875</v>
      </c>
      <c r="AD413" s="18">
        <f t="shared" si="231"/>
        <v>0.82608695652173914</v>
      </c>
      <c r="AE413">
        <v>38</v>
      </c>
      <c r="AF413" s="17">
        <f t="shared" si="232"/>
        <v>4.75</v>
      </c>
      <c r="AG413">
        <v>4</v>
      </c>
      <c r="AH413" s="17">
        <f t="shared" si="233"/>
        <v>0.5</v>
      </c>
      <c r="AI413">
        <v>34</v>
      </c>
      <c r="AJ413" s="17">
        <f t="shared" si="234"/>
        <v>4.25</v>
      </c>
      <c r="AK413">
        <v>17</v>
      </c>
      <c r="AL413" s="17">
        <f t="shared" si="235"/>
        <v>2.125</v>
      </c>
      <c r="AM413">
        <v>11</v>
      </c>
      <c r="AN413" s="17">
        <f t="shared" si="236"/>
        <v>1.375</v>
      </c>
      <c r="AO413">
        <v>2</v>
      </c>
      <c r="AQ413">
        <v>18</v>
      </c>
      <c r="AR413" s="17">
        <f t="shared" si="237"/>
        <v>2.25</v>
      </c>
      <c r="AS413">
        <v>17</v>
      </c>
      <c r="AT413" s="17">
        <f t="shared" si="238"/>
        <v>2.125</v>
      </c>
      <c r="BD413" s="65">
        <f t="shared" si="239"/>
        <v>55.77985550361241</v>
      </c>
      <c r="BE413" s="65">
        <f t="shared" si="240"/>
        <v>51.19047619047619</v>
      </c>
      <c r="BF413" s="66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17.807734282937982</v>
      </c>
      <c r="BG413" s="38">
        <f t="shared" si="241"/>
        <v>0.5</v>
      </c>
      <c r="BH413" s="38">
        <f t="shared" si="242"/>
        <v>0.27380952380952384</v>
      </c>
      <c r="BI413" s="67">
        <f>IFERROR(((AG413*(12000/5))/((F413*60+G413)*(SUMIFS(팀공격력!X:X,팀공격력!A:A,B413,팀공격력!B:B,D413)+SUMIFS(팀수비력!X:X,팀수비력!A:A,B413,팀수비력!B:B,D413))))*100,"")</f>
        <v>0.74101290288717159</v>
      </c>
      <c r="BJ413" s="67">
        <f>IFERROR(((AI413*(12000/5))/((F413*60+G413)*(SUMIFS(팀공격력!V:V,팀공격력!A:A,B413,팀공격력!B:B,D413)+SUMIFS(팀수비력!W:W,팀수비력!A:A,B413,팀수비력!B:B,D413))))*100,"")</f>
        <v>12.558695742509801</v>
      </c>
      <c r="BK413" s="67">
        <f>IFERROR(((AE413*(12000/5))/((F413*60+G413)*(SUMIFS(팀공격력!X:X,팀공격력!A:A,B413,팀공격력!B:B,D413)+SUMIFS(팀수비력!X:X,팀수비력!A:A,B413,팀수비력!B:B,D413))))*100,"")</f>
        <v>7.0396225774281298</v>
      </c>
      <c r="BL413" s="67">
        <f>IFERROR(100*AK413/(((((F413*60+G413)/(12000/5))*SUMIFS(팀공격력!P:P,팀공격력!A:A,B413,팀공격력!B:B,D413))-K413)),"")</f>
        <v>8.6012982057438965</v>
      </c>
      <c r="BM413" s="67">
        <f>IFERROR(100*((AM413/E413*(2400))/((F413*60+G413)*SUMIFS(팀공격력!AR:AR,팀공격력!A:A,B413,팀공격력!B:B,D413))),"")</f>
        <v>2.292568585310903</v>
      </c>
      <c r="BN413" s="67">
        <f>IFERROR((AO413*40)/(((F413*60+G413)/60)*(SUMIFS(팀수비력!Q:Q,팀수비력!A:A,B413,팀수비력!B:B,D413)-SUMIFS(팀수비력!N:N,팀수비력!A:A,B413,팀수비력!B:B,D413)))*100,"")</f>
        <v>0.6902005895463369</v>
      </c>
      <c r="BO413" s="67">
        <f t="shared" si="243"/>
        <v>16.054227613271493</v>
      </c>
      <c r="BT413" t="s">
        <v>89</v>
      </c>
      <c r="BV413" t="s">
        <v>93</v>
      </c>
      <c r="CF413">
        <v>5</v>
      </c>
      <c r="CG413">
        <v>3</v>
      </c>
    </row>
    <row r="414" spans="1:85" x14ac:dyDescent="0.4">
      <c r="A414" s="11" t="s">
        <v>85</v>
      </c>
      <c r="B414" t="s">
        <v>164</v>
      </c>
      <c r="C414" t="s">
        <v>174</v>
      </c>
      <c r="D414" s="46" t="s">
        <v>307</v>
      </c>
      <c r="E414">
        <v>1</v>
      </c>
      <c r="F414">
        <v>2</v>
      </c>
      <c r="G414" s="1">
        <v>13</v>
      </c>
      <c r="H414" s="16">
        <f t="shared" si="218"/>
        <v>133</v>
      </c>
      <c r="I414">
        <v>0</v>
      </c>
      <c r="J414" s="17">
        <f t="shared" si="219"/>
        <v>0</v>
      </c>
      <c r="K414">
        <v>0</v>
      </c>
      <c r="L414">
        <v>0</v>
      </c>
      <c r="M414" s="17">
        <f t="shared" si="220"/>
        <v>0</v>
      </c>
      <c r="N414" s="17">
        <f t="shared" si="221"/>
        <v>0</v>
      </c>
      <c r="O414" s="18" t="e">
        <f t="shared" si="222"/>
        <v>#DIV/0!</v>
      </c>
      <c r="P414">
        <v>0</v>
      </c>
      <c r="Q414">
        <v>0</v>
      </c>
      <c r="R414" s="17">
        <f t="shared" si="223"/>
        <v>0</v>
      </c>
      <c r="S414" s="17">
        <f t="shared" si="224"/>
        <v>0</v>
      </c>
      <c r="T414" s="18" t="e">
        <f t="shared" si="225"/>
        <v>#DIV/0!</v>
      </c>
      <c r="U414">
        <v>0</v>
      </c>
      <c r="V414">
        <v>0</v>
      </c>
      <c r="W414" s="17">
        <f t="shared" si="226"/>
        <v>0</v>
      </c>
      <c r="X414" s="17">
        <f t="shared" si="227"/>
        <v>0</v>
      </c>
      <c r="Y414" s="18" t="e">
        <f t="shared" si="228"/>
        <v>#DIV/0!</v>
      </c>
      <c r="Z414">
        <v>0</v>
      </c>
      <c r="AA414">
        <v>0</v>
      </c>
      <c r="AB414" s="17">
        <f t="shared" si="229"/>
        <v>0</v>
      </c>
      <c r="AC414" s="17">
        <f t="shared" si="230"/>
        <v>0</v>
      </c>
      <c r="AD414" s="18" t="e">
        <f t="shared" si="231"/>
        <v>#DIV/0!</v>
      </c>
      <c r="AE414">
        <v>0</v>
      </c>
      <c r="AF414" s="17">
        <f t="shared" si="232"/>
        <v>0</v>
      </c>
      <c r="AG414">
        <v>0</v>
      </c>
      <c r="AH414" s="17">
        <f t="shared" si="233"/>
        <v>0</v>
      </c>
      <c r="AI414">
        <v>0</v>
      </c>
      <c r="AJ414" s="17">
        <f t="shared" si="234"/>
        <v>0</v>
      </c>
      <c r="AK414">
        <v>0</v>
      </c>
      <c r="AL414" s="17">
        <f t="shared" si="235"/>
        <v>0</v>
      </c>
      <c r="AM414">
        <v>0</v>
      </c>
      <c r="AN414" s="17">
        <f t="shared" si="236"/>
        <v>0</v>
      </c>
      <c r="AO414">
        <v>0</v>
      </c>
      <c r="AQ414">
        <v>0</v>
      </c>
      <c r="AR414" s="17">
        <f t="shared" si="237"/>
        <v>0</v>
      </c>
      <c r="AS414">
        <v>0</v>
      </c>
      <c r="AT414" s="17">
        <f t="shared" si="238"/>
        <v>0</v>
      </c>
      <c r="BD414" s="65" t="str">
        <f t="shared" si="239"/>
        <v/>
      </c>
      <c r="BE414" s="65" t="str">
        <f t="shared" si="240"/>
        <v/>
      </c>
      <c r="BF414" s="66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0</v>
      </c>
      <c r="BG414" s="38" t="str">
        <f t="shared" si="241"/>
        <v/>
      </c>
      <c r="BH414" s="38" t="str">
        <f t="shared" si="242"/>
        <v/>
      </c>
      <c r="BI414" s="67">
        <f>IFERROR(((AG414*(12000/5))/((F414*60+G414)*(SUMIFS(팀공격력!X:X,팀공격력!A:A,B414,팀공격력!B:B,D414)+SUMIFS(팀수비력!X:X,팀수비력!A:A,B414,팀수비력!B:B,D414))))*100,"")</f>
        <v>0</v>
      </c>
      <c r="BJ414" s="67">
        <f>IFERROR(((AI414*(12000/5))/((F414*60+G414)*(SUMIFS(팀공격력!V:V,팀공격력!A:A,B414,팀공격력!B:B,D414)+SUMIFS(팀수비력!W:W,팀수비력!A:A,B414,팀수비력!B:B,D414))))*100,"")</f>
        <v>0</v>
      </c>
      <c r="BK414" s="67">
        <f>IFERROR(((AE414*(12000/5))/((F414*60+G414)*(SUMIFS(팀공격력!X:X,팀공격력!A:A,B414,팀공격력!B:B,D414)+SUMIFS(팀수비력!X:X,팀수비력!A:A,B414,팀수비력!B:B,D414))))*100,"")</f>
        <v>0</v>
      </c>
      <c r="BL414" s="67">
        <f>IFERROR(100*AK414/(((((F414*60+G414)/(12000/5))*SUMIFS(팀공격력!P:P,팀공격력!A:A,B414,팀공격력!B:B,D414))-K414)),"")</f>
        <v>0</v>
      </c>
      <c r="BM414" s="67">
        <f>IFERROR(100*((AM414/E414*(2400))/((F414*60+G414)*SUMIFS(팀공격력!AR:AR,팀공격력!A:A,B414,팀공격력!B:B,D414))),"")</f>
        <v>0</v>
      </c>
      <c r="BN414" s="67">
        <f>IFERROR((AO414*40)/(((F414*60+G414)/60)*(SUMIFS(팀수비력!Q:Q,팀수비력!A:A,B414,팀수비력!B:B,D414)-SUMIFS(팀수비력!N:N,팀수비력!A:A,B414,팀수비력!B:B,D414)))*100,"")</f>
        <v>0</v>
      </c>
      <c r="BO414" s="67" t="str">
        <f t="shared" si="243"/>
        <v/>
      </c>
      <c r="BT414" t="s">
        <v>89</v>
      </c>
      <c r="BV414" t="s">
        <v>90</v>
      </c>
      <c r="CF414">
        <v>1</v>
      </c>
      <c r="CG414">
        <v>0</v>
      </c>
    </row>
    <row r="415" spans="1:85" x14ac:dyDescent="0.4">
      <c r="A415" s="11" t="s">
        <v>85</v>
      </c>
      <c r="B415" t="s">
        <v>164</v>
      </c>
      <c r="C415" t="s">
        <v>175</v>
      </c>
      <c r="D415" s="46" t="s">
        <v>307</v>
      </c>
      <c r="E415">
        <v>9</v>
      </c>
      <c r="F415">
        <v>21</v>
      </c>
      <c r="G415" s="1">
        <v>59</v>
      </c>
      <c r="H415" s="16">
        <f t="shared" si="218"/>
        <v>11871</v>
      </c>
      <c r="I415">
        <v>93</v>
      </c>
      <c r="J415" s="17">
        <f t="shared" si="219"/>
        <v>10.333333333333334</v>
      </c>
      <c r="K415">
        <v>36</v>
      </c>
      <c r="L415">
        <v>71</v>
      </c>
      <c r="M415" s="17">
        <f t="shared" si="220"/>
        <v>4</v>
      </c>
      <c r="N415" s="17">
        <f t="shared" si="221"/>
        <v>7.8888888888888893</v>
      </c>
      <c r="O415" s="18">
        <f t="shared" si="222"/>
        <v>0.50704225352112675</v>
      </c>
      <c r="P415">
        <v>30</v>
      </c>
      <c r="Q415">
        <v>50</v>
      </c>
      <c r="R415" s="17">
        <f t="shared" si="223"/>
        <v>3.3333333333333335</v>
      </c>
      <c r="S415" s="17">
        <f t="shared" si="224"/>
        <v>5.5555555555555554</v>
      </c>
      <c r="T415" s="18">
        <f t="shared" si="225"/>
        <v>0.6</v>
      </c>
      <c r="U415">
        <v>6</v>
      </c>
      <c r="V415">
        <v>21</v>
      </c>
      <c r="W415" s="17">
        <f t="shared" si="226"/>
        <v>0.66666666666666663</v>
      </c>
      <c r="X415" s="17">
        <f t="shared" si="227"/>
        <v>2.3333333333333335</v>
      </c>
      <c r="Y415" s="18">
        <f t="shared" si="228"/>
        <v>0.2857142857142857</v>
      </c>
      <c r="Z415">
        <v>15</v>
      </c>
      <c r="AA415">
        <v>18</v>
      </c>
      <c r="AB415" s="17">
        <f t="shared" si="229"/>
        <v>1.6666666666666667</v>
      </c>
      <c r="AC415" s="17">
        <f t="shared" si="230"/>
        <v>2</v>
      </c>
      <c r="AD415" s="18">
        <f t="shared" si="231"/>
        <v>0.83333333333333337</v>
      </c>
      <c r="AE415">
        <v>50</v>
      </c>
      <c r="AF415" s="17">
        <f t="shared" si="232"/>
        <v>5.5555555555555554</v>
      </c>
      <c r="AG415">
        <v>16</v>
      </c>
      <c r="AH415" s="17">
        <f t="shared" si="233"/>
        <v>1.7777777777777777</v>
      </c>
      <c r="AI415">
        <v>34</v>
      </c>
      <c r="AJ415" s="17">
        <f t="shared" si="234"/>
        <v>3.7777777777777777</v>
      </c>
      <c r="AK415">
        <v>8</v>
      </c>
      <c r="AL415" s="17">
        <f t="shared" si="235"/>
        <v>0.88888888888888884</v>
      </c>
      <c r="AM415">
        <v>6</v>
      </c>
      <c r="AN415" s="17">
        <f t="shared" si="236"/>
        <v>0.66666666666666663</v>
      </c>
      <c r="AO415">
        <v>2</v>
      </c>
      <c r="AQ415">
        <v>7</v>
      </c>
      <c r="AR415" s="17">
        <f t="shared" si="237"/>
        <v>0.77777777777777779</v>
      </c>
      <c r="AS415">
        <v>23</v>
      </c>
      <c r="AT415" s="17">
        <f t="shared" si="238"/>
        <v>2.5555555555555554</v>
      </c>
      <c r="BD415" s="65">
        <f t="shared" si="239"/>
        <v>58.920425747592496</v>
      </c>
      <c r="BE415" s="65">
        <f t="shared" si="240"/>
        <v>54.929577464788736</v>
      </c>
      <c r="BF415" s="66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20.557623954672419</v>
      </c>
      <c r="BG415" s="38">
        <f t="shared" si="241"/>
        <v>0.29577464788732394</v>
      </c>
      <c r="BH415" s="38">
        <f t="shared" si="242"/>
        <v>0.25352112676056338</v>
      </c>
      <c r="BI415" s="67">
        <f>IFERROR(((AG415*(12000/5))/((F415*60+G415)*(SUMIFS(팀공격력!X:X,팀공격력!A:A,B415,팀공격력!B:B,D415)+SUMIFS(팀수비력!X:X,팀수비력!A:A,B415,팀수비력!B:B,D415))))*100,"")</f>
        <v>4.4651785838872176</v>
      </c>
      <c r="BJ415" s="67">
        <f>IFERROR(((AI415*(12000/5))/((F415*60+G415)*(SUMIFS(팀공격력!V:V,팀공격력!A:A,B415,팀공격력!B:B,D415)+SUMIFS(팀수비력!W:W,팀수비력!A:A,B415,팀수비력!B:B,D415))))*100,"")</f>
        <v>18.918975314910515</v>
      </c>
      <c r="BK415" s="67">
        <f>IFERROR(((AE415*(12000/5))/((F415*60+G415)*(SUMIFS(팀공격력!X:X,팀공격력!A:A,B415,팀공격력!B:B,D415)+SUMIFS(팀수비력!X:X,팀수비력!A:A,B415,팀수비력!B:B,D415))))*100,"")</f>
        <v>13.953683074647552</v>
      </c>
      <c r="BL415" s="67">
        <f>IFERROR(100*AK415/(((((F415*60+G415)/(12000/5))*SUMIFS(팀공격력!P:P,팀공격력!A:A,B415,팀공격력!B:B,D415))-K415)),"")</f>
        <v>6.7548788167703933</v>
      </c>
      <c r="BM415" s="67">
        <f>IFERROR(100*((AM415/E415*(2400))/((F415*60+G415)*SUMIFS(팀공격력!AR:AR,팀공격력!A:A,B415,팀공격력!B:B,D415))),"")</f>
        <v>1.6744857321709334</v>
      </c>
      <c r="BN415" s="67">
        <f>IFERROR((AO415*40)/(((F415*60+G415)/60)*(SUMIFS(팀수비력!Q:Q,팀수비력!A:A,B415,팀수비력!B:B,D415)-SUMIFS(팀수비력!N:N,팀수비력!A:A,B415,팀수비력!B:B,D415)))*100,"")</f>
        <v>1.0397487273908805</v>
      </c>
      <c r="BO415" s="67">
        <f t="shared" si="243"/>
        <v>8.1471135940409685</v>
      </c>
      <c r="BT415" t="s">
        <v>89</v>
      </c>
      <c r="BV415" t="s">
        <v>102</v>
      </c>
      <c r="CF415">
        <v>6</v>
      </c>
      <c r="CG415">
        <v>3</v>
      </c>
    </row>
    <row r="416" spans="1:85" x14ac:dyDescent="0.4">
      <c r="A416" s="11" t="s">
        <v>85</v>
      </c>
      <c r="B416" t="s">
        <v>164</v>
      </c>
      <c r="C416" t="s">
        <v>176</v>
      </c>
      <c r="D416" s="46" t="s">
        <v>307</v>
      </c>
      <c r="E416">
        <v>9</v>
      </c>
      <c r="F416">
        <v>21</v>
      </c>
      <c r="G416" s="1">
        <v>4</v>
      </c>
      <c r="H416" s="16">
        <f t="shared" si="218"/>
        <v>11376</v>
      </c>
      <c r="I416">
        <v>69</v>
      </c>
      <c r="J416" s="17">
        <f t="shared" si="219"/>
        <v>7.666666666666667</v>
      </c>
      <c r="K416">
        <v>25</v>
      </c>
      <c r="L416">
        <v>61</v>
      </c>
      <c r="M416" s="17">
        <f t="shared" si="220"/>
        <v>2.7777777777777777</v>
      </c>
      <c r="N416" s="17">
        <f t="shared" si="221"/>
        <v>6.7777777777777777</v>
      </c>
      <c r="O416" s="18">
        <f t="shared" si="222"/>
        <v>0.4098360655737705</v>
      </c>
      <c r="P416">
        <v>15</v>
      </c>
      <c r="Q416">
        <v>29</v>
      </c>
      <c r="R416" s="17">
        <f t="shared" si="223"/>
        <v>1.6666666666666667</v>
      </c>
      <c r="S416" s="17">
        <f t="shared" si="224"/>
        <v>3.2222222222222223</v>
      </c>
      <c r="T416" s="18">
        <f t="shared" si="225"/>
        <v>0.51724137931034486</v>
      </c>
      <c r="U416">
        <v>10</v>
      </c>
      <c r="V416">
        <v>32</v>
      </c>
      <c r="W416" s="17">
        <f t="shared" si="226"/>
        <v>1.1111111111111112</v>
      </c>
      <c r="X416" s="17">
        <f t="shared" si="227"/>
        <v>3.5555555555555554</v>
      </c>
      <c r="Y416" s="18">
        <f t="shared" si="228"/>
        <v>0.3125</v>
      </c>
      <c r="Z416">
        <v>9</v>
      </c>
      <c r="AA416">
        <v>11</v>
      </c>
      <c r="AB416" s="17">
        <f t="shared" si="229"/>
        <v>1</v>
      </c>
      <c r="AC416" s="17">
        <f t="shared" si="230"/>
        <v>1.2222222222222223</v>
      </c>
      <c r="AD416" s="18">
        <f t="shared" si="231"/>
        <v>0.81818181818181823</v>
      </c>
      <c r="AE416">
        <v>17</v>
      </c>
      <c r="AF416" s="17">
        <f t="shared" si="232"/>
        <v>1.8888888888888888</v>
      </c>
      <c r="AG416">
        <v>5</v>
      </c>
      <c r="AH416" s="17">
        <f t="shared" si="233"/>
        <v>0.55555555555555558</v>
      </c>
      <c r="AI416">
        <v>12</v>
      </c>
      <c r="AJ416" s="17">
        <f t="shared" si="234"/>
        <v>1.3333333333333333</v>
      </c>
      <c r="AK416">
        <v>15</v>
      </c>
      <c r="AL416" s="17">
        <f t="shared" si="235"/>
        <v>1.6666666666666667</v>
      </c>
      <c r="AM416">
        <v>8</v>
      </c>
      <c r="AN416" s="17">
        <f t="shared" si="236"/>
        <v>0.88888888888888884</v>
      </c>
      <c r="AO416">
        <v>0</v>
      </c>
      <c r="AQ416">
        <v>10</v>
      </c>
      <c r="AR416" s="17">
        <f t="shared" si="237"/>
        <v>1.1111111111111112</v>
      </c>
      <c r="AS416">
        <v>21</v>
      </c>
      <c r="AT416" s="17">
        <f t="shared" si="238"/>
        <v>2.3333333333333335</v>
      </c>
      <c r="BD416" s="65">
        <f t="shared" si="239"/>
        <v>52.399756986634259</v>
      </c>
      <c r="BE416" s="65">
        <f t="shared" si="240"/>
        <v>49.180327868852459</v>
      </c>
      <c r="BF416" s="66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18.935409215232486</v>
      </c>
      <c r="BG416" s="38">
        <f t="shared" si="241"/>
        <v>0.52459016393442626</v>
      </c>
      <c r="BH416" s="38">
        <f t="shared" si="242"/>
        <v>0.18032786885245902</v>
      </c>
      <c r="BI416" s="67">
        <f>IFERROR(((AG416*(12000/5))/((F416*60+G416)*(SUMIFS(팀공격력!X:X,팀공격력!A:A,B416,팀공격력!B:B,D416)+SUMIFS(팀수비력!X:X,팀수비력!A:A,B416,팀수비력!B:B,D416))))*100,"")</f>
        <v>1.45608449172944</v>
      </c>
      <c r="BJ416" s="67">
        <f>IFERROR(((AI416*(12000/5))/((F416*60+G416)*(SUMIFS(팀공격력!V:V,팀공격력!A:A,B416,팀공격력!B:B,D416)+SUMIFS(팀수비력!W:W,팀수비력!A:A,B416,팀수비력!B:B,D416))))*100,"")</f>
        <v>6.9678318429915231</v>
      </c>
      <c r="BK416" s="67">
        <f>IFERROR(((AE416*(12000/5))/((F416*60+G416)*(SUMIFS(팀공격력!X:X,팀공격력!A:A,B416,팀공격력!B:B,D416)+SUMIFS(팀수비력!X:X,팀수비력!A:A,B416,팀수비력!B:B,D416))))*100,"")</f>
        <v>4.9506872718800965</v>
      </c>
      <c r="BL416" s="67">
        <f>IFERROR(100*AK416/(((((F416*60+G416)/(12000/5))*SUMIFS(팀공격력!P:P,팀공격력!A:A,B416,팀공격력!B:B,D416))-K416)),"")</f>
        <v>12.195782969266629</v>
      </c>
      <c r="BM416" s="67">
        <f>IFERROR(100*((AM416/E416*(2400))/((F416*60+G416)*SUMIFS(팀공격력!AR:AR,팀공격력!A:A,B416,팀공격력!B:B,D416))),"")</f>
        <v>2.3297960767230603</v>
      </c>
      <c r="BN416" s="67">
        <f>IFERROR((AO416*40)/(((F416*60+G416)/60)*(SUMIFS(팀수비력!Q:Q,팀수비력!A:A,B416,팀수비력!B:B,D416)-SUMIFS(팀수비력!N:N,팀수비력!A:A,B416,팀수비력!B:B,D416)))*100,"")</f>
        <v>0</v>
      </c>
      <c r="BO416" s="67">
        <f t="shared" si="243"/>
        <v>13.185654008438817</v>
      </c>
      <c r="BT416" t="s">
        <v>89</v>
      </c>
      <c r="BV416" t="s">
        <v>90</v>
      </c>
      <c r="CF416">
        <v>6</v>
      </c>
      <c r="CG416">
        <v>3</v>
      </c>
    </row>
    <row r="417" spans="1:85" x14ac:dyDescent="0.4">
      <c r="A417" s="11" t="s">
        <v>85</v>
      </c>
      <c r="B417" t="s">
        <v>164</v>
      </c>
      <c r="C417" t="s">
        <v>178</v>
      </c>
      <c r="D417" s="46" t="s">
        <v>307</v>
      </c>
      <c r="E417">
        <v>9</v>
      </c>
      <c r="F417">
        <v>35</v>
      </c>
      <c r="G417" s="1">
        <v>42</v>
      </c>
      <c r="H417" s="16">
        <f t="shared" si="218"/>
        <v>19278</v>
      </c>
      <c r="I417">
        <v>233</v>
      </c>
      <c r="J417" s="17">
        <f t="shared" si="219"/>
        <v>25.888888888888889</v>
      </c>
      <c r="K417">
        <v>103</v>
      </c>
      <c r="L417">
        <v>209</v>
      </c>
      <c r="M417" s="17">
        <f t="shared" si="220"/>
        <v>11.444444444444445</v>
      </c>
      <c r="N417" s="17">
        <f t="shared" si="221"/>
        <v>23.222222222222221</v>
      </c>
      <c r="O417" s="18">
        <f t="shared" si="222"/>
        <v>0.49282296650717705</v>
      </c>
      <c r="P417">
        <v>99</v>
      </c>
      <c r="Q417">
        <v>187</v>
      </c>
      <c r="R417" s="17">
        <f t="shared" si="223"/>
        <v>11</v>
      </c>
      <c r="S417" s="17">
        <f t="shared" si="224"/>
        <v>20.777777777777779</v>
      </c>
      <c r="T417" s="18">
        <f t="shared" si="225"/>
        <v>0.52941176470588236</v>
      </c>
      <c r="U417">
        <v>4</v>
      </c>
      <c r="V417">
        <v>22</v>
      </c>
      <c r="W417" s="17">
        <f t="shared" si="226"/>
        <v>0.44444444444444442</v>
      </c>
      <c r="X417" s="17">
        <f t="shared" si="227"/>
        <v>2.4444444444444446</v>
      </c>
      <c r="Y417" s="18">
        <f t="shared" si="228"/>
        <v>0.18181818181818182</v>
      </c>
      <c r="Z417">
        <v>23</v>
      </c>
      <c r="AA417">
        <v>37</v>
      </c>
      <c r="AB417" s="17">
        <f t="shared" si="229"/>
        <v>2.5555555555555554</v>
      </c>
      <c r="AC417" s="17">
        <f t="shared" si="230"/>
        <v>4.1111111111111107</v>
      </c>
      <c r="AD417" s="18">
        <f t="shared" si="231"/>
        <v>0.6216216216216216</v>
      </c>
      <c r="AE417">
        <v>103</v>
      </c>
      <c r="AF417" s="17">
        <f t="shared" si="232"/>
        <v>11.444444444444445</v>
      </c>
      <c r="AG417">
        <v>28</v>
      </c>
      <c r="AH417" s="17">
        <f t="shared" si="233"/>
        <v>3.1111111111111112</v>
      </c>
      <c r="AI417">
        <v>75</v>
      </c>
      <c r="AJ417" s="17">
        <f t="shared" si="234"/>
        <v>8.3333333333333339</v>
      </c>
      <c r="AK417">
        <v>32</v>
      </c>
      <c r="AL417" s="17">
        <f t="shared" si="235"/>
        <v>3.5555555555555554</v>
      </c>
      <c r="AM417">
        <v>9</v>
      </c>
      <c r="AN417" s="17">
        <f t="shared" si="236"/>
        <v>1</v>
      </c>
      <c r="AO417">
        <v>11</v>
      </c>
      <c r="AQ417">
        <v>15</v>
      </c>
      <c r="AR417" s="17">
        <f t="shared" si="237"/>
        <v>1.6666666666666667</v>
      </c>
      <c r="AS417">
        <v>15</v>
      </c>
      <c r="AT417" s="17">
        <f t="shared" si="238"/>
        <v>1.6666666666666667</v>
      </c>
      <c r="BD417" s="65">
        <f t="shared" si="239"/>
        <v>51.71342329545454</v>
      </c>
      <c r="BE417" s="65">
        <f t="shared" si="240"/>
        <v>50.239234449760758</v>
      </c>
      <c r="BF417" s="66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35.40149491313462</v>
      </c>
      <c r="BG417" s="38">
        <f t="shared" si="241"/>
        <v>0.10526315789473684</v>
      </c>
      <c r="BH417" s="38">
        <f t="shared" si="242"/>
        <v>0.17703349282296652</v>
      </c>
      <c r="BI417" s="67">
        <f>IFERROR(((AG417*(12000/5))/((F417*60+G417)*(SUMIFS(팀공격력!X:X,팀공격력!A:A,B417,팀공격력!B:B,D417)+SUMIFS(팀수비력!X:X,팀수비력!A:A,B417,팀수비력!B:B,D417))))*100,"")</f>
        <v>4.8117406471791169</v>
      </c>
      <c r="BJ417" s="67">
        <f>IFERROR(((AI417*(12000/5))/((F417*60+G417)*(SUMIFS(팀공격력!V:V,팀공격력!A:A,B417,팀공격력!B:B,D417)+SUMIFS(팀수비력!W:W,팀수비력!A:A,B417,팀수비력!B:B,D417))))*100,"")</f>
        <v>25.698352735589648</v>
      </c>
      <c r="BK417" s="67">
        <f>IFERROR(((AE417*(12000/5))/((F417*60+G417)*(SUMIFS(팀공격력!X:X,팀공격력!A:A,B417,팀공격력!B:B,D417)+SUMIFS(팀수비력!X:X,팀수비력!A:A,B417,팀수비력!B:B,D417))))*100,"")</f>
        <v>17.700331666408893</v>
      </c>
      <c r="BL417" s="67">
        <f>IFERROR(100*AK417/(((((F417*60+G417)/(12000/5))*SUMIFS(팀공격력!P:P,팀공격력!A:A,B417,팀공격력!B:B,D417))-K417)),"")</f>
        <v>21.651978280359288</v>
      </c>
      <c r="BM417" s="67">
        <f>IFERROR(100*((AM417/E417*(2400))/((F417*60+G417)*SUMIFS(팀공격력!AR:AR,팀공격력!A:A,B417,팀공격력!B:B,D417))),"")</f>
        <v>1.5466713450514435</v>
      </c>
      <c r="BN417" s="67">
        <f>IFERROR((AO417*40)/(((F417*60+G417)/60)*(SUMIFS(팀수비력!Q:Q,팀수비력!A:A,B417,팀수비력!B:B,D417)-SUMIFS(팀수비력!N:N,팀수비력!A:A,B417,팀수비력!B:B,D417)))*100,"")</f>
        <v>3.5214085634253696</v>
      </c>
      <c r="BO417" s="67">
        <f t="shared" si="243"/>
        <v>6.242716830364575</v>
      </c>
      <c r="BT417" t="s">
        <v>96</v>
      </c>
      <c r="BV417" t="s">
        <v>102</v>
      </c>
      <c r="CF417">
        <v>6</v>
      </c>
      <c r="CG417">
        <v>3</v>
      </c>
    </row>
    <row r="418" spans="1:85" x14ac:dyDescent="0.4">
      <c r="A418" s="11" t="s">
        <v>85</v>
      </c>
      <c r="B418" t="s">
        <v>164</v>
      </c>
      <c r="C418" t="s">
        <v>180</v>
      </c>
      <c r="D418" s="46" t="s">
        <v>307</v>
      </c>
      <c r="E418">
        <v>9</v>
      </c>
      <c r="F418">
        <v>16</v>
      </c>
      <c r="G418" s="1">
        <v>20</v>
      </c>
      <c r="H418" s="16">
        <f t="shared" si="218"/>
        <v>8820</v>
      </c>
      <c r="I418">
        <v>35</v>
      </c>
      <c r="J418" s="17">
        <f t="shared" si="219"/>
        <v>3.8888888888888888</v>
      </c>
      <c r="K418">
        <v>14</v>
      </c>
      <c r="L418">
        <v>33</v>
      </c>
      <c r="M418" s="17">
        <f t="shared" si="220"/>
        <v>1.5555555555555556</v>
      </c>
      <c r="N418" s="17">
        <f t="shared" si="221"/>
        <v>3.6666666666666665</v>
      </c>
      <c r="O418" s="18">
        <f t="shared" si="222"/>
        <v>0.42424242424242425</v>
      </c>
      <c r="P418">
        <v>14</v>
      </c>
      <c r="Q418">
        <v>32</v>
      </c>
      <c r="R418" s="17">
        <f t="shared" si="223"/>
        <v>1.5555555555555556</v>
      </c>
      <c r="S418" s="17">
        <f t="shared" si="224"/>
        <v>3.5555555555555554</v>
      </c>
      <c r="T418" s="18">
        <f t="shared" si="225"/>
        <v>0.4375</v>
      </c>
      <c r="U418">
        <v>0</v>
      </c>
      <c r="V418">
        <v>1</v>
      </c>
      <c r="W418" s="17">
        <f t="shared" si="226"/>
        <v>0</v>
      </c>
      <c r="X418" s="17">
        <f t="shared" si="227"/>
        <v>0.1111111111111111</v>
      </c>
      <c r="Y418" s="18">
        <f t="shared" si="228"/>
        <v>0</v>
      </c>
      <c r="Z418">
        <v>7</v>
      </c>
      <c r="AA418">
        <v>7</v>
      </c>
      <c r="AB418" s="17">
        <f t="shared" si="229"/>
        <v>0.77777777777777779</v>
      </c>
      <c r="AC418" s="17">
        <f t="shared" si="230"/>
        <v>0.77777777777777779</v>
      </c>
      <c r="AD418" s="18">
        <f t="shared" si="231"/>
        <v>1</v>
      </c>
      <c r="AE418">
        <v>31</v>
      </c>
      <c r="AF418" s="17">
        <f t="shared" si="232"/>
        <v>3.4444444444444446</v>
      </c>
      <c r="AG418">
        <v>13</v>
      </c>
      <c r="AH418" s="17">
        <f t="shared" si="233"/>
        <v>1.4444444444444444</v>
      </c>
      <c r="AI418">
        <v>18</v>
      </c>
      <c r="AJ418" s="17">
        <f t="shared" si="234"/>
        <v>2</v>
      </c>
      <c r="AK418">
        <v>6</v>
      </c>
      <c r="AL418" s="17">
        <f t="shared" si="235"/>
        <v>0.66666666666666663</v>
      </c>
      <c r="AM418">
        <v>6</v>
      </c>
      <c r="AN418" s="17">
        <f t="shared" si="236"/>
        <v>0.66666666666666663</v>
      </c>
      <c r="AO418">
        <v>1</v>
      </c>
      <c r="AQ418">
        <v>2</v>
      </c>
      <c r="AR418" s="17">
        <f t="shared" si="237"/>
        <v>0.22222222222222221</v>
      </c>
      <c r="AS418">
        <v>27</v>
      </c>
      <c r="AT418" s="17">
        <f t="shared" si="238"/>
        <v>3</v>
      </c>
      <c r="BD418" s="65">
        <f t="shared" si="239"/>
        <v>48.503325942350337</v>
      </c>
      <c r="BE418" s="65">
        <f t="shared" si="240"/>
        <v>42.424242424242422</v>
      </c>
      <c r="BF418" s="66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12.262931682245799</v>
      </c>
      <c r="BG418" s="38">
        <f t="shared" si="241"/>
        <v>3.0303030303030304E-2</v>
      </c>
      <c r="BH418" s="38">
        <f t="shared" si="242"/>
        <v>0.21212121212121213</v>
      </c>
      <c r="BI418" s="67">
        <f>IFERROR(((AG418*(12000/5))/((F418*60+G418)*(SUMIFS(팀공격력!X:X,팀공격력!A:A,B418,팀공격력!B:B,D418)+SUMIFS(팀수비력!X:X,팀수비력!A:A,B418,팀수비력!B:B,D418))))*100,"")</f>
        <v>4.8829347689996245</v>
      </c>
      <c r="BJ418" s="67">
        <f>IFERROR(((AI418*(12000/5))/((F418*60+G418)*(SUMIFS(팀공격력!V:V,팀공격력!A:A,B418,팀공격력!B:B,D418)+SUMIFS(팀수비력!W:W,팀수비력!A:A,B418,팀수비력!B:B,D418))))*100,"")</f>
        <v>13.48062160644074</v>
      </c>
      <c r="BK418" s="67">
        <f>IFERROR(((AE418*(12000/5))/((F418*60+G418)*(SUMIFS(팀공격력!X:X,팀공격력!A:A,B418,팀공격력!B:B,D418)+SUMIFS(팀수비력!X:X,팀수비력!A:A,B418,팀수비력!B:B,D418))))*100,"")</f>
        <v>11.643921372229874</v>
      </c>
      <c r="BL418" s="67">
        <f>IFERROR(100*AK418/(((((F418*60+G418)/(12000/5))*SUMIFS(팀공격력!P:P,팀공격력!A:A,B418,팀공격력!B:B,D418))-K418)),"")</f>
        <v>5.9558276118785676</v>
      </c>
      <c r="BM418" s="67">
        <f>IFERROR(100*((AM418/E418*(2400))/((F418*60+G418)*SUMIFS(팀공격력!AR:AR,팀공격력!A:A,B418,팀공격력!B:B,D418))),"")</f>
        <v>2.2537211027892465</v>
      </c>
      <c r="BN418" s="67">
        <f>IFERROR((AO418*40)/(((F418*60+G418)/60)*(SUMIFS(팀수비력!Q:Q,팀수비력!A:A,B418,팀수비력!B:B,D418)-SUMIFS(팀수비력!N:N,팀수비력!A:A,B418,팀수비력!B:B,D418)))*100,"")</f>
        <v>0.69970845481049571</v>
      </c>
      <c r="BO418" s="67">
        <f t="shared" si="243"/>
        <v>5.2521008403361344</v>
      </c>
      <c r="BT418" t="s">
        <v>89</v>
      </c>
      <c r="BV418" t="s">
        <v>93</v>
      </c>
      <c r="CF418">
        <v>6</v>
      </c>
      <c r="CG418">
        <v>3</v>
      </c>
    </row>
    <row r="419" spans="1:85" x14ac:dyDescent="0.4">
      <c r="A419" s="11" t="s">
        <v>85</v>
      </c>
      <c r="B419" t="s">
        <v>164</v>
      </c>
      <c r="C419" t="s">
        <v>181</v>
      </c>
      <c r="D419" s="46" t="s">
        <v>307</v>
      </c>
      <c r="E419">
        <v>9</v>
      </c>
      <c r="F419">
        <v>19</v>
      </c>
      <c r="G419" s="1">
        <v>7</v>
      </c>
      <c r="H419" s="16">
        <f t="shared" si="218"/>
        <v>10323</v>
      </c>
      <c r="I419">
        <v>29</v>
      </c>
      <c r="J419" s="17">
        <f t="shared" si="219"/>
        <v>3.2222222222222223</v>
      </c>
      <c r="K419">
        <v>9</v>
      </c>
      <c r="L419">
        <v>27</v>
      </c>
      <c r="M419" s="17">
        <f t="shared" si="220"/>
        <v>1</v>
      </c>
      <c r="N419" s="17">
        <f t="shared" si="221"/>
        <v>3</v>
      </c>
      <c r="O419" s="18">
        <f t="shared" si="222"/>
        <v>0.33333333333333331</v>
      </c>
      <c r="P419">
        <v>3</v>
      </c>
      <c r="Q419">
        <v>9</v>
      </c>
      <c r="R419" s="17">
        <f t="shared" si="223"/>
        <v>0.33333333333333331</v>
      </c>
      <c r="S419" s="17">
        <f t="shared" si="224"/>
        <v>1</v>
      </c>
      <c r="T419" s="18">
        <f t="shared" si="225"/>
        <v>0.33333333333333331</v>
      </c>
      <c r="U419">
        <v>6</v>
      </c>
      <c r="V419">
        <v>18</v>
      </c>
      <c r="W419" s="17">
        <f t="shared" si="226"/>
        <v>0.66666666666666663</v>
      </c>
      <c r="X419" s="17">
        <f t="shared" si="227"/>
        <v>2</v>
      </c>
      <c r="Y419" s="18">
        <f t="shared" si="228"/>
        <v>0.33333333333333331</v>
      </c>
      <c r="Z419">
        <v>5</v>
      </c>
      <c r="AA419">
        <v>6</v>
      </c>
      <c r="AB419" s="17">
        <f t="shared" si="229"/>
        <v>0.55555555555555558</v>
      </c>
      <c r="AC419" s="17">
        <f t="shared" si="230"/>
        <v>0.66666666666666663</v>
      </c>
      <c r="AD419" s="18">
        <f t="shared" si="231"/>
        <v>0.83333333333333337</v>
      </c>
      <c r="AE419">
        <v>21</v>
      </c>
      <c r="AF419" s="17">
        <f t="shared" si="232"/>
        <v>2.3333333333333335</v>
      </c>
      <c r="AG419">
        <v>8</v>
      </c>
      <c r="AH419" s="17">
        <f t="shared" si="233"/>
        <v>0.88888888888888884</v>
      </c>
      <c r="AI419">
        <v>13</v>
      </c>
      <c r="AJ419" s="17">
        <f t="shared" si="234"/>
        <v>1.4444444444444444</v>
      </c>
      <c r="AK419">
        <v>22</v>
      </c>
      <c r="AL419" s="17">
        <f t="shared" si="235"/>
        <v>2.4444444444444446</v>
      </c>
      <c r="AM419">
        <v>7</v>
      </c>
      <c r="AN419" s="17">
        <f t="shared" si="236"/>
        <v>0.77777777777777779</v>
      </c>
      <c r="AO419">
        <v>1</v>
      </c>
      <c r="AQ419">
        <v>1</v>
      </c>
      <c r="AR419" s="17">
        <f t="shared" si="237"/>
        <v>0.1111111111111111</v>
      </c>
      <c r="AS419">
        <v>25</v>
      </c>
      <c r="AT419" s="17">
        <f t="shared" si="238"/>
        <v>2.7777777777777777</v>
      </c>
      <c r="BD419" s="65">
        <f t="shared" si="239"/>
        <v>48.920377867746289</v>
      </c>
      <c r="BE419" s="65">
        <f t="shared" si="240"/>
        <v>44.444444444444443</v>
      </c>
      <c r="BF419" s="66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8.4304117749887144</v>
      </c>
      <c r="BG419" s="38">
        <f t="shared" si="241"/>
        <v>0.66666666666666663</v>
      </c>
      <c r="BH419" s="38">
        <f t="shared" si="242"/>
        <v>0.22222222222222221</v>
      </c>
      <c r="BI419" s="67">
        <f>IFERROR(((AG419*(12000/5))/((F419*60+G419)*(SUMIFS(팀공격력!X:X,팀공격력!A:A,B419,팀공격력!B:B,D419)+SUMIFS(팀수비력!X:X,팀수비력!A:A,B419,팀수비력!B:B,D419))))*100,"")</f>
        <v>2.5673803627494505</v>
      </c>
      <c r="BJ419" s="67">
        <f>IFERROR(((AI419*(12000/5))/((F419*60+G419)*(SUMIFS(팀공격력!V:V,팀공격력!A:A,B419,팀공격력!B:B,D419)+SUMIFS(팀수비력!W:W,팀수비력!A:A,B419,팀수비력!B:B,D419))))*100,"")</f>
        <v>8.3184694016301002</v>
      </c>
      <c r="BK419" s="67">
        <f>IFERROR(((AE419*(12000/5))/((F419*60+G419)*(SUMIFS(팀공격력!X:X,팀공격력!A:A,B419,팀공격력!B:B,D419)+SUMIFS(팀수비력!X:X,팀수비력!A:A,B419,팀수비력!B:B,D419))))*100,"")</f>
        <v>6.7393734522173077</v>
      </c>
      <c r="BL419" s="67">
        <f>IFERROR(100*AK419/(((((F419*60+G419)/(12000/5))*SUMIFS(팀공격력!P:P,팀공격력!A:A,B419,팀공격력!B:B,D419))-K419)),"")</f>
        <v>17.558620185097123</v>
      </c>
      <c r="BM419" s="67">
        <f>IFERROR(100*((AM419/E419*(2400))/((F419*60+G419)*SUMIFS(팀공격력!AR:AR,팀공격력!A:A,B419,팀공격력!B:B,D419))),"")</f>
        <v>2.2465165308245032</v>
      </c>
      <c r="BN419" s="67">
        <f>IFERROR((AO419*40)/(((F419*60+G419)/60)*(SUMIFS(팀수비력!Q:Q,팀수비력!A:A,B419,팀수비력!B:B,D419)-SUMIFS(팀수비력!N:N,팀수비력!A:A,B419,팀수비력!B:B,D419)))*100,"")</f>
        <v>0.59783285589737201</v>
      </c>
      <c r="BO419" s="67">
        <f t="shared" si="243"/>
        <v>3.2637075718015667</v>
      </c>
      <c r="BT419" t="s">
        <v>89</v>
      </c>
      <c r="BV419" t="s">
        <v>90</v>
      </c>
      <c r="CF419">
        <v>6</v>
      </c>
      <c r="CG419">
        <v>3</v>
      </c>
    </row>
    <row r="420" spans="1:85" x14ac:dyDescent="0.4">
      <c r="A420" s="11" t="s">
        <v>85</v>
      </c>
      <c r="B420" t="s">
        <v>164</v>
      </c>
      <c r="C420" t="s">
        <v>182</v>
      </c>
      <c r="D420" s="46" t="s">
        <v>307</v>
      </c>
      <c r="E420">
        <v>9</v>
      </c>
      <c r="F420">
        <v>18</v>
      </c>
      <c r="G420" s="1">
        <v>5</v>
      </c>
      <c r="H420" s="16">
        <f t="shared" si="218"/>
        <v>9765</v>
      </c>
      <c r="I420">
        <v>60</v>
      </c>
      <c r="J420" s="17">
        <f t="shared" si="219"/>
        <v>6.666666666666667</v>
      </c>
      <c r="K420">
        <v>18</v>
      </c>
      <c r="L420">
        <v>36</v>
      </c>
      <c r="M420" s="17">
        <f t="shared" si="220"/>
        <v>2</v>
      </c>
      <c r="N420" s="17">
        <f t="shared" si="221"/>
        <v>4</v>
      </c>
      <c r="O420" s="18">
        <f t="shared" si="222"/>
        <v>0.5</v>
      </c>
      <c r="P420">
        <v>11</v>
      </c>
      <c r="Q420">
        <v>19</v>
      </c>
      <c r="R420" s="17">
        <f t="shared" si="223"/>
        <v>1.2222222222222223</v>
      </c>
      <c r="S420" s="17">
        <f t="shared" si="224"/>
        <v>2.1111111111111112</v>
      </c>
      <c r="T420" s="18">
        <f t="shared" si="225"/>
        <v>0.57894736842105265</v>
      </c>
      <c r="U420">
        <v>7</v>
      </c>
      <c r="V420">
        <v>17</v>
      </c>
      <c r="W420" s="17">
        <f t="shared" si="226"/>
        <v>0.77777777777777779</v>
      </c>
      <c r="X420" s="17">
        <f t="shared" si="227"/>
        <v>1.8888888888888888</v>
      </c>
      <c r="Y420" s="18">
        <f t="shared" si="228"/>
        <v>0.41176470588235292</v>
      </c>
      <c r="Z420">
        <v>17</v>
      </c>
      <c r="AA420">
        <v>18</v>
      </c>
      <c r="AB420" s="17">
        <f t="shared" si="229"/>
        <v>1.8888888888888888</v>
      </c>
      <c r="AC420" s="17">
        <f t="shared" si="230"/>
        <v>2</v>
      </c>
      <c r="AD420" s="18">
        <f t="shared" si="231"/>
        <v>0.94444444444444442</v>
      </c>
      <c r="AE420">
        <v>21</v>
      </c>
      <c r="AF420" s="17">
        <f t="shared" si="232"/>
        <v>2.3333333333333335</v>
      </c>
      <c r="AG420">
        <v>8</v>
      </c>
      <c r="AH420" s="17">
        <f t="shared" si="233"/>
        <v>0.88888888888888884</v>
      </c>
      <c r="AI420">
        <v>13</v>
      </c>
      <c r="AJ420" s="17">
        <f t="shared" si="234"/>
        <v>1.4444444444444444</v>
      </c>
      <c r="AK420">
        <v>5</v>
      </c>
      <c r="AL420" s="17">
        <f t="shared" si="235"/>
        <v>0.55555555555555558</v>
      </c>
      <c r="AM420">
        <v>5</v>
      </c>
      <c r="AN420" s="17">
        <f t="shared" si="236"/>
        <v>0.55555555555555558</v>
      </c>
      <c r="AO420">
        <v>1</v>
      </c>
      <c r="AQ420">
        <v>5</v>
      </c>
      <c r="AR420" s="17">
        <f t="shared" si="237"/>
        <v>0.55555555555555558</v>
      </c>
      <c r="AS420">
        <v>15</v>
      </c>
      <c r="AT420" s="17">
        <f t="shared" si="238"/>
        <v>1.6666666666666667</v>
      </c>
      <c r="BD420" s="65">
        <f t="shared" si="239"/>
        <v>68.30601092896174</v>
      </c>
      <c r="BE420" s="65">
        <f t="shared" si="240"/>
        <v>59.722222222222221</v>
      </c>
      <c r="BF420" s="66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14.229189229019557</v>
      </c>
      <c r="BG420" s="38">
        <f t="shared" si="241"/>
        <v>0.47222222222222221</v>
      </c>
      <c r="BH420" s="38">
        <f t="shared" si="242"/>
        <v>0.5</v>
      </c>
      <c r="BI420" s="67">
        <f>IFERROR(((AG420*(12000/5))/((F420*60+G420)*(SUMIFS(팀공격력!X:X,팀공격력!A:A,B420,팀공격력!B:B,D420)+SUMIFS(팀수비력!X:X,팀수비력!A:A,B420,팀수비력!B:B,D420))))*100,"")</f>
        <v>2.714087812049419</v>
      </c>
      <c r="BJ420" s="67">
        <f>IFERROR(((AI420*(12000/5))/((F420*60+G420)*(SUMIFS(팀공격력!V:V,팀공격력!A:A,B420,팀공격력!B:B,D420)+SUMIFS(팀수비력!W:W,팀수비력!A:A,B420,팀수비력!B:B,D420))))*100,"")</f>
        <v>8.7938105102946782</v>
      </c>
      <c r="BK420" s="67">
        <f>IFERROR(((AE420*(12000/5))/((F420*60+G420)*(SUMIFS(팀공격력!X:X,팀공격력!A:A,B420,팀공격력!B:B,D420)+SUMIFS(팀수비력!X:X,팀수비력!A:A,B420,팀수비력!B:B,D420))))*100,"")</f>
        <v>7.124480506629725</v>
      </c>
      <c r="BL420" s="67">
        <f>IFERROR(100*AK420/(((((F420*60+G420)/(12000/5))*SUMIFS(팀공격력!P:P,팀공격력!A:A,B420,팀공격력!B:B,D420))-K420)),"")</f>
        <v>4.5856659724477904</v>
      </c>
      <c r="BM420" s="67">
        <f>IFERROR(100*((AM420/E420*(2400))/((F420*60+G420)*SUMIFS(팀공격력!AR:AR,팀공격력!A:A,B420,팀공격력!B:B,D420))),"")</f>
        <v>1.6963492171531966</v>
      </c>
      <c r="BN420" s="67">
        <f>IFERROR((AO420*40)/(((F420*60+G420)/60)*(SUMIFS(팀수비력!Q:Q,팀수비력!A:A,B420,팀수비력!B:B,D420)-SUMIFS(팀수비력!N:N,팀수비력!A:A,B420,팀수비력!B:B,D420)))*100,"")</f>
        <v>0.6319947333772219</v>
      </c>
      <c r="BO420" s="67">
        <f t="shared" si="243"/>
        <v>10.220768601798856</v>
      </c>
      <c r="BT420" t="s">
        <v>89</v>
      </c>
      <c r="BV420" t="s">
        <v>93</v>
      </c>
      <c r="CF420">
        <v>6</v>
      </c>
      <c r="CG420">
        <v>3</v>
      </c>
    </row>
    <row r="421" spans="1:85" x14ac:dyDescent="0.4">
      <c r="A421" s="11" t="s">
        <v>85</v>
      </c>
      <c r="B421" t="s">
        <v>183</v>
      </c>
      <c r="C421" t="s">
        <v>184</v>
      </c>
      <c r="D421" s="46" t="s">
        <v>307</v>
      </c>
      <c r="E421">
        <v>3</v>
      </c>
      <c r="F421">
        <v>3</v>
      </c>
      <c r="G421" s="1">
        <v>45</v>
      </c>
      <c r="H421" s="16">
        <f t="shared" si="218"/>
        <v>675</v>
      </c>
      <c r="I421">
        <v>3</v>
      </c>
      <c r="J421" s="17">
        <f t="shared" si="219"/>
        <v>1</v>
      </c>
      <c r="K421">
        <v>1</v>
      </c>
      <c r="L421">
        <v>1</v>
      </c>
      <c r="M421" s="17">
        <f t="shared" si="220"/>
        <v>0.33333333333333331</v>
      </c>
      <c r="N421" s="17">
        <f t="shared" si="221"/>
        <v>0.33333333333333331</v>
      </c>
      <c r="O421" s="18">
        <f t="shared" si="222"/>
        <v>1</v>
      </c>
      <c r="P421">
        <v>0</v>
      </c>
      <c r="Q421">
        <v>0</v>
      </c>
      <c r="R421" s="17">
        <f t="shared" si="223"/>
        <v>0</v>
      </c>
      <c r="S421" s="17">
        <f t="shared" si="224"/>
        <v>0</v>
      </c>
      <c r="T421" s="18" t="e">
        <f t="shared" si="225"/>
        <v>#DIV/0!</v>
      </c>
      <c r="U421">
        <v>1</v>
      </c>
      <c r="V421">
        <v>1</v>
      </c>
      <c r="W421" s="17">
        <f t="shared" si="226"/>
        <v>0.33333333333333331</v>
      </c>
      <c r="X421" s="17">
        <f t="shared" si="227"/>
        <v>0.33333333333333331</v>
      </c>
      <c r="Y421" s="18">
        <f t="shared" si="228"/>
        <v>1</v>
      </c>
      <c r="Z421">
        <v>0</v>
      </c>
      <c r="AA421">
        <v>0</v>
      </c>
      <c r="AB421" s="17">
        <f t="shared" si="229"/>
        <v>0</v>
      </c>
      <c r="AC421" s="17">
        <f t="shared" si="230"/>
        <v>0</v>
      </c>
      <c r="AD421" s="18" t="e">
        <f t="shared" si="231"/>
        <v>#DIV/0!</v>
      </c>
      <c r="AE421">
        <v>0</v>
      </c>
      <c r="AF421" s="17">
        <f t="shared" si="232"/>
        <v>0</v>
      </c>
      <c r="AG421">
        <v>0</v>
      </c>
      <c r="AH421" s="17">
        <f t="shared" si="233"/>
        <v>0</v>
      </c>
      <c r="AI421">
        <v>0</v>
      </c>
      <c r="AJ421" s="17">
        <f t="shared" si="234"/>
        <v>0</v>
      </c>
      <c r="AK421">
        <v>0</v>
      </c>
      <c r="AL421" s="17">
        <f t="shared" si="235"/>
        <v>0</v>
      </c>
      <c r="AM421">
        <v>0</v>
      </c>
      <c r="AN421" s="17">
        <f t="shared" si="236"/>
        <v>0</v>
      </c>
      <c r="AO421">
        <v>0</v>
      </c>
      <c r="AQ421">
        <v>2</v>
      </c>
      <c r="AR421" s="17">
        <f t="shared" si="237"/>
        <v>0.66666666666666663</v>
      </c>
      <c r="AS421">
        <v>1</v>
      </c>
      <c r="AT421" s="17">
        <f t="shared" si="238"/>
        <v>0.33333333333333331</v>
      </c>
      <c r="BD421" s="65">
        <f t="shared" si="239"/>
        <v>150</v>
      </c>
      <c r="BE421" s="65">
        <f t="shared" si="240"/>
        <v>150</v>
      </c>
      <c r="BF421" s="66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4.0196965129132751</v>
      </c>
      <c r="BG421" s="38">
        <f t="shared" si="241"/>
        <v>1</v>
      </c>
      <c r="BH421" s="38">
        <f t="shared" si="242"/>
        <v>0</v>
      </c>
      <c r="BI421" s="67">
        <f>IFERROR(((AG421*(12000/5))/((F421*60+G421)*(SUMIFS(팀공격력!X:X,팀공격력!A:A,B421,팀공격력!B:B,D421)+SUMIFS(팀수비력!X:X,팀수비력!A:A,B421,팀수비력!B:B,D421))))*100,"")</f>
        <v>0</v>
      </c>
      <c r="BJ421" s="67">
        <f>IFERROR(((AI421*(12000/5))/((F421*60+G421)*(SUMIFS(팀공격력!V:V,팀공격력!A:A,B421,팀공격력!B:B,D421)+SUMIFS(팀수비력!W:W,팀수비력!A:A,B421,팀수비력!B:B,D421))))*100,"")</f>
        <v>0</v>
      </c>
      <c r="BK421" s="67">
        <f>IFERROR(((AE421*(12000/5))/((F421*60+G421)*(SUMIFS(팀공격력!X:X,팀공격력!A:A,B421,팀공격력!B:B,D421)+SUMIFS(팀수비력!X:X,팀수비력!A:A,B421,팀수비력!B:B,D421))))*100,"")</f>
        <v>0</v>
      </c>
      <c r="BL421" s="67">
        <f>IFERROR(100*AK421/(((((F421*60+G421)/(12000/5))*SUMIFS(팀공격력!P:P,팀공격력!A:A,B421,팀공격력!B:B,D421))-K421)),"")</f>
        <v>0</v>
      </c>
      <c r="BM421" s="67">
        <f>IFERROR(100*((AM421/E421*(2400))/((F421*60+G421)*SUMIFS(팀공격력!AR:AR,팀공격력!A:A,B421,팀공격력!B:B,D421))),"")</f>
        <v>0</v>
      </c>
      <c r="BN421" s="67">
        <f>IFERROR((AO421*40)/(((F421*60+G421)/60)*(SUMIFS(팀수비력!Q:Q,팀수비력!A:A,B421,팀수비력!B:B,D421)-SUMIFS(팀수비력!N:N,팀수비력!A:A,B421,팀수비력!B:B,D421)))*100,"")</f>
        <v>0</v>
      </c>
      <c r="BO421" s="67">
        <f t="shared" si="243"/>
        <v>66.666666666666671</v>
      </c>
      <c r="BT421" t="s">
        <v>89</v>
      </c>
      <c r="BV421" t="s">
        <v>90</v>
      </c>
      <c r="CF421">
        <v>1</v>
      </c>
      <c r="CG421">
        <v>2</v>
      </c>
    </row>
    <row r="422" spans="1:85" x14ac:dyDescent="0.4">
      <c r="A422" s="11" t="s">
        <v>85</v>
      </c>
      <c r="B422" t="s">
        <v>183</v>
      </c>
      <c r="C422" t="s">
        <v>186</v>
      </c>
      <c r="D422" s="46" t="s">
        <v>307</v>
      </c>
      <c r="E422">
        <v>3</v>
      </c>
      <c r="F422">
        <v>4</v>
      </c>
      <c r="G422" s="1">
        <v>57</v>
      </c>
      <c r="H422" s="16">
        <f t="shared" si="218"/>
        <v>891</v>
      </c>
      <c r="I422">
        <v>1</v>
      </c>
      <c r="J422" s="17">
        <f t="shared" si="219"/>
        <v>0.33333333333333331</v>
      </c>
      <c r="K422">
        <v>0</v>
      </c>
      <c r="L422">
        <v>3</v>
      </c>
      <c r="M422" s="17">
        <f t="shared" si="220"/>
        <v>0</v>
      </c>
      <c r="N422" s="17">
        <f t="shared" si="221"/>
        <v>1</v>
      </c>
      <c r="O422" s="18">
        <f t="shared" si="222"/>
        <v>0</v>
      </c>
      <c r="P422">
        <v>0</v>
      </c>
      <c r="Q422">
        <v>3</v>
      </c>
      <c r="R422" s="17">
        <f t="shared" si="223"/>
        <v>0</v>
      </c>
      <c r="S422" s="17">
        <f t="shared" si="224"/>
        <v>1</v>
      </c>
      <c r="T422" s="18">
        <f t="shared" si="225"/>
        <v>0</v>
      </c>
      <c r="U422">
        <v>0</v>
      </c>
      <c r="V422">
        <v>0</v>
      </c>
      <c r="W422" s="17">
        <f t="shared" si="226"/>
        <v>0</v>
      </c>
      <c r="X422" s="17">
        <f t="shared" si="227"/>
        <v>0</v>
      </c>
      <c r="Y422" s="18" t="e">
        <f t="shared" si="228"/>
        <v>#DIV/0!</v>
      </c>
      <c r="Z422">
        <v>1</v>
      </c>
      <c r="AA422">
        <v>4</v>
      </c>
      <c r="AB422" s="17">
        <f t="shared" si="229"/>
        <v>0.33333333333333331</v>
      </c>
      <c r="AC422" s="17">
        <f t="shared" si="230"/>
        <v>1.3333333333333333</v>
      </c>
      <c r="AD422" s="18">
        <f t="shared" si="231"/>
        <v>0.25</v>
      </c>
      <c r="AE422">
        <v>0</v>
      </c>
      <c r="AF422" s="17">
        <f t="shared" si="232"/>
        <v>0</v>
      </c>
      <c r="AG422">
        <v>0</v>
      </c>
      <c r="AH422" s="17">
        <f t="shared" si="233"/>
        <v>0</v>
      </c>
      <c r="AI422">
        <v>0</v>
      </c>
      <c r="AJ422" s="17">
        <f t="shared" si="234"/>
        <v>0</v>
      </c>
      <c r="AK422">
        <v>1</v>
      </c>
      <c r="AL422" s="17">
        <f t="shared" si="235"/>
        <v>0.33333333333333331</v>
      </c>
      <c r="AM422">
        <v>0</v>
      </c>
      <c r="AN422" s="17">
        <f t="shared" si="236"/>
        <v>0</v>
      </c>
      <c r="AO422">
        <v>0</v>
      </c>
      <c r="AQ422">
        <v>1</v>
      </c>
      <c r="AR422" s="17">
        <f t="shared" si="237"/>
        <v>0.33333333333333331</v>
      </c>
      <c r="AS422">
        <v>4</v>
      </c>
      <c r="AT422" s="17">
        <f t="shared" si="238"/>
        <v>1.3333333333333333</v>
      </c>
      <c r="BD422" s="65">
        <f t="shared" si="239"/>
        <v>10.504201680672269</v>
      </c>
      <c r="BE422" s="65">
        <f t="shared" si="240"/>
        <v>0</v>
      </c>
      <c r="BF422" s="66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5.8468312915102176</v>
      </c>
      <c r="BG422" s="38">
        <f t="shared" si="241"/>
        <v>0</v>
      </c>
      <c r="BH422" s="38">
        <f t="shared" si="242"/>
        <v>1.3333333333333333</v>
      </c>
      <c r="BI422" s="67">
        <f>IFERROR(((AG422*(12000/5))/((F422*60+G422)*(SUMIFS(팀공격력!X:X,팀공격력!A:A,B422,팀공격력!B:B,D422)+SUMIFS(팀수비력!X:X,팀수비력!A:A,B422,팀수비력!B:B,D422))))*100,"")</f>
        <v>0</v>
      </c>
      <c r="BJ422" s="67">
        <f>IFERROR(((AI422*(12000/5))/((F422*60+G422)*(SUMIFS(팀공격력!V:V,팀공격력!A:A,B422,팀공격력!B:B,D422)+SUMIFS(팀수비력!W:W,팀수비력!A:A,B422,팀수비력!B:B,D422))))*100,"")</f>
        <v>0</v>
      </c>
      <c r="BK422" s="67">
        <f>IFERROR(((AE422*(12000/5))/((F422*60+G422)*(SUMIFS(팀공격력!X:X,팀공격력!A:A,B422,팀공격력!B:B,D422)+SUMIFS(팀수비력!X:X,팀수비력!A:A,B422,팀수비력!B:B,D422))))*100,"")</f>
        <v>0</v>
      </c>
      <c r="BL422" s="67">
        <f>IFERROR(100*AK422/(((((F422*60+G422)/(12000/5))*SUMIFS(팀공격력!P:P,팀공격력!A:A,B422,팀공격력!B:B,D422))-K422)),"")</f>
        <v>3.1814205042551498</v>
      </c>
      <c r="BM422" s="67">
        <f>IFERROR(100*((AM422/E422*(2400))/((F422*60+G422)*SUMIFS(팀공격력!AR:AR,팀공격력!A:A,B422,팀공격력!B:B,D422))),"")</f>
        <v>0</v>
      </c>
      <c r="BN422" s="67">
        <f>IFERROR((AO422*40)/(((F422*60+G422)/60)*(SUMIFS(팀수비력!Q:Q,팀수비력!A:A,B422,팀수비력!B:B,D422)-SUMIFS(팀수비력!N:N,팀수비력!A:A,B422,팀수비력!B:B,D422)))*100,"")</f>
        <v>0</v>
      </c>
      <c r="BO422" s="67">
        <f t="shared" si="243"/>
        <v>17.361111111111111</v>
      </c>
      <c r="BT422" t="s">
        <v>89</v>
      </c>
      <c r="BV422" t="s">
        <v>90</v>
      </c>
      <c r="CF422">
        <v>0</v>
      </c>
      <c r="CG422">
        <v>3</v>
      </c>
    </row>
    <row r="423" spans="1:85" x14ac:dyDescent="0.4">
      <c r="A423" s="11" t="s">
        <v>85</v>
      </c>
      <c r="B423" t="s">
        <v>183</v>
      </c>
      <c r="C423" t="s">
        <v>187</v>
      </c>
      <c r="D423" s="46" t="s">
        <v>307</v>
      </c>
      <c r="E423">
        <v>7</v>
      </c>
      <c r="F423">
        <v>8</v>
      </c>
      <c r="G423" s="1">
        <v>27</v>
      </c>
      <c r="H423" s="16">
        <f t="shared" si="218"/>
        <v>3549</v>
      </c>
      <c r="I423">
        <v>7</v>
      </c>
      <c r="J423" s="17">
        <f t="shared" si="219"/>
        <v>1</v>
      </c>
      <c r="K423">
        <v>2</v>
      </c>
      <c r="L423">
        <v>5</v>
      </c>
      <c r="M423" s="17">
        <f t="shared" si="220"/>
        <v>0.2857142857142857</v>
      </c>
      <c r="N423" s="17">
        <f t="shared" si="221"/>
        <v>0.7142857142857143</v>
      </c>
      <c r="O423" s="18">
        <f t="shared" si="222"/>
        <v>0.4</v>
      </c>
      <c r="P423">
        <v>2</v>
      </c>
      <c r="Q423">
        <v>5</v>
      </c>
      <c r="R423" s="17">
        <f t="shared" si="223"/>
        <v>0.2857142857142857</v>
      </c>
      <c r="S423" s="17">
        <f t="shared" si="224"/>
        <v>0.7142857142857143</v>
      </c>
      <c r="T423" s="18">
        <f t="shared" si="225"/>
        <v>0.4</v>
      </c>
      <c r="U423">
        <v>0</v>
      </c>
      <c r="V423">
        <v>0</v>
      </c>
      <c r="W423" s="17">
        <f t="shared" si="226"/>
        <v>0</v>
      </c>
      <c r="X423" s="17">
        <f t="shared" si="227"/>
        <v>0</v>
      </c>
      <c r="Y423" s="18" t="e">
        <f t="shared" si="228"/>
        <v>#DIV/0!</v>
      </c>
      <c r="Z423">
        <v>3</v>
      </c>
      <c r="AA423">
        <v>4</v>
      </c>
      <c r="AB423" s="17">
        <f t="shared" si="229"/>
        <v>0.42857142857142855</v>
      </c>
      <c r="AC423" s="17">
        <f t="shared" si="230"/>
        <v>0.5714285714285714</v>
      </c>
      <c r="AD423" s="18">
        <f t="shared" si="231"/>
        <v>0.75</v>
      </c>
      <c r="AE423">
        <v>15</v>
      </c>
      <c r="AF423" s="17">
        <f t="shared" si="232"/>
        <v>2.1428571428571428</v>
      </c>
      <c r="AG423">
        <v>4</v>
      </c>
      <c r="AH423" s="17">
        <f t="shared" si="233"/>
        <v>0.5714285714285714</v>
      </c>
      <c r="AI423">
        <v>11</v>
      </c>
      <c r="AJ423" s="17">
        <f t="shared" si="234"/>
        <v>1.5714285714285714</v>
      </c>
      <c r="AK423">
        <v>5</v>
      </c>
      <c r="AL423" s="17">
        <f t="shared" si="235"/>
        <v>0.7142857142857143</v>
      </c>
      <c r="AM423">
        <v>1</v>
      </c>
      <c r="AN423" s="17">
        <f t="shared" si="236"/>
        <v>0.14285714285714285</v>
      </c>
      <c r="AO423">
        <v>0</v>
      </c>
      <c r="AQ423">
        <v>2</v>
      </c>
      <c r="AR423" s="17">
        <f t="shared" si="237"/>
        <v>0.2857142857142857</v>
      </c>
      <c r="AS423">
        <v>11</v>
      </c>
      <c r="AT423" s="17">
        <f t="shared" si="238"/>
        <v>1.5714285714285714</v>
      </c>
      <c r="BD423" s="65">
        <f t="shared" si="239"/>
        <v>51.77514792899408</v>
      </c>
      <c r="BE423" s="65">
        <f t="shared" si="240"/>
        <v>40</v>
      </c>
      <c r="BF423" s="66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5.2089558362603983</v>
      </c>
      <c r="BG423" s="38">
        <f t="shared" si="241"/>
        <v>0</v>
      </c>
      <c r="BH423" s="38">
        <f t="shared" si="242"/>
        <v>0.8</v>
      </c>
      <c r="BI423" s="67">
        <f>IFERROR(((AG423*(12000/5))/((F423*60+G423)*(SUMIFS(팀공격력!X:X,팀공격력!A:A,B423,팀공격력!B:B,D423)+SUMIFS(팀수비력!X:X,팀수비력!A:A,B423,팀수비력!B:B,D423))))*100,"")</f>
        <v>2.8261061556124702</v>
      </c>
      <c r="BJ423" s="67">
        <f>IFERROR(((AI423*(12000/5))/((F423*60+G423)*(SUMIFS(팀공격력!V:V,팀공격력!A:A,B423,팀공격력!B:B,D423)+SUMIFS(팀수비력!W:W,팀수비력!A:A,B423,팀수비력!B:B,D423))))*100,"")</f>
        <v>15.136920324755746</v>
      </c>
      <c r="BK423" s="67">
        <f>IFERROR(((AE423*(12000/5))/((F423*60+G423)*(SUMIFS(팀공격력!X:X,팀공격력!A:A,B423,팀공격력!B:B,D423)+SUMIFS(팀수비력!X:X,팀수비력!A:A,B423,팀수비력!B:B,D423))))*100,"")</f>
        <v>10.597898083546763</v>
      </c>
      <c r="BL423" s="67">
        <f>IFERROR(100*AK423/(((((F423*60+G423)/(12000/5))*SUMIFS(팀공격력!P:P,팀공격력!A:A,B423,팀공격력!B:B,D423))-K423)),"")</f>
        <v>9.6791366210134058</v>
      </c>
      <c r="BM423" s="67">
        <f>IFERROR(100*((AM423/E423*(2400))/((F423*60+G423)*SUMIFS(팀공격력!AR:AR,팀공격력!A:A,B423,팀공격력!B:B,D423))),"")</f>
        <v>0.91667967892324131</v>
      </c>
      <c r="BN423" s="67">
        <f>IFERROR((AO423*40)/(((F423*60+G423)/60)*(SUMIFS(팀수비력!Q:Q,팀수비력!A:A,B423,팀수비력!B:B,D423)-SUMIFS(팀수비력!N:N,팀수비력!A:A,B423,팀수비력!B:B,D423)))*100,"")</f>
        <v>0</v>
      </c>
      <c r="BO423" s="67">
        <f t="shared" si="243"/>
        <v>22.831050228310502</v>
      </c>
      <c r="BT423" t="s">
        <v>89</v>
      </c>
      <c r="BV423" t="s">
        <v>102</v>
      </c>
      <c r="CF423">
        <v>1</v>
      </c>
      <c r="CG423">
        <v>6</v>
      </c>
    </row>
    <row r="424" spans="1:85" x14ac:dyDescent="0.4">
      <c r="A424" s="11" t="s">
        <v>85</v>
      </c>
      <c r="B424" t="s">
        <v>183</v>
      </c>
      <c r="C424" t="s">
        <v>188</v>
      </c>
      <c r="D424" s="46" t="s">
        <v>307</v>
      </c>
      <c r="E424">
        <v>9</v>
      </c>
      <c r="F424">
        <v>22</v>
      </c>
      <c r="G424" s="1">
        <v>54</v>
      </c>
      <c r="H424" s="16">
        <f t="shared" si="218"/>
        <v>12366</v>
      </c>
      <c r="I424">
        <v>65</v>
      </c>
      <c r="J424" s="17">
        <f t="shared" si="219"/>
        <v>7.2222222222222223</v>
      </c>
      <c r="K424">
        <v>20</v>
      </c>
      <c r="L424">
        <v>59</v>
      </c>
      <c r="M424" s="17">
        <f t="shared" si="220"/>
        <v>2.2222222222222223</v>
      </c>
      <c r="N424" s="17">
        <f t="shared" si="221"/>
        <v>6.5555555555555554</v>
      </c>
      <c r="O424" s="18">
        <f t="shared" si="222"/>
        <v>0.33898305084745761</v>
      </c>
      <c r="P424">
        <v>11</v>
      </c>
      <c r="Q424">
        <v>23</v>
      </c>
      <c r="R424" s="17">
        <f t="shared" si="223"/>
        <v>1.2222222222222223</v>
      </c>
      <c r="S424" s="17">
        <f t="shared" si="224"/>
        <v>2.5555555555555554</v>
      </c>
      <c r="T424" s="18">
        <f t="shared" si="225"/>
        <v>0.47826086956521741</v>
      </c>
      <c r="U424">
        <v>9</v>
      </c>
      <c r="V424">
        <v>36</v>
      </c>
      <c r="W424" s="17">
        <f t="shared" si="226"/>
        <v>1</v>
      </c>
      <c r="X424" s="17">
        <f t="shared" si="227"/>
        <v>4</v>
      </c>
      <c r="Y424" s="18">
        <f t="shared" si="228"/>
        <v>0.25</v>
      </c>
      <c r="Z424">
        <v>16</v>
      </c>
      <c r="AA424">
        <v>18</v>
      </c>
      <c r="AB424" s="17">
        <f t="shared" si="229"/>
        <v>1.7777777777777777</v>
      </c>
      <c r="AC424" s="17">
        <f t="shared" si="230"/>
        <v>2</v>
      </c>
      <c r="AD424" s="18">
        <f t="shared" si="231"/>
        <v>0.88888888888888884</v>
      </c>
      <c r="AE424">
        <v>24</v>
      </c>
      <c r="AF424" s="17">
        <f t="shared" si="232"/>
        <v>2.6666666666666665</v>
      </c>
      <c r="AG424">
        <v>6</v>
      </c>
      <c r="AH424" s="17">
        <f t="shared" si="233"/>
        <v>0.66666666666666663</v>
      </c>
      <c r="AI424">
        <v>18</v>
      </c>
      <c r="AJ424" s="17">
        <f t="shared" si="234"/>
        <v>2</v>
      </c>
      <c r="AK424">
        <v>31</v>
      </c>
      <c r="AL424" s="17">
        <f t="shared" si="235"/>
        <v>3.4444444444444446</v>
      </c>
      <c r="AM424">
        <v>7</v>
      </c>
      <c r="AN424" s="17">
        <f t="shared" si="236"/>
        <v>0.77777777777777779</v>
      </c>
      <c r="AO424">
        <v>0</v>
      </c>
      <c r="AQ424">
        <v>16</v>
      </c>
      <c r="AR424" s="17">
        <f t="shared" si="237"/>
        <v>1.7777777777777777</v>
      </c>
      <c r="AS424">
        <v>22</v>
      </c>
      <c r="AT424" s="17">
        <f t="shared" si="238"/>
        <v>2.4444444444444446</v>
      </c>
      <c r="BD424" s="65">
        <f t="shared" si="239"/>
        <v>48.565451285116559</v>
      </c>
      <c r="BE424" s="65">
        <f t="shared" si="240"/>
        <v>41.525423728813557</v>
      </c>
      <c r="BF424" s="66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18.19395386740004</v>
      </c>
      <c r="BG424" s="38">
        <f t="shared" si="241"/>
        <v>0.61016949152542377</v>
      </c>
      <c r="BH424" s="38">
        <f t="shared" si="242"/>
        <v>0.30508474576271188</v>
      </c>
      <c r="BI424" s="67">
        <f>IFERROR(((AG424*(12000/5))/((F424*60+G424)*(SUMIFS(팀공격력!X:X,팀공격력!A:A,B424,팀공격력!B:B,D424)+SUMIFS(팀수비력!X:X,팀수비력!A:A,B424,팀수비력!B:B,D424))))*100,"")</f>
        <v>1.5642312455191294</v>
      </c>
      <c r="BJ424" s="67">
        <f>IFERROR(((AI424*(12000/5))/((F424*60+G424)*(SUMIFS(팀공격력!V:V,팀공격력!A:A,B424,팀공격력!B:B,D424)+SUMIFS(팀수비력!W:W,팀수비력!A:A,B424,팀수비력!B:B,D424))))*100,"")</f>
        <v>9.1398395450390986</v>
      </c>
      <c r="BK424" s="67">
        <f>IFERROR(((AE424*(12000/5))/((F424*60+G424)*(SUMIFS(팀공격력!X:X,팀공격력!A:A,B424,팀공격력!B:B,D424)+SUMIFS(팀수비력!X:X,팀수비력!A:A,B424,팀수비력!B:B,D424))))*100,"")</f>
        <v>6.2569249820765176</v>
      </c>
      <c r="BL424" s="67">
        <f>IFERROR(100*AK424/(((((F424*60+G424)/(12000/5))*SUMIFS(팀공격력!P:P,팀공격력!A:A,B424,팀공격력!B:B,D424))-K424)),"")</f>
        <v>24.717936450982737</v>
      </c>
      <c r="BM424" s="67">
        <f>IFERROR(100*((AM424/E424*(2400))/((F424*60+G424)*SUMIFS(팀공격력!AR:AR,팀공격력!A:A,B424,팀공격력!B:B,D424))),"")</f>
        <v>1.8415876810197387</v>
      </c>
      <c r="BN424" s="67">
        <f>IFERROR((AO424*40)/(((F424*60+G424)/60)*(SUMIFS(팀수비력!Q:Q,팀수비력!A:A,B424,팀수비력!B:B,D424)-SUMIFS(팀수비력!N:N,팀수비력!A:A,B424,팀수비력!B:B,D424)))*100,"")</f>
        <v>0</v>
      </c>
      <c r="BO424" s="67">
        <f t="shared" si="243"/>
        <v>19.29570670525808</v>
      </c>
      <c r="BT424" t="s">
        <v>89</v>
      </c>
      <c r="BV424" t="s">
        <v>90</v>
      </c>
      <c r="CF424">
        <v>1</v>
      </c>
      <c r="CG424">
        <v>8</v>
      </c>
    </row>
    <row r="425" spans="1:85" x14ac:dyDescent="0.4">
      <c r="A425" s="11" t="s">
        <v>85</v>
      </c>
      <c r="B425" t="s">
        <v>183</v>
      </c>
      <c r="C425" t="s">
        <v>189</v>
      </c>
      <c r="D425" s="46" t="s">
        <v>307</v>
      </c>
      <c r="E425">
        <v>2</v>
      </c>
      <c r="F425">
        <v>6</v>
      </c>
      <c r="G425" s="1">
        <v>37</v>
      </c>
      <c r="H425" s="16">
        <f t="shared" si="218"/>
        <v>794</v>
      </c>
      <c r="I425">
        <v>0</v>
      </c>
      <c r="J425" s="17">
        <f t="shared" si="219"/>
        <v>0</v>
      </c>
      <c r="K425">
        <v>0</v>
      </c>
      <c r="L425">
        <v>4</v>
      </c>
      <c r="M425" s="17">
        <f t="shared" si="220"/>
        <v>0</v>
      </c>
      <c r="N425" s="17">
        <f t="shared" si="221"/>
        <v>2</v>
      </c>
      <c r="O425" s="18">
        <f t="shared" si="222"/>
        <v>0</v>
      </c>
      <c r="P425">
        <v>0</v>
      </c>
      <c r="Q425">
        <v>2</v>
      </c>
      <c r="R425" s="17">
        <f t="shared" si="223"/>
        <v>0</v>
      </c>
      <c r="S425" s="17">
        <f t="shared" si="224"/>
        <v>1</v>
      </c>
      <c r="T425" s="18">
        <f t="shared" si="225"/>
        <v>0</v>
      </c>
      <c r="U425">
        <v>0</v>
      </c>
      <c r="V425">
        <v>2</v>
      </c>
      <c r="W425" s="17">
        <f t="shared" si="226"/>
        <v>0</v>
      </c>
      <c r="X425" s="17">
        <f t="shared" si="227"/>
        <v>1</v>
      </c>
      <c r="Y425" s="18">
        <f t="shared" si="228"/>
        <v>0</v>
      </c>
      <c r="Z425">
        <v>0</v>
      </c>
      <c r="AA425">
        <v>0</v>
      </c>
      <c r="AB425" s="17">
        <f t="shared" si="229"/>
        <v>0</v>
      </c>
      <c r="AC425" s="17">
        <f t="shared" si="230"/>
        <v>0</v>
      </c>
      <c r="AD425" s="18" t="e">
        <f t="shared" si="231"/>
        <v>#DIV/0!</v>
      </c>
      <c r="AE425">
        <v>2</v>
      </c>
      <c r="AF425" s="17">
        <f t="shared" si="232"/>
        <v>1</v>
      </c>
      <c r="AG425">
        <v>0</v>
      </c>
      <c r="AH425" s="17">
        <f t="shared" si="233"/>
        <v>0</v>
      </c>
      <c r="AI425">
        <v>2</v>
      </c>
      <c r="AJ425" s="17">
        <f t="shared" si="234"/>
        <v>1</v>
      </c>
      <c r="AK425">
        <v>0</v>
      </c>
      <c r="AL425" s="17">
        <f t="shared" si="235"/>
        <v>0</v>
      </c>
      <c r="AM425">
        <v>0</v>
      </c>
      <c r="AN425" s="17">
        <f t="shared" si="236"/>
        <v>0</v>
      </c>
      <c r="AO425">
        <v>0</v>
      </c>
      <c r="AQ425">
        <v>1</v>
      </c>
      <c r="AR425" s="17">
        <f t="shared" si="237"/>
        <v>0.5</v>
      </c>
      <c r="AS425">
        <v>3</v>
      </c>
      <c r="AT425" s="17">
        <f t="shared" si="238"/>
        <v>1.5</v>
      </c>
      <c r="BD425" s="65">
        <f t="shared" si="239"/>
        <v>0</v>
      </c>
      <c r="BE425" s="65">
        <f t="shared" si="240"/>
        <v>0</v>
      </c>
      <c r="BF425" s="66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3.7969425499810532</v>
      </c>
      <c r="BG425" s="38">
        <f t="shared" si="241"/>
        <v>0.5</v>
      </c>
      <c r="BH425" s="38">
        <f t="shared" si="242"/>
        <v>0</v>
      </c>
      <c r="BI425" s="67">
        <f>IFERROR(((AG425*(12000/5))/((F425*60+G425)*(SUMIFS(팀공격력!X:X,팀공격력!A:A,B425,팀공격력!B:B,D425)+SUMIFS(팀수비력!X:X,팀수비력!A:A,B425,팀수비력!B:B,D425))))*100,"")</f>
        <v>0</v>
      </c>
      <c r="BJ425" s="67">
        <f>IFERROR(((AI425*(12000/5))/((F425*60+G425)*(SUMIFS(팀공격력!V:V,팀공격력!A:A,B425,팀공격력!B:B,D425)+SUMIFS(팀수비력!W:W,팀수비력!A:A,B425,팀수비력!B:B,D425))))*100,"")</f>
        <v>3.514732587428973</v>
      </c>
      <c r="BK425" s="67">
        <f>IFERROR(((AE425*(12000/5))/((F425*60+G425)*(SUMIFS(팀공격력!X:X,팀공격력!A:A,B425,팀공격력!B:B,D425)+SUMIFS(팀수비력!X:X,팀수비력!A:A,B425,팀수비력!B:B,D425))))*100,"")</f>
        <v>1.8045791195157712</v>
      </c>
      <c r="BL425" s="67">
        <f>IFERROR(100*AK425/(((((F425*60+G425)/(12000/5))*SUMIFS(팀공격력!P:P,팀공격력!A:A,B425,팀공격력!B:B,D425))-K425)),"")</f>
        <v>0</v>
      </c>
      <c r="BM425" s="67">
        <f>IFERROR(100*((AM425/E425*(2400))/((F425*60+G425)*SUMIFS(팀공격력!AR:AR,팀공격력!A:A,B425,팀공격력!B:B,D425))),"")</f>
        <v>0</v>
      </c>
      <c r="BN425" s="67">
        <f>IFERROR((AO425*40)/(((F425*60+G425)/60)*(SUMIFS(팀수비력!Q:Q,팀수비력!A:A,B425,팀수비력!B:B,D425)-SUMIFS(팀수비력!N:N,팀수비력!A:A,B425,팀수비력!B:B,D425)))*100,"")</f>
        <v>0</v>
      </c>
      <c r="BO425" s="67">
        <f t="shared" si="243"/>
        <v>20</v>
      </c>
      <c r="BT425" t="s">
        <v>89</v>
      </c>
      <c r="BV425" t="s">
        <v>90</v>
      </c>
      <c r="CF425">
        <v>0</v>
      </c>
      <c r="CG425">
        <v>2</v>
      </c>
    </row>
    <row r="426" spans="1:85" x14ac:dyDescent="0.4">
      <c r="A426" s="11" t="s">
        <v>85</v>
      </c>
      <c r="B426" t="s">
        <v>183</v>
      </c>
      <c r="C426" t="s">
        <v>191</v>
      </c>
      <c r="D426" s="46" t="s">
        <v>307</v>
      </c>
      <c r="E426">
        <v>4</v>
      </c>
      <c r="F426">
        <v>25</v>
      </c>
      <c r="G426" s="1">
        <v>57</v>
      </c>
      <c r="H426" s="16">
        <f t="shared" si="218"/>
        <v>6228</v>
      </c>
      <c r="I426">
        <v>27</v>
      </c>
      <c r="J426" s="17">
        <f t="shared" si="219"/>
        <v>6.75</v>
      </c>
      <c r="K426">
        <v>9</v>
      </c>
      <c r="L426">
        <v>28</v>
      </c>
      <c r="M426" s="17">
        <f t="shared" si="220"/>
        <v>2.25</v>
      </c>
      <c r="N426" s="17">
        <f t="shared" si="221"/>
        <v>7</v>
      </c>
      <c r="O426" s="18">
        <f t="shared" si="222"/>
        <v>0.32142857142857145</v>
      </c>
      <c r="P426">
        <v>2</v>
      </c>
      <c r="Q426">
        <v>10</v>
      </c>
      <c r="R426" s="17">
        <f t="shared" si="223"/>
        <v>0.5</v>
      </c>
      <c r="S426" s="17">
        <f t="shared" si="224"/>
        <v>2.5</v>
      </c>
      <c r="T426" s="18">
        <f t="shared" si="225"/>
        <v>0.2</v>
      </c>
      <c r="U426">
        <v>7</v>
      </c>
      <c r="V426">
        <v>18</v>
      </c>
      <c r="W426" s="17">
        <f t="shared" si="226"/>
        <v>1.75</v>
      </c>
      <c r="X426" s="17">
        <f t="shared" si="227"/>
        <v>4.5</v>
      </c>
      <c r="Y426" s="18">
        <f t="shared" si="228"/>
        <v>0.3888888888888889</v>
      </c>
      <c r="Z426">
        <v>2</v>
      </c>
      <c r="AA426">
        <v>6</v>
      </c>
      <c r="AB426" s="17">
        <f t="shared" si="229"/>
        <v>0.5</v>
      </c>
      <c r="AC426" s="17">
        <f t="shared" si="230"/>
        <v>1.5</v>
      </c>
      <c r="AD426" s="18">
        <f t="shared" si="231"/>
        <v>0.33333333333333331</v>
      </c>
      <c r="AE426">
        <v>16</v>
      </c>
      <c r="AF426" s="17">
        <f t="shared" si="232"/>
        <v>4</v>
      </c>
      <c r="AG426">
        <v>4</v>
      </c>
      <c r="AH426" s="17">
        <f t="shared" si="233"/>
        <v>1</v>
      </c>
      <c r="AI426">
        <v>12</v>
      </c>
      <c r="AJ426" s="17">
        <f t="shared" si="234"/>
        <v>3</v>
      </c>
      <c r="AK426">
        <v>7</v>
      </c>
      <c r="AL426" s="17">
        <f t="shared" si="235"/>
        <v>1.75</v>
      </c>
      <c r="AM426">
        <v>2</v>
      </c>
      <c r="AN426" s="17">
        <f t="shared" si="236"/>
        <v>0.5</v>
      </c>
      <c r="AO426">
        <v>3</v>
      </c>
      <c r="AQ426">
        <v>4</v>
      </c>
      <c r="AR426" s="17">
        <f t="shared" si="237"/>
        <v>1</v>
      </c>
      <c r="AS426">
        <v>11</v>
      </c>
      <c r="AT426" s="17">
        <f t="shared" si="238"/>
        <v>2.75</v>
      </c>
      <c r="BD426" s="65">
        <f t="shared" si="239"/>
        <v>44.06005221932115</v>
      </c>
      <c r="BE426" s="65">
        <f t="shared" si="240"/>
        <v>44.642857142857146</v>
      </c>
      <c r="BF426" s="66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6.7072392681751367</v>
      </c>
      <c r="BG426" s="38">
        <f t="shared" si="241"/>
        <v>0.6428571428571429</v>
      </c>
      <c r="BH426" s="38">
        <f t="shared" si="242"/>
        <v>0.21428571428571427</v>
      </c>
      <c r="BI426" s="67">
        <f>IFERROR(((AG426*(12000/5))/((F426*60+G426)*(SUMIFS(팀공격력!X:X,팀공격력!A:A,B426,팀공격력!B:B,D426)+SUMIFS(팀수비력!X:X,팀수비력!A:A,B426,팀수비력!B:B,D426))))*100,"")</f>
        <v>0.92025422022833803</v>
      </c>
      <c r="BJ426" s="67">
        <f>IFERROR(((AI426*(12000/5))/((F426*60+G426)*(SUMIFS(팀공격력!V:V,팀공격력!A:A,B426,팀공격력!B:B,D426)+SUMIFS(팀수비력!W:W,팀수비력!A:A,B426,팀수비력!B:B,D426))))*100,"")</f>
        <v>5.3770668100551156</v>
      </c>
      <c r="BK426" s="67">
        <f>IFERROR(((AE426*(12000/5))/((F426*60+G426)*(SUMIFS(팀공격력!X:X,팀공격력!A:A,B426,팀공격력!B:B,D426)+SUMIFS(팀수비력!X:X,팀수비력!A:A,B426,팀수비력!B:B,D426))))*100,"")</f>
        <v>3.6810168809133521</v>
      </c>
      <c r="BL426" s="67">
        <f>IFERROR(100*AK426/(((((F426*60+G426)/(12000/5))*SUMIFS(팀공격력!P:P,팀공격력!A:A,B426,팀공격력!B:B,D426))-K426)),"")</f>
        <v>4.4934443856017205</v>
      </c>
      <c r="BM426" s="67">
        <f>IFERROR(100*((AM426/E426*(2400))/((F426*60+G426)*SUMIFS(팀공격력!AR:AR,팀공격력!A:A,B426,팀공격력!B:B,D426))),"")</f>
        <v>1.0447322352275479</v>
      </c>
      <c r="BN426" s="67">
        <f>IFERROR((AO426*40)/(((F426*60+G426)/60)*(SUMIFS(팀수비력!Q:Q,팀수비력!A:A,B426,팀수비력!B:B,D426)-SUMIFS(팀수비력!N:N,팀수비력!A:A,B426,팀수비력!B:B,D426)))*100,"")</f>
        <v>1.0679624611194916</v>
      </c>
      <c r="BO426" s="67">
        <f t="shared" si="243"/>
        <v>11.547344110854503</v>
      </c>
      <c r="BT426" t="s">
        <v>89</v>
      </c>
      <c r="BV426" t="s">
        <v>93</v>
      </c>
      <c r="CF426">
        <v>0</v>
      </c>
      <c r="CG426">
        <v>4</v>
      </c>
    </row>
    <row r="427" spans="1:85" x14ac:dyDescent="0.4">
      <c r="A427" s="11" t="s">
        <v>85</v>
      </c>
      <c r="B427" t="s">
        <v>183</v>
      </c>
      <c r="C427" t="s">
        <v>192</v>
      </c>
      <c r="D427" s="46" t="s">
        <v>307</v>
      </c>
      <c r="E427">
        <v>9</v>
      </c>
      <c r="F427">
        <v>15</v>
      </c>
      <c r="G427" s="1">
        <v>28</v>
      </c>
      <c r="H427" s="16">
        <f t="shared" si="218"/>
        <v>8352</v>
      </c>
      <c r="I427">
        <v>53</v>
      </c>
      <c r="J427" s="17">
        <f t="shared" si="219"/>
        <v>5.8888888888888893</v>
      </c>
      <c r="K427">
        <v>22</v>
      </c>
      <c r="L427">
        <v>51</v>
      </c>
      <c r="M427" s="17">
        <f t="shared" si="220"/>
        <v>2.4444444444444446</v>
      </c>
      <c r="N427" s="17">
        <f t="shared" si="221"/>
        <v>5.666666666666667</v>
      </c>
      <c r="O427" s="18">
        <f t="shared" si="222"/>
        <v>0.43137254901960786</v>
      </c>
      <c r="P427">
        <v>16</v>
      </c>
      <c r="Q427">
        <v>32</v>
      </c>
      <c r="R427" s="17">
        <f t="shared" si="223"/>
        <v>1.7777777777777777</v>
      </c>
      <c r="S427" s="17">
        <f t="shared" si="224"/>
        <v>3.5555555555555554</v>
      </c>
      <c r="T427" s="18">
        <f t="shared" si="225"/>
        <v>0.5</v>
      </c>
      <c r="U427">
        <v>6</v>
      </c>
      <c r="V427">
        <v>19</v>
      </c>
      <c r="W427" s="17">
        <f t="shared" si="226"/>
        <v>0.66666666666666663</v>
      </c>
      <c r="X427" s="17">
        <f t="shared" si="227"/>
        <v>2.1111111111111112</v>
      </c>
      <c r="Y427" s="18">
        <f t="shared" si="228"/>
        <v>0.31578947368421051</v>
      </c>
      <c r="Z427">
        <v>3</v>
      </c>
      <c r="AA427">
        <v>5</v>
      </c>
      <c r="AB427" s="17">
        <f t="shared" si="229"/>
        <v>0.33333333333333331</v>
      </c>
      <c r="AC427" s="17">
        <f t="shared" si="230"/>
        <v>0.55555555555555558</v>
      </c>
      <c r="AD427" s="18">
        <f t="shared" si="231"/>
        <v>0.6</v>
      </c>
      <c r="AE427">
        <v>6</v>
      </c>
      <c r="AF427" s="17">
        <f t="shared" si="232"/>
        <v>0.66666666666666663</v>
      </c>
      <c r="AG427">
        <v>2</v>
      </c>
      <c r="AH427" s="17">
        <f t="shared" si="233"/>
        <v>0.22222222222222221</v>
      </c>
      <c r="AI427">
        <v>4</v>
      </c>
      <c r="AJ427" s="17">
        <f t="shared" si="234"/>
        <v>0.44444444444444442</v>
      </c>
      <c r="AK427">
        <v>9</v>
      </c>
      <c r="AL427" s="17">
        <f t="shared" si="235"/>
        <v>1</v>
      </c>
      <c r="AM427">
        <v>4</v>
      </c>
      <c r="AN427" s="17">
        <f t="shared" si="236"/>
        <v>0.44444444444444442</v>
      </c>
      <c r="AO427">
        <v>0</v>
      </c>
      <c r="AQ427">
        <v>9</v>
      </c>
      <c r="AR427" s="17">
        <f t="shared" si="237"/>
        <v>1</v>
      </c>
      <c r="AS427">
        <v>11</v>
      </c>
      <c r="AT427" s="17">
        <f t="shared" si="238"/>
        <v>1.2222222222222223</v>
      </c>
      <c r="BD427" s="65">
        <f t="shared" si="239"/>
        <v>49.81203007518797</v>
      </c>
      <c r="BE427" s="65">
        <f t="shared" si="240"/>
        <v>49.019607843137251</v>
      </c>
      <c r="BF427" s="66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20.206771802522013</v>
      </c>
      <c r="BG427" s="38">
        <f t="shared" si="241"/>
        <v>0.37254901960784315</v>
      </c>
      <c r="BH427" s="38">
        <f t="shared" si="242"/>
        <v>9.8039215686274508E-2</v>
      </c>
      <c r="BI427" s="67">
        <f>IFERROR(((AG427*(12000/5))/((F427*60+G427)*(SUMIFS(팀공격력!X:X,팀공격력!A:A,B427,팀공격력!B:B,D427)+SUMIFS(팀수비력!X:X,팀수비력!A:A,B427,팀수비력!B:B,D427))))*100,"")</f>
        <v>0.77200205867215643</v>
      </c>
      <c r="BJ427" s="67">
        <f>IFERROR(((AI427*(12000/5))/((F427*60+G427)*(SUMIFS(팀공격력!V:V,팀공격력!A:A,B427,팀공격력!B:B,D427)+SUMIFS(팀수비력!W:W,팀수비력!A:A,B427,팀수비력!B:B,D427))))*100,"")</f>
        <v>3.0072173215717721</v>
      </c>
      <c r="BK427" s="67">
        <f>IFERROR(((AE427*(12000/5))/((F427*60+G427)*(SUMIFS(팀공격력!X:X,팀공격력!A:A,B427,팀공격력!B:B,D427)+SUMIFS(팀수비력!X:X,팀수비력!A:A,B427,팀수비력!B:B,D427))))*100,"")</f>
        <v>2.3160061760164696</v>
      </c>
      <c r="BL427" s="67">
        <f>IFERROR(100*AK427/(((((F427*60+G427)/(12000/5))*SUMIFS(팀공격력!P:P,팀공격력!A:A,B427,팀공격력!B:B,D427))-K427)),"")</f>
        <v>11.808957312806157</v>
      </c>
      <c r="BM427" s="67">
        <f>IFERROR(100*((AM427/E427*(2400))/((F427*60+G427)*SUMIFS(팀공격력!AR:AR,팀공격력!A:A,B427,팀공격력!B:B,D427))),"")</f>
        <v>1.5580920404686702</v>
      </c>
      <c r="BN427" s="67">
        <f>IFERROR((AO427*40)/(((F427*60+G427)/60)*(SUMIFS(팀수비력!Q:Q,팀수비력!A:A,B427,팀수비력!B:B,D427)-SUMIFS(팀수비력!N:N,팀수비력!A:A,B427,팀수비력!B:B,D427)))*100,"")</f>
        <v>0</v>
      </c>
      <c r="BO427" s="67">
        <f t="shared" si="243"/>
        <v>14.469453376205788</v>
      </c>
      <c r="BT427" t="s">
        <v>113</v>
      </c>
      <c r="BV427" t="s">
        <v>90</v>
      </c>
      <c r="CF427">
        <v>1</v>
      </c>
      <c r="CG427">
        <v>8</v>
      </c>
    </row>
    <row r="428" spans="1:85" x14ac:dyDescent="0.4">
      <c r="A428" s="11" t="s">
        <v>85</v>
      </c>
      <c r="B428" t="s">
        <v>183</v>
      </c>
      <c r="C428" t="s">
        <v>193</v>
      </c>
      <c r="D428" s="46" t="s">
        <v>307</v>
      </c>
      <c r="E428">
        <v>7</v>
      </c>
      <c r="F428">
        <v>12</v>
      </c>
      <c r="G428" s="1">
        <v>25</v>
      </c>
      <c r="H428" s="16">
        <f t="shared" si="218"/>
        <v>5215</v>
      </c>
      <c r="I428">
        <v>17</v>
      </c>
      <c r="J428" s="17">
        <f t="shared" si="219"/>
        <v>2.4285714285714284</v>
      </c>
      <c r="K428">
        <v>7</v>
      </c>
      <c r="L428">
        <v>24</v>
      </c>
      <c r="M428" s="17">
        <f t="shared" si="220"/>
        <v>1</v>
      </c>
      <c r="N428" s="17">
        <f t="shared" si="221"/>
        <v>3.4285714285714284</v>
      </c>
      <c r="O428" s="18">
        <f t="shared" si="222"/>
        <v>0.29166666666666669</v>
      </c>
      <c r="P428">
        <v>4</v>
      </c>
      <c r="Q428">
        <v>9</v>
      </c>
      <c r="R428" s="17">
        <f t="shared" si="223"/>
        <v>0.5714285714285714</v>
      </c>
      <c r="S428" s="17">
        <f t="shared" si="224"/>
        <v>1.2857142857142858</v>
      </c>
      <c r="T428" s="18">
        <f t="shared" si="225"/>
        <v>0.44444444444444442</v>
      </c>
      <c r="U428">
        <v>3</v>
      </c>
      <c r="V428">
        <v>15</v>
      </c>
      <c r="W428" s="17">
        <f t="shared" si="226"/>
        <v>0.42857142857142855</v>
      </c>
      <c r="X428" s="17">
        <f t="shared" si="227"/>
        <v>2.1428571428571428</v>
      </c>
      <c r="Y428" s="18">
        <f t="shared" si="228"/>
        <v>0.2</v>
      </c>
      <c r="Z428">
        <v>0</v>
      </c>
      <c r="AA428">
        <v>0</v>
      </c>
      <c r="AB428" s="17">
        <f t="shared" si="229"/>
        <v>0</v>
      </c>
      <c r="AC428" s="17">
        <f t="shared" si="230"/>
        <v>0</v>
      </c>
      <c r="AD428" s="18" t="e">
        <f t="shared" si="231"/>
        <v>#DIV/0!</v>
      </c>
      <c r="AE428">
        <v>10</v>
      </c>
      <c r="AF428" s="17">
        <f t="shared" si="232"/>
        <v>1.4285714285714286</v>
      </c>
      <c r="AG428">
        <v>3</v>
      </c>
      <c r="AH428" s="17">
        <f t="shared" si="233"/>
        <v>0.42857142857142855</v>
      </c>
      <c r="AI428">
        <v>7</v>
      </c>
      <c r="AJ428" s="17">
        <f t="shared" si="234"/>
        <v>1</v>
      </c>
      <c r="AK428">
        <v>1</v>
      </c>
      <c r="AL428" s="17">
        <f t="shared" si="235"/>
        <v>0.14285714285714285</v>
      </c>
      <c r="AM428">
        <v>1</v>
      </c>
      <c r="AN428" s="17">
        <f t="shared" si="236"/>
        <v>0.14285714285714285</v>
      </c>
      <c r="AO428">
        <v>0</v>
      </c>
      <c r="AQ428">
        <v>1</v>
      </c>
      <c r="AR428" s="17">
        <f t="shared" si="237"/>
        <v>0.14285714285714285</v>
      </c>
      <c r="AS428">
        <v>11</v>
      </c>
      <c r="AT428" s="17">
        <f t="shared" si="238"/>
        <v>1.5714285714285714</v>
      </c>
      <c r="BD428" s="65">
        <f t="shared" si="239"/>
        <v>35.416666666666671</v>
      </c>
      <c r="BE428" s="65">
        <f t="shared" si="240"/>
        <v>35.416666666666671</v>
      </c>
      <c r="BF428" s="66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10.116685854647505</v>
      </c>
      <c r="BG428" s="38">
        <f t="shared" si="241"/>
        <v>0.625</v>
      </c>
      <c r="BH428" s="38">
        <f t="shared" si="242"/>
        <v>0</v>
      </c>
      <c r="BI428" s="67">
        <f>IFERROR(((AG428*(12000/5))/((F428*60+G428)*(SUMIFS(팀공격력!X:X,팀공격력!A:A,B428,팀공격력!B:B,D428)+SUMIFS(팀수비력!X:X,팀수비력!A:A,B428,팀수비력!B:B,D428))))*100,"")</f>
        <v>1.4424521686867675</v>
      </c>
      <c r="BJ428" s="67">
        <f>IFERROR(((AI428*(12000/5))/((F428*60+G428)*(SUMIFS(팀공격력!V:V,팀공격력!A:A,B428,팀공격력!B:B,D428)+SUMIFS(팀수비력!W:W,팀수비력!A:A,B428,팀수비력!B:B,D428))))*100,"")</f>
        <v>6.5553301076947097</v>
      </c>
      <c r="BK428" s="67">
        <f>IFERROR(((AE428*(12000/5))/((F428*60+G428)*(SUMIFS(팀공격력!X:X,팀공격력!A:A,B428,팀공격력!B:B,D428)+SUMIFS(팀수비력!X:X,팀수비력!A:A,B428,팀수비력!B:B,D428))))*100,"")</f>
        <v>4.8081738956225584</v>
      </c>
      <c r="BL428" s="67">
        <f>IFERROR(100*AK428/(((((F428*60+G428)/(12000/5))*SUMIFS(팀공격력!P:P,팀공격력!A:A,B428,팀공격력!B:B,D428))-K428)),"")</f>
        <v>1.3918691642985559</v>
      </c>
      <c r="BM428" s="67">
        <f>IFERROR(100*((AM428/E428*(2400))/((F428*60+G428)*SUMIFS(팀공격력!AR:AR,팀공격력!A:A,B428,팀공격력!B:B,D428))),"")</f>
        <v>0.62383435867662207</v>
      </c>
      <c r="BN428" s="67">
        <f>IFERROR((AO428*40)/(((F428*60+G428)/60)*(SUMIFS(팀수비력!Q:Q,팀수비력!A:A,B428,팀수비력!B:B,D428)-SUMIFS(팀수비력!N:N,팀수비력!A:A,B428,팀수비력!B:B,D428)))*100,"")</f>
        <v>0</v>
      </c>
      <c r="BO428" s="67">
        <f t="shared" si="243"/>
        <v>4</v>
      </c>
      <c r="BT428" t="s">
        <v>89</v>
      </c>
      <c r="BV428" t="s">
        <v>93</v>
      </c>
      <c r="CF428">
        <v>1</v>
      </c>
      <c r="CG428">
        <v>6</v>
      </c>
    </row>
    <row r="429" spans="1:85" x14ac:dyDescent="0.4">
      <c r="A429" s="11" t="s">
        <v>85</v>
      </c>
      <c r="B429" t="s">
        <v>183</v>
      </c>
      <c r="C429" t="s">
        <v>194</v>
      </c>
      <c r="D429" s="46" t="s">
        <v>307</v>
      </c>
      <c r="E429">
        <v>9</v>
      </c>
      <c r="F429">
        <v>19</v>
      </c>
      <c r="G429" s="1">
        <v>30</v>
      </c>
      <c r="H429" s="16">
        <f t="shared" si="218"/>
        <v>10530</v>
      </c>
      <c r="I429">
        <v>31</v>
      </c>
      <c r="J429" s="17">
        <f t="shared" si="219"/>
        <v>3.4444444444444446</v>
      </c>
      <c r="K429">
        <v>11</v>
      </c>
      <c r="L429">
        <v>39</v>
      </c>
      <c r="M429" s="17">
        <f t="shared" si="220"/>
        <v>1.2222222222222223</v>
      </c>
      <c r="N429" s="17">
        <f t="shared" si="221"/>
        <v>4.333333333333333</v>
      </c>
      <c r="O429" s="18">
        <f t="shared" si="222"/>
        <v>0.28205128205128205</v>
      </c>
      <c r="P429">
        <v>8</v>
      </c>
      <c r="Q429">
        <v>23</v>
      </c>
      <c r="R429" s="17">
        <f t="shared" si="223"/>
        <v>0.88888888888888884</v>
      </c>
      <c r="S429" s="17">
        <f t="shared" si="224"/>
        <v>2.5555555555555554</v>
      </c>
      <c r="T429" s="18">
        <f t="shared" si="225"/>
        <v>0.34782608695652173</v>
      </c>
      <c r="U429">
        <v>3</v>
      </c>
      <c r="V429">
        <v>16</v>
      </c>
      <c r="W429" s="17">
        <f t="shared" si="226"/>
        <v>0.33333333333333331</v>
      </c>
      <c r="X429" s="17">
        <f t="shared" si="227"/>
        <v>1.7777777777777777</v>
      </c>
      <c r="Y429" s="18">
        <f t="shared" si="228"/>
        <v>0.1875</v>
      </c>
      <c r="Z429">
        <v>6</v>
      </c>
      <c r="AA429">
        <v>6</v>
      </c>
      <c r="AB429" s="17">
        <f t="shared" si="229"/>
        <v>0.66666666666666663</v>
      </c>
      <c r="AC429" s="17">
        <f t="shared" si="230"/>
        <v>0.66666666666666663</v>
      </c>
      <c r="AD429" s="18">
        <f t="shared" si="231"/>
        <v>1</v>
      </c>
      <c r="AE429">
        <v>22</v>
      </c>
      <c r="AF429" s="17">
        <f t="shared" si="232"/>
        <v>2.4444444444444446</v>
      </c>
      <c r="AG429">
        <v>7</v>
      </c>
      <c r="AH429" s="17">
        <f t="shared" si="233"/>
        <v>0.77777777777777779</v>
      </c>
      <c r="AI429">
        <v>15</v>
      </c>
      <c r="AJ429" s="17">
        <f t="shared" si="234"/>
        <v>1.6666666666666667</v>
      </c>
      <c r="AK429">
        <v>16</v>
      </c>
      <c r="AL429" s="17">
        <f t="shared" si="235"/>
        <v>1.7777777777777777</v>
      </c>
      <c r="AM429">
        <v>4</v>
      </c>
      <c r="AN429" s="17">
        <f t="shared" si="236"/>
        <v>0.44444444444444442</v>
      </c>
      <c r="AO429">
        <v>0</v>
      </c>
      <c r="AQ429">
        <v>10</v>
      </c>
      <c r="AR429" s="17">
        <f t="shared" si="237"/>
        <v>1.1111111111111112</v>
      </c>
      <c r="AS429">
        <v>18</v>
      </c>
      <c r="AT429" s="17">
        <f t="shared" si="238"/>
        <v>2</v>
      </c>
      <c r="BD429" s="65">
        <f t="shared" si="239"/>
        <v>37.223823246877998</v>
      </c>
      <c r="BE429" s="65">
        <f t="shared" si="240"/>
        <v>32.051282051282051</v>
      </c>
      <c r="BF429" s="66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13.306226149156506</v>
      </c>
      <c r="BG429" s="38">
        <f t="shared" si="241"/>
        <v>0.41025641025641024</v>
      </c>
      <c r="BH429" s="38">
        <f t="shared" si="242"/>
        <v>0.15384615384615385</v>
      </c>
      <c r="BI429" s="67">
        <f>IFERROR(((AG429*(12000/5))/((F429*60+G429)*(SUMIFS(팀공격력!X:X,팀공격력!A:A,B429,팀공격력!B:B,D429)+SUMIFS(팀수비력!X:X,팀수비력!A:A,B429,팀수비력!B:B,D429))))*100,"")</f>
        <v>2.1431305013394564</v>
      </c>
      <c r="BJ429" s="67">
        <f>IFERROR(((AI429*(12000/5))/((F429*60+G429)*(SUMIFS(팀공격력!V:V,팀공격력!A:A,B429,팀공격력!B:B,D429)+SUMIFS(팀수비력!W:W,팀수비력!A:A,B429,팀수비력!B:B,D429))))*100,"")</f>
        <v>8.9445438282647594</v>
      </c>
      <c r="BK429" s="67">
        <f>IFERROR(((AE429*(12000/5))/((F429*60+G429)*(SUMIFS(팀공격력!X:X,팀공격력!A:A,B429,팀공격력!B:B,D429)+SUMIFS(팀수비력!X:X,팀수비력!A:A,B429,팀수비력!B:B,D429))))*100,"")</f>
        <v>6.7355530042097209</v>
      </c>
      <c r="BL429" s="67">
        <f>IFERROR(100*AK429/(((((F429*60+G429)/(12000/5))*SUMIFS(팀공격력!P:P,팀공격력!A:A,B429,팀공격력!B:B,D429))-K429)),"")</f>
        <v>14.181254154664304</v>
      </c>
      <c r="BM429" s="67">
        <f>IFERROR(100*((AM429/E429*(2400))/((F429*60+G429)*SUMIFS(팀공격력!AR:AR,팀공격력!A:A,B429,팀공격력!B:B,D429))),"")</f>
        <v>1.2358200115854068</v>
      </c>
      <c r="BN429" s="67">
        <f>IFERROR((AO429*40)/(((F429*60+G429)/60)*(SUMIFS(팀수비력!Q:Q,팀수비력!A:A,B429,팀수비력!B:B,D429)-SUMIFS(팀수비력!N:N,팀수비력!A:A,B429,팀수비력!B:B,D429)))*100,"")</f>
        <v>0</v>
      </c>
      <c r="BO429" s="67">
        <f t="shared" si="243"/>
        <v>19.364833462432223</v>
      </c>
      <c r="BT429" t="s">
        <v>89</v>
      </c>
      <c r="BV429" t="s">
        <v>90</v>
      </c>
      <c r="CF429">
        <v>1</v>
      </c>
      <c r="CG429">
        <v>8</v>
      </c>
    </row>
    <row r="430" spans="1:85" x14ac:dyDescent="0.4">
      <c r="A430" s="11" t="s">
        <v>85</v>
      </c>
      <c r="B430" t="s">
        <v>183</v>
      </c>
      <c r="C430" t="s">
        <v>195</v>
      </c>
      <c r="D430" s="46" t="s">
        <v>307</v>
      </c>
      <c r="E430">
        <v>9</v>
      </c>
      <c r="F430">
        <v>12</v>
      </c>
      <c r="G430" s="1">
        <v>59</v>
      </c>
      <c r="H430" s="16">
        <f t="shared" si="218"/>
        <v>7011</v>
      </c>
      <c r="I430">
        <v>68</v>
      </c>
      <c r="J430" s="17">
        <f t="shared" si="219"/>
        <v>7.5555555555555554</v>
      </c>
      <c r="K430">
        <v>32</v>
      </c>
      <c r="L430">
        <v>62</v>
      </c>
      <c r="M430" s="17">
        <f t="shared" si="220"/>
        <v>3.5555555555555554</v>
      </c>
      <c r="N430" s="17">
        <f t="shared" si="221"/>
        <v>6.8888888888888893</v>
      </c>
      <c r="O430" s="18">
        <f t="shared" si="222"/>
        <v>0.5161290322580645</v>
      </c>
      <c r="P430">
        <v>31</v>
      </c>
      <c r="Q430">
        <v>54</v>
      </c>
      <c r="R430" s="17">
        <f t="shared" si="223"/>
        <v>3.4444444444444446</v>
      </c>
      <c r="S430" s="17">
        <f t="shared" si="224"/>
        <v>6</v>
      </c>
      <c r="T430" s="18">
        <f t="shared" si="225"/>
        <v>0.57407407407407407</v>
      </c>
      <c r="U430">
        <v>1</v>
      </c>
      <c r="V430">
        <v>8</v>
      </c>
      <c r="W430" s="17">
        <f t="shared" si="226"/>
        <v>0.1111111111111111</v>
      </c>
      <c r="X430" s="17">
        <f t="shared" si="227"/>
        <v>0.88888888888888884</v>
      </c>
      <c r="Y430" s="18">
        <f t="shared" si="228"/>
        <v>0.125</v>
      </c>
      <c r="Z430">
        <v>3</v>
      </c>
      <c r="AA430">
        <v>8</v>
      </c>
      <c r="AB430" s="17">
        <f t="shared" si="229"/>
        <v>0.33333333333333331</v>
      </c>
      <c r="AC430" s="17">
        <f t="shared" si="230"/>
        <v>0.88888888888888884</v>
      </c>
      <c r="AD430" s="18">
        <f t="shared" si="231"/>
        <v>0.375</v>
      </c>
      <c r="AE430">
        <v>44</v>
      </c>
      <c r="AF430" s="17">
        <f t="shared" si="232"/>
        <v>4.8888888888888893</v>
      </c>
      <c r="AG430">
        <v>17</v>
      </c>
      <c r="AH430" s="17">
        <f t="shared" si="233"/>
        <v>1.8888888888888888</v>
      </c>
      <c r="AI430">
        <v>27</v>
      </c>
      <c r="AJ430" s="17">
        <f t="shared" si="234"/>
        <v>3</v>
      </c>
      <c r="AK430">
        <v>5</v>
      </c>
      <c r="AL430" s="17">
        <f t="shared" si="235"/>
        <v>0.55555555555555558</v>
      </c>
      <c r="AM430">
        <v>5</v>
      </c>
      <c r="AN430" s="17">
        <f t="shared" si="236"/>
        <v>0.55555555555555558</v>
      </c>
      <c r="AO430">
        <v>1</v>
      </c>
      <c r="AQ430">
        <v>4</v>
      </c>
      <c r="AR430" s="17">
        <f t="shared" si="237"/>
        <v>0.44444444444444442</v>
      </c>
      <c r="AS430">
        <v>8</v>
      </c>
      <c r="AT430" s="17">
        <f t="shared" si="238"/>
        <v>0.88888888888888884</v>
      </c>
      <c r="BD430" s="65">
        <f t="shared" si="239"/>
        <v>51.8925518925519</v>
      </c>
      <c r="BE430" s="65">
        <f t="shared" si="240"/>
        <v>52.419354838709673</v>
      </c>
      <c r="BF430" s="66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26.904618252028001</v>
      </c>
      <c r="BG430" s="38">
        <f t="shared" si="241"/>
        <v>0.12903225806451613</v>
      </c>
      <c r="BH430" s="38">
        <f t="shared" si="242"/>
        <v>0.12903225806451613</v>
      </c>
      <c r="BI430" s="67">
        <f>IFERROR(((AG430*(12000/5))/((F430*60+G430)*(SUMIFS(팀공격력!X:X,팀공격력!A:A,B430,팀공격력!B:B,D430)+SUMIFS(팀수비력!X:X,팀수비력!A:A,B430,팀수비력!B:B,D430))))*100,"")</f>
        <v>7.8171402295326962</v>
      </c>
      <c r="BJ430" s="67">
        <f>IFERROR(((AI430*(12000/5))/((F430*60+G430)*(SUMIFS(팀공격력!V:V,팀공격력!A:A,B430,팀공격력!B:B,D430)+SUMIFS(팀수비력!W:W,팀수비력!A:A,B430,팀수비력!B:B,D430))))*100,"")</f>
        <v>24.181269964474431</v>
      </c>
      <c r="BK430" s="67">
        <f>IFERROR(((AE430*(12000/5))/((F430*60+G430)*(SUMIFS(팀공격력!X:X,팀공격력!A:A,B430,팀공격력!B:B,D430)+SUMIFS(팀수비력!X:X,팀수비력!A:A,B430,팀수비력!B:B,D430))))*100,"")</f>
        <v>20.23259824114345</v>
      </c>
      <c r="BL430" s="67">
        <f>IFERROR(100*AK430/(((((F430*60+G430)/(12000/5))*SUMIFS(팀공격력!P:P,팀공격력!A:A,B430,팀공격력!B:B,D430))-K430)),"")</f>
        <v>9.9119488543439136</v>
      </c>
      <c r="BM430" s="67">
        <f>IFERROR(100*((AM430/E430*(2400))/((F430*60+G430)*SUMIFS(팀공격력!AR:AR,팀공격력!A:A,B430,팀공격력!B:B,D430))),"")</f>
        <v>2.3201370564103438</v>
      </c>
      <c r="BN430" s="67">
        <f>IFERROR((AO430*40)/(((F430*60+G430)/60)*(SUMIFS(팀수비력!Q:Q,팀수비력!A:A,B430,팀수비력!B:B,D430)-SUMIFS(팀수비력!N:N,팀수비력!A:A,B430,팀수비력!B:B,D430)))*100,"")</f>
        <v>0.71151799399360227</v>
      </c>
      <c r="BO430" s="67">
        <f t="shared" si="243"/>
        <v>5.7537399309551214</v>
      </c>
      <c r="BT430" t="s">
        <v>96</v>
      </c>
      <c r="BV430" t="s">
        <v>93</v>
      </c>
      <c r="CF430">
        <v>1</v>
      </c>
      <c r="CG430">
        <v>8</v>
      </c>
    </row>
    <row r="431" spans="1:85" x14ac:dyDescent="0.4">
      <c r="A431" s="11" t="s">
        <v>85</v>
      </c>
      <c r="B431" t="s">
        <v>183</v>
      </c>
      <c r="C431" t="s">
        <v>196</v>
      </c>
      <c r="D431" s="46" t="s">
        <v>307</v>
      </c>
      <c r="E431">
        <v>7</v>
      </c>
      <c r="F431">
        <v>24</v>
      </c>
      <c r="G431" s="1">
        <v>12</v>
      </c>
      <c r="H431" s="16">
        <f t="shared" si="218"/>
        <v>10164</v>
      </c>
      <c r="I431">
        <v>51</v>
      </c>
      <c r="J431" s="17">
        <f t="shared" si="219"/>
        <v>7.2857142857142856</v>
      </c>
      <c r="K431">
        <v>18</v>
      </c>
      <c r="L431">
        <v>57</v>
      </c>
      <c r="M431" s="17">
        <f t="shared" si="220"/>
        <v>2.5714285714285716</v>
      </c>
      <c r="N431" s="17">
        <f t="shared" si="221"/>
        <v>8.1428571428571423</v>
      </c>
      <c r="O431" s="18">
        <f t="shared" si="222"/>
        <v>0.31578947368421051</v>
      </c>
      <c r="P431">
        <v>16</v>
      </c>
      <c r="Q431">
        <v>37</v>
      </c>
      <c r="R431" s="17">
        <f t="shared" si="223"/>
        <v>2.2857142857142856</v>
      </c>
      <c r="S431" s="17">
        <f t="shared" si="224"/>
        <v>5.2857142857142856</v>
      </c>
      <c r="T431" s="18">
        <f t="shared" si="225"/>
        <v>0.43243243243243246</v>
      </c>
      <c r="U431">
        <v>2</v>
      </c>
      <c r="V431">
        <v>20</v>
      </c>
      <c r="W431" s="17">
        <f t="shared" si="226"/>
        <v>0.2857142857142857</v>
      </c>
      <c r="X431" s="17">
        <f t="shared" si="227"/>
        <v>2.8571428571428572</v>
      </c>
      <c r="Y431" s="18">
        <f t="shared" si="228"/>
        <v>0.1</v>
      </c>
      <c r="Z431">
        <v>13</v>
      </c>
      <c r="AA431">
        <v>19</v>
      </c>
      <c r="AB431" s="17">
        <f t="shared" si="229"/>
        <v>1.8571428571428572</v>
      </c>
      <c r="AC431" s="17">
        <f t="shared" si="230"/>
        <v>2.7142857142857144</v>
      </c>
      <c r="AD431" s="18">
        <f t="shared" si="231"/>
        <v>0.68421052631578949</v>
      </c>
      <c r="AE431">
        <v>48</v>
      </c>
      <c r="AF431" s="17">
        <f t="shared" si="232"/>
        <v>6.8571428571428568</v>
      </c>
      <c r="AG431">
        <v>15</v>
      </c>
      <c r="AH431" s="17">
        <f t="shared" si="233"/>
        <v>2.1428571428571428</v>
      </c>
      <c r="AI431">
        <v>33</v>
      </c>
      <c r="AJ431" s="17">
        <f t="shared" si="234"/>
        <v>4.7142857142857144</v>
      </c>
      <c r="AK431">
        <v>12</v>
      </c>
      <c r="AL431" s="17">
        <f t="shared" si="235"/>
        <v>1.7142857142857142</v>
      </c>
      <c r="AM431">
        <v>4</v>
      </c>
      <c r="AN431" s="17">
        <f t="shared" si="236"/>
        <v>0.5714285714285714</v>
      </c>
      <c r="AO431">
        <v>4</v>
      </c>
      <c r="AQ431">
        <v>11</v>
      </c>
      <c r="AR431" s="17">
        <f t="shared" si="237"/>
        <v>1.5714285714285714</v>
      </c>
      <c r="AS431">
        <v>16</v>
      </c>
      <c r="AT431" s="17">
        <f t="shared" si="238"/>
        <v>2.2857142857142856</v>
      </c>
      <c r="BD431" s="65">
        <f t="shared" si="239"/>
        <v>39.014687882496943</v>
      </c>
      <c r="BE431" s="65">
        <f t="shared" si="240"/>
        <v>33.333333333333329</v>
      </c>
      <c r="BF431" s="66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15.854546783370745</v>
      </c>
      <c r="BG431" s="38">
        <f t="shared" si="241"/>
        <v>0.35087719298245612</v>
      </c>
      <c r="BH431" s="38">
        <f t="shared" si="242"/>
        <v>0.33333333333333331</v>
      </c>
      <c r="BI431" s="67">
        <f>IFERROR(((AG431*(12000/5))/((F431*60+G431)*(SUMIFS(팀공격력!X:X,팀공격력!A:A,B431,팀공격력!B:B,D431)+SUMIFS(팀수비력!X:X,팀수비력!A:A,B431,팀수비력!B:B,D431))))*100,"")</f>
        <v>3.7005057357838904</v>
      </c>
      <c r="BJ431" s="67">
        <f>IFERROR(((AI431*(12000/5))/((F431*60+G431)*(SUMIFS(팀공격력!V:V,팀공격력!A:A,B431,팀공격력!B:B,D431)+SUMIFS(팀수비력!W:W,팀수비력!A:A,B431,팀수비력!B:B,D431))))*100,"")</f>
        <v>15.856236786469344</v>
      </c>
      <c r="BK431" s="67">
        <f>IFERROR(((AE431*(12000/5))/((F431*60+G431)*(SUMIFS(팀공격력!X:X,팀공격력!A:A,B431,팀공격력!B:B,D431)+SUMIFS(팀수비력!X:X,팀수비력!A:A,B431,팀수비력!B:B,D431))))*100,"")</f>
        <v>11.84161835450845</v>
      </c>
      <c r="BL431" s="67">
        <f>IFERROR(100*AK431/(((((F431*60+G431)/(12000/5))*SUMIFS(팀공격력!P:P,팀공격력!A:A,B431,팀공격력!B:B,D431))-K431)),"")</f>
        <v>8.8449915235497905</v>
      </c>
      <c r="BM431" s="67">
        <f>IFERROR(100*((AM431/E431*(2400))/((F431*60+G431)*SUMIFS(팀공격력!AR:AR,팀공격력!A:A,B431,팀공격력!B:B,D431))),"")</f>
        <v>1.2803212044465107</v>
      </c>
      <c r="BN431" s="67">
        <f>IFERROR((AO431*40)/(((F431*60+G431)/60)*(SUMIFS(팀수비력!Q:Q,팀수비력!A:A,B431,팀수비력!B:B,D431)-SUMIFS(팀수비력!N:N,팀수비력!A:A,B431,팀수비력!B:B,D431)))*100,"")</f>
        <v>1.5269215353196037</v>
      </c>
      <c r="BO431" s="67">
        <f t="shared" si="243"/>
        <v>14.405447878470403</v>
      </c>
      <c r="BT431" t="s">
        <v>89</v>
      </c>
      <c r="BV431" t="s">
        <v>102</v>
      </c>
      <c r="CF431">
        <v>1</v>
      </c>
      <c r="CG431">
        <v>6</v>
      </c>
    </row>
    <row r="432" spans="1:85" x14ac:dyDescent="0.4">
      <c r="A432" s="11" t="s">
        <v>85</v>
      </c>
      <c r="B432" t="s">
        <v>183</v>
      </c>
      <c r="C432" t="s">
        <v>197</v>
      </c>
      <c r="D432" s="46" t="s">
        <v>307</v>
      </c>
      <c r="E432">
        <v>9</v>
      </c>
      <c r="F432">
        <v>24</v>
      </c>
      <c r="G432" s="1">
        <v>21</v>
      </c>
      <c r="H432" s="16">
        <f t="shared" si="218"/>
        <v>13149</v>
      </c>
      <c r="I432">
        <v>95</v>
      </c>
      <c r="J432" s="17">
        <f t="shared" si="219"/>
        <v>10.555555555555555</v>
      </c>
      <c r="K432">
        <v>31</v>
      </c>
      <c r="L432">
        <v>89</v>
      </c>
      <c r="M432" s="17">
        <f t="shared" si="220"/>
        <v>3.4444444444444446</v>
      </c>
      <c r="N432" s="17">
        <f t="shared" si="221"/>
        <v>9.8888888888888893</v>
      </c>
      <c r="O432" s="18">
        <f t="shared" si="222"/>
        <v>0.34831460674157305</v>
      </c>
      <c r="P432">
        <v>14</v>
      </c>
      <c r="Q432">
        <v>39</v>
      </c>
      <c r="R432" s="17">
        <f t="shared" si="223"/>
        <v>1.5555555555555556</v>
      </c>
      <c r="S432" s="17">
        <f t="shared" si="224"/>
        <v>4.333333333333333</v>
      </c>
      <c r="T432" s="18">
        <f t="shared" si="225"/>
        <v>0.35897435897435898</v>
      </c>
      <c r="U432">
        <v>17</v>
      </c>
      <c r="V432">
        <v>50</v>
      </c>
      <c r="W432" s="17">
        <f t="shared" si="226"/>
        <v>1.8888888888888888</v>
      </c>
      <c r="X432" s="17">
        <f t="shared" si="227"/>
        <v>5.5555555555555554</v>
      </c>
      <c r="Y432" s="18">
        <f t="shared" si="228"/>
        <v>0.34</v>
      </c>
      <c r="Z432">
        <v>16</v>
      </c>
      <c r="AA432">
        <v>21</v>
      </c>
      <c r="AB432" s="17">
        <f t="shared" si="229"/>
        <v>1.7777777777777777</v>
      </c>
      <c r="AC432" s="17">
        <f t="shared" si="230"/>
        <v>2.3333333333333335</v>
      </c>
      <c r="AD432" s="18">
        <f t="shared" si="231"/>
        <v>0.76190476190476186</v>
      </c>
      <c r="AE432">
        <v>33</v>
      </c>
      <c r="AF432" s="17">
        <f t="shared" si="232"/>
        <v>3.6666666666666665</v>
      </c>
      <c r="AG432">
        <v>4</v>
      </c>
      <c r="AH432" s="17">
        <f t="shared" si="233"/>
        <v>0.44444444444444442</v>
      </c>
      <c r="AI432">
        <v>29</v>
      </c>
      <c r="AJ432" s="17">
        <f t="shared" si="234"/>
        <v>3.2222222222222223</v>
      </c>
      <c r="AK432">
        <v>36</v>
      </c>
      <c r="AL432" s="17">
        <f t="shared" si="235"/>
        <v>4</v>
      </c>
      <c r="AM432">
        <v>9</v>
      </c>
      <c r="AN432" s="17">
        <f t="shared" si="236"/>
        <v>1</v>
      </c>
      <c r="AO432">
        <v>0</v>
      </c>
      <c r="AQ432">
        <v>9</v>
      </c>
      <c r="AR432" s="17">
        <f t="shared" si="237"/>
        <v>1</v>
      </c>
      <c r="AS432">
        <v>16</v>
      </c>
      <c r="AT432" s="17">
        <f t="shared" si="238"/>
        <v>1.7777777777777777</v>
      </c>
      <c r="BD432" s="65">
        <f t="shared" si="239"/>
        <v>48.350977198697073</v>
      </c>
      <c r="BE432" s="65">
        <f t="shared" si="240"/>
        <v>44.382022471910112</v>
      </c>
      <c r="BF432" s="66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22.128965813389094</v>
      </c>
      <c r="BG432" s="38">
        <f t="shared" si="241"/>
        <v>0.5617977528089888</v>
      </c>
      <c r="BH432" s="38">
        <f t="shared" si="242"/>
        <v>0.23595505617977527</v>
      </c>
      <c r="BI432" s="67">
        <f>IFERROR(((AG432*(12000/5))/((F432*60+G432)*(SUMIFS(팀공격력!X:X,팀공격력!A:A,B432,팀공격력!B:B,D432)+SUMIFS(팀수비력!X:X,팀수비력!A:A,B432,팀수비력!B:B,D432))))*100,"")</f>
        <v>0.98072267001746916</v>
      </c>
      <c r="BJ432" s="67">
        <f>IFERROR(((AI432*(12000/5))/((F432*60+G432)*(SUMIFS(팀공격력!V:V,팀공격력!A:A,B432,팀공격력!B:B,D432)+SUMIFS(팀수비력!W:W,팀수비력!A:A,B432,팀수비력!B:B,D432))))*100,"")</f>
        <v>13.848431307005397</v>
      </c>
      <c r="BK432" s="67">
        <f>IFERROR(((AE432*(12000/5))/((F432*60+G432)*(SUMIFS(팀공격력!X:X,팀공격력!A:A,B432,팀공격력!B:B,D432)+SUMIFS(팀수비력!X:X,팀수비력!A:A,B432,팀수비력!B:B,D432))))*100,"")</f>
        <v>8.090962027644121</v>
      </c>
      <c r="BL432" s="67">
        <f>IFERROR(100*AK432/(((((F432*60+G432)/(12000/5))*SUMIFS(팀공격력!P:P,팀공격력!A:A,B432,팀공격력!B:B,D432))-K432)),"")</f>
        <v>29.120912455256931</v>
      </c>
      <c r="BM432" s="67">
        <f>IFERROR(100*((AM432/E432*(2400))/((F432*60+G432)*SUMIFS(팀공격력!AR:AR,팀공격력!A:A,B432,팀공격력!B:B,D432))),"")</f>
        <v>2.2267598771379764</v>
      </c>
      <c r="BN432" s="67">
        <f>IFERROR((AO432*40)/(((F432*60+G432)/60)*(SUMIFS(팀수비력!Q:Q,팀수비력!A:A,B432,팀수비력!B:B,D432)-SUMIFS(팀수비력!N:N,팀수비력!A:A,B432,팀수비력!B:B,D432)))*100,"")</f>
        <v>0</v>
      </c>
      <c r="BO432" s="67">
        <f t="shared" si="243"/>
        <v>8.3923908989183147</v>
      </c>
      <c r="BT432" t="s">
        <v>89</v>
      </c>
      <c r="BV432" t="s">
        <v>90</v>
      </c>
      <c r="CF432">
        <v>1</v>
      </c>
      <c r="CG432">
        <v>8</v>
      </c>
    </row>
    <row r="433" spans="1:85" x14ac:dyDescent="0.4">
      <c r="A433" s="11" t="s">
        <v>85</v>
      </c>
      <c r="B433" t="s">
        <v>183</v>
      </c>
      <c r="C433" t="s">
        <v>198</v>
      </c>
      <c r="D433" s="46" t="s">
        <v>307</v>
      </c>
      <c r="E433">
        <v>2</v>
      </c>
      <c r="F433">
        <v>16</v>
      </c>
      <c r="G433" s="1">
        <v>51</v>
      </c>
      <c r="H433" s="16">
        <f t="shared" si="218"/>
        <v>2022</v>
      </c>
      <c r="I433">
        <v>7</v>
      </c>
      <c r="J433" s="17">
        <f t="shared" si="219"/>
        <v>3.5</v>
      </c>
      <c r="K433">
        <v>2</v>
      </c>
      <c r="L433">
        <v>6</v>
      </c>
      <c r="M433" s="17">
        <f t="shared" si="220"/>
        <v>1</v>
      </c>
      <c r="N433" s="17">
        <f t="shared" si="221"/>
        <v>3</v>
      </c>
      <c r="O433" s="18">
        <f t="shared" si="222"/>
        <v>0.33333333333333331</v>
      </c>
      <c r="P433">
        <v>2</v>
      </c>
      <c r="Q433">
        <v>6</v>
      </c>
      <c r="R433" s="17">
        <f t="shared" si="223"/>
        <v>1</v>
      </c>
      <c r="S433" s="17">
        <f t="shared" si="224"/>
        <v>3</v>
      </c>
      <c r="T433" s="18">
        <f t="shared" si="225"/>
        <v>0.33333333333333331</v>
      </c>
      <c r="U433">
        <v>0</v>
      </c>
      <c r="V433">
        <v>0</v>
      </c>
      <c r="W433" s="17">
        <f t="shared" si="226"/>
        <v>0</v>
      </c>
      <c r="X433" s="17">
        <f t="shared" si="227"/>
        <v>0</v>
      </c>
      <c r="Y433" s="18" t="e">
        <f t="shared" si="228"/>
        <v>#DIV/0!</v>
      </c>
      <c r="Z433">
        <v>3</v>
      </c>
      <c r="AA433">
        <v>4</v>
      </c>
      <c r="AB433" s="17">
        <f t="shared" si="229"/>
        <v>1.5</v>
      </c>
      <c r="AC433" s="17">
        <f t="shared" si="230"/>
        <v>2</v>
      </c>
      <c r="AD433" s="18">
        <f t="shared" si="231"/>
        <v>0.75</v>
      </c>
      <c r="AE433">
        <v>7</v>
      </c>
      <c r="AF433" s="17">
        <f t="shared" si="232"/>
        <v>3.5</v>
      </c>
      <c r="AG433">
        <v>3</v>
      </c>
      <c r="AH433" s="17">
        <f t="shared" si="233"/>
        <v>1.5</v>
      </c>
      <c r="AI433">
        <v>4</v>
      </c>
      <c r="AJ433" s="17">
        <f t="shared" si="234"/>
        <v>2</v>
      </c>
      <c r="AK433">
        <v>0</v>
      </c>
      <c r="AL433" s="17">
        <f t="shared" si="235"/>
        <v>0</v>
      </c>
      <c r="AM433">
        <v>0</v>
      </c>
      <c r="AN433" s="17">
        <f t="shared" si="236"/>
        <v>0</v>
      </c>
      <c r="AO433">
        <v>0</v>
      </c>
      <c r="AQ433">
        <v>1</v>
      </c>
      <c r="AR433" s="17">
        <f t="shared" si="237"/>
        <v>0.5</v>
      </c>
      <c r="AS433">
        <v>6</v>
      </c>
      <c r="AT433" s="17">
        <f t="shared" si="238"/>
        <v>3</v>
      </c>
      <c r="BD433" s="65">
        <f t="shared" si="239"/>
        <v>45.103092783505154</v>
      </c>
      <c r="BE433" s="65">
        <f t="shared" si="240"/>
        <v>33.333333333333329</v>
      </c>
      <c r="BF433" s="66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2.6122063392522468</v>
      </c>
      <c r="BG433" s="38">
        <f t="shared" si="241"/>
        <v>0</v>
      </c>
      <c r="BH433" s="38">
        <f t="shared" si="242"/>
        <v>0.66666666666666663</v>
      </c>
      <c r="BI433" s="67">
        <f>IFERROR(((AG433*(12000/5))/((F433*60+G433)*(SUMIFS(팀공격력!X:X,팀공격력!A:A,B433,팀공격력!B:B,D433)+SUMIFS(팀수비력!X:X,팀수비력!A:A,B433,팀수비력!B:B,D433))))*100,"")</f>
        <v>1.062934585234067</v>
      </c>
      <c r="BJ433" s="67">
        <f>IFERROR(((AI433*(12000/5))/((F433*60+G433)*(SUMIFS(팀공격력!V:V,팀공격력!A:A,B433,팀공격력!B:B,D433)+SUMIFS(팀수비력!W:W,팀수비력!A:A,B433,팀수비력!B:B,D433))))*100,"")</f>
        <v>2.76033400041405</v>
      </c>
      <c r="BK433" s="67">
        <f>IFERROR(((AE433*(12000/5))/((F433*60+G433)*(SUMIFS(팀공격력!X:X,팀공격력!A:A,B433,팀공격력!B:B,D433)+SUMIFS(팀수비력!X:X,팀수비력!A:A,B433,팀수비력!B:B,D433))))*100,"")</f>
        <v>2.4801806988794901</v>
      </c>
      <c r="BL433" s="67">
        <f>IFERROR(100*AK433/(((((F433*60+G433)/(12000/5))*SUMIFS(팀공격력!P:P,팀공격력!A:A,B433,팀공격력!B:B,D433))-K433)),"")</f>
        <v>0</v>
      </c>
      <c r="BM433" s="67">
        <f>IFERROR(100*((AM433/E433*(2400))/((F433*60+G433)*SUMIFS(팀공격력!AR:AR,팀공격력!A:A,B433,팀공격력!B:B,D433))),"")</f>
        <v>0</v>
      </c>
      <c r="BN433" s="67">
        <f>IFERROR((AO433*40)/(((F433*60+G433)/60)*(SUMIFS(팀수비력!Q:Q,팀수비력!A:A,B433,팀수비력!B:B,D433)-SUMIFS(팀수비력!N:N,팀수비력!A:A,B433,팀수비력!B:B,D433)))*100,"")</f>
        <v>0</v>
      </c>
      <c r="BO433" s="67">
        <f t="shared" si="243"/>
        <v>11.415525114155251</v>
      </c>
      <c r="BT433" t="s">
        <v>89</v>
      </c>
      <c r="BV433" t="s">
        <v>102</v>
      </c>
      <c r="CF433">
        <v>0</v>
      </c>
      <c r="CG433">
        <v>2</v>
      </c>
    </row>
    <row r="434" spans="1:85" x14ac:dyDescent="0.4">
      <c r="A434" s="11" t="s">
        <v>85</v>
      </c>
      <c r="B434" t="s">
        <v>183</v>
      </c>
      <c r="C434" t="s">
        <v>285</v>
      </c>
      <c r="D434" s="46" t="s">
        <v>307</v>
      </c>
      <c r="E434">
        <v>9</v>
      </c>
      <c r="F434">
        <v>20</v>
      </c>
      <c r="G434" s="1">
        <v>20</v>
      </c>
      <c r="H434" s="16">
        <f t="shared" si="218"/>
        <v>10980</v>
      </c>
      <c r="I434">
        <v>53</v>
      </c>
      <c r="J434" s="17">
        <f t="shared" si="219"/>
        <v>5.8888888888888893</v>
      </c>
      <c r="K434">
        <v>19</v>
      </c>
      <c r="L434">
        <v>39</v>
      </c>
      <c r="M434" s="17">
        <f t="shared" si="220"/>
        <v>2.1111111111111112</v>
      </c>
      <c r="N434" s="17">
        <f t="shared" si="221"/>
        <v>4.333333333333333</v>
      </c>
      <c r="O434" s="18">
        <f t="shared" si="222"/>
        <v>0.48717948717948717</v>
      </c>
      <c r="P434">
        <v>14</v>
      </c>
      <c r="Q434">
        <v>27</v>
      </c>
      <c r="R434" s="17">
        <f t="shared" si="223"/>
        <v>1.5555555555555556</v>
      </c>
      <c r="S434" s="17">
        <f t="shared" si="224"/>
        <v>3</v>
      </c>
      <c r="T434" s="18">
        <f t="shared" si="225"/>
        <v>0.51851851851851849</v>
      </c>
      <c r="U434">
        <v>5</v>
      </c>
      <c r="V434">
        <v>12</v>
      </c>
      <c r="W434" s="17">
        <f t="shared" si="226"/>
        <v>0.55555555555555558</v>
      </c>
      <c r="X434" s="17">
        <f t="shared" si="227"/>
        <v>1.3333333333333333</v>
      </c>
      <c r="Y434" s="18">
        <f t="shared" si="228"/>
        <v>0.41666666666666669</v>
      </c>
      <c r="Z434">
        <v>10</v>
      </c>
      <c r="AA434">
        <v>16</v>
      </c>
      <c r="AB434" s="17">
        <f t="shared" si="229"/>
        <v>1.1111111111111112</v>
      </c>
      <c r="AC434" s="17">
        <f t="shared" si="230"/>
        <v>1.7777777777777777</v>
      </c>
      <c r="AD434" s="18">
        <f t="shared" si="231"/>
        <v>0.625</v>
      </c>
      <c r="AE434">
        <v>30</v>
      </c>
      <c r="AF434" s="17">
        <f t="shared" si="232"/>
        <v>3.3333333333333335</v>
      </c>
      <c r="AG434">
        <v>10</v>
      </c>
      <c r="AH434" s="17">
        <f t="shared" si="233"/>
        <v>1.1111111111111112</v>
      </c>
      <c r="AI434">
        <v>20</v>
      </c>
      <c r="AJ434" s="17">
        <f t="shared" si="234"/>
        <v>2.2222222222222223</v>
      </c>
      <c r="AK434">
        <v>10</v>
      </c>
      <c r="AL434" s="17">
        <f t="shared" si="235"/>
        <v>1.1111111111111112</v>
      </c>
      <c r="AM434">
        <v>12</v>
      </c>
      <c r="AN434" s="17">
        <f t="shared" si="236"/>
        <v>1.3333333333333333</v>
      </c>
      <c r="AO434">
        <v>4</v>
      </c>
      <c r="AQ434">
        <v>9</v>
      </c>
      <c r="AR434" s="17">
        <f t="shared" si="237"/>
        <v>1</v>
      </c>
      <c r="AS434">
        <v>15</v>
      </c>
      <c r="AT434" s="17">
        <f t="shared" si="238"/>
        <v>1.6666666666666667</v>
      </c>
      <c r="BD434" s="65">
        <f t="shared" si="239"/>
        <v>57.558644656820157</v>
      </c>
      <c r="BE434" s="65">
        <f t="shared" si="240"/>
        <v>55.128205128205131</v>
      </c>
      <c r="BF434" s="66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13.601071479759014</v>
      </c>
      <c r="BG434" s="38">
        <f t="shared" si="241"/>
        <v>0.30769230769230771</v>
      </c>
      <c r="BH434" s="38">
        <f t="shared" si="242"/>
        <v>0.41025641025641024</v>
      </c>
      <c r="BI434" s="67">
        <f>IFERROR(((AG434*(12000/5))/((F434*60+G434)*(SUMIFS(팀공격력!X:X,팀공격력!A:A,B434,팀공격력!B:B,D434)+SUMIFS(팀수비력!X:X,팀수비력!A:A,B434,팀수비력!B:B,D434))))*100,"")</f>
        <v>2.9361389772449229</v>
      </c>
      <c r="BJ434" s="67">
        <f>IFERROR(((AI434*(12000/5))/((F434*60+G434)*(SUMIFS(팀공격력!V:V,팀공격력!A:A,B434,팀공격력!B:B,D434)+SUMIFS(팀수비력!W:W,팀수비력!A:A,B434,팀수비력!B:B,D434))))*100,"")</f>
        <v>11.43728555089592</v>
      </c>
      <c r="BK434" s="67">
        <f>IFERROR(((AE434*(12000/5))/((F434*60+G434)*(SUMIFS(팀공격력!X:X,팀공격력!A:A,B434,팀공격력!B:B,D434)+SUMIFS(팀수비력!X:X,팀수비력!A:A,B434,팀수비력!B:B,D434))))*100,"")</f>
        <v>8.8084169317347687</v>
      </c>
      <c r="BL434" s="67">
        <f>IFERROR(100*AK434/(((((F434*60+G434)/(12000/5))*SUMIFS(팀공격력!P:P,팀공격력!A:A,B434,팀공격력!B:B,D434))-K434)),"")</f>
        <v>9.0812774330255799</v>
      </c>
      <c r="BM434" s="67">
        <f>IFERROR(100*((AM434/E434*(2400))/((F434*60+G434)*SUMIFS(팀공격력!AR:AR,팀공격력!A:A,B434,팀공격력!B:B,D434))),"")</f>
        <v>3.5555149513645725</v>
      </c>
      <c r="BN434" s="67">
        <f>IFERROR((AO434*40)/(((F434*60+G434)/60)*(SUMIFS(팀수비력!Q:Q,팀수비력!A:A,B434,팀수비력!B:B,D434)-SUMIFS(팀수비력!N:N,팀수비력!A:A,B434,팀수비력!B:B,D434)))*100,"")</f>
        <v>1.8172869420361188</v>
      </c>
      <c r="BO434" s="67">
        <f t="shared" si="243"/>
        <v>16.351744186046513</v>
      </c>
      <c r="BT434" t="s">
        <v>89</v>
      </c>
      <c r="BV434" t="s">
        <v>93</v>
      </c>
      <c r="CF434">
        <v>1</v>
      </c>
      <c r="CG434">
        <v>8</v>
      </c>
    </row>
    <row r="435" spans="1:85" x14ac:dyDescent="0.4">
      <c r="A435" s="11" t="s">
        <v>85</v>
      </c>
      <c r="B435" t="s">
        <v>183</v>
      </c>
      <c r="C435" t="s">
        <v>202</v>
      </c>
      <c r="D435" s="46" t="s">
        <v>307</v>
      </c>
      <c r="E435">
        <v>9</v>
      </c>
      <c r="F435">
        <v>26</v>
      </c>
      <c r="G435" s="1">
        <v>55</v>
      </c>
      <c r="H435" s="16">
        <f t="shared" si="218"/>
        <v>14535</v>
      </c>
      <c r="I435">
        <v>179</v>
      </c>
      <c r="J435" s="17">
        <f t="shared" si="219"/>
        <v>19.888888888888889</v>
      </c>
      <c r="K435">
        <v>77</v>
      </c>
      <c r="L435">
        <v>142</v>
      </c>
      <c r="M435" s="17">
        <f t="shared" si="220"/>
        <v>8.5555555555555554</v>
      </c>
      <c r="N435" s="17">
        <f t="shared" si="221"/>
        <v>15.777777777777779</v>
      </c>
      <c r="O435" s="18">
        <f t="shared" si="222"/>
        <v>0.54225352112676062</v>
      </c>
      <c r="P435">
        <v>77</v>
      </c>
      <c r="Q435">
        <v>142</v>
      </c>
      <c r="R435" s="17">
        <f t="shared" si="223"/>
        <v>8.5555555555555554</v>
      </c>
      <c r="S435" s="17">
        <f t="shared" si="224"/>
        <v>15.777777777777779</v>
      </c>
      <c r="T435" s="18">
        <f t="shared" si="225"/>
        <v>0.54225352112676062</v>
      </c>
      <c r="U435">
        <v>0</v>
      </c>
      <c r="V435">
        <v>0</v>
      </c>
      <c r="W435" s="17">
        <f t="shared" si="226"/>
        <v>0</v>
      </c>
      <c r="X435" s="17">
        <f t="shared" si="227"/>
        <v>0</v>
      </c>
      <c r="Y435" s="18" t="e">
        <f t="shared" si="228"/>
        <v>#DIV/0!</v>
      </c>
      <c r="Z435">
        <v>25</v>
      </c>
      <c r="AA435">
        <v>44</v>
      </c>
      <c r="AB435" s="17">
        <f t="shared" si="229"/>
        <v>2.7777777777777777</v>
      </c>
      <c r="AC435" s="17">
        <f t="shared" si="230"/>
        <v>4.8888888888888893</v>
      </c>
      <c r="AD435" s="18">
        <f t="shared" si="231"/>
        <v>0.56818181818181823</v>
      </c>
      <c r="AE435">
        <v>81</v>
      </c>
      <c r="AF435" s="17">
        <f t="shared" si="232"/>
        <v>9</v>
      </c>
      <c r="AG435">
        <v>35</v>
      </c>
      <c r="AH435" s="17">
        <f t="shared" si="233"/>
        <v>3.8888888888888888</v>
      </c>
      <c r="AI435">
        <v>46</v>
      </c>
      <c r="AJ435" s="17">
        <f t="shared" si="234"/>
        <v>5.1111111111111107</v>
      </c>
      <c r="AK435">
        <v>10</v>
      </c>
      <c r="AL435" s="17">
        <f t="shared" si="235"/>
        <v>1.1111111111111112</v>
      </c>
      <c r="AM435">
        <v>5</v>
      </c>
      <c r="AN435" s="17">
        <f t="shared" si="236"/>
        <v>0.55555555555555558</v>
      </c>
      <c r="AO435">
        <v>5</v>
      </c>
      <c r="AQ435">
        <v>29</v>
      </c>
      <c r="AR435" s="17">
        <f t="shared" si="237"/>
        <v>3.2222222222222223</v>
      </c>
      <c r="AS435">
        <v>15</v>
      </c>
      <c r="AT435" s="17">
        <f t="shared" si="238"/>
        <v>1.6666666666666667</v>
      </c>
      <c r="BD435" s="65">
        <f t="shared" si="239"/>
        <v>55.466038671293994</v>
      </c>
      <c r="BE435" s="65">
        <f t="shared" si="240"/>
        <v>54.225352112676063</v>
      </c>
      <c r="BF435" s="66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35.535112764620955</v>
      </c>
      <c r="BG435" s="38">
        <f t="shared" si="241"/>
        <v>0</v>
      </c>
      <c r="BH435" s="38">
        <f t="shared" si="242"/>
        <v>0.30985915492957744</v>
      </c>
      <c r="BI435" s="67">
        <f>IFERROR(((AG435*(12000/5))/((F435*60+G435)*(SUMIFS(팀공격력!X:X,팀공격력!A:A,B435,팀공격력!B:B,D435)+SUMIFS(팀수비력!X:X,팀수비력!A:A,B435,팀수비력!B:B,D435))))*100,"")</f>
        <v>7.7630423732729543</v>
      </c>
      <c r="BJ435" s="67">
        <f>IFERROR(((AI435*(12000/5))/((F435*60+G435)*(SUMIFS(팀공격력!V:V,팀공격력!A:A,B435,팀공격력!B:B,D435)+SUMIFS(팀수비력!W:W,팀수비력!A:A,B435,팀수비력!B:B,D435))))*100,"")</f>
        <v>19.871841025271799</v>
      </c>
      <c r="BK435" s="67">
        <f>IFERROR(((AE435*(12000/5))/((F435*60+G435)*(SUMIFS(팀공격력!X:X,팀공격력!A:A,B435,팀공격력!B:B,D435)+SUMIFS(팀수비력!X:X,팀수비력!A:A,B435,팀수비력!B:B,D435))))*100,"")</f>
        <v>17.965898063860266</v>
      </c>
      <c r="BL435" s="67">
        <f>IFERROR(100*AK435/(((((F435*60+G435)/(12000/5))*SUMIFS(팀공격력!P:P,팀공격력!A:A,B435,팀공격력!B:B,D435))-K435)),"")</f>
        <v>10.647264983807283</v>
      </c>
      <c r="BM435" s="67">
        <f>IFERROR(100*((AM435/E435*(2400))/((F435*60+G435)*SUMIFS(팀공격력!AR:AR,팀공격력!A:A,B435,팀공격력!B:B,D435))),"")</f>
        <v>1.1191249330920483</v>
      </c>
      <c r="BN435" s="67">
        <f>IFERROR((AO435*40)/(((F435*60+G435)/60)*(SUMIFS(팀수비력!Q:Q,팀수비력!A:A,B435,팀수비력!B:B,D435)-SUMIFS(팀수비력!N:N,팀수비력!A:A,B435,팀수비력!B:B,D435)))*100,"")</f>
        <v>1.7160139855139818</v>
      </c>
      <c r="BO435" s="67">
        <f t="shared" si="243"/>
        <v>15.234292918680394</v>
      </c>
      <c r="BT435" t="s">
        <v>96</v>
      </c>
      <c r="BV435" t="s">
        <v>102</v>
      </c>
      <c r="CF435">
        <v>1</v>
      </c>
      <c r="CG435">
        <v>8</v>
      </c>
    </row>
    <row r="436" spans="1:85" x14ac:dyDescent="0.4">
      <c r="A436" s="11" t="s">
        <v>85</v>
      </c>
      <c r="B436" t="s">
        <v>183</v>
      </c>
      <c r="C436" t="s">
        <v>87</v>
      </c>
      <c r="D436" s="46" t="s">
        <v>307</v>
      </c>
      <c r="E436">
        <v>1</v>
      </c>
      <c r="F436">
        <v>1</v>
      </c>
      <c r="G436" s="1">
        <v>34</v>
      </c>
      <c r="H436" s="16">
        <f t="shared" si="218"/>
        <v>94</v>
      </c>
      <c r="I436">
        <v>0</v>
      </c>
      <c r="J436" s="17">
        <f t="shared" si="219"/>
        <v>0</v>
      </c>
      <c r="K436">
        <v>0</v>
      </c>
      <c r="L436">
        <v>0</v>
      </c>
      <c r="M436" s="17">
        <f t="shared" si="220"/>
        <v>0</v>
      </c>
      <c r="N436" s="17">
        <f t="shared" si="221"/>
        <v>0</v>
      </c>
      <c r="O436" s="18" t="e">
        <f t="shared" si="222"/>
        <v>#DIV/0!</v>
      </c>
      <c r="P436">
        <v>0</v>
      </c>
      <c r="Q436">
        <v>0</v>
      </c>
      <c r="R436" s="17">
        <f t="shared" si="223"/>
        <v>0</v>
      </c>
      <c r="S436" s="17">
        <f t="shared" si="224"/>
        <v>0</v>
      </c>
      <c r="T436" s="18" t="e">
        <f t="shared" si="225"/>
        <v>#DIV/0!</v>
      </c>
      <c r="U436">
        <v>0</v>
      </c>
      <c r="V436">
        <v>0</v>
      </c>
      <c r="W436" s="17">
        <f t="shared" si="226"/>
        <v>0</v>
      </c>
      <c r="X436" s="17">
        <f t="shared" si="227"/>
        <v>0</v>
      </c>
      <c r="Y436" s="18" t="e">
        <f t="shared" si="228"/>
        <v>#DIV/0!</v>
      </c>
      <c r="Z436">
        <v>0</v>
      </c>
      <c r="AA436">
        <v>0</v>
      </c>
      <c r="AB436" s="17">
        <f t="shared" si="229"/>
        <v>0</v>
      </c>
      <c r="AC436" s="17">
        <f t="shared" si="230"/>
        <v>0</v>
      </c>
      <c r="AD436" s="18" t="e">
        <f t="shared" si="231"/>
        <v>#DIV/0!</v>
      </c>
      <c r="AE436">
        <v>0</v>
      </c>
      <c r="AF436" s="17">
        <f t="shared" si="232"/>
        <v>0</v>
      </c>
      <c r="AG436">
        <v>0</v>
      </c>
      <c r="AH436" s="17">
        <f t="shared" si="233"/>
        <v>0</v>
      </c>
      <c r="AI436">
        <v>0</v>
      </c>
      <c r="AJ436" s="17">
        <f t="shared" si="234"/>
        <v>0</v>
      </c>
      <c r="AK436">
        <v>0</v>
      </c>
      <c r="AL436" s="17">
        <f t="shared" si="235"/>
        <v>0</v>
      </c>
      <c r="AM436">
        <v>0</v>
      </c>
      <c r="AN436" s="17">
        <f t="shared" si="236"/>
        <v>0</v>
      </c>
      <c r="AO436">
        <v>0</v>
      </c>
      <c r="AQ436">
        <v>0</v>
      </c>
      <c r="AR436" s="17">
        <f t="shared" si="237"/>
        <v>0</v>
      </c>
      <c r="AS436">
        <v>0</v>
      </c>
      <c r="AT436" s="17">
        <f t="shared" si="238"/>
        <v>0</v>
      </c>
      <c r="BD436" s="65" t="str">
        <f t="shared" si="239"/>
        <v/>
      </c>
      <c r="BE436" s="65" t="str">
        <f t="shared" si="240"/>
        <v/>
      </c>
      <c r="BF436" s="66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0</v>
      </c>
      <c r="BG436" s="38" t="str">
        <f t="shared" si="241"/>
        <v/>
      </c>
      <c r="BH436" s="38" t="str">
        <f t="shared" si="242"/>
        <v/>
      </c>
      <c r="BI436" s="67">
        <f>IFERROR(((AG436*(12000/5))/((F436*60+G436)*(SUMIFS(팀공격력!X:X,팀공격력!A:A,B436,팀공격력!B:B,D436)+SUMIFS(팀수비력!X:X,팀수비력!A:A,B436,팀수비력!B:B,D436))))*100,"")</f>
        <v>0</v>
      </c>
      <c r="BJ436" s="67">
        <f>IFERROR(((AI436*(12000/5))/((F436*60+G436)*(SUMIFS(팀공격력!V:V,팀공격력!A:A,B436,팀공격력!B:B,D436)+SUMIFS(팀수비력!W:W,팀수비력!A:A,B436,팀수비력!B:B,D436))))*100,"")</f>
        <v>0</v>
      </c>
      <c r="BK436" s="67">
        <f>IFERROR(((AE436*(12000/5))/((F436*60+G436)*(SUMIFS(팀공격력!X:X,팀공격력!A:A,B436,팀공격력!B:B,D436)+SUMIFS(팀수비력!X:X,팀수비력!A:A,B436,팀수비력!B:B,D436))))*100,"")</f>
        <v>0</v>
      </c>
      <c r="BL436" s="67">
        <f>IFERROR(100*AK436/(((((F436*60+G436)/(12000/5))*SUMIFS(팀공격력!P:P,팀공격력!A:A,B436,팀공격력!B:B,D436))-K436)),"")</f>
        <v>0</v>
      </c>
      <c r="BM436" s="67">
        <f>IFERROR(100*((AM436/E436*(2400))/((F436*60+G436)*SUMIFS(팀공격력!AR:AR,팀공격력!A:A,B436,팀공격력!B:B,D436))),"")</f>
        <v>0</v>
      </c>
      <c r="BN436" s="67">
        <f>IFERROR((AO436*40)/(((F436*60+G436)/60)*(SUMIFS(팀수비력!Q:Q,팀수비력!A:A,B436,팀수비력!B:B,D436)-SUMIFS(팀수비력!N:N,팀수비력!A:A,B436,팀수비력!B:B,D436)))*100,"")</f>
        <v>0</v>
      </c>
      <c r="BO436" s="67" t="str">
        <f t="shared" si="243"/>
        <v/>
      </c>
      <c r="BT436" t="s">
        <v>89</v>
      </c>
      <c r="BV436" t="s">
        <v>90</v>
      </c>
      <c r="CF436">
        <v>1</v>
      </c>
      <c r="CG436">
        <v>0</v>
      </c>
    </row>
    <row r="437" spans="1:85" x14ac:dyDescent="0.4">
      <c r="A437" s="11" t="s">
        <v>85</v>
      </c>
      <c r="B437" t="s">
        <v>203</v>
      </c>
      <c r="C437" t="s">
        <v>204</v>
      </c>
      <c r="D437" s="46" t="s">
        <v>307</v>
      </c>
      <c r="E437">
        <v>4</v>
      </c>
      <c r="F437">
        <v>5</v>
      </c>
      <c r="G437" s="1">
        <v>28</v>
      </c>
      <c r="H437" s="16">
        <f t="shared" si="218"/>
        <v>1312</v>
      </c>
      <c r="I437">
        <v>10</v>
      </c>
      <c r="J437" s="17">
        <f t="shared" si="219"/>
        <v>2.5</v>
      </c>
      <c r="K437">
        <v>5</v>
      </c>
      <c r="L437">
        <v>13</v>
      </c>
      <c r="M437" s="17">
        <f t="shared" si="220"/>
        <v>1.25</v>
      </c>
      <c r="N437" s="17">
        <f t="shared" si="221"/>
        <v>3.25</v>
      </c>
      <c r="O437" s="18">
        <f t="shared" si="222"/>
        <v>0.38461538461538464</v>
      </c>
      <c r="P437">
        <v>5</v>
      </c>
      <c r="Q437">
        <v>8</v>
      </c>
      <c r="R437" s="17">
        <f t="shared" si="223"/>
        <v>1.25</v>
      </c>
      <c r="S437" s="17">
        <f t="shared" si="224"/>
        <v>2</v>
      </c>
      <c r="T437" s="18">
        <f t="shared" si="225"/>
        <v>0.625</v>
      </c>
      <c r="U437">
        <v>0</v>
      </c>
      <c r="V437">
        <v>5</v>
      </c>
      <c r="W437" s="17">
        <f t="shared" si="226"/>
        <v>0</v>
      </c>
      <c r="X437" s="17">
        <f t="shared" si="227"/>
        <v>1.25</v>
      </c>
      <c r="Y437" s="18">
        <f t="shared" si="228"/>
        <v>0</v>
      </c>
      <c r="Z437">
        <v>0</v>
      </c>
      <c r="AA437">
        <v>0</v>
      </c>
      <c r="AB437" s="17">
        <f t="shared" si="229"/>
        <v>0</v>
      </c>
      <c r="AC437" s="17">
        <f t="shared" si="230"/>
        <v>0</v>
      </c>
      <c r="AD437" s="18" t="e">
        <f t="shared" si="231"/>
        <v>#DIV/0!</v>
      </c>
      <c r="AE437">
        <v>1</v>
      </c>
      <c r="AF437" s="17">
        <f t="shared" si="232"/>
        <v>0.25</v>
      </c>
      <c r="AG437">
        <v>1</v>
      </c>
      <c r="AH437" s="17">
        <f t="shared" si="233"/>
        <v>0.25</v>
      </c>
      <c r="AI437">
        <v>0</v>
      </c>
      <c r="AJ437" s="17">
        <f t="shared" si="234"/>
        <v>0</v>
      </c>
      <c r="AK437">
        <v>0</v>
      </c>
      <c r="AL437" s="17">
        <f t="shared" si="235"/>
        <v>0</v>
      </c>
      <c r="AM437">
        <v>3</v>
      </c>
      <c r="AN437" s="17">
        <f t="shared" si="236"/>
        <v>0.75</v>
      </c>
      <c r="AO437">
        <v>0</v>
      </c>
      <c r="AQ437">
        <v>0</v>
      </c>
      <c r="AR437" s="17">
        <f t="shared" si="237"/>
        <v>0</v>
      </c>
      <c r="AS437">
        <v>2</v>
      </c>
      <c r="AT437" s="17">
        <f t="shared" si="238"/>
        <v>0.5</v>
      </c>
      <c r="BD437" s="65">
        <f t="shared" si="239"/>
        <v>38.461538461538467</v>
      </c>
      <c r="BE437" s="65">
        <f t="shared" si="240"/>
        <v>38.461538461538467</v>
      </c>
      <c r="BF437" s="66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11.835799225999429</v>
      </c>
      <c r="BG437" s="38">
        <f t="shared" si="241"/>
        <v>0.38461538461538464</v>
      </c>
      <c r="BH437" s="38">
        <f t="shared" si="242"/>
        <v>0</v>
      </c>
      <c r="BI437" s="67">
        <f>IFERROR(((AG437*(12000/5))/((F437*60+G437)*(SUMIFS(팀공격력!X:X,팀공격력!A:A,B437,팀공격력!B:B,D437)+SUMIFS(팀수비력!X:X,팀수비력!A:A,B437,팀수비력!B:B,D437))))*100,"")</f>
        <v>1.1522949875168043</v>
      </c>
      <c r="BJ437" s="67">
        <f>IFERROR(((AI437*(12000/5))/((F437*60+G437)*(SUMIFS(팀공격력!V:V,팀공격력!A:A,B437,팀공격력!B:B,D437)+SUMIFS(팀수비력!W:W,팀수비력!A:A,B437,팀수비력!B:B,D437))))*100,"")</f>
        <v>0</v>
      </c>
      <c r="BK437" s="67">
        <f>IFERROR(((AE437*(12000/5))/((F437*60+G437)*(SUMIFS(팀공격력!X:X,팀공격력!A:A,B437,팀공격력!B:B,D437)+SUMIFS(팀수비력!X:X,팀수비력!A:A,B437,팀수비력!B:B,D437))))*100,"")</f>
        <v>1.1522949875168043</v>
      </c>
      <c r="BL437" s="67">
        <f>IFERROR(100*AK437/(((((F437*60+G437)/(12000/5))*SUMIFS(팀공격력!P:P,팀공격력!A:A,B437,팀공격력!B:B,D437))-K437)),"")</f>
        <v>0</v>
      </c>
      <c r="BM437" s="67">
        <f>IFERROR(100*((AM437/E437*(2400))/((F437*60+G437)*SUMIFS(팀공격력!AR:AR,팀공격력!A:A,B437,팀공격력!B:B,D437))),"")</f>
        <v>7.3459012274130293</v>
      </c>
      <c r="BN437" s="67">
        <f>IFERROR((AO437*40)/(((F437*60+G437)/60)*(SUMIFS(팀수비력!Q:Q,팀수비력!A:A,B437,팀수비력!B:B,D437)-SUMIFS(팀수비력!N:N,팀수비력!A:A,B437,팀수비력!B:B,D437)))*100,"")</f>
        <v>0</v>
      </c>
      <c r="BO437" s="67">
        <f t="shared" si="243"/>
        <v>0</v>
      </c>
      <c r="BT437" t="s">
        <v>89</v>
      </c>
      <c r="BV437" t="s">
        <v>90</v>
      </c>
      <c r="CF437">
        <v>4</v>
      </c>
      <c r="CG437">
        <v>0</v>
      </c>
    </row>
    <row r="438" spans="1:85" x14ac:dyDescent="0.4">
      <c r="A438" s="11" t="s">
        <v>85</v>
      </c>
      <c r="B438" t="s">
        <v>203</v>
      </c>
      <c r="C438" t="s">
        <v>205</v>
      </c>
      <c r="D438" s="46" t="s">
        <v>307</v>
      </c>
      <c r="E438">
        <v>7</v>
      </c>
      <c r="F438">
        <v>9</v>
      </c>
      <c r="G438" s="1">
        <v>37</v>
      </c>
      <c r="H438" s="16">
        <f t="shared" si="218"/>
        <v>4039</v>
      </c>
      <c r="I438">
        <v>48</v>
      </c>
      <c r="J438" s="17">
        <f t="shared" si="219"/>
        <v>6.8571428571428568</v>
      </c>
      <c r="K438">
        <v>23</v>
      </c>
      <c r="L438">
        <v>34</v>
      </c>
      <c r="M438" s="17">
        <f t="shared" si="220"/>
        <v>3.2857142857142856</v>
      </c>
      <c r="N438" s="17">
        <f t="shared" si="221"/>
        <v>4.8571428571428568</v>
      </c>
      <c r="O438" s="18">
        <f t="shared" si="222"/>
        <v>0.67647058823529416</v>
      </c>
      <c r="P438">
        <v>23</v>
      </c>
      <c r="Q438">
        <v>34</v>
      </c>
      <c r="R438" s="17">
        <f t="shared" si="223"/>
        <v>3.2857142857142856</v>
      </c>
      <c r="S438" s="17">
        <f t="shared" si="224"/>
        <v>4.8571428571428568</v>
      </c>
      <c r="T438" s="18">
        <f t="shared" si="225"/>
        <v>0.67647058823529416</v>
      </c>
      <c r="U438">
        <v>0</v>
      </c>
      <c r="V438">
        <v>0</v>
      </c>
      <c r="W438" s="17">
        <f t="shared" si="226"/>
        <v>0</v>
      </c>
      <c r="X438" s="17">
        <f t="shared" si="227"/>
        <v>0</v>
      </c>
      <c r="Y438" s="18" t="e">
        <f t="shared" si="228"/>
        <v>#DIV/0!</v>
      </c>
      <c r="Z438">
        <v>2</v>
      </c>
      <c r="AA438">
        <v>3</v>
      </c>
      <c r="AB438" s="17">
        <f t="shared" si="229"/>
        <v>0.2857142857142857</v>
      </c>
      <c r="AC438" s="17">
        <f t="shared" si="230"/>
        <v>0.42857142857142855</v>
      </c>
      <c r="AD438" s="18">
        <f t="shared" si="231"/>
        <v>0.66666666666666663</v>
      </c>
      <c r="AE438">
        <v>18</v>
      </c>
      <c r="AF438" s="17">
        <f t="shared" si="232"/>
        <v>2.5714285714285716</v>
      </c>
      <c r="AG438">
        <v>6</v>
      </c>
      <c r="AH438" s="17">
        <f t="shared" si="233"/>
        <v>0.8571428571428571</v>
      </c>
      <c r="AI438">
        <v>12</v>
      </c>
      <c r="AJ438" s="17">
        <f t="shared" si="234"/>
        <v>1.7142857142857142</v>
      </c>
      <c r="AK438">
        <v>3</v>
      </c>
      <c r="AL438" s="17">
        <f t="shared" si="235"/>
        <v>0.42857142857142855</v>
      </c>
      <c r="AM438">
        <v>1</v>
      </c>
      <c r="AN438" s="17">
        <f t="shared" si="236"/>
        <v>0.14285714285714285</v>
      </c>
      <c r="AO438">
        <v>4</v>
      </c>
      <c r="AQ438">
        <v>4</v>
      </c>
      <c r="AR438" s="17">
        <f t="shared" si="237"/>
        <v>0.5714285714285714</v>
      </c>
      <c r="AS438">
        <v>8</v>
      </c>
      <c r="AT438" s="17">
        <f t="shared" si="238"/>
        <v>1.1428571428571428</v>
      </c>
      <c r="BD438" s="65">
        <f t="shared" si="239"/>
        <v>67.950169875424692</v>
      </c>
      <c r="BE438" s="65">
        <f t="shared" si="240"/>
        <v>67.64705882352942</v>
      </c>
      <c r="BF438" s="66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20.35006388291502</v>
      </c>
      <c r="BG438" s="38">
        <f t="shared" si="241"/>
        <v>0</v>
      </c>
      <c r="BH438" s="38">
        <f t="shared" si="242"/>
        <v>8.8235294117647065E-2</v>
      </c>
      <c r="BI438" s="67">
        <f>IFERROR(((AG438*(12000/5))/((F438*60+G438)*(SUMIFS(팀공격력!X:X,팀공격력!A:A,B438,팀공격력!B:B,D438)+SUMIFS(팀수비력!X:X,팀수비력!A:A,B438,팀수비력!B:B,D438))))*100,"")</f>
        <v>3.9301846367990825</v>
      </c>
      <c r="BJ438" s="67">
        <f>IFERROR(((AI438*(12000/5))/((F438*60+G438)*(SUMIFS(팀공격력!V:V,팀공격력!A:A,B438,팀공격력!B:B,D438)+SUMIFS(팀수비력!W:W,팀수비력!A:A,B438,팀수비력!B:B,D438))))*100,"")</f>
        <v>14.94411523573304</v>
      </c>
      <c r="BK438" s="67">
        <f>IFERROR(((AE438*(12000/5))/((F438*60+G438)*(SUMIFS(팀공격력!X:X,팀공격력!A:A,B438,팀공격력!B:B,D438)+SUMIFS(팀수비력!X:X,팀수비력!A:A,B438,팀수비력!B:B,D438))))*100,"")</f>
        <v>11.790553910397248</v>
      </c>
      <c r="BL438" s="67">
        <f>IFERROR(100*AK438/(((((F438*60+G438)/(12000/5))*SUMIFS(팀공격력!P:P,팀공격력!A:A,B438,팀공격력!B:B,D438))-K438)),"")</f>
        <v>6.0476758445747301</v>
      </c>
      <c r="BM438" s="67">
        <f>IFERROR(100*((AM438/E438*(2400))/((F438*60+G438)*SUMIFS(팀공격력!AR:AR,팀공격력!A:A,B438,팀공격력!B:B,D438))),"")</f>
        <v>0.79539674922554215</v>
      </c>
      <c r="BN438" s="67">
        <f>IFERROR((AO438*40)/(((F438*60+G438)/60)*(SUMIFS(팀수비력!Q:Q,팀수비력!A:A,B438,팀수비력!B:B,D438)-SUMIFS(팀수비력!N:N,팀수비력!A:A,B438,팀수비력!B:B,D438)))*100,"")</f>
        <v>4.7672726730991739</v>
      </c>
      <c r="BO438" s="67">
        <f t="shared" si="243"/>
        <v>10.172939979654119</v>
      </c>
      <c r="BT438" t="s">
        <v>96</v>
      </c>
      <c r="BV438" t="s">
        <v>102</v>
      </c>
      <c r="CF438">
        <v>4</v>
      </c>
      <c r="CG438">
        <v>3</v>
      </c>
    </row>
    <row r="439" spans="1:85" x14ac:dyDescent="0.4">
      <c r="A439" s="11" t="s">
        <v>85</v>
      </c>
      <c r="B439" t="s">
        <v>203</v>
      </c>
      <c r="C439" t="s">
        <v>206</v>
      </c>
      <c r="D439" s="46" t="s">
        <v>307</v>
      </c>
      <c r="E439">
        <v>9</v>
      </c>
      <c r="F439">
        <v>20</v>
      </c>
      <c r="G439" s="1">
        <v>50</v>
      </c>
      <c r="H439" s="16">
        <f t="shared" si="218"/>
        <v>11250</v>
      </c>
      <c r="I439">
        <v>38</v>
      </c>
      <c r="J439" s="17">
        <f t="shared" si="219"/>
        <v>4.2222222222222223</v>
      </c>
      <c r="K439">
        <v>15</v>
      </c>
      <c r="L439">
        <v>42</v>
      </c>
      <c r="M439" s="17">
        <f t="shared" si="220"/>
        <v>1.6666666666666667</v>
      </c>
      <c r="N439" s="17">
        <f t="shared" si="221"/>
        <v>4.666666666666667</v>
      </c>
      <c r="O439" s="18">
        <f t="shared" si="222"/>
        <v>0.35714285714285715</v>
      </c>
      <c r="P439">
        <v>7</v>
      </c>
      <c r="Q439">
        <v>9</v>
      </c>
      <c r="R439" s="17">
        <f t="shared" si="223"/>
        <v>0.77777777777777779</v>
      </c>
      <c r="S439" s="17">
        <f t="shared" si="224"/>
        <v>1</v>
      </c>
      <c r="T439" s="18">
        <f t="shared" si="225"/>
        <v>0.77777777777777779</v>
      </c>
      <c r="U439">
        <v>8</v>
      </c>
      <c r="V439">
        <v>33</v>
      </c>
      <c r="W439" s="17">
        <f t="shared" si="226"/>
        <v>0.88888888888888884</v>
      </c>
      <c r="X439" s="17">
        <f t="shared" si="227"/>
        <v>3.6666666666666665</v>
      </c>
      <c r="Y439" s="18">
        <f t="shared" si="228"/>
        <v>0.24242424242424243</v>
      </c>
      <c r="Z439">
        <v>0</v>
      </c>
      <c r="AA439">
        <v>2</v>
      </c>
      <c r="AB439" s="17">
        <f t="shared" si="229"/>
        <v>0</v>
      </c>
      <c r="AC439" s="17">
        <f t="shared" si="230"/>
        <v>0.22222222222222221</v>
      </c>
      <c r="AD439" s="18">
        <f t="shared" si="231"/>
        <v>0</v>
      </c>
      <c r="AE439">
        <v>23</v>
      </c>
      <c r="AF439" s="17">
        <f t="shared" si="232"/>
        <v>2.5555555555555554</v>
      </c>
      <c r="AG439">
        <v>13</v>
      </c>
      <c r="AH439" s="17">
        <f t="shared" si="233"/>
        <v>1.4444444444444444</v>
      </c>
      <c r="AI439">
        <v>10</v>
      </c>
      <c r="AJ439" s="17">
        <f t="shared" si="234"/>
        <v>1.1111111111111112</v>
      </c>
      <c r="AK439">
        <v>14</v>
      </c>
      <c r="AL439" s="17">
        <f t="shared" si="235"/>
        <v>1.5555555555555556</v>
      </c>
      <c r="AM439">
        <v>20</v>
      </c>
      <c r="AN439" s="17">
        <f t="shared" si="236"/>
        <v>2.2222222222222223</v>
      </c>
      <c r="AO439">
        <v>2</v>
      </c>
      <c r="AQ439">
        <v>13</v>
      </c>
      <c r="AR439" s="17">
        <f t="shared" si="237"/>
        <v>1.4444444444444444</v>
      </c>
      <c r="AS439">
        <v>36</v>
      </c>
      <c r="AT439" s="17">
        <f t="shared" si="238"/>
        <v>4</v>
      </c>
      <c r="BD439" s="65">
        <f t="shared" si="239"/>
        <v>44.309701492537314</v>
      </c>
      <c r="BE439" s="65">
        <f t="shared" si="240"/>
        <v>45.238095238095241</v>
      </c>
      <c r="BF439" s="66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13.349790961576749</v>
      </c>
      <c r="BG439" s="38">
        <f t="shared" si="241"/>
        <v>0.7857142857142857</v>
      </c>
      <c r="BH439" s="38">
        <f t="shared" si="242"/>
        <v>4.7619047619047616E-2</v>
      </c>
      <c r="BI439" s="67">
        <f>IFERROR(((AG439*(12000/5))/((F439*60+G439)*(SUMIFS(팀공격력!X:X,팀공격력!A:A,B439,팀공격력!B:B,D439)+SUMIFS(팀수비력!X:X,팀수비력!A:A,B439,팀수비력!B:B,D439))))*100,"")</f>
        <v>3.9307086614173232</v>
      </c>
      <c r="BJ439" s="67">
        <f>IFERROR(((AI439*(12000/5))/((F439*60+G439)*(SUMIFS(팀공격력!V:V,팀공격력!A:A,B439,팀공격력!B:B,D439)+SUMIFS(팀수비력!W:W,팀수비력!A:A,B439,팀수비력!B:B,D439))))*100,"")</f>
        <v>5.7485029940119761</v>
      </c>
      <c r="BK439" s="67">
        <f>IFERROR(((AE439*(12000/5))/((F439*60+G439)*(SUMIFS(팀공격력!X:X,팀공격력!A:A,B439,팀공격력!B:B,D439)+SUMIFS(팀수비력!X:X,팀수비력!A:A,B439,팀수비력!B:B,D439))))*100,"")</f>
        <v>6.9543307086614172</v>
      </c>
      <c r="BL439" s="67">
        <f>IFERROR(100*AK439/(((((F439*60+G439)/(12000/5))*SUMIFS(팀공격력!P:P,팀공격력!A:A,B439,팀공격력!B:B,D439))-K439)),"")</f>
        <v>9.838945827232795</v>
      </c>
      <c r="BM439" s="67">
        <f>IFERROR(100*((AM439/E439*(2400))/((F439*60+G439)*SUMIFS(팀공격력!AR:AR,팀공격력!A:A,B439,팀공격력!B:B,D439))),"")</f>
        <v>5.7113021691057169</v>
      </c>
      <c r="BN439" s="67">
        <f>IFERROR((AO439*40)/(((F439*60+G439)/60)*(SUMIFS(팀수비력!Q:Q,팀수비력!A:A,B439,팀수비력!B:B,D439)-SUMIFS(팀수비력!N:N,팀수비력!A:A,B439,팀수비력!B:B,D439)))*100,"")</f>
        <v>1.1002865329512894</v>
      </c>
      <c r="BO439" s="67">
        <f t="shared" si="243"/>
        <v>23.264137437365783</v>
      </c>
      <c r="BT439" t="s">
        <v>89</v>
      </c>
      <c r="BV439" t="s">
        <v>93</v>
      </c>
      <c r="CF439">
        <v>6</v>
      </c>
      <c r="CG439">
        <v>3</v>
      </c>
    </row>
    <row r="440" spans="1:85" x14ac:dyDescent="0.4">
      <c r="A440" s="11" t="s">
        <v>85</v>
      </c>
      <c r="B440" t="s">
        <v>203</v>
      </c>
      <c r="C440" t="s">
        <v>207</v>
      </c>
      <c r="D440" s="46" t="s">
        <v>307</v>
      </c>
      <c r="E440">
        <v>8</v>
      </c>
      <c r="F440">
        <v>13</v>
      </c>
      <c r="G440" s="1">
        <v>28</v>
      </c>
      <c r="H440" s="16">
        <f t="shared" si="218"/>
        <v>6464</v>
      </c>
      <c r="I440">
        <v>26</v>
      </c>
      <c r="J440" s="17">
        <f t="shared" si="219"/>
        <v>3.25</v>
      </c>
      <c r="K440">
        <v>9</v>
      </c>
      <c r="L440">
        <v>20</v>
      </c>
      <c r="M440" s="17">
        <f t="shared" si="220"/>
        <v>1.125</v>
      </c>
      <c r="N440" s="17">
        <f t="shared" si="221"/>
        <v>2.5</v>
      </c>
      <c r="O440" s="18">
        <f t="shared" si="222"/>
        <v>0.45</v>
      </c>
      <c r="P440">
        <v>5</v>
      </c>
      <c r="Q440">
        <v>9</v>
      </c>
      <c r="R440" s="17">
        <f t="shared" si="223"/>
        <v>0.625</v>
      </c>
      <c r="S440" s="17">
        <f t="shared" si="224"/>
        <v>1.125</v>
      </c>
      <c r="T440" s="18">
        <f t="shared" si="225"/>
        <v>0.55555555555555558</v>
      </c>
      <c r="U440">
        <v>4</v>
      </c>
      <c r="V440">
        <v>11</v>
      </c>
      <c r="W440" s="17">
        <f t="shared" si="226"/>
        <v>0.5</v>
      </c>
      <c r="X440" s="17">
        <f t="shared" si="227"/>
        <v>1.375</v>
      </c>
      <c r="Y440" s="18">
        <f t="shared" si="228"/>
        <v>0.36363636363636365</v>
      </c>
      <c r="Z440">
        <v>4</v>
      </c>
      <c r="AA440">
        <v>5</v>
      </c>
      <c r="AB440" s="17">
        <f t="shared" si="229"/>
        <v>0.5</v>
      </c>
      <c r="AC440" s="17">
        <f t="shared" si="230"/>
        <v>0.625</v>
      </c>
      <c r="AD440" s="18">
        <f t="shared" si="231"/>
        <v>0.8</v>
      </c>
      <c r="AE440">
        <v>21</v>
      </c>
      <c r="AF440" s="17">
        <f t="shared" si="232"/>
        <v>2.625</v>
      </c>
      <c r="AG440">
        <v>10</v>
      </c>
      <c r="AH440" s="17">
        <f t="shared" si="233"/>
        <v>1.25</v>
      </c>
      <c r="AI440">
        <v>11</v>
      </c>
      <c r="AJ440" s="17">
        <f t="shared" si="234"/>
        <v>1.375</v>
      </c>
      <c r="AK440">
        <v>7</v>
      </c>
      <c r="AL440" s="17">
        <f t="shared" si="235"/>
        <v>0.875</v>
      </c>
      <c r="AM440">
        <v>3</v>
      </c>
      <c r="AN440" s="17">
        <f t="shared" si="236"/>
        <v>0.375</v>
      </c>
      <c r="AO440">
        <v>0</v>
      </c>
      <c r="AQ440">
        <v>6</v>
      </c>
      <c r="AR440" s="17">
        <f t="shared" si="237"/>
        <v>0.75</v>
      </c>
      <c r="AS440">
        <v>10</v>
      </c>
      <c r="AT440" s="17">
        <f t="shared" si="238"/>
        <v>1.25</v>
      </c>
      <c r="BD440" s="65">
        <f t="shared" si="239"/>
        <v>58.558558558558559</v>
      </c>
      <c r="BE440" s="65">
        <f t="shared" si="240"/>
        <v>55.000000000000007</v>
      </c>
      <c r="BF440" s="66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10.422354200381218</v>
      </c>
      <c r="BG440" s="38">
        <f t="shared" si="241"/>
        <v>0.55000000000000004</v>
      </c>
      <c r="BH440" s="38">
        <f t="shared" si="242"/>
        <v>0.25</v>
      </c>
      <c r="BI440" s="67">
        <f>IFERROR(((AG440*(12000/5))/((F440*60+G440)*(SUMIFS(팀공격력!X:X,팀공격력!A:A,B440,팀공격력!B:B,D440)+SUMIFS(팀수비력!X:X,팀수비력!A:A,B440,팀수비력!B:B,D440))))*100,"")</f>
        <v>4.6776331176424728</v>
      </c>
      <c r="BJ440" s="67">
        <f>IFERROR(((AI440*(12000/5))/((F440*60+G440)*(SUMIFS(팀공격력!V:V,팀공격력!A:A,B440,팀공격력!B:B,D440)+SUMIFS(팀수비력!W:W,팀수비력!A:A,B440,팀수비력!B:B,D440))))*100,"")</f>
        <v>9.7824153672852319</v>
      </c>
      <c r="BK440" s="67">
        <f>IFERROR(((AE440*(12000/5))/((F440*60+G440)*(SUMIFS(팀공격력!X:X,팀공격력!A:A,B440,팀공격력!B:B,D440)+SUMIFS(팀수비력!X:X,팀수비력!A:A,B440,팀수비력!B:B,D440))))*100,"")</f>
        <v>9.8230295470491935</v>
      </c>
      <c r="BL440" s="67">
        <f>IFERROR(100*AK440/(((((F440*60+G440)/(12000/5))*SUMIFS(팀공격력!P:P,팀공격력!A:A,B440,팀공격력!B:B,D440))-K440)),"")</f>
        <v>7.553413423494713</v>
      </c>
      <c r="BM440" s="67">
        <f>IFERROR(100*((AM440/E440*(2400))/((F440*60+G440)*SUMIFS(팀공격력!AR:AR,팀공격력!A:A,B440,팀공격력!B:B,D440))),"")</f>
        <v>1.4909997540788822</v>
      </c>
      <c r="BN440" s="67">
        <f>IFERROR((AO440*40)/(((F440*60+G440)/60)*(SUMIFS(팀수비력!Q:Q,팀수비력!A:A,B440,팀수비력!B:B,D440)-SUMIFS(팀수비력!N:N,팀수비력!A:A,B440,팀수비력!B:B,D440)))*100,"")</f>
        <v>0</v>
      </c>
      <c r="BO440" s="67">
        <f t="shared" si="243"/>
        <v>21.276595744680851</v>
      </c>
      <c r="BT440" t="s">
        <v>89</v>
      </c>
      <c r="BV440" t="s">
        <v>93</v>
      </c>
      <c r="CF440">
        <v>5</v>
      </c>
      <c r="CG440">
        <v>3</v>
      </c>
    </row>
    <row r="441" spans="1:85" x14ac:dyDescent="0.4">
      <c r="A441" s="11" t="s">
        <v>85</v>
      </c>
      <c r="B441" t="s">
        <v>203</v>
      </c>
      <c r="C441" t="s">
        <v>209</v>
      </c>
      <c r="D441" s="46" t="s">
        <v>307</v>
      </c>
      <c r="E441">
        <v>1</v>
      </c>
      <c r="F441">
        <v>6</v>
      </c>
      <c r="G441" s="1">
        <v>48</v>
      </c>
      <c r="H441" s="16">
        <f t="shared" si="218"/>
        <v>408</v>
      </c>
      <c r="I441">
        <v>2</v>
      </c>
      <c r="J441" s="17">
        <f t="shared" si="219"/>
        <v>2</v>
      </c>
      <c r="K441">
        <v>1</v>
      </c>
      <c r="L441">
        <v>4</v>
      </c>
      <c r="M441" s="17">
        <f t="shared" si="220"/>
        <v>1</v>
      </c>
      <c r="N441" s="17">
        <f t="shared" si="221"/>
        <v>4</v>
      </c>
      <c r="O441" s="18">
        <f t="shared" si="222"/>
        <v>0.25</v>
      </c>
      <c r="P441">
        <v>1</v>
      </c>
      <c r="Q441">
        <v>4</v>
      </c>
      <c r="R441" s="17">
        <f t="shared" si="223"/>
        <v>1</v>
      </c>
      <c r="S441" s="17">
        <f t="shared" si="224"/>
        <v>4</v>
      </c>
      <c r="T441" s="18">
        <f t="shared" si="225"/>
        <v>0.25</v>
      </c>
      <c r="U441">
        <v>0</v>
      </c>
      <c r="V441">
        <v>0</v>
      </c>
      <c r="W441" s="17">
        <f t="shared" si="226"/>
        <v>0</v>
      </c>
      <c r="X441" s="17">
        <f t="shared" si="227"/>
        <v>0</v>
      </c>
      <c r="Y441" s="18" t="e">
        <f t="shared" si="228"/>
        <v>#DIV/0!</v>
      </c>
      <c r="Z441">
        <v>0</v>
      </c>
      <c r="AA441">
        <v>0</v>
      </c>
      <c r="AB441" s="17">
        <f t="shared" si="229"/>
        <v>0</v>
      </c>
      <c r="AC441" s="17">
        <f t="shared" si="230"/>
        <v>0</v>
      </c>
      <c r="AD441" s="18" t="e">
        <f t="shared" si="231"/>
        <v>#DIV/0!</v>
      </c>
      <c r="AE441">
        <v>0</v>
      </c>
      <c r="AF441" s="17">
        <f t="shared" si="232"/>
        <v>0</v>
      </c>
      <c r="AG441">
        <v>0</v>
      </c>
      <c r="AH441" s="17">
        <f t="shared" si="233"/>
        <v>0</v>
      </c>
      <c r="AI441">
        <v>0</v>
      </c>
      <c r="AJ441" s="17">
        <f t="shared" si="234"/>
        <v>0</v>
      </c>
      <c r="AK441">
        <v>0</v>
      </c>
      <c r="AL441" s="17">
        <f t="shared" si="235"/>
        <v>0</v>
      </c>
      <c r="AM441">
        <v>1</v>
      </c>
      <c r="AN441" s="17">
        <f t="shared" si="236"/>
        <v>1</v>
      </c>
      <c r="AO441">
        <v>0</v>
      </c>
      <c r="AQ441">
        <v>0</v>
      </c>
      <c r="AR441" s="17">
        <f t="shared" si="237"/>
        <v>0</v>
      </c>
      <c r="AS441">
        <v>0</v>
      </c>
      <c r="AT441" s="17">
        <f t="shared" si="238"/>
        <v>0</v>
      </c>
      <c r="BD441" s="65">
        <f t="shared" si="239"/>
        <v>25</v>
      </c>
      <c r="BE441" s="65">
        <f t="shared" si="240"/>
        <v>25</v>
      </c>
      <c r="BF441" s="66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2.9277090091461631</v>
      </c>
      <c r="BG441" s="38">
        <f t="shared" si="241"/>
        <v>0</v>
      </c>
      <c r="BH441" s="38">
        <f t="shared" si="242"/>
        <v>0</v>
      </c>
      <c r="BI441" s="67">
        <f>IFERROR(((AG441*(12000/5))/((F441*60+G441)*(SUMIFS(팀공격력!X:X,팀공격력!A:A,B441,팀공격력!B:B,D441)+SUMIFS(팀수비력!X:X,팀수비력!A:A,B441,팀수비력!B:B,D441))))*100,"")</f>
        <v>0</v>
      </c>
      <c r="BJ441" s="67">
        <f>IFERROR(((AI441*(12000/5))/((F441*60+G441)*(SUMIFS(팀공격력!V:V,팀공격력!A:A,B441,팀공격력!B:B,D441)+SUMIFS(팀수비력!W:W,팀수비력!A:A,B441,팀수비력!B:B,D441))))*100,"")</f>
        <v>0</v>
      </c>
      <c r="BK441" s="67">
        <f>IFERROR(((AE441*(12000/5))/((F441*60+G441)*(SUMIFS(팀공격력!X:X,팀공격력!A:A,B441,팀공격력!B:B,D441)+SUMIFS(팀수비력!X:X,팀수비력!A:A,B441,팀수비력!B:B,D441))))*100,"")</f>
        <v>0</v>
      </c>
      <c r="BL441" s="67">
        <f>IFERROR(100*AK441/(((((F441*60+G441)/(12000/5))*SUMIFS(팀공격력!P:P,팀공격력!A:A,B441,팀공격력!B:B,D441))-K441)),"")</f>
        <v>0</v>
      </c>
      <c r="BM441" s="67">
        <f>IFERROR(100*((AM441/E441*(2400))/((F441*60+G441)*SUMIFS(팀공격력!AR:AR,팀공격력!A:A,B441,팀공격력!B:B,D441))),"")</f>
        <v>7.8740379169656007</v>
      </c>
      <c r="BN441" s="67">
        <f>IFERROR((AO441*40)/(((F441*60+G441)/60)*(SUMIFS(팀수비력!Q:Q,팀수비력!A:A,B441,팀수비력!B:B,D441)-SUMIFS(팀수비력!N:N,팀수비력!A:A,B441,팀수비력!B:B,D441)))*100,"")</f>
        <v>0</v>
      </c>
      <c r="BO441" s="67">
        <f t="shared" si="243"/>
        <v>0</v>
      </c>
      <c r="BT441" t="s">
        <v>89</v>
      </c>
      <c r="BV441" t="s">
        <v>93</v>
      </c>
      <c r="CF441">
        <v>0</v>
      </c>
      <c r="CG441">
        <v>1</v>
      </c>
    </row>
    <row r="442" spans="1:85" x14ac:dyDescent="0.4">
      <c r="A442" s="11" t="s">
        <v>85</v>
      </c>
      <c r="B442" t="s">
        <v>203</v>
      </c>
      <c r="C442" t="s">
        <v>210</v>
      </c>
      <c r="D442" s="46" t="s">
        <v>307</v>
      </c>
      <c r="E442">
        <v>3</v>
      </c>
      <c r="F442">
        <v>2</v>
      </c>
      <c r="G442" s="1">
        <v>17</v>
      </c>
      <c r="H442" s="16">
        <f t="shared" si="218"/>
        <v>411</v>
      </c>
      <c r="I442">
        <v>0</v>
      </c>
      <c r="J442" s="17">
        <f t="shared" si="219"/>
        <v>0</v>
      </c>
      <c r="K442">
        <v>0</v>
      </c>
      <c r="L442">
        <v>1</v>
      </c>
      <c r="M442" s="17">
        <f t="shared" si="220"/>
        <v>0</v>
      </c>
      <c r="N442" s="17">
        <f t="shared" si="221"/>
        <v>0.33333333333333331</v>
      </c>
      <c r="O442" s="18">
        <f t="shared" si="222"/>
        <v>0</v>
      </c>
      <c r="P442">
        <v>0</v>
      </c>
      <c r="Q442">
        <v>1</v>
      </c>
      <c r="R442" s="17">
        <f t="shared" si="223"/>
        <v>0</v>
      </c>
      <c r="S442" s="17">
        <f t="shared" si="224"/>
        <v>0.33333333333333331</v>
      </c>
      <c r="T442" s="18">
        <f t="shared" si="225"/>
        <v>0</v>
      </c>
      <c r="U442">
        <v>0</v>
      </c>
      <c r="V442">
        <v>0</v>
      </c>
      <c r="W442" s="17">
        <f t="shared" si="226"/>
        <v>0</v>
      </c>
      <c r="X442" s="17">
        <f t="shared" si="227"/>
        <v>0</v>
      </c>
      <c r="Y442" s="18" t="e">
        <f t="shared" si="228"/>
        <v>#DIV/0!</v>
      </c>
      <c r="Z442">
        <v>0</v>
      </c>
      <c r="AA442">
        <v>0</v>
      </c>
      <c r="AB442" s="17">
        <f t="shared" si="229"/>
        <v>0</v>
      </c>
      <c r="AC442" s="17">
        <f t="shared" si="230"/>
        <v>0</v>
      </c>
      <c r="AD442" s="18" t="e">
        <f t="shared" si="231"/>
        <v>#DIV/0!</v>
      </c>
      <c r="AE442">
        <v>0</v>
      </c>
      <c r="AF442" s="17">
        <f t="shared" si="232"/>
        <v>0</v>
      </c>
      <c r="AG442">
        <v>0</v>
      </c>
      <c r="AH442" s="17">
        <f t="shared" si="233"/>
        <v>0</v>
      </c>
      <c r="AI442">
        <v>0</v>
      </c>
      <c r="AJ442" s="17">
        <f t="shared" si="234"/>
        <v>0</v>
      </c>
      <c r="AK442">
        <v>0</v>
      </c>
      <c r="AL442" s="17">
        <f t="shared" si="235"/>
        <v>0</v>
      </c>
      <c r="AM442">
        <v>0</v>
      </c>
      <c r="AN442" s="17">
        <f t="shared" si="236"/>
        <v>0</v>
      </c>
      <c r="AO442">
        <v>0</v>
      </c>
      <c r="AQ442">
        <v>0</v>
      </c>
      <c r="AR442" s="17">
        <f t="shared" si="237"/>
        <v>0</v>
      </c>
      <c r="AS442">
        <v>2</v>
      </c>
      <c r="AT442" s="17">
        <f t="shared" si="238"/>
        <v>0.66666666666666663</v>
      </c>
      <c r="BD442" s="65">
        <f t="shared" si="239"/>
        <v>0</v>
      </c>
      <c r="BE442" s="65">
        <f t="shared" si="240"/>
        <v>0</v>
      </c>
      <c r="BF442" s="66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2.1797541527949535</v>
      </c>
      <c r="BG442" s="38">
        <f t="shared" si="241"/>
        <v>0</v>
      </c>
      <c r="BH442" s="38">
        <f t="shared" si="242"/>
        <v>0</v>
      </c>
      <c r="BI442" s="67">
        <f>IFERROR(((AG442*(12000/5))/((F442*60+G442)*(SUMIFS(팀공격력!X:X,팀공격력!A:A,B442,팀공격력!B:B,D442)+SUMIFS(팀수비력!X:X,팀수비력!A:A,B442,팀수비력!B:B,D442))))*100,"")</f>
        <v>0</v>
      </c>
      <c r="BJ442" s="67">
        <f>IFERROR(((AI442*(12000/5))/((F442*60+G442)*(SUMIFS(팀공격력!V:V,팀공격력!A:A,B442,팀공격력!B:B,D442)+SUMIFS(팀수비력!W:W,팀수비력!A:A,B442,팀수비력!B:B,D442))))*100,"")</f>
        <v>0</v>
      </c>
      <c r="BK442" s="67">
        <f>IFERROR(((AE442*(12000/5))/((F442*60+G442)*(SUMIFS(팀공격력!X:X,팀공격력!A:A,B442,팀공격력!B:B,D442)+SUMIFS(팀수비력!X:X,팀수비력!A:A,B442,팀수비력!B:B,D442))))*100,"")</f>
        <v>0</v>
      </c>
      <c r="BL442" s="67">
        <f>IFERROR(100*AK442/(((((F442*60+G442)/(12000/5))*SUMIFS(팀공격력!P:P,팀공격력!A:A,B442,팀공격력!B:B,D442))-K442)),"")</f>
        <v>0</v>
      </c>
      <c r="BM442" s="67">
        <f>IFERROR(100*((AM442/E442*(2400))/((F442*60+G442)*SUMIFS(팀공격력!AR:AR,팀공격력!A:A,B442,팀공격력!B:B,D442))),"")</f>
        <v>0</v>
      </c>
      <c r="BN442" s="67">
        <f>IFERROR((AO442*40)/(((F442*60+G442)/60)*(SUMIFS(팀수비력!Q:Q,팀수비력!A:A,B442,팀수비력!B:B,D442)-SUMIFS(팀수비력!N:N,팀수비력!A:A,B442,팀수비력!B:B,D442)))*100,"")</f>
        <v>0</v>
      </c>
      <c r="BO442" s="67">
        <f t="shared" si="243"/>
        <v>0</v>
      </c>
      <c r="BT442" t="s">
        <v>89</v>
      </c>
      <c r="BV442" t="s">
        <v>102</v>
      </c>
      <c r="CF442">
        <v>2</v>
      </c>
      <c r="CG442">
        <v>1</v>
      </c>
    </row>
    <row r="443" spans="1:85" x14ac:dyDescent="0.4">
      <c r="A443" s="11" t="s">
        <v>85</v>
      </c>
      <c r="B443" t="s">
        <v>203</v>
      </c>
      <c r="C443" t="s">
        <v>211</v>
      </c>
      <c r="D443" s="46" t="s">
        <v>307</v>
      </c>
      <c r="E443">
        <v>9</v>
      </c>
      <c r="F443">
        <v>11</v>
      </c>
      <c r="G443" s="1">
        <v>7</v>
      </c>
      <c r="H443" s="16">
        <f t="shared" si="218"/>
        <v>6003</v>
      </c>
      <c r="I443">
        <v>42</v>
      </c>
      <c r="J443" s="17">
        <f t="shared" si="219"/>
        <v>4.666666666666667</v>
      </c>
      <c r="K443">
        <v>16</v>
      </c>
      <c r="L443">
        <v>35</v>
      </c>
      <c r="M443" s="17">
        <f t="shared" si="220"/>
        <v>1.7777777777777777</v>
      </c>
      <c r="N443" s="17">
        <f t="shared" si="221"/>
        <v>3.8888888888888888</v>
      </c>
      <c r="O443" s="18">
        <f t="shared" si="222"/>
        <v>0.45714285714285713</v>
      </c>
      <c r="P443">
        <v>11</v>
      </c>
      <c r="Q443">
        <v>16</v>
      </c>
      <c r="R443" s="17">
        <f t="shared" si="223"/>
        <v>1.2222222222222223</v>
      </c>
      <c r="S443" s="17">
        <f t="shared" si="224"/>
        <v>1.7777777777777777</v>
      </c>
      <c r="T443" s="18">
        <f t="shared" si="225"/>
        <v>0.6875</v>
      </c>
      <c r="U443">
        <v>5</v>
      </c>
      <c r="V443">
        <v>19</v>
      </c>
      <c r="W443" s="17">
        <f t="shared" si="226"/>
        <v>0.55555555555555558</v>
      </c>
      <c r="X443" s="17">
        <f t="shared" si="227"/>
        <v>2.1111111111111112</v>
      </c>
      <c r="Y443" s="18">
        <f t="shared" si="228"/>
        <v>0.26315789473684209</v>
      </c>
      <c r="Z443">
        <v>5</v>
      </c>
      <c r="AA443">
        <v>6</v>
      </c>
      <c r="AB443" s="17">
        <f t="shared" si="229"/>
        <v>0.55555555555555558</v>
      </c>
      <c r="AC443" s="17">
        <f t="shared" si="230"/>
        <v>0.66666666666666663</v>
      </c>
      <c r="AD443" s="18">
        <f t="shared" si="231"/>
        <v>0.83333333333333337</v>
      </c>
      <c r="AE443">
        <v>9</v>
      </c>
      <c r="AF443" s="17">
        <f t="shared" si="232"/>
        <v>1</v>
      </c>
      <c r="AG443">
        <v>3</v>
      </c>
      <c r="AH443" s="17">
        <f t="shared" si="233"/>
        <v>0.33333333333333331</v>
      </c>
      <c r="AI443">
        <v>6</v>
      </c>
      <c r="AJ443" s="17">
        <f t="shared" si="234"/>
        <v>0.66666666666666663</v>
      </c>
      <c r="AK443">
        <v>13</v>
      </c>
      <c r="AL443" s="17">
        <f t="shared" si="235"/>
        <v>1.4444444444444444</v>
      </c>
      <c r="AM443">
        <v>3</v>
      </c>
      <c r="AN443" s="17">
        <f t="shared" si="236"/>
        <v>0.33333333333333331</v>
      </c>
      <c r="AO443">
        <v>0</v>
      </c>
      <c r="AQ443">
        <v>5</v>
      </c>
      <c r="AR443" s="17">
        <f t="shared" si="237"/>
        <v>0.55555555555555558</v>
      </c>
      <c r="AS443">
        <v>4</v>
      </c>
      <c r="AT443" s="17">
        <f t="shared" si="238"/>
        <v>0.44444444444444442</v>
      </c>
      <c r="BD443" s="65">
        <f t="shared" si="239"/>
        <v>55.791710945802343</v>
      </c>
      <c r="BE443" s="65">
        <f t="shared" si="240"/>
        <v>52.857142857142861</v>
      </c>
      <c r="BF443" s="66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19.09059406191788</v>
      </c>
      <c r="BG443" s="38">
        <f t="shared" si="241"/>
        <v>0.54285714285714282</v>
      </c>
      <c r="BH443" s="38">
        <f t="shared" si="242"/>
        <v>0.17142857142857143</v>
      </c>
      <c r="BI443" s="67">
        <f>IFERROR(((AG443*(12000/5))/((F443*60+G443)*(SUMIFS(팀공격력!X:X,팀공격력!A:A,B443,팀공격력!B:B,D443)+SUMIFS(팀수비력!X:X,팀수비력!A:A,B443,팀수비력!B:B,D443))))*100,"")</f>
        <v>1.6999374328583741</v>
      </c>
      <c r="BJ443" s="67">
        <f>IFERROR(((AI443*(12000/5))/((F443*60+G443)*(SUMIFS(팀공격력!V:V,팀공격력!A:A,B443,팀공격력!B:B,D443)+SUMIFS(팀수비력!W:W,팀수비력!A:A,B443,팀수비력!B:B,D443))))*100,"")</f>
        <v>6.4638339512878282</v>
      </c>
      <c r="BK443" s="67">
        <f>IFERROR(((AE443*(12000/5))/((F443*60+G443)*(SUMIFS(팀공격력!X:X,팀공격력!A:A,B443,팀공격력!B:B,D443)+SUMIFS(팀수비력!X:X,팀수비력!A:A,B443,팀수비력!B:B,D443))))*100,"")</f>
        <v>5.099812298575122</v>
      </c>
      <c r="BL443" s="67">
        <f>IFERROR(100*AK443/(((((F443*60+G443)/(12000/5))*SUMIFS(팀공격력!P:P,팀공격력!A:A,B443,팀공격력!B:B,D443))-K443)),"")</f>
        <v>19.137112504140244</v>
      </c>
      <c r="BM443" s="67">
        <f>IFERROR(100*((AM443/E443*(2400))/((F443*60+G443)*SUMIFS(팀공격력!AR:AR,팀공격력!A:A,B443,팀공격력!B:B,D443))),"")</f>
        <v>1.6055009845686981</v>
      </c>
      <c r="BN443" s="67">
        <f>IFERROR((AO443*40)/(((F443*60+G443)/60)*(SUMIFS(팀수비력!Q:Q,팀수비력!A:A,B443,팀수비력!B:B,D443)-SUMIFS(팀수비력!N:N,팀수비력!A:A,B443,팀수비력!B:B,D443)))*100,"")</f>
        <v>0</v>
      </c>
      <c r="BO443" s="67">
        <f t="shared" si="243"/>
        <v>11.726078799249532</v>
      </c>
      <c r="BT443" t="s">
        <v>113</v>
      </c>
      <c r="BV443" t="s">
        <v>93</v>
      </c>
      <c r="CF443">
        <v>6</v>
      </c>
      <c r="CG443">
        <v>3</v>
      </c>
    </row>
    <row r="444" spans="1:85" x14ac:dyDescent="0.4">
      <c r="A444" s="11" t="s">
        <v>85</v>
      </c>
      <c r="B444" t="s">
        <v>203</v>
      </c>
      <c r="C444" t="s">
        <v>212</v>
      </c>
      <c r="D444" s="46" t="s">
        <v>307</v>
      </c>
      <c r="E444">
        <v>9</v>
      </c>
      <c r="F444">
        <v>20</v>
      </c>
      <c r="G444" s="1">
        <v>32</v>
      </c>
      <c r="H444" s="16">
        <f t="shared" si="218"/>
        <v>11088</v>
      </c>
      <c r="I444">
        <v>77</v>
      </c>
      <c r="J444" s="17">
        <f t="shared" si="219"/>
        <v>8.5555555555555554</v>
      </c>
      <c r="K444">
        <v>35</v>
      </c>
      <c r="L444">
        <v>59</v>
      </c>
      <c r="M444" s="17">
        <f t="shared" si="220"/>
        <v>3.8888888888888888</v>
      </c>
      <c r="N444" s="17">
        <f t="shared" si="221"/>
        <v>6.5555555555555554</v>
      </c>
      <c r="O444" s="18">
        <f t="shared" si="222"/>
        <v>0.59322033898305082</v>
      </c>
      <c r="P444">
        <v>35</v>
      </c>
      <c r="Q444">
        <v>59</v>
      </c>
      <c r="R444" s="17">
        <f t="shared" si="223"/>
        <v>3.8888888888888888</v>
      </c>
      <c r="S444" s="17">
        <f t="shared" si="224"/>
        <v>6.5555555555555554</v>
      </c>
      <c r="T444" s="18">
        <f t="shared" si="225"/>
        <v>0.59322033898305082</v>
      </c>
      <c r="U444">
        <v>0</v>
      </c>
      <c r="V444">
        <v>0</v>
      </c>
      <c r="W444" s="17">
        <f t="shared" si="226"/>
        <v>0</v>
      </c>
      <c r="X444" s="17">
        <f t="shared" si="227"/>
        <v>0</v>
      </c>
      <c r="Y444" s="18" t="e">
        <f t="shared" si="228"/>
        <v>#DIV/0!</v>
      </c>
      <c r="Z444">
        <v>7</v>
      </c>
      <c r="AA444">
        <v>14</v>
      </c>
      <c r="AB444" s="17">
        <f t="shared" si="229"/>
        <v>0.77777777777777779</v>
      </c>
      <c r="AC444" s="17">
        <f t="shared" si="230"/>
        <v>1.5555555555555556</v>
      </c>
      <c r="AD444" s="18">
        <f t="shared" si="231"/>
        <v>0.5</v>
      </c>
      <c r="AE444">
        <v>30</v>
      </c>
      <c r="AF444" s="17">
        <f t="shared" si="232"/>
        <v>3.3333333333333335</v>
      </c>
      <c r="AG444">
        <v>16</v>
      </c>
      <c r="AH444" s="17">
        <f t="shared" si="233"/>
        <v>1.7777777777777777</v>
      </c>
      <c r="AI444">
        <v>14</v>
      </c>
      <c r="AJ444" s="17">
        <f t="shared" si="234"/>
        <v>1.5555555555555556</v>
      </c>
      <c r="AK444">
        <v>5</v>
      </c>
      <c r="AL444" s="17">
        <f t="shared" si="235"/>
        <v>0.55555555555555558</v>
      </c>
      <c r="AM444">
        <v>3</v>
      </c>
      <c r="AN444" s="17">
        <f t="shared" si="236"/>
        <v>0.33333333333333331</v>
      </c>
      <c r="AO444">
        <v>5</v>
      </c>
      <c r="AQ444">
        <v>7</v>
      </c>
      <c r="AR444" s="17">
        <f t="shared" si="237"/>
        <v>0.77777777777777779</v>
      </c>
      <c r="AS444">
        <v>22</v>
      </c>
      <c r="AT444" s="17">
        <f t="shared" si="238"/>
        <v>2.4444444444444446</v>
      </c>
      <c r="BD444" s="65">
        <f t="shared" si="239"/>
        <v>59.085328422344993</v>
      </c>
      <c r="BE444" s="65">
        <f t="shared" si="240"/>
        <v>59.322033898305079</v>
      </c>
      <c r="BF444" s="66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17.490970108927506</v>
      </c>
      <c r="BG444" s="38">
        <f t="shared" si="241"/>
        <v>0</v>
      </c>
      <c r="BH444" s="38">
        <f t="shared" si="242"/>
        <v>0.23728813559322035</v>
      </c>
      <c r="BI444" s="67">
        <f>IFERROR(((AG444*(12000/5))/((F444*60+G444)*(SUMIFS(팀공격력!X:X,팀공격력!A:A,B444,팀공격력!B:B,D444)+SUMIFS(팀수비력!X:X,팀수비력!A:A,B444,팀수비력!B:B,D444))))*100,"")</f>
        <v>4.9084773494222311</v>
      </c>
      <c r="BJ444" s="67">
        <f>IFERROR(((AI444*(12000/5))/((F444*60+G444)*(SUMIFS(팀공격력!V:V,팀공격력!A:A,B444,팀공격력!B:B,D444)+SUMIFS(팀수비력!W:W,팀수비력!A:A,B444,팀수비력!B:B,D444))))*100,"")</f>
        <v>8.1654872074033751</v>
      </c>
      <c r="BK444" s="67">
        <f>IFERROR(((AE444*(12000/5))/((F444*60+G444)*(SUMIFS(팀공격력!X:X,팀공격력!A:A,B444,팀공격력!B:B,D444)+SUMIFS(팀수비력!X:X,팀수비력!A:A,B444,팀수비력!B:B,D444))))*100,"")</f>
        <v>9.2033950301666838</v>
      </c>
      <c r="BL444" s="67">
        <f>IFERROR(100*AK444/(((((F444*60+G444)/(12000/5))*SUMIFS(팀공격력!P:P,팀공격력!A:A,B444,팀공격력!B:B,D444))-K444)),"")</f>
        <v>4.1657409464563431</v>
      </c>
      <c r="BM444" s="67">
        <f>IFERROR(100*((AM444/E444*(2400))/((F444*60+G444)*SUMIFS(팀공격력!AR:AR,팀공격력!A:A,B444,팀공격력!B:B,D444))),"")</f>
        <v>0.869211977846852</v>
      </c>
      <c r="BN444" s="67">
        <f>IFERROR((AO444*40)/(((F444*60+G444)/60)*(SUMIFS(팀수비력!Q:Q,팀수비력!A:A,B444,팀수비력!B:B,D444)-SUMIFS(팀수비력!N:N,팀수비력!A:A,B444,팀수비력!B:B,D444)))*100,"")</f>
        <v>2.7909053697019308</v>
      </c>
      <c r="BO444" s="67">
        <f t="shared" si="243"/>
        <v>9.700665188470067</v>
      </c>
      <c r="BT444" t="s">
        <v>89</v>
      </c>
      <c r="BV444" t="s">
        <v>102</v>
      </c>
      <c r="CF444">
        <v>6</v>
      </c>
      <c r="CG444">
        <v>3</v>
      </c>
    </row>
    <row r="445" spans="1:85" x14ac:dyDescent="0.4">
      <c r="A445" s="11" t="s">
        <v>85</v>
      </c>
      <c r="B445" t="s">
        <v>203</v>
      </c>
      <c r="C445" t="s">
        <v>214</v>
      </c>
      <c r="D445" s="46" t="s">
        <v>307</v>
      </c>
      <c r="E445">
        <v>4</v>
      </c>
      <c r="F445">
        <v>5</v>
      </c>
      <c r="G445" s="1">
        <v>22</v>
      </c>
      <c r="H445" s="16">
        <f t="shared" si="218"/>
        <v>1288</v>
      </c>
      <c r="I445">
        <v>0</v>
      </c>
      <c r="J445" s="17">
        <f t="shared" si="219"/>
        <v>0</v>
      </c>
      <c r="K445">
        <v>0</v>
      </c>
      <c r="L445">
        <v>5</v>
      </c>
      <c r="M445" s="17">
        <f t="shared" si="220"/>
        <v>0</v>
      </c>
      <c r="N445" s="17">
        <f t="shared" si="221"/>
        <v>1.25</v>
      </c>
      <c r="O445" s="18">
        <f t="shared" si="222"/>
        <v>0</v>
      </c>
      <c r="P445">
        <v>0</v>
      </c>
      <c r="Q445">
        <v>2</v>
      </c>
      <c r="R445" s="17">
        <f t="shared" si="223"/>
        <v>0</v>
      </c>
      <c r="S445" s="17">
        <f t="shared" si="224"/>
        <v>0.5</v>
      </c>
      <c r="T445" s="18">
        <f t="shared" si="225"/>
        <v>0</v>
      </c>
      <c r="U445">
        <v>0</v>
      </c>
      <c r="V445">
        <v>3</v>
      </c>
      <c r="W445" s="17">
        <f t="shared" si="226"/>
        <v>0</v>
      </c>
      <c r="X445" s="17">
        <f t="shared" si="227"/>
        <v>0.75</v>
      </c>
      <c r="Y445" s="18">
        <f t="shared" si="228"/>
        <v>0</v>
      </c>
      <c r="Z445">
        <v>0</v>
      </c>
      <c r="AA445">
        <v>0</v>
      </c>
      <c r="AB445" s="17">
        <f t="shared" si="229"/>
        <v>0</v>
      </c>
      <c r="AC445" s="17">
        <f t="shared" si="230"/>
        <v>0</v>
      </c>
      <c r="AD445" s="18" t="e">
        <f t="shared" si="231"/>
        <v>#DIV/0!</v>
      </c>
      <c r="AE445">
        <v>2</v>
      </c>
      <c r="AF445" s="17">
        <f t="shared" si="232"/>
        <v>0.5</v>
      </c>
      <c r="AG445">
        <v>0</v>
      </c>
      <c r="AH445" s="17">
        <f t="shared" si="233"/>
        <v>0</v>
      </c>
      <c r="AI445">
        <v>2</v>
      </c>
      <c r="AJ445" s="17">
        <f t="shared" si="234"/>
        <v>0.5</v>
      </c>
      <c r="AK445">
        <v>0</v>
      </c>
      <c r="AL445" s="17">
        <f t="shared" si="235"/>
        <v>0</v>
      </c>
      <c r="AM445">
        <v>0</v>
      </c>
      <c r="AN445" s="17">
        <f t="shared" si="236"/>
        <v>0</v>
      </c>
      <c r="AO445">
        <v>1</v>
      </c>
      <c r="AQ445">
        <v>1</v>
      </c>
      <c r="AR445" s="17">
        <f t="shared" si="237"/>
        <v>0.25</v>
      </c>
      <c r="AS445">
        <v>2</v>
      </c>
      <c r="AT445" s="17">
        <f t="shared" si="238"/>
        <v>0.5</v>
      </c>
      <c r="BD445" s="65">
        <f t="shared" si="239"/>
        <v>0</v>
      </c>
      <c r="BE445" s="65">
        <f t="shared" si="240"/>
        <v>0</v>
      </c>
      <c r="BF445" s="66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5.564465570178422</v>
      </c>
      <c r="BG445" s="38">
        <f t="shared" si="241"/>
        <v>0.6</v>
      </c>
      <c r="BH445" s="38">
        <f t="shared" si="242"/>
        <v>0</v>
      </c>
      <c r="BI445" s="67">
        <f>IFERROR(((AG445*(12000/5))/((F445*60+G445)*(SUMIFS(팀공격력!X:X,팀공격력!A:A,B445,팀공격력!B:B,D445)+SUMIFS(팀수비력!X:X,팀수비력!A:A,B445,팀수비력!B:B,D445))))*100,"")</f>
        <v>0</v>
      </c>
      <c r="BJ445" s="67">
        <f>IFERROR(((AI445*(12000/5))/((F445*60+G445)*(SUMIFS(팀공격력!V:V,팀공격력!A:A,B445,팀공격력!B:B,D445)+SUMIFS(팀수비력!W:W,팀수비력!A:A,B445,팀수비력!B:B,D445))))*100,"")</f>
        <v>4.4631234425558821</v>
      </c>
      <c r="BK445" s="67">
        <f>IFERROR(((AE445*(12000/5))/((F445*60+G445)*(SUMIFS(팀공격력!X:X,팀공격력!A:A,B445,팀공격력!B:B,D445)+SUMIFS(팀수비력!X:X,팀수비력!A:A,B445,팀수비력!B:B,D445))))*100,"")</f>
        <v>2.3475326453758498</v>
      </c>
      <c r="BL445" s="67">
        <f>IFERROR(100*AK445/(((((F445*60+G445)/(12000/5))*SUMIFS(팀공격력!P:P,팀공격력!A:A,B445,팀공격력!B:B,D445))-K445)),"")</f>
        <v>0</v>
      </c>
      <c r="BM445" s="67">
        <f>IFERROR(100*((AM445/E445*(2400))/((F445*60+G445)*SUMIFS(팀공격력!AR:AR,팀공격력!A:A,B445,팀공격력!B:B,D445))),"")</f>
        <v>0</v>
      </c>
      <c r="BN445" s="67">
        <f>IFERROR((AO445*40)/(((F445*60+G445)/60)*(SUMIFS(팀수비력!Q:Q,팀수비력!A:A,B445,팀수비력!B:B,D445)-SUMIFS(팀수비력!N:N,팀수비력!A:A,B445,팀수비력!B:B,D445)))*100,"")</f>
        <v>2.1356493263806087</v>
      </c>
      <c r="BO445" s="67">
        <f t="shared" si="243"/>
        <v>16.666666666666668</v>
      </c>
      <c r="BT445" t="s">
        <v>89</v>
      </c>
      <c r="BV445" t="s">
        <v>90</v>
      </c>
      <c r="CF445">
        <v>3</v>
      </c>
      <c r="CG445">
        <v>1</v>
      </c>
    </row>
    <row r="446" spans="1:85" x14ac:dyDescent="0.4">
      <c r="A446" s="11" t="s">
        <v>85</v>
      </c>
      <c r="B446" t="s">
        <v>203</v>
      </c>
      <c r="C446" t="s">
        <v>216</v>
      </c>
      <c r="D446" s="46" t="s">
        <v>307</v>
      </c>
      <c r="E446">
        <v>9</v>
      </c>
      <c r="F446">
        <v>20</v>
      </c>
      <c r="G446" s="1">
        <v>52</v>
      </c>
      <c r="H446" s="16">
        <f t="shared" si="218"/>
        <v>11268</v>
      </c>
      <c r="I446">
        <v>47</v>
      </c>
      <c r="J446" s="17">
        <f t="shared" si="219"/>
        <v>5.2222222222222223</v>
      </c>
      <c r="K446">
        <v>15</v>
      </c>
      <c r="L446">
        <v>47</v>
      </c>
      <c r="M446" s="17">
        <f t="shared" si="220"/>
        <v>1.6666666666666667</v>
      </c>
      <c r="N446" s="17">
        <f t="shared" si="221"/>
        <v>5.2222222222222223</v>
      </c>
      <c r="O446" s="18">
        <f t="shared" si="222"/>
        <v>0.31914893617021278</v>
      </c>
      <c r="P446">
        <v>8</v>
      </c>
      <c r="Q446">
        <v>18</v>
      </c>
      <c r="R446" s="17">
        <f t="shared" si="223"/>
        <v>0.88888888888888884</v>
      </c>
      <c r="S446" s="17">
        <f t="shared" si="224"/>
        <v>2</v>
      </c>
      <c r="T446" s="18">
        <f t="shared" si="225"/>
        <v>0.44444444444444442</v>
      </c>
      <c r="U446">
        <v>7</v>
      </c>
      <c r="V446">
        <v>29</v>
      </c>
      <c r="W446" s="17">
        <f t="shared" si="226"/>
        <v>0.77777777777777779</v>
      </c>
      <c r="X446" s="17">
        <f t="shared" si="227"/>
        <v>3.2222222222222223</v>
      </c>
      <c r="Y446" s="18">
        <f t="shared" si="228"/>
        <v>0.2413793103448276</v>
      </c>
      <c r="Z446">
        <v>10</v>
      </c>
      <c r="AA446">
        <v>14</v>
      </c>
      <c r="AB446" s="17">
        <f t="shared" si="229"/>
        <v>1.1111111111111112</v>
      </c>
      <c r="AC446" s="17">
        <f t="shared" si="230"/>
        <v>1.5555555555555556</v>
      </c>
      <c r="AD446" s="18">
        <f t="shared" si="231"/>
        <v>0.7142857142857143</v>
      </c>
      <c r="AE446">
        <v>15</v>
      </c>
      <c r="AF446" s="17">
        <f t="shared" si="232"/>
        <v>1.6666666666666667</v>
      </c>
      <c r="AG446">
        <v>4</v>
      </c>
      <c r="AH446" s="17">
        <f t="shared" si="233"/>
        <v>0.44444444444444442</v>
      </c>
      <c r="AI446">
        <v>11</v>
      </c>
      <c r="AJ446" s="17">
        <f t="shared" si="234"/>
        <v>1.2222222222222223</v>
      </c>
      <c r="AK446">
        <v>42</v>
      </c>
      <c r="AL446" s="17">
        <f t="shared" si="235"/>
        <v>4.666666666666667</v>
      </c>
      <c r="AM446">
        <v>9</v>
      </c>
      <c r="AN446" s="17">
        <f t="shared" si="236"/>
        <v>1</v>
      </c>
      <c r="AO446">
        <v>0</v>
      </c>
      <c r="AQ446">
        <v>8</v>
      </c>
      <c r="AR446" s="17">
        <f t="shared" si="237"/>
        <v>0.88888888888888884</v>
      </c>
      <c r="AS446">
        <v>23</v>
      </c>
      <c r="AT446" s="17">
        <f t="shared" si="238"/>
        <v>2.5555555555555554</v>
      </c>
      <c r="BD446" s="65">
        <f t="shared" si="239"/>
        <v>44.206170052671183</v>
      </c>
      <c r="BE446" s="65">
        <f t="shared" si="240"/>
        <v>39.361702127659576</v>
      </c>
      <c r="BF446" s="66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14.587847975987772</v>
      </c>
      <c r="BG446" s="38">
        <f t="shared" si="241"/>
        <v>0.61702127659574468</v>
      </c>
      <c r="BH446" s="38">
        <f t="shared" si="242"/>
        <v>0.2978723404255319</v>
      </c>
      <c r="BI446" s="67">
        <f>IFERROR(((AG446*(12000/5))/((F446*60+G446)*(SUMIFS(팀공격력!X:X,팀공격력!A:A,B446,팀공격력!B:B,D446)+SUMIFS(팀수비력!X:X,팀수비력!A:A,B446,팀수비력!B:B,D446))))*100,"")</f>
        <v>1.2075167920303891</v>
      </c>
      <c r="BJ446" s="67">
        <f>IFERROR(((AI446*(12000/5))/((F446*60+G446)*(SUMIFS(팀공격력!V:V,팀공격력!A:A,B446,팀공격력!B:B,D446)+SUMIFS(팀수비력!W:W,팀수비력!A:A,B446,팀수비력!B:B,D446))))*100,"")</f>
        <v>6.3132520900690627</v>
      </c>
      <c r="BK446" s="67">
        <f>IFERROR(((AE446*(12000/5))/((F446*60+G446)*(SUMIFS(팀공격력!X:X,팀공격력!A:A,B446,팀공격력!B:B,D446)+SUMIFS(팀수비력!X:X,팀수비력!A:A,B446,팀수비력!B:B,D446))))*100,"")</f>
        <v>4.5281879701139598</v>
      </c>
      <c r="BL446" s="67">
        <f>IFERROR(100*AK446/(((((F446*60+G446)/(12000/5))*SUMIFS(팀공격력!P:P,팀공격력!A:A,B446,팀공격력!B:B,D446))-K446)),"")</f>
        <v>29.46472417744312</v>
      </c>
      <c r="BM446" s="67">
        <f>IFERROR(100*((AM446/E446*(2400))/((F446*60+G446)*SUMIFS(팀공격력!AR:AR,팀공격력!A:A,B446,팀공격력!B:B,D446))),"")</f>
        <v>2.5659804074456591</v>
      </c>
      <c r="BN446" s="67">
        <f>IFERROR((AO446*40)/(((F446*60+G446)/60)*(SUMIFS(팀수비력!Q:Q,팀수비력!A:A,B446,팀수비력!B:B,D446)-SUMIFS(팀수비력!N:N,팀수비력!A:A,B446,팀수비력!B:B,D446)))*100,"")</f>
        <v>0</v>
      </c>
      <c r="BO446" s="67">
        <f t="shared" si="243"/>
        <v>13.080444735120995</v>
      </c>
      <c r="BT446" t="s">
        <v>89</v>
      </c>
      <c r="BV446" t="s">
        <v>90</v>
      </c>
      <c r="CF446">
        <v>6</v>
      </c>
      <c r="CG446">
        <v>3</v>
      </c>
    </row>
    <row r="447" spans="1:85" x14ac:dyDescent="0.4">
      <c r="A447" s="11" t="s">
        <v>85</v>
      </c>
      <c r="B447" t="s">
        <v>203</v>
      </c>
      <c r="C447" t="s">
        <v>217</v>
      </c>
      <c r="D447" s="46" t="s">
        <v>307</v>
      </c>
      <c r="E447">
        <v>1</v>
      </c>
      <c r="F447">
        <v>1</v>
      </c>
      <c r="G447" s="1">
        <v>15</v>
      </c>
      <c r="H447" s="16">
        <f t="shared" si="218"/>
        <v>75</v>
      </c>
      <c r="I447">
        <v>2</v>
      </c>
      <c r="J447" s="17">
        <f t="shared" si="219"/>
        <v>2</v>
      </c>
      <c r="K447">
        <v>1</v>
      </c>
      <c r="L447">
        <v>1</v>
      </c>
      <c r="M447" s="17">
        <f t="shared" si="220"/>
        <v>1</v>
      </c>
      <c r="N447" s="17">
        <f t="shared" si="221"/>
        <v>1</v>
      </c>
      <c r="O447" s="18">
        <f t="shared" si="222"/>
        <v>1</v>
      </c>
      <c r="P447">
        <v>1</v>
      </c>
      <c r="Q447">
        <v>1</v>
      </c>
      <c r="R447" s="17">
        <f t="shared" si="223"/>
        <v>1</v>
      </c>
      <c r="S447" s="17">
        <f t="shared" si="224"/>
        <v>1</v>
      </c>
      <c r="T447" s="18">
        <f t="shared" si="225"/>
        <v>1</v>
      </c>
      <c r="U447">
        <v>0</v>
      </c>
      <c r="V447">
        <v>0</v>
      </c>
      <c r="W447" s="17">
        <f t="shared" si="226"/>
        <v>0</v>
      </c>
      <c r="X447" s="17">
        <f t="shared" si="227"/>
        <v>0</v>
      </c>
      <c r="Y447" s="18" t="e">
        <f t="shared" si="228"/>
        <v>#DIV/0!</v>
      </c>
      <c r="Z447">
        <v>0</v>
      </c>
      <c r="AA447">
        <v>0</v>
      </c>
      <c r="AB447" s="17">
        <f t="shared" si="229"/>
        <v>0</v>
      </c>
      <c r="AC447" s="17">
        <f t="shared" si="230"/>
        <v>0</v>
      </c>
      <c r="AD447" s="18" t="e">
        <f t="shared" si="231"/>
        <v>#DIV/0!</v>
      </c>
      <c r="AE447">
        <v>0</v>
      </c>
      <c r="AF447" s="17">
        <f t="shared" si="232"/>
        <v>0</v>
      </c>
      <c r="AG447">
        <v>0</v>
      </c>
      <c r="AH447" s="17">
        <f t="shared" si="233"/>
        <v>0</v>
      </c>
      <c r="AI447">
        <v>0</v>
      </c>
      <c r="AJ447" s="17">
        <f t="shared" si="234"/>
        <v>0</v>
      </c>
      <c r="AK447">
        <v>0</v>
      </c>
      <c r="AL447" s="17">
        <f t="shared" si="235"/>
        <v>0</v>
      </c>
      <c r="AM447">
        <v>0</v>
      </c>
      <c r="AN447" s="17">
        <f t="shared" si="236"/>
        <v>0</v>
      </c>
      <c r="AO447">
        <v>0</v>
      </c>
      <c r="AQ447">
        <v>0</v>
      </c>
      <c r="AR447" s="17">
        <f t="shared" si="237"/>
        <v>0</v>
      </c>
      <c r="AS447">
        <v>1</v>
      </c>
      <c r="AT447" s="17">
        <f t="shared" si="238"/>
        <v>1</v>
      </c>
      <c r="BD447" s="65">
        <f t="shared" si="239"/>
        <v>100</v>
      </c>
      <c r="BE447" s="65">
        <f t="shared" si="240"/>
        <v>100</v>
      </c>
      <c r="BF447" s="66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3.9816842524387819</v>
      </c>
      <c r="BG447" s="38">
        <f t="shared" si="241"/>
        <v>0</v>
      </c>
      <c r="BH447" s="38">
        <f t="shared" si="242"/>
        <v>0</v>
      </c>
      <c r="BI447" s="67">
        <f>IFERROR(((AG447*(12000/5))/((F447*60+G447)*(SUMIFS(팀공격력!X:X,팀공격력!A:A,B447,팀공격력!B:B,D447)+SUMIFS(팀수비력!X:X,팀수비력!A:A,B447,팀수비력!B:B,D447))))*100,"")</f>
        <v>0</v>
      </c>
      <c r="BJ447" s="67">
        <f>IFERROR(((AI447*(12000/5))/((F447*60+G447)*(SUMIFS(팀공격력!V:V,팀공격력!A:A,B447,팀공격력!B:B,D447)+SUMIFS(팀수비력!W:W,팀수비력!A:A,B447,팀수비력!B:B,D447))))*100,"")</f>
        <v>0</v>
      </c>
      <c r="BK447" s="67">
        <f>IFERROR(((AE447*(12000/5))/((F447*60+G447)*(SUMIFS(팀공격력!X:X,팀공격력!A:A,B447,팀공격력!B:B,D447)+SUMIFS(팀수비력!X:X,팀수비력!A:A,B447,팀수비력!B:B,D447))))*100,"")</f>
        <v>0</v>
      </c>
      <c r="BL447" s="67">
        <f>IFERROR(100*AK447/(((((F447*60+G447)/(12000/5))*SUMIFS(팀공격력!P:P,팀공격력!A:A,B447,팀공격력!B:B,D447))-K447)),"")</f>
        <v>0</v>
      </c>
      <c r="BM447" s="67">
        <f>IFERROR(100*((AM447/E447*(2400))/((F447*60+G447)*SUMIFS(팀공격력!AR:AR,팀공격력!A:A,B447,팀공격력!B:B,D447))),"")</f>
        <v>0</v>
      </c>
      <c r="BN447" s="67">
        <f>IFERROR((AO447*40)/(((F447*60+G447)/60)*(SUMIFS(팀수비력!Q:Q,팀수비력!A:A,B447,팀수비력!B:B,D447)-SUMIFS(팀수비력!N:N,팀수비력!A:A,B447,팀수비력!B:B,D447)))*100,"")</f>
        <v>0</v>
      </c>
      <c r="BO447" s="67">
        <f t="shared" si="243"/>
        <v>0</v>
      </c>
      <c r="BT447" t="s">
        <v>89</v>
      </c>
      <c r="BV447" t="s">
        <v>90</v>
      </c>
      <c r="CF447">
        <v>1</v>
      </c>
      <c r="CG447">
        <v>0</v>
      </c>
    </row>
    <row r="448" spans="1:85" x14ac:dyDescent="0.4">
      <c r="A448" s="11" t="s">
        <v>85</v>
      </c>
      <c r="B448" t="s">
        <v>203</v>
      </c>
      <c r="C448" t="s">
        <v>219</v>
      </c>
      <c r="D448" s="46" t="s">
        <v>307</v>
      </c>
      <c r="E448">
        <v>9</v>
      </c>
      <c r="F448">
        <v>13</v>
      </c>
      <c r="G448" s="1">
        <v>6</v>
      </c>
      <c r="H448" s="16">
        <f t="shared" si="218"/>
        <v>7074</v>
      </c>
      <c r="I448">
        <v>27</v>
      </c>
      <c r="J448" s="17">
        <f t="shared" si="219"/>
        <v>3</v>
      </c>
      <c r="K448">
        <v>11</v>
      </c>
      <c r="L448">
        <v>19</v>
      </c>
      <c r="M448" s="17">
        <f t="shared" si="220"/>
        <v>1.2222222222222223</v>
      </c>
      <c r="N448" s="17">
        <f t="shared" si="221"/>
        <v>2.1111111111111112</v>
      </c>
      <c r="O448" s="18">
        <f t="shared" si="222"/>
        <v>0.57894736842105265</v>
      </c>
      <c r="P448">
        <v>9</v>
      </c>
      <c r="Q448">
        <v>14</v>
      </c>
      <c r="R448" s="17">
        <f t="shared" si="223"/>
        <v>1</v>
      </c>
      <c r="S448" s="17">
        <f t="shared" si="224"/>
        <v>1.5555555555555556</v>
      </c>
      <c r="T448" s="18">
        <f t="shared" si="225"/>
        <v>0.6428571428571429</v>
      </c>
      <c r="U448">
        <v>2</v>
      </c>
      <c r="V448">
        <v>5</v>
      </c>
      <c r="W448" s="17">
        <f t="shared" si="226"/>
        <v>0.22222222222222221</v>
      </c>
      <c r="X448" s="17">
        <f t="shared" si="227"/>
        <v>0.55555555555555558</v>
      </c>
      <c r="Y448" s="18">
        <f t="shared" si="228"/>
        <v>0.4</v>
      </c>
      <c r="Z448">
        <v>3</v>
      </c>
      <c r="AA448">
        <v>5</v>
      </c>
      <c r="AB448" s="17">
        <f t="shared" si="229"/>
        <v>0.33333333333333331</v>
      </c>
      <c r="AC448" s="17">
        <f t="shared" si="230"/>
        <v>0.55555555555555558</v>
      </c>
      <c r="AD448" s="18">
        <f t="shared" si="231"/>
        <v>0.6</v>
      </c>
      <c r="AE448">
        <v>19</v>
      </c>
      <c r="AF448" s="17">
        <f t="shared" si="232"/>
        <v>2.1111111111111112</v>
      </c>
      <c r="AG448">
        <v>9</v>
      </c>
      <c r="AH448" s="17">
        <f t="shared" si="233"/>
        <v>1</v>
      </c>
      <c r="AI448">
        <v>10</v>
      </c>
      <c r="AJ448" s="17">
        <f t="shared" si="234"/>
        <v>1.1111111111111112</v>
      </c>
      <c r="AK448">
        <v>21</v>
      </c>
      <c r="AL448" s="17">
        <f t="shared" si="235"/>
        <v>2.3333333333333335</v>
      </c>
      <c r="AM448">
        <v>7</v>
      </c>
      <c r="AN448" s="17">
        <f t="shared" si="236"/>
        <v>0.77777777777777779</v>
      </c>
      <c r="AO448">
        <v>1</v>
      </c>
      <c r="AQ448">
        <v>6</v>
      </c>
      <c r="AR448" s="17">
        <f t="shared" si="237"/>
        <v>0.66666666666666663</v>
      </c>
      <c r="AS448">
        <v>13</v>
      </c>
      <c r="AT448" s="17">
        <f t="shared" si="238"/>
        <v>1.4444444444444444</v>
      </c>
      <c r="BD448" s="65">
        <f t="shared" si="239"/>
        <v>63.679245283018872</v>
      </c>
      <c r="BE448" s="65">
        <f t="shared" si="240"/>
        <v>63.157894736842103</v>
      </c>
      <c r="BF448" s="66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10.334142334573936</v>
      </c>
      <c r="BG448" s="38">
        <f t="shared" si="241"/>
        <v>0.26315789473684209</v>
      </c>
      <c r="BH448" s="38">
        <f t="shared" si="242"/>
        <v>0.26315789473684209</v>
      </c>
      <c r="BI448" s="67">
        <f>IFERROR(((AG448*(12000/5))/((F448*60+G448)*(SUMIFS(팀공격력!X:X,팀공격력!A:A,B448,팀공격력!B:B,D448)+SUMIFS(팀수비력!X:X,팀수비력!A:A,B448,팀수비력!B:B,D448))))*100,"")</f>
        <v>4.3277033118951733</v>
      </c>
      <c r="BJ448" s="67">
        <f>IFERROR(((AI448*(12000/5))/((F448*60+G448)*(SUMIFS(팀공격력!V:V,팀공격력!A:A,B448,팀공격력!B:B,D448)+SUMIFS(팀수비력!W:W,팀수비력!A:A,B448,팀수비력!B:B,D448))))*100,"")</f>
        <v>9.1420213009096312</v>
      </c>
      <c r="BK448" s="67">
        <f>IFERROR(((AE448*(12000/5))/((F448*60+G448)*(SUMIFS(팀공격력!X:X,팀공격력!A:A,B448,팀공격력!B:B,D448)+SUMIFS(팀수비력!X:X,팀수비력!A:A,B448,팀수비력!B:B,D448))))*100,"")</f>
        <v>9.1362625473342547</v>
      </c>
      <c r="BL448" s="67">
        <f>IFERROR(100*AK448/(((((F448*60+G448)/(12000/5))*SUMIFS(팀공격력!P:P,팀공격력!A:A,B448,팀공격력!B:B,D448))-K448)),"")</f>
        <v>23.889426084978101</v>
      </c>
      <c r="BM448" s="67">
        <f>IFERROR(100*((AM448/E448*(2400))/((F448*60+G448)*SUMIFS(팀공격력!AR:AR,팀공격력!A:A,B448,팀공격력!B:B,D448))),"")</f>
        <v>3.1790008892923036</v>
      </c>
      <c r="BN448" s="67">
        <f>IFERROR((AO448*40)/(((F448*60+G448)/60)*(SUMIFS(팀수비력!Q:Q,팀수비력!A:A,B448,팀수비력!B:B,D448)-SUMIFS(팀수비력!N:N,팀수비력!A:A,B448,팀수비력!B:B,D448)))*100,"")</f>
        <v>0.87490977492946043</v>
      </c>
      <c r="BO448" s="67">
        <f t="shared" si="243"/>
        <v>22.058823529411764</v>
      </c>
      <c r="BT448" t="s">
        <v>89</v>
      </c>
      <c r="BV448" t="s">
        <v>90</v>
      </c>
      <c r="CF448">
        <v>6</v>
      </c>
      <c r="CG448">
        <v>3</v>
      </c>
    </row>
    <row r="449" spans="1:85" x14ac:dyDescent="0.4">
      <c r="A449" s="11" t="s">
        <v>85</v>
      </c>
      <c r="B449" t="s">
        <v>203</v>
      </c>
      <c r="C449" t="s">
        <v>220</v>
      </c>
      <c r="D449" s="46" t="s">
        <v>307</v>
      </c>
      <c r="E449">
        <v>9</v>
      </c>
      <c r="F449">
        <v>30</v>
      </c>
      <c r="G449" s="1">
        <v>45</v>
      </c>
      <c r="H449" s="16">
        <f t="shared" si="218"/>
        <v>16605</v>
      </c>
      <c r="I449">
        <v>220</v>
      </c>
      <c r="J449" s="17">
        <f t="shared" si="219"/>
        <v>24.444444444444443</v>
      </c>
      <c r="K449">
        <v>85</v>
      </c>
      <c r="L449">
        <v>167</v>
      </c>
      <c r="M449" s="17">
        <f t="shared" si="220"/>
        <v>9.4444444444444446</v>
      </c>
      <c r="N449" s="17">
        <f t="shared" si="221"/>
        <v>18.555555555555557</v>
      </c>
      <c r="O449" s="18">
        <f t="shared" si="222"/>
        <v>0.50898203592814373</v>
      </c>
      <c r="P449">
        <v>58</v>
      </c>
      <c r="Q449">
        <v>102</v>
      </c>
      <c r="R449" s="17">
        <f t="shared" si="223"/>
        <v>6.4444444444444446</v>
      </c>
      <c r="S449" s="17">
        <f t="shared" si="224"/>
        <v>11.333333333333334</v>
      </c>
      <c r="T449" s="18">
        <f t="shared" si="225"/>
        <v>0.56862745098039214</v>
      </c>
      <c r="U449">
        <v>27</v>
      </c>
      <c r="V449">
        <v>65</v>
      </c>
      <c r="W449" s="17">
        <f t="shared" si="226"/>
        <v>3</v>
      </c>
      <c r="X449" s="17">
        <f t="shared" si="227"/>
        <v>7.2222222222222223</v>
      </c>
      <c r="Y449" s="18">
        <f t="shared" si="228"/>
        <v>0.41538461538461541</v>
      </c>
      <c r="Z449">
        <v>23</v>
      </c>
      <c r="AA449">
        <v>31</v>
      </c>
      <c r="AB449" s="17">
        <f t="shared" si="229"/>
        <v>2.5555555555555554</v>
      </c>
      <c r="AC449" s="17">
        <f t="shared" si="230"/>
        <v>3.4444444444444446</v>
      </c>
      <c r="AD449" s="18">
        <f t="shared" si="231"/>
        <v>0.74193548387096775</v>
      </c>
      <c r="AE449">
        <v>90</v>
      </c>
      <c r="AF449" s="17">
        <f t="shared" si="232"/>
        <v>10</v>
      </c>
      <c r="AG449">
        <v>22</v>
      </c>
      <c r="AH449" s="17">
        <f t="shared" si="233"/>
        <v>2.4444444444444446</v>
      </c>
      <c r="AI449">
        <v>68</v>
      </c>
      <c r="AJ449" s="17">
        <f t="shared" si="234"/>
        <v>7.5555555555555554</v>
      </c>
      <c r="AK449">
        <v>26</v>
      </c>
      <c r="AL449" s="17">
        <f t="shared" si="235"/>
        <v>2.8888888888888888</v>
      </c>
      <c r="AM449">
        <v>14</v>
      </c>
      <c r="AN449" s="17">
        <f t="shared" si="236"/>
        <v>1.5555555555555556</v>
      </c>
      <c r="AO449">
        <v>8</v>
      </c>
      <c r="AQ449">
        <v>22</v>
      </c>
      <c r="AR449" s="17">
        <f t="shared" si="237"/>
        <v>2.4444444444444446</v>
      </c>
      <c r="AS449">
        <v>28</v>
      </c>
      <c r="AT449" s="17">
        <f t="shared" si="238"/>
        <v>3.1111111111111112</v>
      </c>
      <c r="BD449" s="65">
        <f t="shared" si="239"/>
        <v>60.894596988485397</v>
      </c>
      <c r="BE449" s="65">
        <f t="shared" si="240"/>
        <v>58.982035928143716</v>
      </c>
      <c r="BF449" s="66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32.798719386755877</v>
      </c>
      <c r="BG449" s="38">
        <f t="shared" si="241"/>
        <v>0.38922155688622756</v>
      </c>
      <c r="BH449" s="38">
        <f t="shared" si="242"/>
        <v>0.18562874251497005</v>
      </c>
      <c r="BI449" s="67">
        <f>IFERROR(((AG449*(12000/5))/((F449*60+G449)*(SUMIFS(팀공격력!X:X,팀공격력!A:A,B449,팀공격력!B:B,D449)+SUMIFS(팀수비력!X:X,팀수비력!A:A,B449,팀수비력!B:B,D449))))*100,"")</f>
        <v>4.506753728954612</v>
      </c>
      <c r="BJ449" s="67">
        <f>IFERROR(((AI449*(12000/5))/((F449*60+G449)*(SUMIFS(팀공격력!V:V,팀공격력!A:A,B449,팀공격력!B:B,D449)+SUMIFS(팀수비력!W:W,팀수비력!A:A,B449,팀수비력!B:B,D449))))*100,"")</f>
        <v>26.483618129594472</v>
      </c>
      <c r="BK449" s="67">
        <f>IFERROR(((AE449*(12000/5))/((F449*60+G449)*(SUMIFS(팀공격력!X:X,팀공격력!A:A,B449,팀공격력!B:B,D449)+SUMIFS(팀수비력!X:X,팀수비력!A:A,B449,팀수비력!B:B,D449))))*100,"")</f>
        <v>18.436719800268868</v>
      </c>
      <c r="BL449" s="67">
        <f>IFERROR(100*AK449/(((((F449*60+G449)/(12000/5))*SUMIFS(팀공격력!P:P,팀공격력!A:A,B449,팀공격력!B:B,D449))-K449)),"")</f>
        <v>17.667544381211243</v>
      </c>
      <c r="BM449" s="67">
        <f>IFERROR(100*((AM449/E449*(2400))/((F449*60+G449)*SUMIFS(팀공격력!AR:AR,팀공격력!A:A,B449,팀공격력!B:B,D449))),"")</f>
        <v>2.7086121398197842</v>
      </c>
      <c r="BN449" s="67">
        <f>IFERROR((AO449*40)/(((F449*60+G449)/60)*(SUMIFS(팀수비력!Q:Q,팀수비력!A:A,B449,팀수비력!B:B,D449)-SUMIFS(팀수비력!N:N,팀수비력!A:A,B449,팀수비력!B:B,D449)))*100,"")</f>
        <v>2.9818063223612179</v>
      </c>
      <c r="BO449" s="67">
        <f t="shared" si="243"/>
        <v>10.856691669956573</v>
      </c>
      <c r="BT449" t="s">
        <v>96</v>
      </c>
      <c r="BV449" t="s">
        <v>93</v>
      </c>
      <c r="CF449">
        <v>6</v>
      </c>
      <c r="CG449">
        <v>3</v>
      </c>
    </row>
    <row r="450" spans="1:85" x14ac:dyDescent="0.4">
      <c r="A450" s="11" t="s">
        <v>85</v>
      </c>
      <c r="B450" t="s">
        <v>203</v>
      </c>
      <c r="C450" t="s">
        <v>221</v>
      </c>
      <c r="D450" s="46" t="s">
        <v>307</v>
      </c>
      <c r="E450">
        <v>2</v>
      </c>
      <c r="F450">
        <v>22</v>
      </c>
      <c r="G450" s="1">
        <v>54</v>
      </c>
      <c r="H450" s="16">
        <f t="shared" ref="H450:H513" si="244">(F450*60+G450)*E450</f>
        <v>2748</v>
      </c>
      <c r="I450">
        <v>24</v>
      </c>
      <c r="J450" s="17">
        <f t="shared" ref="J450:J513" si="245">I450/$E450</f>
        <v>12</v>
      </c>
      <c r="K450">
        <v>9</v>
      </c>
      <c r="L450">
        <v>17</v>
      </c>
      <c r="M450" s="17">
        <f t="shared" ref="M450:M513" si="246">K450/$E450</f>
        <v>4.5</v>
      </c>
      <c r="N450" s="17">
        <f t="shared" ref="N450:N513" si="247">L450/$E450</f>
        <v>8.5</v>
      </c>
      <c r="O450" s="18">
        <f t="shared" ref="O450:O513" si="248">K450/L450</f>
        <v>0.52941176470588236</v>
      </c>
      <c r="P450">
        <v>9</v>
      </c>
      <c r="Q450">
        <v>17</v>
      </c>
      <c r="R450" s="17">
        <f t="shared" ref="R450:R513" si="249">P450/$E450</f>
        <v>4.5</v>
      </c>
      <c r="S450" s="17">
        <f t="shared" ref="S450:S513" si="250">Q450/$E450</f>
        <v>8.5</v>
      </c>
      <c r="T450" s="18">
        <f t="shared" ref="T450:T513" si="251">P450/Q450</f>
        <v>0.52941176470588236</v>
      </c>
      <c r="U450">
        <v>0</v>
      </c>
      <c r="V450">
        <v>0</v>
      </c>
      <c r="W450" s="17">
        <f t="shared" ref="W450:W513" si="252">U450/$E450</f>
        <v>0</v>
      </c>
      <c r="X450" s="17">
        <f t="shared" ref="X450:X513" si="253">V450/$E450</f>
        <v>0</v>
      </c>
      <c r="Y450" s="18" t="e">
        <f t="shared" ref="Y450:Y513" si="254">U450/V450</f>
        <v>#DIV/0!</v>
      </c>
      <c r="Z450">
        <v>6</v>
      </c>
      <c r="AA450">
        <v>8</v>
      </c>
      <c r="AB450" s="17">
        <f t="shared" ref="AB450:AB513" si="255">Z450/$E450</f>
        <v>3</v>
      </c>
      <c r="AC450" s="17">
        <f t="shared" ref="AC450:AC513" si="256">AA450/$E450</f>
        <v>4</v>
      </c>
      <c r="AD450" s="18">
        <f t="shared" ref="AD450:AD513" si="257">Z450/AA450</f>
        <v>0.75</v>
      </c>
      <c r="AE450">
        <v>12</v>
      </c>
      <c r="AF450" s="17">
        <f t="shared" ref="AF450:AF513" si="258">AE450/$E450</f>
        <v>6</v>
      </c>
      <c r="AG450">
        <v>5</v>
      </c>
      <c r="AH450" s="17">
        <f t="shared" ref="AH450:AH513" si="259">AG450/$E450</f>
        <v>2.5</v>
      </c>
      <c r="AI450">
        <v>7</v>
      </c>
      <c r="AJ450" s="17">
        <f t="shared" ref="AJ450:AJ513" si="260">AI450/$E450</f>
        <v>3.5</v>
      </c>
      <c r="AK450">
        <v>2</v>
      </c>
      <c r="AL450" s="17">
        <f t="shared" ref="AL450:AL513" si="261">AK450/$E450</f>
        <v>1</v>
      </c>
      <c r="AM450">
        <v>0</v>
      </c>
      <c r="AN450" s="17">
        <f t="shared" ref="AN450:AN513" si="262">AM450/$E450</f>
        <v>0</v>
      </c>
      <c r="AO450">
        <v>0</v>
      </c>
      <c r="AQ450">
        <v>1</v>
      </c>
      <c r="AR450" s="17">
        <f t="shared" ref="AR450:AR513" si="263">AQ450/$E450</f>
        <v>0.5</v>
      </c>
      <c r="AS450">
        <v>5</v>
      </c>
      <c r="AT450" s="17">
        <f t="shared" ref="AT450:AT513" si="264">AS450/$E450</f>
        <v>2.5</v>
      </c>
      <c r="BD450" s="65">
        <f t="shared" ref="BD450:BD513" si="265">IFERROR((I450/(2*(L450+(0.44*AA450))))*100,"")</f>
        <v>58.479532163742689</v>
      </c>
      <c r="BE450" s="65">
        <f t="shared" ref="BE450:BE513" si="266">IFERROR(((P450+(1.5*U450))/L450)*100,"")</f>
        <v>52.941176470588239</v>
      </c>
      <c r="BF450" s="66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4.6771749515547265</v>
      </c>
      <c r="BG450" s="38">
        <f t="shared" ref="BG450:BG513" si="267">IFERROR(V450/L450,"")</f>
        <v>0</v>
      </c>
      <c r="BH450" s="38">
        <f t="shared" ref="BH450:BH513" si="268">IFERROR(AA450/L450,"")</f>
        <v>0.47058823529411764</v>
      </c>
      <c r="BI450" s="67">
        <f>IFERROR(((AG450*(12000/5))/((F450*60+G450)*(SUMIFS(팀공격력!X:X,팀공격력!A:A,B450,팀공격력!B:B,D450)+SUMIFS(팀수비력!X:X,팀수비력!A:A,B450,팀수비력!B:B,D450))))*100,"")</f>
        <v>1.3753739297871608</v>
      </c>
      <c r="BJ450" s="67">
        <f>IFERROR(((AI450*(12000/5))/((F450*60+G450)*(SUMIFS(팀공격력!V:V,팀공격력!A:A,B450,팀공격력!B:B,D450)+SUMIFS(팀수비력!W:W,팀수비력!A:A,B450,팀수비력!B:B,D450))))*100,"")</f>
        <v>3.6608006694035509</v>
      </c>
      <c r="BK450" s="67">
        <f>IFERROR(((AE450*(12000/5))/((F450*60+G450)*(SUMIFS(팀공격력!X:X,팀공격력!A:A,B450,팀공격력!B:B,D450)+SUMIFS(팀수비력!X:X,팀수비력!A:A,B450,팀수비력!B:B,D450))))*100,"")</f>
        <v>3.3008974314891857</v>
      </c>
      <c r="BL450" s="67">
        <f>IFERROR(100*AK450/(((((F450*60+G450)/(12000/5))*SUMIFS(팀공격력!P:P,팀공격력!A:A,B450,팀공격력!B:B,D450))-K450)),"")</f>
        <v>1.22029348058208</v>
      </c>
      <c r="BM450" s="67">
        <f>IFERROR(100*((AM450/E450*(2400))/((F450*60+G450)*SUMIFS(팀공격력!AR:AR,팀공격력!A:A,B450,팀공격력!B:B,D450))),"")</f>
        <v>0</v>
      </c>
      <c r="BN450" s="67">
        <f>IFERROR((AO450*40)/(((F450*60+G450)/60)*(SUMIFS(팀수비력!Q:Q,팀수비력!A:A,B450,팀수비력!B:B,D450)-SUMIFS(팀수비력!N:N,팀수비력!A:A,B450,팀수비력!B:B,D450)))*100,"")</f>
        <v>0</v>
      </c>
      <c r="BO450" s="67">
        <f t="shared" ref="BO450:BO513" si="269">IFERROR(100*AQ450/(L450+0.44*AA450+AQ450),"")</f>
        <v>4.6468401486988853</v>
      </c>
      <c r="BT450" t="s">
        <v>89</v>
      </c>
      <c r="BV450" t="s">
        <v>102</v>
      </c>
      <c r="CF450">
        <v>1</v>
      </c>
      <c r="CG450">
        <v>1</v>
      </c>
    </row>
    <row r="451" spans="1:85" x14ac:dyDescent="0.4">
      <c r="A451" s="11" t="s">
        <v>85</v>
      </c>
      <c r="B451" t="s">
        <v>203</v>
      </c>
      <c r="C451" t="s">
        <v>222</v>
      </c>
      <c r="D451" s="46" t="s">
        <v>307</v>
      </c>
      <c r="E451">
        <v>9</v>
      </c>
      <c r="F451">
        <v>24</v>
      </c>
      <c r="G451" s="1">
        <v>40</v>
      </c>
      <c r="H451" s="16">
        <f t="shared" si="244"/>
        <v>13320</v>
      </c>
      <c r="I451">
        <v>61</v>
      </c>
      <c r="J451" s="17">
        <f t="shared" si="245"/>
        <v>6.7777777777777777</v>
      </c>
      <c r="K451">
        <v>20</v>
      </c>
      <c r="L451">
        <v>65</v>
      </c>
      <c r="M451" s="17">
        <f t="shared" si="246"/>
        <v>2.2222222222222223</v>
      </c>
      <c r="N451" s="17">
        <f t="shared" si="247"/>
        <v>7.2222222222222223</v>
      </c>
      <c r="O451" s="18">
        <f t="shared" si="248"/>
        <v>0.30769230769230771</v>
      </c>
      <c r="P451">
        <v>7</v>
      </c>
      <c r="Q451">
        <v>21</v>
      </c>
      <c r="R451" s="17">
        <f t="shared" si="249"/>
        <v>0.77777777777777779</v>
      </c>
      <c r="S451" s="17">
        <f t="shared" si="250"/>
        <v>2.3333333333333335</v>
      </c>
      <c r="T451" s="18">
        <f t="shared" si="251"/>
        <v>0.33333333333333331</v>
      </c>
      <c r="U451">
        <v>13</v>
      </c>
      <c r="V451">
        <v>44</v>
      </c>
      <c r="W451" s="17">
        <f t="shared" si="252"/>
        <v>1.4444444444444444</v>
      </c>
      <c r="X451" s="17">
        <f t="shared" si="253"/>
        <v>4.8888888888888893</v>
      </c>
      <c r="Y451" s="18">
        <f t="shared" si="254"/>
        <v>0.29545454545454547</v>
      </c>
      <c r="Z451">
        <v>8</v>
      </c>
      <c r="AA451">
        <v>8</v>
      </c>
      <c r="AB451" s="17">
        <f t="shared" si="255"/>
        <v>0.88888888888888884</v>
      </c>
      <c r="AC451" s="17">
        <f t="shared" si="256"/>
        <v>0.88888888888888884</v>
      </c>
      <c r="AD451" s="18">
        <f t="shared" si="257"/>
        <v>1</v>
      </c>
      <c r="AE451">
        <v>36</v>
      </c>
      <c r="AF451" s="17">
        <f t="shared" si="258"/>
        <v>4</v>
      </c>
      <c r="AG451">
        <v>11</v>
      </c>
      <c r="AH451" s="17">
        <f t="shared" si="259"/>
        <v>1.2222222222222223</v>
      </c>
      <c r="AI451">
        <v>25</v>
      </c>
      <c r="AJ451" s="17">
        <f t="shared" si="260"/>
        <v>2.7777777777777777</v>
      </c>
      <c r="AK451">
        <v>11</v>
      </c>
      <c r="AL451" s="17">
        <f t="shared" si="261"/>
        <v>1.2222222222222223</v>
      </c>
      <c r="AM451">
        <v>8</v>
      </c>
      <c r="AN451" s="17">
        <f t="shared" si="262"/>
        <v>0.88888888888888884</v>
      </c>
      <c r="AO451">
        <v>2</v>
      </c>
      <c r="AQ451">
        <v>8</v>
      </c>
      <c r="AR451" s="17">
        <f t="shared" si="263"/>
        <v>0.88888888888888884</v>
      </c>
      <c r="AS451">
        <v>16</v>
      </c>
      <c r="AT451" s="17">
        <f t="shared" si="264"/>
        <v>1.7777777777777777</v>
      </c>
      <c r="BD451" s="65">
        <f t="shared" si="265"/>
        <v>44.512551079976653</v>
      </c>
      <c r="BE451" s="65">
        <f t="shared" si="266"/>
        <v>40.769230769230766</v>
      </c>
      <c r="BF451" s="66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15.439787786990655</v>
      </c>
      <c r="BG451" s="38">
        <f t="shared" si="267"/>
        <v>0.67692307692307696</v>
      </c>
      <c r="BH451" s="38">
        <f t="shared" si="268"/>
        <v>0.12307692307692308</v>
      </c>
      <c r="BI451" s="67">
        <f>IFERROR(((AG451*(12000/5))/((F451*60+G451)*(SUMIFS(팀공격력!X:X,팀공격력!A:A,B451,팀공격력!B:B,D451)+SUMIFS(팀수비력!X:X,팀수비력!A:A,B451,팀수비력!B:B,D451))))*100,"")</f>
        <v>2.8091083209193446</v>
      </c>
      <c r="BJ451" s="67">
        <f>IFERROR(((AI451*(12000/5))/((F451*60+G451)*(SUMIFS(팀공격력!V:V,팀공격력!A:A,B451,팀공격력!B:B,D451)+SUMIFS(팀수비력!W:W,팀수비력!A:A,B451,팀수비력!B:B,D451))))*100,"")</f>
        <v>12.137886389383395</v>
      </c>
      <c r="BK451" s="67">
        <f>IFERROR(((AE451*(12000/5))/((F451*60+G451)*(SUMIFS(팀공격력!X:X,팀공격력!A:A,B451,팀공격력!B:B,D451)+SUMIFS(팀수비력!X:X,팀수비력!A:A,B451,팀수비력!B:B,D451))))*100,"")</f>
        <v>9.1934454139178534</v>
      </c>
      <c r="BL451" s="67">
        <f>IFERROR(100*AK451/(((((F451*60+G451)/(12000/5))*SUMIFS(팀공격력!P:P,팀공격력!A:A,B451,팀공격력!B:B,D451))-K451)),"")</f>
        <v>6.61720473230399</v>
      </c>
      <c r="BM451" s="67">
        <f>IFERROR(100*((AM451/E451*(2400))/((F451*60+G451)*SUMIFS(팀공격력!AR:AR,팀공격력!A:A,B451,팀공격력!B:B,D451))),"")</f>
        <v>1.929493976049228</v>
      </c>
      <c r="BN451" s="67">
        <f>IFERROR((AO451*40)/(((F451*60+G451)/60)*(SUMIFS(팀수비력!Q:Q,팀수비력!A:A,B451,팀수비력!B:B,D451)-SUMIFS(팀수비력!N:N,팀수비력!A:A,B451,팀수비력!B:B,D451)))*100,"")</f>
        <v>0.92929605823588624</v>
      </c>
      <c r="BO451" s="67">
        <f t="shared" si="269"/>
        <v>10.454783063251439</v>
      </c>
      <c r="BT451" t="s">
        <v>89</v>
      </c>
      <c r="BV451" t="s">
        <v>93</v>
      </c>
      <c r="CF451">
        <v>6</v>
      </c>
      <c r="CG451">
        <v>3</v>
      </c>
    </row>
    <row r="452" spans="1:85" x14ac:dyDescent="0.4">
      <c r="A452" s="11" t="s">
        <v>85</v>
      </c>
      <c r="B452" t="s">
        <v>203</v>
      </c>
      <c r="C452" t="s">
        <v>223</v>
      </c>
      <c r="D452" s="46" t="s">
        <v>307</v>
      </c>
      <c r="E452">
        <v>9</v>
      </c>
      <c r="F452">
        <v>27</v>
      </c>
      <c r="G452" s="1">
        <v>8</v>
      </c>
      <c r="H452" s="16">
        <f t="shared" si="244"/>
        <v>14652</v>
      </c>
      <c r="I452">
        <v>155</v>
      </c>
      <c r="J452" s="17">
        <f t="shared" si="245"/>
        <v>17.222222222222221</v>
      </c>
      <c r="K452">
        <v>57</v>
      </c>
      <c r="L452">
        <v>125</v>
      </c>
      <c r="M452" s="17">
        <f t="shared" si="246"/>
        <v>6.333333333333333</v>
      </c>
      <c r="N452" s="17">
        <f t="shared" si="247"/>
        <v>13.888888888888889</v>
      </c>
      <c r="O452" s="18">
        <f t="shared" si="248"/>
        <v>0.45600000000000002</v>
      </c>
      <c r="P452">
        <v>34</v>
      </c>
      <c r="Q452">
        <v>62</v>
      </c>
      <c r="R452" s="17">
        <f t="shared" si="249"/>
        <v>3.7777777777777777</v>
      </c>
      <c r="S452" s="17">
        <f t="shared" si="250"/>
        <v>6.8888888888888893</v>
      </c>
      <c r="T452" s="18">
        <f t="shared" si="251"/>
        <v>0.54838709677419351</v>
      </c>
      <c r="U452">
        <v>23</v>
      </c>
      <c r="V452">
        <v>63</v>
      </c>
      <c r="W452" s="17">
        <f t="shared" si="252"/>
        <v>2.5555555555555554</v>
      </c>
      <c r="X452" s="17">
        <f t="shared" si="253"/>
        <v>7</v>
      </c>
      <c r="Y452" s="18">
        <f t="shared" si="254"/>
        <v>0.36507936507936506</v>
      </c>
      <c r="Z452">
        <v>18</v>
      </c>
      <c r="AA452">
        <v>26</v>
      </c>
      <c r="AB452" s="17">
        <f t="shared" si="255"/>
        <v>2</v>
      </c>
      <c r="AC452" s="17">
        <f t="shared" si="256"/>
        <v>2.8888888888888888</v>
      </c>
      <c r="AD452" s="18">
        <f t="shared" si="257"/>
        <v>0.69230769230769229</v>
      </c>
      <c r="AE452">
        <v>21</v>
      </c>
      <c r="AF452" s="17">
        <f t="shared" si="258"/>
        <v>2.3333333333333335</v>
      </c>
      <c r="AG452">
        <v>6</v>
      </c>
      <c r="AH452" s="17">
        <f t="shared" si="259"/>
        <v>0.66666666666666663</v>
      </c>
      <c r="AI452">
        <v>15</v>
      </c>
      <c r="AJ452" s="17">
        <f t="shared" si="260"/>
        <v>1.6666666666666667</v>
      </c>
      <c r="AK452">
        <v>40</v>
      </c>
      <c r="AL452" s="17">
        <f t="shared" si="261"/>
        <v>4.4444444444444446</v>
      </c>
      <c r="AM452">
        <v>10</v>
      </c>
      <c r="AN452" s="17">
        <f t="shared" si="262"/>
        <v>1.1111111111111112</v>
      </c>
      <c r="AO452">
        <v>2</v>
      </c>
      <c r="AQ452">
        <v>15</v>
      </c>
      <c r="AR452" s="17">
        <f t="shared" si="263"/>
        <v>1.6666666666666667</v>
      </c>
      <c r="AS452">
        <v>18</v>
      </c>
      <c r="AT452" s="17">
        <f t="shared" si="264"/>
        <v>2</v>
      </c>
      <c r="BD452" s="65">
        <f t="shared" si="265"/>
        <v>56.801524479624746</v>
      </c>
      <c r="BE452" s="65">
        <f t="shared" si="266"/>
        <v>54.800000000000004</v>
      </c>
      <c r="BF452" s="66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27.778851191154601</v>
      </c>
      <c r="BG452" s="38">
        <f t="shared" si="267"/>
        <v>0.504</v>
      </c>
      <c r="BH452" s="38">
        <f t="shared" si="268"/>
        <v>0.20799999999999999</v>
      </c>
      <c r="BI452" s="67">
        <f>IFERROR(((AG452*(12000/5))/((F452*60+G452)*(SUMIFS(팀공격력!X:X,팀공격력!A:A,B452,팀공격력!B:B,D452)+SUMIFS(팀수비력!X:X,팀수비력!A:A,B452,팀수비력!B:B,D452))))*100,"")</f>
        <v>1.3929462748360386</v>
      </c>
      <c r="BJ452" s="67">
        <f>IFERROR(((AI452*(12000/5))/((F452*60+G452)*(SUMIFS(팀공격력!V:V,팀공격력!A:A,B452,팀공격력!B:B,D452)+SUMIFS(팀수비력!W:W,팀수비력!A:A,B452,팀수비력!B:B,D452))))*100,"")</f>
        <v>6.6206653033000347</v>
      </c>
      <c r="BK452" s="67">
        <f>IFERROR(((AE452*(12000/5))/((F452*60+G452)*(SUMIFS(팀공격력!X:X,팀공격력!A:A,B452,팀공격력!B:B,D452)+SUMIFS(팀수비력!X:X,팀수비력!A:A,B452,팀수비력!B:B,D452))))*100,"")</f>
        <v>4.8753119619261351</v>
      </c>
      <c r="BL452" s="67">
        <f>IFERROR(100*AK452/(((((F452*60+G452)/(12000/5))*SUMIFS(팀공격력!P:P,팀공격력!A:A,B452,팀공격력!B:B,D452))-K452)),"")</f>
        <v>27.053227224564328</v>
      </c>
      <c r="BM452" s="67">
        <f>IFERROR(100*((AM452/E452*(2400))/((F452*60+G452)*SUMIFS(팀공격력!AR:AR,팀공격력!A:A,B452,팀공격력!B:B,D452))),"")</f>
        <v>2.1926067909650326</v>
      </c>
      <c r="BN452" s="67">
        <f>IFERROR((AO452*40)/(((F452*60+G452)/60)*(SUMIFS(팀수비력!Q:Q,팀수비력!A:A,B452,팀수비력!B:B,D452)-SUMIFS(팀수비력!N:N,팀수비력!A:A,B452,팀수비력!B:B,D452)))*100,"")</f>
        <v>0.84481459839626027</v>
      </c>
      <c r="BO452" s="67">
        <f t="shared" si="269"/>
        <v>9.9049128367670374</v>
      </c>
      <c r="BT452" t="s">
        <v>89</v>
      </c>
      <c r="BV452" t="s">
        <v>90</v>
      </c>
      <c r="CF452">
        <v>6</v>
      </c>
      <c r="CG452">
        <v>3</v>
      </c>
    </row>
    <row r="453" spans="1:85" x14ac:dyDescent="0.4">
      <c r="A453" s="11" t="s">
        <v>85</v>
      </c>
      <c r="B453" t="s">
        <v>224</v>
      </c>
      <c r="C453" t="s">
        <v>225</v>
      </c>
      <c r="D453" s="46" t="s">
        <v>307</v>
      </c>
      <c r="E453">
        <v>6</v>
      </c>
      <c r="F453">
        <v>8</v>
      </c>
      <c r="G453" s="1">
        <v>21</v>
      </c>
      <c r="H453" s="16">
        <f t="shared" si="244"/>
        <v>3006</v>
      </c>
      <c r="I453">
        <v>19</v>
      </c>
      <c r="J453" s="17">
        <f t="shared" si="245"/>
        <v>3.1666666666666665</v>
      </c>
      <c r="K453">
        <v>5</v>
      </c>
      <c r="L453">
        <v>18</v>
      </c>
      <c r="M453" s="17">
        <f t="shared" si="246"/>
        <v>0.83333333333333337</v>
      </c>
      <c r="N453" s="17">
        <f t="shared" si="247"/>
        <v>3</v>
      </c>
      <c r="O453" s="18">
        <f t="shared" si="248"/>
        <v>0.27777777777777779</v>
      </c>
      <c r="P453">
        <v>2</v>
      </c>
      <c r="Q453">
        <v>6</v>
      </c>
      <c r="R453" s="17">
        <f t="shared" si="249"/>
        <v>0.33333333333333331</v>
      </c>
      <c r="S453" s="17">
        <f t="shared" si="250"/>
        <v>1</v>
      </c>
      <c r="T453" s="18">
        <f t="shared" si="251"/>
        <v>0.33333333333333331</v>
      </c>
      <c r="U453">
        <v>3</v>
      </c>
      <c r="V453">
        <v>12</v>
      </c>
      <c r="W453" s="17">
        <f t="shared" si="252"/>
        <v>0.5</v>
      </c>
      <c r="X453" s="17">
        <f t="shared" si="253"/>
        <v>2</v>
      </c>
      <c r="Y453" s="18">
        <f t="shared" si="254"/>
        <v>0.25</v>
      </c>
      <c r="Z453">
        <v>6</v>
      </c>
      <c r="AA453">
        <v>8</v>
      </c>
      <c r="AB453" s="17">
        <f t="shared" si="255"/>
        <v>1</v>
      </c>
      <c r="AC453" s="17">
        <f t="shared" si="256"/>
        <v>1.3333333333333333</v>
      </c>
      <c r="AD453" s="18">
        <f t="shared" si="257"/>
        <v>0.75</v>
      </c>
      <c r="AE453">
        <v>3</v>
      </c>
      <c r="AF453" s="17">
        <f t="shared" si="258"/>
        <v>0.5</v>
      </c>
      <c r="AG453">
        <v>1</v>
      </c>
      <c r="AH453" s="17">
        <f t="shared" si="259"/>
        <v>0.16666666666666666</v>
      </c>
      <c r="AI453">
        <v>2</v>
      </c>
      <c r="AJ453" s="17">
        <f t="shared" si="260"/>
        <v>0.33333333333333331</v>
      </c>
      <c r="AK453">
        <v>0</v>
      </c>
      <c r="AL453" s="17">
        <f t="shared" si="261"/>
        <v>0</v>
      </c>
      <c r="AM453">
        <v>2</v>
      </c>
      <c r="AN453" s="17">
        <f t="shared" si="262"/>
        <v>0.33333333333333331</v>
      </c>
      <c r="AO453">
        <v>1</v>
      </c>
      <c r="AQ453">
        <v>0</v>
      </c>
      <c r="AR453" s="17">
        <f t="shared" si="263"/>
        <v>0</v>
      </c>
      <c r="AS453">
        <v>7</v>
      </c>
      <c r="AT453" s="17">
        <f t="shared" si="264"/>
        <v>1.1666666666666667</v>
      </c>
      <c r="BD453" s="65">
        <f t="shared" si="265"/>
        <v>44.144981412639403</v>
      </c>
      <c r="BE453" s="65">
        <f t="shared" si="266"/>
        <v>36.111111111111107</v>
      </c>
      <c r="BF453" s="66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13.623965263953249</v>
      </c>
      <c r="BG453" s="38">
        <f t="shared" si="267"/>
        <v>0.66666666666666663</v>
      </c>
      <c r="BH453" s="38">
        <f t="shared" si="268"/>
        <v>0.44444444444444442</v>
      </c>
      <c r="BI453" s="67">
        <f>IFERROR(((AG453*(12000/5))/((F453*60+G453)*(SUMIFS(팀공격력!X:X,팀공격력!A:A,B453,팀공격력!B:B,D453)+SUMIFS(팀수비력!X:X,팀수비력!A:A,B453,팀수비력!B:B,D453))))*100,"")</f>
        <v>0.83166999334664005</v>
      </c>
      <c r="BJ453" s="67">
        <f>IFERROR(((AI453*(12000/5))/((F453*60+G453)*(SUMIFS(팀공격력!V:V,팀공격력!A:A,B453,팀공격력!B:B,D453)+SUMIFS(팀수비력!W:W,팀수비력!A:A,B453,팀수비력!B:B,D453))))*100,"")</f>
        <v>3.0905930075333203</v>
      </c>
      <c r="BK453" s="67">
        <f>IFERROR(((AE453*(12000/5))/((F453*60+G453)*(SUMIFS(팀공격력!X:X,팀공격력!A:A,B453,팀공격력!B:B,D453)+SUMIFS(팀수비력!X:X,팀수비력!A:A,B453,팀수비력!B:B,D453))))*100,"")</f>
        <v>2.4950099800399204</v>
      </c>
      <c r="BL453" s="67">
        <f>IFERROR(100*AK453/(((((F453*60+G453)/(12000/5))*SUMIFS(팀공격력!P:P,팀공격력!A:A,B453,팀공격력!B:B,D453))-K453)),"")</f>
        <v>0</v>
      </c>
      <c r="BM453" s="67">
        <f>IFERROR(100*((AM453/E453*(2400))/((F453*60+G453)*SUMIFS(팀공격력!AR:AR,팀공격력!A:A,B453,팀공격력!B:B,D453))),"")</f>
        <v>2.2084114891634479</v>
      </c>
      <c r="BN453" s="67">
        <f>IFERROR((AO453*40)/(((F453*60+G453)/60)*(SUMIFS(팀수비력!Q:Q,팀수비력!A:A,B453,팀수비력!B:B,D453)-SUMIFS(팀수비력!N:N,팀수비력!A:A,B453,팀수비력!B:B,D453)))*100,"")</f>
        <v>1.2314702215107063</v>
      </c>
      <c r="BO453" s="67">
        <f t="shared" si="269"/>
        <v>0</v>
      </c>
      <c r="BT453" t="s">
        <v>89</v>
      </c>
      <c r="BV453" t="s">
        <v>90</v>
      </c>
      <c r="CF453">
        <v>0</v>
      </c>
      <c r="CG453">
        <v>6</v>
      </c>
    </row>
    <row r="454" spans="1:85" x14ac:dyDescent="0.4">
      <c r="A454" s="11" t="s">
        <v>85</v>
      </c>
      <c r="B454" t="s">
        <v>224</v>
      </c>
      <c r="C454" t="s">
        <v>226</v>
      </c>
      <c r="D454" s="46" t="s">
        <v>307</v>
      </c>
      <c r="E454">
        <v>9</v>
      </c>
      <c r="F454">
        <v>13</v>
      </c>
      <c r="G454" s="1">
        <v>50</v>
      </c>
      <c r="H454" s="16">
        <f t="shared" si="244"/>
        <v>7470</v>
      </c>
      <c r="I454">
        <v>66</v>
      </c>
      <c r="J454" s="17">
        <f t="shared" si="245"/>
        <v>7.333333333333333</v>
      </c>
      <c r="K454">
        <v>30</v>
      </c>
      <c r="L454">
        <v>40</v>
      </c>
      <c r="M454" s="17">
        <f t="shared" si="246"/>
        <v>3.3333333333333335</v>
      </c>
      <c r="N454" s="17">
        <f t="shared" si="247"/>
        <v>4.4444444444444446</v>
      </c>
      <c r="O454" s="18">
        <f t="shared" si="248"/>
        <v>0.75</v>
      </c>
      <c r="P454">
        <v>29</v>
      </c>
      <c r="Q454">
        <v>36</v>
      </c>
      <c r="R454" s="17">
        <f t="shared" si="249"/>
        <v>3.2222222222222223</v>
      </c>
      <c r="S454" s="17">
        <f t="shared" si="250"/>
        <v>4</v>
      </c>
      <c r="T454" s="18">
        <f t="shared" si="251"/>
        <v>0.80555555555555558</v>
      </c>
      <c r="U454">
        <v>1</v>
      </c>
      <c r="V454">
        <v>4</v>
      </c>
      <c r="W454" s="17">
        <f t="shared" si="252"/>
        <v>0.1111111111111111</v>
      </c>
      <c r="X454" s="17">
        <f t="shared" si="253"/>
        <v>0.44444444444444442</v>
      </c>
      <c r="Y454" s="18">
        <f t="shared" si="254"/>
        <v>0.25</v>
      </c>
      <c r="Z454">
        <v>5</v>
      </c>
      <c r="AA454">
        <v>7</v>
      </c>
      <c r="AB454" s="17">
        <f t="shared" si="255"/>
        <v>0.55555555555555558</v>
      </c>
      <c r="AC454" s="17">
        <f t="shared" si="256"/>
        <v>0.77777777777777779</v>
      </c>
      <c r="AD454" s="18">
        <f t="shared" si="257"/>
        <v>0.7142857142857143</v>
      </c>
      <c r="AE454">
        <v>30</v>
      </c>
      <c r="AF454" s="17">
        <f t="shared" si="258"/>
        <v>3.3333333333333335</v>
      </c>
      <c r="AG454">
        <v>16</v>
      </c>
      <c r="AH454" s="17">
        <f t="shared" si="259"/>
        <v>1.7777777777777777</v>
      </c>
      <c r="AI454">
        <v>14</v>
      </c>
      <c r="AJ454" s="17">
        <f t="shared" si="260"/>
        <v>1.5555555555555556</v>
      </c>
      <c r="AK454">
        <v>5</v>
      </c>
      <c r="AL454" s="17">
        <f t="shared" si="261"/>
        <v>0.55555555555555558</v>
      </c>
      <c r="AM454">
        <v>5</v>
      </c>
      <c r="AN454" s="17">
        <f t="shared" si="262"/>
        <v>0.55555555555555558</v>
      </c>
      <c r="AO454">
        <v>7</v>
      </c>
      <c r="AQ454">
        <v>5</v>
      </c>
      <c r="AR454" s="17">
        <f t="shared" si="263"/>
        <v>0.55555555555555558</v>
      </c>
      <c r="AS454">
        <v>10</v>
      </c>
      <c r="AT454" s="17">
        <f t="shared" si="264"/>
        <v>1.1111111111111112</v>
      </c>
      <c r="BD454" s="65">
        <f t="shared" si="265"/>
        <v>76.601671309192199</v>
      </c>
      <c r="BE454" s="65">
        <f t="shared" si="266"/>
        <v>76.25</v>
      </c>
      <c r="BF454" s="66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18.373223294404028</v>
      </c>
      <c r="BG454" s="38">
        <f t="shared" si="267"/>
        <v>0.1</v>
      </c>
      <c r="BH454" s="38">
        <f t="shared" si="268"/>
        <v>0.17499999999999999</v>
      </c>
      <c r="BI454" s="67">
        <f>IFERROR(((AG454*(12000/5))/((F454*60+G454)*(SUMIFS(팀공격력!X:X,팀공격력!A:A,B454,팀공격력!B:B,D454)+SUMIFS(팀수비력!X:X,팀수비력!A:A,B454,팀수비력!B:B,D454))))*100,"")</f>
        <v>8.0321285140562253</v>
      </c>
      <c r="BJ454" s="67">
        <f>IFERROR(((AI454*(12000/5))/((F454*60+G454)*(SUMIFS(팀공격력!V:V,팀공격력!A:A,B454,팀공격력!B:B,D454)+SUMIFS(팀수비력!W:W,팀수비력!A:A,B454,팀수비력!B:B,D454))))*100,"")</f>
        <v>13.058686358336571</v>
      </c>
      <c r="BK454" s="67">
        <f>IFERROR(((AE454*(12000/5))/((F454*60+G454)*(SUMIFS(팀공격력!X:X,팀공격력!A:A,B454,팀공격력!B:B,D454)+SUMIFS(팀수비력!X:X,팀수비력!A:A,B454,팀수비력!B:B,D454))))*100,"")</f>
        <v>15.060240963855422</v>
      </c>
      <c r="BL454" s="67">
        <f>IFERROR(100*AK454/(((((F454*60+G454)/(12000/5))*SUMIFS(팀공격력!P:P,팀공격력!A:A,B454,팀공격력!B:B,D454))-K454)),"")</f>
        <v>7.3669347412364168</v>
      </c>
      <c r="BM454" s="67">
        <f>IFERROR(100*((AM454/E454*(2400))/((F454*60+G454)*SUMIFS(팀공격력!AR:AR,팀공격력!A:A,B454,팀공격력!B:B,D454))),"")</f>
        <v>2.2217151728331075</v>
      </c>
      <c r="BN454" s="67">
        <f>IFERROR((AO454*40)/(((F454*60+G454)/60)*(SUMIFS(팀수비력!Q:Q,팀수비력!A:A,B454,팀수비력!B:B,D454)-SUMIFS(팀수비력!N:N,팀수비력!A:A,B454,팀수비력!B:B,D454)))*100,"")</f>
        <v>5.203332610648248</v>
      </c>
      <c r="BO454" s="67">
        <f t="shared" si="269"/>
        <v>10.399334442595674</v>
      </c>
      <c r="BT454" t="s">
        <v>89</v>
      </c>
      <c r="BV454" t="s">
        <v>102</v>
      </c>
      <c r="CF454">
        <v>2</v>
      </c>
      <c r="CG454">
        <v>7</v>
      </c>
    </row>
    <row r="455" spans="1:85" x14ac:dyDescent="0.4">
      <c r="A455" s="11" t="s">
        <v>85</v>
      </c>
      <c r="B455" t="s">
        <v>224</v>
      </c>
      <c r="C455" t="s">
        <v>228</v>
      </c>
      <c r="D455" s="46" t="s">
        <v>307</v>
      </c>
      <c r="E455">
        <v>4</v>
      </c>
      <c r="F455">
        <v>6</v>
      </c>
      <c r="G455" s="1">
        <v>55</v>
      </c>
      <c r="H455" s="16">
        <f t="shared" si="244"/>
        <v>1660</v>
      </c>
      <c r="I455">
        <v>11</v>
      </c>
      <c r="J455" s="17">
        <f t="shared" si="245"/>
        <v>2.75</v>
      </c>
      <c r="K455">
        <v>4</v>
      </c>
      <c r="L455">
        <v>9</v>
      </c>
      <c r="M455" s="17">
        <f t="shared" si="246"/>
        <v>1</v>
      </c>
      <c r="N455" s="17">
        <f t="shared" si="247"/>
        <v>2.25</v>
      </c>
      <c r="O455" s="18">
        <f t="shared" si="248"/>
        <v>0.44444444444444442</v>
      </c>
      <c r="P455">
        <v>2</v>
      </c>
      <c r="Q455">
        <v>4</v>
      </c>
      <c r="R455" s="17">
        <f t="shared" si="249"/>
        <v>0.5</v>
      </c>
      <c r="S455" s="17">
        <f t="shared" si="250"/>
        <v>1</v>
      </c>
      <c r="T455" s="18">
        <f t="shared" si="251"/>
        <v>0.5</v>
      </c>
      <c r="U455">
        <v>2</v>
      </c>
      <c r="V455">
        <v>5</v>
      </c>
      <c r="W455" s="17">
        <f t="shared" si="252"/>
        <v>0.5</v>
      </c>
      <c r="X455" s="17">
        <f t="shared" si="253"/>
        <v>1.25</v>
      </c>
      <c r="Y455" s="18">
        <f t="shared" si="254"/>
        <v>0.4</v>
      </c>
      <c r="Z455">
        <v>1</v>
      </c>
      <c r="AA455">
        <v>4</v>
      </c>
      <c r="AB455" s="17">
        <f t="shared" si="255"/>
        <v>0.25</v>
      </c>
      <c r="AC455" s="17">
        <f t="shared" si="256"/>
        <v>1</v>
      </c>
      <c r="AD455" s="18">
        <f t="shared" si="257"/>
        <v>0.25</v>
      </c>
      <c r="AE455">
        <v>4</v>
      </c>
      <c r="AF455" s="17">
        <f t="shared" si="258"/>
        <v>1</v>
      </c>
      <c r="AG455">
        <v>1</v>
      </c>
      <c r="AH455" s="17">
        <f t="shared" si="259"/>
        <v>0.25</v>
      </c>
      <c r="AI455">
        <v>3</v>
      </c>
      <c r="AJ455" s="17">
        <f t="shared" si="260"/>
        <v>0.75</v>
      </c>
      <c r="AK455">
        <v>0</v>
      </c>
      <c r="AL455" s="17">
        <f t="shared" si="261"/>
        <v>0</v>
      </c>
      <c r="AM455">
        <v>1</v>
      </c>
      <c r="AN455" s="17">
        <f t="shared" si="262"/>
        <v>0.25</v>
      </c>
      <c r="AO455">
        <v>0</v>
      </c>
      <c r="AQ455">
        <v>0</v>
      </c>
      <c r="AR455" s="17">
        <f t="shared" si="263"/>
        <v>0</v>
      </c>
      <c r="AS455">
        <v>4</v>
      </c>
      <c r="AT455" s="17">
        <f t="shared" si="264"/>
        <v>1</v>
      </c>
      <c r="BD455" s="65">
        <f t="shared" si="265"/>
        <v>51.115241635687738</v>
      </c>
      <c r="BE455" s="65">
        <f t="shared" si="266"/>
        <v>55.555555555555557</v>
      </c>
      <c r="BF455" s="66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8.2236224063139503</v>
      </c>
      <c r="BG455" s="38">
        <f t="shared" si="267"/>
        <v>0.55555555555555558</v>
      </c>
      <c r="BH455" s="38">
        <f t="shared" si="268"/>
        <v>0.44444444444444442</v>
      </c>
      <c r="BI455" s="67">
        <f>IFERROR(((AG455*(12000/5))/((F455*60+G455)*(SUMIFS(팀공격력!X:X,팀공격력!A:A,B455,팀공격력!B:B,D455)+SUMIFS(팀수비력!X:X,팀수비력!A:A,B455,팀수비력!B:B,D455))))*100,"")</f>
        <v>1.0040160642570282</v>
      </c>
      <c r="BJ455" s="67">
        <f>IFERROR(((AI455*(12000/5))/((F455*60+G455)*(SUMIFS(팀공격력!V:V,팀공격력!A:A,B455,팀공격력!B:B,D455)+SUMIFS(팀수비력!W:W,팀수비력!A:A,B455,팀수비력!B:B,D455))))*100,"")</f>
        <v>5.596579867858531</v>
      </c>
      <c r="BK455" s="67">
        <f>IFERROR(((AE455*(12000/5))/((F455*60+G455)*(SUMIFS(팀공격력!X:X,팀공격력!A:A,B455,팀공격력!B:B,D455)+SUMIFS(팀수비력!X:X,팀수비력!A:A,B455,팀수비력!B:B,D455))))*100,"")</f>
        <v>4.0160642570281126</v>
      </c>
      <c r="BL455" s="67">
        <f>IFERROR(100*AK455/(((((F455*60+G455)/(12000/5))*SUMIFS(팀공격력!P:P,팀공격력!A:A,B455,팀공격력!B:B,D455))-K455)),"")</f>
        <v>0</v>
      </c>
      <c r="BM455" s="67">
        <f>IFERROR(100*((AM455/E455*(2400))/((F455*60+G455)*SUMIFS(팀공격력!AR:AR,팀공격력!A:A,B455,팀공격력!B:B,D455))),"")</f>
        <v>1.9995436555497963</v>
      </c>
      <c r="BN455" s="67">
        <f>IFERROR((AO455*40)/(((F455*60+G455)/60)*(SUMIFS(팀수비력!Q:Q,팀수비력!A:A,B455,팀수비력!B:B,D455)-SUMIFS(팀수비력!N:N,팀수비력!A:A,B455,팀수비력!B:B,D455)))*100,"")</f>
        <v>0</v>
      </c>
      <c r="BO455" s="67">
        <f t="shared" si="269"/>
        <v>0</v>
      </c>
      <c r="BT455" t="s">
        <v>89</v>
      </c>
      <c r="BV455" t="s">
        <v>102</v>
      </c>
      <c r="CF455">
        <v>1</v>
      </c>
      <c r="CG455">
        <v>3</v>
      </c>
    </row>
    <row r="456" spans="1:85" x14ac:dyDescent="0.4">
      <c r="A456" s="11" t="s">
        <v>85</v>
      </c>
      <c r="B456" t="s">
        <v>224</v>
      </c>
      <c r="C456" t="s">
        <v>230</v>
      </c>
      <c r="D456" s="46" t="s">
        <v>307</v>
      </c>
      <c r="E456">
        <v>9</v>
      </c>
      <c r="F456">
        <v>22</v>
      </c>
      <c r="G456" s="1">
        <v>27</v>
      </c>
      <c r="H456" s="16">
        <f t="shared" si="244"/>
        <v>12123</v>
      </c>
      <c r="I456">
        <v>84</v>
      </c>
      <c r="J456" s="17">
        <f t="shared" si="245"/>
        <v>9.3333333333333339</v>
      </c>
      <c r="K456">
        <v>32</v>
      </c>
      <c r="L456">
        <v>74</v>
      </c>
      <c r="M456" s="17">
        <f t="shared" si="246"/>
        <v>3.5555555555555554</v>
      </c>
      <c r="N456" s="17">
        <f t="shared" si="247"/>
        <v>8.2222222222222214</v>
      </c>
      <c r="O456" s="18">
        <f t="shared" si="248"/>
        <v>0.43243243243243246</v>
      </c>
      <c r="P456">
        <v>19</v>
      </c>
      <c r="Q456">
        <v>49</v>
      </c>
      <c r="R456" s="17">
        <f t="shared" si="249"/>
        <v>2.1111111111111112</v>
      </c>
      <c r="S456" s="17">
        <f t="shared" si="250"/>
        <v>5.4444444444444446</v>
      </c>
      <c r="T456" s="18">
        <f t="shared" si="251"/>
        <v>0.38775510204081631</v>
      </c>
      <c r="U456">
        <v>13</v>
      </c>
      <c r="V456">
        <v>25</v>
      </c>
      <c r="W456" s="17">
        <f t="shared" si="252"/>
        <v>1.4444444444444444</v>
      </c>
      <c r="X456" s="17">
        <f t="shared" si="253"/>
        <v>2.7777777777777777</v>
      </c>
      <c r="Y456" s="18">
        <f t="shared" si="254"/>
        <v>0.52</v>
      </c>
      <c r="Z456">
        <v>7</v>
      </c>
      <c r="AA456">
        <v>9</v>
      </c>
      <c r="AB456" s="17">
        <f t="shared" si="255"/>
        <v>0.77777777777777779</v>
      </c>
      <c r="AC456" s="17">
        <f t="shared" si="256"/>
        <v>1</v>
      </c>
      <c r="AD456" s="18">
        <f t="shared" si="257"/>
        <v>0.77777777777777779</v>
      </c>
      <c r="AE456">
        <v>45</v>
      </c>
      <c r="AF456" s="17">
        <f t="shared" si="258"/>
        <v>5</v>
      </c>
      <c r="AG456">
        <v>13</v>
      </c>
      <c r="AH456" s="17">
        <f t="shared" si="259"/>
        <v>1.4444444444444444</v>
      </c>
      <c r="AI456">
        <v>32</v>
      </c>
      <c r="AJ456" s="17">
        <f t="shared" si="260"/>
        <v>3.5555555555555554</v>
      </c>
      <c r="AK456">
        <v>35</v>
      </c>
      <c r="AL456" s="17">
        <f t="shared" si="261"/>
        <v>3.8888888888888888</v>
      </c>
      <c r="AM456">
        <v>6</v>
      </c>
      <c r="AN456" s="17">
        <f t="shared" si="262"/>
        <v>0.66666666666666663</v>
      </c>
      <c r="AO456">
        <v>0</v>
      </c>
      <c r="AQ456">
        <v>11</v>
      </c>
      <c r="AR456" s="17">
        <f t="shared" si="263"/>
        <v>1.2222222222222223</v>
      </c>
      <c r="AS456">
        <v>16</v>
      </c>
      <c r="AT456" s="17">
        <f t="shared" si="264"/>
        <v>1.7777777777777777</v>
      </c>
      <c r="BD456" s="65">
        <f t="shared" si="265"/>
        <v>53.873781426372503</v>
      </c>
      <c r="BE456" s="65">
        <f t="shared" si="266"/>
        <v>52.027027027027032</v>
      </c>
      <c r="BF456" s="66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20.947208959829556</v>
      </c>
      <c r="BG456" s="38">
        <f t="shared" si="267"/>
        <v>0.33783783783783783</v>
      </c>
      <c r="BH456" s="38">
        <f t="shared" si="268"/>
        <v>0.12162162162162163</v>
      </c>
      <c r="BI456" s="67">
        <f>IFERROR(((AG456*(12000/5))/((F456*60+G456)*(SUMIFS(팀공격력!X:X,팀공격력!A:A,B456,팀공격력!B:B,D456)+SUMIFS(팀수비력!X:X,팀수비력!A:A,B456,팀수비력!B:B,D456))))*100,"")</f>
        <v>4.0212818609255141</v>
      </c>
      <c r="BJ456" s="67">
        <f>IFERROR(((AI456*(12000/5))/((F456*60+G456)*(SUMIFS(팀공격력!V:V,팀공격력!A:A,B456,팀공격력!B:B,D456)+SUMIFS(팀수비력!W:W,팀수비력!A:A,B456,팀수비력!B:B,D456))))*100,"")</f>
        <v>18.392125871111432</v>
      </c>
      <c r="BK456" s="67">
        <f>IFERROR(((AE456*(12000/5))/((F456*60+G456)*(SUMIFS(팀공격력!X:X,팀공격력!A:A,B456,팀공격력!B:B,D456)+SUMIFS(팀수비력!X:X,팀수비력!A:A,B456,팀수비력!B:B,D456))))*100,"")</f>
        <v>13.919821826280623</v>
      </c>
      <c r="BL456" s="67">
        <f>IFERROR(100*AK456/(((((F456*60+G456)/(12000/5))*SUMIFS(팀공격력!P:P,팀공격력!A:A,B456,팀공격력!B:B,D456))-K456)),"")</f>
        <v>27.595178728059366</v>
      </c>
      <c r="BM456" s="67">
        <f>IFERROR(100*((AM456/E456*(2400))/((F456*60+G456)*SUMIFS(팀공격력!AR:AR,팀공격력!A:A,B456,팀공격력!B:B,D456))),"")</f>
        <v>1.6427827113153486</v>
      </c>
      <c r="BN456" s="67">
        <f>IFERROR((AO456*40)/(((F456*60+G456)/60)*(SUMIFS(팀수비력!Q:Q,팀수비력!A:A,B456,팀수비력!B:B,D456)-SUMIFS(팀수비력!N:N,팀수비력!A:A,B456,팀수비력!B:B,D456)))*100,"")</f>
        <v>0</v>
      </c>
      <c r="BO456" s="67">
        <f t="shared" si="269"/>
        <v>12.365107913669066</v>
      </c>
      <c r="BT456" t="s">
        <v>96</v>
      </c>
      <c r="BV456" t="s">
        <v>102</v>
      </c>
      <c r="CF456">
        <v>2</v>
      </c>
      <c r="CG456">
        <v>7</v>
      </c>
    </row>
    <row r="457" spans="1:85" x14ac:dyDescent="0.4">
      <c r="A457" s="11" t="s">
        <v>85</v>
      </c>
      <c r="B457" t="s">
        <v>224</v>
      </c>
      <c r="C457" t="s">
        <v>231</v>
      </c>
      <c r="D457" s="46" t="s">
        <v>307</v>
      </c>
      <c r="E457">
        <v>9</v>
      </c>
      <c r="F457">
        <v>24</v>
      </c>
      <c r="G457" s="1">
        <v>46</v>
      </c>
      <c r="H457" s="16">
        <f t="shared" si="244"/>
        <v>13374</v>
      </c>
      <c r="I457">
        <v>81</v>
      </c>
      <c r="J457" s="17">
        <f t="shared" si="245"/>
        <v>9</v>
      </c>
      <c r="K457">
        <v>29</v>
      </c>
      <c r="L457">
        <v>68</v>
      </c>
      <c r="M457" s="17">
        <f t="shared" si="246"/>
        <v>3.2222222222222223</v>
      </c>
      <c r="N457" s="17">
        <f t="shared" si="247"/>
        <v>7.5555555555555554</v>
      </c>
      <c r="O457" s="18">
        <f t="shared" si="248"/>
        <v>0.4264705882352941</v>
      </c>
      <c r="P457">
        <v>25</v>
      </c>
      <c r="Q457">
        <v>50</v>
      </c>
      <c r="R457" s="17">
        <f t="shared" si="249"/>
        <v>2.7777777777777777</v>
      </c>
      <c r="S457" s="17">
        <f t="shared" si="250"/>
        <v>5.5555555555555554</v>
      </c>
      <c r="T457" s="18">
        <f t="shared" si="251"/>
        <v>0.5</v>
      </c>
      <c r="U457">
        <v>4</v>
      </c>
      <c r="V457">
        <v>18</v>
      </c>
      <c r="W457" s="17">
        <f t="shared" si="252"/>
        <v>0.44444444444444442</v>
      </c>
      <c r="X457" s="17">
        <f t="shared" si="253"/>
        <v>2</v>
      </c>
      <c r="Y457" s="18">
        <f t="shared" si="254"/>
        <v>0.22222222222222221</v>
      </c>
      <c r="Z457">
        <v>19</v>
      </c>
      <c r="AA457">
        <v>23</v>
      </c>
      <c r="AB457" s="17">
        <f t="shared" si="255"/>
        <v>2.1111111111111112</v>
      </c>
      <c r="AC457" s="17">
        <f t="shared" si="256"/>
        <v>2.5555555555555554</v>
      </c>
      <c r="AD457" s="18">
        <f t="shared" si="257"/>
        <v>0.82608695652173914</v>
      </c>
      <c r="AE457">
        <v>40</v>
      </c>
      <c r="AF457" s="17">
        <f t="shared" si="258"/>
        <v>4.4444444444444446</v>
      </c>
      <c r="AG457">
        <v>13</v>
      </c>
      <c r="AH457" s="17">
        <f t="shared" si="259"/>
        <v>1.4444444444444444</v>
      </c>
      <c r="AI457">
        <v>27</v>
      </c>
      <c r="AJ457" s="17">
        <f t="shared" si="260"/>
        <v>3</v>
      </c>
      <c r="AK457">
        <v>9</v>
      </c>
      <c r="AL457" s="17">
        <f t="shared" si="261"/>
        <v>1</v>
      </c>
      <c r="AM457">
        <v>7</v>
      </c>
      <c r="AN457" s="17">
        <f t="shared" si="262"/>
        <v>0.77777777777777779</v>
      </c>
      <c r="AO457">
        <v>4</v>
      </c>
      <c r="AQ457">
        <v>18</v>
      </c>
      <c r="AR457" s="17">
        <f t="shared" si="263"/>
        <v>2</v>
      </c>
      <c r="AS457">
        <v>15</v>
      </c>
      <c r="AT457" s="17">
        <f t="shared" si="264"/>
        <v>1.6666666666666667</v>
      </c>
      <c r="BD457" s="65">
        <f t="shared" si="265"/>
        <v>51.843317972350221</v>
      </c>
      <c r="BE457" s="65">
        <f t="shared" si="266"/>
        <v>45.588235294117645</v>
      </c>
      <c r="BF457" s="66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20.51605899569352</v>
      </c>
      <c r="BG457" s="38">
        <f t="shared" si="267"/>
        <v>0.26470588235294118</v>
      </c>
      <c r="BH457" s="38">
        <f t="shared" si="268"/>
        <v>0.33823529411764708</v>
      </c>
      <c r="BI457" s="67">
        <f>IFERROR(((AG457*(12000/5))/((F457*60+G457)*(SUMIFS(팀공격력!X:X,팀공격력!A:A,B457,팀공격력!B:B,D457)+SUMIFS(팀수비력!X:X,팀수비력!A:A,B457,팀수비력!B:B,D457))))*100,"")</f>
        <v>3.6451323463436518</v>
      </c>
      <c r="BJ457" s="67">
        <f>IFERROR(((AI457*(12000/5))/((F457*60+G457)*(SUMIFS(팀공격력!V:V,팀공격력!A:A,B457,팀공격력!B:B,D457)+SUMIFS(팀수비력!W:W,팀수비력!A:A,B457,팀수비력!B:B,D457))))*100,"")</f>
        <v>14.066773759388704</v>
      </c>
      <c r="BK457" s="67">
        <f>IFERROR(((AE457*(12000/5))/((F457*60+G457)*(SUMIFS(팀공격력!X:X,팀공격력!A:A,B457,팀공격력!B:B,D457)+SUMIFS(팀수비력!X:X,팀수비력!A:A,B457,팀수비력!B:B,D457))))*100,"")</f>
        <v>11.215791834903545</v>
      </c>
      <c r="BL457" s="67">
        <f>IFERROR(100*AK457/(((((F457*60+G457)/(12000/5))*SUMIFS(팀공격력!P:P,팀공격력!A:A,B457,팀공격력!B:B,D457))-K457)),"")</f>
        <v>6.1549333500504364</v>
      </c>
      <c r="BM457" s="67">
        <f>IFERROR(100*((AM457/E457*(2400))/((F457*60+G457)*SUMIFS(팀공격력!AR:AR,팀공격력!A:A,B457,팀공격력!B:B,D457))),"")</f>
        <v>1.7373035200754177</v>
      </c>
      <c r="BN457" s="67">
        <f>IFERROR((AO457*40)/(((F457*60+G457)/60)*(SUMIFS(팀수비력!Q:Q,팀수비력!A:A,B457,팀수비력!B:B,D457)-SUMIFS(팀수비력!N:N,팀수비력!A:A,B457,팀수비력!B:B,D457)))*100,"")</f>
        <v>1.6607444979188795</v>
      </c>
      <c r="BO457" s="67">
        <f t="shared" si="269"/>
        <v>18.726591760299623</v>
      </c>
      <c r="BT457" t="s">
        <v>113</v>
      </c>
      <c r="BV457" t="s">
        <v>90</v>
      </c>
      <c r="CF457">
        <v>2</v>
      </c>
      <c r="CG457">
        <v>7</v>
      </c>
    </row>
    <row r="458" spans="1:85" x14ac:dyDescent="0.4">
      <c r="A458" s="11" t="s">
        <v>85</v>
      </c>
      <c r="B458" t="s">
        <v>224</v>
      </c>
      <c r="C458" t="s">
        <v>129</v>
      </c>
      <c r="D458" s="46" t="s">
        <v>307</v>
      </c>
      <c r="E458">
        <v>9</v>
      </c>
      <c r="F458">
        <v>27</v>
      </c>
      <c r="G458" s="1">
        <v>35</v>
      </c>
      <c r="H458" s="16">
        <f t="shared" si="244"/>
        <v>14895</v>
      </c>
      <c r="I458">
        <v>122</v>
      </c>
      <c r="J458" s="17">
        <f t="shared" si="245"/>
        <v>13.555555555555555</v>
      </c>
      <c r="K458">
        <v>55</v>
      </c>
      <c r="L458">
        <v>93</v>
      </c>
      <c r="M458" s="17">
        <f t="shared" si="246"/>
        <v>6.1111111111111107</v>
      </c>
      <c r="N458" s="17">
        <f t="shared" si="247"/>
        <v>10.333333333333334</v>
      </c>
      <c r="O458" s="18">
        <f t="shared" si="248"/>
        <v>0.59139784946236562</v>
      </c>
      <c r="P458">
        <v>44</v>
      </c>
      <c r="Q458">
        <v>65</v>
      </c>
      <c r="R458" s="17">
        <f t="shared" si="249"/>
        <v>4.8888888888888893</v>
      </c>
      <c r="S458" s="17">
        <f t="shared" si="250"/>
        <v>7.2222222222222223</v>
      </c>
      <c r="T458" s="18">
        <f t="shared" si="251"/>
        <v>0.67692307692307696</v>
      </c>
      <c r="U458">
        <v>11</v>
      </c>
      <c r="V458">
        <v>28</v>
      </c>
      <c r="W458" s="17">
        <f t="shared" si="252"/>
        <v>1.2222222222222223</v>
      </c>
      <c r="X458" s="17">
        <f t="shared" si="253"/>
        <v>3.1111111111111112</v>
      </c>
      <c r="Y458" s="18">
        <f t="shared" si="254"/>
        <v>0.39285714285714285</v>
      </c>
      <c r="Z458">
        <v>1</v>
      </c>
      <c r="AA458">
        <v>6</v>
      </c>
      <c r="AB458" s="17">
        <f t="shared" si="255"/>
        <v>0.1111111111111111</v>
      </c>
      <c r="AC458" s="17">
        <f t="shared" si="256"/>
        <v>0.66666666666666663</v>
      </c>
      <c r="AD458" s="18">
        <f t="shared" si="257"/>
        <v>0.16666666666666666</v>
      </c>
      <c r="AE458">
        <v>35</v>
      </c>
      <c r="AF458" s="17">
        <f t="shared" si="258"/>
        <v>3.8888888888888888</v>
      </c>
      <c r="AG458">
        <v>11</v>
      </c>
      <c r="AH458" s="17">
        <f t="shared" si="259"/>
        <v>1.2222222222222223</v>
      </c>
      <c r="AI458">
        <v>24</v>
      </c>
      <c r="AJ458" s="17">
        <f t="shared" si="260"/>
        <v>2.6666666666666665</v>
      </c>
      <c r="AK458">
        <v>36</v>
      </c>
      <c r="AL458" s="17">
        <f t="shared" si="261"/>
        <v>4</v>
      </c>
      <c r="AM458">
        <v>10</v>
      </c>
      <c r="AN458" s="17">
        <f t="shared" si="262"/>
        <v>1.1111111111111112</v>
      </c>
      <c r="AO458">
        <v>1</v>
      </c>
      <c r="AQ458">
        <v>18</v>
      </c>
      <c r="AR458" s="17">
        <f t="shared" si="263"/>
        <v>2</v>
      </c>
      <c r="AS458">
        <v>23</v>
      </c>
      <c r="AT458" s="17">
        <f t="shared" si="264"/>
        <v>2.5555555555555554</v>
      </c>
      <c r="BD458" s="65">
        <f t="shared" si="265"/>
        <v>63.780844834797158</v>
      </c>
      <c r="BE458" s="65">
        <f t="shared" si="266"/>
        <v>65.053763440860209</v>
      </c>
      <c r="BF458" s="66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21.77871308388513</v>
      </c>
      <c r="BG458" s="38">
        <f t="shared" si="267"/>
        <v>0.30107526881720431</v>
      </c>
      <c r="BH458" s="38">
        <f t="shared" si="268"/>
        <v>6.4516129032258063E-2</v>
      </c>
      <c r="BI458" s="67">
        <f>IFERROR(((AG458*(12000/5))/((F458*60+G458)*(SUMIFS(팀공격력!X:X,팀공격력!A:A,B458,팀공격력!B:B,D458)+SUMIFS(팀수비력!X:X,팀수비력!A:A,B458,팀수비력!B:B,D458))))*100,"")</f>
        <v>2.7693856998992952</v>
      </c>
      <c r="BJ458" s="67">
        <f>IFERROR(((AI458*(12000/5))/((F458*60+G458)*(SUMIFS(팀공격력!V:V,팀공격력!A:A,B458,팀공격력!B:B,D458)+SUMIFS(팀수비력!W:W,팀수비력!A:A,B458,팀수비력!B:B,D458))))*100,"")</f>
        <v>11.226975928272099</v>
      </c>
      <c r="BK458" s="67">
        <f>IFERROR(((AE458*(12000/5))/((F458*60+G458)*(SUMIFS(팀공격력!X:X,팀공격력!A:A,B458,팀공격력!B:B,D458)+SUMIFS(팀수비력!X:X,팀수비력!A:A,B458,팀수비력!B:B,D458))))*100,"")</f>
        <v>8.8116817724068479</v>
      </c>
      <c r="BL458" s="67">
        <f>IFERROR(100*AK458/(((((F458*60+G458)/(12000/5))*SUMIFS(팀공격력!P:P,팀공격력!A:A,B458,팀공격력!B:B,D458))-K458)),"")</f>
        <v>25.686382352503976</v>
      </c>
      <c r="BM458" s="67">
        <f>IFERROR(100*((AM458/E458*(2400))/((F458*60+G458)*SUMIFS(팀공격력!AR:AR,팀공격력!A:A,B458,팀공격력!B:B,D458))),"")</f>
        <v>2.2284273032646276</v>
      </c>
      <c r="BN458" s="67">
        <f>IFERROR((AO458*40)/(((F458*60+G458)/60)*(SUMIFS(팀수비력!Q:Q,팀수비력!A:A,B458,팀수비력!B:B,D458)-SUMIFS(팀수비력!N:N,팀수비력!A:A,B458,팀수비력!B:B,D458)))*100,"")</f>
        <v>0.37278947491049175</v>
      </c>
      <c r="BO458" s="67">
        <f t="shared" si="269"/>
        <v>15.839493136219641</v>
      </c>
      <c r="BT458" t="s">
        <v>89</v>
      </c>
      <c r="BV458" t="s">
        <v>93</v>
      </c>
      <c r="CF458">
        <v>2</v>
      </c>
      <c r="CG458">
        <v>7</v>
      </c>
    </row>
    <row r="459" spans="1:85" x14ac:dyDescent="0.4">
      <c r="A459" s="11" t="s">
        <v>85</v>
      </c>
      <c r="B459" t="s">
        <v>224</v>
      </c>
      <c r="C459" t="s">
        <v>234</v>
      </c>
      <c r="D459" s="46" t="s">
        <v>307</v>
      </c>
      <c r="E459">
        <v>1</v>
      </c>
      <c r="F459">
        <v>16</v>
      </c>
      <c r="G459" s="1">
        <v>12</v>
      </c>
      <c r="H459" s="16">
        <f t="shared" si="244"/>
        <v>972</v>
      </c>
      <c r="I459">
        <v>3</v>
      </c>
      <c r="J459" s="17">
        <f t="shared" si="245"/>
        <v>3</v>
      </c>
      <c r="K459">
        <v>1</v>
      </c>
      <c r="L459">
        <v>9</v>
      </c>
      <c r="M459" s="17">
        <f t="shared" si="246"/>
        <v>1</v>
      </c>
      <c r="N459" s="17">
        <f t="shared" si="247"/>
        <v>9</v>
      </c>
      <c r="O459" s="18">
        <f t="shared" si="248"/>
        <v>0.1111111111111111</v>
      </c>
      <c r="P459">
        <v>0</v>
      </c>
      <c r="Q459">
        <v>5</v>
      </c>
      <c r="R459" s="17">
        <f t="shared" si="249"/>
        <v>0</v>
      </c>
      <c r="S459" s="17">
        <f t="shared" si="250"/>
        <v>5</v>
      </c>
      <c r="T459" s="18">
        <f t="shared" si="251"/>
        <v>0</v>
      </c>
      <c r="U459">
        <v>1</v>
      </c>
      <c r="V459">
        <v>4</v>
      </c>
      <c r="W459" s="17">
        <f t="shared" si="252"/>
        <v>1</v>
      </c>
      <c r="X459" s="17">
        <f t="shared" si="253"/>
        <v>4</v>
      </c>
      <c r="Y459" s="18">
        <f t="shared" si="254"/>
        <v>0.25</v>
      </c>
      <c r="Z459">
        <v>0</v>
      </c>
      <c r="AA459">
        <v>0</v>
      </c>
      <c r="AB459" s="17">
        <f t="shared" si="255"/>
        <v>0</v>
      </c>
      <c r="AC459" s="17">
        <f t="shared" si="256"/>
        <v>0</v>
      </c>
      <c r="AD459" s="18" t="e">
        <f t="shared" si="257"/>
        <v>#DIV/0!</v>
      </c>
      <c r="AE459">
        <v>1</v>
      </c>
      <c r="AF459" s="17">
        <f t="shared" si="258"/>
        <v>1</v>
      </c>
      <c r="AG459">
        <v>0</v>
      </c>
      <c r="AH459" s="17">
        <f t="shared" si="259"/>
        <v>0</v>
      </c>
      <c r="AI459">
        <v>1</v>
      </c>
      <c r="AJ459" s="17">
        <f t="shared" si="260"/>
        <v>1</v>
      </c>
      <c r="AK459">
        <v>2</v>
      </c>
      <c r="AL459" s="17">
        <f t="shared" si="261"/>
        <v>2</v>
      </c>
      <c r="AM459">
        <v>0</v>
      </c>
      <c r="AN459" s="17">
        <f t="shared" si="262"/>
        <v>0</v>
      </c>
      <c r="AO459">
        <v>0</v>
      </c>
      <c r="AQ459">
        <v>0</v>
      </c>
      <c r="AR459" s="17">
        <f t="shared" si="263"/>
        <v>0</v>
      </c>
      <c r="AS459">
        <v>0</v>
      </c>
      <c r="AT459" s="17">
        <f t="shared" si="264"/>
        <v>0</v>
      </c>
      <c r="BD459" s="65">
        <f t="shared" si="265"/>
        <v>16.666666666666664</v>
      </c>
      <c r="BE459" s="65">
        <f t="shared" si="266"/>
        <v>16.666666666666664</v>
      </c>
      <c r="BF459" s="66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2.9368058125260643</v>
      </c>
      <c r="BG459" s="38">
        <f t="shared" si="267"/>
        <v>0.44444444444444442</v>
      </c>
      <c r="BH459" s="38">
        <f t="shared" si="268"/>
        <v>0</v>
      </c>
      <c r="BI459" s="67">
        <f>IFERROR(((AG459*(12000/5))/((F459*60+G459)*(SUMIFS(팀공격력!X:X,팀공격력!A:A,B459,팀공격력!B:B,D459)+SUMIFS(팀수비력!X:X,팀수비력!A:A,B459,팀수비력!B:B,D459))))*100,"")</f>
        <v>0</v>
      </c>
      <c r="BJ459" s="67">
        <f>IFERROR(((AI459*(12000/5))/((F459*60+G459)*(SUMIFS(팀공격력!V:V,팀공격력!A:A,B459,팀공격력!B:B,D459)+SUMIFS(팀수비력!W:W,팀수비력!A:A,B459,팀수비력!B:B,D459))))*100,"")</f>
        <v>0.79649542015133401</v>
      </c>
      <c r="BK459" s="67">
        <f>IFERROR(((AE459*(12000/5))/((F459*60+G459)*(SUMIFS(팀공격력!X:X,팀공격력!A:A,B459,팀공격력!B:B,D459)+SUMIFS(팀수비력!X:X,팀수비력!A:A,B459,팀수비력!B:B,D459))))*100,"")</f>
        <v>0.42866941015089166</v>
      </c>
      <c r="BL459" s="67">
        <f>IFERROR(100*AK459/(((((F459*60+G459)/(12000/5))*SUMIFS(팀공격력!P:P,팀공격력!A:A,B459,팀공격력!B:B,D459))-K459)),"")</f>
        <v>1.7603309422171367</v>
      </c>
      <c r="BM459" s="67">
        <f>IFERROR(100*((AM459/E459*(2400))/((F459*60+G459)*SUMIFS(팀공격력!AR:AR,팀공격력!A:A,B459,팀공격력!B:B,D459))),"")</f>
        <v>0</v>
      </c>
      <c r="BN459" s="67">
        <f>IFERROR((AO459*40)/(((F459*60+G459)/60)*(SUMIFS(팀수비력!Q:Q,팀수비력!A:A,B459,팀수비력!B:B,D459)-SUMIFS(팀수비력!N:N,팀수비력!A:A,B459,팀수비력!B:B,D459)))*100,"")</f>
        <v>0</v>
      </c>
      <c r="BO459" s="67">
        <f t="shared" si="269"/>
        <v>0</v>
      </c>
      <c r="BT459" t="s">
        <v>89</v>
      </c>
      <c r="BV459" t="s">
        <v>90</v>
      </c>
      <c r="CF459">
        <v>0</v>
      </c>
      <c r="CG459">
        <v>1</v>
      </c>
    </row>
    <row r="460" spans="1:85" x14ac:dyDescent="0.4">
      <c r="A460" s="11" t="s">
        <v>85</v>
      </c>
      <c r="B460" t="s">
        <v>224</v>
      </c>
      <c r="C460" t="s">
        <v>235</v>
      </c>
      <c r="D460" s="46" t="s">
        <v>307</v>
      </c>
      <c r="E460">
        <v>4</v>
      </c>
      <c r="F460">
        <v>25</v>
      </c>
      <c r="G460" s="1">
        <v>48</v>
      </c>
      <c r="H460" s="16">
        <f t="shared" si="244"/>
        <v>6192</v>
      </c>
      <c r="I460">
        <v>38</v>
      </c>
      <c r="J460" s="17">
        <f t="shared" si="245"/>
        <v>9.5</v>
      </c>
      <c r="K460">
        <v>15</v>
      </c>
      <c r="L460">
        <v>47</v>
      </c>
      <c r="M460" s="17">
        <f t="shared" si="246"/>
        <v>3.75</v>
      </c>
      <c r="N460" s="17">
        <f t="shared" si="247"/>
        <v>11.75</v>
      </c>
      <c r="O460" s="18">
        <f t="shared" si="248"/>
        <v>0.31914893617021278</v>
      </c>
      <c r="P460">
        <v>10</v>
      </c>
      <c r="Q460">
        <v>27</v>
      </c>
      <c r="R460" s="17">
        <f t="shared" si="249"/>
        <v>2.5</v>
      </c>
      <c r="S460" s="17">
        <f t="shared" si="250"/>
        <v>6.75</v>
      </c>
      <c r="T460" s="18">
        <f t="shared" si="251"/>
        <v>0.37037037037037035</v>
      </c>
      <c r="U460">
        <v>5</v>
      </c>
      <c r="V460">
        <v>20</v>
      </c>
      <c r="W460" s="17">
        <f t="shared" si="252"/>
        <v>1.25</v>
      </c>
      <c r="X460" s="17">
        <f t="shared" si="253"/>
        <v>5</v>
      </c>
      <c r="Y460" s="18">
        <f t="shared" si="254"/>
        <v>0.25</v>
      </c>
      <c r="Z460">
        <v>3</v>
      </c>
      <c r="AA460">
        <v>8</v>
      </c>
      <c r="AB460" s="17">
        <f t="shared" si="255"/>
        <v>0.75</v>
      </c>
      <c r="AC460" s="17">
        <f t="shared" si="256"/>
        <v>2</v>
      </c>
      <c r="AD460" s="18">
        <f t="shared" si="257"/>
        <v>0.375</v>
      </c>
      <c r="AE460">
        <v>24</v>
      </c>
      <c r="AF460" s="17">
        <f t="shared" si="258"/>
        <v>6</v>
      </c>
      <c r="AG460">
        <v>7</v>
      </c>
      <c r="AH460" s="17">
        <f t="shared" si="259"/>
        <v>1.75</v>
      </c>
      <c r="AI460">
        <v>17</v>
      </c>
      <c r="AJ460" s="17">
        <f t="shared" si="260"/>
        <v>4.25</v>
      </c>
      <c r="AK460">
        <v>8</v>
      </c>
      <c r="AL460" s="17">
        <f t="shared" si="261"/>
        <v>2</v>
      </c>
      <c r="AM460">
        <v>0</v>
      </c>
      <c r="AN460" s="17">
        <f t="shared" si="262"/>
        <v>0</v>
      </c>
      <c r="AO460">
        <v>2</v>
      </c>
      <c r="AQ460">
        <v>3</v>
      </c>
      <c r="AR460" s="17">
        <f t="shared" si="263"/>
        <v>0.75</v>
      </c>
      <c r="AS460">
        <v>5</v>
      </c>
      <c r="AT460" s="17">
        <f t="shared" si="264"/>
        <v>1.25</v>
      </c>
      <c r="BD460" s="65">
        <f t="shared" si="265"/>
        <v>37.608867775138556</v>
      </c>
      <c r="BE460" s="65">
        <f t="shared" si="266"/>
        <v>37.234042553191486</v>
      </c>
      <c r="BF460" s="66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10.965896308353139</v>
      </c>
      <c r="BG460" s="38">
        <f t="shared" si="267"/>
        <v>0.42553191489361702</v>
      </c>
      <c r="BH460" s="38">
        <f t="shared" si="268"/>
        <v>0.1702127659574468</v>
      </c>
      <c r="BI460" s="67">
        <f>IFERROR(((AG460*(12000/5))/((F460*60+G460)*(SUMIFS(팀공격력!X:X,팀공격력!A:A,B460,팀공격력!B:B,D460)+SUMIFS(팀수비력!X:X,팀수비력!A:A,B460,팀수비력!B:B,D460))))*100,"")</f>
        <v>1.8841515934539188</v>
      </c>
      <c r="BJ460" s="67">
        <f>IFERROR(((AI460*(12000/5))/((F460*60+G460)*(SUMIFS(팀공격력!V:V,팀공격력!A:A,B460,팀공격력!B:B,D460)+SUMIFS(팀수비력!W:W,팀수비력!A:A,B460,팀수비력!B:B,D460))))*100,"")</f>
        <v>8.5021255313828448</v>
      </c>
      <c r="BK460" s="67">
        <f>IFERROR(((AE460*(12000/5))/((F460*60+G460)*(SUMIFS(팀공격력!X:X,팀공격력!A:A,B460,팀공격력!B:B,D460)+SUMIFS(팀수비력!X:X,팀수비력!A:A,B460,팀수비력!B:B,D460))))*100,"")</f>
        <v>6.459948320413436</v>
      </c>
      <c r="BL460" s="67">
        <f>IFERROR(100*AK460/(((((F460*60+G460)/(12000/5))*SUMIFS(팀공격력!P:P,팀공격력!A:A,B460,팀공격력!B:B,D460))-K460)),"")</f>
        <v>4.7751216163786676</v>
      </c>
      <c r="BM460" s="67">
        <f>IFERROR(100*((AM460/E460*(2400))/((F460*60+G460)*SUMIFS(팀공격력!AR:AR,팀공격력!A:A,B460,팀공격력!B:B,D460))),"")</f>
        <v>0</v>
      </c>
      <c r="BN460" s="67">
        <f>IFERROR((AO460*40)/(((F460*60+G460)/60)*(SUMIFS(팀수비력!Q:Q,팀수비력!A:A,B460,팀수비력!B:B,D460)-SUMIFS(팀수비력!N:N,팀수비력!A:A,B460,팀수비력!B:B,D460)))*100,"")</f>
        <v>0.79711444570654233</v>
      </c>
      <c r="BO460" s="67">
        <f t="shared" si="269"/>
        <v>5.6053811659192823</v>
      </c>
      <c r="BT460" t="s">
        <v>96</v>
      </c>
      <c r="BV460" t="s">
        <v>93</v>
      </c>
      <c r="CF460">
        <v>0</v>
      </c>
      <c r="CG460">
        <v>4</v>
      </c>
    </row>
    <row r="461" spans="1:85" x14ac:dyDescent="0.4">
      <c r="A461" s="11" t="s">
        <v>85</v>
      </c>
      <c r="B461" t="s">
        <v>224</v>
      </c>
      <c r="C461" t="s">
        <v>237</v>
      </c>
      <c r="D461" s="46" t="s">
        <v>307</v>
      </c>
      <c r="E461">
        <v>2</v>
      </c>
      <c r="F461">
        <v>5</v>
      </c>
      <c r="G461" s="1">
        <v>20</v>
      </c>
      <c r="H461" s="16">
        <f t="shared" si="244"/>
        <v>640</v>
      </c>
      <c r="I461">
        <v>0</v>
      </c>
      <c r="J461" s="17">
        <f t="shared" si="245"/>
        <v>0</v>
      </c>
      <c r="K461">
        <v>0</v>
      </c>
      <c r="L461">
        <v>2</v>
      </c>
      <c r="M461" s="17">
        <f t="shared" si="246"/>
        <v>0</v>
      </c>
      <c r="N461" s="17">
        <f t="shared" si="247"/>
        <v>1</v>
      </c>
      <c r="O461" s="18">
        <f t="shared" si="248"/>
        <v>0</v>
      </c>
      <c r="P461">
        <v>0</v>
      </c>
      <c r="Q461">
        <v>0</v>
      </c>
      <c r="R461" s="17">
        <f t="shared" si="249"/>
        <v>0</v>
      </c>
      <c r="S461" s="17">
        <f t="shared" si="250"/>
        <v>0</v>
      </c>
      <c r="T461" s="18" t="e">
        <f t="shared" si="251"/>
        <v>#DIV/0!</v>
      </c>
      <c r="U461">
        <v>0</v>
      </c>
      <c r="V461">
        <v>2</v>
      </c>
      <c r="W461" s="17">
        <f t="shared" si="252"/>
        <v>0</v>
      </c>
      <c r="X461" s="17">
        <f t="shared" si="253"/>
        <v>1</v>
      </c>
      <c r="Y461" s="18">
        <f t="shared" si="254"/>
        <v>0</v>
      </c>
      <c r="Z461">
        <v>0</v>
      </c>
      <c r="AA461">
        <v>0</v>
      </c>
      <c r="AB461" s="17">
        <f t="shared" si="255"/>
        <v>0</v>
      </c>
      <c r="AC461" s="17">
        <f t="shared" si="256"/>
        <v>0</v>
      </c>
      <c r="AD461" s="18" t="e">
        <f t="shared" si="257"/>
        <v>#DIV/0!</v>
      </c>
      <c r="AE461">
        <v>0</v>
      </c>
      <c r="AF461" s="17">
        <f t="shared" si="258"/>
        <v>0</v>
      </c>
      <c r="AG461">
        <v>0</v>
      </c>
      <c r="AH461" s="17">
        <f t="shared" si="259"/>
        <v>0</v>
      </c>
      <c r="AI461">
        <v>0</v>
      </c>
      <c r="AJ461" s="17">
        <f t="shared" si="260"/>
        <v>0</v>
      </c>
      <c r="AK461">
        <v>2</v>
      </c>
      <c r="AL461" s="17">
        <f t="shared" si="261"/>
        <v>1</v>
      </c>
      <c r="AM461">
        <v>1</v>
      </c>
      <c r="AN461" s="17">
        <f t="shared" si="262"/>
        <v>0.5</v>
      </c>
      <c r="AO461">
        <v>0</v>
      </c>
      <c r="AQ461">
        <v>1</v>
      </c>
      <c r="AR461" s="17">
        <f t="shared" si="263"/>
        <v>0.5</v>
      </c>
      <c r="AS461">
        <v>3</v>
      </c>
      <c r="AT461" s="17">
        <f t="shared" si="264"/>
        <v>1.5</v>
      </c>
      <c r="BD461" s="65">
        <f t="shared" si="265"/>
        <v>0</v>
      </c>
      <c r="BE461" s="65">
        <f t="shared" si="266"/>
        <v>0</v>
      </c>
      <c r="BF461" s="66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2.9735158851826404</v>
      </c>
      <c r="BG461" s="38">
        <f t="shared" si="267"/>
        <v>1</v>
      </c>
      <c r="BH461" s="38">
        <f t="shared" si="268"/>
        <v>0</v>
      </c>
      <c r="BI461" s="67">
        <f>IFERROR(((AG461*(12000/5))/((F461*60+G461)*(SUMIFS(팀공격력!X:X,팀공격력!A:A,B461,팀공격력!B:B,D461)+SUMIFS(팀수비력!X:X,팀수비력!A:A,B461,팀수비력!B:B,D461))))*100,"")</f>
        <v>0</v>
      </c>
      <c r="BJ461" s="67">
        <f>IFERROR(((AI461*(12000/5))/((F461*60+G461)*(SUMIFS(팀공격력!V:V,팀공격력!A:A,B461,팀공격력!B:B,D461)+SUMIFS(팀수비력!W:W,팀수비력!A:A,B461,팀수비력!B:B,D461))))*100,"")</f>
        <v>0</v>
      </c>
      <c r="BK461" s="67">
        <f>IFERROR(((AE461*(12000/5))/((F461*60+G461)*(SUMIFS(팀공격력!X:X,팀공격력!A:A,B461,팀공격력!B:B,D461)+SUMIFS(팀수비력!X:X,팀수비력!A:A,B461,팀수비력!B:B,D461))))*100,"")</f>
        <v>0</v>
      </c>
      <c r="BL461" s="67">
        <f>IFERROR(100*AK461/(((((F461*60+G461)/(12000/5))*SUMIFS(팀공격력!P:P,팀공격력!A:A,B461,팀공격력!B:B,D461))-K461)),"")</f>
        <v>5.3003533568904588</v>
      </c>
      <c r="BM461" s="67">
        <f>IFERROR(100*((AM461/E461*(2400))/((F461*60+G461)*SUMIFS(팀공격력!AR:AR,팀공격력!A:A,B461,팀공격력!B:B,D461))),"")</f>
        <v>5.1863163565822834</v>
      </c>
      <c r="BN461" s="67">
        <f>IFERROR((AO461*40)/(((F461*60+G461)/60)*(SUMIFS(팀수비력!Q:Q,팀수비력!A:A,B461,팀수비력!B:B,D461)-SUMIFS(팀수비력!N:N,팀수비력!A:A,B461,팀수비력!B:B,D461)))*100,"")</f>
        <v>0</v>
      </c>
      <c r="BO461" s="67">
        <f t="shared" si="269"/>
        <v>33.333333333333336</v>
      </c>
      <c r="BT461" t="s">
        <v>89</v>
      </c>
      <c r="BV461" t="s">
        <v>90</v>
      </c>
      <c r="CF461">
        <v>0</v>
      </c>
      <c r="CG461">
        <v>2</v>
      </c>
    </row>
    <row r="462" spans="1:85" x14ac:dyDescent="0.4">
      <c r="A462" s="11" t="s">
        <v>85</v>
      </c>
      <c r="B462" t="s">
        <v>224</v>
      </c>
      <c r="C462" t="s">
        <v>238</v>
      </c>
      <c r="D462" s="46" t="s">
        <v>307</v>
      </c>
      <c r="E462">
        <v>9</v>
      </c>
      <c r="F462">
        <v>18</v>
      </c>
      <c r="G462" s="1">
        <v>24</v>
      </c>
      <c r="H462" s="16">
        <f t="shared" si="244"/>
        <v>9936</v>
      </c>
      <c r="I462">
        <v>69</v>
      </c>
      <c r="J462" s="17">
        <f t="shared" si="245"/>
        <v>7.666666666666667</v>
      </c>
      <c r="K462">
        <v>26</v>
      </c>
      <c r="L462">
        <v>48</v>
      </c>
      <c r="M462" s="17">
        <f t="shared" si="246"/>
        <v>2.8888888888888888</v>
      </c>
      <c r="N462" s="17">
        <f t="shared" si="247"/>
        <v>5.333333333333333</v>
      </c>
      <c r="O462" s="18">
        <f t="shared" si="248"/>
        <v>0.54166666666666663</v>
      </c>
      <c r="P462">
        <v>23</v>
      </c>
      <c r="Q462">
        <v>38</v>
      </c>
      <c r="R462" s="17">
        <f t="shared" si="249"/>
        <v>2.5555555555555554</v>
      </c>
      <c r="S462" s="17">
        <f t="shared" si="250"/>
        <v>4.2222222222222223</v>
      </c>
      <c r="T462" s="18">
        <f t="shared" si="251"/>
        <v>0.60526315789473684</v>
      </c>
      <c r="U462">
        <v>3</v>
      </c>
      <c r="V462">
        <v>10</v>
      </c>
      <c r="W462" s="17">
        <f t="shared" si="252"/>
        <v>0.33333333333333331</v>
      </c>
      <c r="X462" s="17">
        <f t="shared" si="253"/>
        <v>1.1111111111111112</v>
      </c>
      <c r="Y462" s="18">
        <f t="shared" si="254"/>
        <v>0.3</v>
      </c>
      <c r="Z462">
        <v>14</v>
      </c>
      <c r="AA462">
        <v>14</v>
      </c>
      <c r="AB462" s="17">
        <f t="shared" si="255"/>
        <v>1.5555555555555556</v>
      </c>
      <c r="AC462" s="17">
        <f t="shared" si="256"/>
        <v>1.5555555555555556</v>
      </c>
      <c r="AD462" s="18">
        <f t="shared" si="257"/>
        <v>1</v>
      </c>
      <c r="AE462">
        <v>30</v>
      </c>
      <c r="AF462" s="17">
        <f t="shared" si="258"/>
        <v>3.3333333333333335</v>
      </c>
      <c r="AG462">
        <v>6</v>
      </c>
      <c r="AH462" s="17">
        <f t="shared" si="259"/>
        <v>0.66666666666666663</v>
      </c>
      <c r="AI462">
        <v>24</v>
      </c>
      <c r="AJ462" s="17">
        <f t="shared" si="260"/>
        <v>2.6666666666666665</v>
      </c>
      <c r="AK462">
        <v>4</v>
      </c>
      <c r="AL462" s="17">
        <f t="shared" si="261"/>
        <v>0.44444444444444442</v>
      </c>
      <c r="AM462">
        <v>5</v>
      </c>
      <c r="AN462" s="17">
        <f t="shared" si="262"/>
        <v>0.55555555555555558</v>
      </c>
      <c r="AO462">
        <v>2</v>
      </c>
      <c r="AQ462">
        <v>6</v>
      </c>
      <c r="AR462" s="17">
        <f t="shared" si="263"/>
        <v>0.66666666666666663</v>
      </c>
      <c r="AS462">
        <v>11</v>
      </c>
      <c r="AT462" s="17">
        <f t="shared" si="264"/>
        <v>1.2222222222222223</v>
      </c>
      <c r="BD462" s="65">
        <f t="shared" si="265"/>
        <v>63.700147710487457</v>
      </c>
      <c r="BE462" s="65">
        <f t="shared" si="266"/>
        <v>57.291666666666664</v>
      </c>
      <c r="BF462" s="66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17.283740642762091</v>
      </c>
      <c r="BG462" s="38">
        <f t="shared" si="267"/>
        <v>0.20833333333333334</v>
      </c>
      <c r="BH462" s="38">
        <f t="shared" si="268"/>
        <v>0.29166666666666669</v>
      </c>
      <c r="BI462" s="67">
        <f>IFERROR(((AG462*(12000/5))/((F462*60+G462)*(SUMIFS(팀공격력!X:X,팀공격력!A:A,B462,팀공격력!B:B,D462)+SUMIFS(팀수비력!X:X,팀수비력!A:A,B462,팀수비력!B:B,D462))))*100,"")</f>
        <v>2.2644927536231885</v>
      </c>
      <c r="BJ462" s="67">
        <f>IFERROR(((AI462*(12000/5))/((F462*60+G462)*(SUMIFS(팀공격력!V:V,팀공격력!A:A,B462,팀공격력!B:B,D462)+SUMIFS(팀수비력!W:W,팀수비력!A:A,B462,팀수비력!B:B,D462))))*100,"")</f>
        <v>16.830294530154276</v>
      </c>
      <c r="BK462" s="67">
        <f>IFERROR(((AE462*(12000/5))/((F462*60+G462)*(SUMIFS(팀공격력!X:X,팀공격력!A:A,B462,팀공격력!B:B,D462)+SUMIFS(팀수비력!X:X,팀수비력!A:A,B462,팀수비력!B:B,D462))))*100,"")</f>
        <v>11.322463768115941</v>
      </c>
      <c r="BL462" s="67">
        <f>IFERROR(100*AK462/(((((F462*60+G462)/(12000/5))*SUMIFS(팀공격력!P:P,팀공격력!A:A,B462,팀공격력!B:B,D462))-K462)),"")</f>
        <v>3.8395085429065077</v>
      </c>
      <c r="BM462" s="67">
        <f>IFERROR(100*((AM462/E462*(2400))/((F462*60+G462)*SUMIFS(팀공격력!AR:AR,팀공격력!A:A,B462,팀공격력!B:B,D462))),"")</f>
        <v>1.6703112259524269</v>
      </c>
      <c r="BN462" s="67">
        <f>IFERROR((AO462*40)/(((F462*60+G462)/60)*(SUMIFS(팀수비력!Q:Q,팀수비력!A:A,B462,팀수비력!B:B,D462)-SUMIFS(팀수비력!N:N,팀수비력!A:A,B462,팀수비력!B:B,D462)))*100,"")</f>
        <v>1.1176930814798256</v>
      </c>
      <c r="BO462" s="67">
        <f t="shared" si="269"/>
        <v>9.9734042553191493</v>
      </c>
      <c r="BT462" t="s">
        <v>89</v>
      </c>
      <c r="BV462" t="s">
        <v>102</v>
      </c>
      <c r="CF462">
        <v>2</v>
      </c>
      <c r="CG462">
        <v>7</v>
      </c>
    </row>
    <row r="463" spans="1:85" x14ac:dyDescent="0.4">
      <c r="A463" s="11" t="s">
        <v>85</v>
      </c>
      <c r="B463" t="s">
        <v>224</v>
      </c>
      <c r="C463" t="s">
        <v>240</v>
      </c>
      <c r="D463" s="46" t="s">
        <v>307</v>
      </c>
      <c r="E463">
        <v>3</v>
      </c>
      <c r="F463">
        <v>5</v>
      </c>
      <c r="G463" s="1">
        <v>44</v>
      </c>
      <c r="H463" s="16">
        <f t="shared" si="244"/>
        <v>1032</v>
      </c>
      <c r="I463">
        <v>8</v>
      </c>
      <c r="J463" s="17">
        <f t="shared" si="245"/>
        <v>2.6666666666666665</v>
      </c>
      <c r="K463">
        <v>4</v>
      </c>
      <c r="L463">
        <v>7</v>
      </c>
      <c r="M463" s="17">
        <f t="shared" si="246"/>
        <v>1.3333333333333333</v>
      </c>
      <c r="N463" s="17">
        <f t="shared" si="247"/>
        <v>2.3333333333333335</v>
      </c>
      <c r="O463" s="18">
        <f t="shared" si="248"/>
        <v>0.5714285714285714</v>
      </c>
      <c r="P463">
        <v>4</v>
      </c>
      <c r="Q463">
        <v>5</v>
      </c>
      <c r="R463" s="17">
        <f t="shared" si="249"/>
        <v>1.3333333333333333</v>
      </c>
      <c r="S463" s="17">
        <f t="shared" si="250"/>
        <v>1.6666666666666667</v>
      </c>
      <c r="T463" s="18">
        <f t="shared" si="251"/>
        <v>0.8</v>
      </c>
      <c r="U463">
        <v>0</v>
      </c>
      <c r="V463">
        <v>2</v>
      </c>
      <c r="W463" s="17">
        <f t="shared" si="252"/>
        <v>0</v>
      </c>
      <c r="X463" s="17">
        <f t="shared" si="253"/>
        <v>0.66666666666666663</v>
      </c>
      <c r="Y463" s="18">
        <f t="shared" si="254"/>
        <v>0</v>
      </c>
      <c r="Z463">
        <v>0</v>
      </c>
      <c r="AA463">
        <v>0</v>
      </c>
      <c r="AB463" s="17">
        <f t="shared" si="255"/>
        <v>0</v>
      </c>
      <c r="AC463" s="17">
        <f t="shared" si="256"/>
        <v>0</v>
      </c>
      <c r="AD463" s="18" t="e">
        <f t="shared" si="257"/>
        <v>#DIV/0!</v>
      </c>
      <c r="AE463">
        <v>3</v>
      </c>
      <c r="AF463" s="17">
        <f t="shared" si="258"/>
        <v>1</v>
      </c>
      <c r="AG463">
        <v>0</v>
      </c>
      <c r="AH463" s="17">
        <f t="shared" si="259"/>
        <v>0</v>
      </c>
      <c r="AI463">
        <v>3</v>
      </c>
      <c r="AJ463" s="17">
        <f t="shared" si="260"/>
        <v>1</v>
      </c>
      <c r="AK463">
        <v>2</v>
      </c>
      <c r="AL463" s="17">
        <f t="shared" si="261"/>
        <v>0.66666666666666663</v>
      </c>
      <c r="AM463">
        <v>1</v>
      </c>
      <c r="AN463" s="17">
        <f t="shared" si="262"/>
        <v>0.33333333333333331</v>
      </c>
      <c r="AO463">
        <v>0</v>
      </c>
      <c r="AQ463">
        <v>0</v>
      </c>
      <c r="AR463" s="17">
        <f t="shared" si="263"/>
        <v>0</v>
      </c>
      <c r="AS463">
        <v>7</v>
      </c>
      <c r="AT463" s="17">
        <f t="shared" si="264"/>
        <v>2.3333333333333335</v>
      </c>
      <c r="BD463" s="65">
        <f t="shared" si="265"/>
        <v>57.142857142857139</v>
      </c>
      <c r="BE463" s="65">
        <f t="shared" si="266"/>
        <v>57.142857142857139</v>
      </c>
      <c r="BF463" s="66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6.4541430065979783</v>
      </c>
      <c r="BG463" s="38">
        <f t="shared" si="267"/>
        <v>0.2857142857142857</v>
      </c>
      <c r="BH463" s="38">
        <f t="shared" si="268"/>
        <v>0</v>
      </c>
      <c r="BI463" s="67">
        <f>IFERROR(((AG463*(12000/5))/((F463*60+G463)*(SUMIFS(팀공격력!X:X,팀공격력!A:A,B463,팀공격력!B:B,D463)+SUMIFS(팀수비력!X:X,팀수비력!A:A,B463,팀수비력!B:B,D463))))*100,"")</f>
        <v>0</v>
      </c>
      <c r="BJ463" s="67">
        <f>IFERROR(((AI463*(12000/5))/((F463*60+G463)*(SUMIFS(팀공격력!V:V,팀공격력!A:A,B463,팀공격력!B:B,D463)+SUMIFS(팀수비력!W:W,팀수비력!A:A,B463,팀수비력!B:B,D463))))*100,"")</f>
        <v>6.7516879219804951</v>
      </c>
      <c r="BK463" s="67">
        <f>IFERROR(((AE463*(12000/5))/((F463*60+G463)*(SUMIFS(팀공격력!X:X,팀공격력!A:A,B463,팀공격력!B:B,D463)+SUMIFS(팀수비력!X:X,팀수비력!A:A,B463,팀수비력!B:B,D463))))*100,"")</f>
        <v>3.6337209302325584</v>
      </c>
      <c r="BL463" s="67">
        <f>IFERROR(100*AK463/(((((F463*60+G463)/(12000/5))*SUMIFS(팀공격력!P:P,팀공격력!A:A,B463,팀공격력!B:B,D463))-K463)),"")</f>
        <v>5.4699607986142764</v>
      </c>
      <c r="BM463" s="67">
        <f>IFERROR(100*((AM463/E463*(2400))/((F463*60+G463)*SUMIFS(팀공격력!AR:AR,팀공격력!A:A,B463,팀공격력!B:B,D463))),"")</f>
        <v>3.2163202211363005</v>
      </c>
      <c r="BN463" s="67">
        <f>IFERROR((AO463*40)/(((F463*60+G463)/60)*(SUMIFS(팀수비력!Q:Q,팀수비력!A:A,B463,팀수비력!B:B,D463)-SUMIFS(팀수비력!N:N,팀수비력!A:A,B463,팀수비력!B:B,D463)))*100,"")</f>
        <v>0</v>
      </c>
      <c r="BO463" s="67">
        <f t="shared" si="269"/>
        <v>0</v>
      </c>
      <c r="BT463" t="s">
        <v>89</v>
      </c>
      <c r="BV463" t="s">
        <v>90</v>
      </c>
      <c r="CF463">
        <v>0</v>
      </c>
      <c r="CG463">
        <v>3</v>
      </c>
    </row>
    <row r="464" spans="1:85" x14ac:dyDescent="0.4">
      <c r="A464" s="11" t="s">
        <v>85</v>
      </c>
      <c r="B464" t="s">
        <v>224</v>
      </c>
      <c r="C464" t="s">
        <v>241</v>
      </c>
      <c r="D464" s="46" t="s">
        <v>307</v>
      </c>
      <c r="E464">
        <v>9</v>
      </c>
      <c r="F464">
        <v>10</v>
      </c>
      <c r="G464" s="1">
        <v>51</v>
      </c>
      <c r="H464" s="16">
        <f t="shared" si="244"/>
        <v>5859</v>
      </c>
      <c r="I464">
        <v>37</v>
      </c>
      <c r="J464" s="17">
        <f t="shared" si="245"/>
        <v>4.1111111111111107</v>
      </c>
      <c r="K464">
        <v>15</v>
      </c>
      <c r="L464">
        <v>34</v>
      </c>
      <c r="M464" s="17">
        <f t="shared" si="246"/>
        <v>1.6666666666666667</v>
      </c>
      <c r="N464" s="17">
        <f t="shared" si="247"/>
        <v>3.7777777777777777</v>
      </c>
      <c r="O464" s="18">
        <f t="shared" si="248"/>
        <v>0.44117647058823528</v>
      </c>
      <c r="P464">
        <v>10</v>
      </c>
      <c r="Q464">
        <v>20</v>
      </c>
      <c r="R464" s="17">
        <f t="shared" si="249"/>
        <v>1.1111111111111112</v>
      </c>
      <c r="S464" s="17">
        <f t="shared" si="250"/>
        <v>2.2222222222222223</v>
      </c>
      <c r="T464" s="18">
        <f t="shared" si="251"/>
        <v>0.5</v>
      </c>
      <c r="U464">
        <v>5</v>
      </c>
      <c r="V464">
        <v>14</v>
      </c>
      <c r="W464" s="17">
        <f t="shared" si="252"/>
        <v>0.55555555555555558</v>
      </c>
      <c r="X464" s="17">
        <f t="shared" si="253"/>
        <v>1.5555555555555556</v>
      </c>
      <c r="Y464" s="18">
        <f t="shared" si="254"/>
        <v>0.35714285714285715</v>
      </c>
      <c r="Z464">
        <v>2</v>
      </c>
      <c r="AA464">
        <v>2</v>
      </c>
      <c r="AB464" s="17">
        <f t="shared" si="255"/>
        <v>0.22222222222222221</v>
      </c>
      <c r="AC464" s="17">
        <f t="shared" si="256"/>
        <v>0.22222222222222221</v>
      </c>
      <c r="AD464" s="18">
        <f t="shared" si="257"/>
        <v>1</v>
      </c>
      <c r="AE464">
        <v>8</v>
      </c>
      <c r="AF464" s="17">
        <f t="shared" si="258"/>
        <v>0.88888888888888884</v>
      </c>
      <c r="AG464">
        <v>4</v>
      </c>
      <c r="AH464" s="17">
        <f t="shared" si="259"/>
        <v>0.44444444444444442</v>
      </c>
      <c r="AI464">
        <v>4</v>
      </c>
      <c r="AJ464" s="17">
        <f t="shared" si="260"/>
        <v>0.44444444444444442</v>
      </c>
      <c r="AK464">
        <v>0</v>
      </c>
      <c r="AL464" s="17">
        <f t="shared" si="261"/>
        <v>0</v>
      </c>
      <c r="AM464">
        <v>0</v>
      </c>
      <c r="AN464" s="17">
        <f t="shared" si="262"/>
        <v>0</v>
      </c>
      <c r="AO464">
        <v>0</v>
      </c>
      <c r="AQ464">
        <v>4</v>
      </c>
      <c r="AR464" s="17">
        <f t="shared" si="263"/>
        <v>0.44444444444444442</v>
      </c>
      <c r="AS464">
        <v>9</v>
      </c>
      <c r="AT464" s="17">
        <f t="shared" si="264"/>
        <v>1</v>
      </c>
      <c r="BD464" s="65">
        <f t="shared" si="265"/>
        <v>53.038990825688067</v>
      </c>
      <c r="BE464" s="65">
        <f t="shared" si="266"/>
        <v>51.470588235294116</v>
      </c>
      <c r="BF464" s="66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18.94280350081328</v>
      </c>
      <c r="BG464" s="38">
        <f t="shared" si="267"/>
        <v>0.41176470588235292</v>
      </c>
      <c r="BH464" s="38">
        <f t="shared" si="268"/>
        <v>5.8823529411764705E-2</v>
      </c>
      <c r="BI464" s="67">
        <f>IFERROR(((AG464*(12000/5))/((F464*60+G464)*(SUMIFS(팀공격력!X:X,팀공격력!A:A,B464,팀공격력!B:B,D464)+SUMIFS(팀수비력!X:X,팀수비력!A:A,B464,팀수비력!B:B,D464))))*100,"")</f>
        <v>2.5601638504864312</v>
      </c>
      <c r="BJ464" s="67">
        <f>IFERROR(((AI464*(12000/5))/((F464*60+G464)*(SUMIFS(팀공격력!V:V,팀공격력!A:A,B464,팀공격력!B:B,D464)+SUMIFS(팀수비력!W:W,팀수비력!A:A,B464,팀수비력!B:B,D464))))*100,"")</f>
        <v>4.7569496060651106</v>
      </c>
      <c r="BK464" s="67">
        <f>IFERROR(((AE464*(12000/5))/((F464*60+G464)*(SUMIFS(팀공격력!X:X,팀공격력!A:A,B464,팀공격력!B:B,D464)+SUMIFS(팀수비력!X:X,팀수비력!A:A,B464,팀수비력!B:B,D464))))*100,"")</f>
        <v>5.1203277009728625</v>
      </c>
      <c r="BL464" s="67">
        <f>IFERROR(100*AK464/(((((F464*60+G464)/(12000/5))*SUMIFS(팀공격력!P:P,팀공격력!A:A,B464,팀공격력!B:B,D464))-K464)),"")</f>
        <v>0</v>
      </c>
      <c r="BM464" s="67">
        <f>IFERROR(100*((AM464/E464*(2400))/((F464*60+G464)*SUMIFS(팀공격력!AR:AR,팀공격력!A:A,B464,팀공격력!B:B,D464))),"")</f>
        <v>0</v>
      </c>
      <c r="BN464" s="67">
        <f>IFERROR((AO464*40)/(((F464*60+G464)/60)*(SUMIFS(팀수비력!Q:Q,팀수비력!A:A,B464,팀수비력!B:B,D464)-SUMIFS(팀수비력!N:N,팀수비력!A:A,B464,팀수비력!B:B,D464)))*100,"")</f>
        <v>0</v>
      </c>
      <c r="BO464" s="67">
        <f t="shared" si="269"/>
        <v>10.288065843621398</v>
      </c>
      <c r="BT464" t="s">
        <v>89</v>
      </c>
      <c r="BV464" t="s">
        <v>93</v>
      </c>
      <c r="CF464">
        <v>2</v>
      </c>
      <c r="CG464">
        <v>7</v>
      </c>
    </row>
    <row r="465" spans="1:85" x14ac:dyDescent="0.4">
      <c r="A465" s="11" t="s">
        <v>85</v>
      </c>
      <c r="B465" t="s">
        <v>224</v>
      </c>
      <c r="C465" t="s">
        <v>242</v>
      </c>
      <c r="D465" s="46" t="s">
        <v>307</v>
      </c>
      <c r="E465">
        <v>9</v>
      </c>
      <c r="F465">
        <v>22</v>
      </c>
      <c r="G465" s="1">
        <v>50</v>
      </c>
      <c r="H465" s="16">
        <f t="shared" si="244"/>
        <v>12330</v>
      </c>
      <c r="I465">
        <v>79</v>
      </c>
      <c r="J465" s="17">
        <f t="shared" si="245"/>
        <v>8.7777777777777786</v>
      </c>
      <c r="K465">
        <v>26</v>
      </c>
      <c r="L465">
        <v>60</v>
      </c>
      <c r="M465" s="17">
        <f t="shared" si="246"/>
        <v>2.8888888888888888</v>
      </c>
      <c r="N465" s="17">
        <f t="shared" si="247"/>
        <v>6.666666666666667</v>
      </c>
      <c r="O465" s="18">
        <f t="shared" si="248"/>
        <v>0.43333333333333335</v>
      </c>
      <c r="P465">
        <v>15</v>
      </c>
      <c r="Q465">
        <v>30</v>
      </c>
      <c r="R465" s="17">
        <f t="shared" si="249"/>
        <v>1.6666666666666667</v>
      </c>
      <c r="S465" s="17">
        <f t="shared" si="250"/>
        <v>3.3333333333333335</v>
      </c>
      <c r="T465" s="18">
        <f t="shared" si="251"/>
        <v>0.5</v>
      </c>
      <c r="U465">
        <v>11</v>
      </c>
      <c r="V465">
        <v>30</v>
      </c>
      <c r="W465" s="17">
        <f t="shared" si="252"/>
        <v>1.2222222222222223</v>
      </c>
      <c r="X465" s="17">
        <f t="shared" si="253"/>
        <v>3.3333333333333335</v>
      </c>
      <c r="Y465" s="18">
        <f t="shared" si="254"/>
        <v>0.36666666666666664</v>
      </c>
      <c r="Z465">
        <v>16</v>
      </c>
      <c r="AA465">
        <v>24</v>
      </c>
      <c r="AB465" s="17">
        <f t="shared" si="255"/>
        <v>1.7777777777777777</v>
      </c>
      <c r="AC465" s="17">
        <f t="shared" si="256"/>
        <v>2.6666666666666665</v>
      </c>
      <c r="AD465" s="18">
        <f t="shared" si="257"/>
        <v>0.66666666666666663</v>
      </c>
      <c r="AE465">
        <v>35</v>
      </c>
      <c r="AF465" s="17">
        <f t="shared" si="258"/>
        <v>3.8888888888888888</v>
      </c>
      <c r="AG465">
        <v>10</v>
      </c>
      <c r="AH465" s="17">
        <f t="shared" si="259"/>
        <v>1.1111111111111112</v>
      </c>
      <c r="AI465">
        <v>25</v>
      </c>
      <c r="AJ465" s="17">
        <f t="shared" si="260"/>
        <v>2.7777777777777777</v>
      </c>
      <c r="AK465">
        <v>16</v>
      </c>
      <c r="AL465" s="17">
        <f t="shared" si="261"/>
        <v>1.7777777777777777</v>
      </c>
      <c r="AM465">
        <v>3</v>
      </c>
      <c r="AN465" s="17">
        <f t="shared" si="262"/>
        <v>0.33333333333333331</v>
      </c>
      <c r="AO465">
        <v>2</v>
      </c>
      <c r="AQ465">
        <v>12</v>
      </c>
      <c r="AR465" s="17">
        <f t="shared" si="263"/>
        <v>1.3333333333333333</v>
      </c>
      <c r="AS465">
        <v>23</v>
      </c>
      <c r="AT465" s="17">
        <f t="shared" si="264"/>
        <v>2.5555555555555554</v>
      </c>
      <c r="BD465" s="65">
        <f t="shared" si="265"/>
        <v>55.980725623582764</v>
      </c>
      <c r="BE465" s="65">
        <f t="shared" si="266"/>
        <v>52.5</v>
      </c>
      <c r="BF465" s="66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19.113846927936059</v>
      </c>
      <c r="BG465" s="38">
        <f t="shared" si="267"/>
        <v>0.5</v>
      </c>
      <c r="BH465" s="38">
        <f t="shared" si="268"/>
        <v>0.4</v>
      </c>
      <c r="BI465" s="67">
        <f>IFERROR(((AG465*(12000/5))/((F465*60+G465)*(SUMIFS(팀공격력!X:X,팀공격력!A:A,B465,팀공격력!B:B,D465)+SUMIFS(팀수비력!X:X,팀수비력!A:A,B465,팀수비력!B:B,D465))))*100,"")</f>
        <v>3.0413625304136254</v>
      </c>
      <c r="BJ465" s="67">
        <f>IFERROR(((AI465*(12000/5))/((F465*60+G465)*(SUMIFS(팀공격력!V:V,팀공격력!A:A,B465,팀공격력!B:B,D465)+SUMIFS(팀수비력!W:W,팀수비력!A:A,B465,팀수비력!B:B,D465))))*100,"")</f>
        <v>14.127619496114905</v>
      </c>
      <c r="BK465" s="67">
        <f>IFERROR(((AE465*(12000/5))/((F465*60+G465)*(SUMIFS(팀공격력!X:X,팀공격력!A:A,B465,팀공격력!B:B,D465)+SUMIFS(팀수비력!X:X,팀수비력!A:A,B465,팀수비력!B:B,D465))))*100,"")</f>
        <v>10.644768856447689</v>
      </c>
      <c r="BL465" s="67">
        <f>IFERROR(100*AK465/(((((F465*60+G465)/(12000/5))*SUMIFS(팀공격력!P:P,팀공격력!A:A,B465,팀공격력!B:B,D465))-K465)),"")</f>
        <v>11.804125295871632</v>
      </c>
      <c r="BM465" s="67">
        <f>IFERROR(100*((AM465/E465*(2400))/((F465*60+G465)*SUMIFS(팀공격력!AR:AR,팀공격력!A:A,B465,팀공격력!B:B,D465))),"")</f>
        <v>0.80760157377437036</v>
      </c>
      <c r="BN465" s="67">
        <f>IFERROR((AO465*40)/(((F465*60+G465)/60)*(SUMIFS(팀수비력!Q:Q,팀수비력!A:A,B465,팀수비력!B:B,D465)-SUMIFS(팀수비력!N:N,팀수비력!A:A,B465,팀수비력!B:B,D465)))*100,"")</f>
        <v>0.9006811401122099</v>
      </c>
      <c r="BO465" s="67">
        <f t="shared" si="269"/>
        <v>14.534883720930232</v>
      </c>
      <c r="BT465" t="s">
        <v>89</v>
      </c>
      <c r="BV465" t="s">
        <v>93</v>
      </c>
      <c r="CF465">
        <v>2</v>
      </c>
      <c r="CG465">
        <v>7</v>
      </c>
    </row>
    <row r="466" spans="1:85" x14ac:dyDescent="0.4">
      <c r="A466" s="11" t="s">
        <v>85</v>
      </c>
      <c r="B466" t="s">
        <v>224</v>
      </c>
      <c r="C466" t="s">
        <v>243</v>
      </c>
      <c r="D466" s="46" t="s">
        <v>307</v>
      </c>
      <c r="E466">
        <v>9</v>
      </c>
      <c r="F466">
        <v>30</v>
      </c>
      <c r="G466" s="1">
        <v>11</v>
      </c>
      <c r="H466" s="16">
        <f t="shared" si="244"/>
        <v>16299</v>
      </c>
      <c r="I466">
        <v>106</v>
      </c>
      <c r="J466" s="17">
        <f t="shared" si="245"/>
        <v>11.777777777777779</v>
      </c>
      <c r="K466">
        <v>38</v>
      </c>
      <c r="L466">
        <v>90</v>
      </c>
      <c r="M466" s="17">
        <f t="shared" si="246"/>
        <v>4.2222222222222223</v>
      </c>
      <c r="N466" s="17">
        <f t="shared" si="247"/>
        <v>10</v>
      </c>
      <c r="O466" s="18">
        <f t="shared" si="248"/>
        <v>0.42222222222222222</v>
      </c>
      <c r="P466">
        <v>17</v>
      </c>
      <c r="Q466">
        <v>40</v>
      </c>
      <c r="R466" s="17">
        <f t="shared" si="249"/>
        <v>1.8888888888888888</v>
      </c>
      <c r="S466" s="17">
        <f t="shared" si="250"/>
        <v>4.4444444444444446</v>
      </c>
      <c r="T466" s="18">
        <f t="shared" si="251"/>
        <v>0.42499999999999999</v>
      </c>
      <c r="U466">
        <v>21</v>
      </c>
      <c r="V466">
        <v>50</v>
      </c>
      <c r="W466" s="17">
        <f t="shared" si="252"/>
        <v>2.3333333333333335</v>
      </c>
      <c r="X466" s="17">
        <f t="shared" si="253"/>
        <v>5.5555555555555554</v>
      </c>
      <c r="Y466" s="18">
        <f t="shared" si="254"/>
        <v>0.42</v>
      </c>
      <c r="Z466">
        <v>9</v>
      </c>
      <c r="AA466">
        <v>11</v>
      </c>
      <c r="AB466" s="17">
        <f t="shared" si="255"/>
        <v>1</v>
      </c>
      <c r="AC466" s="17">
        <f t="shared" si="256"/>
        <v>1.2222222222222223</v>
      </c>
      <c r="AD466" s="18">
        <f t="shared" si="257"/>
        <v>0.81818181818181823</v>
      </c>
      <c r="AE466">
        <v>7</v>
      </c>
      <c r="AF466" s="17">
        <f t="shared" si="258"/>
        <v>0.77777777777777779</v>
      </c>
      <c r="AG466">
        <v>3</v>
      </c>
      <c r="AH466" s="17">
        <f t="shared" si="259"/>
        <v>0.33333333333333331</v>
      </c>
      <c r="AI466">
        <v>4</v>
      </c>
      <c r="AJ466" s="17">
        <f t="shared" si="260"/>
        <v>0.44444444444444442</v>
      </c>
      <c r="AK466">
        <v>45</v>
      </c>
      <c r="AL466" s="17">
        <f t="shared" si="261"/>
        <v>5</v>
      </c>
      <c r="AM466">
        <v>7</v>
      </c>
      <c r="AN466" s="17">
        <f t="shared" si="262"/>
        <v>0.77777777777777779</v>
      </c>
      <c r="AO466">
        <v>0</v>
      </c>
      <c r="AQ466">
        <v>16</v>
      </c>
      <c r="AR466" s="17">
        <f t="shared" si="263"/>
        <v>1.7777777777777777</v>
      </c>
      <c r="AS466">
        <v>14</v>
      </c>
      <c r="AT466" s="17">
        <f t="shared" si="264"/>
        <v>1.5555555555555556</v>
      </c>
      <c r="BD466" s="65">
        <f t="shared" si="265"/>
        <v>55.883593420497682</v>
      </c>
      <c r="BE466" s="65">
        <f t="shared" si="266"/>
        <v>53.888888888888886</v>
      </c>
      <c r="BF466" s="66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19.412302637284377</v>
      </c>
      <c r="BG466" s="38">
        <f t="shared" si="267"/>
        <v>0.55555555555555558</v>
      </c>
      <c r="BH466" s="38">
        <f t="shared" si="268"/>
        <v>0.12222222222222222</v>
      </c>
      <c r="BI466" s="67">
        <f>IFERROR(((AG466*(12000/5))/((F466*60+G466)*(SUMIFS(팀공격력!X:X,팀공격력!A:A,B466,팀공격력!B:B,D466)+SUMIFS(팀수비력!X:X,팀수비력!A:A,B466,팀수비력!B:B,D466))))*100,"")</f>
        <v>0.69022639425731636</v>
      </c>
      <c r="BJ466" s="67">
        <f>IFERROR(((AI466*(12000/5))/((F466*60+G466)*(SUMIFS(팀공격력!V:V,팀공격력!A:A,B466,팀공격력!B:B,D466)+SUMIFS(팀수비력!W:W,팀수비력!A:A,B466,팀수비력!B:B,D466))))*100,"")</f>
        <v>1.7099802283536099</v>
      </c>
      <c r="BK466" s="67">
        <f>IFERROR(((AE466*(12000/5))/((F466*60+G466)*(SUMIFS(팀공격력!X:X,팀공격력!A:A,B466,팀공격력!B:B,D466)+SUMIFS(팀수비력!X:X,팀수비력!A:A,B466,팀수비력!B:B,D466))))*100,"")</f>
        <v>1.6105282532670715</v>
      </c>
      <c r="BL466" s="67">
        <f>IFERROR(100*AK466/(((((F466*60+G466)/(12000/5))*SUMIFS(팀공격력!P:P,팀공격력!A:A,B466,팀공격력!B:B,D466))-K466)),"")</f>
        <v>25.634148483431556</v>
      </c>
      <c r="BM466" s="67">
        <f>IFERROR(100*((AM466/E466*(2400))/((F466*60+G466)*SUMIFS(팀공격력!AR:AR,팀공격력!A:A,B466,팀공격력!B:B,D466))),"")</f>
        <v>1.4255290065334461</v>
      </c>
      <c r="BN466" s="67">
        <f>IFERROR((AO466*40)/(((F466*60+G466)/60)*(SUMIFS(팀수비력!Q:Q,팀수비력!A:A,B466,팀수비력!B:B,D466)-SUMIFS(팀수비력!N:N,팀수비력!A:A,B466,팀수비력!B:B,D466)))*100,"")</f>
        <v>0</v>
      </c>
      <c r="BO466" s="67">
        <f t="shared" si="269"/>
        <v>14.435221941537351</v>
      </c>
      <c r="BT466" t="s">
        <v>89</v>
      </c>
      <c r="BV466" t="s">
        <v>90</v>
      </c>
      <c r="CF466">
        <v>2</v>
      </c>
      <c r="CG466">
        <v>7</v>
      </c>
    </row>
    <row r="467" spans="1:85" x14ac:dyDescent="0.4">
      <c r="A467" s="11" t="s">
        <v>85</v>
      </c>
      <c r="B467" t="s">
        <v>224</v>
      </c>
      <c r="C467" t="s">
        <v>244</v>
      </c>
      <c r="D467" s="46" t="s">
        <v>307</v>
      </c>
      <c r="E467">
        <v>1</v>
      </c>
      <c r="F467">
        <v>1</v>
      </c>
      <c r="G467" s="1">
        <v>51</v>
      </c>
      <c r="H467" s="16">
        <f t="shared" si="244"/>
        <v>111</v>
      </c>
      <c r="I467">
        <v>0</v>
      </c>
      <c r="J467" s="17">
        <f t="shared" si="245"/>
        <v>0</v>
      </c>
      <c r="K467">
        <v>0</v>
      </c>
      <c r="L467">
        <v>1</v>
      </c>
      <c r="M467" s="17">
        <f t="shared" si="246"/>
        <v>0</v>
      </c>
      <c r="N467" s="17">
        <f t="shared" si="247"/>
        <v>1</v>
      </c>
      <c r="O467" s="18">
        <f t="shared" si="248"/>
        <v>0</v>
      </c>
      <c r="P467">
        <v>0</v>
      </c>
      <c r="Q467">
        <v>0</v>
      </c>
      <c r="R467" s="17">
        <f t="shared" si="249"/>
        <v>0</v>
      </c>
      <c r="S467" s="17">
        <f t="shared" si="250"/>
        <v>0</v>
      </c>
      <c r="T467" s="18" t="e">
        <f t="shared" si="251"/>
        <v>#DIV/0!</v>
      </c>
      <c r="U467">
        <v>0</v>
      </c>
      <c r="V467">
        <v>1</v>
      </c>
      <c r="W467" s="17">
        <f t="shared" si="252"/>
        <v>0</v>
      </c>
      <c r="X467" s="17">
        <f t="shared" si="253"/>
        <v>1</v>
      </c>
      <c r="Y467" s="18">
        <f t="shared" si="254"/>
        <v>0</v>
      </c>
      <c r="Z467">
        <v>0</v>
      </c>
      <c r="AA467">
        <v>0</v>
      </c>
      <c r="AB467" s="17">
        <f t="shared" si="255"/>
        <v>0</v>
      </c>
      <c r="AC467" s="17">
        <f t="shared" si="256"/>
        <v>0</v>
      </c>
      <c r="AD467" s="18" t="e">
        <f t="shared" si="257"/>
        <v>#DIV/0!</v>
      </c>
      <c r="AE467">
        <v>0</v>
      </c>
      <c r="AF467" s="17">
        <f t="shared" si="258"/>
        <v>0</v>
      </c>
      <c r="AG467">
        <v>0</v>
      </c>
      <c r="AH467" s="17">
        <f t="shared" si="259"/>
        <v>0</v>
      </c>
      <c r="AI467">
        <v>0</v>
      </c>
      <c r="AJ467" s="17">
        <f t="shared" si="260"/>
        <v>0</v>
      </c>
      <c r="AK467">
        <v>0</v>
      </c>
      <c r="AL467" s="17">
        <f t="shared" si="261"/>
        <v>0</v>
      </c>
      <c r="AM467">
        <v>0</v>
      </c>
      <c r="AN467" s="17">
        <f t="shared" si="262"/>
        <v>0</v>
      </c>
      <c r="AO467">
        <v>0</v>
      </c>
      <c r="AQ467">
        <v>0</v>
      </c>
      <c r="AR467" s="17">
        <f t="shared" si="263"/>
        <v>0</v>
      </c>
      <c r="AS467">
        <v>0</v>
      </c>
      <c r="AT467" s="17">
        <f t="shared" si="264"/>
        <v>0</v>
      </c>
      <c r="BD467" s="65">
        <f t="shared" si="265"/>
        <v>0</v>
      </c>
      <c r="BE467" s="65">
        <f t="shared" si="266"/>
        <v>0</v>
      </c>
      <c r="BF467" s="66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2.8574326824577923</v>
      </c>
      <c r="BG467" s="38">
        <f t="shared" si="267"/>
        <v>1</v>
      </c>
      <c r="BH467" s="38">
        <f t="shared" si="268"/>
        <v>0</v>
      </c>
      <c r="BI467" s="67">
        <f>IFERROR(((AG467*(12000/5))/((F467*60+G467)*(SUMIFS(팀공격력!X:X,팀공격력!A:A,B467,팀공격력!B:B,D467)+SUMIFS(팀수비력!X:X,팀수비력!A:A,B467,팀수비력!B:B,D467))))*100,"")</f>
        <v>0</v>
      </c>
      <c r="BJ467" s="67">
        <f>IFERROR(((AI467*(12000/5))/((F467*60+G467)*(SUMIFS(팀공격력!V:V,팀공격력!A:A,B467,팀공격력!B:B,D467)+SUMIFS(팀수비력!W:W,팀수비력!A:A,B467,팀수비력!B:B,D467))))*100,"")</f>
        <v>0</v>
      </c>
      <c r="BK467" s="67">
        <f>IFERROR(((AE467*(12000/5))/((F467*60+G467)*(SUMIFS(팀공격력!X:X,팀공격력!A:A,B467,팀공격력!B:B,D467)+SUMIFS(팀수비력!X:X,팀수비력!A:A,B467,팀수비력!B:B,D467))))*100,"")</f>
        <v>0</v>
      </c>
      <c r="BL467" s="67">
        <f>IFERROR(100*AK467/(((((F467*60+G467)/(12000/5))*SUMIFS(팀공격력!P:P,팀공격력!A:A,B467,팀공격력!B:B,D467))-K467)),"")</f>
        <v>0</v>
      </c>
      <c r="BM467" s="67">
        <f>IFERROR(100*((AM467/E467*(2400))/((F467*60+G467)*SUMIFS(팀공격력!AR:AR,팀공격력!A:A,B467,팀공격력!B:B,D467))),"")</f>
        <v>0</v>
      </c>
      <c r="BN467" s="67">
        <f>IFERROR((AO467*40)/(((F467*60+G467)/60)*(SUMIFS(팀수비력!Q:Q,팀수비력!A:A,B467,팀수비력!B:B,D467)-SUMIFS(팀수비력!N:N,팀수비력!A:A,B467,팀수비력!B:B,D467)))*100,"")</f>
        <v>0</v>
      </c>
      <c r="BO467" s="67">
        <f t="shared" si="269"/>
        <v>0</v>
      </c>
      <c r="BT467" t="s">
        <v>89</v>
      </c>
      <c r="BV467" t="s">
        <v>93</v>
      </c>
      <c r="CF467">
        <v>0</v>
      </c>
      <c r="CG467">
        <v>1</v>
      </c>
    </row>
    <row r="468" spans="1:85" x14ac:dyDescent="0.4">
      <c r="A468" s="11" t="s">
        <v>85</v>
      </c>
      <c r="B468" t="s">
        <v>245</v>
      </c>
      <c r="C468" t="s">
        <v>246</v>
      </c>
      <c r="D468" s="46" t="s">
        <v>307</v>
      </c>
      <c r="E468">
        <v>9</v>
      </c>
      <c r="F468">
        <v>23</v>
      </c>
      <c r="G468" s="1">
        <v>7</v>
      </c>
      <c r="H468" s="16">
        <f t="shared" si="244"/>
        <v>12483</v>
      </c>
      <c r="I468">
        <v>168</v>
      </c>
      <c r="J468" s="17">
        <f t="shared" si="245"/>
        <v>18.666666666666668</v>
      </c>
      <c r="K468">
        <v>63</v>
      </c>
      <c r="L468">
        <v>128</v>
      </c>
      <c r="M468" s="17">
        <f t="shared" si="246"/>
        <v>7</v>
      </c>
      <c r="N468" s="17">
        <f t="shared" si="247"/>
        <v>14.222222222222221</v>
      </c>
      <c r="O468" s="18">
        <f t="shared" si="248"/>
        <v>0.4921875</v>
      </c>
      <c r="P468">
        <v>60</v>
      </c>
      <c r="Q468">
        <v>119</v>
      </c>
      <c r="R468" s="17">
        <f t="shared" si="249"/>
        <v>6.666666666666667</v>
      </c>
      <c r="S468" s="17">
        <f t="shared" si="250"/>
        <v>13.222222222222221</v>
      </c>
      <c r="T468" s="18">
        <f t="shared" si="251"/>
        <v>0.50420168067226889</v>
      </c>
      <c r="U468">
        <v>3</v>
      </c>
      <c r="V468">
        <v>9</v>
      </c>
      <c r="W468" s="17">
        <f t="shared" si="252"/>
        <v>0.33333333333333331</v>
      </c>
      <c r="X468" s="17">
        <f t="shared" si="253"/>
        <v>1</v>
      </c>
      <c r="Y468" s="18">
        <f t="shared" si="254"/>
        <v>0.33333333333333331</v>
      </c>
      <c r="Z468">
        <v>39</v>
      </c>
      <c r="AA468">
        <v>45</v>
      </c>
      <c r="AB468" s="17">
        <f t="shared" si="255"/>
        <v>4.333333333333333</v>
      </c>
      <c r="AC468" s="17">
        <f t="shared" si="256"/>
        <v>5</v>
      </c>
      <c r="AD468" s="18">
        <f t="shared" si="257"/>
        <v>0.8666666666666667</v>
      </c>
      <c r="AE468">
        <v>62</v>
      </c>
      <c r="AF468" s="17">
        <f t="shared" si="258"/>
        <v>6.8888888888888893</v>
      </c>
      <c r="AG468">
        <v>24</v>
      </c>
      <c r="AH468" s="17">
        <f t="shared" si="259"/>
        <v>2.6666666666666665</v>
      </c>
      <c r="AI468">
        <v>38</v>
      </c>
      <c r="AJ468" s="17">
        <f t="shared" si="260"/>
        <v>4.2222222222222223</v>
      </c>
      <c r="AK468">
        <v>16</v>
      </c>
      <c r="AL468" s="17">
        <f t="shared" si="261"/>
        <v>1.7777777777777777</v>
      </c>
      <c r="AM468">
        <v>11</v>
      </c>
      <c r="AN468" s="17">
        <f t="shared" si="262"/>
        <v>1.2222222222222223</v>
      </c>
      <c r="AO468">
        <v>6</v>
      </c>
      <c r="AQ468">
        <v>14</v>
      </c>
      <c r="AR468" s="17">
        <f t="shared" si="263"/>
        <v>1.5555555555555556</v>
      </c>
      <c r="AS468">
        <v>12</v>
      </c>
      <c r="AT468" s="17">
        <f t="shared" si="264"/>
        <v>1.3333333333333333</v>
      </c>
      <c r="BD468" s="65">
        <f t="shared" si="265"/>
        <v>56.833558863328818</v>
      </c>
      <c r="BE468" s="65">
        <f t="shared" si="266"/>
        <v>50.390625</v>
      </c>
      <c r="BF468" s="66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35.982310402356951</v>
      </c>
      <c r="BG468" s="38">
        <f t="shared" si="267"/>
        <v>7.03125E-2</v>
      </c>
      <c r="BH468" s="38">
        <f t="shared" si="268"/>
        <v>0.3515625</v>
      </c>
      <c r="BI468" s="67">
        <f>IFERROR(((AG468*(12000/5))/((F468*60+G468)*(SUMIFS(팀공격력!X:X,팀공격력!A:A,B468,팀공격력!B:B,D468)+SUMIFS(팀수비력!X:X,팀수비력!A:A,B468,팀수비력!B:B,D468))))*100,"")</f>
        <v>6.3113189560903127</v>
      </c>
      <c r="BJ468" s="67">
        <f>IFERROR(((AI468*(12000/5))/((F468*60+G468)*(SUMIFS(팀공격력!V:V,팀공격력!A:A,B468,팀공격력!B:B,D468)+SUMIFS(팀수비력!W:W,팀수비력!A:A,B468,팀수비력!B:B,D468))))*100,"")</f>
        <v>21.142580275734485</v>
      </c>
      <c r="BK468" s="67">
        <f>IFERROR(((AE468*(12000/5))/((F468*60+G468)*(SUMIFS(팀공격력!X:X,팀공격력!A:A,B468,팀공격력!B:B,D468)+SUMIFS(팀수비력!X:X,팀수비력!A:A,B468,팀수비력!B:B,D468))))*100,"")</f>
        <v>16.304240636566643</v>
      </c>
      <c r="BL468" s="67">
        <f>IFERROR(100*AK468/(((((F468*60+G468)/(12000/5))*SUMIFS(팀공격력!P:P,팀공격력!A:A,B468,팀공격력!B:B,D468))-K468)),"")</f>
        <v>15.731579917655013</v>
      </c>
      <c r="BM468" s="67">
        <f>IFERROR(100*((AM468/E468*(2400))/((F468*60+G468)*SUMIFS(팀공격력!AR:AR,팀공격력!A:A,B468,팀공격력!B:B,D468))),"")</f>
        <v>2.8920948851745445</v>
      </c>
      <c r="BN468" s="67">
        <f>IFERROR((AO468*40)/(((F468*60+G468)/60)*(SUMIFS(팀수비력!Q:Q,팀수비력!A:A,B468,팀수비력!B:B,D468)-SUMIFS(팀수비력!N:N,팀수비력!A:A,B468,팀수비력!B:B,D468)))*100,"")</f>
        <v>2.4200745181278704</v>
      </c>
      <c r="BO468" s="67">
        <f t="shared" si="269"/>
        <v>8.652657601977749</v>
      </c>
      <c r="BT468" t="s">
        <v>96</v>
      </c>
      <c r="BV468" t="s">
        <v>102</v>
      </c>
      <c r="CF468">
        <v>4</v>
      </c>
      <c r="CG468">
        <v>5</v>
      </c>
    </row>
    <row r="469" spans="1:85" x14ac:dyDescent="0.4">
      <c r="A469" s="11" t="s">
        <v>85</v>
      </c>
      <c r="B469" t="s">
        <v>245</v>
      </c>
      <c r="C469" t="s">
        <v>247</v>
      </c>
      <c r="D469" s="46" t="s">
        <v>307</v>
      </c>
      <c r="E469">
        <v>9</v>
      </c>
      <c r="F469">
        <v>23</v>
      </c>
      <c r="G469" s="1">
        <v>10</v>
      </c>
      <c r="H469" s="16">
        <f t="shared" si="244"/>
        <v>12510</v>
      </c>
      <c r="I469">
        <v>64</v>
      </c>
      <c r="J469" s="17">
        <f t="shared" si="245"/>
        <v>7.1111111111111107</v>
      </c>
      <c r="K469">
        <v>22</v>
      </c>
      <c r="L469">
        <v>55</v>
      </c>
      <c r="M469" s="17">
        <f t="shared" si="246"/>
        <v>2.4444444444444446</v>
      </c>
      <c r="N469" s="17">
        <f t="shared" si="247"/>
        <v>6.1111111111111107</v>
      </c>
      <c r="O469" s="18">
        <f t="shared" si="248"/>
        <v>0.4</v>
      </c>
      <c r="P469">
        <v>9</v>
      </c>
      <c r="Q469">
        <v>23</v>
      </c>
      <c r="R469" s="17">
        <f t="shared" si="249"/>
        <v>1</v>
      </c>
      <c r="S469" s="17">
        <f t="shared" si="250"/>
        <v>2.5555555555555554</v>
      </c>
      <c r="T469" s="18">
        <f t="shared" si="251"/>
        <v>0.39130434782608697</v>
      </c>
      <c r="U469">
        <v>13</v>
      </c>
      <c r="V469">
        <v>32</v>
      </c>
      <c r="W469" s="17">
        <f t="shared" si="252"/>
        <v>1.4444444444444444</v>
      </c>
      <c r="X469" s="17">
        <f t="shared" si="253"/>
        <v>3.5555555555555554</v>
      </c>
      <c r="Y469" s="18">
        <f t="shared" si="254"/>
        <v>0.40625</v>
      </c>
      <c r="Z469">
        <v>7</v>
      </c>
      <c r="AA469">
        <v>10</v>
      </c>
      <c r="AB469" s="17">
        <f t="shared" si="255"/>
        <v>0.77777777777777779</v>
      </c>
      <c r="AC469" s="17">
        <f t="shared" si="256"/>
        <v>1.1111111111111112</v>
      </c>
      <c r="AD469" s="18">
        <f t="shared" si="257"/>
        <v>0.7</v>
      </c>
      <c r="AE469">
        <v>30</v>
      </c>
      <c r="AF469" s="17">
        <f t="shared" si="258"/>
        <v>3.3333333333333335</v>
      </c>
      <c r="AG469">
        <v>9</v>
      </c>
      <c r="AH469" s="17">
        <f t="shared" si="259"/>
        <v>1</v>
      </c>
      <c r="AI469">
        <v>21</v>
      </c>
      <c r="AJ469" s="17">
        <f t="shared" si="260"/>
        <v>2.3333333333333335</v>
      </c>
      <c r="AK469">
        <v>12</v>
      </c>
      <c r="AL469" s="17">
        <f t="shared" si="261"/>
        <v>1.3333333333333333</v>
      </c>
      <c r="AM469">
        <v>9</v>
      </c>
      <c r="AN469" s="17">
        <f t="shared" si="262"/>
        <v>1</v>
      </c>
      <c r="AO469">
        <v>0</v>
      </c>
      <c r="AQ469">
        <v>11</v>
      </c>
      <c r="AR469" s="17">
        <f t="shared" si="263"/>
        <v>1.2222222222222223</v>
      </c>
      <c r="AS469">
        <v>23</v>
      </c>
      <c r="AT469" s="17">
        <f t="shared" si="264"/>
        <v>2.5555555555555554</v>
      </c>
      <c r="BD469" s="65">
        <f t="shared" si="265"/>
        <v>53.872053872053868</v>
      </c>
      <c r="BE469" s="65">
        <f t="shared" si="266"/>
        <v>51.81818181818182</v>
      </c>
      <c r="BF469" s="66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15.622295501045185</v>
      </c>
      <c r="BG469" s="38">
        <f t="shared" si="267"/>
        <v>0.58181818181818179</v>
      </c>
      <c r="BH469" s="38">
        <f t="shared" si="268"/>
        <v>0.18181818181818182</v>
      </c>
      <c r="BI469" s="67">
        <f>IFERROR(((AG469*(12000/5))/((F469*60+G469)*(SUMIFS(팀공격력!X:X,팀공격력!A:A,B469,팀공격력!B:B,D469)+SUMIFS(팀수비력!X:X,팀수비력!A:A,B469,팀수비력!B:B,D469))))*100,"")</f>
        <v>2.3616365266449453</v>
      </c>
      <c r="BJ469" s="67">
        <f>IFERROR(((AI469*(12000/5))/((F469*60+G469)*(SUMIFS(팀공격력!V:V,팀공격력!A:A,B469,팀공격력!B:B,D469)+SUMIFS(팀수비력!W:W,팀수비력!A:A,B469,팀수비력!B:B,D469))))*100,"")</f>
        <v>11.658840130467974</v>
      </c>
      <c r="BK469" s="67">
        <f>IFERROR(((AE469*(12000/5))/((F469*60+G469)*(SUMIFS(팀공격력!X:X,팀공격력!A:A,B469,팀공격력!B:B,D469)+SUMIFS(팀수비력!X:X,팀수비력!A:A,B469,팀수비력!B:B,D469))))*100,"")</f>
        <v>7.8721217554831506</v>
      </c>
      <c r="BL469" s="67">
        <f>IFERROR(100*AK469/(((((F469*60+G469)/(12000/5))*SUMIFS(팀공격력!P:P,팀공격력!A:A,B469,팀공격력!B:B,D469))-K469)),"")</f>
        <v>8.3879423328964595</v>
      </c>
      <c r="BM469" s="67">
        <f>IFERROR(100*((AM469/E469*(2400))/((F469*60+G469)*SUMIFS(팀공격력!AR:AR,팀공격력!A:A,B469,팀공격력!B:B,D469))),"")</f>
        <v>2.3611524167190217</v>
      </c>
      <c r="BN469" s="67">
        <f>IFERROR((AO469*40)/(((F469*60+G469)/60)*(SUMIFS(팀수비력!Q:Q,팀수비력!A:A,B469,팀수비력!B:B,D469)-SUMIFS(팀수비력!N:N,팀수비력!A:A,B469,팀수비력!B:B,D469)))*100,"")</f>
        <v>0</v>
      </c>
      <c r="BO469" s="67">
        <f t="shared" si="269"/>
        <v>15.624999999999998</v>
      </c>
      <c r="BT469" t="s">
        <v>89</v>
      </c>
      <c r="BV469" t="s">
        <v>93</v>
      </c>
      <c r="CF469">
        <v>4</v>
      </c>
      <c r="CG469">
        <v>5</v>
      </c>
    </row>
    <row r="470" spans="1:85" x14ac:dyDescent="0.4">
      <c r="A470" s="11" t="s">
        <v>85</v>
      </c>
      <c r="B470" t="s">
        <v>245</v>
      </c>
      <c r="C470" t="s">
        <v>248</v>
      </c>
      <c r="D470" s="46" t="s">
        <v>307</v>
      </c>
      <c r="E470">
        <v>2</v>
      </c>
      <c r="F470">
        <v>16</v>
      </c>
      <c r="G470" s="1">
        <v>6</v>
      </c>
      <c r="H470" s="16">
        <f t="shared" si="244"/>
        <v>1932</v>
      </c>
      <c r="I470">
        <v>0</v>
      </c>
      <c r="J470" s="17">
        <f t="shared" si="245"/>
        <v>0</v>
      </c>
      <c r="K470">
        <v>0</v>
      </c>
      <c r="L470">
        <v>3</v>
      </c>
      <c r="M470" s="17">
        <f t="shared" si="246"/>
        <v>0</v>
      </c>
      <c r="N470" s="17">
        <f t="shared" si="247"/>
        <v>1.5</v>
      </c>
      <c r="O470" s="18">
        <f t="shared" si="248"/>
        <v>0</v>
      </c>
      <c r="P470">
        <v>0</v>
      </c>
      <c r="Q470">
        <v>3</v>
      </c>
      <c r="R470" s="17">
        <f t="shared" si="249"/>
        <v>0</v>
      </c>
      <c r="S470" s="17">
        <f t="shared" si="250"/>
        <v>1.5</v>
      </c>
      <c r="T470" s="18">
        <f t="shared" si="251"/>
        <v>0</v>
      </c>
      <c r="U470">
        <v>0</v>
      </c>
      <c r="V470">
        <v>0</v>
      </c>
      <c r="W470" s="17">
        <f t="shared" si="252"/>
        <v>0</v>
      </c>
      <c r="X470" s="17">
        <f t="shared" si="253"/>
        <v>0</v>
      </c>
      <c r="Y470" s="18" t="e">
        <f t="shared" si="254"/>
        <v>#DIV/0!</v>
      </c>
      <c r="Z470">
        <v>0</v>
      </c>
      <c r="AA470">
        <v>0</v>
      </c>
      <c r="AB470" s="17">
        <f t="shared" si="255"/>
        <v>0</v>
      </c>
      <c r="AC470" s="17">
        <f t="shared" si="256"/>
        <v>0</v>
      </c>
      <c r="AD470" s="18" t="e">
        <f t="shared" si="257"/>
        <v>#DIV/0!</v>
      </c>
      <c r="AE470">
        <v>8</v>
      </c>
      <c r="AF470" s="17">
        <f t="shared" si="258"/>
        <v>4</v>
      </c>
      <c r="AG470">
        <v>2</v>
      </c>
      <c r="AH470" s="17">
        <f t="shared" si="259"/>
        <v>1</v>
      </c>
      <c r="AI470">
        <v>6</v>
      </c>
      <c r="AJ470" s="17">
        <f t="shared" si="260"/>
        <v>3</v>
      </c>
      <c r="AK470">
        <v>2</v>
      </c>
      <c r="AL470" s="17">
        <f t="shared" si="261"/>
        <v>1</v>
      </c>
      <c r="AM470">
        <v>0</v>
      </c>
      <c r="AN470" s="17">
        <f t="shared" si="262"/>
        <v>0</v>
      </c>
      <c r="AO470">
        <v>0</v>
      </c>
      <c r="AQ470">
        <v>3</v>
      </c>
      <c r="AR470" s="17">
        <f t="shared" si="263"/>
        <v>1.5</v>
      </c>
      <c r="AS470">
        <v>3</v>
      </c>
      <c r="AT470" s="17">
        <f t="shared" si="264"/>
        <v>1.5</v>
      </c>
      <c r="BD470" s="65">
        <f t="shared" si="265"/>
        <v>0</v>
      </c>
      <c r="BE470" s="65">
        <f t="shared" si="266"/>
        <v>0</v>
      </c>
      <c r="BF470" s="66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1.9158482801429988</v>
      </c>
      <c r="BG470" s="38">
        <f t="shared" si="267"/>
        <v>0</v>
      </c>
      <c r="BH470" s="38">
        <f t="shared" si="268"/>
        <v>0</v>
      </c>
      <c r="BI470" s="67">
        <f>IFERROR(((AG470*(12000/5))/((F470*60+G470)*(SUMIFS(팀공격력!X:X,팀공격력!A:A,B470,팀공격력!B:B,D470)+SUMIFS(팀수비력!X:X,팀수비력!A:A,B470,팀수비력!B:B,D470))))*100,"")</f>
        <v>0.75515867771715539</v>
      </c>
      <c r="BJ470" s="67">
        <f>IFERROR(((AI470*(12000/5))/((F470*60+G470)*(SUMIFS(팀공격력!V:V,팀공격력!A:A,B470,팀공격력!B:B,D470)+SUMIFS(팀수비력!W:W,팀수비력!A:A,B470,팀수비력!B:B,D470))))*100,"")</f>
        <v>4.7931936649957061</v>
      </c>
      <c r="BK470" s="67">
        <f>IFERROR(((AE470*(12000/5))/((F470*60+G470)*(SUMIFS(팀공격력!X:X,팀공격력!A:A,B470,팀공격력!B:B,D470)+SUMIFS(팀수비력!X:X,팀수비력!A:A,B470,팀수비력!B:B,D470))))*100,"")</f>
        <v>3.0206347108686216</v>
      </c>
      <c r="BL470" s="67">
        <f>IFERROR(100*AK470/(((((F470*60+G470)/(12000/5))*SUMIFS(팀공격력!P:P,팀공격력!A:A,B470,팀공격력!B:B,D470))-K470)),"")</f>
        <v>1.7434891576768006</v>
      </c>
      <c r="BM470" s="67">
        <f>IFERROR(100*((AM470/E470*(2400))/((F470*60+G470)*SUMIFS(팀공격력!AR:AR,팀공격력!A:A,B470,팀공격력!B:B,D470))),"")</f>
        <v>0</v>
      </c>
      <c r="BN470" s="67">
        <f>IFERROR((AO470*40)/(((F470*60+G470)/60)*(SUMIFS(팀수비력!Q:Q,팀수비력!A:A,B470,팀수비력!B:B,D470)-SUMIFS(팀수비력!N:N,팀수비력!A:A,B470,팀수비력!B:B,D470)))*100,"")</f>
        <v>0</v>
      </c>
      <c r="BO470" s="67">
        <f t="shared" si="269"/>
        <v>50</v>
      </c>
      <c r="BT470" t="s">
        <v>89</v>
      </c>
      <c r="BV470" t="s">
        <v>102</v>
      </c>
      <c r="CF470">
        <v>1</v>
      </c>
      <c r="CG470">
        <v>1</v>
      </c>
    </row>
    <row r="471" spans="1:85" x14ac:dyDescent="0.4">
      <c r="A471" s="11" t="s">
        <v>85</v>
      </c>
      <c r="B471" t="s">
        <v>245</v>
      </c>
      <c r="C471" t="s">
        <v>249</v>
      </c>
      <c r="D471" s="46" t="s">
        <v>307</v>
      </c>
      <c r="E471">
        <v>9</v>
      </c>
      <c r="F471">
        <v>28</v>
      </c>
      <c r="G471" s="1">
        <v>17</v>
      </c>
      <c r="H471" s="16">
        <f t="shared" si="244"/>
        <v>15273</v>
      </c>
      <c r="I471">
        <v>63</v>
      </c>
      <c r="J471" s="17">
        <f t="shared" si="245"/>
        <v>7</v>
      </c>
      <c r="K471">
        <v>25</v>
      </c>
      <c r="L471">
        <v>56</v>
      </c>
      <c r="M471" s="17">
        <f t="shared" si="246"/>
        <v>2.7777777777777777</v>
      </c>
      <c r="N471" s="17">
        <f t="shared" si="247"/>
        <v>6.2222222222222223</v>
      </c>
      <c r="O471" s="18">
        <f t="shared" si="248"/>
        <v>0.44642857142857145</v>
      </c>
      <c r="P471">
        <v>15</v>
      </c>
      <c r="Q471">
        <v>25</v>
      </c>
      <c r="R471" s="17">
        <f t="shared" si="249"/>
        <v>1.6666666666666667</v>
      </c>
      <c r="S471" s="17">
        <f t="shared" si="250"/>
        <v>2.7777777777777777</v>
      </c>
      <c r="T471" s="18">
        <f t="shared" si="251"/>
        <v>0.6</v>
      </c>
      <c r="U471">
        <v>10</v>
      </c>
      <c r="V471">
        <v>31</v>
      </c>
      <c r="W471" s="17">
        <f t="shared" si="252"/>
        <v>1.1111111111111112</v>
      </c>
      <c r="X471" s="17">
        <f t="shared" si="253"/>
        <v>3.4444444444444446</v>
      </c>
      <c r="Y471" s="18">
        <f t="shared" si="254"/>
        <v>0.32258064516129031</v>
      </c>
      <c r="Z471">
        <v>3</v>
      </c>
      <c r="AA471">
        <v>4</v>
      </c>
      <c r="AB471" s="17">
        <f t="shared" si="255"/>
        <v>0.33333333333333331</v>
      </c>
      <c r="AC471" s="17">
        <f t="shared" si="256"/>
        <v>0.44444444444444442</v>
      </c>
      <c r="AD471" s="18">
        <f t="shared" si="257"/>
        <v>0.75</v>
      </c>
      <c r="AE471">
        <v>22</v>
      </c>
      <c r="AF471" s="17">
        <f t="shared" si="258"/>
        <v>2.4444444444444446</v>
      </c>
      <c r="AG471">
        <v>5</v>
      </c>
      <c r="AH471" s="17">
        <f t="shared" si="259"/>
        <v>0.55555555555555558</v>
      </c>
      <c r="AI471">
        <v>17</v>
      </c>
      <c r="AJ471" s="17">
        <f t="shared" si="260"/>
        <v>1.8888888888888888</v>
      </c>
      <c r="AK471">
        <v>36</v>
      </c>
      <c r="AL471" s="17">
        <f t="shared" si="261"/>
        <v>4</v>
      </c>
      <c r="AM471">
        <v>3</v>
      </c>
      <c r="AN471" s="17">
        <f t="shared" si="262"/>
        <v>0.33333333333333331</v>
      </c>
      <c r="AO471">
        <v>0</v>
      </c>
      <c r="AQ471">
        <v>11</v>
      </c>
      <c r="AR471" s="17">
        <f t="shared" si="263"/>
        <v>1.2222222222222223</v>
      </c>
      <c r="AS471">
        <v>19</v>
      </c>
      <c r="AT471" s="17">
        <f t="shared" si="264"/>
        <v>2.1111111111111112</v>
      </c>
      <c r="BD471" s="65">
        <f t="shared" si="265"/>
        <v>54.536011080332415</v>
      </c>
      <c r="BE471" s="65">
        <f t="shared" si="266"/>
        <v>53.571428571428569</v>
      </c>
      <c r="BF471" s="66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12.498014240756538</v>
      </c>
      <c r="BG471" s="38">
        <f t="shared" si="267"/>
        <v>0.5535714285714286</v>
      </c>
      <c r="BH471" s="38">
        <f t="shared" si="268"/>
        <v>7.1428571428571425E-2</v>
      </c>
      <c r="BI471" s="67">
        <f>IFERROR(((AG471*(12000/5))/((F471*60+G471)*(SUMIFS(팀공격력!X:X,팀공격력!A:A,B471,팀공격력!B:B,D471)+SUMIFS(팀수비력!X:X,팀수비력!A:A,B471,팀수비력!B:B,D471))))*100,"")</f>
        <v>1.0746660027618915</v>
      </c>
      <c r="BJ471" s="67">
        <f>IFERROR(((AI471*(12000/5))/((F471*60+G471)*(SUMIFS(팀공격력!V:V,팀공격력!A:A,B471,팀공격력!B:B,D471)+SUMIFS(팀수비력!W:W,팀수비력!A:A,B471,팀수비력!B:B,D471))))*100,"")</f>
        <v>7.7306841844980836</v>
      </c>
      <c r="BK471" s="67">
        <f>IFERROR(((AE471*(12000/5))/((F471*60+G471)*(SUMIFS(팀공격력!X:X,팀공격력!A:A,B471,팀공격력!B:B,D471)+SUMIFS(팀수비력!X:X,팀수비력!A:A,B471,팀수비력!B:B,D471))))*100,"")</f>
        <v>4.7285304121523231</v>
      </c>
      <c r="BL471" s="67">
        <f>IFERROR(100*AK471/(((((F471*60+G471)/(12000/5))*SUMIFS(팀공격력!P:P,팀공격력!A:A,B471,팀공격력!B:B,D471))-K471)),"")</f>
        <v>20.394434019048969</v>
      </c>
      <c r="BM471" s="67">
        <f>IFERROR(100*((AM471/E471*(2400))/((F471*60+G471)*SUMIFS(팀공격력!AR:AR,팀공격력!A:A,B471,팀공격력!B:B,D471))),"")</f>
        <v>0.64466742471802008</v>
      </c>
      <c r="BN471" s="67">
        <f>IFERROR((AO471*40)/(((F471*60+G471)/60)*(SUMIFS(팀수비력!Q:Q,팀수비력!A:A,B471,팀수비력!B:B,D471)-SUMIFS(팀수비력!N:N,팀수비력!A:A,B471,팀수비력!B:B,D471)))*100,"")</f>
        <v>0</v>
      </c>
      <c r="BO471" s="67">
        <f t="shared" si="269"/>
        <v>15.997673065735896</v>
      </c>
      <c r="BT471" t="s">
        <v>89</v>
      </c>
      <c r="BV471" t="s">
        <v>90</v>
      </c>
      <c r="CF471">
        <v>4</v>
      </c>
      <c r="CG471">
        <v>5</v>
      </c>
    </row>
    <row r="472" spans="1:85" x14ac:dyDescent="0.4">
      <c r="A472" s="11" t="s">
        <v>85</v>
      </c>
      <c r="B472" t="s">
        <v>245</v>
      </c>
      <c r="C472" t="s">
        <v>250</v>
      </c>
      <c r="D472" s="46" t="s">
        <v>307</v>
      </c>
      <c r="E472">
        <v>9</v>
      </c>
      <c r="F472">
        <v>16</v>
      </c>
      <c r="G472" s="1">
        <v>5</v>
      </c>
      <c r="H472" s="16">
        <f t="shared" si="244"/>
        <v>8685</v>
      </c>
      <c r="I472">
        <v>26</v>
      </c>
      <c r="J472" s="17">
        <f t="shared" si="245"/>
        <v>2.8888888888888888</v>
      </c>
      <c r="K472">
        <v>10</v>
      </c>
      <c r="L472">
        <v>24</v>
      </c>
      <c r="M472" s="17">
        <f t="shared" si="246"/>
        <v>1.1111111111111112</v>
      </c>
      <c r="N472" s="17">
        <f t="shared" si="247"/>
        <v>2.6666666666666665</v>
      </c>
      <c r="O472" s="18">
        <f t="shared" si="248"/>
        <v>0.41666666666666669</v>
      </c>
      <c r="P472">
        <v>6</v>
      </c>
      <c r="Q472">
        <v>16</v>
      </c>
      <c r="R472" s="17">
        <f t="shared" si="249"/>
        <v>0.66666666666666663</v>
      </c>
      <c r="S472" s="17">
        <f t="shared" si="250"/>
        <v>1.7777777777777777</v>
      </c>
      <c r="T472" s="18">
        <f t="shared" si="251"/>
        <v>0.375</v>
      </c>
      <c r="U472">
        <v>4</v>
      </c>
      <c r="V472">
        <v>8</v>
      </c>
      <c r="W472" s="17">
        <f t="shared" si="252"/>
        <v>0.44444444444444442</v>
      </c>
      <c r="X472" s="17">
        <f t="shared" si="253"/>
        <v>0.88888888888888884</v>
      </c>
      <c r="Y472" s="18">
        <f t="shared" si="254"/>
        <v>0.5</v>
      </c>
      <c r="Z472">
        <v>2</v>
      </c>
      <c r="AA472">
        <v>3</v>
      </c>
      <c r="AB472" s="17">
        <f t="shared" si="255"/>
        <v>0.22222222222222221</v>
      </c>
      <c r="AC472" s="17">
        <f t="shared" si="256"/>
        <v>0.33333333333333331</v>
      </c>
      <c r="AD472" s="18">
        <f t="shared" si="257"/>
        <v>0.66666666666666663</v>
      </c>
      <c r="AE472">
        <v>12</v>
      </c>
      <c r="AF472" s="17">
        <f t="shared" si="258"/>
        <v>1.3333333333333333</v>
      </c>
      <c r="AG472">
        <v>4</v>
      </c>
      <c r="AH472" s="17">
        <f t="shared" si="259"/>
        <v>0.44444444444444442</v>
      </c>
      <c r="AI472">
        <v>8</v>
      </c>
      <c r="AJ472" s="17">
        <f t="shared" si="260"/>
        <v>0.88888888888888884</v>
      </c>
      <c r="AK472">
        <v>11</v>
      </c>
      <c r="AL472" s="17">
        <f t="shared" si="261"/>
        <v>1.2222222222222223</v>
      </c>
      <c r="AM472">
        <v>5</v>
      </c>
      <c r="AN472" s="17">
        <f t="shared" si="262"/>
        <v>0.55555555555555558</v>
      </c>
      <c r="AO472">
        <v>0</v>
      </c>
      <c r="AQ472">
        <v>15</v>
      </c>
      <c r="AR472" s="17">
        <f t="shared" si="263"/>
        <v>1.6666666666666667</v>
      </c>
      <c r="AS472">
        <v>15</v>
      </c>
      <c r="AT472" s="17">
        <f t="shared" si="264"/>
        <v>1.6666666666666667</v>
      </c>
      <c r="BD472" s="65">
        <f t="shared" si="265"/>
        <v>51.342812006319114</v>
      </c>
      <c r="BE472" s="65">
        <f t="shared" si="266"/>
        <v>50</v>
      </c>
      <c r="BF472" s="66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12.887841893796766</v>
      </c>
      <c r="BG472" s="38">
        <f t="shared" si="267"/>
        <v>0.33333333333333331</v>
      </c>
      <c r="BH472" s="38">
        <f t="shared" si="268"/>
        <v>0.125</v>
      </c>
      <c r="BI472" s="67">
        <f>IFERROR(((AG472*(12000/5))/((F472*60+G472)*(SUMIFS(팀공격력!X:X,팀공격력!A:A,B472,팀공격력!B:B,D472)+SUMIFS(팀수비력!X:X,팀수비력!A:A,B472,팀수비력!B:B,D472))))*100,"")</f>
        <v>1.511882451139424</v>
      </c>
      <c r="BJ472" s="67">
        <f>IFERROR(((AI472*(12000/5))/((F472*60+G472)*(SUMIFS(팀공격력!V:V,팀공격력!A:A,B472,팀공격력!B:B,D472)+SUMIFS(팀수비력!W:W,팀수비력!A:A,B472,팀수비력!B:B,D472))))*100,"")</f>
        <v>6.397547606750746</v>
      </c>
      <c r="BK472" s="67">
        <f>IFERROR(((AE472*(12000/5))/((F472*60+G472)*(SUMIFS(팀공격력!X:X,팀공격력!A:A,B472,팀공격력!B:B,D472)+SUMIFS(팀수비력!X:X,팀수비력!A:A,B472,팀수비력!B:B,D472))))*100,"")</f>
        <v>4.5356473534182724</v>
      </c>
      <c r="BL472" s="67">
        <f>IFERROR(100*AK472/(((((F472*60+G472)/(12000/5))*SUMIFS(팀공격력!P:P,팀공격력!A:A,B472,팀공격력!B:B,D472))-K472)),"")</f>
        <v>10.516880788766059</v>
      </c>
      <c r="BM472" s="67">
        <f>IFERROR(100*((AM472/E472*(2400))/((F472*60+G472)*SUMIFS(팀공격력!AR:AR,팀공격력!A:A,B472,팀공격력!B:B,D472))),"")</f>
        <v>1.8894656645016932</v>
      </c>
      <c r="BN472" s="67">
        <f>IFERROR((AO472*40)/(((F472*60+G472)/60)*(SUMIFS(팀수비력!Q:Q,팀수비력!A:A,B472,팀수비력!B:B,D472)-SUMIFS(팀수비력!N:N,팀수비력!A:A,B472,팀수비력!B:B,D472)))*100,"")</f>
        <v>0</v>
      </c>
      <c r="BO472" s="67">
        <f t="shared" si="269"/>
        <v>37.202380952380949</v>
      </c>
      <c r="BT472" t="s">
        <v>89</v>
      </c>
      <c r="BV472" t="s">
        <v>90</v>
      </c>
      <c r="CF472">
        <v>4</v>
      </c>
      <c r="CG472">
        <v>5</v>
      </c>
    </row>
    <row r="473" spans="1:85" x14ac:dyDescent="0.4">
      <c r="A473" s="11" t="s">
        <v>85</v>
      </c>
      <c r="B473" t="s">
        <v>245</v>
      </c>
      <c r="C473" t="s">
        <v>251</v>
      </c>
      <c r="D473" s="46" t="s">
        <v>307</v>
      </c>
      <c r="E473">
        <v>4</v>
      </c>
      <c r="F473">
        <v>4</v>
      </c>
      <c r="G473" s="1">
        <v>11</v>
      </c>
      <c r="H473" s="16">
        <f t="shared" si="244"/>
        <v>1004</v>
      </c>
      <c r="I473">
        <v>4</v>
      </c>
      <c r="J473" s="17">
        <f t="shared" si="245"/>
        <v>1</v>
      </c>
      <c r="K473">
        <v>2</v>
      </c>
      <c r="L473">
        <v>4</v>
      </c>
      <c r="M473" s="17">
        <f t="shared" si="246"/>
        <v>0.5</v>
      </c>
      <c r="N473" s="17">
        <f t="shared" si="247"/>
        <v>1</v>
      </c>
      <c r="O473" s="18">
        <f t="shared" si="248"/>
        <v>0.5</v>
      </c>
      <c r="P473">
        <v>2</v>
      </c>
      <c r="Q473">
        <v>2</v>
      </c>
      <c r="R473" s="17">
        <f t="shared" si="249"/>
        <v>0.5</v>
      </c>
      <c r="S473" s="17">
        <f t="shared" si="250"/>
        <v>0.5</v>
      </c>
      <c r="T473" s="18">
        <f t="shared" si="251"/>
        <v>1</v>
      </c>
      <c r="U473">
        <v>0</v>
      </c>
      <c r="V473">
        <v>2</v>
      </c>
      <c r="W473" s="17">
        <f t="shared" si="252"/>
        <v>0</v>
      </c>
      <c r="X473" s="17">
        <f t="shared" si="253"/>
        <v>0.5</v>
      </c>
      <c r="Y473" s="18">
        <f t="shared" si="254"/>
        <v>0</v>
      </c>
      <c r="Z473">
        <v>0</v>
      </c>
      <c r="AA473">
        <v>0</v>
      </c>
      <c r="AB473" s="17">
        <f t="shared" si="255"/>
        <v>0</v>
      </c>
      <c r="AC473" s="17">
        <f t="shared" si="256"/>
        <v>0</v>
      </c>
      <c r="AD473" s="18" t="e">
        <f t="shared" si="257"/>
        <v>#DIV/0!</v>
      </c>
      <c r="AE473">
        <v>4</v>
      </c>
      <c r="AF473" s="17">
        <f t="shared" si="258"/>
        <v>1</v>
      </c>
      <c r="AG473">
        <v>2</v>
      </c>
      <c r="AH473" s="17">
        <f t="shared" si="259"/>
        <v>0.5</v>
      </c>
      <c r="AI473">
        <v>2</v>
      </c>
      <c r="AJ473" s="17">
        <f t="shared" si="260"/>
        <v>0.5</v>
      </c>
      <c r="AK473">
        <v>2</v>
      </c>
      <c r="AL473" s="17">
        <f t="shared" si="261"/>
        <v>0.5</v>
      </c>
      <c r="AM473">
        <v>1</v>
      </c>
      <c r="AN473" s="17">
        <f t="shared" si="262"/>
        <v>0.25</v>
      </c>
      <c r="AO473">
        <v>0</v>
      </c>
      <c r="AQ473">
        <v>1</v>
      </c>
      <c r="AR473" s="17">
        <f t="shared" si="263"/>
        <v>0.25</v>
      </c>
      <c r="AS473">
        <v>4</v>
      </c>
      <c r="AT473" s="17">
        <f t="shared" si="264"/>
        <v>1</v>
      </c>
      <c r="BD473" s="65">
        <f t="shared" si="265"/>
        <v>50</v>
      </c>
      <c r="BE473" s="65">
        <f t="shared" si="266"/>
        <v>50</v>
      </c>
      <c r="BF473" s="66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6.1444536474705735</v>
      </c>
      <c r="BG473" s="38">
        <f t="shared" si="267"/>
        <v>0.5</v>
      </c>
      <c r="BH473" s="38">
        <f t="shared" si="268"/>
        <v>0</v>
      </c>
      <c r="BI473" s="67">
        <f>IFERROR(((AG473*(12000/5))/((F473*60+G473)*(SUMIFS(팀공격력!X:X,팀공격력!A:A,B473,팀공격력!B:B,D473)+SUMIFS(팀수비력!X:X,팀수비력!A:A,B473,팀수비력!B:B,D473))))*100,"")</f>
        <v>2.9063078991026772</v>
      </c>
      <c r="BJ473" s="67">
        <f>IFERROR(((AI473*(12000/5))/((F473*60+G473)*(SUMIFS(팀공격력!V:V,팀공격력!A:A,B473,팀공격력!B:B,D473)+SUMIFS(팀수비력!W:W,팀수비력!A:A,B473,팀수비력!B:B,D473))))*100,"")</f>
        <v>6.1490372913490727</v>
      </c>
      <c r="BK473" s="67">
        <f>IFERROR(((AE473*(12000/5))/((F473*60+G473)*(SUMIFS(팀공격력!X:X,팀공격력!A:A,B473,팀공격력!B:B,D473)+SUMIFS(팀수비력!X:X,팀수비력!A:A,B473,팀수비력!B:B,D473))))*100,"")</f>
        <v>5.8126157982053543</v>
      </c>
      <c r="BL473" s="67">
        <f>IFERROR(100*AK473/(((((F473*60+G473)/(12000/5))*SUMIFS(팀공격력!P:P,팀공격력!A:A,B473,팀공격력!B:B,D473))-K473)),"")</f>
        <v>7.192627556754327</v>
      </c>
      <c r="BM473" s="67">
        <f>IFERROR(100*((AM473/E473*(2400))/((F473*60+G473)*SUMIFS(팀공격력!AR:AR,팀공격력!A:A,B473,팀공격력!B:B,D473))),"")</f>
        <v>3.2689261546209569</v>
      </c>
      <c r="BN473" s="67">
        <f>IFERROR((AO473*40)/(((F473*60+G473)/60)*(SUMIFS(팀수비력!Q:Q,팀수비력!A:A,B473,팀수비력!B:B,D473)-SUMIFS(팀수비력!N:N,팀수비력!A:A,B473,팀수비력!B:B,D473)))*100,"")</f>
        <v>0</v>
      </c>
      <c r="BO473" s="67">
        <f t="shared" si="269"/>
        <v>20</v>
      </c>
      <c r="BT473" t="s">
        <v>89</v>
      </c>
      <c r="BV473" t="s">
        <v>102</v>
      </c>
      <c r="CF473">
        <v>1</v>
      </c>
      <c r="CG473">
        <v>3</v>
      </c>
    </row>
    <row r="474" spans="1:85" x14ac:dyDescent="0.4">
      <c r="A474" s="11" t="s">
        <v>85</v>
      </c>
      <c r="B474" t="s">
        <v>245</v>
      </c>
      <c r="C474" t="s">
        <v>252</v>
      </c>
      <c r="D474" s="46" t="s">
        <v>307</v>
      </c>
      <c r="E474">
        <v>7</v>
      </c>
      <c r="F474">
        <v>7</v>
      </c>
      <c r="G474" s="1">
        <v>52</v>
      </c>
      <c r="H474" s="16">
        <f t="shared" si="244"/>
        <v>3304</v>
      </c>
      <c r="I474">
        <v>19</v>
      </c>
      <c r="J474" s="17">
        <f t="shared" si="245"/>
        <v>2.7142857142857144</v>
      </c>
      <c r="K474">
        <v>8</v>
      </c>
      <c r="L474">
        <v>16</v>
      </c>
      <c r="M474" s="17">
        <f t="shared" si="246"/>
        <v>1.1428571428571428</v>
      </c>
      <c r="N474" s="17">
        <f t="shared" si="247"/>
        <v>2.2857142857142856</v>
      </c>
      <c r="O474" s="18">
        <f t="shared" si="248"/>
        <v>0.5</v>
      </c>
      <c r="P474">
        <v>5</v>
      </c>
      <c r="Q474">
        <v>7</v>
      </c>
      <c r="R474" s="17">
        <f t="shared" si="249"/>
        <v>0.7142857142857143</v>
      </c>
      <c r="S474" s="17">
        <f t="shared" si="250"/>
        <v>1</v>
      </c>
      <c r="T474" s="18">
        <f t="shared" si="251"/>
        <v>0.7142857142857143</v>
      </c>
      <c r="U474">
        <v>3</v>
      </c>
      <c r="V474">
        <v>9</v>
      </c>
      <c r="W474" s="17">
        <f t="shared" si="252"/>
        <v>0.42857142857142855</v>
      </c>
      <c r="X474" s="17">
        <f t="shared" si="253"/>
        <v>1.2857142857142858</v>
      </c>
      <c r="Y474" s="18">
        <f t="shared" si="254"/>
        <v>0.33333333333333331</v>
      </c>
      <c r="Z474">
        <v>0</v>
      </c>
      <c r="AA474">
        <v>0</v>
      </c>
      <c r="AB474" s="17">
        <f t="shared" si="255"/>
        <v>0</v>
      </c>
      <c r="AC474" s="17">
        <f t="shared" si="256"/>
        <v>0</v>
      </c>
      <c r="AD474" s="18" t="e">
        <f t="shared" si="257"/>
        <v>#DIV/0!</v>
      </c>
      <c r="AE474">
        <v>3</v>
      </c>
      <c r="AF474" s="17">
        <f t="shared" si="258"/>
        <v>0.42857142857142855</v>
      </c>
      <c r="AG474">
        <v>2</v>
      </c>
      <c r="AH474" s="17">
        <f t="shared" si="259"/>
        <v>0.2857142857142857</v>
      </c>
      <c r="AI474">
        <v>1</v>
      </c>
      <c r="AJ474" s="17">
        <f t="shared" si="260"/>
        <v>0.14285714285714285</v>
      </c>
      <c r="AK474">
        <v>5</v>
      </c>
      <c r="AL474" s="17">
        <f t="shared" si="261"/>
        <v>0.7142857142857143</v>
      </c>
      <c r="AM474">
        <v>2</v>
      </c>
      <c r="AN474" s="17">
        <f t="shared" si="262"/>
        <v>0.2857142857142857</v>
      </c>
      <c r="AO474">
        <v>0</v>
      </c>
      <c r="AQ474">
        <v>0</v>
      </c>
      <c r="AR474" s="17">
        <f t="shared" si="263"/>
        <v>0</v>
      </c>
      <c r="AS474">
        <v>4</v>
      </c>
      <c r="AT474" s="17">
        <f t="shared" si="264"/>
        <v>0.5714285714285714</v>
      </c>
      <c r="BD474" s="65">
        <f t="shared" si="265"/>
        <v>59.375</v>
      </c>
      <c r="BE474" s="65">
        <f t="shared" si="266"/>
        <v>59.375</v>
      </c>
      <c r="BF474" s="66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10.455985528916028</v>
      </c>
      <c r="BG474" s="38">
        <f t="shared" si="267"/>
        <v>0.5625</v>
      </c>
      <c r="BH474" s="38">
        <f t="shared" si="268"/>
        <v>0</v>
      </c>
      <c r="BI474" s="67">
        <f>IFERROR(((AG474*(12000/5))/((F474*60+G474)*(SUMIFS(팀공격력!X:X,팀공격력!A:A,B474,팀공격력!B:B,D474)+SUMIFS(팀수비력!X:X,팀수비력!A:A,B474,팀수비력!B:B,D474))))*100,"")</f>
        <v>1.5455154293957034</v>
      </c>
      <c r="BJ474" s="67">
        <f>IFERROR(((AI474*(12000/5))/((F474*60+G474)*(SUMIFS(팀공격력!V:V,팀공격력!A:A,B474,팀공격력!B:B,D474)+SUMIFS(팀수비력!W:W,팀수비력!A:A,B474,팀수비력!B:B,D474))))*100,"")</f>
        <v>1.6349664831870947</v>
      </c>
      <c r="BK474" s="67">
        <f>IFERROR(((AE474*(12000/5))/((F474*60+G474)*(SUMIFS(팀공격력!X:X,팀공격력!A:A,B474,팀공격력!B:B,D474)+SUMIFS(팀수비력!X:X,팀수비력!A:A,B474,팀수비력!B:B,D474))))*100,"")</f>
        <v>2.3182731440935553</v>
      </c>
      <c r="BL474" s="67">
        <f>IFERROR(100*AK474/(((((F474*60+G474)/(12000/5))*SUMIFS(팀공격력!P:P,팀공격력!A:A,B474,팀공격력!B:B,D474))-K474)),"")</f>
        <v>10.40582726326743</v>
      </c>
      <c r="BM474" s="67">
        <f>IFERROR(100*((AM474/E474*(2400))/((F474*60+G474)*SUMIFS(팀공격력!AR:AR,팀공격력!A:A,B474,팀공격력!B:B,D474))),"")</f>
        <v>1.9866839341643101</v>
      </c>
      <c r="BN474" s="67">
        <f>IFERROR((AO474*40)/(((F474*60+G474)/60)*(SUMIFS(팀수비력!Q:Q,팀수비력!A:A,B474,팀수비력!B:B,D474)-SUMIFS(팀수비력!N:N,팀수비력!A:A,B474,팀수비력!B:B,D474)))*100,"")</f>
        <v>0</v>
      </c>
      <c r="BO474" s="67">
        <f t="shared" si="269"/>
        <v>0</v>
      </c>
      <c r="BT474" t="s">
        <v>89</v>
      </c>
      <c r="BV474" t="s">
        <v>90</v>
      </c>
      <c r="CF474">
        <v>3</v>
      </c>
      <c r="CG474">
        <v>4</v>
      </c>
    </row>
    <row r="475" spans="1:85" x14ac:dyDescent="0.4">
      <c r="A475" s="11" t="s">
        <v>85</v>
      </c>
      <c r="B475" t="s">
        <v>245</v>
      </c>
      <c r="C475" t="s">
        <v>254</v>
      </c>
      <c r="D475" s="46" t="s">
        <v>307</v>
      </c>
      <c r="E475">
        <v>2</v>
      </c>
      <c r="F475">
        <v>23</v>
      </c>
      <c r="G475" s="1">
        <v>26</v>
      </c>
      <c r="H475" s="16">
        <f t="shared" si="244"/>
        <v>2812</v>
      </c>
      <c r="I475">
        <v>14</v>
      </c>
      <c r="J475" s="17">
        <f t="shared" si="245"/>
        <v>7</v>
      </c>
      <c r="K475">
        <v>6</v>
      </c>
      <c r="L475">
        <v>17</v>
      </c>
      <c r="M475" s="17">
        <f t="shared" si="246"/>
        <v>3</v>
      </c>
      <c r="N475" s="17">
        <f t="shared" si="247"/>
        <v>8.5</v>
      </c>
      <c r="O475" s="18">
        <f t="shared" si="248"/>
        <v>0.35294117647058826</v>
      </c>
      <c r="P475">
        <v>5</v>
      </c>
      <c r="Q475">
        <v>10</v>
      </c>
      <c r="R475" s="17">
        <f t="shared" si="249"/>
        <v>2.5</v>
      </c>
      <c r="S475" s="17">
        <f t="shared" si="250"/>
        <v>5</v>
      </c>
      <c r="T475" s="18">
        <f t="shared" si="251"/>
        <v>0.5</v>
      </c>
      <c r="U475">
        <v>1</v>
      </c>
      <c r="V475">
        <v>7</v>
      </c>
      <c r="W475" s="17">
        <f t="shared" si="252"/>
        <v>0.5</v>
      </c>
      <c r="X475" s="17">
        <f t="shared" si="253"/>
        <v>3.5</v>
      </c>
      <c r="Y475" s="18">
        <f t="shared" si="254"/>
        <v>0.14285714285714285</v>
      </c>
      <c r="Z475">
        <v>1</v>
      </c>
      <c r="AA475">
        <v>2</v>
      </c>
      <c r="AB475" s="17">
        <f t="shared" si="255"/>
        <v>0.5</v>
      </c>
      <c r="AC475" s="17">
        <f t="shared" si="256"/>
        <v>1</v>
      </c>
      <c r="AD475" s="18">
        <f t="shared" si="257"/>
        <v>0.5</v>
      </c>
      <c r="AE475">
        <v>5</v>
      </c>
      <c r="AF475" s="17">
        <f t="shared" si="258"/>
        <v>2.5</v>
      </c>
      <c r="AG475">
        <v>0</v>
      </c>
      <c r="AH475" s="17">
        <f t="shared" si="259"/>
        <v>0</v>
      </c>
      <c r="AI475">
        <v>5</v>
      </c>
      <c r="AJ475" s="17">
        <f t="shared" si="260"/>
        <v>2.5</v>
      </c>
      <c r="AK475">
        <v>7</v>
      </c>
      <c r="AL475" s="17">
        <f t="shared" si="261"/>
        <v>3.5</v>
      </c>
      <c r="AM475">
        <v>1</v>
      </c>
      <c r="AN475" s="17">
        <f t="shared" si="262"/>
        <v>0.5</v>
      </c>
      <c r="AO475">
        <v>0</v>
      </c>
      <c r="AQ475">
        <v>3</v>
      </c>
      <c r="AR475" s="17">
        <f t="shared" si="263"/>
        <v>1.5</v>
      </c>
      <c r="AS475">
        <v>6</v>
      </c>
      <c r="AT475" s="17">
        <f t="shared" si="264"/>
        <v>3</v>
      </c>
      <c r="BD475" s="65">
        <f t="shared" si="265"/>
        <v>39.149888143176739</v>
      </c>
      <c r="BE475" s="65">
        <f t="shared" si="266"/>
        <v>38.235294117647058</v>
      </c>
      <c r="BF475" s="66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4.5807033046878498</v>
      </c>
      <c r="BG475" s="38">
        <f t="shared" si="267"/>
        <v>0.41176470588235292</v>
      </c>
      <c r="BH475" s="38">
        <f t="shared" si="268"/>
        <v>0.11764705882352941</v>
      </c>
      <c r="BI475" s="67">
        <f>IFERROR(((AG475*(12000/5))/((F475*60+G475)*(SUMIFS(팀공격력!X:X,팀공격력!A:A,B475,팀공격력!B:B,D475)+SUMIFS(팀수비력!X:X,팀수비력!A:A,B475,팀수비력!B:B,D475))))*100,"")</f>
        <v>0</v>
      </c>
      <c r="BJ475" s="67">
        <f>IFERROR(((AI475*(12000/5))/((F475*60+G475)*(SUMIFS(팀공격력!V:V,팀공격력!A:A,B475,팀공격력!B:B,D475)+SUMIFS(팀수비력!W:W,팀수비력!A:A,B475,팀수비력!B:B,D475))))*100,"")</f>
        <v>2.744324964666816</v>
      </c>
      <c r="BK475" s="67">
        <f>IFERROR(((AE475*(12000/5))/((F475*60+G475)*(SUMIFS(팀공격력!X:X,팀공격력!A:A,B475,팀공격력!B:B,D475)+SUMIFS(팀수비력!X:X,팀수비력!A:A,B475,팀수비력!B:B,D475))))*100,"")</f>
        <v>1.2970897629352278</v>
      </c>
      <c r="BL475" s="67">
        <f>IFERROR(100*AK475/(((((F475*60+G475)/(12000/5))*SUMIFS(팀공격력!P:P,팀공격력!A:A,B475,팀공격력!B:B,D475))-K475)),"")</f>
        <v>4.3488390152985943</v>
      </c>
      <c r="BM475" s="67">
        <f>IFERROR(100*((AM475/E475*(2400))/((F475*60+G475)*SUMIFS(팀공격력!AR:AR,팀공격력!A:A,B475,팀공격력!B:B,D475))),"")</f>
        <v>1.1671414862160172</v>
      </c>
      <c r="BN475" s="67">
        <f>IFERROR((AO475*40)/(((F475*60+G475)/60)*(SUMIFS(팀수비력!Q:Q,팀수비력!A:A,B475,팀수비력!B:B,D475)-SUMIFS(팀수비력!N:N,팀수비력!A:A,B475,팀수비력!B:B,D475)))*100,"")</f>
        <v>0</v>
      </c>
      <c r="BO475" s="67">
        <f t="shared" si="269"/>
        <v>14.367816091954024</v>
      </c>
      <c r="BT475" t="s">
        <v>89</v>
      </c>
      <c r="BV475" t="s">
        <v>90</v>
      </c>
      <c r="CF475">
        <v>1</v>
      </c>
      <c r="CG475">
        <v>1</v>
      </c>
    </row>
    <row r="476" spans="1:85" x14ac:dyDescent="0.4">
      <c r="A476" s="11" t="s">
        <v>85</v>
      </c>
      <c r="B476" t="s">
        <v>245</v>
      </c>
      <c r="C476" t="s">
        <v>255</v>
      </c>
      <c r="D476" s="46" t="s">
        <v>307</v>
      </c>
      <c r="E476">
        <v>3</v>
      </c>
      <c r="F476">
        <v>6</v>
      </c>
      <c r="G476" s="1">
        <v>55</v>
      </c>
      <c r="H476" s="16">
        <f t="shared" si="244"/>
        <v>1245</v>
      </c>
      <c r="I476">
        <v>8</v>
      </c>
      <c r="J476" s="17">
        <f t="shared" si="245"/>
        <v>2.6666666666666665</v>
      </c>
      <c r="K476">
        <v>3</v>
      </c>
      <c r="L476">
        <v>6</v>
      </c>
      <c r="M476" s="17">
        <f t="shared" si="246"/>
        <v>1</v>
      </c>
      <c r="N476" s="17">
        <f t="shared" si="247"/>
        <v>2</v>
      </c>
      <c r="O476" s="18">
        <f t="shared" si="248"/>
        <v>0.5</v>
      </c>
      <c r="P476">
        <v>1</v>
      </c>
      <c r="Q476">
        <v>1</v>
      </c>
      <c r="R476" s="17">
        <f t="shared" si="249"/>
        <v>0.33333333333333331</v>
      </c>
      <c r="S476" s="17">
        <f t="shared" si="250"/>
        <v>0.33333333333333331</v>
      </c>
      <c r="T476" s="18">
        <f t="shared" si="251"/>
        <v>1</v>
      </c>
      <c r="U476">
        <v>2</v>
      </c>
      <c r="V476">
        <v>5</v>
      </c>
      <c r="W476" s="17">
        <f t="shared" si="252"/>
        <v>0.66666666666666663</v>
      </c>
      <c r="X476" s="17">
        <f t="shared" si="253"/>
        <v>1.6666666666666667</v>
      </c>
      <c r="Y476" s="18">
        <f t="shared" si="254"/>
        <v>0.4</v>
      </c>
      <c r="Z476">
        <v>0</v>
      </c>
      <c r="AA476">
        <v>0</v>
      </c>
      <c r="AB476" s="17">
        <f t="shared" si="255"/>
        <v>0</v>
      </c>
      <c r="AC476" s="17">
        <f t="shared" si="256"/>
        <v>0</v>
      </c>
      <c r="AD476" s="18" t="e">
        <f t="shared" si="257"/>
        <v>#DIV/0!</v>
      </c>
      <c r="AE476">
        <v>2</v>
      </c>
      <c r="AF476" s="17">
        <f t="shared" si="258"/>
        <v>0.66666666666666663</v>
      </c>
      <c r="AG476">
        <v>1</v>
      </c>
      <c r="AH476" s="17">
        <f t="shared" si="259"/>
        <v>0.33333333333333331</v>
      </c>
      <c r="AI476">
        <v>1</v>
      </c>
      <c r="AJ476" s="17">
        <f t="shared" si="260"/>
        <v>0.33333333333333331</v>
      </c>
      <c r="AK476">
        <v>1</v>
      </c>
      <c r="AL476" s="17">
        <f t="shared" si="261"/>
        <v>0.33333333333333331</v>
      </c>
      <c r="AM476">
        <v>0</v>
      </c>
      <c r="AN476" s="17">
        <f t="shared" si="262"/>
        <v>0</v>
      </c>
      <c r="AO476">
        <v>0</v>
      </c>
      <c r="AQ476">
        <v>2</v>
      </c>
      <c r="AR476" s="17">
        <f t="shared" si="263"/>
        <v>0.66666666666666663</v>
      </c>
      <c r="AS476">
        <v>3</v>
      </c>
      <c r="AT476" s="17">
        <f t="shared" si="264"/>
        <v>1</v>
      </c>
      <c r="BD476" s="65">
        <f t="shared" si="265"/>
        <v>66.666666666666657</v>
      </c>
      <c r="BE476" s="65">
        <f t="shared" si="266"/>
        <v>66.666666666666657</v>
      </c>
      <c r="BF476" s="66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5.9460544212630904</v>
      </c>
      <c r="BG476" s="38">
        <f t="shared" si="267"/>
        <v>0.83333333333333337</v>
      </c>
      <c r="BH476" s="38">
        <f t="shared" si="268"/>
        <v>0</v>
      </c>
      <c r="BI476" s="67">
        <f>IFERROR(((AG476*(12000/5))/((F476*60+G476)*(SUMIFS(팀공격력!X:X,팀공격력!A:A,B476,팀공격력!B:B,D476)+SUMIFS(팀수비력!X:X,팀수비력!A:A,B476,팀수비력!B:B,D476))))*100,"")</f>
        <v>0.878895521294906</v>
      </c>
      <c r="BJ476" s="67">
        <f>IFERROR(((AI476*(12000/5))/((F476*60+G476)*(SUMIFS(팀공격력!V:V,팀공격력!A:A,B476,팀공격력!B:B,D476)+SUMIFS(팀수비력!W:W,팀수비력!A:A,B476,팀수비력!B:B,D476))))*100,"")</f>
        <v>1.8595281447332739</v>
      </c>
      <c r="BK476" s="67">
        <f>IFERROR(((AE476*(12000/5))/((F476*60+G476)*(SUMIFS(팀공격력!X:X,팀공격력!A:A,B476,팀공격력!B:B,D476)+SUMIFS(팀수비력!X:X,팀수비력!A:A,B476,팀수비력!B:B,D476))))*100,"")</f>
        <v>1.757791042589812</v>
      </c>
      <c r="BL476" s="67">
        <f>IFERROR(100*AK476/(((((F476*60+G476)/(12000/5))*SUMIFS(팀공격력!P:P,팀공격력!A:A,B476,팀공격력!B:B,D476))-K476)),"")</f>
        <v>2.160702228224173</v>
      </c>
      <c r="BM476" s="67">
        <f>IFERROR(100*((AM476/E476*(2400))/((F476*60+G476)*SUMIFS(팀공격력!AR:AR,팀공격력!A:A,B476,팀공격력!B:B,D476))),"")</f>
        <v>0</v>
      </c>
      <c r="BN476" s="67">
        <f>IFERROR((AO476*40)/(((F476*60+G476)/60)*(SUMIFS(팀수비력!Q:Q,팀수비력!A:A,B476,팀수비력!B:B,D476)-SUMIFS(팀수비력!N:N,팀수비력!A:A,B476,팀수비력!B:B,D476)))*100,"")</f>
        <v>0</v>
      </c>
      <c r="BO476" s="67">
        <f t="shared" si="269"/>
        <v>25</v>
      </c>
      <c r="BT476" t="s">
        <v>89</v>
      </c>
      <c r="BV476" t="s">
        <v>93</v>
      </c>
      <c r="CF476">
        <v>2</v>
      </c>
      <c r="CG476">
        <v>1</v>
      </c>
    </row>
    <row r="477" spans="1:85" x14ac:dyDescent="0.4">
      <c r="A477" s="11" t="s">
        <v>85</v>
      </c>
      <c r="B477" t="s">
        <v>245</v>
      </c>
      <c r="C477" t="s">
        <v>257</v>
      </c>
      <c r="D477" s="46" t="s">
        <v>307</v>
      </c>
      <c r="E477">
        <v>3</v>
      </c>
      <c r="F477">
        <v>17</v>
      </c>
      <c r="G477" s="1">
        <v>51</v>
      </c>
      <c r="H477" s="16">
        <f t="shared" si="244"/>
        <v>3213</v>
      </c>
      <c r="I477">
        <v>21</v>
      </c>
      <c r="J477" s="17">
        <f t="shared" si="245"/>
        <v>7</v>
      </c>
      <c r="K477">
        <v>7</v>
      </c>
      <c r="L477">
        <v>16</v>
      </c>
      <c r="M477" s="17">
        <f t="shared" si="246"/>
        <v>2.3333333333333335</v>
      </c>
      <c r="N477" s="17">
        <f t="shared" si="247"/>
        <v>5.333333333333333</v>
      </c>
      <c r="O477" s="18">
        <f t="shared" si="248"/>
        <v>0.4375</v>
      </c>
      <c r="P477">
        <v>2</v>
      </c>
      <c r="Q477">
        <v>5</v>
      </c>
      <c r="R477" s="17">
        <f t="shared" si="249"/>
        <v>0.66666666666666663</v>
      </c>
      <c r="S477" s="17">
        <f t="shared" si="250"/>
        <v>1.6666666666666667</v>
      </c>
      <c r="T477" s="18">
        <f t="shared" si="251"/>
        <v>0.4</v>
      </c>
      <c r="U477">
        <v>5</v>
      </c>
      <c r="V477">
        <v>11</v>
      </c>
      <c r="W477" s="17">
        <f t="shared" si="252"/>
        <v>1.6666666666666667</v>
      </c>
      <c r="X477" s="17">
        <f t="shared" si="253"/>
        <v>3.6666666666666665</v>
      </c>
      <c r="Y477" s="18">
        <f t="shared" si="254"/>
        <v>0.45454545454545453</v>
      </c>
      <c r="Z477">
        <v>2</v>
      </c>
      <c r="AA477">
        <v>2</v>
      </c>
      <c r="AB477" s="17">
        <f t="shared" si="255"/>
        <v>0.66666666666666663</v>
      </c>
      <c r="AC477" s="17">
        <f t="shared" si="256"/>
        <v>0.66666666666666663</v>
      </c>
      <c r="AD477" s="18">
        <f t="shared" si="257"/>
        <v>1</v>
      </c>
      <c r="AE477">
        <v>10</v>
      </c>
      <c r="AF477" s="17">
        <f t="shared" si="258"/>
        <v>3.3333333333333335</v>
      </c>
      <c r="AG477">
        <v>4</v>
      </c>
      <c r="AH477" s="17">
        <f t="shared" si="259"/>
        <v>1.3333333333333333</v>
      </c>
      <c r="AI477">
        <v>6</v>
      </c>
      <c r="AJ477" s="17">
        <f t="shared" si="260"/>
        <v>2</v>
      </c>
      <c r="AK477">
        <v>1</v>
      </c>
      <c r="AL477" s="17">
        <f t="shared" si="261"/>
        <v>0.33333333333333331</v>
      </c>
      <c r="AM477">
        <v>1</v>
      </c>
      <c r="AN477" s="17">
        <f t="shared" si="262"/>
        <v>0.33333333333333331</v>
      </c>
      <c r="AO477">
        <v>0</v>
      </c>
      <c r="AQ477">
        <v>1</v>
      </c>
      <c r="AR477" s="17">
        <f t="shared" si="263"/>
        <v>0.33333333333333331</v>
      </c>
      <c r="AS477">
        <v>6</v>
      </c>
      <c r="AT477" s="17">
        <f t="shared" si="264"/>
        <v>2</v>
      </c>
      <c r="BD477" s="65">
        <f t="shared" si="265"/>
        <v>62.203791469194314</v>
      </c>
      <c r="BE477" s="65">
        <f t="shared" si="266"/>
        <v>59.375</v>
      </c>
      <c r="BF477" s="66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5.149499651803966</v>
      </c>
      <c r="BG477" s="38">
        <f t="shared" si="267"/>
        <v>0.6875</v>
      </c>
      <c r="BH477" s="38">
        <f t="shared" si="268"/>
        <v>0.125</v>
      </c>
      <c r="BI477" s="67">
        <f>IFERROR(((AG477*(12000/5))/((F477*60+G477)*(SUMIFS(팀공격력!X:X,팀공격력!A:A,B477,팀공격력!B:B,D477)+SUMIFS(팀수비력!X:X,팀수비력!A:A,B477,팀수비력!B:B,D477))))*100,"")</f>
        <v>1.3622470264701625</v>
      </c>
      <c r="BJ477" s="67">
        <f>IFERROR(((AI477*(12000/5))/((F477*60+G477)*(SUMIFS(팀공격력!V:V,팀공격력!A:A,B477,팀공격력!B:B,D477)+SUMIFS(팀수비력!W:W,팀수비력!A:A,B477,팀수비력!B:B,D477))))*100,"")</f>
        <v>4.3232727174471073</v>
      </c>
      <c r="BK477" s="67">
        <f>IFERROR(((AE477*(12000/5))/((F477*60+G477)*(SUMIFS(팀공격력!X:X,팀공격력!A:A,B477,팀공격력!B:B,D477)+SUMIFS(팀수비력!X:X,팀수비력!A:A,B477,팀수비력!B:B,D477))))*100,"")</f>
        <v>3.4056175661754065</v>
      </c>
      <c r="BL477" s="67">
        <f>IFERROR(100*AK477/(((((F477*60+G477)/(12000/5))*SUMIFS(팀공격력!P:P,팀공격력!A:A,B477,팀공격력!B:B,D477))-K477)),"")</f>
        <v>0.83207655104269596</v>
      </c>
      <c r="BM477" s="67">
        <f>IFERROR(100*((AM477/E477*(2400))/((F477*60+G477)*SUMIFS(팀공격력!AR:AR,팀공격력!A:A,B477,팀공격력!B:B,D477))),"")</f>
        <v>1.021475835430887</v>
      </c>
      <c r="BN477" s="67">
        <f>IFERROR((AO477*40)/(((F477*60+G477)/60)*(SUMIFS(팀수비력!Q:Q,팀수비력!A:A,B477,팀수비력!B:B,D477)-SUMIFS(팀수비력!N:N,팀수비력!A:A,B477,팀수비력!B:B,D477)))*100,"")</f>
        <v>0</v>
      </c>
      <c r="BO477" s="67">
        <f t="shared" si="269"/>
        <v>5.592841163310962</v>
      </c>
      <c r="BT477" t="s">
        <v>89</v>
      </c>
      <c r="BV477" t="s">
        <v>93</v>
      </c>
      <c r="CF477">
        <v>1</v>
      </c>
      <c r="CG477">
        <v>2</v>
      </c>
    </row>
    <row r="478" spans="1:85" x14ac:dyDescent="0.4">
      <c r="A478" s="11" t="s">
        <v>85</v>
      </c>
      <c r="B478" t="s">
        <v>245</v>
      </c>
      <c r="C478" t="s">
        <v>258</v>
      </c>
      <c r="D478" s="46" t="s">
        <v>307</v>
      </c>
      <c r="E478">
        <v>9</v>
      </c>
      <c r="F478">
        <v>29</v>
      </c>
      <c r="G478" s="1">
        <v>30</v>
      </c>
      <c r="H478" s="16">
        <f t="shared" si="244"/>
        <v>15930</v>
      </c>
      <c r="I478">
        <v>80</v>
      </c>
      <c r="J478" s="17">
        <f t="shared" si="245"/>
        <v>8.8888888888888893</v>
      </c>
      <c r="K478">
        <v>35</v>
      </c>
      <c r="L478">
        <v>86</v>
      </c>
      <c r="M478" s="17">
        <f t="shared" si="246"/>
        <v>3.8888888888888888</v>
      </c>
      <c r="N478" s="17">
        <f t="shared" si="247"/>
        <v>9.5555555555555554</v>
      </c>
      <c r="O478" s="18">
        <f t="shared" si="248"/>
        <v>0.40697674418604651</v>
      </c>
      <c r="P478">
        <v>27</v>
      </c>
      <c r="Q478">
        <v>63</v>
      </c>
      <c r="R478" s="17">
        <f t="shared" si="249"/>
        <v>3</v>
      </c>
      <c r="S478" s="17">
        <f t="shared" si="250"/>
        <v>7</v>
      </c>
      <c r="T478" s="18">
        <f t="shared" si="251"/>
        <v>0.42857142857142855</v>
      </c>
      <c r="U478">
        <v>8</v>
      </c>
      <c r="V478">
        <v>23</v>
      </c>
      <c r="W478" s="17">
        <f t="shared" si="252"/>
        <v>0.88888888888888884</v>
      </c>
      <c r="X478" s="17">
        <f t="shared" si="253"/>
        <v>2.5555555555555554</v>
      </c>
      <c r="Y478" s="18">
        <f t="shared" si="254"/>
        <v>0.34782608695652173</v>
      </c>
      <c r="Z478">
        <v>2</v>
      </c>
      <c r="AA478">
        <v>4</v>
      </c>
      <c r="AB478" s="17">
        <f t="shared" si="255"/>
        <v>0.22222222222222221</v>
      </c>
      <c r="AC478" s="17">
        <f t="shared" si="256"/>
        <v>0.44444444444444442</v>
      </c>
      <c r="AD478" s="18">
        <f t="shared" si="257"/>
        <v>0.5</v>
      </c>
      <c r="AE478">
        <v>46</v>
      </c>
      <c r="AF478" s="17">
        <f t="shared" si="258"/>
        <v>5.1111111111111107</v>
      </c>
      <c r="AG478">
        <v>10</v>
      </c>
      <c r="AH478" s="17">
        <f t="shared" si="259"/>
        <v>1.1111111111111112</v>
      </c>
      <c r="AI478">
        <v>36</v>
      </c>
      <c r="AJ478" s="17">
        <f t="shared" si="260"/>
        <v>4</v>
      </c>
      <c r="AK478">
        <v>23</v>
      </c>
      <c r="AL478" s="17">
        <f t="shared" si="261"/>
        <v>2.5555555555555554</v>
      </c>
      <c r="AM478">
        <v>9</v>
      </c>
      <c r="AN478" s="17">
        <f t="shared" si="262"/>
        <v>1</v>
      </c>
      <c r="AO478">
        <v>1</v>
      </c>
      <c r="AQ478">
        <v>17</v>
      </c>
      <c r="AR478" s="17">
        <f t="shared" si="263"/>
        <v>1.8888888888888888</v>
      </c>
      <c r="AS478">
        <v>19</v>
      </c>
      <c r="AT478" s="17">
        <f t="shared" si="264"/>
        <v>2.1111111111111112</v>
      </c>
      <c r="BD478" s="65">
        <f t="shared" si="265"/>
        <v>45.578851412944395</v>
      </c>
      <c r="BE478" s="65">
        <f t="shared" si="266"/>
        <v>45.348837209302324</v>
      </c>
      <c r="BF478" s="66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18.256150733487384</v>
      </c>
      <c r="BG478" s="38">
        <f t="shared" si="267"/>
        <v>0.26744186046511625</v>
      </c>
      <c r="BH478" s="38">
        <f t="shared" si="268"/>
        <v>4.6511627906976744E-2</v>
      </c>
      <c r="BI478" s="67">
        <f>IFERROR(((AG478*(12000/5))/((F478*60+G478)*(SUMIFS(팀공격력!X:X,팀공격력!A:A,B478,팀공격력!B:B,D478)+SUMIFS(팀수비력!X:X,팀수비력!A:A,B478,팀수비력!B:B,D478))))*100,"")</f>
        <v>2.0606872391942712</v>
      </c>
      <c r="BJ478" s="67">
        <f>IFERROR(((AI478*(12000/5))/((F478*60+G478)*(SUMIFS(팀공격력!V:V,팀공격력!A:A,B478,팀공격력!B:B,D478)+SUMIFS(팀수비력!W:W,팀수비력!A:A,B478,팀수비력!B:B,D478))))*100,"")</f>
        <v>15.695678238596109</v>
      </c>
      <c r="BK478" s="67">
        <f>IFERROR(((AE478*(12000/5))/((F478*60+G478)*(SUMIFS(팀공격력!X:X,팀공격력!A:A,B478,팀공격력!B:B,D478)+SUMIFS(팀수비력!X:X,팀수비력!A:A,B478,팀수비력!B:B,D478))))*100,"")</f>
        <v>9.4791613002936472</v>
      </c>
      <c r="BL478" s="67">
        <f>IFERROR(100*AK478/(((((F478*60+G478)/(12000/5))*SUMIFS(팀공격력!P:P,팀공격력!A:A,B478,팀공격력!B:B,D478))-K478)),"")</f>
        <v>13.1287905815198</v>
      </c>
      <c r="BM478" s="67">
        <f>IFERROR(100*((AM478/E478*(2400))/((F478*60+G478)*SUMIFS(팀공격력!AR:AR,팀공격력!A:A,B478,팀공격력!B:B,D478))),"")</f>
        <v>1.8542383385533558</v>
      </c>
      <c r="BN478" s="67">
        <f>IFERROR((AO478*40)/(((F478*60+G478)/60)*(SUMIFS(팀수비력!Q:Q,팀수비력!A:A,B478,팀수비력!B:B,D478)-SUMIFS(팀수비력!N:N,팀수비력!A:A,B478,팀수비력!B:B,D478)))*100,"")</f>
        <v>0.31606811267828216</v>
      </c>
      <c r="BO478" s="67">
        <f t="shared" si="269"/>
        <v>16.227567773959525</v>
      </c>
      <c r="BT478" t="s">
        <v>89</v>
      </c>
      <c r="BV478" t="s">
        <v>93</v>
      </c>
      <c r="CF478">
        <v>4</v>
      </c>
      <c r="CG478">
        <v>5</v>
      </c>
    </row>
    <row r="479" spans="1:85" x14ac:dyDescent="0.4">
      <c r="A479" s="11" t="s">
        <v>85</v>
      </c>
      <c r="B479" t="s">
        <v>245</v>
      </c>
      <c r="C479" t="s">
        <v>259</v>
      </c>
      <c r="D479" s="46" t="s">
        <v>307</v>
      </c>
      <c r="E479">
        <v>9</v>
      </c>
      <c r="F479">
        <v>10</v>
      </c>
      <c r="G479" s="1">
        <v>13</v>
      </c>
      <c r="H479" s="16">
        <f t="shared" si="244"/>
        <v>5517</v>
      </c>
      <c r="I479">
        <v>45</v>
      </c>
      <c r="J479" s="17">
        <f t="shared" si="245"/>
        <v>5</v>
      </c>
      <c r="K479">
        <v>20</v>
      </c>
      <c r="L479">
        <v>36</v>
      </c>
      <c r="M479" s="17">
        <f t="shared" si="246"/>
        <v>2.2222222222222223</v>
      </c>
      <c r="N479" s="17">
        <f t="shared" si="247"/>
        <v>4</v>
      </c>
      <c r="O479" s="18">
        <f t="shared" si="248"/>
        <v>0.55555555555555558</v>
      </c>
      <c r="P479">
        <v>20</v>
      </c>
      <c r="Q479">
        <v>36</v>
      </c>
      <c r="R479" s="17">
        <f t="shared" si="249"/>
        <v>2.2222222222222223</v>
      </c>
      <c r="S479" s="17">
        <f t="shared" si="250"/>
        <v>4</v>
      </c>
      <c r="T479" s="18">
        <f t="shared" si="251"/>
        <v>0.55555555555555558</v>
      </c>
      <c r="U479">
        <v>0</v>
      </c>
      <c r="V479">
        <v>0</v>
      </c>
      <c r="W479" s="17">
        <f t="shared" si="252"/>
        <v>0</v>
      </c>
      <c r="X479" s="17">
        <f t="shared" si="253"/>
        <v>0</v>
      </c>
      <c r="Y479" s="18" t="e">
        <f t="shared" si="254"/>
        <v>#DIV/0!</v>
      </c>
      <c r="Z479">
        <v>5</v>
      </c>
      <c r="AA479">
        <v>11</v>
      </c>
      <c r="AB479" s="17">
        <f t="shared" si="255"/>
        <v>0.55555555555555558</v>
      </c>
      <c r="AC479" s="17">
        <f t="shared" si="256"/>
        <v>1.2222222222222223</v>
      </c>
      <c r="AD479" s="18">
        <f t="shared" si="257"/>
        <v>0.45454545454545453</v>
      </c>
      <c r="AE479">
        <v>20</v>
      </c>
      <c r="AF479" s="17">
        <f t="shared" si="258"/>
        <v>2.2222222222222223</v>
      </c>
      <c r="AG479">
        <v>10</v>
      </c>
      <c r="AH479" s="17">
        <f t="shared" si="259"/>
        <v>1.1111111111111112</v>
      </c>
      <c r="AI479">
        <v>10</v>
      </c>
      <c r="AJ479" s="17">
        <f t="shared" si="260"/>
        <v>1.1111111111111112</v>
      </c>
      <c r="AK479">
        <v>5</v>
      </c>
      <c r="AL479" s="17">
        <f t="shared" si="261"/>
        <v>0.55555555555555558</v>
      </c>
      <c r="AM479">
        <v>4</v>
      </c>
      <c r="AN479" s="17">
        <f t="shared" si="262"/>
        <v>0.44444444444444442</v>
      </c>
      <c r="AO479">
        <v>1</v>
      </c>
      <c r="AQ479">
        <v>4</v>
      </c>
      <c r="AR479" s="17">
        <f t="shared" si="263"/>
        <v>0.44444444444444442</v>
      </c>
      <c r="AS479">
        <v>21</v>
      </c>
      <c r="AT479" s="17">
        <f t="shared" si="264"/>
        <v>2.3333333333333335</v>
      </c>
      <c r="BD479" s="65">
        <f t="shared" si="265"/>
        <v>55.093046033300688</v>
      </c>
      <c r="BE479" s="65">
        <f t="shared" si="266"/>
        <v>55.555555555555557</v>
      </c>
      <c r="BF479" s="66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22.56275454802536</v>
      </c>
      <c r="BG479" s="38">
        <f t="shared" si="267"/>
        <v>0</v>
      </c>
      <c r="BH479" s="38">
        <f t="shared" si="268"/>
        <v>0.30555555555555558</v>
      </c>
      <c r="BI479" s="67">
        <f>IFERROR(((AG479*(12000/5))/((F479*60+G479)*(SUMIFS(팀공격력!X:X,팀공격력!A:A,B479,팀공격력!B:B,D479)+SUMIFS(팀수비력!X:X,팀수비력!A:A,B479,팀수비력!B:B,D479))))*100,"")</f>
        <v>5.9501083415560529</v>
      </c>
      <c r="BJ479" s="67">
        <f>IFERROR(((AI479*(12000/5))/((F479*60+G479)*(SUMIFS(팀공격력!V:V,팀공격력!A:A,B479,팀공격력!B:B,D479)+SUMIFS(팀수비력!W:W,팀수비력!A:A,B479,팀수비력!B:B,D479))))*100,"")</f>
        <v>12.588975204964253</v>
      </c>
      <c r="BK479" s="67">
        <f>IFERROR(((AE479*(12000/5))/((F479*60+G479)*(SUMIFS(팀공격력!X:X,팀공격력!A:A,B479,팀공격력!B:B,D479)+SUMIFS(팀수비력!X:X,팀수비력!A:A,B479,팀수비력!B:B,D479))))*100,"")</f>
        <v>11.900216683112106</v>
      </c>
      <c r="BL479" s="67">
        <f>IFERROR(100*AK479/(((((F479*60+G479)/(12000/5))*SUMIFS(팀공격력!P:P,팀공격력!A:A,B479,팀공격력!B:B,D479))-K479)),"")</f>
        <v>9.4708180419083696</v>
      </c>
      <c r="BM479" s="67">
        <f>IFERROR(100*((AM479/E479*(2400))/((F479*60+G479)*SUMIFS(팀공격력!AR:AR,팀공격력!A:A,B479,팀공격력!B:B,D479))),"")</f>
        <v>2.3795554534996843</v>
      </c>
      <c r="BN479" s="67">
        <f>IFERROR((AO479*40)/(((F479*60+G479)/60)*(SUMIFS(팀수비력!Q:Q,팀수비력!A:A,B479,팀수비력!B:B,D479)-SUMIFS(팀수비력!N:N,팀수비력!A:A,B479,팀수비력!B:B,D479)))*100,"")</f>
        <v>0.91262734003353907</v>
      </c>
      <c r="BO479" s="67">
        <f t="shared" si="269"/>
        <v>8.9206066012488847</v>
      </c>
      <c r="BT479" t="s">
        <v>89</v>
      </c>
      <c r="BV479" t="s">
        <v>102</v>
      </c>
      <c r="CF479">
        <v>4</v>
      </c>
      <c r="CG479">
        <v>5</v>
      </c>
    </row>
    <row r="480" spans="1:85" x14ac:dyDescent="0.4">
      <c r="A480" s="11" t="s">
        <v>85</v>
      </c>
      <c r="B480" t="s">
        <v>245</v>
      </c>
      <c r="C480" t="s">
        <v>260</v>
      </c>
      <c r="D480" s="46" t="s">
        <v>307</v>
      </c>
      <c r="E480">
        <v>6</v>
      </c>
      <c r="F480">
        <v>12</v>
      </c>
      <c r="G480" s="1">
        <v>44</v>
      </c>
      <c r="H480" s="16">
        <f t="shared" si="244"/>
        <v>4584</v>
      </c>
      <c r="I480">
        <v>20</v>
      </c>
      <c r="J480" s="17">
        <f t="shared" si="245"/>
        <v>3.3333333333333335</v>
      </c>
      <c r="K480">
        <v>7</v>
      </c>
      <c r="L480">
        <v>21</v>
      </c>
      <c r="M480" s="17">
        <f t="shared" si="246"/>
        <v>1.1666666666666667</v>
      </c>
      <c r="N480" s="17">
        <f t="shared" si="247"/>
        <v>3.5</v>
      </c>
      <c r="O480" s="18">
        <f t="shared" si="248"/>
        <v>0.33333333333333331</v>
      </c>
      <c r="P480">
        <v>6</v>
      </c>
      <c r="Q480">
        <v>13</v>
      </c>
      <c r="R480" s="17">
        <f t="shared" si="249"/>
        <v>1</v>
      </c>
      <c r="S480" s="17">
        <f t="shared" si="250"/>
        <v>2.1666666666666665</v>
      </c>
      <c r="T480" s="18">
        <f t="shared" si="251"/>
        <v>0.46153846153846156</v>
      </c>
      <c r="U480">
        <v>1</v>
      </c>
      <c r="V480">
        <v>8</v>
      </c>
      <c r="W480" s="17">
        <f t="shared" si="252"/>
        <v>0.16666666666666666</v>
      </c>
      <c r="X480" s="17">
        <f t="shared" si="253"/>
        <v>1.3333333333333333</v>
      </c>
      <c r="Y480" s="18">
        <f t="shared" si="254"/>
        <v>0.125</v>
      </c>
      <c r="Z480">
        <v>5</v>
      </c>
      <c r="AA480">
        <v>6</v>
      </c>
      <c r="AB480" s="17">
        <f t="shared" si="255"/>
        <v>0.83333333333333337</v>
      </c>
      <c r="AC480" s="17">
        <f t="shared" si="256"/>
        <v>1</v>
      </c>
      <c r="AD480" s="18">
        <f t="shared" si="257"/>
        <v>0.83333333333333337</v>
      </c>
      <c r="AE480">
        <v>16</v>
      </c>
      <c r="AF480" s="17">
        <f t="shared" si="258"/>
        <v>2.6666666666666665</v>
      </c>
      <c r="AG480">
        <v>3</v>
      </c>
      <c r="AH480" s="17">
        <f t="shared" si="259"/>
        <v>0.5</v>
      </c>
      <c r="AI480">
        <v>13</v>
      </c>
      <c r="AJ480" s="17">
        <f t="shared" si="260"/>
        <v>2.1666666666666665</v>
      </c>
      <c r="AK480">
        <v>3</v>
      </c>
      <c r="AL480" s="17">
        <f t="shared" si="261"/>
        <v>0.5</v>
      </c>
      <c r="AM480">
        <v>5</v>
      </c>
      <c r="AN480" s="17">
        <f t="shared" si="262"/>
        <v>0.83333333333333337</v>
      </c>
      <c r="AO480">
        <v>2</v>
      </c>
      <c r="AQ480">
        <v>0</v>
      </c>
      <c r="AR480" s="17">
        <f t="shared" si="263"/>
        <v>0</v>
      </c>
      <c r="AS480">
        <v>10</v>
      </c>
      <c r="AT480" s="17">
        <f t="shared" si="264"/>
        <v>1.6666666666666667</v>
      </c>
      <c r="BD480" s="65">
        <f t="shared" si="265"/>
        <v>42.301184433164131</v>
      </c>
      <c r="BE480" s="65">
        <f t="shared" si="266"/>
        <v>35.714285714285715</v>
      </c>
      <c r="BF480" s="66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9.5442345394704962</v>
      </c>
      <c r="BG480" s="38">
        <f t="shared" si="267"/>
        <v>0.38095238095238093</v>
      </c>
      <c r="BH480" s="38">
        <f t="shared" si="268"/>
        <v>0.2857142857142857</v>
      </c>
      <c r="BI480" s="67">
        <f>IFERROR(((AG480*(12000/5))/((F480*60+G480)*(SUMIFS(팀공격력!X:X,팀공격력!A:A,B480,팀공격력!B:B,D480)+SUMIFS(팀수비력!X:X,팀수비력!A:A,B480,팀수비력!B:B,D480))))*100,"")</f>
        <v>1.432231575932144</v>
      </c>
      <c r="BJ480" s="67">
        <f>IFERROR(((AI480*(12000/5))/((F480*60+G480)*(SUMIFS(팀공격력!V:V,팀공격력!A:A,B480,팀공격력!B:B,D480)+SUMIFS(팀수비력!W:W,팀수비력!A:A,B480,팀수비력!B:B,D480))))*100,"")</f>
        <v>13.131092069157086</v>
      </c>
      <c r="BK480" s="67">
        <f>IFERROR(((AE480*(12000/5))/((F480*60+G480)*(SUMIFS(팀공격력!X:X,팀공격력!A:A,B480,팀공격력!B:B,D480)+SUMIFS(팀수비력!X:X,팀수비력!A:A,B480,팀수비력!B:B,D480))))*100,"")</f>
        <v>7.6385684049714353</v>
      </c>
      <c r="BL480" s="67">
        <f>IFERROR(100*AK480/(((((F480*60+G480)/(12000/5))*SUMIFS(팀공격력!P:P,팀공격력!A:A,B480,팀공격력!B:B,D480))-K480)),"")</f>
        <v>3.5831591519856669</v>
      </c>
      <c r="BM480" s="67">
        <f>IFERROR(100*((AM480/E480*(2400))/((F480*60+G480)*SUMIFS(팀공격력!AR:AR,팀공격력!A:A,B480,팀공격력!B:B,D480))),"")</f>
        <v>3.5798449599034035</v>
      </c>
      <c r="BN480" s="67">
        <f>IFERROR((AO480*40)/(((F480*60+G480)/60)*(SUMIFS(팀수비력!Q:Q,팀수비력!A:A,B480,팀수비력!B:B,D480)-SUMIFS(팀수비력!N:N,팀수비력!A:A,B480,팀수비력!B:B,D480)))*100,"")</f>
        <v>1.4645040823051296</v>
      </c>
      <c r="BO480" s="67">
        <f t="shared" si="269"/>
        <v>0</v>
      </c>
      <c r="BT480" t="s">
        <v>89</v>
      </c>
      <c r="BV480" t="s">
        <v>93</v>
      </c>
      <c r="CF480">
        <v>3</v>
      </c>
      <c r="CG480">
        <v>3</v>
      </c>
    </row>
    <row r="481" spans="1:85" x14ac:dyDescent="0.4">
      <c r="A481" s="11" t="s">
        <v>85</v>
      </c>
      <c r="B481" t="s">
        <v>245</v>
      </c>
      <c r="C481" t="s">
        <v>261</v>
      </c>
      <c r="D481" s="46" t="s">
        <v>307</v>
      </c>
      <c r="E481">
        <v>9</v>
      </c>
      <c r="F481">
        <v>17</v>
      </c>
      <c r="G481" s="1">
        <v>8</v>
      </c>
      <c r="H481" s="16">
        <f t="shared" si="244"/>
        <v>9252</v>
      </c>
      <c r="I481">
        <v>129</v>
      </c>
      <c r="J481" s="17">
        <f t="shared" si="245"/>
        <v>14.333333333333334</v>
      </c>
      <c r="K481">
        <v>47</v>
      </c>
      <c r="L481">
        <v>108</v>
      </c>
      <c r="M481" s="17">
        <f t="shared" si="246"/>
        <v>5.2222222222222223</v>
      </c>
      <c r="N481" s="17">
        <f t="shared" si="247"/>
        <v>12</v>
      </c>
      <c r="O481" s="18">
        <f t="shared" si="248"/>
        <v>0.43518518518518517</v>
      </c>
      <c r="P481">
        <v>32</v>
      </c>
      <c r="Q481">
        <v>63</v>
      </c>
      <c r="R481" s="17">
        <f t="shared" si="249"/>
        <v>3.5555555555555554</v>
      </c>
      <c r="S481" s="17">
        <f t="shared" si="250"/>
        <v>7</v>
      </c>
      <c r="T481" s="18">
        <f t="shared" si="251"/>
        <v>0.50793650793650791</v>
      </c>
      <c r="U481">
        <v>15</v>
      </c>
      <c r="V481">
        <v>45</v>
      </c>
      <c r="W481" s="17">
        <f t="shared" si="252"/>
        <v>1.6666666666666667</v>
      </c>
      <c r="X481" s="17">
        <f t="shared" si="253"/>
        <v>5</v>
      </c>
      <c r="Y481" s="18">
        <f t="shared" si="254"/>
        <v>0.33333333333333331</v>
      </c>
      <c r="Z481">
        <v>20</v>
      </c>
      <c r="AA481">
        <v>27</v>
      </c>
      <c r="AB481" s="17">
        <f t="shared" si="255"/>
        <v>2.2222222222222223</v>
      </c>
      <c r="AC481" s="17">
        <f t="shared" si="256"/>
        <v>3</v>
      </c>
      <c r="AD481" s="18">
        <f t="shared" si="257"/>
        <v>0.7407407407407407</v>
      </c>
      <c r="AE481">
        <v>53</v>
      </c>
      <c r="AF481" s="17">
        <f t="shared" si="258"/>
        <v>5.8888888888888893</v>
      </c>
      <c r="AG481">
        <v>14</v>
      </c>
      <c r="AH481" s="17">
        <f t="shared" si="259"/>
        <v>1.5555555555555556</v>
      </c>
      <c r="AI481">
        <v>39</v>
      </c>
      <c r="AJ481" s="17">
        <f t="shared" si="260"/>
        <v>4.333333333333333</v>
      </c>
      <c r="AK481">
        <v>13</v>
      </c>
      <c r="AL481" s="17">
        <f t="shared" si="261"/>
        <v>1.4444444444444444</v>
      </c>
      <c r="AM481">
        <v>5</v>
      </c>
      <c r="AN481" s="17">
        <f t="shared" si="262"/>
        <v>0.55555555555555558</v>
      </c>
      <c r="AO481">
        <v>5</v>
      </c>
      <c r="AQ481">
        <v>11</v>
      </c>
      <c r="AR481" s="17">
        <f t="shared" si="263"/>
        <v>1.2222222222222223</v>
      </c>
      <c r="AS481">
        <v>17</v>
      </c>
      <c r="AT481" s="17">
        <f t="shared" si="264"/>
        <v>1.8888888888888888</v>
      </c>
      <c r="BD481" s="65">
        <f t="shared" si="265"/>
        <v>53.80380380380381</v>
      </c>
      <c r="BE481" s="65">
        <f t="shared" si="266"/>
        <v>50.462962962962962</v>
      </c>
      <c r="BF481" s="66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39.270566038641661</v>
      </c>
      <c r="BG481" s="38">
        <f t="shared" si="267"/>
        <v>0.41666666666666669</v>
      </c>
      <c r="BH481" s="38">
        <f t="shared" si="268"/>
        <v>0.25</v>
      </c>
      <c r="BI481" s="67">
        <f>IFERROR(((AG481*(12000/5))/((F481*60+G481)*(SUMIFS(팀공격력!X:X,팀공격력!A:A,B481,팀공격력!B:B,D481)+SUMIFS(팀수비력!X:X,팀수비력!A:A,B481,팀수비력!B:B,D481))))*100,"")</f>
        <v>4.9672986174352181</v>
      </c>
      <c r="BJ481" s="67">
        <f>IFERROR(((AI481*(12000/5))/((F481*60+G481)*(SUMIFS(팀공격력!V:V,팀공격력!A:A,B481,팀공격력!B:B,D481)+SUMIFS(팀수비력!W:W,팀수비력!A:A,B481,팀수비력!B:B,D481))))*100,"")</f>
        <v>29.276715002439722</v>
      </c>
      <c r="BK481" s="67">
        <f>IFERROR(((AE481*(12000/5))/((F481*60+G481)*(SUMIFS(팀공격력!X:X,팀공격력!A:A,B481,팀공격력!B:B,D481)+SUMIFS(팀수비력!X:X,팀수비력!A:A,B481,팀수비력!B:B,D481))))*100,"")</f>
        <v>18.804773337433325</v>
      </c>
      <c r="BL481" s="67">
        <f>IFERROR(100*AK481/(((((F481*60+G481)/(12000/5))*SUMIFS(팀공격력!P:P,팀공격력!A:A,B481,팀공격력!B:B,D481))-K481)),"")</f>
        <v>17.316017316017316</v>
      </c>
      <c r="BM481" s="67">
        <f>IFERROR(100*((AM481/E481*(2400))/((F481*60+G481)*SUMIFS(팀공격력!AR:AR,팀공격력!A:A,B481,팀공격력!B:B,D481))),"")</f>
        <v>1.7736715624942934</v>
      </c>
      <c r="BN481" s="67">
        <f>IFERROR((AO481*40)/(((F481*60+G481)/60)*(SUMIFS(팀수비력!Q:Q,팀수비력!A:A,B481,팀수비력!B:B,D481)-SUMIFS(팀수비력!N:N,팀수비력!A:A,B481,팀수비력!B:B,D481)))*100,"")</f>
        <v>2.7210143941661453</v>
      </c>
      <c r="BO481" s="67">
        <f t="shared" si="269"/>
        <v>8.4046454767726164</v>
      </c>
      <c r="BT481" t="s">
        <v>96</v>
      </c>
      <c r="BV481" t="s">
        <v>93</v>
      </c>
      <c r="CF481">
        <v>4</v>
      </c>
      <c r="CG481">
        <v>5</v>
      </c>
    </row>
    <row r="482" spans="1:85" x14ac:dyDescent="0.4">
      <c r="A482" s="11" t="s">
        <v>85</v>
      </c>
      <c r="B482" t="s">
        <v>245</v>
      </c>
      <c r="C482" t="s">
        <v>262</v>
      </c>
      <c r="D482" s="46" t="s">
        <v>307</v>
      </c>
      <c r="E482">
        <v>9</v>
      </c>
      <c r="F482">
        <v>21</v>
      </c>
      <c r="G482" s="1">
        <v>45</v>
      </c>
      <c r="H482" s="16">
        <f t="shared" si="244"/>
        <v>11745</v>
      </c>
      <c r="I482">
        <v>74</v>
      </c>
      <c r="J482" s="17">
        <f t="shared" si="245"/>
        <v>8.2222222222222214</v>
      </c>
      <c r="K482">
        <v>30</v>
      </c>
      <c r="L482">
        <v>48</v>
      </c>
      <c r="M482" s="17">
        <f t="shared" si="246"/>
        <v>3.3333333333333335</v>
      </c>
      <c r="N482" s="17">
        <f t="shared" si="247"/>
        <v>5.333333333333333</v>
      </c>
      <c r="O482" s="18">
        <f t="shared" si="248"/>
        <v>0.625</v>
      </c>
      <c r="P482">
        <v>28</v>
      </c>
      <c r="Q482">
        <v>41</v>
      </c>
      <c r="R482" s="17">
        <f t="shared" si="249"/>
        <v>3.1111111111111112</v>
      </c>
      <c r="S482" s="17">
        <f t="shared" si="250"/>
        <v>4.5555555555555554</v>
      </c>
      <c r="T482" s="18">
        <f t="shared" si="251"/>
        <v>0.68292682926829273</v>
      </c>
      <c r="U482">
        <v>2</v>
      </c>
      <c r="V482">
        <v>7</v>
      </c>
      <c r="W482" s="17">
        <f t="shared" si="252"/>
        <v>0.22222222222222221</v>
      </c>
      <c r="X482" s="17">
        <f t="shared" si="253"/>
        <v>0.77777777777777779</v>
      </c>
      <c r="Y482" s="18">
        <f t="shared" si="254"/>
        <v>0.2857142857142857</v>
      </c>
      <c r="Z482">
        <v>12</v>
      </c>
      <c r="AA482">
        <v>18</v>
      </c>
      <c r="AB482" s="17">
        <f t="shared" si="255"/>
        <v>1.3333333333333333</v>
      </c>
      <c r="AC482" s="17">
        <f t="shared" si="256"/>
        <v>2</v>
      </c>
      <c r="AD482" s="18">
        <f t="shared" si="257"/>
        <v>0.66666666666666663</v>
      </c>
      <c r="AE482">
        <v>39</v>
      </c>
      <c r="AF482" s="17">
        <f t="shared" si="258"/>
        <v>4.333333333333333</v>
      </c>
      <c r="AG482">
        <v>16</v>
      </c>
      <c r="AH482" s="17">
        <f t="shared" si="259"/>
        <v>1.7777777777777777</v>
      </c>
      <c r="AI482">
        <v>23</v>
      </c>
      <c r="AJ482" s="17">
        <f t="shared" si="260"/>
        <v>2.5555555555555554</v>
      </c>
      <c r="AK482">
        <v>31</v>
      </c>
      <c r="AL482" s="17">
        <f t="shared" si="261"/>
        <v>3.4444444444444446</v>
      </c>
      <c r="AM482">
        <v>3</v>
      </c>
      <c r="AN482" s="17">
        <f t="shared" si="262"/>
        <v>0.33333333333333331</v>
      </c>
      <c r="AO482">
        <v>3</v>
      </c>
      <c r="AQ482">
        <v>3</v>
      </c>
      <c r="AR482" s="17">
        <f t="shared" si="263"/>
        <v>0.33333333333333331</v>
      </c>
      <c r="AS482">
        <v>12</v>
      </c>
      <c r="AT482" s="17">
        <f t="shared" si="264"/>
        <v>1.3333333333333333</v>
      </c>
      <c r="BD482" s="65">
        <f t="shared" si="265"/>
        <v>66.165951359084403</v>
      </c>
      <c r="BE482" s="65">
        <f t="shared" si="266"/>
        <v>64.583333333333343</v>
      </c>
      <c r="BF482" s="66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13.926411254582456</v>
      </c>
      <c r="BG482" s="38">
        <f t="shared" si="267"/>
        <v>0.14583333333333334</v>
      </c>
      <c r="BH482" s="38">
        <f t="shared" si="268"/>
        <v>0.375</v>
      </c>
      <c r="BI482" s="67">
        <f>IFERROR(((AG482*(12000/5))/((F482*60+G482)*(SUMIFS(팀공격력!X:X,팀공격력!A:A,B482,팀공격력!B:B,D482)+SUMIFS(팀수비력!X:X,팀수비력!A:A,B482,팀수비력!B:B,D482))))*100,"")</f>
        <v>4.4719281696537747</v>
      </c>
      <c r="BJ482" s="67">
        <f>IFERROR(((AI482*(12000/5))/((F482*60+G482)*(SUMIFS(팀공격력!V:V,팀공격력!A:A,B482,팀공격력!B:B,D482)+SUMIFS(팀수비력!W:W,팀수비력!A:A,B482,팀수비력!B:B,D482))))*100,"")</f>
        <v>13.600916583508887</v>
      </c>
      <c r="BK482" s="67">
        <f>IFERROR(((AE482*(12000/5))/((F482*60+G482)*(SUMIFS(팀공격력!X:X,팀공격력!A:A,B482,팀공격력!B:B,D482)+SUMIFS(팀수비력!X:X,팀수비력!A:A,B482,팀수비력!B:B,D482))))*100,"")</f>
        <v>10.900324913531076</v>
      </c>
      <c r="BL482" s="67">
        <f>IFERROR(100*AK482/(((((F482*60+G482)/(12000/5))*SUMIFS(팀공격력!P:P,팀공격력!A:A,B482,팀공격력!B:B,D482))-K482)),"")</f>
        <v>24.806201550387598</v>
      </c>
      <c r="BM482" s="67">
        <f>IFERROR(100*((AM482/E482*(2400))/((F482*60+G482)*SUMIFS(팀공격력!AR:AR,팀공격력!A:A,B482,팀공격력!B:B,D482))),"")</f>
        <v>0.83831465114672787</v>
      </c>
      <c r="BN482" s="67">
        <f>IFERROR((AO482*40)/(((F482*60+G482)/60)*(SUMIFS(팀수비력!Q:Q,팀수비력!A:A,B482,팀수비력!B:B,D482)-SUMIFS(팀수비력!N:N,팀수비력!A:A,B482,팀수비력!B:B,D482)))*100,"")</f>
        <v>1.2860702515874929</v>
      </c>
      <c r="BO482" s="67">
        <f t="shared" si="269"/>
        <v>5.0916496945010179</v>
      </c>
      <c r="BT482" t="s">
        <v>89</v>
      </c>
      <c r="BV482" t="s">
        <v>93</v>
      </c>
      <c r="CF482">
        <v>4</v>
      </c>
      <c r="CG482">
        <v>5</v>
      </c>
    </row>
    <row r="483" spans="1:85" x14ac:dyDescent="0.4">
      <c r="A483" s="11" t="s">
        <v>85</v>
      </c>
      <c r="B483" t="s">
        <v>263</v>
      </c>
      <c r="C483" t="s">
        <v>264</v>
      </c>
      <c r="D483" s="46" t="s">
        <v>307</v>
      </c>
      <c r="E483">
        <v>9</v>
      </c>
      <c r="F483">
        <v>29</v>
      </c>
      <c r="G483" s="1">
        <v>49</v>
      </c>
      <c r="H483" s="16">
        <f t="shared" si="244"/>
        <v>16101</v>
      </c>
      <c r="I483">
        <v>124</v>
      </c>
      <c r="J483" s="17">
        <f t="shared" si="245"/>
        <v>13.777777777777779</v>
      </c>
      <c r="K483">
        <v>48</v>
      </c>
      <c r="L483">
        <v>90</v>
      </c>
      <c r="M483" s="17">
        <f t="shared" si="246"/>
        <v>5.333333333333333</v>
      </c>
      <c r="N483" s="17">
        <f t="shared" si="247"/>
        <v>10</v>
      </c>
      <c r="O483" s="18">
        <f t="shared" si="248"/>
        <v>0.53333333333333333</v>
      </c>
      <c r="P483">
        <v>32</v>
      </c>
      <c r="Q483">
        <v>50</v>
      </c>
      <c r="R483" s="17">
        <f t="shared" si="249"/>
        <v>3.5555555555555554</v>
      </c>
      <c r="S483" s="17">
        <f t="shared" si="250"/>
        <v>5.5555555555555554</v>
      </c>
      <c r="T483" s="18">
        <f t="shared" si="251"/>
        <v>0.64</v>
      </c>
      <c r="U483">
        <v>16</v>
      </c>
      <c r="V483">
        <v>40</v>
      </c>
      <c r="W483" s="17">
        <f t="shared" si="252"/>
        <v>1.7777777777777777</v>
      </c>
      <c r="X483" s="17">
        <f t="shared" si="253"/>
        <v>4.4444444444444446</v>
      </c>
      <c r="Y483" s="18">
        <f t="shared" si="254"/>
        <v>0.4</v>
      </c>
      <c r="Z483">
        <v>12</v>
      </c>
      <c r="AA483">
        <v>17</v>
      </c>
      <c r="AB483" s="17">
        <f t="shared" si="255"/>
        <v>1.3333333333333333</v>
      </c>
      <c r="AC483" s="17">
        <f t="shared" si="256"/>
        <v>1.8888888888888888</v>
      </c>
      <c r="AD483" s="18">
        <f t="shared" si="257"/>
        <v>0.70588235294117652</v>
      </c>
      <c r="AE483">
        <v>49</v>
      </c>
      <c r="AF483" s="17">
        <f t="shared" si="258"/>
        <v>5.4444444444444446</v>
      </c>
      <c r="AG483">
        <v>16</v>
      </c>
      <c r="AH483" s="17">
        <f t="shared" si="259"/>
        <v>1.7777777777777777</v>
      </c>
      <c r="AI483">
        <v>33</v>
      </c>
      <c r="AJ483" s="17">
        <f t="shared" si="260"/>
        <v>3.6666666666666665</v>
      </c>
      <c r="AK483">
        <v>28</v>
      </c>
      <c r="AL483" s="17">
        <f t="shared" si="261"/>
        <v>3.1111111111111112</v>
      </c>
      <c r="AM483">
        <v>14</v>
      </c>
      <c r="AN483" s="17">
        <f t="shared" si="262"/>
        <v>1.5555555555555556</v>
      </c>
      <c r="AO483">
        <v>2</v>
      </c>
      <c r="AQ483">
        <v>23</v>
      </c>
      <c r="AR483" s="17">
        <f t="shared" si="263"/>
        <v>2.5555555555555554</v>
      </c>
      <c r="AS483">
        <v>16</v>
      </c>
      <c r="AT483" s="17">
        <f t="shared" si="264"/>
        <v>1.7777777777777777</v>
      </c>
      <c r="BD483" s="65">
        <f t="shared" si="265"/>
        <v>63.602790315962245</v>
      </c>
      <c r="BE483" s="65">
        <f t="shared" si="266"/>
        <v>62.222222222222221</v>
      </c>
      <c r="BF483" s="66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20.760895672047695</v>
      </c>
      <c r="BG483" s="38">
        <f t="shared" si="267"/>
        <v>0.44444444444444442</v>
      </c>
      <c r="BH483" s="38">
        <f t="shared" si="268"/>
        <v>0.18888888888888888</v>
      </c>
      <c r="BI483" s="67">
        <f>IFERROR(((AG483*(12000/5))/((F483*60+G483)*(SUMIFS(팀공격력!X:X,팀공격력!A:A,B483,팀공격력!B:B,D483)+SUMIFS(팀수비력!X:X,팀수비력!A:A,B483,팀수비력!B:B,D483))))*100,"")</f>
        <v>3.2521977742771484</v>
      </c>
      <c r="BJ483" s="67">
        <f>IFERROR(((AI483*(12000/5))/((F483*60+G483)*(SUMIFS(팀공격력!V:V,팀공격력!A:A,B483,팀공격력!B:B,D483)+SUMIFS(팀수비력!W:W,팀수비력!A:A,B483,팀수비력!B:B,D483))))*100,"")</f>
        <v>15.006963458422943</v>
      </c>
      <c r="BK483" s="67">
        <f>IFERROR(((AE483*(12000/5))/((F483*60+G483)*(SUMIFS(팀공격력!X:X,팀공격력!A:A,B483,팀공격력!B:B,D483)+SUMIFS(팀수비력!X:X,팀수비력!A:A,B483,팀수비력!B:B,D483))))*100,"")</f>
        <v>9.9598556837237666</v>
      </c>
      <c r="BL483" s="67">
        <f>IFERROR(100*AK483/(((((F483*60+G483)/(12000/5))*SUMIFS(팀공격력!P:P,팀공격력!A:A,B483,팀공격력!B:B,D483))-K483)),"")</f>
        <v>15.419492808825826</v>
      </c>
      <c r="BM483" s="67">
        <f>IFERROR(100*((AM483/E483*(2400))/((F483*60+G483)*SUMIFS(팀공격력!AR:AR,팀공격력!A:A,B483,팀공격력!B:B,D483))),"")</f>
        <v>2.78576532317549</v>
      </c>
      <c r="BN483" s="67">
        <f>IFERROR((AO483*40)/(((F483*60+G483)/60)*(SUMIFS(팀수비력!Q:Q,팀수비력!A:A,B483,팀수비력!B:B,D483)-SUMIFS(팀수비력!N:N,팀수비력!A:A,B483,팀수비력!B:B,D483)))*100,"")</f>
        <v>0.62542264889945154</v>
      </c>
      <c r="BO483" s="67">
        <f t="shared" si="269"/>
        <v>19.090305444887118</v>
      </c>
      <c r="BT483" t="s">
        <v>89</v>
      </c>
      <c r="BV483" t="s">
        <v>93</v>
      </c>
      <c r="CF483">
        <v>7</v>
      </c>
      <c r="CG483">
        <v>2</v>
      </c>
    </row>
    <row r="484" spans="1:85" x14ac:dyDescent="0.4">
      <c r="A484" s="11" t="s">
        <v>85</v>
      </c>
      <c r="B484" t="s">
        <v>263</v>
      </c>
      <c r="C484" t="s">
        <v>266</v>
      </c>
      <c r="D484" s="46" t="s">
        <v>307</v>
      </c>
      <c r="E484">
        <v>9</v>
      </c>
      <c r="F484">
        <v>13</v>
      </c>
      <c r="G484" s="1">
        <v>5</v>
      </c>
      <c r="H484" s="16">
        <f t="shared" si="244"/>
        <v>7065</v>
      </c>
      <c r="I484">
        <v>32</v>
      </c>
      <c r="J484" s="17">
        <f t="shared" si="245"/>
        <v>3.5555555555555554</v>
      </c>
      <c r="K484">
        <v>12</v>
      </c>
      <c r="L484">
        <v>25</v>
      </c>
      <c r="M484" s="17">
        <f t="shared" si="246"/>
        <v>1.3333333333333333</v>
      </c>
      <c r="N484" s="17">
        <f t="shared" si="247"/>
        <v>2.7777777777777777</v>
      </c>
      <c r="O484" s="18">
        <f t="shared" si="248"/>
        <v>0.48</v>
      </c>
      <c r="P484">
        <v>4</v>
      </c>
      <c r="Q484">
        <v>7</v>
      </c>
      <c r="R484" s="17">
        <f t="shared" si="249"/>
        <v>0.44444444444444442</v>
      </c>
      <c r="S484" s="17">
        <f t="shared" si="250"/>
        <v>0.77777777777777779</v>
      </c>
      <c r="T484" s="18">
        <f t="shared" si="251"/>
        <v>0.5714285714285714</v>
      </c>
      <c r="U484">
        <v>8</v>
      </c>
      <c r="V484">
        <v>18</v>
      </c>
      <c r="W484" s="17">
        <f t="shared" si="252"/>
        <v>0.88888888888888884</v>
      </c>
      <c r="X484" s="17">
        <f t="shared" si="253"/>
        <v>2</v>
      </c>
      <c r="Y484" s="18">
        <f t="shared" si="254"/>
        <v>0.44444444444444442</v>
      </c>
      <c r="Z484">
        <v>0</v>
      </c>
      <c r="AA484">
        <v>0</v>
      </c>
      <c r="AB484" s="17">
        <f t="shared" si="255"/>
        <v>0</v>
      </c>
      <c r="AC484" s="17">
        <f t="shared" si="256"/>
        <v>0</v>
      </c>
      <c r="AD484" s="18" t="e">
        <f t="shared" si="257"/>
        <v>#DIV/0!</v>
      </c>
      <c r="AE484">
        <v>16</v>
      </c>
      <c r="AF484" s="17">
        <f t="shared" si="258"/>
        <v>1.7777777777777777</v>
      </c>
      <c r="AG484">
        <v>2</v>
      </c>
      <c r="AH484" s="17">
        <f t="shared" si="259"/>
        <v>0.22222222222222221</v>
      </c>
      <c r="AI484">
        <v>14</v>
      </c>
      <c r="AJ484" s="17">
        <f t="shared" si="260"/>
        <v>1.5555555555555556</v>
      </c>
      <c r="AK484">
        <v>3</v>
      </c>
      <c r="AL484" s="17">
        <f t="shared" si="261"/>
        <v>0.33333333333333331</v>
      </c>
      <c r="AM484">
        <v>4</v>
      </c>
      <c r="AN484" s="17">
        <f t="shared" si="262"/>
        <v>0.44444444444444442</v>
      </c>
      <c r="AO484">
        <v>0</v>
      </c>
      <c r="AQ484">
        <v>1</v>
      </c>
      <c r="AR484" s="17">
        <f t="shared" si="263"/>
        <v>0.1111111111111111</v>
      </c>
      <c r="AS484">
        <v>17</v>
      </c>
      <c r="AT484" s="17">
        <f t="shared" si="264"/>
        <v>1.8888888888888888</v>
      </c>
      <c r="BD484" s="65">
        <f t="shared" si="265"/>
        <v>64</v>
      </c>
      <c r="BE484" s="65">
        <f t="shared" si="266"/>
        <v>64</v>
      </c>
      <c r="BF484" s="66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10.210456489219624</v>
      </c>
      <c r="BG484" s="38">
        <f t="shared" si="267"/>
        <v>0.72</v>
      </c>
      <c r="BH484" s="38">
        <f t="shared" si="268"/>
        <v>0</v>
      </c>
      <c r="BI484" s="67">
        <f>IFERROR(((AG484*(12000/5))/((F484*60+G484)*(SUMIFS(팀공격력!X:X,팀공격력!A:A,B484,팀공격력!B:B,D484)+SUMIFS(팀수비력!X:X,팀수비력!A:A,B484,팀수비력!B:B,D484))))*100,"")</f>
        <v>0.92646207295888816</v>
      </c>
      <c r="BJ484" s="67">
        <f>IFERROR(((AI484*(12000/5))/((F484*60+G484)*(SUMIFS(팀공격력!V:V,팀공격력!A:A,B484,팀공격력!B:B,D484)+SUMIFS(팀수비력!W:W,팀수비력!A:A,B484,팀수비력!B:B,D484))))*100,"")</f>
        <v>14.509338227356148</v>
      </c>
      <c r="BK484" s="67">
        <f>IFERROR(((AE484*(12000/5))/((F484*60+G484)*(SUMIFS(팀공격력!X:X,팀공격력!A:A,B484,팀공격력!B:B,D484)+SUMIFS(팀수비력!X:X,팀수비력!A:A,B484,팀수비력!B:B,D484))))*100,"")</f>
        <v>7.4116965836711053</v>
      </c>
      <c r="BL484" s="67">
        <f>IFERROR(100*AK484/(((((F484*60+G484)/(12000/5))*SUMIFS(팀공격력!P:P,팀공격력!A:A,B484,팀공격력!B:B,D484))-K484)),"")</f>
        <v>3.3805991172880079</v>
      </c>
      <c r="BM484" s="67">
        <f>IFERROR(100*((AM484/E484*(2400))/((F484*60+G484)*SUMIFS(팀공격력!AR:AR,팀공격력!A:A,B484,팀공격력!B:B,D484))),"")</f>
        <v>1.8139159829521203</v>
      </c>
      <c r="BN484" s="67">
        <f>IFERROR((AO484*40)/(((F484*60+G484)/60)*(SUMIFS(팀수비력!Q:Q,팀수비력!A:A,B484,팀수비력!B:B,D484)-SUMIFS(팀수비력!N:N,팀수비력!A:A,B484,팀수비력!B:B,D484)))*100,"")</f>
        <v>0</v>
      </c>
      <c r="BO484" s="67">
        <f t="shared" si="269"/>
        <v>3.8461538461538463</v>
      </c>
      <c r="BT484" t="s">
        <v>89</v>
      </c>
      <c r="BV484" t="s">
        <v>90</v>
      </c>
      <c r="CF484">
        <v>7</v>
      </c>
      <c r="CG484">
        <v>2</v>
      </c>
    </row>
    <row r="485" spans="1:85" x14ac:dyDescent="0.4">
      <c r="A485" s="11" t="s">
        <v>85</v>
      </c>
      <c r="B485" t="s">
        <v>263</v>
      </c>
      <c r="C485" t="s">
        <v>267</v>
      </c>
      <c r="D485" s="46" t="s">
        <v>307</v>
      </c>
      <c r="E485">
        <v>9</v>
      </c>
      <c r="F485">
        <v>23</v>
      </c>
      <c r="G485" s="1">
        <v>54</v>
      </c>
      <c r="H485" s="16">
        <f t="shared" si="244"/>
        <v>12906</v>
      </c>
      <c r="I485">
        <v>125</v>
      </c>
      <c r="J485" s="17">
        <f t="shared" si="245"/>
        <v>13.888888888888889</v>
      </c>
      <c r="K485">
        <v>49</v>
      </c>
      <c r="L485">
        <v>71</v>
      </c>
      <c r="M485" s="17">
        <f t="shared" si="246"/>
        <v>5.4444444444444446</v>
      </c>
      <c r="N485" s="17">
        <f t="shared" si="247"/>
        <v>7.8888888888888893</v>
      </c>
      <c r="O485" s="18">
        <f t="shared" si="248"/>
        <v>0.6901408450704225</v>
      </c>
      <c r="P485">
        <v>46</v>
      </c>
      <c r="Q485">
        <v>65</v>
      </c>
      <c r="R485" s="17">
        <f t="shared" si="249"/>
        <v>5.1111111111111107</v>
      </c>
      <c r="S485" s="17">
        <f t="shared" si="250"/>
        <v>7.2222222222222223</v>
      </c>
      <c r="T485" s="18">
        <f t="shared" si="251"/>
        <v>0.70769230769230773</v>
      </c>
      <c r="U485">
        <v>3</v>
      </c>
      <c r="V485">
        <v>6</v>
      </c>
      <c r="W485" s="17">
        <f t="shared" si="252"/>
        <v>0.33333333333333331</v>
      </c>
      <c r="X485" s="17">
        <f t="shared" si="253"/>
        <v>0.66666666666666663</v>
      </c>
      <c r="Y485" s="18">
        <f t="shared" si="254"/>
        <v>0.5</v>
      </c>
      <c r="Z485">
        <v>24</v>
      </c>
      <c r="AA485">
        <v>28</v>
      </c>
      <c r="AB485" s="17">
        <f t="shared" si="255"/>
        <v>2.6666666666666665</v>
      </c>
      <c r="AC485" s="17">
        <f t="shared" si="256"/>
        <v>3.1111111111111112</v>
      </c>
      <c r="AD485" s="18">
        <f t="shared" si="257"/>
        <v>0.8571428571428571</v>
      </c>
      <c r="AE485">
        <v>55</v>
      </c>
      <c r="AF485" s="17">
        <f t="shared" si="258"/>
        <v>6.1111111111111107</v>
      </c>
      <c r="AG485">
        <v>17</v>
      </c>
      <c r="AH485" s="17">
        <f t="shared" si="259"/>
        <v>1.8888888888888888</v>
      </c>
      <c r="AI485">
        <v>38</v>
      </c>
      <c r="AJ485" s="17">
        <f t="shared" si="260"/>
        <v>4.2222222222222223</v>
      </c>
      <c r="AK485">
        <v>8</v>
      </c>
      <c r="AL485" s="17">
        <f t="shared" si="261"/>
        <v>0.88888888888888884</v>
      </c>
      <c r="AM485">
        <v>6</v>
      </c>
      <c r="AN485" s="17">
        <f t="shared" si="262"/>
        <v>0.66666666666666663</v>
      </c>
      <c r="AO485">
        <v>10</v>
      </c>
      <c r="AQ485">
        <v>9</v>
      </c>
      <c r="AR485" s="17">
        <f t="shared" si="263"/>
        <v>1</v>
      </c>
      <c r="AS485">
        <v>25</v>
      </c>
      <c r="AT485" s="17">
        <f t="shared" si="264"/>
        <v>2.7777777777777777</v>
      </c>
      <c r="BD485" s="65">
        <f t="shared" si="265"/>
        <v>75.012001920307256</v>
      </c>
      <c r="BE485" s="65">
        <f t="shared" si="266"/>
        <v>71.126760563380287</v>
      </c>
      <c r="BF485" s="66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19.846691189827624</v>
      </c>
      <c r="BG485" s="38">
        <f t="shared" si="267"/>
        <v>8.4507042253521125E-2</v>
      </c>
      <c r="BH485" s="38">
        <f t="shared" si="268"/>
        <v>0.39436619718309857</v>
      </c>
      <c r="BI485" s="67">
        <f>IFERROR(((AG485*(12000/5))/((F485*60+G485)*(SUMIFS(팀공격력!X:X,팀공격력!A:A,B485,팀공격력!B:B,D485)+SUMIFS(팀수비력!X:X,팀수비력!A:A,B485,팀수비력!B:B,D485))))*100,"")</f>
        <v>4.3108913401800431</v>
      </c>
      <c r="BJ485" s="67">
        <f>IFERROR(((AI485*(12000/5))/((F485*60+G485)*(SUMIFS(팀공격력!V:V,팀공격력!A:A,B485,팀공격력!B:B,D485)+SUMIFS(팀수비력!W:W,팀수비력!A:A,B485,팀수비력!B:B,D485))))*100,"")</f>
        <v>21.55875469824835</v>
      </c>
      <c r="BK485" s="67">
        <f>IFERROR(((AE485*(12000/5))/((F485*60+G485)*(SUMIFS(팀공격력!X:X,팀공격력!A:A,B485,팀공격력!B:B,D485)+SUMIFS(팀수비력!X:X,팀수비력!A:A,B485,팀수비력!B:B,D485))))*100,"")</f>
        <v>13.947001394700139</v>
      </c>
      <c r="BL485" s="67">
        <f>IFERROR(100*AK485/(((((F485*60+G485)/(12000/5))*SUMIFS(팀공격력!P:P,팀공격력!A:A,B485,팀공격력!B:B,D485))-K485)),"")</f>
        <v>5.924609346071243</v>
      </c>
      <c r="BM485" s="67">
        <f>IFERROR(100*((AM485/E485*(2400))/((F485*60+G485)*SUMIFS(팀공격력!AR:AR,팀공격력!A:A,B485,팀공격력!B:B,D485))),"")</f>
        <v>1.4894602998090114</v>
      </c>
      <c r="BN485" s="67">
        <f>IFERROR((AO485*40)/(((F485*60+G485)/60)*(SUMIFS(팀수비력!Q:Q,팀수비력!A:A,B485,팀수비력!B:B,D485)-SUMIFS(팀수비력!N:N,팀수비력!A:A,B485,팀수비력!B:B,D485)))*100,"")</f>
        <v>3.9012591313846552</v>
      </c>
      <c r="BO485" s="67">
        <f t="shared" si="269"/>
        <v>9.7487001733102261</v>
      </c>
      <c r="BT485" t="s">
        <v>89</v>
      </c>
      <c r="BV485" t="s">
        <v>102</v>
      </c>
      <c r="CF485">
        <v>7</v>
      </c>
      <c r="CG485">
        <v>2</v>
      </c>
    </row>
    <row r="486" spans="1:85" x14ac:dyDescent="0.4">
      <c r="A486" s="11" t="s">
        <v>85</v>
      </c>
      <c r="B486" t="s">
        <v>263</v>
      </c>
      <c r="C486" t="s">
        <v>268</v>
      </c>
      <c r="D486" s="46" t="s">
        <v>307</v>
      </c>
      <c r="E486">
        <v>8</v>
      </c>
      <c r="F486">
        <v>3</v>
      </c>
      <c r="G486" s="1">
        <v>46</v>
      </c>
      <c r="H486" s="16">
        <f t="shared" si="244"/>
        <v>1808</v>
      </c>
      <c r="I486">
        <v>11</v>
      </c>
      <c r="J486" s="17">
        <f t="shared" si="245"/>
        <v>1.375</v>
      </c>
      <c r="K486">
        <v>4</v>
      </c>
      <c r="L486">
        <v>5</v>
      </c>
      <c r="M486" s="17">
        <f t="shared" si="246"/>
        <v>0.5</v>
      </c>
      <c r="N486" s="17">
        <f t="shared" si="247"/>
        <v>0.625</v>
      </c>
      <c r="O486" s="18">
        <f t="shared" si="248"/>
        <v>0.8</v>
      </c>
      <c r="P486">
        <v>2</v>
      </c>
      <c r="Q486">
        <v>2</v>
      </c>
      <c r="R486" s="17">
        <f t="shared" si="249"/>
        <v>0.25</v>
      </c>
      <c r="S486" s="17">
        <f t="shared" si="250"/>
        <v>0.25</v>
      </c>
      <c r="T486" s="18">
        <f t="shared" si="251"/>
        <v>1</v>
      </c>
      <c r="U486">
        <v>2</v>
      </c>
      <c r="V486">
        <v>3</v>
      </c>
      <c r="W486" s="17">
        <f t="shared" si="252"/>
        <v>0.25</v>
      </c>
      <c r="X486" s="17">
        <f t="shared" si="253"/>
        <v>0.375</v>
      </c>
      <c r="Y486" s="18">
        <f t="shared" si="254"/>
        <v>0.66666666666666663</v>
      </c>
      <c r="Z486">
        <v>1</v>
      </c>
      <c r="AA486">
        <v>1</v>
      </c>
      <c r="AB486" s="17">
        <f t="shared" si="255"/>
        <v>0.125</v>
      </c>
      <c r="AC486" s="17">
        <f t="shared" si="256"/>
        <v>0.125</v>
      </c>
      <c r="AD486" s="18">
        <f t="shared" si="257"/>
        <v>1</v>
      </c>
      <c r="AE486">
        <v>2</v>
      </c>
      <c r="AF486" s="17">
        <f t="shared" si="258"/>
        <v>0.25</v>
      </c>
      <c r="AG486">
        <v>0</v>
      </c>
      <c r="AH486" s="17">
        <f t="shared" si="259"/>
        <v>0</v>
      </c>
      <c r="AI486">
        <v>2</v>
      </c>
      <c r="AJ486" s="17">
        <f t="shared" si="260"/>
        <v>0.25</v>
      </c>
      <c r="AK486">
        <v>4</v>
      </c>
      <c r="AL486" s="17">
        <f t="shared" si="261"/>
        <v>0.5</v>
      </c>
      <c r="AM486">
        <v>1</v>
      </c>
      <c r="AN486" s="17">
        <f t="shared" si="262"/>
        <v>0.125</v>
      </c>
      <c r="AO486">
        <v>0</v>
      </c>
      <c r="AQ486">
        <v>5</v>
      </c>
      <c r="AR486" s="17">
        <f t="shared" si="263"/>
        <v>0.625</v>
      </c>
      <c r="AS486">
        <v>4</v>
      </c>
      <c r="AT486" s="17">
        <f t="shared" si="264"/>
        <v>0.5</v>
      </c>
      <c r="BD486" s="65">
        <f t="shared" si="265"/>
        <v>101.10294117647058</v>
      </c>
      <c r="BE486" s="65">
        <f t="shared" si="266"/>
        <v>100</v>
      </c>
      <c r="BF486" s="66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14.240771802544337</v>
      </c>
      <c r="BG486" s="38">
        <f t="shared" si="267"/>
        <v>0.6</v>
      </c>
      <c r="BH486" s="38">
        <f t="shared" si="268"/>
        <v>0.2</v>
      </c>
      <c r="BI486" s="67">
        <f>IFERROR(((AG486*(12000/5))/((F486*60+G486)*(SUMIFS(팀공격력!X:X,팀공격력!A:A,B486,팀공격력!B:B,D486)+SUMIFS(팀수비력!X:X,팀수비력!A:A,B486,팀수비력!B:B,D486))))*100,"")</f>
        <v>0</v>
      </c>
      <c r="BJ486" s="67">
        <f>IFERROR(((AI486*(12000/5))/((F486*60+G486)*(SUMIFS(팀공격력!V:V,팀공격력!A:A,B486,팀공격력!B:B,D486)+SUMIFS(팀수비력!W:W,팀수비력!A:A,B486,팀수비력!B:B,D486))))*100,"")</f>
        <v>7.1996400179990996</v>
      </c>
      <c r="BK486" s="67">
        <f>IFERROR(((AE486*(12000/5))/((F486*60+G486)*(SUMIFS(팀공격력!X:X,팀공격력!A:A,B486,팀공격력!B:B,D486)+SUMIFS(팀수비력!X:X,팀수비력!A:A,B486,팀수비력!B:B,D486))))*100,"")</f>
        <v>3.2180209171359615</v>
      </c>
      <c r="BL486" s="67">
        <f>IFERROR(100*AK486/(((((F486*60+G486)/(12000/5))*SUMIFS(팀공격력!P:P,팀공격력!A:A,B486,팀공격력!B:B,D486))-K486)),"")</f>
        <v>15.997866951073192</v>
      </c>
      <c r="BM486" s="67">
        <f>IFERROR(100*((AM486/E486*(2400))/((F486*60+G486)*SUMIFS(팀공격력!AR:AR,팀공격력!A:A,B486,팀공격력!B:B,D486))),"")</f>
        <v>1.772029372173221</v>
      </c>
      <c r="BN486" s="67">
        <f>IFERROR((AO486*40)/(((F486*60+G486)/60)*(SUMIFS(팀수비력!Q:Q,팀수비력!A:A,B486,팀수비력!B:B,D486)-SUMIFS(팀수비력!N:N,팀수비력!A:A,B486,팀수비력!B:B,D486)))*100,"")</f>
        <v>0</v>
      </c>
      <c r="BO486" s="67">
        <f t="shared" si="269"/>
        <v>47.892720306513404</v>
      </c>
      <c r="BT486" t="s">
        <v>89</v>
      </c>
      <c r="BV486" t="s">
        <v>90</v>
      </c>
      <c r="CF486">
        <v>7</v>
      </c>
      <c r="CG486">
        <v>1</v>
      </c>
    </row>
    <row r="487" spans="1:85" x14ac:dyDescent="0.4">
      <c r="A487" s="11" t="s">
        <v>85</v>
      </c>
      <c r="B487" t="s">
        <v>263</v>
      </c>
      <c r="C487" t="s">
        <v>272</v>
      </c>
      <c r="D487" s="46" t="s">
        <v>307</v>
      </c>
      <c r="E487">
        <v>9</v>
      </c>
      <c r="F487">
        <v>28</v>
      </c>
      <c r="G487" s="1">
        <v>24</v>
      </c>
      <c r="H487" s="16">
        <f t="shared" si="244"/>
        <v>15336</v>
      </c>
      <c r="I487">
        <v>185</v>
      </c>
      <c r="J487" s="17">
        <f t="shared" si="245"/>
        <v>20.555555555555557</v>
      </c>
      <c r="K487">
        <v>69</v>
      </c>
      <c r="L487">
        <v>151</v>
      </c>
      <c r="M487" s="17">
        <f t="shared" si="246"/>
        <v>7.666666666666667</v>
      </c>
      <c r="N487" s="17">
        <f t="shared" si="247"/>
        <v>16.777777777777779</v>
      </c>
      <c r="O487" s="18">
        <f t="shared" si="248"/>
        <v>0.45695364238410596</v>
      </c>
      <c r="P487">
        <v>53</v>
      </c>
      <c r="Q487">
        <v>99</v>
      </c>
      <c r="R487" s="17">
        <f t="shared" si="249"/>
        <v>5.8888888888888893</v>
      </c>
      <c r="S487" s="17">
        <f t="shared" si="250"/>
        <v>11</v>
      </c>
      <c r="T487" s="18">
        <f t="shared" si="251"/>
        <v>0.53535353535353536</v>
      </c>
      <c r="U487">
        <v>16</v>
      </c>
      <c r="V487">
        <v>52</v>
      </c>
      <c r="W487" s="17">
        <f t="shared" si="252"/>
        <v>1.7777777777777777</v>
      </c>
      <c r="X487" s="17">
        <f t="shared" si="253"/>
        <v>5.7777777777777777</v>
      </c>
      <c r="Y487" s="18">
        <f t="shared" si="254"/>
        <v>0.30769230769230771</v>
      </c>
      <c r="Z487">
        <v>31</v>
      </c>
      <c r="AA487">
        <v>38</v>
      </c>
      <c r="AB487" s="17">
        <f t="shared" si="255"/>
        <v>3.4444444444444446</v>
      </c>
      <c r="AC487" s="17">
        <f t="shared" si="256"/>
        <v>4.2222222222222223</v>
      </c>
      <c r="AD487" s="18">
        <f t="shared" si="257"/>
        <v>0.81578947368421051</v>
      </c>
      <c r="AE487">
        <v>94</v>
      </c>
      <c r="AF487" s="17">
        <f t="shared" si="258"/>
        <v>10.444444444444445</v>
      </c>
      <c r="AG487">
        <v>23</v>
      </c>
      <c r="AH487" s="17">
        <f t="shared" si="259"/>
        <v>2.5555555555555554</v>
      </c>
      <c r="AI487">
        <v>71</v>
      </c>
      <c r="AJ487" s="17">
        <f t="shared" si="260"/>
        <v>7.8888888888888893</v>
      </c>
      <c r="AK487">
        <v>45</v>
      </c>
      <c r="AL487" s="17">
        <f t="shared" si="261"/>
        <v>5</v>
      </c>
      <c r="AM487">
        <v>8</v>
      </c>
      <c r="AN487" s="17">
        <f t="shared" si="262"/>
        <v>0.88888888888888884</v>
      </c>
      <c r="AO487">
        <v>11</v>
      </c>
      <c r="AQ487">
        <v>16</v>
      </c>
      <c r="AR487" s="17">
        <f t="shared" si="263"/>
        <v>1.7777777777777777</v>
      </c>
      <c r="AS487">
        <v>17</v>
      </c>
      <c r="AT487" s="17">
        <f t="shared" si="264"/>
        <v>1.8888888888888888</v>
      </c>
      <c r="BD487" s="65">
        <f t="shared" si="265"/>
        <v>55.151442880992128</v>
      </c>
      <c r="BE487" s="65">
        <f t="shared" si="266"/>
        <v>50.993377483443716</v>
      </c>
      <c r="BF487" s="66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33.23749722297201</v>
      </c>
      <c r="BG487" s="38">
        <f t="shared" si="267"/>
        <v>0.3443708609271523</v>
      </c>
      <c r="BH487" s="38">
        <f t="shared" si="268"/>
        <v>0.25165562913907286</v>
      </c>
      <c r="BI487" s="67">
        <f>IFERROR(((AG487*(12000/5))/((F487*60+G487)*(SUMIFS(팀공격력!X:X,팀공격력!A:A,B487,팀공격력!B:B,D487)+SUMIFS(팀수비력!X:X,팀수비력!A:A,B487,팀수비력!B:B,D487))))*100,"")</f>
        <v>4.9082373026035002</v>
      </c>
      <c r="BJ487" s="67">
        <f>IFERROR(((AI487*(12000/5))/((F487*60+G487)*(SUMIFS(팀공격력!V:V,팀공격력!A:A,B487,팀공격력!B:B,D487)+SUMIFS(팀수비력!W:W,팀수비력!A:A,B487,팀수비력!B:B,D487))))*100,"")</f>
        <v>33.898305084745758</v>
      </c>
      <c r="BK487" s="67">
        <f>IFERROR(((AE487*(12000/5))/((F487*60+G487)*(SUMIFS(팀공격력!X:X,팀공격력!A:A,B487,팀공격력!B:B,D487)+SUMIFS(팀수비력!X:X,팀수비력!A:A,B487,팀수비력!B:B,D487))))*100,"")</f>
        <v>20.059752454118652</v>
      </c>
      <c r="BL487" s="67">
        <f>IFERROR(100*AK487/(((((F487*60+G487)/(12000/5))*SUMIFS(팀공격력!P:P,팀공격력!A:A,B487,팀공격력!B:B,D487))-K487)),"")</f>
        <v>30.064136825227155</v>
      </c>
      <c r="BM487" s="67">
        <f>IFERROR(100*((AM487/E487*(2400))/((F487*60+G487)*SUMIFS(팀공격력!AR:AR,팀공격력!A:A,B487,팀공격력!B:B,D487))),"")</f>
        <v>1.6712723551847588</v>
      </c>
      <c r="BN487" s="67">
        <f>IFERROR((AO487*40)/(((F487*60+G487)/60)*(SUMIFS(팀수비력!Q:Q,팀수비력!A:A,B487,팀수비력!B:B,D487)-SUMIFS(팀수비력!N:N,팀수비력!A:A,B487,팀수비력!B:B,D487)))*100,"")</f>
        <v>3.6114120621162877</v>
      </c>
      <c r="BO487" s="67">
        <f t="shared" si="269"/>
        <v>8.7089048552144561</v>
      </c>
      <c r="BT487" t="s">
        <v>96</v>
      </c>
      <c r="BV487" t="s">
        <v>93</v>
      </c>
      <c r="CF487">
        <v>7</v>
      </c>
      <c r="CG487">
        <v>2</v>
      </c>
    </row>
    <row r="488" spans="1:85" x14ac:dyDescent="0.4">
      <c r="A488" s="11" t="s">
        <v>85</v>
      </c>
      <c r="B488" t="s">
        <v>263</v>
      </c>
      <c r="C488" t="s">
        <v>273</v>
      </c>
      <c r="D488" s="46" t="s">
        <v>307</v>
      </c>
      <c r="E488">
        <v>7</v>
      </c>
      <c r="F488">
        <v>8</v>
      </c>
      <c r="G488" s="1">
        <v>18</v>
      </c>
      <c r="H488" s="16">
        <f t="shared" si="244"/>
        <v>3486</v>
      </c>
      <c r="I488">
        <v>30</v>
      </c>
      <c r="J488" s="17">
        <f t="shared" si="245"/>
        <v>4.2857142857142856</v>
      </c>
      <c r="K488">
        <v>13</v>
      </c>
      <c r="L488">
        <v>23</v>
      </c>
      <c r="M488" s="17">
        <f t="shared" si="246"/>
        <v>1.8571428571428572</v>
      </c>
      <c r="N488" s="17">
        <f t="shared" si="247"/>
        <v>3.2857142857142856</v>
      </c>
      <c r="O488" s="18">
        <f t="shared" si="248"/>
        <v>0.56521739130434778</v>
      </c>
      <c r="P488">
        <v>9</v>
      </c>
      <c r="Q488">
        <v>14</v>
      </c>
      <c r="R488" s="17">
        <f t="shared" si="249"/>
        <v>1.2857142857142858</v>
      </c>
      <c r="S488" s="17">
        <f t="shared" si="250"/>
        <v>2</v>
      </c>
      <c r="T488" s="18">
        <f t="shared" si="251"/>
        <v>0.6428571428571429</v>
      </c>
      <c r="U488">
        <v>4</v>
      </c>
      <c r="V488">
        <v>9</v>
      </c>
      <c r="W488" s="17">
        <f t="shared" si="252"/>
        <v>0.5714285714285714</v>
      </c>
      <c r="X488" s="17">
        <f t="shared" si="253"/>
        <v>1.2857142857142858</v>
      </c>
      <c r="Y488" s="18">
        <f t="shared" si="254"/>
        <v>0.44444444444444442</v>
      </c>
      <c r="Z488">
        <v>0</v>
      </c>
      <c r="AA488">
        <v>1</v>
      </c>
      <c r="AB488" s="17">
        <f t="shared" si="255"/>
        <v>0</v>
      </c>
      <c r="AC488" s="17">
        <f t="shared" si="256"/>
        <v>0.14285714285714285</v>
      </c>
      <c r="AD488" s="18">
        <f t="shared" si="257"/>
        <v>0</v>
      </c>
      <c r="AE488">
        <v>2</v>
      </c>
      <c r="AF488" s="17">
        <f t="shared" si="258"/>
        <v>0.2857142857142857</v>
      </c>
      <c r="AG488">
        <v>0</v>
      </c>
      <c r="AH488" s="17">
        <f t="shared" si="259"/>
        <v>0</v>
      </c>
      <c r="AI488">
        <v>2</v>
      </c>
      <c r="AJ488" s="17">
        <f t="shared" si="260"/>
        <v>0.2857142857142857</v>
      </c>
      <c r="AK488">
        <v>6</v>
      </c>
      <c r="AL488" s="17">
        <f t="shared" si="261"/>
        <v>0.8571428571428571</v>
      </c>
      <c r="AM488">
        <v>2</v>
      </c>
      <c r="AN488" s="17">
        <f t="shared" si="262"/>
        <v>0.2857142857142857</v>
      </c>
      <c r="AO488">
        <v>0</v>
      </c>
      <c r="AQ488">
        <v>7</v>
      </c>
      <c r="AR488" s="17">
        <f t="shared" si="263"/>
        <v>1</v>
      </c>
      <c r="AS488">
        <v>8</v>
      </c>
      <c r="AT488" s="17">
        <f t="shared" si="264"/>
        <v>1.1428571428571428</v>
      </c>
      <c r="BD488" s="65">
        <f t="shared" si="265"/>
        <v>63.993174061433443</v>
      </c>
      <c r="BE488" s="65">
        <f t="shared" si="266"/>
        <v>65.217391304347828</v>
      </c>
      <c r="BF488" s="66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18.843291781935328</v>
      </c>
      <c r="BG488" s="38">
        <f t="shared" si="267"/>
        <v>0.39130434782608697</v>
      </c>
      <c r="BH488" s="38">
        <f t="shared" si="268"/>
        <v>4.3478260869565216E-2</v>
      </c>
      <c r="BI488" s="67">
        <f>IFERROR(((AG488*(12000/5))/((F488*60+G488)*(SUMIFS(팀공격력!X:X,팀공격력!A:A,B488,팀공격력!B:B,D488)+SUMIFS(팀수비력!X:X,팀수비력!A:A,B488,팀수비력!B:B,D488))))*100,"")</f>
        <v>0</v>
      </c>
      <c r="BJ488" s="67">
        <f>IFERROR(((AI488*(12000/5))/((F488*60+G488)*(SUMIFS(팀공격력!V:V,팀공격력!A:A,B488,팀공격력!B:B,D488)+SUMIFS(팀수비력!W:W,팀수비력!A:A,B488,팀수비력!B:B,D488))))*100,"")</f>
        <v>3.2673065141923625</v>
      </c>
      <c r="BK488" s="67">
        <f>IFERROR(((AE488*(12000/5))/((F488*60+G488)*(SUMIFS(팀공격력!X:X,팀공격력!A:A,B488,팀공격력!B:B,D488)+SUMIFS(팀수비력!X:X,팀수비력!A:A,B488,팀수비력!B:B,D488))))*100,"")</f>
        <v>1.4603870025556773</v>
      </c>
      <c r="BL488" s="67">
        <f>IFERROR(100*AK488/(((((F488*60+G488)/(12000/5))*SUMIFS(팀공격력!P:P,팀공격력!A:A,B488,팀공격력!B:B,D488))-K488)),"")</f>
        <v>11.785503830288746</v>
      </c>
      <c r="BM488" s="67">
        <f>IFERROR(100*((AM488/E488*(2400))/((F488*60+G488)*SUMIFS(팀공격력!AR:AR,팀공격력!A:A,B488,팀공격력!B:B,D488))),"")</f>
        <v>1.8381119362531169</v>
      </c>
      <c r="BN488" s="67">
        <f>IFERROR((AO488*40)/(((F488*60+G488)/60)*(SUMIFS(팀수비력!Q:Q,팀수비력!A:A,B488,팀수비력!B:B,D488)-SUMIFS(팀수비력!N:N,팀수비력!A:A,B488,팀수비력!B:B,D488)))*100,"")</f>
        <v>0</v>
      </c>
      <c r="BO488" s="67">
        <f t="shared" si="269"/>
        <v>22.996057818659658</v>
      </c>
      <c r="BT488" t="s">
        <v>89</v>
      </c>
      <c r="BV488" t="s">
        <v>90</v>
      </c>
      <c r="CF488">
        <v>6</v>
      </c>
      <c r="CG488">
        <v>1</v>
      </c>
    </row>
    <row r="489" spans="1:85" x14ac:dyDescent="0.4">
      <c r="A489" s="11" t="s">
        <v>85</v>
      </c>
      <c r="B489" t="s">
        <v>263</v>
      </c>
      <c r="C489" t="s">
        <v>274</v>
      </c>
      <c r="D489" s="46" t="s">
        <v>307</v>
      </c>
      <c r="E489">
        <v>9</v>
      </c>
      <c r="F489">
        <v>18</v>
      </c>
      <c r="G489" s="1">
        <v>21</v>
      </c>
      <c r="H489" s="16">
        <f t="shared" si="244"/>
        <v>9909</v>
      </c>
      <c r="I489">
        <v>53</v>
      </c>
      <c r="J489" s="17">
        <f t="shared" si="245"/>
        <v>5.8888888888888893</v>
      </c>
      <c r="K489">
        <v>23</v>
      </c>
      <c r="L489">
        <v>41</v>
      </c>
      <c r="M489" s="17">
        <f t="shared" si="246"/>
        <v>2.5555555555555554</v>
      </c>
      <c r="N489" s="17">
        <f t="shared" si="247"/>
        <v>4.5555555555555554</v>
      </c>
      <c r="O489" s="18">
        <f t="shared" si="248"/>
        <v>0.56097560975609762</v>
      </c>
      <c r="P489">
        <v>18</v>
      </c>
      <c r="Q489">
        <v>26</v>
      </c>
      <c r="R489" s="17">
        <f t="shared" si="249"/>
        <v>2</v>
      </c>
      <c r="S489" s="17">
        <f t="shared" si="250"/>
        <v>2.8888888888888888</v>
      </c>
      <c r="T489" s="18">
        <f t="shared" si="251"/>
        <v>0.69230769230769229</v>
      </c>
      <c r="U489">
        <v>5</v>
      </c>
      <c r="V489">
        <v>15</v>
      </c>
      <c r="W489" s="17">
        <f t="shared" si="252"/>
        <v>0.55555555555555558</v>
      </c>
      <c r="X489" s="17">
        <f t="shared" si="253"/>
        <v>1.6666666666666667</v>
      </c>
      <c r="Y489" s="18">
        <f t="shared" si="254"/>
        <v>0.33333333333333331</v>
      </c>
      <c r="Z489">
        <v>2</v>
      </c>
      <c r="AA489">
        <v>3</v>
      </c>
      <c r="AB489" s="17">
        <f t="shared" si="255"/>
        <v>0.22222222222222221</v>
      </c>
      <c r="AC489" s="17">
        <f t="shared" si="256"/>
        <v>0.33333333333333331</v>
      </c>
      <c r="AD489" s="18">
        <f t="shared" si="257"/>
        <v>0.66666666666666663</v>
      </c>
      <c r="AE489">
        <v>20</v>
      </c>
      <c r="AF489" s="17">
        <f t="shared" si="258"/>
        <v>2.2222222222222223</v>
      </c>
      <c r="AG489">
        <v>7</v>
      </c>
      <c r="AH489" s="17">
        <f t="shared" si="259"/>
        <v>0.77777777777777779</v>
      </c>
      <c r="AI489">
        <v>13</v>
      </c>
      <c r="AJ489" s="17">
        <f t="shared" si="260"/>
        <v>1.4444444444444444</v>
      </c>
      <c r="AK489">
        <v>3</v>
      </c>
      <c r="AL489" s="17">
        <f t="shared" si="261"/>
        <v>0.33333333333333331</v>
      </c>
      <c r="AM489">
        <v>5</v>
      </c>
      <c r="AN489" s="17">
        <f t="shared" si="262"/>
        <v>0.55555555555555558</v>
      </c>
      <c r="AO489">
        <v>0</v>
      </c>
      <c r="AQ489">
        <v>3</v>
      </c>
      <c r="AR489" s="17">
        <f t="shared" si="263"/>
        <v>0.33333333333333331</v>
      </c>
      <c r="AS489">
        <v>8</v>
      </c>
      <c r="AT489" s="17">
        <f t="shared" si="264"/>
        <v>0.88888888888888884</v>
      </c>
      <c r="BD489" s="65">
        <f t="shared" si="265"/>
        <v>62.618147448015129</v>
      </c>
      <c r="BE489" s="65">
        <f t="shared" si="266"/>
        <v>62.195121951219512</v>
      </c>
      <c r="BF489" s="66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12.689486555990189</v>
      </c>
      <c r="BG489" s="38">
        <f t="shared" si="267"/>
        <v>0.36585365853658536</v>
      </c>
      <c r="BH489" s="38">
        <f t="shared" si="268"/>
        <v>7.3170731707317069E-2</v>
      </c>
      <c r="BI489" s="67">
        <f>IFERROR(((AG489*(12000/5))/((F489*60+G489)*(SUMIFS(팀공격력!X:X,팀공격력!A:A,B489,팀공격력!B:B,D489)+SUMIFS(팀수비력!X:X,팀수비력!A:A,B489,팀수비력!B:B,D489))))*100,"")</f>
        <v>2.3119478160350098</v>
      </c>
      <c r="BJ489" s="67">
        <f>IFERROR(((AI489*(12000/5))/((F489*60+G489)*(SUMIFS(팀공격력!V:V,팀공격력!A:A,B489,팀공격력!B:B,D489)+SUMIFS(팀수비력!W:W,팀수비력!A:A,B489,팀수비력!B:B,D489))))*100,"")</f>
        <v>9.6060592065764556</v>
      </c>
      <c r="BK489" s="67">
        <f>IFERROR(((AE489*(12000/5))/((F489*60+G489)*(SUMIFS(팀공격력!X:X,팀공격력!A:A,B489,팀공격력!B:B,D489)+SUMIFS(팀수비력!X:X,팀수비력!A:A,B489,팀수비력!B:B,D489))))*100,"")</f>
        <v>6.6055651886714557</v>
      </c>
      <c r="BL489" s="67">
        <f>IFERROR(100*AK489/(((((F489*60+G489)/(12000/5))*SUMIFS(팀공격력!P:P,팀공격력!A:A,B489,팀공격력!B:B,D489))-K489)),"")</f>
        <v>2.5360327993575384</v>
      </c>
      <c r="BM489" s="67">
        <f>IFERROR(100*((AM489/E489*(2400))/((F489*60+G489)*SUMIFS(팀공격력!AR:AR,팀공격력!A:A,B489,팀공격력!B:B,D489))),"")</f>
        <v>1.6166258476582822</v>
      </c>
      <c r="BN489" s="67">
        <f>IFERROR((AO489*40)/(((F489*60+G489)/60)*(SUMIFS(팀수비력!Q:Q,팀수비력!A:A,B489,팀수비력!B:B,D489)-SUMIFS(팀수비력!N:N,팀수비력!A:A,B489,팀수비력!B:B,D489)))*100,"")</f>
        <v>0</v>
      </c>
      <c r="BO489" s="67">
        <f t="shared" si="269"/>
        <v>6.6195939982347749</v>
      </c>
      <c r="BT489" t="s">
        <v>89</v>
      </c>
      <c r="BV489" t="s">
        <v>93</v>
      </c>
      <c r="CF489">
        <v>7</v>
      </c>
      <c r="CG489">
        <v>2</v>
      </c>
    </row>
    <row r="490" spans="1:85" x14ac:dyDescent="0.4">
      <c r="A490" s="11" t="s">
        <v>85</v>
      </c>
      <c r="B490" t="s">
        <v>263</v>
      </c>
      <c r="C490" t="s">
        <v>276</v>
      </c>
      <c r="D490" s="46" t="s">
        <v>307</v>
      </c>
      <c r="E490">
        <v>8</v>
      </c>
      <c r="F490">
        <v>11</v>
      </c>
      <c r="G490" s="1">
        <v>37</v>
      </c>
      <c r="H490" s="16">
        <f t="shared" si="244"/>
        <v>5576</v>
      </c>
      <c r="I490">
        <v>6</v>
      </c>
      <c r="J490" s="17">
        <f t="shared" si="245"/>
        <v>0.75</v>
      </c>
      <c r="K490">
        <v>2</v>
      </c>
      <c r="L490">
        <v>16</v>
      </c>
      <c r="M490" s="17">
        <f t="shared" si="246"/>
        <v>0.25</v>
      </c>
      <c r="N490" s="17">
        <f t="shared" si="247"/>
        <v>2</v>
      </c>
      <c r="O490" s="18">
        <f t="shared" si="248"/>
        <v>0.125</v>
      </c>
      <c r="P490">
        <v>2</v>
      </c>
      <c r="Q490">
        <v>7</v>
      </c>
      <c r="R490" s="17">
        <f t="shared" si="249"/>
        <v>0.25</v>
      </c>
      <c r="S490" s="17">
        <f t="shared" si="250"/>
        <v>0.875</v>
      </c>
      <c r="T490" s="18">
        <f t="shared" si="251"/>
        <v>0.2857142857142857</v>
      </c>
      <c r="U490">
        <v>0</v>
      </c>
      <c r="V490">
        <v>9</v>
      </c>
      <c r="W490" s="17">
        <f t="shared" si="252"/>
        <v>0</v>
      </c>
      <c r="X490" s="17">
        <f t="shared" si="253"/>
        <v>1.125</v>
      </c>
      <c r="Y490" s="18">
        <f t="shared" si="254"/>
        <v>0</v>
      </c>
      <c r="Z490">
        <v>2</v>
      </c>
      <c r="AA490">
        <v>4</v>
      </c>
      <c r="AB490" s="17">
        <f t="shared" si="255"/>
        <v>0.25</v>
      </c>
      <c r="AC490" s="17">
        <f t="shared" si="256"/>
        <v>0.5</v>
      </c>
      <c r="AD490" s="18">
        <f t="shared" si="257"/>
        <v>0.5</v>
      </c>
      <c r="AE490">
        <v>19</v>
      </c>
      <c r="AF490" s="17">
        <f t="shared" si="258"/>
        <v>2.375</v>
      </c>
      <c r="AG490">
        <v>2</v>
      </c>
      <c r="AH490" s="17">
        <f t="shared" si="259"/>
        <v>0.25</v>
      </c>
      <c r="AI490">
        <v>17</v>
      </c>
      <c r="AJ490" s="17">
        <f t="shared" si="260"/>
        <v>2.125</v>
      </c>
      <c r="AK490">
        <v>1</v>
      </c>
      <c r="AL490" s="17">
        <f t="shared" si="261"/>
        <v>0.125</v>
      </c>
      <c r="AM490">
        <v>1</v>
      </c>
      <c r="AN490" s="17">
        <f t="shared" si="262"/>
        <v>0.125</v>
      </c>
      <c r="AO490">
        <v>0</v>
      </c>
      <c r="AQ490">
        <v>3</v>
      </c>
      <c r="AR490" s="17">
        <f t="shared" si="263"/>
        <v>0.375</v>
      </c>
      <c r="AS490">
        <v>19</v>
      </c>
      <c r="AT490" s="17">
        <f t="shared" si="264"/>
        <v>2.375</v>
      </c>
      <c r="BD490" s="65">
        <f t="shared" si="265"/>
        <v>16.891891891891891</v>
      </c>
      <c r="BE490" s="65">
        <f t="shared" si="266"/>
        <v>12.5</v>
      </c>
      <c r="BF490" s="66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9.1819735803011007</v>
      </c>
      <c r="BG490" s="38">
        <f t="shared" si="267"/>
        <v>0.5625</v>
      </c>
      <c r="BH490" s="38">
        <f t="shared" si="268"/>
        <v>0.25</v>
      </c>
      <c r="BI490" s="67">
        <f>IFERROR(((AG490*(12000/5))/((F490*60+G490)*(SUMIFS(팀공격력!X:X,팀공격력!A:A,B490,팀공격력!B:B,D490)+SUMIFS(팀수비력!X:X,팀수비력!A:A,B490,팀수비력!B:B,D490))))*100,"")</f>
        <v>1.0434328942219904</v>
      </c>
      <c r="BJ490" s="67">
        <f>IFERROR(((AI490*(12000/5))/((F490*60+G490)*(SUMIFS(팀공격력!V:V,팀공격력!A:A,B490,팀공격력!B:B,D490)+SUMIFS(팀수비력!W:W,팀수비력!A:A,B490,팀수비력!B:B,D490))))*100,"")</f>
        <v>19.842910293509714</v>
      </c>
      <c r="BK490" s="67">
        <f>IFERROR(((AE490*(12000/5))/((F490*60+G490)*(SUMIFS(팀공격력!X:X,팀공격력!A:A,B490,팀공격력!B:B,D490)+SUMIFS(팀수비력!X:X,팀수비력!A:A,B490,팀수비력!B:B,D490))))*100,"")</f>
        <v>9.9126124951089079</v>
      </c>
      <c r="BL490" s="67">
        <f>IFERROR(100*AK490/(((((F490*60+G490)/(12000/5))*SUMIFS(팀공격력!P:P,팀공격력!A:A,B490,팀공격력!B:B,D490))-K490)),"")</f>
        <v>1.1435323714955499</v>
      </c>
      <c r="BM490" s="67">
        <f>IFERROR(100*((AM490/E490*(2400))/((F490*60+G490)*SUMIFS(팀공격력!AR:AR,팀공격력!A:A,B490,팀공격력!B:B,D490))),"")</f>
        <v>0.57457480360279478</v>
      </c>
      <c r="BN490" s="67">
        <f>IFERROR((AO490*40)/(((F490*60+G490)/60)*(SUMIFS(팀수비력!Q:Q,팀수비력!A:A,B490,팀수비력!B:B,D490)-SUMIFS(팀수비력!N:N,팀수비력!A:A,B490,팀수비력!B:B,D490)))*100,"")</f>
        <v>0</v>
      </c>
      <c r="BO490" s="67">
        <f t="shared" si="269"/>
        <v>14.450867052023121</v>
      </c>
      <c r="BT490" t="s">
        <v>89</v>
      </c>
      <c r="BV490" t="s">
        <v>93</v>
      </c>
      <c r="CF490">
        <v>6</v>
      </c>
      <c r="CG490">
        <v>2</v>
      </c>
    </row>
    <row r="491" spans="1:85" x14ac:dyDescent="0.4">
      <c r="A491" s="11" t="s">
        <v>85</v>
      </c>
      <c r="B491" t="s">
        <v>263</v>
      </c>
      <c r="C491" t="s">
        <v>277</v>
      </c>
      <c r="D491" s="46" t="s">
        <v>307</v>
      </c>
      <c r="E491">
        <v>1</v>
      </c>
      <c r="F491">
        <v>1</v>
      </c>
      <c r="G491" s="1">
        <v>14</v>
      </c>
      <c r="H491" s="16">
        <f t="shared" si="244"/>
        <v>74</v>
      </c>
      <c r="I491">
        <v>0</v>
      </c>
      <c r="J491" s="17">
        <f t="shared" si="245"/>
        <v>0</v>
      </c>
      <c r="K491">
        <v>0</v>
      </c>
      <c r="L491">
        <v>0</v>
      </c>
      <c r="M491" s="17">
        <f t="shared" si="246"/>
        <v>0</v>
      </c>
      <c r="N491" s="17">
        <f t="shared" si="247"/>
        <v>0</v>
      </c>
      <c r="O491" s="18" t="e">
        <f t="shared" si="248"/>
        <v>#DIV/0!</v>
      </c>
      <c r="P491">
        <v>0</v>
      </c>
      <c r="Q491">
        <v>0</v>
      </c>
      <c r="R491" s="17">
        <f t="shared" si="249"/>
        <v>0</v>
      </c>
      <c r="S491" s="17">
        <f t="shared" si="250"/>
        <v>0</v>
      </c>
      <c r="T491" s="18" t="e">
        <f t="shared" si="251"/>
        <v>#DIV/0!</v>
      </c>
      <c r="U491">
        <v>0</v>
      </c>
      <c r="V491">
        <v>0</v>
      </c>
      <c r="W491" s="17">
        <f t="shared" si="252"/>
        <v>0</v>
      </c>
      <c r="X491" s="17">
        <f t="shared" si="253"/>
        <v>0</v>
      </c>
      <c r="Y491" s="18" t="e">
        <f t="shared" si="254"/>
        <v>#DIV/0!</v>
      </c>
      <c r="Z491">
        <v>0</v>
      </c>
      <c r="AA491">
        <v>0</v>
      </c>
      <c r="AB491" s="17">
        <f t="shared" si="255"/>
        <v>0</v>
      </c>
      <c r="AC491" s="17">
        <f t="shared" si="256"/>
        <v>0</v>
      </c>
      <c r="AD491" s="18" t="e">
        <f t="shared" si="257"/>
        <v>#DIV/0!</v>
      </c>
      <c r="AE491">
        <v>0</v>
      </c>
      <c r="AF491" s="17">
        <f t="shared" si="258"/>
        <v>0</v>
      </c>
      <c r="AG491">
        <v>0</v>
      </c>
      <c r="AH491" s="17">
        <f t="shared" si="259"/>
        <v>0</v>
      </c>
      <c r="AI491">
        <v>0</v>
      </c>
      <c r="AJ491" s="17">
        <f t="shared" si="260"/>
        <v>0</v>
      </c>
      <c r="AK491">
        <v>0</v>
      </c>
      <c r="AL491" s="17">
        <f t="shared" si="261"/>
        <v>0</v>
      </c>
      <c r="AM491">
        <v>0</v>
      </c>
      <c r="AN491" s="17">
        <f t="shared" si="262"/>
        <v>0</v>
      </c>
      <c r="AO491">
        <v>0</v>
      </c>
      <c r="AQ491">
        <v>0</v>
      </c>
      <c r="AR491" s="17">
        <f t="shared" si="263"/>
        <v>0</v>
      </c>
      <c r="AS491">
        <v>0</v>
      </c>
      <c r="AT491" s="17">
        <f t="shared" si="264"/>
        <v>0</v>
      </c>
      <c r="BD491" s="65" t="str">
        <f t="shared" si="265"/>
        <v/>
      </c>
      <c r="BE491" s="65" t="str">
        <f t="shared" si="266"/>
        <v/>
      </c>
      <c r="BF491" s="66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0</v>
      </c>
      <c r="BG491" s="38" t="str">
        <f t="shared" si="267"/>
        <v/>
      </c>
      <c r="BH491" s="38" t="str">
        <f t="shared" si="268"/>
        <v/>
      </c>
      <c r="BI491" s="67">
        <f>IFERROR(((AG491*(12000/5))/((F491*60+G491)*(SUMIFS(팀공격력!X:X,팀공격력!A:A,B491,팀공격력!B:B,D491)+SUMIFS(팀수비력!X:X,팀수비력!A:A,B491,팀수비력!B:B,D491))))*100,"")</f>
        <v>0</v>
      </c>
      <c r="BJ491" s="67">
        <f>IFERROR(((AI491*(12000/5))/((F491*60+G491)*(SUMIFS(팀공격력!V:V,팀공격력!A:A,B491,팀공격력!B:B,D491)+SUMIFS(팀수비력!W:W,팀수비력!A:A,B491,팀수비력!B:B,D491))))*100,"")</f>
        <v>0</v>
      </c>
      <c r="BK491" s="67">
        <f>IFERROR(((AE491*(12000/5))/((F491*60+G491)*(SUMIFS(팀공격력!X:X,팀공격력!A:A,B491,팀공격력!B:B,D491)+SUMIFS(팀수비력!X:X,팀수비력!A:A,B491,팀수비력!B:B,D491))))*100,"")</f>
        <v>0</v>
      </c>
      <c r="BL491" s="67">
        <f>IFERROR(100*AK491/(((((F491*60+G491)/(12000/5))*SUMIFS(팀공격력!P:P,팀공격력!A:A,B491,팀공격력!B:B,D491))-K491)),"")</f>
        <v>0</v>
      </c>
      <c r="BM491" s="67">
        <f>IFERROR(100*((AM491/E491*(2400))/((F491*60+G491)*SUMIFS(팀공격력!AR:AR,팀공격력!A:A,B491,팀공격력!B:B,D491))),"")</f>
        <v>0</v>
      </c>
      <c r="BN491" s="67">
        <f>IFERROR((AO491*40)/(((F491*60+G491)/60)*(SUMIFS(팀수비력!Q:Q,팀수비력!A:A,B491,팀수비력!B:B,D491)-SUMIFS(팀수비력!N:N,팀수비력!A:A,B491,팀수비력!B:B,D491)))*100,"")</f>
        <v>0</v>
      </c>
      <c r="BO491" s="67" t="str">
        <f t="shared" si="269"/>
        <v/>
      </c>
      <c r="BT491" t="s">
        <v>89</v>
      </c>
      <c r="BV491" t="s">
        <v>90</v>
      </c>
      <c r="CF491">
        <v>1</v>
      </c>
      <c r="CG491">
        <v>0</v>
      </c>
    </row>
    <row r="492" spans="1:85" x14ac:dyDescent="0.4">
      <c r="A492" s="11" t="s">
        <v>85</v>
      </c>
      <c r="B492" t="s">
        <v>263</v>
      </c>
      <c r="C492" t="s">
        <v>278</v>
      </c>
      <c r="D492" s="46" t="s">
        <v>307</v>
      </c>
      <c r="E492">
        <v>9</v>
      </c>
      <c r="F492">
        <v>31</v>
      </c>
      <c r="G492" s="1">
        <v>33</v>
      </c>
      <c r="H492" s="16">
        <f t="shared" si="244"/>
        <v>17037</v>
      </c>
      <c r="I492">
        <v>130</v>
      </c>
      <c r="J492" s="17">
        <f t="shared" si="245"/>
        <v>14.444444444444445</v>
      </c>
      <c r="K492">
        <v>49</v>
      </c>
      <c r="L492">
        <v>105</v>
      </c>
      <c r="M492" s="17">
        <f t="shared" si="246"/>
        <v>5.4444444444444446</v>
      </c>
      <c r="N492" s="17">
        <f t="shared" si="247"/>
        <v>11.666666666666666</v>
      </c>
      <c r="O492" s="18">
        <f t="shared" si="248"/>
        <v>0.46666666666666667</v>
      </c>
      <c r="P492">
        <v>40</v>
      </c>
      <c r="Q492">
        <v>80</v>
      </c>
      <c r="R492" s="17">
        <f t="shared" si="249"/>
        <v>4.4444444444444446</v>
      </c>
      <c r="S492" s="17">
        <f t="shared" si="250"/>
        <v>8.8888888888888893</v>
      </c>
      <c r="T492" s="18">
        <f t="shared" si="251"/>
        <v>0.5</v>
      </c>
      <c r="U492">
        <v>9</v>
      </c>
      <c r="V492">
        <v>25</v>
      </c>
      <c r="W492" s="17">
        <f t="shared" si="252"/>
        <v>1</v>
      </c>
      <c r="X492" s="17">
        <f t="shared" si="253"/>
        <v>2.7777777777777777</v>
      </c>
      <c r="Y492" s="18">
        <f t="shared" si="254"/>
        <v>0.36</v>
      </c>
      <c r="Z492">
        <v>23</v>
      </c>
      <c r="AA492">
        <v>25</v>
      </c>
      <c r="AB492" s="17">
        <f t="shared" si="255"/>
        <v>2.5555555555555554</v>
      </c>
      <c r="AC492" s="17">
        <f t="shared" si="256"/>
        <v>2.7777777777777777</v>
      </c>
      <c r="AD492" s="18">
        <f t="shared" si="257"/>
        <v>0.92</v>
      </c>
      <c r="AE492">
        <v>20</v>
      </c>
      <c r="AF492" s="17">
        <f t="shared" si="258"/>
        <v>2.2222222222222223</v>
      </c>
      <c r="AG492">
        <v>7</v>
      </c>
      <c r="AH492" s="17">
        <f t="shared" si="259"/>
        <v>0.77777777777777779</v>
      </c>
      <c r="AI492">
        <v>13</v>
      </c>
      <c r="AJ492" s="17">
        <f t="shared" si="260"/>
        <v>1.4444444444444444</v>
      </c>
      <c r="AK492">
        <v>78</v>
      </c>
      <c r="AL492" s="17">
        <f t="shared" si="261"/>
        <v>8.6666666666666661</v>
      </c>
      <c r="AM492">
        <v>12</v>
      </c>
      <c r="AN492" s="17">
        <f t="shared" si="262"/>
        <v>1.3333333333333333</v>
      </c>
      <c r="AO492">
        <v>1</v>
      </c>
      <c r="AQ492">
        <v>17</v>
      </c>
      <c r="AR492" s="17">
        <f t="shared" si="263"/>
        <v>1.8888888888888888</v>
      </c>
      <c r="AS492">
        <v>23</v>
      </c>
      <c r="AT492" s="17">
        <f t="shared" si="264"/>
        <v>2.5555555555555554</v>
      </c>
      <c r="BD492" s="65">
        <f t="shared" si="265"/>
        <v>56.034482758620683</v>
      </c>
      <c r="BE492" s="65">
        <f t="shared" si="266"/>
        <v>50.952380952380949</v>
      </c>
      <c r="BF492" s="66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21.659204148014442</v>
      </c>
      <c r="BG492" s="38">
        <f t="shared" si="267"/>
        <v>0.23809523809523808</v>
      </c>
      <c r="BH492" s="38">
        <f t="shared" si="268"/>
        <v>0.23809523809523808</v>
      </c>
      <c r="BI492" s="67">
        <f>IFERROR(((AG492*(12000/5))/((F492*60+G492)*(SUMIFS(팀공격력!X:X,팀공격력!A:A,B492,팀공격력!B:B,D492)+SUMIFS(팀수비력!X:X,팀수비력!A:A,B492,팀수비력!B:B,D492))))*100,"")</f>
        <v>1.3446669548095855</v>
      </c>
      <c r="BJ492" s="67">
        <f>IFERROR(((AI492*(12000/5))/((F492*60+G492)*(SUMIFS(팀공격력!V:V,팀공격력!A:A,B492,팀공격력!B:B,D492)+SUMIFS(팀수비력!W:W,팀수비력!A:A,B492,팀수비력!B:B,D492))))*100,"")</f>
        <v>5.5870423594509662</v>
      </c>
      <c r="BK492" s="67">
        <f>IFERROR(((AE492*(12000/5))/((F492*60+G492)*(SUMIFS(팀공격력!X:X,팀공격력!A:A,B492,팀공격력!B:B,D492)+SUMIFS(팀수비력!X:X,팀수비력!A:A,B492,팀수비력!B:B,D492))))*100,"")</f>
        <v>3.8419055851702444</v>
      </c>
      <c r="BL492" s="67">
        <f>IFERROR(100*AK492/(((((F492*60+G492)/(12000/5))*SUMIFS(팀공격력!P:P,팀공격력!A:A,B492,팀공격력!B:B,D492))-K492)),"")</f>
        <v>40.219661226699671</v>
      </c>
      <c r="BM492" s="67">
        <f>IFERROR(100*((AM492/E492*(2400))/((F492*60+G492)*SUMIFS(팀공격력!AR:AR,팀공격력!A:A,B492,팀공격력!B:B,D492))),"")</f>
        <v>2.2566149708675356</v>
      </c>
      <c r="BN492" s="67">
        <f>IFERROR((AO492*40)/(((F492*60+G492)/60)*(SUMIFS(팀수비력!Q:Q,팀수비력!A:A,B492,팀수비력!B:B,D492)-SUMIFS(팀수비력!N:N,팀수비력!A:A,B492,팀수비력!B:B,D492)))*100,"")</f>
        <v>0.29553119885924956</v>
      </c>
      <c r="BO492" s="67">
        <f t="shared" si="269"/>
        <v>12.781954887218046</v>
      </c>
      <c r="BT492" t="s">
        <v>113</v>
      </c>
      <c r="BV492" t="s">
        <v>90</v>
      </c>
      <c r="CF492">
        <v>7</v>
      </c>
      <c r="CG492">
        <v>2</v>
      </c>
    </row>
    <row r="493" spans="1:85" x14ac:dyDescent="0.4">
      <c r="A493" s="11" t="s">
        <v>85</v>
      </c>
      <c r="B493" t="s">
        <v>263</v>
      </c>
      <c r="C493" t="s">
        <v>279</v>
      </c>
      <c r="D493" s="46" t="s">
        <v>307</v>
      </c>
      <c r="E493">
        <v>6</v>
      </c>
      <c r="F493">
        <v>7</v>
      </c>
      <c r="G493" s="1">
        <v>59</v>
      </c>
      <c r="H493" s="16">
        <f t="shared" si="244"/>
        <v>2874</v>
      </c>
      <c r="I493">
        <v>20</v>
      </c>
      <c r="J493" s="17">
        <f t="shared" si="245"/>
        <v>3.3333333333333335</v>
      </c>
      <c r="K493">
        <v>7</v>
      </c>
      <c r="L493">
        <v>14</v>
      </c>
      <c r="M493" s="17">
        <f t="shared" si="246"/>
        <v>1.1666666666666667</v>
      </c>
      <c r="N493" s="17">
        <f t="shared" si="247"/>
        <v>2.3333333333333335</v>
      </c>
      <c r="O493" s="18">
        <f t="shared" si="248"/>
        <v>0.5</v>
      </c>
      <c r="P493">
        <v>3</v>
      </c>
      <c r="Q493">
        <v>5</v>
      </c>
      <c r="R493" s="17">
        <f t="shared" si="249"/>
        <v>0.5</v>
      </c>
      <c r="S493" s="17">
        <f t="shared" si="250"/>
        <v>0.83333333333333337</v>
      </c>
      <c r="T493" s="18">
        <f t="shared" si="251"/>
        <v>0.6</v>
      </c>
      <c r="U493">
        <v>4</v>
      </c>
      <c r="V493">
        <v>9</v>
      </c>
      <c r="W493" s="17">
        <f t="shared" si="252"/>
        <v>0.66666666666666663</v>
      </c>
      <c r="X493" s="17">
        <f t="shared" si="253"/>
        <v>1.5</v>
      </c>
      <c r="Y493" s="18">
        <f t="shared" si="254"/>
        <v>0.44444444444444442</v>
      </c>
      <c r="Z493">
        <v>2</v>
      </c>
      <c r="AA493">
        <v>2</v>
      </c>
      <c r="AB493" s="17">
        <f t="shared" si="255"/>
        <v>0.33333333333333331</v>
      </c>
      <c r="AC493" s="17">
        <f t="shared" si="256"/>
        <v>0.33333333333333331</v>
      </c>
      <c r="AD493" s="18">
        <f t="shared" si="257"/>
        <v>1</v>
      </c>
      <c r="AE493">
        <v>7</v>
      </c>
      <c r="AF493" s="17">
        <f t="shared" si="258"/>
        <v>1.1666666666666667</v>
      </c>
      <c r="AG493">
        <v>3</v>
      </c>
      <c r="AH493" s="17">
        <f t="shared" si="259"/>
        <v>0.5</v>
      </c>
      <c r="AI493">
        <v>4</v>
      </c>
      <c r="AJ493" s="17">
        <f t="shared" si="260"/>
        <v>0.66666666666666663</v>
      </c>
      <c r="AK493">
        <v>3</v>
      </c>
      <c r="AL493" s="17">
        <f t="shared" si="261"/>
        <v>0.5</v>
      </c>
      <c r="AM493">
        <v>2</v>
      </c>
      <c r="AN493" s="17">
        <f t="shared" si="262"/>
        <v>0.33333333333333331</v>
      </c>
      <c r="AO493">
        <v>0</v>
      </c>
      <c r="AQ493">
        <v>4</v>
      </c>
      <c r="AR493" s="17">
        <f t="shared" si="263"/>
        <v>0.66666666666666663</v>
      </c>
      <c r="AS493">
        <v>7</v>
      </c>
      <c r="AT493" s="17">
        <f t="shared" si="264"/>
        <v>1.1666666666666667</v>
      </c>
      <c r="BD493" s="65">
        <f t="shared" si="265"/>
        <v>67.204301075268816</v>
      </c>
      <c r="BE493" s="65">
        <f t="shared" si="266"/>
        <v>64.285714285714292</v>
      </c>
      <c r="BF493" s="66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12.150885943104722</v>
      </c>
      <c r="BG493" s="38">
        <f t="shared" si="267"/>
        <v>0.6428571428571429</v>
      </c>
      <c r="BH493" s="38">
        <f t="shared" si="268"/>
        <v>0.14285714285714285</v>
      </c>
      <c r="BI493" s="67">
        <f>IFERROR(((AG493*(12000/5))/((F493*60+G493)*(SUMIFS(팀공격력!X:X,팀공격력!A:A,B493,팀공격력!B:B,D493)+SUMIFS(팀수비력!X:X,팀수비력!A:A,B493,팀수비력!B:B,D493))))*100,"")</f>
        <v>2.2774720060732587</v>
      </c>
      <c r="BJ493" s="67">
        <f>IFERROR(((AI493*(12000/5))/((F493*60+G493)*(SUMIFS(팀공격력!V:V,팀공격력!A:A,B493,팀공격력!B:B,D493)+SUMIFS(팀수비력!W:W,팀수비력!A:A,B493,팀수비력!B:B,D493))))*100,"")</f>
        <v>6.7938147977778574</v>
      </c>
      <c r="BK493" s="67">
        <f>IFERROR(((AE493*(12000/5))/((F493*60+G493)*(SUMIFS(팀공격력!X:X,팀공격력!A:A,B493,팀공격력!B:B,D493)+SUMIFS(팀수비력!X:X,팀수비력!A:A,B493,팀수비력!B:B,D493))))*100,"")</f>
        <v>5.3141013475042698</v>
      </c>
      <c r="BL493" s="67">
        <f>IFERROR(100*AK493/(((((F493*60+G493)/(12000/5))*SUMIFS(팀공격력!P:P,팀공격력!A:A,B493,팀공격력!B:B,D493))-K493)),"")</f>
        <v>5.5074503564544264</v>
      </c>
      <c r="BM493" s="67">
        <f>IFERROR(100*((AM493/E493*(2400))/((F493*60+G493)*SUMIFS(팀공격력!AR:AR,팀공격력!A:A,B493,팀공격력!B:B,D493))),"")</f>
        <v>2.2295261690251795</v>
      </c>
      <c r="BN493" s="67">
        <f>IFERROR((AO493*40)/(((F493*60+G493)/60)*(SUMIFS(팀수비력!Q:Q,팀수비력!A:A,B493,팀수비력!B:B,D493)-SUMIFS(팀수비력!N:N,팀수비력!A:A,B493,팀수비력!B:B,D493)))*100,"")</f>
        <v>0</v>
      </c>
      <c r="BO493" s="67">
        <f t="shared" si="269"/>
        <v>21.1864406779661</v>
      </c>
      <c r="BT493" t="s">
        <v>89</v>
      </c>
      <c r="BV493" t="s">
        <v>90</v>
      </c>
      <c r="CF493">
        <v>5</v>
      </c>
      <c r="CG493">
        <v>1</v>
      </c>
    </row>
    <row r="494" spans="1:85" x14ac:dyDescent="0.4">
      <c r="A494" s="11" t="s">
        <v>85</v>
      </c>
      <c r="B494" t="s">
        <v>263</v>
      </c>
      <c r="C494" t="s">
        <v>283</v>
      </c>
      <c r="D494" s="46" t="s">
        <v>307</v>
      </c>
      <c r="E494">
        <v>9</v>
      </c>
      <c r="F494">
        <v>11</v>
      </c>
      <c r="G494" s="1">
        <v>9</v>
      </c>
      <c r="H494" s="16">
        <f t="shared" si="244"/>
        <v>6021</v>
      </c>
      <c r="I494">
        <v>56</v>
      </c>
      <c r="J494" s="17">
        <f t="shared" si="245"/>
        <v>6.2222222222222223</v>
      </c>
      <c r="K494">
        <v>23</v>
      </c>
      <c r="L494">
        <v>43</v>
      </c>
      <c r="M494" s="17">
        <f t="shared" si="246"/>
        <v>2.5555555555555554</v>
      </c>
      <c r="N494" s="17">
        <f t="shared" si="247"/>
        <v>4.7777777777777777</v>
      </c>
      <c r="O494" s="18">
        <f t="shared" si="248"/>
        <v>0.53488372093023251</v>
      </c>
      <c r="P494">
        <v>20</v>
      </c>
      <c r="Q494">
        <v>37</v>
      </c>
      <c r="R494" s="17">
        <f t="shared" si="249"/>
        <v>2.2222222222222223</v>
      </c>
      <c r="S494" s="17">
        <f t="shared" si="250"/>
        <v>4.1111111111111107</v>
      </c>
      <c r="T494" s="18">
        <f t="shared" si="251"/>
        <v>0.54054054054054057</v>
      </c>
      <c r="U494">
        <v>3</v>
      </c>
      <c r="V494">
        <v>6</v>
      </c>
      <c r="W494" s="17">
        <f t="shared" si="252"/>
        <v>0.33333333333333331</v>
      </c>
      <c r="X494" s="17">
        <f t="shared" si="253"/>
        <v>0.66666666666666663</v>
      </c>
      <c r="Y494" s="18">
        <f t="shared" si="254"/>
        <v>0.5</v>
      </c>
      <c r="Z494">
        <v>7</v>
      </c>
      <c r="AA494">
        <v>10</v>
      </c>
      <c r="AB494" s="17">
        <f t="shared" si="255"/>
        <v>0.77777777777777779</v>
      </c>
      <c r="AC494" s="17">
        <f t="shared" si="256"/>
        <v>1.1111111111111112</v>
      </c>
      <c r="AD494" s="18">
        <f t="shared" si="257"/>
        <v>0.7</v>
      </c>
      <c r="AE494">
        <v>35</v>
      </c>
      <c r="AF494" s="17">
        <f t="shared" si="258"/>
        <v>3.8888888888888888</v>
      </c>
      <c r="AG494">
        <v>5</v>
      </c>
      <c r="AH494" s="17">
        <f t="shared" si="259"/>
        <v>0.55555555555555558</v>
      </c>
      <c r="AI494">
        <v>30</v>
      </c>
      <c r="AJ494" s="17">
        <f t="shared" si="260"/>
        <v>3.3333333333333335</v>
      </c>
      <c r="AK494">
        <v>2</v>
      </c>
      <c r="AL494" s="17">
        <f t="shared" si="261"/>
        <v>0.22222222222222221</v>
      </c>
      <c r="AM494">
        <v>6</v>
      </c>
      <c r="AN494" s="17">
        <f t="shared" si="262"/>
        <v>0.66666666666666663</v>
      </c>
      <c r="AO494">
        <v>8</v>
      </c>
      <c r="AQ494">
        <v>12</v>
      </c>
      <c r="AR494" s="17">
        <f t="shared" si="263"/>
        <v>1.3333333333333333</v>
      </c>
      <c r="AS494">
        <v>9</v>
      </c>
      <c r="AT494" s="17">
        <f t="shared" si="264"/>
        <v>1</v>
      </c>
      <c r="BD494" s="65">
        <f t="shared" si="265"/>
        <v>59.071729957805907</v>
      </c>
      <c r="BE494" s="65">
        <f t="shared" si="266"/>
        <v>56.97674418604651</v>
      </c>
      <c r="BF494" s="66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27.371701485329528</v>
      </c>
      <c r="BG494" s="38">
        <f t="shared" si="267"/>
        <v>0.13953488372093023</v>
      </c>
      <c r="BH494" s="38">
        <f t="shared" si="268"/>
        <v>0.23255813953488372</v>
      </c>
      <c r="BI494" s="67">
        <f>IFERROR(((AG494*(12000/5))/((F494*60+G494)*(SUMIFS(팀공격력!X:X,팀공격력!A:A,B494,팀공격력!B:B,D494)+SUMIFS(팀수비력!X:X,팀수비력!A:A,B494,팀수비력!B:B,D494))))*100,"")</f>
        <v>2.7177605652941974</v>
      </c>
      <c r="BJ494" s="67">
        <f>IFERROR(((AI494*(12000/5))/((F494*60+G494)*(SUMIFS(팀공격력!V:V,팀공격력!A:A,B494,팀공격력!B:B,D494)+SUMIFS(팀수비력!W:W,팀수비력!A:A,B494,팀수비력!B:B,D494))))*100,"")</f>
        <v>36.482480808694987</v>
      </c>
      <c r="BK494" s="67">
        <f>IFERROR(((AE494*(12000/5))/((F494*60+G494)*(SUMIFS(팀공격력!X:X,팀공격력!A:A,B494,팀공격력!B:B,D494)+SUMIFS(팀수비력!X:X,팀수비력!A:A,B494,팀수비력!B:B,D494))))*100,"")</f>
        <v>19.024323957059384</v>
      </c>
      <c r="BL494" s="67">
        <f>IFERROR(100*AK494/(((((F494*60+G494)/(12000/5))*SUMIFS(팀공격력!P:P,팀공격력!A:A,B494,팀공격력!B:B,D494))-K494)),"")</f>
        <v>3.1819266565905653</v>
      </c>
      <c r="BM494" s="67">
        <f>IFERROR(100*((AM494/E494*(2400))/((F494*60+G494)*SUMIFS(팀공격력!AR:AR,팀공격력!A:A,B494,팀공격력!B:B,D494))),"")</f>
        <v>3.1926548130435308</v>
      </c>
      <c r="BN494" s="67">
        <f>IFERROR((AO494*40)/(((F494*60+G494)/60)*(SUMIFS(팀수비력!Q:Q,팀수비력!A:A,B494,팀수비력!B:B,D494)-SUMIFS(팀수비력!N:N,팀수비력!A:A,B494,팀수비력!B:B,D494)))*100,"")</f>
        <v>6.6898721607241782</v>
      </c>
      <c r="BO494" s="67">
        <f t="shared" si="269"/>
        <v>20.202020202020204</v>
      </c>
      <c r="BT494" t="s">
        <v>96</v>
      </c>
      <c r="BV494" t="s">
        <v>102</v>
      </c>
      <c r="CF494">
        <v>7</v>
      </c>
      <c r="CG494">
        <v>2</v>
      </c>
    </row>
    <row r="495" spans="1:85" x14ac:dyDescent="0.4">
      <c r="A495" s="11" t="s">
        <v>85</v>
      </c>
      <c r="B495" t="s">
        <v>263</v>
      </c>
      <c r="C495" t="s">
        <v>285</v>
      </c>
      <c r="D495" s="46" t="s">
        <v>307</v>
      </c>
      <c r="E495">
        <v>9</v>
      </c>
      <c r="F495">
        <v>18</v>
      </c>
      <c r="G495" s="1">
        <v>10</v>
      </c>
      <c r="H495" s="16">
        <f t="shared" si="244"/>
        <v>9810</v>
      </c>
      <c r="I495">
        <v>23</v>
      </c>
      <c r="J495" s="17">
        <f t="shared" si="245"/>
        <v>2.5555555555555554</v>
      </c>
      <c r="K495">
        <v>9</v>
      </c>
      <c r="L495">
        <v>28</v>
      </c>
      <c r="M495" s="17">
        <f t="shared" si="246"/>
        <v>1</v>
      </c>
      <c r="N495" s="17">
        <f t="shared" si="247"/>
        <v>3.1111111111111112</v>
      </c>
      <c r="O495" s="18">
        <f t="shared" si="248"/>
        <v>0.32142857142857145</v>
      </c>
      <c r="P495">
        <v>8</v>
      </c>
      <c r="Q495">
        <v>18</v>
      </c>
      <c r="R495" s="17">
        <f t="shared" si="249"/>
        <v>0.88888888888888884</v>
      </c>
      <c r="S495" s="17">
        <f t="shared" si="250"/>
        <v>2</v>
      </c>
      <c r="T495" s="18">
        <f t="shared" si="251"/>
        <v>0.44444444444444442</v>
      </c>
      <c r="U495">
        <v>1</v>
      </c>
      <c r="V495">
        <v>10</v>
      </c>
      <c r="W495" s="17">
        <f t="shared" si="252"/>
        <v>0.1111111111111111</v>
      </c>
      <c r="X495" s="17">
        <f t="shared" si="253"/>
        <v>1.1111111111111112</v>
      </c>
      <c r="Y495" s="18">
        <f t="shared" si="254"/>
        <v>0.1</v>
      </c>
      <c r="Z495">
        <v>4</v>
      </c>
      <c r="AA495">
        <v>4</v>
      </c>
      <c r="AB495" s="17">
        <f t="shared" si="255"/>
        <v>0.44444444444444442</v>
      </c>
      <c r="AC495" s="17">
        <f t="shared" si="256"/>
        <v>0.44444444444444442</v>
      </c>
      <c r="AD495" s="18">
        <f t="shared" si="257"/>
        <v>1</v>
      </c>
      <c r="AE495">
        <v>15</v>
      </c>
      <c r="AF495" s="17">
        <f t="shared" si="258"/>
        <v>1.6666666666666667</v>
      </c>
      <c r="AG495">
        <v>8</v>
      </c>
      <c r="AH495" s="17">
        <f t="shared" si="259"/>
        <v>0.88888888888888884</v>
      </c>
      <c r="AI495">
        <v>7</v>
      </c>
      <c r="AJ495" s="17">
        <f t="shared" si="260"/>
        <v>0.77777777777777779</v>
      </c>
      <c r="AK495">
        <v>8</v>
      </c>
      <c r="AL495" s="17">
        <f t="shared" si="261"/>
        <v>0.88888888888888884</v>
      </c>
      <c r="AM495">
        <v>9</v>
      </c>
      <c r="AN495" s="17">
        <f t="shared" si="262"/>
        <v>1</v>
      </c>
      <c r="AO495">
        <v>4</v>
      </c>
      <c r="AQ495">
        <v>8</v>
      </c>
      <c r="AR495" s="17">
        <f t="shared" si="263"/>
        <v>0.88888888888888884</v>
      </c>
      <c r="AS495">
        <v>14</v>
      </c>
      <c r="AT495" s="17">
        <f t="shared" si="264"/>
        <v>1.5555555555555556</v>
      </c>
      <c r="BD495" s="65">
        <f t="shared" si="265"/>
        <v>38.642473118279568</v>
      </c>
      <c r="BE495" s="65">
        <f t="shared" si="266"/>
        <v>33.928571428571431</v>
      </c>
      <c r="BF495" s="66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10.679402507792959</v>
      </c>
      <c r="BG495" s="38">
        <f t="shared" si="267"/>
        <v>0.35714285714285715</v>
      </c>
      <c r="BH495" s="38">
        <f t="shared" si="268"/>
        <v>0.14285714285714285</v>
      </c>
      <c r="BI495" s="67">
        <f>IFERROR(((AG495*(12000/5))/((F495*60+G495)*(SUMIFS(팀공격력!X:X,팀공격력!A:A,B495,팀공격력!B:B,D495)+SUMIFS(팀수비력!X:X,팀수비력!A:A,B495,팀수비력!B:B,D495))))*100,"")</f>
        <v>2.6688907422852375</v>
      </c>
      <c r="BJ495" s="67">
        <f>IFERROR(((AI495*(12000/5))/((F495*60+G495)*(SUMIFS(팀공격력!V:V,팀공격력!A:A,B495,팀공격력!B:B,D495)+SUMIFS(팀수비력!W:W,팀수비력!A:A,B495,팀수비력!B:B,D495))))*100,"")</f>
        <v>5.2246928937956776</v>
      </c>
      <c r="BK495" s="67">
        <f>IFERROR(((AE495*(12000/5))/((F495*60+G495)*(SUMIFS(팀공격력!X:X,팀공격력!A:A,B495,팀공격력!B:B,D495)+SUMIFS(팀수비력!X:X,팀수비력!A:A,B495,팀수비력!B:B,D495))))*100,"")</f>
        <v>5.0041701417848206</v>
      </c>
      <c r="BL495" s="67">
        <f>IFERROR(100*AK495/(((((F495*60+G495)/(12000/5))*SUMIFS(팀공격력!P:P,팀공격력!A:A,B495,팀공격력!B:B,D495))-K495)),"")</f>
        <v>6.1123137654399597</v>
      </c>
      <c r="BM495" s="67">
        <f>IFERROR(100*((AM495/E495*(2400))/((F495*60+G495)*SUMIFS(팀공격력!AR:AR,팀공격력!A:A,B495,팀공격력!B:B,D495))),"")</f>
        <v>2.939292756779067</v>
      </c>
      <c r="BN495" s="67">
        <f>IFERROR((AO495*40)/(((F495*60+G495)/60)*(SUMIFS(팀수비력!Q:Q,팀수비력!A:A,B495,팀수비력!B:B,D495)-SUMIFS(팀수비력!N:N,팀수비력!A:A,B495,팀수비력!B:B,D495)))*100,"")</f>
        <v>2.0529928786809521</v>
      </c>
      <c r="BO495" s="67">
        <f t="shared" si="269"/>
        <v>21.1864406779661</v>
      </c>
      <c r="BT495" t="s">
        <v>89</v>
      </c>
      <c r="BV495" t="s">
        <v>93</v>
      </c>
      <c r="CF495">
        <v>7</v>
      </c>
      <c r="CG495">
        <v>2</v>
      </c>
    </row>
    <row r="496" spans="1:85" x14ac:dyDescent="0.4">
      <c r="A496" s="11" t="s">
        <v>85</v>
      </c>
      <c r="B496" t="s">
        <v>286</v>
      </c>
      <c r="C496" t="s">
        <v>288</v>
      </c>
      <c r="D496" s="46" t="s">
        <v>307</v>
      </c>
      <c r="E496">
        <v>1</v>
      </c>
      <c r="F496">
        <v>16</v>
      </c>
      <c r="G496" s="1">
        <v>4</v>
      </c>
      <c r="H496" s="16">
        <f t="shared" si="244"/>
        <v>964</v>
      </c>
      <c r="I496">
        <v>6</v>
      </c>
      <c r="J496" s="17">
        <f t="shared" si="245"/>
        <v>6</v>
      </c>
      <c r="K496">
        <v>2</v>
      </c>
      <c r="L496">
        <v>9</v>
      </c>
      <c r="M496" s="17">
        <f t="shared" si="246"/>
        <v>2</v>
      </c>
      <c r="N496" s="17">
        <f t="shared" si="247"/>
        <v>9</v>
      </c>
      <c r="O496" s="18">
        <f t="shared" si="248"/>
        <v>0.22222222222222221</v>
      </c>
      <c r="P496">
        <v>2</v>
      </c>
      <c r="Q496">
        <v>9</v>
      </c>
      <c r="R496" s="17">
        <f t="shared" si="249"/>
        <v>2</v>
      </c>
      <c r="S496" s="17">
        <f t="shared" si="250"/>
        <v>9</v>
      </c>
      <c r="T496" s="18">
        <f t="shared" si="251"/>
        <v>0.22222222222222221</v>
      </c>
      <c r="U496">
        <v>0</v>
      </c>
      <c r="V496">
        <v>0</v>
      </c>
      <c r="W496" s="17">
        <f t="shared" si="252"/>
        <v>0</v>
      </c>
      <c r="X496" s="17">
        <f t="shared" si="253"/>
        <v>0</v>
      </c>
      <c r="Y496" s="18" t="e">
        <f t="shared" si="254"/>
        <v>#DIV/0!</v>
      </c>
      <c r="Z496">
        <v>2</v>
      </c>
      <c r="AA496">
        <v>2</v>
      </c>
      <c r="AB496" s="17">
        <f t="shared" si="255"/>
        <v>2</v>
      </c>
      <c r="AC496" s="17">
        <f t="shared" si="256"/>
        <v>2</v>
      </c>
      <c r="AD496" s="18">
        <f t="shared" si="257"/>
        <v>1</v>
      </c>
      <c r="AE496">
        <v>4</v>
      </c>
      <c r="AF496" s="17">
        <f t="shared" si="258"/>
        <v>4</v>
      </c>
      <c r="AG496">
        <v>1</v>
      </c>
      <c r="AH496" s="17">
        <f t="shared" si="259"/>
        <v>1</v>
      </c>
      <c r="AI496">
        <v>3</v>
      </c>
      <c r="AJ496" s="17">
        <f t="shared" si="260"/>
        <v>3</v>
      </c>
      <c r="AK496">
        <v>0</v>
      </c>
      <c r="AL496" s="17">
        <f t="shared" si="261"/>
        <v>0</v>
      </c>
      <c r="AM496">
        <v>3</v>
      </c>
      <c r="AN496" s="17">
        <f t="shared" si="262"/>
        <v>3</v>
      </c>
      <c r="AO496">
        <v>0</v>
      </c>
      <c r="AQ496">
        <v>2</v>
      </c>
      <c r="AR496" s="17">
        <f t="shared" si="263"/>
        <v>2</v>
      </c>
      <c r="AS496">
        <v>2</v>
      </c>
      <c r="AT496" s="17">
        <f t="shared" si="264"/>
        <v>2</v>
      </c>
      <c r="BD496" s="65">
        <f t="shared" si="265"/>
        <v>30.364372469635626</v>
      </c>
      <c r="BE496" s="65">
        <f t="shared" si="266"/>
        <v>22.222222222222221</v>
      </c>
      <c r="BF496" s="66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3.4158039780890177</v>
      </c>
      <c r="BG496" s="38">
        <f t="shared" si="267"/>
        <v>0</v>
      </c>
      <c r="BH496" s="38">
        <f t="shared" si="268"/>
        <v>0.22222222222222221</v>
      </c>
      <c r="BI496" s="67">
        <f>IFERROR(((AG496*(12000/5))/((F496*60+G496)*(SUMIFS(팀공격력!X:X,팀공격력!A:A,B496,팀공격력!B:B,D496)+SUMIFS(팀수비력!X:X,팀수비력!A:A,B496,팀수비력!B:B,D496))))*100,"")</f>
        <v>0.35925347128666629</v>
      </c>
      <c r="BJ496" s="67">
        <f>IFERROR(((AI496*(12000/5))/((F496*60+G496)*(SUMIFS(팀공격력!V:V,팀공격력!A:A,B496,팀공격력!B:B,D496)+SUMIFS(팀수비력!W:W,팀수비력!A:A,B496,팀수비력!B:B,D496))))*100,"")</f>
        <v>2.2429068072221598</v>
      </c>
      <c r="BK496" s="67">
        <f>IFERROR(((AE496*(12000/5))/((F496*60+G496)*(SUMIFS(팀공격력!X:X,팀공격력!A:A,B496,팀공격력!B:B,D496)+SUMIFS(팀수비력!X:X,팀수비력!A:A,B496,팀수비력!B:B,D496))))*100,"")</f>
        <v>1.4370138851466652</v>
      </c>
      <c r="BL496" s="67">
        <f>IFERROR(100*AK496/(((((F496*60+G496)/(12000/5))*SUMIFS(팀공격력!P:P,팀공격력!A:A,B496,팀공격력!B:B,D496))-K496)),"")</f>
        <v>0</v>
      </c>
      <c r="BM496" s="67">
        <f>IFERROR(100*((AM496/E496*(2400))/((F496*60+G496)*SUMIFS(팀공격력!AR:AR,팀공격력!A:A,B496,팀공격력!B:B,D496))),"")</f>
        <v>9.2920648439935842</v>
      </c>
      <c r="BN496" s="67">
        <f>IFERROR((AO496*40)/(((F496*60+G496)/60)*(SUMIFS(팀수비력!Q:Q,팀수비력!A:A,B496,팀수비력!B:B,D496)-SUMIFS(팀수비력!N:N,팀수비력!A:A,B496,팀수비력!B:B,D496)))*100,"")</f>
        <v>0</v>
      </c>
      <c r="BO496" s="67">
        <f t="shared" si="269"/>
        <v>16.835016835016834</v>
      </c>
      <c r="BT496" t="s">
        <v>96</v>
      </c>
      <c r="BV496" t="s">
        <v>93</v>
      </c>
      <c r="CF496">
        <v>1</v>
      </c>
      <c r="CG496">
        <v>0</v>
      </c>
    </row>
    <row r="497" spans="1:85" x14ac:dyDescent="0.4">
      <c r="A497" s="11" t="s">
        <v>85</v>
      </c>
      <c r="B497" t="s">
        <v>286</v>
      </c>
      <c r="C497" t="s">
        <v>290</v>
      </c>
      <c r="D497" s="46" t="s">
        <v>307</v>
      </c>
      <c r="E497">
        <v>6</v>
      </c>
      <c r="F497">
        <v>5</v>
      </c>
      <c r="G497" s="1">
        <v>14</v>
      </c>
      <c r="H497" s="16">
        <f t="shared" si="244"/>
        <v>1884</v>
      </c>
      <c r="I497">
        <v>8</v>
      </c>
      <c r="J497" s="17">
        <f t="shared" si="245"/>
        <v>1.3333333333333333</v>
      </c>
      <c r="K497">
        <v>3</v>
      </c>
      <c r="L497">
        <v>11</v>
      </c>
      <c r="M497" s="17">
        <f t="shared" si="246"/>
        <v>0.5</v>
      </c>
      <c r="N497" s="17">
        <f t="shared" si="247"/>
        <v>1.8333333333333333</v>
      </c>
      <c r="O497" s="18">
        <f t="shared" si="248"/>
        <v>0.27272727272727271</v>
      </c>
      <c r="P497">
        <v>2</v>
      </c>
      <c r="Q497">
        <v>7</v>
      </c>
      <c r="R497" s="17">
        <f t="shared" si="249"/>
        <v>0.33333333333333331</v>
      </c>
      <c r="S497" s="17">
        <f t="shared" si="250"/>
        <v>1.1666666666666667</v>
      </c>
      <c r="T497" s="18">
        <f t="shared" si="251"/>
        <v>0.2857142857142857</v>
      </c>
      <c r="U497">
        <v>1</v>
      </c>
      <c r="V497">
        <v>4</v>
      </c>
      <c r="W497" s="17">
        <f t="shared" si="252"/>
        <v>0.16666666666666666</v>
      </c>
      <c r="X497" s="17">
        <f t="shared" si="253"/>
        <v>0.66666666666666663</v>
      </c>
      <c r="Y497" s="18">
        <f t="shared" si="254"/>
        <v>0.25</v>
      </c>
      <c r="Z497">
        <v>1</v>
      </c>
      <c r="AA497">
        <v>2</v>
      </c>
      <c r="AB497" s="17">
        <f t="shared" si="255"/>
        <v>0.16666666666666666</v>
      </c>
      <c r="AC497" s="17">
        <f t="shared" si="256"/>
        <v>0.33333333333333331</v>
      </c>
      <c r="AD497" s="18">
        <f t="shared" si="257"/>
        <v>0.5</v>
      </c>
      <c r="AE497">
        <v>7</v>
      </c>
      <c r="AF497" s="17">
        <f t="shared" si="258"/>
        <v>1.1666666666666667</v>
      </c>
      <c r="AG497">
        <v>2</v>
      </c>
      <c r="AH497" s="17">
        <f t="shared" si="259"/>
        <v>0.33333333333333331</v>
      </c>
      <c r="AI497">
        <v>5</v>
      </c>
      <c r="AJ497" s="17">
        <f t="shared" si="260"/>
        <v>0.83333333333333337</v>
      </c>
      <c r="AK497">
        <v>2</v>
      </c>
      <c r="AL497" s="17">
        <f t="shared" si="261"/>
        <v>0.33333333333333331</v>
      </c>
      <c r="AM497">
        <v>0</v>
      </c>
      <c r="AN497" s="17">
        <f t="shared" si="262"/>
        <v>0</v>
      </c>
      <c r="AO497">
        <v>0</v>
      </c>
      <c r="AQ497">
        <v>1</v>
      </c>
      <c r="AR497" s="17">
        <f t="shared" si="263"/>
        <v>0.16666666666666666</v>
      </c>
      <c r="AS497">
        <v>4</v>
      </c>
      <c r="AT497" s="17">
        <f t="shared" si="264"/>
        <v>0.66666666666666663</v>
      </c>
      <c r="BD497" s="65">
        <f t="shared" si="265"/>
        <v>33.670033670033668</v>
      </c>
      <c r="BE497" s="65">
        <f t="shared" si="266"/>
        <v>31.818181818181817</v>
      </c>
      <c r="BF497" s="66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11.369457646857702</v>
      </c>
      <c r="BG497" s="38">
        <f t="shared" si="267"/>
        <v>0.36363636363636365</v>
      </c>
      <c r="BH497" s="38">
        <f t="shared" si="268"/>
        <v>0.18181818181818182</v>
      </c>
      <c r="BI497" s="67">
        <f>IFERROR(((AG497*(12000/5))/((F497*60+G497)*(SUMIFS(팀공격력!X:X,팀공격력!A:A,B497,팀공격력!B:B,D497)+SUMIFS(팀수비력!X:X,팀수비력!A:A,B497,팀수비력!B:B,D497))))*100,"")</f>
        <v>2.2058620784735434</v>
      </c>
      <c r="BJ497" s="67">
        <f>IFERROR(((AI497*(12000/5))/((F497*60+G497)*(SUMIFS(팀공격력!V:V,팀공격력!A:A,B497,팀공격력!B:B,D497)+SUMIFS(팀수비력!W:W,팀수비력!A:A,B497,팀수비력!B:B,D497))))*100,"")</f>
        <v>11.476444597463706</v>
      </c>
      <c r="BK497" s="67">
        <f>IFERROR(((AE497*(12000/5))/((F497*60+G497)*(SUMIFS(팀공격력!X:X,팀공격력!A:A,B497,팀공격력!B:B,D497)+SUMIFS(팀수비력!X:X,팀수비력!A:A,B497,팀수비력!B:B,D497))))*100,"")</f>
        <v>7.7205172746574027</v>
      </c>
      <c r="BL497" s="67">
        <f>IFERROR(100*AK497/(((((F497*60+G497)/(12000/5))*SUMIFS(팀공격력!P:P,팀공격력!A:A,B497,팀공격력!B:B,D497))-K497)),"")</f>
        <v>4.8672656107404331</v>
      </c>
      <c r="BM497" s="67">
        <f>IFERROR(100*((AM497/E497*(2400))/((F497*60+G497)*SUMIFS(팀공격력!AR:AR,팀공격력!A:A,B497,팀공격력!B:B,D497))),"")</f>
        <v>0</v>
      </c>
      <c r="BN497" s="67">
        <f>IFERROR((AO497*40)/(((F497*60+G497)/60)*(SUMIFS(팀수비력!Q:Q,팀수비력!A:A,B497,팀수비력!B:B,D497)-SUMIFS(팀수비력!N:N,팀수비력!A:A,B497,팀수비력!B:B,D497)))*100,"")</f>
        <v>0</v>
      </c>
      <c r="BO497" s="67">
        <f t="shared" si="269"/>
        <v>7.7639751552795024</v>
      </c>
      <c r="BT497" t="s">
        <v>89</v>
      </c>
      <c r="BV497" t="s">
        <v>102</v>
      </c>
      <c r="CF497">
        <v>5</v>
      </c>
      <c r="CG497">
        <v>1</v>
      </c>
    </row>
    <row r="498" spans="1:85" x14ac:dyDescent="0.4">
      <c r="A498" s="11" t="s">
        <v>85</v>
      </c>
      <c r="B498" t="s">
        <v>286</v>
      </c>
      <c r="C498" t="s">
        <v>291</v>
      </c>
      <c r="D498" s="46" t="s">
        <v>307</v>
      </c>
      <c r="E498">
        <v>10</v>
      </c>
      <c r="F498">
        <v>33</v>
      </c>
      <c r="G498" s="1">
        <v>30</v>
      </c>
      <c r="H498" s="16">
        <f t="shared" si="244"/>
        <v>20100</v>
      </c>
      <c r="I498">
        <v>187</v>
      </c>
      <c r="J498" s="17">
        <f t="shared" si="245"/>
        <v>18.7</v>
      </c>
      <c r="K498">
        <v>76</v>
      </c>
      <c r="L498">
        <v>125</v>
      </c>
      <c r="M498" s="17">
        <f t="shared" si="246"/>
        <v>7.6</v>
      </c>
      <c r="N498" s="17">
        <f t="shared" si="247"/>
        <v>12.5</v>
      </c>
      <c r="O498" s="18">
        <f t="shared" si="248"/>
        <v>0.60799999999999998</v>
      </c>
      <c r="P498">
        <v>76</v>
      </c>
      <c r="Q498">
        <v>125</v>
      </c>
      <c r="R498" s="17">
        <f t="shared" si="249"/>
        <v>7.6</v>
      </c>
      <c r="S498" s="17">
        <f t="shared" si="250"/>
        <v>12.5</v>
      </c>
      <c r="T498" s="18">
        <f t="shared" si="251"/>
        <v>0.60799999999999998</v>
      </c>
      <c r="U498">
        <v>0</v>
      </c>
      <c r="V498">
        <v>0</v>
      </c>
      <c r="W498" s="17">
        <f t="shared" si="252"/>
        <v>0</v>
      </c>
      <c r="X498" s="17">
        <f t="shared" si="253"/>
        <v>0</v>
      </c>
      <c r="Y498" s="18" t="e">
        <f t="shared" si="254"/>
        <v>#DIV/0!</v>
      </c>
      <c r="Z498">
        <v>35</v>
      </c>
      <c r="AA498">
        <v>55</v>
      </c>
      <c r="AB498" s="17">
        <f t="shared" si="255"/>
        <v>3.5</v>
      </c>
      <c r="AC498" s="17">
        <f t="shared" si="256"/>
        <v>5.5</v>
      </c>
      <c r="AD498" s="18">
        <f t="shared" si="257"/>
        <v>0.63636363636363635</v>
      </c>
      <c r="AE498">
        <v>177</v>
      </c>
      <c r="AF498" s="17">
        <f t="shared" si="258"/>
        <v>17.7</v>
      </c>
      <c r="AG498">
        <v>62</v>
      </c>
      <c r="AH498" s="17">
        <f t="shared" si="259"/>
        <v>6.2</v>
      </c>
      <c r="AI498">
        <v>115</v>
      </c>
      <c r="AJ498" s="17">
        <f t="shared" si="260"/>
        <v>11.5</v>
      </c>
      <c r="AK498">
        <v>53</v>
      </c>
      <c r="AL498" s="17">
        <f t="shared" si="261"/>
        <v>5.3</v>
      </c>
      <c r="AM498">
        <v>20</v>
      </c>
      <c r="AN498" s="17">
        <f t="shared" si="262"/>
        <v>2</v>
      </c>
      <c r="AO498">
        <v>6</v>
      </c>
      <c r="AQ498">
        <v>21</v>
      </c>
      <c r="AR498" s="17">
        <f t="shared" si="263"/>
        <v>2.1</v>
      </c>
      <c r="AS498">
        <v>27</v>
      </c>
      <c r="AT498" s="17">
        <f t="shared" si="264"/>
        <v>2.7</v>
      </c>
      <c r="BD498" s="65">
        <f t="shared" si="265"/>
        <v>62.667560321715818</v>
      </c>
      <c r="BE498" s="65">
        <f t="shared" si="266"/>
        <v>60.8</v>
      </c>
      <c r="BF498" s="66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23.470213031484146</v>
      </c>
      <c r="BG498" s="38">
        <f t="shared" si="267"/>
        <v>0</v>
      </c>
      <c r="BH498" s="38">
        <f t="shared" si="268"/>
        <v>0.44</v>
      </c>
      <c r="BI498" s="67">
        <f>IFERROR(((AG498*(12000/5))/((F498*60+G498)*(SUMIFS(팀공격력!X:X,팀공격력!A:A,B498,팀공격력!B:B,D498)+SUMIFS(팀수비력!X:X,팀수비력!A:A,B498,팀수비력!B:B,D498))))*100,"")</f>
        <v>10.682518145204712</v>
      </c>
      <c r="BJ498" s="67">
        <f>IFERROR(((AI498*(12000/5))/((F498*60+G498)*(SUMIFS(팀공격력!V:V,팀공격력!A:A,B498,팀공격력!B:B,D498)+SUMIFS(팀수비력!W:W,팀수비력!A:A,B498,팀수비력!B:B,D498))))*100,"")</f>
        <v>41.235265115862127</v>
      </c>
      <c r="BK498" s="67">
        <f>IFERROR(((AE498*(12000/5))/((F498*60+G498)*(SUMIFS(팀공격력!X:X,팀공격력!A:A,B498,팀공격력!B:B,D498)+SUMIFS(팀수비력!X:X,팀수비력!A:A,B498,팀수비력!B:B,D498))))*100,"")</f>
        <v>30.496866317761839</v>
      </c>
      <c r="BL498" s="67">
        <f>IFERROR(100*AK498/(((((F498*60+G498)/(12000/5))*SUMIFS(팀공격력!P:P,팀공격력!A:A,B498,팀공격력!B:B,D498))-K498)),"")</f>
        <v>25.698527183465664</v>
      </c>
      <c r="BM498" s="67">
        <f>IFERROR(100*((AM498/E498*(2400))/((F498*60+G498)*SUMIFS(팀공격력!AR:AR,팀공격력!A:A,B498,팀공격력!B:B,D498))),"")</f>
        <v>2.9709951939004364</v>
      </c>
      <c r="BN498" s="67">
        <f>IFERROR((AO498*40)/(((F498*60+G498)/60)*(SUMIFS(팀수비력!Q:Q,팀수비력!A:A,B498,팀수비력!B:B,D498)-SUMIFS(팀수비력!N:N,팀수비력!A:A,B498,팀수비력!B:B,D498)))*100,"")</f>
        <v>1.7139184460472756</v>
      </c>
      <c r="BO498" s="67">
        <f t="shared" si="269"/>
        <v>12.338425381903644</v>
      </c>
      <c r="BT498" t="s">
        <v>96</v>
      </c>
      <c r="BV498" t="s">
        <v>102</v>
      </c>
      <c r="CF498">
        <v>9</v>
      </c>
      <c r="CG498">
        <v>1</v>
      </c>
    </row>
    <row r="499" spans="1:85" x14ac:dyDescent="0.4">
      <c r="A499" s="11" t="s">
        <v>85</v>
      </c>
      <c r="B499" t="s">
        <v>286</v>
      </c>
      <c r="C499" t="s">
        <v>292</v>
      </c>
      <c r="D499" s="46" t="s">
        <v>307</v>
      </c>
      <c r="E499">
        <v>10</v>
      </c>
      <c r="F499">
        <v>10</v>
      </c>
      <c r="G499" s="1">
        <v>29</v>
      </c>
      <c r="H499" s="16">
        <f t="shared" si="244"/>
        <v>6290</v>
      </c>
      <c r="I499">
        <v>29</v>
      </c>
      <c r="J499" s="17">
        <f t="shared" si="245"/>
        <v>2.9</v>
      </c>
      <c r="K499">
        <v>12</v>
      </c>
      <c r="L499">
        <v>25</v>
      </c>
      <c r="M499" s="17">
        <f t="shared" si="246"/>
        <v>1.2</v>
      </c>
      <c r="N499" s="17">
        <f t="shared" si="247"/>
        <v>2.5</v>
      </c>
      <c r="O499" s="18">
        <f t="shared" si="248"/>
        <v>0.48</v>
      </c>
      <c r="P499">
        <v>10</v>
      </c>
      <c r="Q499">
        <v>20</v>
      </c>
      <c r="R499" s="17">
        <f t="shared" si="249"/>
        <v>1</v>
      </c>
      <c r="S499" s="17">
        <f t="shared" si="250"/>
        <v>2</v>
      </c>
      <c r="T499" s="18">
        <f t="shared" si="251"/>
        <v>0.5</v>
      </c>
      <c r="U499">
        <v>2</v>
      </c>
      <c r="V499">
        <v>5</v>
      </c>
      <c r="W499" s="17">
        <f t="shared" si="252"/>
        <v>0.2</v>
      </c>
      <c r="X499" s="17">
        <f t="shared" si="253"/>
        <v>0.5</v>
      </c>
      <c r="Y499" s="18">
        <f t="shared" si="254"/>
        <v>0.4</v>
      </c>
      <c r="Z499">
        <v>3</v>
      </c>
      <c r="AA499">
        <v>3</v>
      </c>
      <c r="AB499" s="17">
        <f t="shared" si="255"/>
        <v>0.3</v>
      </c>
      <c r="AC499" s="17">
        <f t="shared" si="256"/>
        <v>0.3</v>
      </c>
      <c r="AD499" s="18">
        <f t="shared" si="257"/>
        <v>1</v>
      </c>
      <c r="AE499">
        <v>6</v>
      </c>
      <c r="AF499" s="17">
        <f t="shared" si="258"/>
        <v>0.6</v>
      </c>
      <c r="AG499">
        <v>0</v>
      </c>
      <c r="AH499" s="17">
        <f t="shared" si="259"/>
        <v>0</v>
      </c>
      <c r="AI499">
        <v>6</v>
      </c>
      <c r="AJ499" s="17">
        <f t="shared" si="260"/>
        <v>0.6</v>
      </c>
      <c r="AK499">
        <v>14</v>
      </c>
      <c r="AL499" s="17">
        <f t="shared" si="261"/>
        <v>1.4</v>
      </c>
      <c r="AM499">
        <v>6</v>
      </c>
      <c r="AN499" s="17">
        <f t="shared" si="262"/>
        <v>0.6</v>
      </c>
      <c r="AO499">
        <v>0</v>
      </c>
      <c r="AQ499">
        <v>10</v>
      </c>
      <c r="AR499" s="17">
        <f t="shared" si="263"/>
        <v>1</v>
      </c>
      <c r="AS499">
        <v>13</v>
      </c>
      <c r="AT499" s="17">
        <f t="shared" si="264"/>
        <v>1.3</v>
      </c>
      <c r="BD499" s="65">
        <f t="shared" si="265"/>
        <v>55.09118541033434</v>
      </c>
      <c r="BE499" s="65">
        <f t="shared" si="266"/>
        <v>52</v>
      </c>
      <c r="BF499" s="66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16.004743843678188</v>
      </c>
      <c r="BG499" s="38">
        <f t="shared" si="267"/>
        <v>0.2</v>
      </c>
      <c r="BH499" s="38">
        <f t="shared" si="268"/>
        <v>0.12</v>
      </c>
      <c r="BI499" s="67">
        <f>IFERROR(((AG499*(12000/5))/((F499*60+G499)*(SUMIFS(팀공격력!X:X,팀공격력!A:A,B499,팀공격력!B:B,D499)+SUMIFS(팀수비력!X:X,팀수비력!A:A,B499,팀수비력!B:B,D499))))*100,"")</f>
        <v>0</v>
      </c>
      <c r="BJ499" s="67">
        <f>IFERROR(((AI499*(12000/5))/((F499*60+G499)*(SUMIFS(팀공격력!V:V,팀공격력!A:A,B499,팀공격력!B:B,D499)+SUMIFS(팀수비력!W:W,팀수비력!A:A,B499,팀수비력!B:B,D499))))*100,"")</f>
        <v>6.874919434537877</v>
      </c>
      <c r="BK499" s="67">
        <f>IFERROR(((AE499*(12000/5))/((F499*60+G499)*(SUMIFS(팀공격력!X:X,팀공격력!A:A,B499,팀공격력!B:B,D499)+SUMIFS(팀수비력!X:X,팀수비력!A:A,B499,팀수비력!B:B,D499))))*100,"")</f>
        <v>3.3035327152974214</v>
      </c>
      <c r="BL499" s="67">
        <f>IFERROR(100*AK499/(((((F499*60+G499)/(12000/5))*SUMIFS(팀공격력!P:P,팀공격력!A:A,B499,팀공격력!B:B,D499))-K499)),"")</f>
        <v>18.343314789843479</v>
      </c>
      <c r="BM499" s="67">
        <f>IFERROR(100*((AM499/E499*(2400))/((F499*60+G499)*SUMIFS(팀공격력!AR:AR,팀공격력!A:A,B499,팀공격력!B:B,D499))),"")</f>
        <v>2.8481877614021669</v>
      </c>
      <c r="BN499" s="67">
        <f>IFERROR((AO499*40)/(((F499*60+G499)/60)*(SUMIFS(팀수비력!Q:Q,팀수비력!A:A,B499,팀수비력!B:B,D499)-SUMIFS(팀수비력!N:N,팀수비력!A:A,B499,팀수비력!B:B,D499)))*100,"")</f>
        <v>0</v>
      </c>
      <c r="BO499" s="67">
        <f t="shared" si="269"/>
        <v>27.533039647577091</v>
      </c>
      <c r="BT499" t="s">
        <v>89</v>
      </c>
      <c r="BV499" t="s">
        <v>90</v>
      </c>
      <c r="CF499">
        <v>9</v>
      </c>
      <c r="CG499">
        <v>1</v>
      </c>
    </row>
    <row r="500" spans="1:85" x14ac:dyDescent="0.4">
      <c r="A500" s="11" t="s">
        <v>85</v>
      </c>
      <c r="B500" t="s">
        <v>286</v>
      </c>
      <c r="C500" t="s">
        <v>293</v>
      </c>
      <c r="D500" s="46" t="s">
        <v>307</v>
      </c>
      <c r="E500">
        <v>10</v>
      </c>
      <c r="F500">
        <v>30</v>
      </c>
      <c r="G500" s="1">
        <v>24</v>
      </c>
      <c r="H500" s="16">
        <f t="shared" si="244"/>
        <v>18240</v>
      </c>
      <c r="I500">
        <v>153</v>
      </c>
      <c r="J500" s="17">
        <f t="shared" si="245"/>
        <v>15.3</v>
      </c>
      <c r="K500">
        <v>58</v>
      </c>
      <c r="L500">
        <v>123</v>
      </c>
      <c r="M500" s="17">
        <f t="shared" si="246"/>
        <v>5.8</v>
      </c>
      <c r="N500" s="17">
        <f t="shared" si="247"/>
        <v>12.3</v>
      </c>
      <c r="O500" s="18">
        <f t="shared" si="248"/>
        <v>0.47154471544715448</v>
      </c>
      <c r="P500">
        <v>37</v>
      </c>
      <c r="Q500">
        <v>65</v>
      </c>
      <c r="R500" s="17">
        <f t="shared" si="249"/>
        <v>3.7</v>
      </c>
      <c r="S500" s="17">
        <f t="shared" si="250"/>
        <v>6.5</v>
      </c>
      <c r="T500" s="18">
        <f t="shared" si="251"/>
        <v>0.56923076923076921</v>
      </c>
      <c r="U500">
        <v>21</v>
      </c>
      <c r="V500">
        <v>58</v>
      </c>
      <c r="W500" s="17">
        <f t="shared" si="252"/>
        <v>2.1</v>
      </c>
      <c r="X500" s="17">
        <f t="shared" si="253"/>
        <v>5.8</v>
      </c>
      <c r="Y500" s="18">
        <f t="shared" si="254"/>
        <v>0.36206896551724138</v>
      </c>
      <c r="Z500">
        <v>16</v>
      </c>
      <c r="AA500">
        <v>21</v>
      </c>
      <c r="AB500" s="17">
        <f t="shared" si="255"/>
        <v>1.6</v>
      </c>
      <c r="AC500" s="17">
        <f t="shared" si="256"/>
        <v>2.1</v>
      </c>
      <c r="AD500" s="18">
        <f t="shared" si="257"/>
        <v>0.76190476190476186</v>
      </c>
      <c r="AE500">
        <v>65</v>
      </c>
      <c r="AF500" s="17">
        <f t="shared" si="258"/>
        <v>6.5</v>
      </c>
      <c r="AG500">
        <v>24</v>
      </c>
      <c r="AH500" s="17">
        <f t="shared" si="259"/>
        <v>2.4</v>
      </c>
      <c r="AI500">
        <v>41</v>
      </c>
      <c r="AJ500" s="17">
        <f t="shared" si="260"/>
        <v>4.0999999999999996</v>
      </c>
      <c r="AK500">
        <v>37</v>
      </c>
      <c r="AL500" s="17">
        <f t="shared" si="261"/>
        <v>3.7</v>
      </c>
      <c r="AM500">
        <v>9</v>
      </c>
      <c r="AN500" s="17">
        <f t="shared" si="262"/>
        <v>0.9</v>
      </c>
      <c r="AO500">
        <v>4</v>
      </c>
      <c r="AQ500">
        <v>16</v>
      </c>
      <c r="AR500" s="17">
        <f t="shared" si="263"/>
        <v>1.6</v>
      </c>
      <c r="AS500">
        <v>25</v>
      </c>
      <c r="AT500" s="17">
        <f t="shared" si="264"/>
        <v>2.5</v>
      </c>
      <c r="BD500" s="65">
        <f t="shared" si="265"/>
        <v>57.849364791288558</v>
      </c>
      <c r="BE500" s="65">
        <f t="shared" si="266"/>
        <v>55.691056910569102</v>
      </c>
      <c r="BF500" s="66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22.52652002343828</v>
      </c>
      <c r="BG500" s="38">
        <f t="shared" si="267"/>
        <v>0.47154471544715448</v>
      </c>
      <c r="BH500" s="38">
        <f t="shared" si="268"/>
        <v>0.17073170731707318</v>
      </c>
      <c r="BI500" s="67">
        <f>IFERROR(((AG500*(12000/5))/((F500*60+G500)*(SUMIFS(팀공격력!X:X,팀공격력!A:A,B500,팀공격력!B:B,D500)+SUMIFS(팀수비력!X:X,팀수비력!A:A,B500,팀수비력!B:B,D500))))*100,"")</f>
        <v>4.5568466621098205</v>
      </c>
      <c r="BJ500" s="67">
        <f>IFERROR(((AI500*(12000/5))/((F500*60+G500)*(SUMIFS(팀공격력!V:V,팀공격력!A:A,B500,팀공격력!B:B,D500)+SUMIFS(팀수비력!W:W,팀수비력!A:A,B500,팀수비력!B:B,D500))))*100,"")</f>
        <v>16.200410937253043</v>
      </c>
      <c r="BK500" s="67">
        <f>IFERROR(((AE500*(12000/5))/((F500*60+G500)*(SUMIFS(팀공격력!X:X,팀공격력!A:A,B500,팀공격력!B:B,D500)+SUMIFS(팀수비력!X:X,팀수비력!A:A,B500,팀수비력!B:B,D500))))*100,"")</f>
        <v>12.341459709880763</v>
      </c>
      <c r="BL500" s="67">
        <f>IFERROR(100*AK500/(((((F500*60+G500)/(12000/5))*SUMIFS(팀공격력!P:P,팀공격력!A:A,B500,팀공격력!B:B,D500))-K500)),"")</f>
        <v>18.675550171613164</v>
      </c>
      <c r="BM500" s="67">
        <f>IFERROR(100*((AM500/E500*(2400))/((F500*60+G500)*SUMIFS(팀공격력!AR:AR,팀공격력!A:A,B500,팀공격력!B:B,D500))),"")</f>
        <v>1.473281333817404</v>
      </c>
      <c r="BN500" s="67">
        <f>IFERROR((AO500*40)/(((F500*60+G500)/60)*(SUMIFS(팀수비력!Q:Q,팀수비력!A:A,B500,팀수비력!B:B,D500)-SUMIFS(팀수비력!N:N,팀수비력!A:A,B500,팀수비력!B:B,D500)))*100,"")</f>
        <v>1.2591286829513977</v>
      </c>
      <c r="BO500" s="67">
        <f t="shared" si="269"/>
        <v>10.793308148947652</v>
      </c>
      <c r="BT500" t="s">
        <v>89</v>
      </c>
      <c r="BV500" t="s">
        <v>93</v>
      </c>
      <c r="CF500">
        <v>9</v>
      </c>
      <c r="CG500">
        <v>1</v>
      </c>
    </row>
    <row r="501" spans="1:85" x14ac:dyDescent="0.4">
      <c r="A501" s="11" t="s">
        <v>85</v>
      </c>
      <c r="B501" t="s">
        <v>286</v>
      </c>
      <c r="C501" t="s">
        <v>294</v>
      </c>
      <c r="D501" s="46" t="s">
        <v>307</v>
      </c>
      <c r="E501">
        <v>10</v>
      </c>
      <c r="F501">
        <v>25</v>
      </c>
      <c r="G501" s="1">
        <v>52</v>
      </c>
      <c r="H501" s="16">
        <f t="shared" si="244"/>
        <v>15520</v>
      </c>
      <c r="I501">
        <v>88</v>
      </c>
      <c r="J501" s="17">
        <f t="shared" si="245"/>
        <v>8.8000000000000007</v>
      </c>
      <c r="K501">
        <v>30</v>
      </c>
      <c r="L501">
        <v>73</v>
      </c>
      <c r="M501" s="17">
        <f t="shared" si="246"/>
        <v>3</v>
      </c>
      <c r="N501" s="17">
        <f t="shared" si="247"/>
        <v>7.3</v>
      </c>
      <c r="O501" s="18">
        <f t="shared" si="248"/>
        <v>0.41095890410958902</v>
      </c>
      <c r="P501">
        <v>9</v>
      </c>
      <c r="Q501">
        <v>29</v>
      </c>
      <c r="R501" s="17">
        <f t="shared" si="249"/>
        <v>0.9</v>
      </c>
      <c r="S501" s="17">
        <f t="shared" si="250"/>
        <v>2.9</v>
      </c>
      <c r="T501" s="18">
        <f t="shared" si="251"/>
        <v>0.31034482758620691</v>
      </c>
      <c r="U501">
        <v>21</v>
      </c>
      <c r="V501">
        <v>44</v>
      </c>
      <c r="W501" s="17">
        <f t="shared" si="252"/>
        <v>2.1</v>
      </c>
      <c r="X501" s="17">
        <f t="shared" si="253"/>
        <v>4.4000000000000004</v>
      </c>
      <c r="Y501" s="18">
        <f t="shared" si="254"/>
        <v>0.47727272727272729</v>
      </c>
      <c r="Z501">
        <v>7</v>
      </c>
      <c r="AA501">
        <v>7</v>
      </c>
      <c r="AB501" s="17">
        <f t="shared" si="255"/>
        <v>0.7</v>
      </c>
      <c r="AC501" s="17">
        <f t="shared" si="256"/>
        <v>0.7</v>
      </c>
      <c r="AD501" s="18">
        <f t="shared" si="257"/>
        <v>1</v>
      </c>
      <c r="AE501">
        <v>18</v>
      </c>
      <c r="AF501" s="17">
        <f t="shared" si="258"/>
        <v>1.8</v>
      </c>
      <c r="AG501">
        <v>6</v>
      </c>
      <c r="AH501" s="17">
        <f t="shared" si="259"/>
        <v>0.6</v>
      </c>
      <c r="AI501">
        <v>12</v>
      </c>
      <c r="AJ501" s="17">
        <f t="shared" si="260"/>
        <v>1.2</v>
      </c>
      <c r="AK501">
        <v>2</v>
      </c>
      <c r="AL501" s="17">
        <f t="shared" si="261"/>
        <v>0.2</v>
      </c>
      <c r="AM501">
        <v>5</v>
      </c>
      <c r="AN501" s="17">
        <f t="shared" si="262"/>
        <v>0.5</v>
      </c>
      <c r="AO501">
        <v>3</v>
      </c>
      <c r="AQ501">
        <v>7</v>
      </c>
      <c r="AR501" s="17">
        <f t="shared" si="263"/>
        <v>0.7</v>
      </c>
      <c r="AS501">
        <v>28</v>
      </c>
      <c r="AT501" s="17">
        <f t="shared" si="264"/>
        <v>2.8</v>
      </c>
      <c r="BD501" s="65">
        <f t="shared" si="265"/>
        <v>57.833859095688759</v>
      </c>
      <c r="BE501" s="65">
        <f t="shared" si="266"/>
        <v>55.479452054794521</v>
      </c>
      <c r="BF501" s="66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14.837417055957374</v>
      </c>
      <c r="BG501" s="38">
        <f t="shared" si="267"/>
        <v>0.60273972602739723</v>
      </c>
      <c r="BH501" s="38">
        <f t="shared" si="268"/>
        <v>9.5890410958904104E-2</v>
      </c>
      <c r="BI501" s="67">
        <f>IFERROR(((AG501*(12000/5))/((F501*60+G501)*(SUMIFS(팀공격력!X:X,팀공격력!A:A,B501,팀공격력!B:B,D501)+SUMIFS(팀수비력!X:X,팀수비력!A:A,B501,팀수비력!B:B,D501))))*100,"")</f>
        <v>1.3388673182487616</v>
      </c>
      <c r="BJ501" s="67">
        <f>IFERROR(((AI501*(12000/5))/((F501*60+G501)*(SUMIFS(팀공격력!V:V,팀공격력!A:A,B501,팀공격력!B:B,D501)+SUMIFS(팀수비력!W:W,팀수비력!A:A,B501,팀수비력!B:B,D501))))*100,"")</f>
        <v>5.5725828921705212</v>
      </c>
      <c r="BK501" s="67">
        <f>IFERROR(((AE501*(12000/5))/((F501*60+G501)*(SUMIFS(팀공격력!X:X,팀공격력!A:A,B501,팀공격력!B:B,D501)+SUMIFS(팀수비력!X:X,팀수비력!A:A,B501,팀수비력!B:B,D501))))*100,"")</f>
        <v>4.0166019547462843</v>
      </c>
      <c r="BL501" s="67">
        <f>IFERROR(100*AK501/(((((F501*60+G501)/(12000/5))*SUMIFS(팀공격력!P:P,팀공격력!A:A,B501,팀공격력!B:B,D501))-K501)),"")</f>
        <v>1.0642449182305156</v>
      </c>
      <c r="BM501" s="67">
        <f>IFERROR(100*((AM501/E501*(2400))/((F501*60+G501)*SUMIFS(팀공격력!AR:AR,팀공격력!A:A,B501,팀공격력!B:B,D501))),"")</f>
        <v>0.9619362660663463</v>
      </c>
      <c r="BN501" s="67">
        <f>IFERROR((AO501*40)/(((F501*60+G501)/60)*(SUMIFS(팀수비력!Q:Q,팀수비력!A:A,B501,팀수비력!B:B,D501)-SUMIFS(팀수비력!N:N,팀수비력!A:A,B501,팀수비력!B:B,D501)))*100,"")</f>
        <v>1.1098505401272629</v>
      </c>
      <c r="BO501" s="67">
        <f t="shared" si="269"/>
        <v>8.425613866153105</v>
      </c>
      <c r="BT501" t="s">
        <v>89</v>
      </c>
      <c r="BV501" t="s">
        <v>90</v>
      </c>
      <c r="CF501">
        <v>9</v>
      </c>
      <c r="CG501">
        <v>1</v>
      </c>
    </row>
    <row r="502" spans="1:85" x14ac:dyDescent="0.4">
      <c r="A502" s="11" t="s">
        <v>85</v>
      </c>
      <c r="B502" t="s">
        <v>286</v>
      </c>
      <c r="C502" t="s">
        <v>295</v>
      </c>
      <c r="D502" s="46" t="s">
        <v>307</v>
      </c>
      <c r="E502">
        <v>6</v>
      </c>
      <c r="F502">
        <v>5</v>
      </c>
      <c r="G502" s="1">
        <v>24</v>
      </c>
      <c r="H502" s="16">
        <f t="shared" si="244"/>
        <v>1944</v>
      </c>
      <c r="I502">
        <v>7</v>
      </c>
      <c r="J502" s="17">
        <f t="shared" si="245"/>
        <v>1.1666666666666667</v>
      </c>
      <c r="K502">
        <v>2</v>
      </c>
      <c r="L502">
        <v>12</v>
      </c>
      <c r="M502" s="17">
        <f t="shared" si="246"/>
        <v>0.33333333333333331</v>
      </c>
      <c r="N502" s="17">
        <f t="shared" si="247"/>
        <v>2</v>
      </c>
      <c r="O502" s="18">
        <f t="shared" si="248"/>
        <v>0.16666666666666666</v>
      </c>
      <c r="P502">
        <v>1</v>
      </c>
      <c r="Q502">
        <v>4</v>
      </c>
      <c r="R502" s="17">
        <f t="shared" si="249"/>
        <v>0.16666666666666666</v>
      </c>
      <c r="S502" s="17">
        <f t="shared" si="250"/>
        <v>0.66666666666666663</v>
      </c>
      <c r="T502" s="18">
        <f t="shared" si="251"/>
        <v>0.25</v>
      </c>
      <c r="U502">
        <v>1</v>
      </c>
      <c r="V502">
        <v>8</v>
      </c>
      <c r="W502" s="17">
        <f t="shared" si="252"/>
        <v>0.16666666666666666</v>
      </c>
      <c r="X502" s="17">
        <f t="shared" si="253"/>
        <v>1.3333333333333333</v>
      </c>
      <c r="Y502" s="18">
        <f t="shared" si="254"/>
        <v>0.125</v>
      </c>
      <c r="Z502">
        <v>2</v>
      </c>
      <c r="AA502">
        <v>2</v>
      </c>
      <c r="AB502" s="17">
        <f t="shared" si="255"/>
        <v>0.33333333333333331</v>
      </c>
      <c r="AC502" s="17">
        <f t="shared" si="256"/>
        <v>0.33333333333333331</v>
      </c>
      <c r="AD502" s="18">
        <f t="shared" si="257"/>
        <v>1</v>
      </c>
      <c r="AE502">
        <v>5</v>
      </c>
      <c r="AF502" s="17">
        <f t="shared" si="258"/>
        <v>0.83333333333333337</v>
      </c>
      <c r="AG502">
        <v>0</v>
      </c>
      <c r="AH502" s="17">
        <f t="shared" si="259"/>
        <v>0</v>
      </c>
      <c r="AI502">
        <v>5</v>
      </c>
      <c r="AJ502" s="17">
        <f t="shared" si="260"/>
        <v>0.83333333333333337</v>
      </c>
      <c r="AK502">
        <v>0</v>
      </c>
      <c r="AL502" s="17">
        <f t="shared" si="261"/>
        <v>0</v>
      </c>
      <c r="AM502">
        <v>2</v>
      </c>
      <c r="AN502" s="17">
        <f t="shared" si="262"/>
        <v>0.33333333333333331</v>
      </c>
      <c r="AO502">
        <v>0</v>
      </c>
      <c r="AQ502">
        <v>1</v>
      </c>
      <c r="AR502" s="17">
        <f t="shared" si="263"/>
        <v>0.16666666666666666</v>
      </c>
      <c r="AS502">
        <v>4</v>
      </c>
      <c r="AT502" s="17">
        <f t="shared" si="264"/>
        <v>0.66666666666666663</v>
      </c>
      <c r="BD502" s="65">
        <f t="shared" si="265"/>
        <v>27.173913043478258</v>
      </c>
      <c r="BE502" s="65">
        <f t="shared" si="266"/>
        <v>20.833333333333336</v>
      </c>
      <c r="BF502" s="66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11.874025825150692</v>
      </c>
      <c r="BG502" s="38">
        <f t="shared" si="267"/>
        <v>0.66666666666666663</v>
      </c>
      <c r="BH502" s="38">
        <f t="shared" si="268"/>
        <v>0.16666666666666666</v>
      </c>
      <c r="BI502" s="67">
        <f>IFERROR(((AG502*(12000/5))/((F502*60+G502)*(SUMIFS(팀공격력!X:X,팀공격력!A:A,B502,팀공격력!B:B,D502)+SUMIFS(팀수비력!X:X,팀수비력!A:A,B502,팀수비력!B:B,D502))))*100,"")</f>
        <v>0</v>
      </c>
      <c r="BJ502" s="67">
        <f>IFERROR(((AI502*(12000/5))/((F502*60+G502)*(SUMIFS(팀공격력!V:V,팀공격력!A:A,B502,팀공격력!B:B,D502)+SUMIFS(팀수비력!W:W,팀수비력!A:A,B502,팀수비력!B:B,D502))))*100,"")</f>
        <v>11.122233344455566</v>
      </c>
      <c r="BK502" s="67">
        <f>IFERROR(((AE502*(12000/5))/((F502*60+G502)*(SUMIFS(팀공격력!X:X,팀공격력!A:A,B502,팀공격력!B:B,D502)+SUMIFS(팀수비력!X:X,팀수비력!A:A,B502,팀수비력!B:B,D502))))*100,"")</f>
        <v>5.3444497888942326</v>
      </c>
      <c r="BL502" s="67">
        <f>IFERROR(100*AK502/(((((F502*60+G502)/(12000/5))*SUMIFS(팀공격력!P:P,팀공격력!A:A,B502,팀공격력!B:B,D502))-K502)),"")</f>
        <v>0</v>
      </c>
      <c r="BM502" s="67">
        <f>IFERROR(100*((AM502/E502*(2400))/((F502*60+G502)*SUMIFS(팀공격력!AR:AR,팀공격력!A:A,B502,팀공격력!B:B,D502))),"")</f>
        <v>3.0718623146810069</v>
      </c>
      <c r="BN502" s="67">
        <f>IFERROR((AO502*40)/(((F502*60+G502)/60)*(SUMIFS(팀수비력!Q:Q,팀수비력!A:A,B502,팀수비력!B:B,D502)-SUMIFS(팀수비력!N:N,팀수비력!A:A,B502,팀수비력!B:B,D502)))*100,"")</f>
        <v>0</v>
      </c>
      <c r="BO502" s="67">
        <f t="shared" si="269"/>
        <v>7.2046109510086449</v>
      </c>
      <c r="BT502" t="s">
        <v>89</v>
      </c>
      <c r="BV502" t="s">
        <v>90</v>
      </c>
      <c r="CF502">
        <v>5</v>
      </c>
      <c r="CG502">
        <v>1</v>
      </c>
    </row>
    <row r="503" spans="1:85" x14ac:dyDescent="0.4">
      <c r="A503" s="11" t="s">
        <v>85</v>
      </c>
      <c r="B503" t="s">
        <v>286</v>
      </c>
      <c r="C503" t="s">
        <v>296</v>
      </c>
      <c r="D503" s="46" t="s">
        <v>307</v>
      </c>
      <c r="E503">
        <v>10</v>
      </c>
      <c r="F503">
        <v>19</v>
      </c>
      <c r="G503" s="1">
        <v>43</v>
      </c>
      <c r="H503" s="16">
        <f t="shared" si="244"/>
        <v>11830</v>
      </c>
      <c r="I503">
        <v>107</v>
      </c>
      <c r="J503" s="17">
        <f t="shared" si="245"/>
        <v>10.7</v>
      </c>
      <c r="K503">
        <v>38</v>
      </c>
      <c r="L503">
        <v>86</v>
      </c>
      <c r="M503" s="17">
        <f t="shared" si="246"/>
        <v>3.8</v>
      </c>
      <c r="N503" s="17">
        <f t="shared" si="247"/>
        <v>8.6</v>
      </c>
      <c r="O503" s="18">
        <f t="shared" si="248"/>
        <v>0.44186046511627908</v>
      </c>
      <c r="P503">
        <v>20</v>
      </c>
      <c r="Q503">
        <v>41</v>
      </c>
      <c r="R503" s="17">
        <f t="shared" si="249"/>
        <v>2</v>
      </c>
      <c r="S503" s="17">
        <f t="shared" si="250"/>
        <v>4.0999999999999996</v>
      </c>
      <c r="T503" s="18">
        <f t="shared" si="251"/>
        <v>0.48780487804878048</v>
      </c>
      <c r="U503">
        <v>18</v>
      </c>
      <c r="V503">
        <v>45</v>
      </c>
      <c r="W503" s="17">
        <f t="shared" si="252"/>
        <v>1.8</v>
      </c>
      <c r="X503" s="17">
        <f t="shared" si="253"/>
        <v>4.5</v>
      </c>
      <c r="Y503" s="18">
        <f t="shared" si="254"/>
        <v>0.4</v>
      </c>
      <c r="Z503">
        <v>13</v>
      </c>
      <c r="AA503">
        <v>17</v>
      </c>
      <c r="AB503" s="17">
        <f t="shared" si="255"/>
        <v>1.3</v>
      </c>
      <c r="AC503" s="17">
        <f t="shared" si="256"/>
        <v>1.7</v>
      </c>
      <c r="AD503" s="18">
        <f t="shared" si="257"/>
        <v>0.76470588235294112</v>
      </c>
      <c r="AE503">
        <v>15</v>
      </c>
      <c r="AF503" s="17">
        <f t="shared" si="258"/>
        <v>1.5</v>
      </c>
      <c r="AG503">
        <v>2</v>
      </c>
      <c r="AH503" s="17">
        <f t="shared" si="259"/>
        <v>0.2</v>
      </c>
      <c r="AI503">
        <v>13</v>
      </c>
      <c r="AJ503" s="17">
        <f t="shared" si="260"/>
        <v>1.3</v>
      </c>
      <c r="AK503">
        <v>7</v>
      </c>
      <c r="AL503" s="17">
        <f t="shared" si="261"/>
        <v>0.7</v>
      </c>
      <c r="AM503">
        <v>2</v>
      </c>
      <c r="AN503" s="17">
        <f t="shared" si="262"/>
        <v>0.2</v>
      </c>
      <c r="AO503">
        <v>0</v>
      </c>
      <c r="AQ503">
        <v>8</v>
      </c>
      <c r="AR503" s="17">
        <f t="shared" si="263"/>
        <v>0.8</v>
      </c>
      <c r="AS503">
        <v>10</v>
      </c>
      <c r="AT503" s="17">
        <f t="shared" si="264"/>
        <v>1</v>
      </c>
      <c r="BD503" s="65">
        <f t="shared" si="265"/>
        <v>57.231493367565257</v>
      </c>
      <c r="BE503" s="65">
        <f t="shared" si="266"/>
        <v>54.651162790697668</v>
      </c>
      <c r="BF503" s="66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23.776572383414333</v>
      </c>
      <c r="BG503" s="38">
        <f t="shared" si="267"/>
        <v>0.52325581395348841</v>
      </c>
      <c r="BH503" s="38">
        <f t="shared" si="268"/>
        <v>0.19767441860465115</v>
      </c>
      <c r="BI503" s="67">
        <f>IFERROR(((AG503*(12000/5))/((F503*60+G503)*(SUMIFS(팀공격력!X:X,팀공격력!A:A,B503,팀공격력!B:B,D503)+SUMIFS(팀수비력!X:X,팀수비력!A:A,B503,팀수비력!B:B,D503))))*100,"")</f>
        <v>0.58549509098959651</v>
      </c>
      <c r="BJ503" s="67">
        <f>IFERROR(((AI503*(12000/5))/((F503*60+G503)*(SUMIFS(팀공격력!V:V,팀공격력!A:A,B503,팀공격력!B:B,D503)+SUMIFS(팀수비력!W:W,팀수비력!A:A,B503,팀수비력!B:B,D503))))*100,"")</f>
        <v>7.9200079200079196</v>
      </c>
      <c r="BK503" s="67">
        <f>IFERROR(((AE503*(12000/5))/((F503*60+G503)*(SUMIFS(팀공격력!X:X,팀공격력!A:A,B503,팀공격력!B:B,D503)+SUMIFS(팀수비력!X:X,팀수비력!A:A,B503,팀수비력!B:B,D503))))*100,"")</f>
        <v>4.3912131824219731</v>
      </c>
      <c r="BL503" s="67">
        <f>IFERROR(100*AK503/(((((F503*60+G503)/(12000/5))*SUMIFS(팀공격력!P:P,팀공격력!A:A,B503,팀공격력!B:B,D503))-K503)),"")</f>
        <v>5.463929931603305</v>
      </c>
      <c r="BM503" s="67">
        <f>IFERROR(100*((AM503/E503*(2400))/((F503*60+G503)*SUMIFS(팀공격력!AR:AR,팀공격력!A:A,B503,팀공격력!B:B,D503))),"")</f>
        <v>0.50479292812678589</v>
      </c>
      <c r="BN503" s="67">
        <f>IFERROR((AO503*40)/(((F503*60+G503)/60)*(SUMIFS(팀수비력!Q:Q,팀수비력!A:A,B503,팀수비력!B:B,D503)-SUMIFS(팀수비력!N:N,팀수비력!A:A,B503,팀수비력!B:B,D503)))*100,"")</f>
        <v>0</v>
      </c>
      <c r="BO503" s="67">
        <f t="shared" si="269"/>
        <v>7.8833267638943632</v>
      </c>
      <c r="BT503" t="s">
        <v>89</v>
      </c>
      <c r="BV503" t="s">
        <v>90</v>
      </c>
      <c r="CF503">
        <v>9</v>
      </c>
      <c r="CG503">
        <v>1</v>
      </c>
    </row>
    <row r="504" spans="1:85" x14ac:dyDescent="0.4">
      <c r="A504" s="11" t="s">
        <v>85</v>
      </c>
      <c r="B504" t="s">
        <v>286</v>
      </c>
      <c r="C504" t="s">
        <v>297</v>
      </c>
      <c r="D504" s="46" t="s">
        <v>307</v>
      </c>
      <c r="E504">
        <v>1</v>
      </c>
      <c r="F504">
        <v>6</v>
      </c>
      <c r="G504" s="1">
        <v>11</v>
      </c>
      <c r="H504" s="16">
        <f t="shared" si="244"/>
        <v>371</v>
      </c>
      <c r="I504">
        <v>4</v>
      </c>
      <c r="J504" s="17">
        <f t="shared" si="245"/>
        <v>4</v>
      </c>
      <c r="K504">
        <v>2</v>
      </c>
      <c r="L504">
        <v>2</v>
      </c>
      <c r="M504" s="17">
        <f t="shared" si="246"/>
        <v>2</v>
      </c>
      <c r="N504" s="17">
        <f t="shared" si="247"/>
        <v>2</v>
      </c>
      <c r="O504" s="18">
        <f t="shared" si="248"/>
        <v>1</v>
      </c>
      <c r="P504">
        <v>2</v>
      </c>
      <c r="Q504">
        <v>2</v>
      </c>
      <c r="R504" s="17">
        <f t="shared" si="249"/>
        <v>2</v>
      </c>
      <c r="S504" s="17">
        <f t="shared" si="250"/>
        <v>2</v>
      </c>
      <c r="T504" s="18">
        <f t="shared" si="251"/>
        <v>1</v>
      </c>
      <c r="U504">
        <v>0</v>
      </c>
      <c r="V504">
        <v>0</v>
      </c>
      <c r="W504" s="17">
        <f t="shared" si="252"/>
        <v>0</v>
      </c>
      <c r="X504" s="17">
        <f t="shared" si="253"/>
        <v>0</v>
      </c>
      <c r="Y504" s="18" t="e">
        <f t="shared" si="254"/>
        <v>#DIV/0!</v>
      </c>
      <c r="Z504">
        <v>0</v>
      </c>
      <c r="AA504">
        <v>0</v>
      </c>
      <c r="AB504" s="17">
        <f t="shared" si="255"/>
        <v>0</v>
      </c>
      <c r="AC504" s="17">
        <f t="shared" si="256"/>
        <v>0</v>
      </c>
      <c r="AD504" s="18" t="e">
        <f t="shared" si="257"/>
        <v>#DIV/0!</v>
      </c>
      <c r="AE504">
        <v>4</v>
      </c>
      <c r="AF504" s="17">
        <f t="shared" si="258"/>
        <v>4</v>
      </c>
      <c r="AG504">
        <v>2</v>
      </c>
      <c r="AH504" s="17">
        <f t="shared" si="259"/>
        <v>2</v>
      </c>
      <c r="AI504">
        <v>2</v>
      </c>
      <c r="AJ504" s="17">
        <f t="shared" si="260"/>
        <v>2</v>
      </c>
      <c r="AK504">
        <v>0</v>
      </c>
      <c r="AL504" s="17">
        <f t="shared" si="261"/>
        <v>0</v>
      </c>
      <c r="AM504">
        <v>1</v>
      </c>
      <c r="AN504" s="17">
        <f t="shared" si="262"/>
        <v>1</v>
      </c>
      <c r="AO504">
        <v>0</v>
      </c>
      <c r="AQ504">
        <v>1</v>
      </c>
      <c r="AR504" s="17">
        <f t="shared" si="263"/>
        <v>1</v>
      </c>
      <c r="AS504">
        <v>1</v>
      </c>
      <c r="AT504" s="17">
        <f t="shared" si="264"/>
        <v>1</v>
      </c>
      <c r="BD504" s="65">
        <f t="shared" si="265"/>
        <v>100</v>
      </c>
      <c r="BE504" s="65">
        <f t="shared" si="266"/>
        <v>100</v>
      </c>
      <c r="BF504" s="66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2.2413045787237689</v>
      </c>
      <c r="BG504" s="38">
        <f t="shared" si="267"/>
        <v>0</v>
      </c>
      <c r="BH504" s="38">
        <f t="shared" si="268"/>
        <v>0</v>
      </c>
      <c r="BI504" s="67">
        <f>IFERROR(((AG504*(12000/5))/((F504*60+G504)*(SUMIFS(팀공격력!X:X,팀공격력!A:A,B504,팀공격력!B:B,D504)+SUMIFS(팀수비력!X:X,팀수비력!A:A,B504,팀수비력!B:B,D504))))*100,"")</f>
        <v>1.8669560448536189</v>
      </c>
      <c r="BJ504" s="67">
        <f>IFERROR(((AI504*(12000/5))/((F504*60+G504)*(SUMIFS(팀공격력!V:V,팀공격력!A:A,B504,팀공격력!B:B,D504)+SUMIFS(팀수비력!W:W,팀수비력!A:A,B504,팀수비력!B:B,D504))))*100,"")</f>
        <v>3.8852869041548286</v>
      </c>
      <c r="BK504" s="67">
        <f>IFERROR(((AE504*(12000/5))/((F504*60+G504)*(SUMIFS(팀공격력!X:X,팀공격력!A:A,B504,팀공격력!B:B,D504)+SUMIFS(팀수비력!X:X,팀수비력!A:A,B504,팀수비력!B:B,D504))))*100,"")</f>
        <v>3.7339120897072378</v>
      </c>
      <c r="BL504" s="67">
        <f>IFERROR(100*AK504/(((((F504*60+G504)/(12000/5))*SUMIFS(팀공격력!P:P,팀공격력!A:A,B504,팀공격력!B:B,D504))-K504)),"")</f>
        <v>0</v>
      </c>
      <c r="BM504" s="67">
        <f>IFERROR(100*((AM504/E504*(2400))/((F504*60+G504)*SUMIFS(팀공격력!AR:AR,팀공격력!A:A,B504,팀공격력!B:B,D504))),"")</f>
        <v>8.048113665417624</v>
      </c>
      <c r="BN504" s="67">
        <f>IFERROR((AO504*40)/(((F504*60+G504)/60)*(SUMIFS(팀수비력!Q:Q,팀수비력!A:A,B504,팀수비력!B:B,D504)-SUMIFS(팀수비력!N:N,팀수비력!A:A,B504,팀수비력!B:B,D504)))*100,"")</f>
        <v>0</v>
      </c>
      <c r="BO504" s="67">
        <f t="shared" si="269"/>
        <v>33.333333333333336</v>
      </c>
      <c r="BT504" t="s">
        <v>89</v>
      </c>
      <c r="BV504" t="s">
        <v>93</v>
      </c>
      <c r="CF504">
        <v>1</v>
      </c>
      <c r="CG504">
        <v>0</v>
      </c>
    </row>
    <row r="505" spans="1:85" x14ac:dyDescent="0.4">
      <c r="A505" s="11" t="s">
        <v>85</v>
      </c>
      <c r="B505" t="s">
        <v>286</v>
      </c>
      <c r="C505" t="s">
        <v>298</v>
      </c>
      <c r="D505" s="46" t="s">
        <v>307</v>
      </c>
      <c r="E505">
        <v>10</v>
      </c>
      <c r="F505">
        <v>28</v>
      </c>
      <c r="G505" s="1">
        <v>17</v>
      </c>
      <c r="H505" s="16">
        <f t="shared" si="244"/>
        <v>16970</v>
      </c>
      <c r="I505">
        <v>134</v>
      </c>
      <c r="J505" s="17">
        <f t="shared" si="245"/>
        <v>13.4</v>
      </c>
      <c r="K505">
        <v>49</v>
      </c>
      <c r="L505">
        <v>99</v>
      </c>
      <c r="M505" s="17">
        <f t="shared" si="246"/>
        <v>4.9000000000000004</v>
      </c>
      <c r="N505" s="17">
        <f t="shared" si="247"/>
        <v>9.9</v>
      </c>
      <c r="O505" s="18">
        <f t="shared" si="248"/>
        <v>0.49494949494949497</v>
      </c>
      <c r="P505">
        <v>32</v>
      </c>
      <c r="Q505">
        <v>62</v>
      </c>
      <c r="R505" s="17">
        <f t="shared" si="249"/>
        <v>3.2</v>
      </c>
      <c r="S505" s="17">
        <f t="shared" si="250"/>
        <v>6.2</v>
      </c>
      <c r="T505" s="18">
        <f t="shared" si="251"/>
        <v>0.5161290322580645</v>
      </c>
      <c r="U505">
        <v>17</v>
      </c>
      <c r="V505">
        <v>37</v>
      </c>
      <c r="W505" s="17">
        <f t="shared" si="252"/>
        <v>1.7</v>
      </c>
      <c r="X505" s="17">
        <f t="shared" si="253"/>
        <v>3.7</v>
      </c>
      <c r="Y505" s="18">
        <f t="shared" si="254"/>
        <v>0.45945945945945948</v>
      </c>
      <c r="Z505">
        <v>19</v>
      </c>
      <c r="AA505">
        <v>23</v>
      </c>
      <c r="AB505" s="17">
        <f t="shared" si="255"/>
        <v>1.9</v>
      </c>
      <c r="AC505" s="17">
        <f t="shared" si="256"/>
        <v>2.2999999999999998</v>
      </c>
      <c r="AD505" s="18">
        <f t="shared" si="257"/>
        <v>0.82608695652173914</v>
      </c>
      <c r="AE505">
        <v>32</v>
      </c>
      <c r="AF505" s="17">
        <f t="shared" si="258"/>
        <v>3.2</v>
      </c>
      <c r="AG505">
        <v>10</v>
      </c>
      <c r="AH505" s="17">
        <f t="shared" si="259"/>
        <v>1</v>
      </c>
      <c r="AI505">
        <v>22</v>
      </c>
      <c r="AJ505" s="17">
        <f t="shared" si="260"/>
        <v>2.2000000000000002</v>
      </c>
      <c r="AK505">
        <v>46</v>
      </c>
      <c r="AL505" s="17">
        <f t="shared" si="261"/>
        <v>4.5999999999999996</v>
      </c>
      <c r="AM505">
        <v>8</v>
      </c>
      <c r="AN505" s="17">
        <f t="shared" si="262"/>
        <v>0.8</v>
      </c>
      <c r="AO505">
        <v>1</v>
      </c>
      <c r="AQ505">
        <v>16</v>
      </c>
      <c r="AR505" s="17">
        <f t="shared" si="263"/>
        <v>1.6</v>
      </c>
      <c r="AS505">
        <v>21</v>
      </c>
      <c r="AT505" s="17">
        <f t="shared" si="264"/>
        <v>2.1</v>
      </c>
      <c r="BD505" s="65">
        <f t="shared" si="265"/>
        <v>61.400293255131963</v>
      </c>
      <c r="BE505" s="65">
        <f t="shared" si="266"/>
        <v>58.080808080808076</v>
      </c>
      <c r="BF505" s="66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20.436119174653221</v>
      </c>
      <c r="BG505" s="38">
        <f t="shared" si="267"/>
        <v>0.37373737373737376</v>
      </c>
      <c r="BH505" s="38">
        <f t="shared" si="268"/>
        <v>0.23232323232323232</v>
      </c>
      <c r="BI505" s="67">
        <f>IFERROR(((AG505*(12000/5))/((F505*60+G505)*(SUMIFS(팀공격력!X:X,팀공격력!A:A,B505,팀공격력!B:B,D505)+SUMIFS(팀수비력!X:X,팀수비력!A:A,B505,팀수비력!B:B,D505))))*100,"")</f>
        <v>2.0407798840326832</v>
      </c>
      <c r="BJ505" s="67">
        <f>IFERROR(((AI505*(12000/5))/((F505*60+G505)*(SUMIFS(팀공격력!V:V,팀공격력!A:A,B505,팀공격력!B:B,D505)+SUMIFS(팀수비력!W:W,팀수비력!A:A,B505,팀수비력!B:B,D505))))*100,"")</f>
        <v>9.3434624960847703</v>
      </c>
      <c r="BK505" s="67">
        <f>IFERROR(((AE505*(12000/5))/((F505*60+G505)*(SUMIFS(팀공격력!X:X,팀공격력!A:A,B505,팀공격력!B:B,D505)+SUMIFS(팀수비력!X:X,팀수비력!A:A,B505,팀수비력!B:B,D505))))*100,"")</f>
        <v>6.5304956289045855</v>
      </c>
      <c r="BL505" s="67">
        <f>IFERROR(100*AK505/(((((F505*60+G505)/(12000/5))*SUMIFS(팀공격력!P:P,팀공격력!A:A,B505,팀공격력!B:B,D505))-K505)),"")</f>
        <v>24.301711025360508</v>
      </c>
      <c r="BM505" s="67">
        <f>IFERROR(100*((AM505/E505*(2400))/((F505*60+G505)*SUMIFS(팀공격력!AR:AR,팀공격력!A:A,B505,팀공격력!B:B,D505))),"")</f>
        <v>1.4075899445468185</v>
      </c>
      <c r="BN505" s="67">
        <f>IFERROR((AO505*40)/(((F505*60+G505)/60)*(SUMIFS(팀수비력!Q:Q,팀수비력!A:A,B505,팀수비력!B:B,D505)-SUMIFS(팀수비력!N:N,팀수비력!A:A,B505,팀수비력!B:B,D505)))*100,"")</f>
        <v>0.33833982287910269</v>
      </c>
      <c r="BO505" s="67">
        <f t="shared" si="269"/>
        <v>12.787723785166239</v>
      </c>
      <c r="BT505" t="s">
        <v>89</v>
      </c>
      <c r="BV505" t="s">
        <v>90</v>
      </c>
      <c r="CF505">
        <v>9</v>
      </c>
      <c r="CG505">
        <v>1</v>
      </c>
    </row>
    <row r="506" spans="1:85" x14ac:dyDescent="0.4">
      <c r="A506" s="11" t="s">
        <v>85</v>
      </c>
      <c r="B506" t="s">
        <v>286</v>
      </c>
      <c r="C506" t="s">
        <v>299</v>
      </c>
      <c r="D506" s="46" t="s">
        <v>307</v>
      </c>
      <c r="E506">
        <v>6</v>
      </c>
      <c r="F506">
        <v>4</v>
      </c>
      <c r="G506" s="1">
        <v>22</v>
      </c>
      <c r="H506" s="16">
        <f t="shared" si="244"/>
        <v>1572</v>
      </c>
      <c r="I506">
        <v>8</v>
      </c>
      <c r="J506" s="17">
        <f t="shared" si="245"/>
        <v>1.3333333333333333</v>
      </c>
      <c r="K506">
        <v>2</v>
      </c>
      <c r="L506">
        <v>5</v>
      </c>
      <c r="M506" s="17">
        <f t="shared" si="246"/>
        <v>0.33333333333333331</v>
      </c>
      <c r="N506" s="17">
        <f t="shared" si="247"/>
        <v>0.83333333333333337</v>
      </c>
      <c r="O506" s="18">
        <f t="shared" si="248"/>
        <v>0.4</v>
      </c>
      <c r="P506">
        <v>1</v>
      </c>
      <c r="Q506">
        <v>1</v>
      </c>
      <c r="R506" s="17">
        <f t="shared" si="249"/>
        <v>0.16666666666666666</v>
      </c>
      <c r="S506" s="17">
        <f t="shared" si="250"/>
        <v>0.16666666666666666</v>
      </c>
      <c r="T506" s="18">
        <f t="shared" si="251"/>
        <v>1</v>
      </c>
      <c r="U506">
        <v>1</v>
      </c>
      <c r="V506">
        <v>4</v>
      </c>
      <c r="W506" s="17">
        <f t="shared" si="252"/>
        <v>0.16666666666666666</v>
      </c>
      <c r="X506" s="17">
        <f t="shared" si="253"/>
        <v>0.66666666666666663</v>
      </c>
      <c r="Y506" s="18">
        <f t="shared" si="254"/>
        <v>0.25</v>
      </c>
      <c r="Z506">
        <v>3</v>
      </c>
      <c r="AA506">
        <v>3</v>
      </c>
      <c r="AB506" s="17">
        <f t="shared" si="255"/>
        <v>0.5</v>
      </c>
      <c r="AC506" s="17">
        <f t="shared" si="256"/>
        <v>0.5</v>
      </c>
      <c r="AD506" s="18">
        <f t="shared" si="257"/>
        <v>1</v>
      </c>
      <c r="AE506">
        <v>5</v>
      </c>
      <c r="AF506" s="17">
        <f t="shared" si="258"/>
        <v>0.83333333333333337</v>
      </c>
      <c r="AG506">
        <v>2</v>
      </c>
      <c r="AH506" s="17">
        <f t="shared" si="259"/>
        <v>0.33333333333333331</v>
      </c>
      <c r="AI506">
        <v>3</v>
      </c>
      <c r="AJ506" s="17">
        <f t="shared" si="260"/>
        <v>0.5</v>
      </c>
      <c r="AK506">
        <v>0</v>
      </c>
      <c r="AL506" s="17">
        <f t="shared" si="261"/>
        <v>0</v>
      </c>
      <c r="AM506">
        <v>0</v>
      </c>
      <c r="AN506" s="17">
        <f t="shared" si="262"/>
        <v>0</v>
      </c>
      <c r="AO506">
        <v>0</v>
      </c>
      <c r="AQ506">
        <v>1</v>
      </c>
      <c r="AR506" s="17">
        <f t="shared" si="263"/>
        <v>0.16666666666666666</v>
      </c>
      <c r="AS506">
        <v>5</v>
      </c>
      <c r="AT506" s="17">
        <f t="shared" si="264"/>
        <v>0.83333333333333337</v>
      </c>
      <c r="BD506" s="65">
        <f t="shared" si="265"/>
        <v>63.291139240506325</v>
      </c>
      <c r="BE506" s="65">
        <f t="shared" si="266"/>
        <v>50</v>
      </c>
      <c r="BF506" s="66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7.7439639574194832</v>
      </c>
      <c r="BG506" s="38">
        <f t="shared" si="267"/>
        <v>0.8</v>
      </c>
      <c r="BH506" s="38">
        <f t="shared" si="268"/>
        <v>0.6</v>
      </c>
      <c r="BI506" s="67">
        <f>IFERROR(((AG506*(12000/5))/((F506*60+G506)*(SUMIFS(팀공격력!X:X,팀공격력!A:A,B506,팀공격력!B:B,D506)+SUMIFS(팀수비력!X:X,팀수비력!A:A,B506,팀수비력!B:B,D506))))*100,"")</f>
        <v>2.6436667658041704</v>
      </c>
      <c r="BJ506" s="67">
        <f>IFERROR(((AI506*(12000/5))/((F506*60+G506)*(SUMIFS(팀공격력!V:V,팀공격력!A:A,B506,팀공격력!B:B,D506)+SUMIFS(팀수비력!W:W,팀수비력!A:A,B506,팀수비력!B:B,D506))))*100,"")</f>
        <v>8.2525273364968026</v>
      </c>
      <c r="BK506" s="67">
        <f>IFERROR(((AE506*(12000/5))/((F506*60+G506)*(SUMIFS(팀공격력!X:X,팀공격력!A:A,B506,팀공격력!B:B,D506)+SUMIFS(팀수비력!X:X,팀수비력!A:A,B506,팀수비력!B:B,D506))))*100,"")</f>
        <v>6.6091669145104257</v>
      </c>
      <c r="BL506" s="67">
        <f>IFERROR(100*AK506/(((((F506*60+G506)/(12000/5))*SUMIFS(팀공격력!P:P,팀공격력!A:A,B506,팀공격력!B:B,D506))-K506)),"")</f>
        <v>0</v>
      </c>
      <c r="BM506" s="67">
        <f>IFERROR(100*((AM506/E506*(2400))/((F506*60+G506)*SUMIFS(팀공격력!AR:AR,팀공격력!A:A,B506,팀공격력!B:B,D506))),"")</f>
        <v>0</v>
      </c>
      <c r="BN506" s="67">
        <f>IFERROR((AO506*40)/(((F506*60+G506)/60)*(SUMIFS(팀수비력!Q:Q,팀수비력!A:A,B506,팀수비력!B:B,D506)-SUMIFS(팀수비력!N:N,팀수비력!A:A,B506,팀수비력!B:B,D506)))*100,"")</f>
        <v>0</v>
      </c>
      <c r="BO506" s="67">
        <f t="shared" si="269"/>
        <v>13.66120218579235</v>
      </c>
      <c r="BT506" t="s">
        <v>89</v>
      </c>
      <c r="BV506" t="s">
        <v>93</v>
      </c>
      <c r="CF506">
        <v>6</v>
      </c>
      <c r="CG506">
        <v>0</v>
      </c>
    </row>
    <row r="507" spans="1:85" x14ac:dyDescent="0.4">
      <c r="A507" s="11" t="s">
        <v>85</v>
      </c>
      <c r="B507" t="s">
        <v>286</v>
      </c>
      <c r="C507" t="s">
        <v>300</v>
      </c>
      <c r="D507" s="46" t="s">
        <v>307</v>
      </c>
      <c r="E507">
        <v>10</v>
      </c>
      <c r="F507">
        <v>14</v>
      </c>
      <c r="G507" s="1">
        <v>54</v>
      </c>
      <c r="H507" s="16">
        <f t="shared" si="244"/>
        <v>8940</v>
      </c>
      <c r="I507">
        <v>83</v>
      </c>
      <c r="J507" s="17">
        <f t="shared" si="245"/>
        <v>8.3000000000000007</v>
      </c>
      <c r="K507">
        <v>36</v>
      </c>
      <c r="L507">
        <v>58</v>
      </c>
      <c r="M507" s="17">
        <f t="shared" si="246"/>
        <v>3.6</v>
      </c>
      <c r="N507" s="17">
        <f t="shared" si="247"/>
        <v>5.8</v>
      </c>
      <c r="O507" s="18">
        <f t="shared" si="248"/>
        <v>0.62068965517241381</v>
      </c>
      <c r="P507">
        <v>32</v>
      </c>
      <c r="Q507">
        <v>51</v>
      </c>
      <c r="R507" s="17">
        <f t="shared" si="249"/>
        <v>3.2</v>
      </c>
      <c r="S507" s="17">
        <f t="shared" si="250"/>
        <v>5.0999999999999996</v>
      </c>
      <c r="T507" s="18">
        <f t="shared" si="251"/>
        <v>0.62745098039215685</v>
      </c>
      <c r="U507">
        <v>4</v>
      </c>
      <c r="V507">
        <v>7</v>
      </c>
      <c r="W507" s="17">
        <f t="shared" si="252"/>
        <v>0.4</v>
      </c>
      <c r="X507" s="17">
        <f t="shared" si="253"/>
        <v>0.7</v>
      </c>
      <c r="Y507" s="18">
        <f t="shared" si="254"/>
        <v>0.5714285714285714</v>
      </c>
      <c r="Z507">
        <v>7</v>
      </c>
      <c r="AA507">
        <v>11</v>
      </c>
      <c r="AB507" s="17">
        <f t="shared" si="255"/>
        <v>0.7</v>
      </c>
      <c r="AC507" s="17">
        <f t="shared" si="256"/>
        <v>1.1000000000000001</v>
      </c>
      <c r="AD507" s="18">
        <f t="shared" si="257"/>
        <v>0.63636363636363635</v>
      </c>
      <c r="AE507">
        <v>43</v>
      </c>
      <c r="AF507" s="17">
        <f t="shared" si="258"/>
        <v>4.3</v>
      </c>
      <c r="AG507">
        <v>10</v>
      </c>
      <c r="AH507" s="17">
        <f t="shared" si="259"/>
        <v>1</v>
      </c>
      <c r="AI507">
        <v>33</v>
      </c>
      <c r="AJ507" s="17">
        <f t="shared" si="260"/>
        <v>3.3</v>
      </c>
      <c r="AK507">
        <v>20</v>
      </c>
      <c r="AL507" s="17">
        <f t="shared" si="261"/>
        <v>2</v>
      </c>
      <c r="AM507">
        <v>6</v>
      </c>
      <c r="AN507" s="17">
        <f t="shared" si="262"/>
        <v>0.6</v>
      </c>
      <c r="AO507">
        <v>1</v>
      </c>
      <c r="AQ507">
        <v>22</v>
      </c>
      <c r="AR507" s="17">
        <f t="shared" si="263"/>
        <v>2.2000000000000002</v>
      </c>
      <c r="AS507">
        <v>19</v>
      </c>
      <c r="AT507" s="17">
        <f t="shared" si="264"/>
        <v>1.9</v>
      </c>
      <c r="BD507" s="65">
        <f t="shared" si="265"/>
        <v>66.040738383195418</v>
      </c>
      <c r="BE507" s="65">
        <f t="shared" si="266"/>
        <v>65.517241379310349</v>
      </c>
      <c r="BF507" s="66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26.303689802483596</v>
      </c>
      <c r="BG507" s="38">
        <f t="shared" si="267"/>
        <v>0.1206896551724138</v>
      </c>
      <c r="BH507" s="38">
        <f t="shared" si="268"/>
        <v>0.18965517241379309</v>
      </c>
      <c r="BI507" s="67">
        <f>IFERROR(((AG507*(12000/5))/((F507*60+G507)*(SUMIFS(팀공격력!X:X,팀공격력!A:A,B507,팀공격력!B:B,D507)+SUMIFS(팀수비력!X:X,팀수비력!A:A,B507,팀수비력!B:B,D507))))*100,"")</f>
        <v>3.873829377185082</v>
      </c>
      <c r="BJ507" s="67">
        <f>IFERROR(((AI507*(12000/5))/((F507*60+G507)*(SUMIFS(팀공격력!V:V,팀공격력!A:A,B507,팀공격력!B:B,D507)+SUMIFS(팀수비력!W:W,팀수비력!A:A,B507,팀수비력!B:B,D507))))*100,"")</f>
        <v>26.603784993046737</v>
      </c>
      <c r="BK507" s="67">
        <f>IFERROR(((AE507*(12000/5))/((F507*60+G507)*(SUMIFS(팀공격력!X:X,팀공격력!A:A,B507,팀공격력!B:B,D507)+SUMIFS(팀수비력!X:X,팀수비력!A:A,B507,팀수비력!B:B,D507))))*100,"")</f>
        <v>16.657466321895853</v>
      </c>
      <c r="BL507" s="67">
        <f>IFERROR(100*AK507/(((((F507*60+G507)/(12000/5))*SUMIFS(팀공격력!P:P,팀공격력!A:A,B507,팀공격력!B:B,D507))-K507)),"")</f>
        <v>22.338257057493088</v>
      </c>
      <c r="BM507" s="67">
        <f>IFERROR(100*((AM507/E507*(2400))/((F507*60+G507)*SUMIFS(팀공격력!AR:AR,팀공격력!A:A,B507,팀공격력!B:B,D507))),"")</f>
        <v>2.0039262885033144</v>
      </c>
      <c r="BN507" s="67">
        <f>IFERROR((AO507*40)/(((F507*60+G507)/60)*(SUMIFS(팀수비력!Q:Q,팀수비력!A:A,B507,팀수비력!B:B,D507)-SUMIFS(팀수비력!N:N,팀수비력!A:A,B507,팀수비력!B:B,D507)))*100,"")</f>
        <v>0.64224013358594778</v>
      </c>
      <c r="BO507" s="67">
        <f t="shared" si="269"/>
        <v>25.931164545025929</v>
      </c>
      <c r="BT507" t="s">
        <v>113</v>
      </c>
      <c r="BV507" t="s">
        <v>93</v>
      </c>
      <c r="CF507">
        <v>9</v>
      </c>
      <c r="CG507">
        <v>1</v>
      </c>
    </row>
    <row r="508" spans="1:85" x14ac:dyDescent="0.4">
      <c r="A508" s="11" t="s">
        <v>85</v>
      </c>
      <c r="B508" t="s">
        <v>286</v>
      </c>
      <c r="C508" t="s">
        <v>301</v>
      </c>
      <c r="D508" s="46" t="s">
        <v>307</v>
      </c>
      <c r="E508">
        <v>9</v>
      </c>
      <c r="F508">
        <v>11</v>
      </c>
      <c r="G508" s="1">
        <v>4</v>
      </c>
      <c r="H508" s="16">
        <f t="shared" si="244"/>
        <v>5976</v>
      </c>
      <c r="I508">
        <v>25</v>
      </c>
      <c r="J508" s="17">
        <f t="shared" si="245"/>
        <v>2.7777777777777777</v>
      </c>
      <c r="K508">
        <v>9</v>
      </c>
      <c r="L508">
        <v>20</v>
      </c>
      <c r="M508" s="17">
        <f t="shared" si="246"/>
        <v>1</v>
      </c>
      <c r="N508" s="17">
        <f t="shared" si="247"/>
        <v>2.2222222222222223</v>
      </c>
      <c r="O508" s="18">
        <f t="shared" si="248"/>
        <v>0.45</v>
      </c>
      <c r="P508">
        <v>4</v>
      </c>
      <c r="Q508">
        <v>7</v>
      </c>
      <c r="R508" s="17">
        <f t="shared" si="249"/>
        <v>0.44444444444444442</v>
      </c>
      <c r="S508" s="17">
        <f t="shared" si="250"/>
        <v>0.77777777777777779</v>
      </c>
      <c r="T508" s="18">
        <f t="shared" si="251"/>
        <v>0.5714285714285714</v>
      </c>
      <c r="U508">
        <v>5</v>
      </c>
      <c r="V508">
        <v>13</v>
      </c>
      <c r="W508" s="17">
        <f t="shared" si="252"/>
        <v>0.55555555555555558</v>
      </c>
      <c r="X508" s="17">
        <f t="shared" si="253"/>
        <v>1.4444444444444444</v>
      </c>
      <c r="Y508" s="18">
        <f t="shared" si="254"/>
        <v>0.38461538461538464</v>
      </c>
      <c r="Z508">
        <v>2</v>
      </c>
      <c r="AA508">
        <v>2</v>
      </c>
      <c r="AB508" s="17">
        <f t="shared" si="255"/>
        <v>0.22222222222222221</v>
      </c>
      <c r="AC508" s="17">
        <f t="shared" si="256"/>
        <v>0.22222222222222221</v>
      </c>
      <c r="AD508" s="18">
        <f t="shared" si="257"/>
        <v>1</v>
      </c>
      <c r="AE508">
        <v>5</v>
      </c>
      <c r="AF508" s="17">
        <f t="shared" si="258"/>
        <v>0.55555555555555558</v>
      </c>
      <c r="AG508">
        <v>2</v>
      </c>
      <c r="AH508" s="17">
        <f t="shared" si="259"/>
        <v>0.22222222222222221</v>
      </c>
      <c r="AI508">
        <v>3</v>
      </c>
      <c r="AJ508" s="17">
        <f t="shared" si="260"/>
        <v>0.33333333333333331</v>
      </c>
      <c r="AK508">
        <v>4</v>
      </c>
      <c r="AL508" s="17">
        <f t="shared" si="261"/>
        <v>0.44444444444444442</v>
      </c>
      <c r="AM508">
        <v>2</v>
      </c>
      <c r="AN508" s="17">
        <f t="shared" si="262"/>
        <v>0.22222222222222221</v>
      </c>
      <c r="AO508">
        <v>1</v>
      </c>
      <c r="AQ508">
        <v>0</v>
      </c>
      <c r="AR508" s="17">
        <f t="shared" si="263"/>
        <v>0</v>
      </c>
      <c r="AS508">
        <v>8</v>
      </c>
      <c r="AT508" s="17">
        <f t="shared" si="264"/>
        <v>0.88888888888888884</v>
      </c>
      <c r="BD508" s="65">
        <f t="shared" si="265"/>
        <v>59.865900383141771</v>
      </c>
      <c r="BE508" s="65">
        <f t="shared" si="266"/>
        <v>57.499999999999993</v>
      </c>
      <c r="BF508" s="66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8.7159744442731437</v>
      </c>
      <c r="BG508" s="38">
        <f t="shared" si="267"/>
        <v>0.65</v>
      </c>
      <c r="BH508" s="38">
        <f t="shared" si="268"/>
        <v>0.1</v>
      </c>
      <c r="BI508" s="67">
        <f>IFERROR(((AG508*(12000/5))/((F508*60+G508)*(SUMIFS(팀공격력!X:X,팀공격력!A:A,B508,팀공격력!B:B,D508)+SUMIFS(팀수비력!X:X,팀수비력!A:A,B508,팀수비력!B:B,D508))))*100,"")</f>
        <v>1.0431335732540552</v>
      </c>
      <c r="BJ508" s="67">
        <f>IFERROR(((AI508*(12000/5))/((F508*60+G508)*(SUMIFS(팀공격력!V:V,팀공격력!A:A,B508,팀공격력!B:B,D508)+SUMIFS(팀수비력!W:W,팀수비력!A:A,B508,팀수비력!B:B,D508))))*100,"")</f>
        <v>3.2562683165092801</v>
      </c>
      <c r="BK508" s="67">
        <f>IFERROR(((AE508*(12000/5))/((F508*60+G508)*(SUMIFS(팀공격력!X:X,팀공격력!A:A,B508,팀공격력!B:B,D508)+SUMIFS(팀수비력!X:X,팀수비력!A:A,B508,팀수비력!B:B,D508))))*100,"")</f>
        <v>2.6078339331351379</v>
      </c>
      <c r="BL508" s="67">
        <f>IFERROR(100*AK508/(((((F508*60+G508)/(12000/5))*SUMIFS(팀공격력!P:P,팀공격력!A:A,B508,팀공격력!B:B,D508))-K508)),"")</f>
        <v>4.7485259783942073</v>
      </c>
      <c r="BM508" s="67">
        <f>IFERROR(100*((AM508/E508*(2400))/((F508*60+G508)*SUMIFS(팀공격력!AR:AR,팀공격력!A:A,B508,팀공격력!B:B,D508))),"")</f>
        <v>0.99928051200466483</v>
      </c>
      <c r="BN508" s="67">
        <f>IFERROR((AO508*40)/(((F508*60+G508)/60)*(SUMIFS(팀수비력!Q:Q,팀수비력!A:A,B508,팀수비력!B:B,D508)-SUMIFS(팀수비력!N:N,팀수비력!A:A,B508,팀수비력!B:B,D508)))*100,"")</f>
        <v>0.86470283046059837</v>
      </c>
      <c r="BO508" s="67">
        <f t="shared" si="269"/>
        <v>0</v>
      </c>
      <c r="BT508" t="s">
        <v>89</v>
      </c>
      <c r="BV508" t="s">
        <v>93</v>
      </c>
      <c r="CF508">
        <v>8</v>
      </c>
      <c r="CG508">
        <v>1</v>
      </c>
    </row>
    <row r="509" spans="1:85" x14ac:dyDescent="0.4">
      <c r="A509" s="11" t="s">
        <v>85</v>
      </c>
      <c r="B509" t="s">
        <v>286</v>
      </c>
      <c r="C509" t="s">
        <v>302</v>
      </c>
      <c r="D509" s="46" t="s">
        <v>307</v>
      </c>
      <c r="E509">
        <v>10</v>
      </c>
      <c r="F509">
        <v>14</v>
      </c>
      <c r="G509" s="1">
        <v>49</v>
      </c>
      <c r="H509" s="16">
        <f t="shared" si="244"/>
        <v>8890</v>
      </c>
      <c r="I509">
        <v>47</v>
      </c>
      <c r="J509" s="17">
        <f t="shared" si="245"/>
        <v>4.7</v>
      </c>
      <c r="K509">
        <v>16</v>
      </c>
      <c r="L509">
        <v>40</v>
      </c>
      <c r="M509" s="17">
        <f t="shared" si="246"/>
        <v>1.6</v>
      </c>
      <c r="N509" s="17">
        <f t="shared" si="247"/>
        <v>4</v>
      </c>
      <c r="O509" s="18">
        <f t="shared" si="248"/>
        <v>0.4</v>
      </c>
      <c r="P509">
        <v>4</v>
      </c>
      <c r="Q509">
        <v>7</v>
      </c>
      <c r="R509" s="17">
        <f t="shared" si="249"/>
        <v>0.4</v>
      </c>
      <c r="S509" s="17">
        <f t="shared" si="250"/>
        <v>0.7</v>
      </c>
      <c r="T509" s="18">
        <f t="shared" si="251"/>
        <v>0.5714285714285714</v>
      </c>
      <c r="U509">
        <v>12</v>
      </c>
      <c r="V509">
        <v>33</v>
      </c>
      <c r="W509" s="17">
        <f t="shared" si="252"/>
        <v>1.2</v>
      </c>
      <c r="X509" s="17">
        <f t="shared" si="253"/>
        <v>3.3</v>
      </c>
      <c r="Y509" s="18">
        <f t="shared" si="254"/>
        <v>0.36363636363636365</v>
      </c>
      <c r="Z509">
        <v>3</v>
      </c>
      <c r="AA509">
        <v>4</v>
      </c>
      <c r="AB509" s="17">
        <f t="shared" si="255"/>
        <v>0.3</v>
      </c>
      <c r="AC509" s="17">
        <f t="shared" si="256"/>
        <v>0.4</v>
      </c>
      <c r="AD509" s="18">
        <f t="shared" si="257"/>
        <v>0.75</v>
      </c>
      <c r="AE509">
        <v>16</v>
      </c>
      <c r="AF509" s="17">
        <f t="shared" si="258"/>
        <v>1.6</v>
      </c>
      <c r="AG509">
        <v>4</v>
      </c>
      <c r="AH509" s="17">
        <f t="shared" si="259"/>
        <v>0.4</v>
      </c>
      <c r="AI509">
        <v>12</v>
      </c>
      <c r="AJ509" s="17">
        <f t="shared" si="260"/>
        <v>1.2</v>
      </c>
      <c r="AK509">
        <v>11</v>
      </c>
      <c r="AL509" s="17">
        <f t="shared" si="261"/>
        <v>1.1000000000000001</v>
      </c>
      <c r="AM509">
        <v>2</v>
      </c>
      <c r="AN509" s="17">
        <f t="shared" si="262"/>
        <v>0.2</v>
      </c>
      <c r="AO509">
        <v>0</v>
      </c>
      <c r="AQ509">
        <v>3</v>
      </c>
      <c r="AR509" s="17">
        <f t="shared" si="263"/>
        <v>0.3</v>
      </c>
      <c r="AS509">
        <v>25</v>
      </c>
      <c r="AT509" s="17">
        <f t="shared" si="264"/>
        <v>2.5</v>
      </c>
      <c r="BD509" s="65">
        <f t="shared" si="265"/>
        <v>56.273946360153261</v>
      </c>
      <c r="BE509" s="65">
        <f t="shared" si="266"/>
        <v>55.000000000000007</v>
      </c>
      <c r="BF509" s="66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13.955385895052029</v>
      </c>
      <c r="BG509" s="38">
        <f t="shared" si="267"/>
        <v>0.82499999999999996</v>
      </c>
      <c r="BH509" s="38">
        <f t="shared" si="268"/>
        <v>0.1</v>
      </c>
      <c r="BI509" s="67">
        <f>IFERROR(((AG509*(12000/5))/((F509*60+G509)*(SUMIFS(팀공격력!X:X,팀공격력!A:A,B509,팀공격력!B:B,D509)+SUMIFS(팀수비력!X:X,팀수비력!A:A,B509,팀수비력!B:B,D509))))*100,"")</f>
        <v>1.5582467775943591</v>
      </c>
      <c r="BJ509" s="67">
        <f>IFERROR(((AI509*(12000/5))/((F509*60+G509)*(SUMIFS(팀공격력!V:V,팀공격력!A:A,B509,팀공격력!B:B,D509)+SUMIFS(팀수비력!W:W,팀수비력!A:A,B509,팀수비력!B:B,D509))))*100,"")</f>
        <v>9.7285136655215396</v>
      </c>
      <c r="BK509" s="67">
        <f>IFERROR(((AE509*(12000/5))/((F509*60+G509)*(SUMIFS(팀공격력!X:X,팀공격력!A:A,B509,팀공격력!B:B,D509)+SUMIFS(팀수비력!X:X,팀수비력!A:A,B509,팀수비력!B:B,D509))))*100,"")</f>
        <v>6.2329871103774366</v>
      </c>
      <c r="BL509" s="67">
        <f>IFERROR(100*AK509/(((((F509*60+G509)/(12000/5))*SUMIFS(팀공격력!P:P,팀공격력!A:A,B509,팀공격력!B:B,D509))-K509)),"")</f>
        <v>10.107468423732643</v>
      </c>
      <c r="BM509" s="67">
        <f>IFERROR(100*((AM509/E509*(2400))/((F509*60+G509)*SUMIFS(팀공격력!AR:AR,팀공격력!A:A,B509,팀공격력!B:B,D509))),"")</f>
        <v>0.6717323216805261</v>
      </c>
      <c r="BN509" s="67">
        <f>IFERROR((AO509*40)/(((F509*60+G509)/60)*(SUMIFS(팀수비력!Q:Q,팀수비력!A:A,B509,팀수비력!B:B,D509)-SUMIFS(팀수비력!N:N,팀수비력!A:A,B509,팀수비력!B:B,D509)))*100,"")</f>
        <v>0</v>
      </c>
      <c r="BO509" s="67">
        <f t="shared" si="269"/>
        <v>6.7024128686327078</v>
      </c>
      <c r="BT509" t="s">
        <v>89</v>
      </c>
      <c r="BV509" t="s">
        <v>93</v>
      </c>
      <c r="CF509">
        <v>9</v>
      </c>
      <c r="CG509">
        <v>1</v>
      </c>
    </row>
    <row r="510" spans="1:85" x14ac:dyDescent="0.4">
      <c r="A510" s="11" t="s">
        <v>85</v>
      </c>
      <c r="B510" t="s">
        <v>286</v>
      </c>
      <c r="C510" t="s">
        <v>304</v>
      </c>
      <c r="D510" s="46" t="s">
        <v>307</v>
      </c>
      <c r="E510">
        <v>2</v>
      </c>
      <c r="F510">
        <v>4</v>
      </c>
      <c r="G510" s="1">
        <v>21</v>
      </c>
      <c r="H510" s="16">
        <f t="shared" si="244"/>
        <v>522</v>
      </c>
      <c r="I510">
        <v>4</v>
      </c>
      <c r="J510" s="17">
        <f t="shared" si="245"/>
        <v>2</v>
      </c>
      <c r="K510">
        <v>2</v>
      </c>
      <c r="L510">
        <v>2</v>
      </c>
      <c r="M510" s="17">
        <f t="shared" si="246"/>
        <v>1</v>
      </c>
      <c r="N510" s="17">
        <f t="shared" si="247"/>
        <v>1</v>
      </c>
      <c r="O510" s="18">
        <f t="shared" si="248"/>
        <v>1</v>
      </c>
      <c r="P510">
        <v>2</v>
      </c>
      <c r="Q510">
        <v>2</v>
      </c>
      <c r="R510" s="17">
        <f t="shared" si="249"/>
        <v>1</v>
      </c>
      <c r="S510" s="17">
        <f t="shared" si="250"/>
        <v>1</v>
      </c>
      <c r="T510" s="18">
        <f t="shared" si="251"/>
        <v>1</v>
      </c>
      <c r="U510">
        <v>0</v>
      </c>
      <c r="V510">
        <v>0</v>
      </c>
      <c r="W510" s="17">
        <f t="shared" si="252"/>
        <v>0</v>
      </c>
      <c r="X510" s="17">
        <f t="shared" si="253"/>
        <v>0</v>
      </c>
      <c r="Y510" s="18" t="e">
        <f t="shared" si="254"/>
        <v>#DIV/0!</v>
      </c>
      <c r="Z510">
        <v>0</v>
      </c>
      <c r="AA510">
        <v>0</v>
      </c>
      <c r="AB510" s="17">
        <f t="shared" si="255"/>
        <v>0</v>
      </c>
      <c r="AC510" s="17">
        <f t="shared" si="256"/>
        <v>0</v>
      </c>
      <c r="AD510" s="18" t="e">
        <f t="shared" si="257"/>
        <v>#DIV/0!</v>
      </c>
      <c r="AE510">
        <v>1</v>
      </c>
      <c r="AF510" s="17">
        <f t="shared" si="258"/>
        <v>0.5</v>
      </c>
      <c r="AG510">
        <v>0</v>
      </c>
      <c r="AH510" s="17">
        <f t="shared" si="259"/>
        <v>0</v>
      </c>
      <c r="AI510">
        <v>1</v>
      </c>
      <c r="AJ510" s="17">
        <f t="shared" si="260"/>
        <v>0.5</v>
      </c>
      <c r="AK510">
        <v>1</v>
      </c>
      <c r="AL510" s="17">
        <f t="shared" si="261"/>
        <v>0.5</v>
      </c>
      <c r="AM510">
        <v>0</v>
      </c>
      <c r="AN510" s="17">
        <f t="shared" si="262"/>
        <v>0</v>
      </c>
      <c r="AO510">
        <v>0</v>
      </c>
      <c r="AQ510">
        <v>0</v>
      </c>
      <c r="AR510" s="17">
        <f t="shared" si="263"/>
        <v>0</v>
      </c>
      <c r="AS510">
        <v>0</v>
      </c>
      <c r="AT510" s="17">
        <f t="shared" si="264"/>
        <v>0</v>
      </c>
      <c r="BD510" s="65">
        <f t="shared" si="265"/>
        <v>100</v>
      </c>
      <c r="BE510" s="65">
        <f t="shared" si="266"/>
        <v>100</v>
      </c>
      <c r="BF510" s="66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2.1239438025709276</v>
      </c>
      <c r="BG510" s="38">
        <f t="shared" si="267"/>
        <v>0</v>
      </c>
      <c r="BH510" s="38">
        <f t="shared" si="268"/>
        <v>0</v>
      </c>
      <c r="BI510" s="67">
        <f>IFERROR(((AG510*(12000/5))/((F510*60+G510)*(SUMIFS(팀공격력!X:X,팀공격력!A:A,B510,팀공격력!B:B,D510)+SUMIFS(팀수비력!X:X,팀수비력!A:A,B510,팀수비력!B:B,D510))))*100,"")</f>
        <v>0</v>
      </c>
      <c r="BJ510" s="67">
        <f>IFERROR(((AI510*(12000/5))/((F510*60+G510)*(SUMIFS(팀공격력!V:V,팀공격력!A:A,B510,팀공격력!B:B,D510)+SUMIFS(팀수비력!W:W,팀수비력!A:A,B510,팀수비력!B:B,D510))))*100,"")</f>
        <v>2.7613820717268993</v>
      </c>
      <c r="BK510" s="67">
        <f>IFERROR(((AE510*(12000/5))/((F510*60+G510)*(SUMIFS(팀공격력!X:X,팀공격력!A:A,B510,팀공격력!B:B,D510)+SUMIFS(팀수비력!X:X,팀수비력!A:A,B510,팀수비력!B:B,D510))))*100,"")</f>
        <v>1.3268978786220167</v>
      </c>
      <c r="BL510" s="67">
        <f>IFERROR(100*AK510/(((((F510*60+G510)/(12000/5))*SUMIFS(팀공격력!P:P,팀공격력!A:A,B510,팀공격력!B:B,D510))-K510)),"")</f>
        <v>2.8861070024171145</v>
      </c>
      <c r="BM510" s="67">
        <f>IFERROR(100*((AM510/E510*(2400))/((F510*60+G510)*SUMIFS(팀공격력!AR:AR,팀공격력!A:A,B510,팀공격력!B:B,D510))),"")</f>
        <v>0</v>
      </c>
      <c r="BN510" s="67">
        <f>IFERROR((AO510*40)/(((F510*60+G510)/60)*(SUMIFS(팀수비력!Q:Q,팀수비력!A:A,B510,팀수비력!B:B,D510)-SUMIFS(팀수비력!N:N,팀수비력!A:A,B510,팀수비력!B:B,D510)))*100,"")</f>
        <v>0</v>
      </c>
      <c r="BO510" s="67">
        <f t="shared" si="269"/>
        <v>0</v>
      </c>
      <c r="BT510" t="s">
        <v>89</v>
      </c>
      <c r="BV510" t="s">
        <v>90</v>
      </c>
      <c r="CF510">
        <v>2</v>
      </c>
      <c r="CG510">
        <v>0</v>
      </c>
    </row>
    <row r="511" spans="1:85" x14ac:dyDescent="0.4">
      <c r="A511" s="11" t="s">
        <v>85</v>
      </c>
      <c r="B511" t="s">
        <v>99</v>
      </c>
      <c r="C511" t="s">
        <v>100</v>
      </c>
      <c r="D511" s="46" t="s">
        <v>309</v>
      </c>
      <c r="E511">
        <v>10</v>
      </c>
      <c r="F511">
        <v>24</v>
      </c>
      <c r="G511" s="1">
        <v>49</v>
      </c>
      <c r="H511" s="16">
        <f t="shared" si="244"/>
        <v>14890</v>
      </c>
      <c r="I511">
        <v>84</v>
      </c>
      <c r="J511" s="17">
        <f t="shared" si="245"/>
        <v>8.4</v>
      </c>
      <c r="K511">
        <v>29</v>
      </c>
      <c r="L511">
        <v>76</v>
      </c>
      <c r="M511" s="17">
        <f t="shared" si="246"/>
        <v>2.9</v>
      </c>
      <c r="N511" s="17">
        <f t="shared" si="247"/>
        <v>7.6</v>
      </c>
      <c r="O511" s="18">
        <f t="shared" si="248"/>
        <v>0.38157894736842107</v>
      </c>
      <c r="P511">
        <v>14</v>
      </c>
      <c r="Q511">
        <v>18</v>
      </c>
      <c r="R511" s="17">
        <f t="shared" si="249"/>
        <v>1.4</v>
      </c>
      <c r="S511" s="17">
        <f t="shared" si="250"/>
        <v>1.8</v>
      </c>
      <c r="T511" s="18">
        <f t="shared" si="251"/>
        <v>0.77777777777777779</v>
      </c>
      <c r="U511">
        <v>15</v>
      </c>
      <c r="V511">
        <v>58</v>
      </c>
      <c r="W511" s="17">
        <f t="shared" si="252"/>
        <v>1.5</v>
      </c>
      <c r="X511" s="17">
        <f t="shared" si="253"/>
        <v>5.8</v>
      </c>
      <c r="Y511" s="18">
        <f t="shared" si="254"/>
        <v>0.25862068965517243</v>
      </c>
      <c r="Z511">
        <v>11</v>
      </c>
      <c r="AA511">
        <v>11</v>
      </c>
      <c r="AB511" s="17">
        <f t="shared" si="255"/>
        <v>1.1000000000000001</v>
      </c>
      <c r="AC511" s="17">
        <f t="shared" si="256"/>
        <v>1.1000000000000001</v>
      </c>
      <c r="AD511" s="18">
        <f t="shared" si="257"/>
        <v>1</v>
      </c>
      <c r="AE511">
        <v>30</v>
      </c>
      <c r="AF511" s="17">
        <f t="shared" si="258"/>
        <v>3</v>
      </c>
      <c r="AG511">
        <v>12</v>
      </c>
      <c r="AH511" s="17">
        <f t="shared" si="259"/>
        <v>1.2</v>
      </c>
      <c r="AI511">
        <v>18</v>
      </c>
      <c r="AJ511" s="17">
        <f t="shared" si="260"/>
        <v>1.8</v>
      </c>
      <c r="AK511">
        <v>15</v>
      </c>
      <c r="AL511" s="17">
        <f t="shared" si="261"/>
        <v>1.5</v>
      </c>
      <c r="AM511">
        <v>10</v>
      </c>
      <c r="AN511" s="17">
        <f t="shared" si="262"/>
        <v>1</v>
      </c>
      <c r="AO511">
        <v>1</v>
      </c>
      <c r="AQ511">
        <v>11</v>
      </c>
      <c r="AR511" s="17">
        <f t="shared" si="263"/>
        <v>1.1000000000000001</v>
      </c>
      <c r="AS511">
        <v>29</v>
      </c>
      <c r="AT511" s="17">
        <f t="shared" si="264"/>
        <v>2.9</v>
      </c>
      <c r="BD511" s="65">
        <f t="shared" si="265"/>
        <v>51.954477981197421</v>
      </c>
      <c r="BE511" s="65">
        <f t="shared" si="266"/>
        <v>48.026315789473685</v>
      </c>
      <c r="BF511" s="66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17.235986916489637</v>
      </c>
      <c r="BG511" s="38">
        <f t="shared" si="267"/>
        <v>0.76315789473684215</v>
      </c>
      <c r="BH511" s="38">
        <f t="shared" si="268"/>
        <v>0.14473684210526316</v>
      </c>
      <c r="BI511" s="67">
        <f>IFERROR(((AG511*(12000/5))/((F511*60+G511)*(SUMIFS(팀공격력!X:X,팀공격력!A:A,B511,팀공격력!B:B,D511)+SUMIFS(팀수비력!X:X,팀수비력!A:A,B511,팀수비력!B:B,D511))))*100,"")</f>
        <v>2.7203713306866386</v>
      </c>
      <c r="BJ511" s="67">
        <f>IFERROR(((AI511*(12000/5))/((F511*60+G511)*(SUMIFS(팀공격력!V:V,팀공격력!A:A,B511,팀공격력!B:B,D511)+SUMIFS(팀수비력!W:W,팀수비력!A:A,B511,팀수비력!B:B,D511))))*100,"")</f>
        <v>7.5949634140767026</v>
      </c>
      <c r="BK511" s="67">
        <f>IFERROR(((AE511*(12000/5))/((F511*60+G511)*(SUMIFS(팀공격력!X:X,팀공격력!A:A,B511,팀공격력!B:B,D511)+SUMIFS(팀수비력!X:X,팀수비력!A:A,B511,팀수비력!B:B,D511))))*100,"")</f>
        <v>6.8009283267165976</v>
      </c>
      <c r="BL511" s="67">
        <f>IFERROR(100*AK511/(((((F511*60+G511)/(12000/5))*SUMIFS(팀공격력!P:P,팀공격력!A:A,B511,팀공격력!B:B,D511))-K511)),"")</f>
        <v>10.638738009255704</v>
      </c>
      <c r="BM511" s="67">
        <f>IFERROR(100*((AM511/E511*(2400))/((F511*60+G511)*SUMIFS(팀공격력!AR:AR,팀공격력!A:A,B511,팀공격력!B:B,D511))),"")</f>
        <v>2.020374126655315</v>
      </c>
      <c r="BN511" s="67">
        <f>IFERROR((AO511*40)/(((F511*60+G511)/60)*(SUMIFS(팀수비력!Q:Q,팀수비력!A:A,B511,팀수비력!B:B,D511)-SUMIFS(팀수비력!N:N,팀수비력!A:A,B511,팀수비력!B:B,D511)))*100,"")</f>
        <v>0.41756995166627808</v>
      </c>
      <c r="BO511" s="67">
        <f t="shared" si="269"/>
        <v>11.977351916376307</v>
      </c>
      <c r="BT511" t="s">
        <v>89</v>
      </c>
      <c r="BV511" t="s">
        <v>90</v>
      </c>
      <c r="CF511">
        <v>2</v>
      </c>
      <c r="CG511">
        <v>8</v>
      </c>
    </row>
    <row r="512" spans="1:85" x14ac:dyDescent="0.4">
      <c r="A512" s="11" t="s">
        <v>85</v>
      </c>
      <c r="B512" t="s">
        <v>99</v>
      </c>
      <c r="C512" t="s">
        <v>101</v>
      </c>
      <c r="D512" s="46" t="s">
        <v>309</v>
      </c>
      <c r="E512">
        <v>8</v>
      </c>
      <c r="F512">
        <v>20</v>
      </c>
      <c r="G512" s="1">
        <v>51</v>
      </c>
      <c r="H512" s="16">
        <f t="shared" si="244"/>
        <v>10008</v>
      </c>
      <c r="I512">
        <v>61</v>
      </c>
      <c r="J512" s="17">
        <f t="shared" si="245"/>
        <v>7.625</v>
      </c>
      <c r="K512">
        <v>23</v>
      </c>
      <c r="L512">
        <v>47</v>
      </c>
      <c r="M512" s="17">
        <f t="shared" si="246"/>
        <v>2.875</v>
      </c>
      <c r="N512" s="17">
        <f t="shared" si="247"/>
        <v>5.875</v>
      </c>
      <c r="O512" s="18">
        <f t="shared" si="248"/>
        <v>0.48936170212765956</v>
      </c>
      <c r="P512">
        <v>10</v>
      </c>
      <c r="Q512">
        <v>13</v>
      </c>
      <c r="R512" s="17">
        <f t="shared" si="249"/>
        <v>1.25</v>
      </c>
      <c r="S512" s="17">
        <f t="shared" si="250"/>
        <v>1.625</v>
      </c>
      <c r="T512" s="18">
        <f t="shared" si="251"/>
        <v>0.76923076923076927</v>
      </c>
      <c r="U512">
        <v>13</v>
      </c>
      <c r="V512">
        <v>34</v>
      </c>
      <c r="W512" s="17">
        <f t="shared" si="252"/>
        <v>1.625</v>
      </c>
      <c r="X512" s="17">
        <f t="shared" si="253"/>
        <v>4.25</v>
      </c>
      <c r="Y512" s="18">
        <f t="shared" si="254"/>
        <v>0.38235294117647056</v>
      </c>
      <c r="Z512">
        <v>2</v>
      </c>
      <c r="AA512">
        <v>3</v>
      </c>
      <c r="AB512" s="17">
        <f t="shared" si="255"/>
        <v>0.25</v>
      </c>
      <c r="AC512" s="17">
        <f t="shared" si="256"/>
        <v>0.375</v>
      </c>
      <c r="AD512" s="18">
        <f t="shared" si="257"/>
        <v>0.66666666666666663</v>
      </c>
      <c r="AE512">
        <v>30</v>
      </c>
      <c r="AF512" s="17">
        <f t="shared" si="258"/>
        <v>3.75</v>
      </c>
      <c r="AG512">
        <v>7</v>
      </c>
      <c r="AH512" s="17">
        <f t="shared" si="259"/>
        <v>0.875</v>
      </c>
      <c r="AI512">
        <v>23</v>
      </c>
      <c r="AJ512" s="17">
        <f t="shared" si="260"/>
        <v>2.875</v>
      </c>
      <c r="AK512">
        <v>14</v>
      </c>
      <c r="AL512" s="17">
        <f t="shared" si="261"/>
        <v>1.75</v>
      </c>
      <c r="AM512">
        <v>5</v>
      </c>
      <c r="AN512" s="17">
        <f t="shared" si="262"/>
        <v>0.625</v>
      </c>
      <c r="AO512">
        <v>3</v>
      </c>
      <c r="AQ512">
        <v>10</v>
      </c>
      <c r="AR512" s="17">
        <f t="shared" si="263"/>
        <v>1.25</v>
      </c>
      <c r="AS512">
        <v>16</v>
      </c>
      <c r="AT512" s="17">
        <f t="shared" si="264"/>
        <v>2</v>
      </c>
      <c r="BD512" s="65">
        <f t="shared" si="265"/>
        <v>63.120860927152322</v>
      </c>
      <c r="BE512" s="65">
        <f t="shared" si="266"/>
        <v>62.765957446808507</v>
      </c>
      <c r="BF512" s="66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13.027443072787822</v>
      </c>
      <c r="BG512" s="38">
        <f t="shared" si="267"/>
        <v>0.72340425531914898</v>
      </c>
      <c r="BH512" s="38">
        <f t="shared" si="268"/>
        <v>6.3829787234042548E-2</v>
      </c>
      <c r="BI512" s="67">
        <f>IFERROR(((AG512*(12000/5))/((F512*60+G512)*(SUMIFS(팀공격력!X:X,팀공격력!A:A,B512,팀공격력!B:B,D512)+SUMIFS(팀수비력!X:X,팀수비력!A:A,B512,팀수비력!B:B,D512))))*100,"")</f>
        <v>1.8887843311848413</v>
      </c>
      <c r="BJ512" s="67">
        <f>IFERROR(((AI512*(12000/5))/((F512*60+G512)*(SUMIFS(팀공격력!V:V,팀공격력!A:A,B512,팀공격력!B:B,D512)+SUMIFS(팀수비력!W:W,팀수비력!A:A,B512,팀수비력!B:B,D512))))*100,"")</f>
        <v>11.550968649164437</v>
      </c>
      <c r="BK512" s="67">
        <f>IFERROR(((AE512*(12000/5))/((F512*60+G512)*(SUMIFS(팀공격력!X:X,팀공격력!A:A,B512,팀공격력!B:B,D512)+SUMIFS(팀수비력!X:X,팀수비력!A:A,B512,팀수비력!B:B,D512))))*100,"")</f>
        <v>8.0947899907921776</v>
      </c>
      <c r="BL512" s="67">
        <f>IFERROR(100*AK512/(((((F512*60+G512)/(12000/5))*SUMIFS(팀공격력!P:P,팀공격력!A:A,B512,팀공격력!B:B,D512))-K512)),"")</f>
        <v>11.683949174821091</v>
      </c>
      <c r="BM512" s="67">
        <f>IFERROR(100*((AM512/E512*(2400))/((F512*60+G512)*SUMIFS(팀공격력!AR:AR,팀공격력!A:A,B512,팀공격력!B:B,D512))),"")</f>
        <v>1.5029661643633911</v>
      </c>
      <c r="BN512" s="67">
        <f>IFERROR((AO512*40)/(((F512*60+G512)/60)*(SUMIFS(팀수비력!Q:Q,팀수비력!A:A,B512,팀수비력!B:B,D512)-SUMIFS(팀수비력!N:N,팀수비력!A:A,B512,팀수비력!B:B,D512)))*100,"")</f>
        <v>1.4910351511536883</v>
      </c>
      <c r="BO512" s="67">
        <f t="shared" si="269"/>
        <v>17.146776406035666</v>
      </c>
      <c r="BT512" t="s">
        <v>89</v>
      </c>
      <c r="BV512" t="s">
        <v>102</v>
      </c>
      <c r="CF512">
        <v>1</v>
      </c>
      <c r="CG512">
        <v>7</v>
      </c>
    </row>
    <row r="513" spans="1:85" x14ac:dyDescent="0.4">
      <c r="A513" s="11" t="s">
        <v>85</v>
      </c>
      <c r="B513" t="s">
        <v>99</v>
      </c>
      <c r="C513" t="s">
        <v>103</v>
      </c>
      <c r="D513" s="46" t="s">
        <v>309</v>
      </c>
      <c r="E513">
        <v>3</v>
      </c>
      <c r="F513">
        <v>17</v>
      </c>
      <c r="G513" s="1">
        <v>4</v>
      </c>
      <c r="H513" s="16">
        <f t="shared" si="244"/>
        <v>3072</v>
      </c>
      <c r="I513">
        <v>20</v>
      </c>
      <c r="J513" s="17">
        <f t="shared" si="245"/>
        <v>6.666666666666667</v>
      </c>
      <c r="K513">
        <v>7</v>
      </c>
      <c r="L513">
        <v>27</v>
      </c>
      <c r="M513" s="17">
        <f t="shared" si="246"/>
        <v>2.3333333333333335</v>
      </c>
      <c r="N513" s="17">
        <f t="shared" si="247"/>
        <v>9</v>
      </c>
      <c r="O513" s="18">
        <f t="shared" si="248"/>
        <v>0.25925925925925924</v>
      </c>
      <c r="P513">
        <v>1</v>
      </c>
      <c r="Q513">
        <v>6</v>
      </c>
      <c r="R513" s="17">
        <f t="shared" si="249"/>
        <v>0.33333333333333331</v>
      </c>
      <c r="S513" s="17">
        <f t="shared" si="250"/>
        <v>2</v>
      </c>
      <c r="T513" s="18">
        <f t="shared" si="251"/>
        <v>0.16666666666666666</v>
      </c>
      <c r="U513">
        <v>6</v>
      </c>
      <c r="V513">
        <v>21</v>
      </c>
      <c r="W513" s="17">
        <f t="shared" si="252"/>
        <v>2</v>
      </c>
      <c r="X513" s="17">
        <f t="shared" si="253"/>
        <v>7</v>
      </c>
      <c r="Y513" s="18">
        <f t="shared" si="254"/>
        <v>0.2857142857142857</v>
      </c>
      <c r="Z513">
        <v>0</v>
      </c>
      <c r="AA513">
        <v>2</v>
      </c>
      <c r="AB513" s="17">
        <f t="shared" si="255"/>
        <v>0</v>
      </c>
      <c r="AC513" s="17">
        <f t="shared" si="256"/>
        <v>0.66666666666666663</v>
      </c>
      <c r="AD513" s="18">
        <f t="shared" si="257"/>
        <v>0</v>
      </c>
      <c r="AE513">
        <v>3</v>
      </c>
      <c r="AF513" s="17">
        <f t="shared" si="258"/>
        <v>1</v>
      </c>
      <c r="AG513">
        <v>3</v>
      </c>
      <c r="AH513" s="17">
        <f t="shared" si="259"/>
        <v>1</v>
      </c>
      <c r="AI513">
        <v>0</v>
      </c>
      <c r="AJ513" s="17">
        <f t="shared" si="260"/>
        <v>0</v>
      </c>
      <c r="AK513">
        <v>1</v>
      </c>
      <c r="AL513" s="17">
        <f t="shared" si="261"/>
        <v>0.33333333333333331</v>
      </c>
      <c r="AM513">
        <v>0</v>
      </c>
      <c r="AN513" s="17">
        <f t="shared" si="262"/>
        <v>0</v>
      </c>
      <c r="AO513">
        <v>0</v>
      </c>
      <c r="AQ513">
        <v>3</v>
      </c>
      <c r="AR513" s="17">
        <f t="shared" si="263"/>
        <v>1</v>
      </c>
      <c r="AS513">
        <v>2</v>
      </c>
      <c r="AT513" s="17">
        <f t="shared" si="264"/>
        <v>0.66666666666666663</v>
      </c>
      <c r="BD513" s="65">
        <f t="shared" si="265"/>
        <v>35.868005738880917</v>
      </c>
      <c r="BE513" s="65">
        <f t="shared" si="266"/>
        <v>37.037037037037038</v>
      </c>
      <c r="BF513" s="66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8.4270644124633218</v>
      </c>
      <c r="BG513" s="38">
        <f t="shared" si="267"/>
        <v>0.77777777777777779</v>
      </c>
      <c r="BH513" s="38">
        <f t="shared" si="268"/>
        <v>7.407407407407407E-2</v>
      </c>
      <c r="BI513" s="67">
        <f>IFERROR(((AG513*(12000/5))/((F513*60+G513)*(SUMIFS(팀공격력!X:X,팀공격력!A:A,B513,팀공격력!B:B,D513)+SUMIFS(팀수비력!X:X,팀수비력!A:A,B513,팀수비력!B:B,D513))))*100,"")</f>
        <v>0.98892405063291144</v>
      </c>
      <c r="BJ513" s="67">
        <f>IFERROR(((AI513*(12000/5))/((F513*60+G513)*(SUMIFS(팀공격력!V:V,팀공격력!A:A,B513,팀공격력!B:B,D513)+SUMIFS(팀수비력!W:W,팀수비력!A:A,B513,팀수비력!B:B,D513))))*100,"")</f>
        <v>0</v>
      </c>
      <c r="BK513" s="67">
        <f>IFERROR(((AE513*(12000/5))/((F513*60+G513)*(SUMIFS(팀공격력!X:X,팀공격력!A:A,B513,팀공격력!B:B,D513)+SUMIFS(팀수비력!X:X,팀수비력!A:A,B513,팀수비력!B:B,D513))))*100,"")</f>
        <v>0.98892405063291144</v>
      </c>
      <c r="BL513" s="67">
        <f>IFERROR(100*AK513/(((((F513*60+G513)/(12000/5))*SUMIFS(팀공격력!P:P,팀공격력!A:A,B513,팀공격력!B:B,D513))-K513)),"")</f>
        <v>0.90986291398762575</v>
      </c>
      <c r="BM513" s="67">
        <f>IFERROR(100*((AM513/E513*(2400))/((F513*60+G513)*SUMIFS(팀공격력!AR:AR,팀공격력!A:A,B513,팀공격력!B:B,D513))),"")</f>
        <v>0</v>
      </c>
      <c r="BN513" s="67">
        <f>IFERROR((AO513*40)/(((F513*60+G513)/60)*(SUMIFS(팀수비력!Q:Q,팀수비력!A:A,B513,팀수비력!B:B,D513)-SUMIFS(팀수비력!N:N,팀수비력!A:A,B513,팀수비력!B:B,D513)))*100,"")</f>
        <v>0</v>
      </c>
      <c r="BO513" s="67">
        <f t="shared" si="269"/>
        <v>9.7150259067357521</v>
      </c>
      <c r="BT513" t="s">
        <v>89</v>
      </c>
      <c r="BV513" t="s">
        <v>90</v>
      </c>
      <c r="CF513">
        <v>2</v>
      </c>
      <c r="CG513">
        <v>1</v>
      </c>
    </row>
    <row r="514" spans="1:85" x14ac:dyDescent="0.4">
      <c r="A514" s="11" t="s">
        <v>85</v>
      </c>
      <c r="B514" t="s">
        <v>99</v>
      </c>
      <c r="C514" t="s">
        <v>104</v>
      </c>
      <c r="D514" s="46" t="s">
        <v>309</v>
      </c>
      <c r="E514">
        <v>1</v>
      </c>
      <c r="F514">
        <v>0</v>
      </c>
      <c r="G514" s="1">
        <v>42</v>
      </c>
      <c r="H514" s="16">
        <f t="shared" ref="H514:H577" si="270">(F514*60+G514)*E514</f>
        <v>42</v>
      </c>
      <c r="I514">
        <v>0</v>
      </c>
      <c r="J514" s="17">
        <f t="shared" ref="J514:J577" si="271">I514/$E514</f>
        <v>0</v>
      </c>
      <c r="K514">
        <v>0</v>
      </c>
      <c r="L514">
        <v>0</v>
      </c>
      <c r="M514" s="17">
        <f t="shared" ref="M514:M577" si="272">K514/$E514</f>
        <v>0</v>
      </c>
      <c r="N514" s="17">
        <f t="shared" ref="N514:N577" si="273">L514/$E514</f>
        <v>0</v>
      </c>
      <c r="O514" s="18" t="e">
        <f t="shared" ref="O514:O577" si="274">K514/L514</f>
        <v>#DIV/0!</v>
      </c>
      <c r="P514">
        <v>0</v>
      </c>
      <c r="Q514">
        <v>0</v>
      </c>
      <c r="R514" s="17">
        <f t="shared" ref="R514:R577" si="275">P514/$E514</f>
        <v>0</v>
      </c>
      <c r="S514" s="17">
        <f t="shared" ref="S514:S577" si="276">Q514/$E514</f>
        <v>0</v>
      </c>
      <c r="T514" s="18" t="e">
        <f t="shared" ref="T514:T577" si="277">P514/Q514</f>
        <v>#DIV/0!</v>
      </c>
      <c r="U514">
        <v>0</v>
      </c>
      <c r="V514">
        <v>0</v>
      </c>
      <c r="W514" s="17">
        <f t="shared" ref="W514:W577" si="278">U514/$E514</f>
        <v>0</v>
      </c>
      <c r="X514" s="17">
        <f t="shared" ref="X514:X577" si="279">V514/$E514</f>
        <v>0</v>
      </c>
      <c r="Y514" s="18" t="e">
        <f t="shared" ref="Y514:Y577" si="280">U514/V514</f>
        <v>#DIV/0!</v>
      </c>
      <c r="Z514">
        <v>0</v>
      </c>
      <c r="AA514">
        <v>0</v>
      </c>
      <c r="AB514" s="17">
        <f t="shared" ref="AB514:AB577" si="281">Z514/$E514</f>
        <v>0</v>
      </c>
      <c r="AC514" s="17">
        <f t="shared" ref="AC514:AC577" si="282">AA514/$E514</f>
        <v>0</v>
      </c>
      <c r="AD514" s="18" t="e">
        <f t="shared" ref="AD514:AD577" si="283">Z514/AA514</f>
        <v>#DIV/0!</v>
      </c>
      <c r="AE514">
        <v>0</v>
      </c>
      <c r="AF514" s="17">
        <f t="shared" ref="AF514:AF577" si="284">AE514/$E514</f>
        <v>0</v>
      </c>
      <c r="AG514">
        <v>0</v>
      </c>
      <c r="AH514" s="17">
        <f t="shared" ref="AH514:AH577" si="285">AG514/$E514</f>
        <v>0</v>
      </c>
      <c r="AI514">
        <v>0</v>
      </c>
      <c r="AJ514" s="17">
        <f t="shared" ref="AJ514:AJ577" si="286">AI514/$E514</f>
        <v>0</v>
      </c>
      <c r="AK514">
        <v>0</v>
      </c>
      <c r="AL514" s="17">
        <f t="shared" ref="AL514:AL577" si="287">AK514/$E514</f>
        <v>0</v>
      </c>
      <c r="AM514">
        <v>0</v>
      </c>
      <c r="AN514" s="17">
        <f t="shared" ref="AN514:AN577" si="288">AM514/$E514</f>
        <v>0</v>
      </c>
      <c r="AO514">
        <v>0</v>
      </c>
      <c r="AQ514">
        <v>0</v>
      </c>
      <c r="AR514" s="17">
        <f t="shared" ref="AR514:AR577" si="289">AQ514/$E514</f>
        <v>0</v>
      </c>
      <c r="AS514">
        <v>0</v>
      </c>
      <c r="AT514" s="17">
        <f t="shared" ref="AT514:AT577" si="290">AS514/$E514</f>
        <v>0</v>
      </c>
      <c r="BD514" s="65" t="str">
        <f t="shared" ref="BD514:BD577" si="291">IFERROR((I514/(2*(L514+(0.44*AA514))))*100,"")</f>
        <v/>
      </c>
      <c r="BE514" s="65" t="str">
        <f t="shared" ref="BE514:BE577" si="292">IFERROR(((P514+(1.5*U514))/L514)*100,"")</f>
        <v/>
      </c>
      <c r="BF514" s="66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0</v>
      </c>
      <c r="BG514" s="38" t="str">
        <f t="shared" ref="BG514:BG577" si="293">IFERROR(V514/L514,"")</f>
        <v/>
      </c>
      <c r="BH514" s="38" t="str">
        <f t="shared" ref="BH514:BH577" si="294">IFERROR(AA514/L514,"")</f>
        <v/>
      </c>
      <c r="BI514" s="67">
        <f>IFERROR(((AG514*(12000/5))/((F514*60+G514)*(SUMIFS(팀공격력!X:X,팀공격력!A:A,B514,팀공격력!B:B,D514)+SUMIFS(팀수비력!X:X,팀수비력!A:A,B514,팀수비력!B:B,D514))))*100,"")</f>
        <v>0</v>
      </c>
      <c r="BJ514" s="67">
        <f>IFERROR(((AI514*(12000/5))/((F514*60+G514)*(SUMIFS(팀공격력!V:V,팀공격력!A:A,B514,팀공격력!B:B,D514)+SUMIFS(팀수비력!W:W,팀수비력!A:A,B514,팀수비력!B:B,D514))))*100,"")</f>
        <v>0</v>
      </c>
      <c r="BK514" s="67">
        <f>IFERROR(((AE514*(12000/5))/((F514*60+G514)*(SUMIFS(팀공격력!X:X,팀공격력!A:A,B514,팀공격력!B:B,D514)+SUMIFS(팀수비력!X:X,팀수비력!A:A,B514,팀수비력!B:B,D514))))*100,"")</f>
        <v>0</v>
      </c>
      <c r="BL514" s="67">
        <f>IFERROR(100*AK514/(((((F514*60+G514)/(12000/5))*SUMIFS(팀공격력!P:P,팀공격력!A:A,B514,팀공격력!B:B,D514))-K514)),"")</f>
        <v>0</v>
      </c>
      <c r="BM514" s="67">
        <f>IFERROR(100*((AM514/E514*(2400))/((F514*60+G514)*SUMIFS(팀공격력!AR:AR,팀공격력!A:A,B514,팀공격력!B:B,D514))),"")</f>
        <v>0</v>
      </c>
      <c r="BN514" s="67">
        <f>IFERROR((AO514*40)/(((F514*60+G514)/60)*(SUMIFS(팀수비력!Q:Q,팀수비력!A:A,B514,팀수비력!B:B,D514)-SUMIFS(팀수비력!N:N,팀수비력!A:A,B514,팀수비력!B:B,D514)))*100,"")</f>
        <v>0</v>
      </c>
      <c r="BO514" s="67" t="str">
        <f t="shared" ref="BO514:BO577" si="295">IFERROR(100*AQ514/(L514+0.44*AA514+AQ514),"")</f>
        <v/>
      </c>
      <c r="BT514" t="s">
        <v>89</v>
      </c>
      <c r="BV514" t="s">
        <v>102</v>
      </c>
      <c r="CF514">
        <v>0</v>
      </c>
      <c r="CG514">
        <v>1</v>
      </c>
    </row>
    <row r="515" spans="1:85" x14ac:dyDescent="0.4">
      <c r="A515" s="11" t="s">
        <v>85</v>
      </c>
      <c r="B515" t="s">
        <v>99</v>
      </c>
      <c r="C515" t="s">
        <v>105</v>
      </c>
      <c r="D515" s="46" t="s">
        <v>309</v>
      </c>
      <c r="E515">
        <v>10</v>
      </c>
      <c r="F515">
        <v>11</v>
      </c>
      <c r="G515" s="1">
        <v>56</v>
      </c>
      <c r="H515" s="16">
        <f t="shared" si="270"/>
        <v>7160</v>
      </c>
      <c r="I515">
        <v>26</v>
      </c>
      <c r="J515" s="17">
        <f t="shared" si="271"/>
        <v>2.6</v>
      </c>
      <c r="K515">
        <v>10</v>
      </c>
      <c r="L515">
        <v>25</v>
      </c>
      <c r="M515" s="17">
        <f t="shared" si="272"/>
        <v>1</v>
      </c>
      <c r="N515" s="17">
        <f t="shared" si="273"/>
        <v>2.5</v>
      </c>
      <c r="O515" s="18">
        <f t="shared" si="274"/>
        <v>0.4</v>
      </c>
      <c r="P515">
        <v>6</v>
      </c>
      <c r="Q515">
        <v>13</v>
      </c>
      <c r="R515" s="17">
        <f t="shared" si="275"/>
        <v>0.6</v>
      </c>
      <c r="S515" s="17">
        <f t="shared" si="276"/>
        <v>1.3</v>
      </c>
      <c r="T515" s="18">
        <f t="shared" si="277"/>
        <v>0.46153846153846156</v>
      </c>
      <c r="U515">
        <v>4</v>
      </c>
      <c r="V515">
        <v>12</v>
      </c>
      <c r="W515" s="17">
        <f t="shared" si="278"/>
        <v>0.4</v>
      </c>
      <c r="X515" s="17">
        <f t="shared" si="279"/>
        <v>1.2</v>
      </c>
      <c r="Y515" s="18">
        <f t="shared" si="280"/>
        <v>0.33333333333333331</v>
      </c>
      <c r="Z515">
        <v>2</v>
      </c>
      <c r="AA515">
        <v>2</v>
      </c>
      <c r="AB515" s="17">
        <f t="shared" si="281"/>
        <v>0.2</v>
      </c>
      <c r="AC515" s="17">
        <f t="shared" si="282"/>
        <v>0.2</v>
      </c>
      <c r="AD515" s="18">
        <f t="shared" si="283"/>
        <v>1</v>
      </c>
      <c r="AE515">
        <v>42</v>
      </c>
      <c r="AF515" s="17">
        <f t="shared" si="284"/>
        <v>4.2</v>
      </c>
      <c r="AG515">
        <v>20</v>
      </c>
      <c r="AH515" s="17">
        <f t="shared" si="285"/>
        <v>2</v>
      </c>
      <c r="AI515">
        <v>22</v>
      </c>
      <c r="AJ515" s="17">
        <f t="shared" si="286"/>
        <v>2.2000000000000002</v>
      </c>
      <c r="AK515">
        <v>9</v>
      </c>
      <c r="AL515" s="17">
        <f t="shared" si="287"/>
        <v>0.9</v>
      </c>
      <c r="AM515">
        <v>7</v>
      </c>
      <c r="AN515" s="17">
        <f t="shared" si="288"/>
        <v>0.7</v>
      </c>
      <c r="AO515">
        <v>1</v>
      </c>
      <c r="AQ515">
        <v>7</v>
      </c>
      <c r="AR515" s="17">
        <f t="shared" si="289"/>
        <v>0.7</v>
      </c>
      <c r="AS515">
        <v>21</v>
      </c>
      <c r="AT515" s="17">
        <f t="shared" si="290"/>
        <v>2.1</v>
      </c>
      <c r="BD515" s="65">
        <f t="shared" si="291"/>
        <v>50.231839258114377</v>
      </c>
      <c r="BE515" s="65">
        <f t="shared" si="292"/>
        <v>48</v>
      </c>
      <c r="BF515" s="66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12.832691828838113</v>
      </c>
      <c r="BG515" s="38">
        <f t="shared" si="293"/>
        <v>0.48</v>
      </c>
      <c r="BH515" s="38">
        <f t="shared" si="294"/>
        <v>0.08</v>
      </c>
      <c r="BI515" s="67">
        <f>IFERROR(((AG515*(12000/5))/((F515*60+G515)*(SUMIFS(팀공격력!X:X,팀공격력!A:A,B515,팀공격력!B:B,D515)+SUMIFS(팀수비력!X:X,팀수비력!A:A,B515,팀수비력!B:B,D515))))*100,"")</f>
        <v>9.4288475591070888</v>
      </c>
      <c r="BJ515" s="67">
        <f>IFERROR(((AI515*(12000/5))/((F515*60+G515)*(SUMIFS(팀공격력!V:V,팀공격력!A:A,B515,팀공격력!B:B,D515)+SUMIFS(팀수비력!W:W,팀수비력!A:A,B515,팀수비력!B:B,D515))))*100,"")</f>
        <v>19.30445464915616</v>
      </c>
      <c r="BK515" s="67">
        <f>IFERROR(((AE515*(12000/5))/((F515*60+G515)*(SUMIFS(팀공격력!X:X,팀공격력!A:A,B515,팀공격력!B:B,D515)+SUMIFS(팀수비력!X:X,팀수비력!A:A,B515,팀수비력!B:B,D515))))*100,"")</f>
        <v>19.800579874124885</v>
      </c>
      <c r="BL515" s="67">
        <f>IFERROR(100*AK515/(((((F515*60+G515)/(12000/5))*SUMIFS(팀공격력!P:P,팀공격력!A:A,B515,팀공격력!B:B,D515))-K515)),"")</f>
        <v>12.544719602285925</v>
      </c>
      <c r="BM515" s="67">
        <f>IFERROR(100*((AM515/E515*(2400))/((F515*60+G515)*SUMIFS(팀공격력!AR:AR,팀공격력!A:A,B515,팀공격력!B:B,D515))),"")</f>
        <v>2.9411116651017242</v>
      </c>
      <c r="BN515" s="67">
        <f>IFERROR((AO515*40)/(((F515*60+G515)/60)*(SUMIFS(팀수비력!Q:Q,팀수비력!A:A,B515,팀수비력!B:B,D515)-SUMIFS(팀수비력!N:N,팀수비력!A:A,B515,팀수비력!B:B,D515)))*100,"")</f>
        <v>0.86838220395403365</v>
      </c>
      <c r="BO515" s="67">
        <f t="shared" si="295"/>
        <v>21.289537712895381</v>
      </c>
      <c r="BT515" t="s">
        <v>89</v>
      </c>
      <c r="BV515" t="s">
        <v>90</v>
      </c>
      <c r="CF515">
        <v>2</v>
      </c>
      <c r="CG515">
        <v>8</v>
      </c>
    </row>
    <row r="516" spans="1:85" x14ac:dyDescent="0.4">
      <c r="A516" s="11" t="s">
        <v>85</v>
      </c>
      <c r="B516" t="s">
        <v>99</v>
      </c>
      <c r="C516" t="s">
        <v>106</v>
      </c>
      <c r="D516" s="46" t="s">
        <v>309</v>
      </c>
      <c r="E516">
        <v>1</v>
      </c>
      <c r="F516">
        <v>5</v>
      </c>
      <c r="G516" s="1">
        <v>2</v>
      </c>
      <c r="H516" s="16">
        <f t="shared" si="270"/>
        <v>302</v>
      </c>
      <c r="I516">
        <v>7</v>
      </c>
      <c r="J516" s="17">
        <f t="shared" si="271"/>
        <v>7</v>
      </c>
      <c r="K516">
        <v>3</v>
      </c>
      <c r="L516">
        <v>7</v>
      </c>
      <c r="M516" s="17">
        <f t="shared" si="272"/>
        <v>3</v>
      </c>
      <c r="N516" s="17">
        <f t="shared" si="273"/>
        <v>7</v>
      </c>
      <c r="O516" s="18">
        <f t="shared" si="274"/>
        <v>0.42857142857142855</v>
      </c>
      <c r="P516">
        <v>2</v>
      </c>
      <c r="Q516">
        <v>5</v>
      </c>
      <c r="R516" s="17">
        <f t="shared" si="275"/>
        <v>2</v>
      </c>
      <c r="S516" s="17">
        <f t="shared" si="276"/>
        <v>5</v>
      </c>
      <c r="T516" s="18">
        <f t="shared" si="277"/>
        <v>0.4</v>
      </c>
      <c r="U516">
        <v>1</v>
      </c>
      <c r="V516">
        <v>2</v>
      </c>
      <c r="W516" s="17">
        <f t="shared" si="278"/>
        <v>1</v>
      </c>
      <c r="X516" s="17">
        <f t="shared" si="279"/>
        <v>2</v>
      </c>
      <c r="Y516" s="18">
        <f t="shared" si="280"/>
        <v>0.5</v>
      </c>
      <c r="Z516">
        <v>0</v>
      </c>
      <c r="AA516">
        <v>0</v>
      </c>
      <c r="AB516" s="17">
        <f t="shared" si="281"/>
        <v>0</v>
      </c>
      <c r="AC516" s="17">
        <f t="shared" si="282"/>
        <v>0</v>
      </c>
      <c r="AD516" s="18" t="e">
        <f t="shared" si="283"/>
        <v>#DIV/0!</v>
      </c>
      <c r="AE516">
        <v>1</v>
      </c>
      <c r="AF516" s="17">
        <f t="shared" si="284"/>
        <v>1</v>
      </c>
      <c r="AG516">
        <v>1</v>
      </c>
      <c r="AH516" s="17">
        <f t="shared" si="285"/>
        <v>1</v>
      </c>
      <c r="AI516">
        <v>0</v>
      </c>
      <c r="AJ516" s="17">
        <f t="shared" si="286"/>
        <v>0</v>
      </c>
      <c r="AK516">
        <v>0</v>
      </c>
      <c r="AL516" s="17">
        <f t="shared" si="287"/>
        <v>0</v>
      </c>
      <c r="AM516">
        <v>0</v>
      </c>
      <c r="AN516" s="17">
        <f t="shared" si="288"/>
        <v>0</v>
      </c>
      <c r="AO516">
        <v>0</v>
      </c>
      <c r="AQ516">
        <v>1</v>
      </c>
      <c r="AR516" s="17">
        <f t="shared" si="289"/>
        <v>1</v>
      </c>
      <c r="AS516">
        <v>0</v>
      </c>
      <c r="AT516" s="17">
        <f t="shared" si="290"/>
        <v>0</v>
      </c>
      <c r="BD516" s="65">
        <f t="shared" si="291"/>
        <v>50</v>
      </c>
      <c r="BE516" s="65">
        <f t="shared" si="292"/>
        <v>50</v>
      </c>
      <c r="BF516" s="66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7.4025614713331178</v>
      </c>
      <c r="BG516" s="38">
        <f t="shared" si="293"/>
        <v>0.2857142857142857</v>
      </c>
      <c r="BH516" s="38">
        <f t="shared" si="294"/>
        <v>0</v>
      </c>
      <c r="BI516" s="67">
        <f>IFERROR(((AG516*(12000/5))/((F516*60+G516)*(SUMIFS(팀공격력!X:X,팀공격력!A:A,B516,팀공격력!B:B,D516)+SUMIFS(팀수비력!X:X,팀수비력!A:A,B516,팀수비력!B:B,D516))))*100,"")</f>
        <v>1.1177243132981252</v>
      </c>
      <c r="BJ516" s="67">
        <f>IFERROR(((AI516*(12000/5))/((F516*60+G516)*(SUMIFS(팀공격력!V:V,팀공격력!A:A,B516,팀공격력!B:B,D516)+SUMIFS(팀수비력!W:W,팀수비력!A:A,B516,팀수비력!B:B,D516))))*100,"")</f>
        <v>0</v>
      </c>
      <c r="BK516" s="67">
        <f>IFERROR(((AE516*(12000/5))/((F516*60+G516)*(SUMIFS(팀공격력!X:X,팀공격력!A:A,B516,팀공격력!B:B,D516)+SUMIFS(팀수비력!X:X,팀수비력!A:A,B516,팀수비력!B:B,D516))))*100,"")</f>
        <v>1.1177243132981252</v>
      </c>
      <c r="BL516" s="67">
        <f>IFERROR(100*AK516/(((((F516*60+G516)/(12000/5))*SUMIFS(팀공격력!P:P,팀공격력!A:A,B516,팀공격력!B:B,D516))-K516)),"")</f>
        <v>0</v>
      </c>
      <c r="BM516" s="67">
        <f>IFERROR(100*((AM516/E516*(2400))/((F516*60+G516)*SUMIFS(팀공격력!AR:AR,팀공격력!A:A,B516,팀공격력!B:B,D516))),"")</f>
        <v>0</v>
      </c>
      <c r="BN516" s="67">
        <f>IFERROR((AO516*40)/(((F516*60+G516)/60)*(SUMIFS(팀수비력!Q:Q,팀수비력!A:A,B516,팀수비력!B:B,D516)-SUMIFS(팀수비력!N:N,팀수비력!A:A,B516,팀수비력!B:B,D516)))*100,"")</f>
        <v>0</v>
      </c>
      <c r="BO516" s="67">
        <f t="shared" si="295"/>
        <v>12.5</v>
      </c>
      <c r="BT516" t="s">
        <v>96</v>
      </c>
      <c r="BV516" t="s">
        <v>93</v>
      </c>
      <c r="CF516">
        <v>1</v>
      </c>
      <c r="CG516">
        <v>0</v>
      </c>
    </row>
    <row r="517" spans="1:85" x14ac:dyDescent="0.4">
      <c r="A517" s="11" t="s">
        <v>85</v>
      </c>
      <c r="B517" t="s">
        <v>99</v>
      </c>
      <c r="C517" t="s">
        <v>107</v>
      </c>
      <c r="D517" s="46" t="s">
        <v>309</v>
      </c>
      <c r="E517">
        <v>5</v>
      </c>
      <c r="F517">
        <v>10</v>
      </c>
      <c r="G517" s="1">
        <v>46</v>
      </c>
      <c r="H517" s="16">
        <f t="shared" si="270"/>
        <v>3230</v>
      </c>
      <c r="I517">
        <v>20</v>
      </c>
      <c r="J517" s="17">
        <f t="shared" si="271"/>
        <v>4</v>
      </c>
      <c r="K517">
        <v>10</v>
      </c>
      <c r="L517">
        <v>20</v>
      </c>
      <c r="M517" s="17">
        <f t="shared" si="272"/>
        <v>2</v>
      </c>
      <c r="N517" s="17">
        <f t="shared" si="273"/>
        <v>4</v>
      </c>
      <c r="O517" s="18">
        <f t="shared" si="274"/>
        <v>0.5</v>
      </c>
      <c r="P517">
        <v>10</v>
      </c>
      <c r="Q517">
        <v>15</v>
      </c>
      <c r="R517" s="17">
        <f t="shared" si="275"/>
        <v>2</v>
      </c>
      <c r="S517" s="17">
        <f t="shared" si="276"/>
        <v>3</v>
      </c>
      <c r="T517" s="18">
        <f t="shared" si="277"/>
        <v>0.66666666666666663</v>
      </c>
      <c r="U517">
        <v>0</v>
      </c>
      <c r="V517">
        <v>5</v>
      </c>
      <c r="W517" s="17">
        <f t="shared" si="278"/>
        <v>0</v>
      </c>
      <c r="X517" s="17">
        <f t="shared" si="279"/>
        <v>1</v>
      </c>
      <c r="Y517" s="18">
        <f t="shared" si="280"/>
        <v>0</v>
      </c>
      <c r="Z517">
        <v>0</v>
      </c>
      <c r="AA517">
        <v>0</v>
      </c>
      <c r="AB517" s="17">
        <f t="shared" si="281"/>
        <v>0</v>
      </c>
      <c r="AC517" s="17">
        <f t="shared" si="282"/>
        <v>0</v>
      </c>
      <c r="AD517" s="18" t="e">
        <f t="shared" si="283"/>
        <v>#DIV/0!</v>
      </c>
      <c r="AE517">
        <v>22</v>
      </c>
      <c r="AF517" s="17">
        <f t="shared" si="284"/>
        <v>4.4000000000000004</v>
      </c>
      <c r="AG517">
        <v>7</v>
      </c>
      <c r="AH517" s="17">
        <f t="shared" si="285"/>
        <v>1.4</v>
      </c>
      <c r="AI517">
        <v>15</v>
      </c>
      <c r="AJ517" s="17">
        <f t="shared" si="286"/>
        <v>3</v>
      </c>
      <c r="AK517">
        <v>2</v>
      </c>
      <c r="AL517" s="17">
        <f t="shared" si="287"/>
        <v>0.4</v>
      </c>
      <c r="AM517">
        <v>2</v>
      </c>
      <c r="AN517" s="17">
        <f t="shared" si="288"/>
        <v>0.4</v>
      </c>
      <c r="AO517">
        <v>6</v>
      </c>
      <c r="AQ517">
        <v>7</v>
      </c>
      <c r="AR517" s="17">
        <f t="shared" si="289"/>
        <v>1.4</v>
      </c>
      <c r="AS517">
        <v>4</v>
      </c>
      <c r="AT517" s="17">
        <f t="shared" si="290"/>
        <v>0.8</v>
      </c>
      <c r="BD517" s="65">
        <f t="shared" si="291"/>
        <v>50</v>
      </c>
      <c r="BE517" s="65">
        <f t="shared" si="292"/>
        <v>50</v>
      </c>
      <c r="BF517" s="66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11.679660649622726</v>
      </c>
      <c r="BG517" s="38">
        <f t="shared" si="293"/>
        <v>0.25</v>
      </c>
      <c r="BH517" s="38">
        <f t="shared" si="294"/>
        <v>0</v>
      </c>
      <c r="BI517" s="67">
        <f>IFERROR(((AG517*(12000/5))/((F517*60+G517)*(SUMIFS(팀공격력!X:X,팀공격력!A:A,B517,팀공격력!B:B,D517)+SUMIFS(팀수비력!X:X,팀수비력!A:A,B517,팀수비력!B:B,D517))))*100,"")</f>
        <v>3.6576922574492818</v>
      </c>
      <c r="BJ517" s="67">
        <f>IFERROR(((AI517*(12000/5))/((F517*60+G517)*(SUMIFS(팀공격력!V:V,팀공격력!A:A,B517,팀공격력!B:B,D517)+SUMIFS(팀수비력!W:W,팀수비력!A:A,B517,팀수비력!B:B,D517))))*100,"")</f>
        <v>14.588364968472922</v>
      </c>
      <c r="BK517" s="67">
        <f>IFERROR(((AE517*(12000/5))/((F517*60+G517)*(SUMIFS(팀공격력!X:X,팀공격력!A:A,B517,팀공격력!B:B,D517)+SUMIFS(팀수비력!X:X,팀수비력!A:A,B517,팀수비력!B:B,D517))))*100,"")</f>
        <v>11.495604237697744</v>
      </c>
      <c r="BL517" s="67">
        <f>IFERROR(100*AK517/(((((F517*60+G517)/(12000/5))*SUMIFS(팀공격력!P:P,팀공격력!A:A,B517,팀공격력!B:B,D517))-K517)),"")</f>
        <v>3.1371728843690363</v>
      </c>
      <c r="BM517" s="67">
        <f>IFERROR(100*((AM517/E517*(2400))/((F517*60+G517)*SUMIFS(팀공격력!AR:AR,팀공격력!A:A,B517,팀공격력!B:B,D517))),"")</f>
        <v>1.8627474146066647</v>
      </c>
      <c r="BN517" s="67">
        <f>IFERROR((AO517*40)/(((F517*60+G517)/60)*(SUMIFS(팀수비력!Q:Q,팀수비력!A:A,B517,팀수비력!B:B,D517)-SUMIFS(팀수비력!N:N,팀수비력!A:A,B517,팀수비력!B:B,D517)))*100,"")</f>
        <v>5.7748760807841002</v>
      </c>
      <c r="BO517" s="67">
        <f t="shared" si="295"/>
        <v>25.925925925925927</v>
      </c>
      <c r="BT517" t="s">
        <v>96</v>
      </c>
      <c r="BV517" t="s">
        <v>102</v>
      </c>
      <c r="CF517">
        <v>0</v>
      </c>
      <c r="CG517">
        <v>5</v>
      </c>
    </row>
    <row r="518" spans="1:85" x14ac:dyDescent="0.4">
      <c r="A518" s="11" t="s">
        <v>85</v>
      </c>
      <c r="B518" t="s">
        <v>99</v>
      </c>
      <c r="C518" t="s">
        <v>108</v>
      </c>
      <c r="D518" s="46" t="s">
        <v>309</v>
      </c>
      <c r="E518">
        <v>4</v>
      </c>
      <c r="F518">
        <v>4</v>
      </c>
      <c r="G518" s="1">
        <v>22</v>
      </c>
      <c r="H518" s="16">
        <f t="shared" si="270"/>
        <v>1048</v>
      </c>
      <c r="I518">
        <v>6</v>
      </c>
      <c r="J518" s="17">
        <f t="shared" si="271"/>
        <v>1.5</v>
      </c>
      <c r="K518">
        <v>2</v>
      </c>
      <c r="L518">
        <v>9</v>
      </c>
      <c r="M518" s="17">
        <f t="shared" si="272"/>
        <v>0.5</v>
      </c>
      <c r="N518" s="17">
        <f t="shared" si="273"/>
        <v>2.25</v>
      </c>
      <c r="O518" s="18">
        <f t="shared" si="274"/>
        <v>0.22222222222222221</v>
      </c>
      <c r="P518">
        <v>0</v>
      </c>
      <c r="Q518">
        <v>2</v>
      </c>
      <c r="R518" s="17">
        <f t="shared" si="275"/>
        <v>0</v>
      </c>
      <c r="S518" s="17">
        <f t="shared" si="276"/>
        <v>0.5</v>
      </c>
      <c r="T518" s="18">
        <f t="shared" si="277"/>
        <v>0</v>
      </c>
      <c r="U518">
        <v>2</v>
      </c>
      <c r="V518">
        <v>7</v>
      </c>
      <c r="W518" s="17">
        <f t="shared" si="278"/>
        <v>0.5</v>
      </c>
      <c r="X518" s="17">
        <f t="shared" si="279"/>
        <v>1.75</v>
      </c>
      <c r="Y518" s="18">
        <f t="shared" si="280"/>
        <v>0.2857142857142857</v>
      </c>
      <c r="Z518">
        <v>0</v>
      </c>
      <c r="AA518">
        <v>0</v>
      </c>
      <c r="AB518" s="17">
        <f t="shared" si="281"/>
        <v>0</v>
      </c>
      <c r="AC518" s="17">
        <f t="shared" si="282"/>
        <v>0</v>
      </c>
      <c r="AD518" s="18" t="e">
        <f t="shared" si="283"/>
        <v>#DIV/0!</v>
      </c>
      <c r="AE518">
        <v>1</v>
      </c>
      <c r="AF518" s="17">
        <f t="shared" si="284"/>
        <v>0.25</v>
      </c>
      <c r="AG518">
        <v>1</v>
      </c>
      <c r="AH518" s="17">
        <f t="shared" si="285"/>
        <v>0.25</v>
      </c>
      <c r="AI518">
        <v>0</v>
      </c>
      <c r="AJ518" s="17">
        <f t="shared" si="286"/>
        <v>0</v>
      </c>
      <c r="AK518">
        <v>2</v>
      </c>
      <c r="AL518" s="17">
        <f t="shared" si="287"/>
        <v>0.5</v>
      </c>
      <c r="AM518">
        <v>1</v>
      </c>
      <c r="AN518" s="17">
        <f t="shared" si="288"/>
        <v>0.25</v>
      </c>
      <c r="AO518">
        <v>0</v>
      </c>
      <c r="AQ518">
        <v>3</v>
      </c>
      <c r="AR518" s="17">
        <f t="shared" si="289"/>
        <v>0.75</v>
      </c>
      <c r="AS518">
        <v>3</v>
      </c>
      <c r="AT518" s="17">
        <f t="shared" si="290"/>
        <v>0.75</v>
      </c>
      <c r="BD518" s="65">
        <f t="shared" si="291"/>
        <v>33.333333333333329</v>
      </c>
      <c r="BE518" s="65">
        <f t="shared" si="292"/>
        <v>33.333333333333329</v>
      </c>
      <c r="BF518" s="66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12.799085292037795</v>
      </c>
      <c r="BG518" s="38">
        <f t="shared" si="293"/>
        <v>0.77777777777777779</v>
      </c>
      <c r="BH518" s="38">
        <f t="shared" si="294"/>
        <v>0</v>
      </c>
      <c r="BI518" s="67">
        <f>IFERROR(((AG518*(12000/5))/((F518*60+G518)*(SUMIFS(팀공격력!X:X,팀공격력!A:A,B518,팀공격력!B:B,D518)+SUMIFS(팀수비력!X:X,팀수비력!A:A,B518,팀수비력!B:B,D518))))*100,"")</f>
        <v>1.288369246626083</v>
      </c>
      <c r="BJ518" s="67">
        <f>IFERROR(((AI518*(12000/5))/((F518*60+G518)*(SUMIFS(팀공격력!V:V,팀공격력!A:A,B518,팀공격력!B:B,D518)+SUMIFS(팀수비력!W:W,팀수비력!A:A,B518,팀수비력!B:B,D518))))*100,"")</f>
        <v>0</v>
      </c>
      <c r="BK518" s="67">
        <f>IFERROR(((AE518*(12000/5))/((F518*60+G518)*(SUMIFS(팀공격력!X:X,팀공격력!A:A,B518,팀공격력!B:B,D518)+SUMIFS(팀수비력!X:X,팀수비력!A:A,B518,팀수비력!B:B,D518))))*100,"")</f>
        <v>1.288369246626083</v>
      </c>
      <c r="BL518" s="67">
        <f>IFERROR(100*AK518/(((((F518*60+G518)/(12000/5))*SUMIFS(팀공격력!P:P,팀공격력!A:A,B518,팀공격력!B:B,D518))-K518)),"")</f>
        <v>7.1654624708903087</v>
      </c>
      <c r="BM518" s="67">
        <f>IFERROR(100*((AM518/E518*(2400))/((F518*60+G518)*SUMIFS(팀공격력!AR:AR,팀공격력!A:A,B518,팀공격력!B:B,D518))),"")</f>
        <v>2.8705506436925226</v>
      </c>
      <c r="BN518" s="67">
        <f>IFERROR((AO518*40)/(((F518*60+G518)/60)*(SUMIFS(팀수비력!Q:Q,팀수비력!A:A,B518,팀수비력!B:B,D518)-SUMIFS(팀수비력!N:N,팀수비력!A:A,B518,팀수비력!B:B,D518)))*100,"")</f>
        <v>0</v>
      </c>
      <c r="BO518" s="67">
        <f t="shared" si="295"/>
        <v>25</v>
      </c>
      <c r="BT518" t="s">
        <v>89</v>
      </c>
      <c r="BV518" t="s">
        <v>90</v>
      </c>
      <c r="CF518">
        <v>0</v>
      </c>
      <c r="CG518">
        <v>4</v>
      </c>
    </row>
    <row r="519" spans="1:85" x14ac:dyDescent="0.4">
      <c r="A519" s="11" t="s">
        <v>85</v>
      </c>
      <c r="B519" t="s">
        <v>99</v>
      </c>
      <c r="C519" t="s">
        <v>109</v>
      </c>
      <c r="D519" s="46" t="s">
        <v>309</v>
      </c>
      <c r="E519">
        <v>3</v>
      </c>
      <c r="F519">
        <v>12</v>
      </c>
      <c r="G519" s="1">
        <v>50</v>
      </c>
      <c r="H519" s="16">
        <f t="shared" si="270"/>
        <v>2310</v>
      </c>
      <c r="I519">
        <v>21</v>
      </c>
      <c r="J519" s="17">
        <f t="shared" si="271"/>
        <v>7</v>
      </c>
      <c r="K519">
        <v>8</v>
      </c>
      <c r="L519">
        <v>15</v>
      </c>
      <c r="M519" s="17">
        <f t="shared" si="272"/>
        <v>2.6666666666666665</v>
      </c>
      <c r="N519" s="17">
        <f t="shared" si="273"/>
        <v>5</v>
      </c>
      <c r="O519" s="18">
        <f t="shared" si="274"/>
        <v>0.53333333333333333</v>
      </c>
      <c r="P519">
        <v>4</v>
      </c>
      <c r="Q519">
        <v>6</v>
      </c>
      <c r="R519" s="17">
        <f t="shared" si="275"/>
        <v>1.3333333333333333</v>
      </c>
      <c r="S519" s="17">
        <f t="shared" si="276"/>
        <v>2</v>
      </c>
      <c r="T519" s="18">
        <f t="shared" si="277"/>
        <v>0.66666666666666663</v>
      </c>
      <c r="U519">
        <v>4</v>
      </c>
      <c r="V519">
        <v>9</v>
      </c>
      <c r="W519" s="17">
        <f t="shared" si="278"/>
        <v>1.3333333333333333</v>
      </c>
      <c r="X519" s="17">
        <f t="shared" si="279"/>
        <v>3</v>
      </c>
      <c r="Y519" s="18">
        <f t="shared" si="280"/>
        <v>0.44444444444444442</v>
      </c>
      <c r="Z519">
        <v>1</v>
      </c>
      <c r="AA519">
        <v>2</v>
      </c>
      <c r="AB519" s="17">
        <f t="shared" si="281"/>
        <v>0.33333333333333331</v>
      </c>
      <c r="AC519" s="17">
        <f t="shared" si="282"/>
        <v>0.66666666666666663</v>
      </c>
      <c r="AD519" s="18">
        <f t="shared" si="283"/>
        <v>0.5</v>
      </c>
      <c r="AE519">
        <v>1</v>
      </c>
      <c r="AF519" s="17">
        <f t="shared" si="284"/>
        <v>0.33333333333333331</v>
      </c>
      <c r="AG519">
        <v>1</v>
      </c>
      <c r="AH519" s="17">
        <f t="shared" si="285"/>
        <v>0.33333333333333331</v>
      </c>
      <c r="AI519">
        <v>0</v>
      </c>
      <c r="AJ519" s="17">
        <f t="shared" si="286"/>
        <v>0</v>
      </c>
      <c r="AK519">
        <v>0</v>
      </c>
      <c r="AL519" s="17">
        <f t="shared" si="287"/>
        <v>0</v>
      </c>
      <c r="AM519">
        <v>4</v>
      </c>
      <c r="AN519" s="17">
        <f t="shared" si="288"/>
        <v>1.3333333333333333</v>
      </c>
      <c r="AO519">
        <v>0</v>
      </c>
      <c r="AQ519">
        <v>0</v>
      </c>
      <c r="AR519" s="17">
        <f t="shared" si="289"/>
        <v>0</v>
      </c>
      <c r="AS519">
        <v>6</v>
      </c>
      <c r="AT519" s="17">
        <f t="shared" si="290"/>
        <v>2</v>
      </c>
      <c r="BD519" s="65">
        <f t="shared" si="291"/>
        <v>66.12090680100755</v>
      </c>
      <c r="BE519" s="65">
        <f t="shared" si="292"/>
        <v>66.666666666666657</v>
      </c>
      <c r="BF519" s="66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5.7631344483377456</v>
      </c>
      <c r="BG519" s="38">
        <f t="shared" si="293"/>
        <v>0.6</v>
      </c>
      <c r="BH519" s="38">
        <f t="shared" si="294"/>
        <v>0.13333333333333333</v>
      </c>
      <c r="BI519" s="67">
        <f>IFERROR(((AG519*(12000/5))/((F519*60+G519)*(SUMIFS(팀공격력!X:X,팀공격력!A:A,B519,팀공격력!B:B,D519)+SUMIFS(팀수비력!X:X,팀수비력!A:A,B519,팀수비력!B:B,D519))))*100,"")</f>
        <v>0.43838018521562827</v>
      </c>
      <c r="BJ519" s="67">
        <f>IFERROR(((AI519*(12000/5))/((F519*60+G519)*(SUMIFS(팀공격력!V:V,팀공격력!A:A,B519,팀공격력!B:B,D519)+SUMIFS(팀수비력!W:W,팀수비력!A:A,B519,팀수비력!B:B,D519))))*100,"")</f>
        <v>0</v>
      </c>
      <c r="BK519" s="67">
        <f>IFERROR(((AE519*(12000/5))/((F519*60+G519)*(SUMIFS(팀공격력!X:X,팀공격력!A:A,B519,팀공격력!B:B,D519)+SUMIFS(팀수비력!X:X,팀수비력!A:A,B519,팀수비력!B:B,D519))))*100,"")</f>
        <v>0.43838018521562827</v>
      </c>
      <c r="BL519" s="67">
        <f>IFERROR(100*AK519/(((((F519*60+G519)/(12000/5))*SUMIFS(팀공격력!P:P,팀공격력!A:A,B519,팀공격력!B:B,D519))-K519)),"")</f>
        <v>0</v>
      </c>
      <c r="BM519" s="67">
        <f>IFERROR(100*((AM519/E519*(2400))/((F519*60+G519)*SUMIFS(팀공격력!AR:AR,팀공격력!A:A,B519,팀공격력!B:B,D519))),"")</f>
        <v>5.2092416876013212</v>
      </c>
      <c r="BN519" s="67">
        <f>IFERROR((AO519*40)/(((F519*60+G519)/60)*(SUMIFS(팀수비력!Q:Q,팀수비력!A:A,B519,팀수비력!B:B,D519)-SUMIFS(팀수비력!N:N,팀수비력!A:A,B519,팀수비력!B:B,D519)))*100,"")</f>
        <v>0</v>
      </c>
      <c r="BO519" s="67">
        <f t="shared" si="295"/>
        <v>0</v>
      </c>
      <c r="BT519" t="s">
        <v>89</v>
      </c>
      <c r="BV519" t="s">
        <v>90</v>
      </c>
      <c r="CF519">
        <v>1</v>
      </c>
      <c r="CG519">
        <v>2</v>
      </c>
    </row>
    <row r="520" spans="1:85" x14ac:dyDescent="0.4">
      <c r="A520" s="11" t="s">
        <v>85</v>
      </c>
      <c r="B520" t="s">
        <v>99</v>
      </c>
      <c r="C520" t="s">
        <v>110</v>
      </c>
      <c r="D520" s="46" t="s">
        <v>309</v>
      </c>
      <c r="E520">
        <v>8</v>
      </c>
      <c r="F520">
        <v>7</v>
      </c>
      <c r="G520" s="1">
        <v>0</v>
      </c>
      <c r="H520" s="16">
        <f t="shared" si="270"/>
        <v>3360</v>
      </c>
      <c r="I520">
        <v>11</v>
      </c>
      <c r="J520" s="17">
        <f t="shared" si="271"/>
        <v>1.375</v>
      </c>
      <c r="K520">
        <v>4</v>
      </c>
      <c r="L520">
        <v>17</v>
      </c>
      <c r="M520" s="17">
        <f t="shared" si="272"/>
        <v>0.5</v>
      </c>
      <c r="N520" s="17">
        <f t="shared" si="273"/>
        <v>2.125</v>
      </c>
      <c r="O520" s="18">
        <f t="shared" si="274"/>
        <v>0.23529411764705882</v>
      </c>
      <c r="P520">
        <v>1</v>
      </c>
      <c r="Q520">
        <v>2</v>
      </c>
      <c r="R520" s="17">
        <f t="shared" si="275"/>
        <v>0.125</v>
      </c>
      <c r="S520" s="17">
        <f t="shared" si="276"/>
        <v>0.25</v>
      </c>
      <c r="T520" s="18">
        <f t="shared" si="277"/>
        <v>0.5</v>
      </c>
      <c r="U520">
        <v>3</v>
      </c>
      <c r="V520">
        <v>15</v>
      </c>
      <c r="W520" s="17">
        <f t="shared" si="278"/>
        <v>0.375</v>
      </c>
      <c r="X520" s="17">
        <f t="shared" si="279"/>
        <v>1.875</v>
      </c>
      <c r="Y520" s="18">
        <f t="shared" si="280"/>
        <v>0.2</v>
      </c>
      <c r="Z520">
        <v>0</v>
      </c>
      <c r="AA520">
        <v>0</v>
      </c>
      <c r="AB520" s="17">
        <f t="shared" si="281"/>
        <v>0</v>
      </c>
      <c r="AC520" s="17">
        <f t="shared" si="282"/>
        <v>0</v>
      </c>
      <c r="AD520" s="18" t="e">
        <f t="shared" si="283"/>
        <v>#DIV/0!</v>
      </c>
      <c r="AE520">
        <v>4</v>
      </c>
      <c r="AF520" s="17">
        <f t="shared" si="284"/>
        <v>0.5</v>
      </c>
      <c r="AG520">
        <v>3</v>
      </c>
      <c r="AH520" s="17">
        <f t="shared" si="285"/>
        <v>0.375</v>
      </c>
      <c r="AI520">
        <v>1</v>
      </c>
      <c r="AJ520" s="17">
        <f t="shared" si="286"/>
        <v>0.125</v>
      </c>
      <c r="AK520">
        <v>1</v>
      </c>
      <c r="AL520" s="17">
        <f t="shared" si="287"/>
        <v>0.125</v>
      </c>
      <c r="AM520">
        <v>2</v>
      </c>
      <c r="AN520" s="17">
        <f t="shared" si="288"/>
        <v>0.25</v>
      </c>
      <c r="AO520">
        <v>0</v>
      </c>
      <c r="AQ520">
        <v>4</v>
      </c>
      <c r="AR520" s="17">
        <f t="shared" si="289"/>
        <v>0.5</v>
      </c>
      <c r="AS520">
        <v>6</v>
      </c>
      <c r="AT520" s="17">
        <f t="shared" si="290"/>
        <v>0.75</v>
      </c>
      <c r="BD520" s="65">
        <f t="shared" si="291"/>
        <v>32.352941176470587</v>
      </c>
      <c r="BE520" s="65">
        <f t="shared" si="292"/>
        <v>32.352941176470587</v>
      </c>
      <c r="BF520" s="66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13.972334777141262</v>
      </c>
      <c r="BG520" s="38">
        <f t="shared" si="293"/>
        <v>0.88235294117647056</v>
      </c>
      <c r="BH520" s="38">
        <f t="shared" si="294"/>
        <v>0</v>
      </c>
      <c r="BI520" s="67">
        <f>IFERROR(((AG520*(12000/5))/((F520*60+G520)*(SUMIFS(팀공격력!X:X,팀공격력!A:A,B520,팀공격력!B:B,D520)+SUMIFS(팀수비력!X:X,팀수비력!A:A,B520,팀수비력!B:B,D520))))*100,"")</f>
        <v>2.4110910186859553</v>
      </c>
      <c r="BJ520" s="67">
        <f>IFERROR(((AI520*(12000/5))/((F520*60+G520)*(SUMIFS(팀공격력!V:V,팀공격력!A:A,B520,팀공격력!B:B,D520)+SUMIFS(팀수비력!W:W,팀수비력!A:A,B520,팀수비력!B:B,D520))))*100,"")</f>
        <v>1.4958863126402393</v>
      </c>
      <c r="BK520" s="67">
        <f>IFERROR(((AE520*(12000/5))/((F520*60+G520)*(SUMIFS(팀공격력!X:X,팀공격력!A:A,B520,팀공격력!B:B,D520)+SUMIFS(팀수비력!X:X,팀수비력!A:A,B520,팀수비력!B:B,D520))))*100,"")</f>
        <v>3.2147880249146068</v>
      </c>
      <c r="BL520" s="67">
        <f>IFERROR(100*AK520/(((((F520*60+G520)/(12000/5))*SUMIFS(팀공격력!P:P,팀공격력!A:A,B520,팀공격력!B:B,D520))-K520)),"")</f>
        <v>2.2753128555176341</v>
      </c>
      <c r="BM520" s="67">
        <f>IFERROR(100*((AM520/E520*(2400))/((F520*60+G520)*SUMIFS(팀공격력!AR:AR,팀공격력!A:A,B520,팀공격력!B:B,D520))),"")</f>
        <v>1.7906768301129541</v>
      </c>
      <c r="BN520" s="67">
        <f>IFERROR((AO520*40)/(((F520*60+G520)/60)*(SUMIFS(팀수비력!Q:Q,팀수비력!A:A,B520,팀수비력!B:B,D520)-SUMIFS(팀수비력!N:N,팀수비력!A:A,B520,팀수비력!B:B,D520)))*100,"")</f>
        <v>0</v>
      </c>
      <c r="BO520" s="67">
        <f t="shared" si="295"/>
        <v>19.047619047619047</v>
      </c>
      <c r="BT520" t="s">
        <v>89</v>
      </c>
      <c r="BV520" t="s">
        <v>90</v>
      </c>
      <c r="CF520">
        <v>1</v>
      </c>
      <c r="CG520">
        <v>7</v>
      </c>
    </row>
    <row r="521" spans="1:85" x14ac:dyDescent="0.4">
      <c r="A521" s="11" t="s">
        <v>85</v>
      </c>
      <c r="B521" t="s">
        <v>99</v>
      </c>
      <c r="C521" t="s">
        <v>111</v>
      </c>
      <c r="D521" s="46" t="s">
        <v>309</v>
      </c>
      <c r="E521">
        <v>3</v>
      </c>
      <c r="F521">
        <v>2</v>
      </c>
      <c r="G521" s="1">
        <v>28</v>
      </c>
      <c r="H521" s="16">
        <f t="shared" si="270"/>
        <v>444</v>
      </c>
      <c r="I521">
        <v>2</v>
      </c>
      <c r="J521" s="17">
        <f t="shared" si="271"/>
        <v>0.66666666666666663</v>
      </c>
      <c r="K521">
        <v>1</v>
      </c>
      <c r="L521">
        <v>3</v>
      </c>
      <c r="M521" s="17">
        <f t="shared" si="272"/>
        <v>0.33333333333333331</v>
      </c>
      <c r="N521" s="17">
        <f t="shared" si="273"/>
        <v>1</v>
      </c>
      <c r="O521" s="18">
        <f t="shared" si="274"/>
        <v>0.33333333333333331</v>
      </c>
      <c r="P521">
        <v>1</v>
      </c>
      <c r="Q521">
        <v>2</v>
      </c>
      <c r="R521" s="17">
        <f t="shared" si="275"/>
        <v>0.33333333333333331</v>
      </c>
      <c r="S521" s="17">
        <f t="shared" si="276"/>
        <v>0.66666666666666663</v>
      </c>
      <c r="T521" s="18">
        <f t="shared" si="277"/>
        <v>0.5</v>
      </c>
      <c r="U521">
        <v>0</v>
      </c>
      <c r="V521">
        <v>1</v>
      </c>
      <c r="W521" s="17">
        <f t="shared" si="278"/>
        <v>0</v>
      </c>
      <c r="X521" s="17">
        <f t="shared" si="279"/>
        <v>0.33333333333333331</v>
      </c>
      <c r="Y521" s="18">
        <f t="shared" si="280"/>
        <v>0</v>
      </c>
      <c r="Z521">
        <v>0</v>
      </c>
      <c r="AA521">
        <v>0</v>
      </c>
      <c r="AB521" s="17">
        <f t="shared" si="281"/>
        <v>0</v>
      </c>
      <c r="AC521" s="17">
        <f t="shared" si="282"/>
        <v>0</v>
      </c>
      <c r="AD521" s="18" t="e">
        <f t="shared" si="283"/>
        <v>#DIV/0!</v>
      </c>
      <c r="AE521">
        <v>1</v>
      </c>
      <c r="AF521" s="17">
        <f t="shared" si="284"/>
        <v>0.33333333333333331</v>
      </c>
      <c r="AG521">
        <v>0</v>
      </c>
      <c r="AH521" s="17">
        <f t="shared" si="285"/>
        <v>0</v>
      </c>
      <c r="AI521">
        <v>1</v>
      </c>
      <c r="AJ521" s="17">
        <f t="shared" si="286"/>
        <v>0.33333333333333331</v>
      </c>
      <c r="AK521">
        <v>0</v>
      </c>
      <c r="AL521" s="17">
        <f t="shared" si="287"/>
        <v>0</v>
      </c>
      <c r="AM521">
        <v>0</v>
      </c>
      <c r="AN521" s="17">
        <f t="shared" si="288"/>
        <v>0</v>
      </c>
      <c r="AO521">
        <v>0</v>
      </c>
      <c r="AQ521">
        <v>0</v>
      </c>
      <c r="AR521" s="17">
        <f t="shared" si="289"/>
        <v>0</v>
      </c>
      <c r="AS521">
        <v>1</v>
      </c>
      <c r="AT521" s="17">
        <f t="shared" si="290"/>
        <v>0.33333333333333331</v>
      </c>
      <c r="BD521" s="65">
        <f t="shared" si="291"/>
        <v>33.333333333333329</v>
      </c>
      <c r="BE521" s="65">
        <f t="shared" si="292"/>
        <v>33.333333333333329</v>
      </c>
      <c r="BF521" s="66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5.6644600447869973</v>
      </c>
      <c r="BG521" s="38">
        <f t="shared" si="293"/>
        <v>0.33333333333333331</v>
      </c>
      <c r="BH521" s="38">
        <f t="shared" si="294"/>
        <v>0</v>
      </c>
      <c r="BI521" s="67">
        <f>IFERROR(((AG521*(12000/5))/((F521*60+G521)*(SUMIFS(팀공격력!X:X,팀공격력!A:A,B521,팀공격력!B:B,D521)+SUMIFS(팀수비력!X:X,팀수비력!A:A,B521,팀수비력!B:B,D521))))*100,"")</f>
        <v>0</v>
      </c>
      <c r="BJ521" s="67">
        <f>IFERROR(((AI521*(12000/5))/((F521*60+G521)*(SUMIFS(팀공격력!V:V,팀공격력!A:A,B521,팀공격력!B:B,D521)+SUMIFS(팀수비력!W:W,팀수비력!A:A,B521,팀수비력!B:B,D521))))*100,"")</f>
        <v>4.2450827791141927</v>
      </c>
      <c r="BK521" s="67">
        <f>IFERROR(((AE521*(12000/5))/((F521*60+G521)*(SUMIFS(팀공격력!X:X,팀공격력!A:A,B521,팀공격력!B:B,D521)+SUMIFS(팀수비력!X:X,팀수비력!A:A,B521,팀수비력!B:B,D521))))*100,"")</f>
        <v>2.2807617744326607</v>
      </c>
      <c r="BL521" s="67">
        <f>IFERROR(100*AK521/(((((F521*60+G521)/(12000/5))*SUMIFS(팀공격력!P:P,팀공격력!A:A,B521,팀공격력!B:B,D521))-K521)),"")</f>
        <v>0</v>
      </c>
      <c r="BM521" s="67">
        <f>IFERROR(100*((AM521/E521*(2400))/((F521*60+G521)*SUMIFS(팀공격력!AR:AR,팀공격력!A:A,B521,팀공격력!B:B,D521))),"")</f>
        <v>0</v>
      </c>
      <c r="BN521" s="67">
        <f>IFERROR((AO521*40)/(((F521*60+G521)/60)*(SUMIFS(팀수비력!Q:Q,팀수비력!A:A,B521,팀수비력!B:B,D521)-SUMIFS(팀수비력!N:N,팀수비력!A:A,B521,팀수비력!B:B,D521)))*100,"")</f>
        <v>0</v>
      </c>
      <c r="BO521" s="67">
        <f t="shared" si="295"/>
        <v>0</v>
      </c>
      <c r="BT521" t="s">
        <v>89</v>
      </c>
      <c r="BV521" t="s">
        <v>93</v>
      </c>
      <c r="CF521">
        <v>0</v>
      </c>
      <c r="CG521">
        <v>3</v>
      </c>
    </row>
    <row r="522" spans="1:85" x14ac:dyDescent="0.4">
      <c r="A522" s="11" t="s">
        <v>85</v>
      </c>
      <c r="B522" t="s">
        <v>99</v>
      </c>
      <c r="C522" t="s">
        <v>112</v>
      </c>
      <c r="D522" s="46" t="s">
        <v>309</v>
      </c>
      <c r="E522">
        <v>6</v>
      </c>
      <c r="F522">
        <v>14</v>
      </c>
      <c r="G522" s="1">
        <v>43</v>
      </c>
      <c r="H522" s="16">
        <f t="shared" si="270"/>
        <v>5298</v>
      </c>
      <c r="I522">
        <v>40</v>
      </c>
      <c r="J522" s="17">
        <f t="shared" si="271"/>
        <v>6.666666666666667</v>
      </c>
      <c r="K522">
        <v>16</v>
      </c>
      <c r="L522">
        <v>45</v>
      </c>
      <c r="M522" s="17">
        <f t="shared" si="272"/>
        <v>2.6666666666666665</v>
      </c>
      <c r="N522" s="17">
        <f t="shared" si="273"/>
        <v>7.5</v>
      </c>
      <c r="O522" s="18">
        <f t="shared" si="274"/>
        <v>0.35555555555555557</v>
      </c>
      <c r="P522">
        <v>12</v>
      </c>
      <c r="Q522">
        <v>33</v>
      </c>
      <c r="R522" s="17">
        <f t="shared" si="275"/>
        <v>2</v>
      </c>
      <c r="S522" s="17">
        <f t="shared" si="276"/>
        <v>5.5</v>
      </c>
      <c r="T522" s="18">
        <f t="shared" si="277"/>
        <v>0.36363636363636365</v>
      </c>
      <c r="U522">
        <v>4</v>
      </c>
      <c r="V522">
        <v>12</v>
      </c>
      <c r="W522" s="17">
        <f t="shared" si="278"/>
        <v>0.66666666666666663</v>
      </c>
      <c r="X522" s="17">
        <f t="shared" si="279"/>
        <v>2</v>
      </c>
      <c r="Y522" s="18">
        <f t="shared" si="280"/>
        <v>0.33333333333333331</v>
      </c>
      <c r="Z522">
        <v>4</v>
      </c>
      <c r="AA522">
        <v>5</v>
      </c>
      <c r="AB522" s="17">
        <f t="shared" si="281"/>
        <v>0.66666666666666663</v>
      </c>
      <c r="AC522" s="17">
        <f t="shared" si="282"/>
        <v>0.83333333333333337</v>
      </c>
      <c r="AD522" s="18">
        <f t="shared" si="283"/>
        <v>0.8</v>
      </c>
      <c r="AE522">
        <v>7</v>
      </c>
      <c r="AF522" s="17">
        <f t="shared" si="284"/>
        <v>1.1666666666666667</v>
      </c>
      <c r="AG522">
        <v>2</v>
      </c>
      <c r="AH522" s="17">
        <f t="shared" si="285"/>
        <v>0.33333333333333331</v>
      </c>
      <c r="AI522">
        <v>5</v>
      </c>
      <c r="AJ522" s="17">
        <f t="shared" si="286"/>
        <v>0.83333333333333337</v>
      </c>
      <c r="AK522">
        <v>14</v>
      </c>
      <c r="AL522" s="17">
        <f t="shared" si="287"/>
        <v>2.3333333333333335</v>
      </c>
      <c r="AM522">
        <v>1</v>
      </c>
      <c r="AN522" s="17">
        <f t="shared" si="288"/>
        <v>0.16666666666666666</v>
      </c>
      <c r="AO522">
        <v>0</v>
      </c>
      <c r="AQ522">
        <v>7</v>
      </c>
      <c r="AR522" s="17">
        <f t="shared" si="289"/>
        <v>1.1666666666666667</v>
      </c>
      <c r="AS522">
        <v>10</v>
      </c>
      <c r="AT522" s="17">
        <f t="shared" si="290"/>
        <v>1.6666666666666667</v>
      </c>
      <c r="BD522" s="65">
        <f t="shared" si="291"/>
        <v>42.372881355932201</v>
      </c>
      <c r="BE522" s="65">
        <f t="shared" si="292"/>
        <v>40</v>
      </c>
      <c r="BF522" s="66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17.152900224712489</v>
      </c>
      <c r="BG522" s="38">
        <f t="shared" si="293"/>
        <v>0.26666666666666666</v>
      </c>
      <c r="BH522" s="38">
        <f t="shared" si="294"/>
        <v>0.1111111111111111</v>
      </c>
      <c r="BI522" s="67">
        <f>IFERROR(((AG522*(12000/5))/((F522*60+G522)*(SUMIFS(팀공격력!X:X,팀공격력!A:A,B522,팀공격력!B:B,D522)+SUMIFS(팀수비력!X:X,팀수비력!A:A,B522,팀수비력!B:B,D522))))*100,"")</f>
        <v>0.76455887342250006</v>
      </c>
      <c r="BJ522" s="67">
        <f>IFERROR(((AI522*(12000/5))/((F522*60+G522)*(SUMIFS(팀공격력!V:V,팀공격력!A:A,B522,팀공격력!B:B,D522)+SUMIFS(팀수비력!W:W,팀수비력!A:A,B522,팀수비력!B:B,D522))))*100,"")</f>
        <v>3.5576005170379421</v>
      </c>
      <c r="BK522" s="67">
        <f>IFERROR(((AE522*(12000/5))/((F522*60+G522)*(SUMIFS(팀공격력!X:X,팀공격력!A:A,B522,팀공격력!B:B,D522)+SUMIFS(팀수비력!X:X,팀수비력!A:A,B522,팀수비력!B:B,D522))))*100,"")</f>
        <v>2.6759560569787499</v>
      </c>
      <c r="BL522" s="67">
        <f>IFERROR(100*AK522/(((((F522*60+G522)/(12000/5))*SUMIFS(팀공격력!P:P,팀공격력!A:A,B522,팀공격력!B:B,D522))-K522)),"")</f>
        <v>16.507649526878971</v>
      </c>
      <c r="BM522" s="67">
        <f>IFERROR(100*((AM522/E522*(2400))/((F522*60+G522)*SUMIFS(팀공격력!AR:AR,팀공격력!A:A,B522,팀공격력!B:B,D522))),"")</f>
        <v>0.56782504239142384</v>
      </c>
      <c r="BN522" s="67">
        <f>IFERROR((AO522*40)/(((F522*60+G522)/60)*(SUMIFS(팀수비력!Q:Q,팀수비력!A:A,B522,팀수비력!B:B,D522)-SUMIFS(팀수비력!N:N,팀수비력!A:A,B522,팀수비력!B:B,D522)))*100,"")</f>
        <v>0</v>
      </c>
      <c r="BO522" s="67">
        <f t="shared" si="295"/>
        <v>12.915129151291513</v>
      </c>
      <c r="BT522" t="s">
        <v>113</v>
      </c>
      <c r="BV522" t="s">
        <v>90</v>
      </c>
      <c r="CF522">
        <v>2</v>
      </c>
      <c r="CG522">
        <v>4</v>
      </c>
    </row>
    <row r="523" spans="1:85" x14ac:dyDescent="0.4">
      <c r="A523" s="11" t="s">
        <v>85</v>
      </c>
      <c r="B523" t="s">
        <v>99</v>
      </c>
      <c r="C523" s="11" t="s">
        <v>114</v>
      </c>
      <c r="D523" s="46" t="s">
        <v>309</v>
      </c>
      <c r="E523">
        <v>1</v>
      </c>
      <c r="F523">
        <v>31</v>
      </c>
      <c r="G523" s="1">
        <v>39</v>
      </c>
      <c r="H523" s="16">
        <f t="shared" si="270"/>
        <v>1899</v>
      </c>
      <c r="I523">
        <v>15</v>
      </c>
      <c r="J523" s="17">
        <f t="shared" si="271"/>
        <v>15</v>
      </c>
      <c r="K523">
        <v>7</v>
      </c>
      <c r="L523">
        <v>14</v>
      </c>
      <c r="M523" s="17">
        <f t="shared" si="272"/>
        <v>7</v>
      </c>
      <c r="N523" s="17">
        <f t="shared" si="273"/>
        <v>14</v>
      </c>
      <c r="O523" s="18">
        <f t="shared" si="274"/>
        <v>0.5</v>
      </c>
      <c r="P523">
        <v>6</v>
      </c>
      <c r="Q523">
        <v>10</v>
      </c>
      <c r="R523" s="17">
        <f t="shared" si="275"/>
        <v>6</v>
      </c>
      <c r="S523" s="17">
        <f t="shared" si="276"/>
        <v>10</v>
      </c>
      <c r="T523" s="18">
        <f t="shared" si="277"/>
        <v>0.6</v>
      </c>
      <c r="U523">
        <v>1</v>
      </c>
      <c r="V523">
        <v>4</v>
      </c>
      <c r="W523" s="17">
        <f t="shared" si="278"/>
        <v>1</v>
      </c>
      <c r="X523" s="17">
        <f t="shared" si="279"/>
        <v>4</v>
      </c>
      <c r="Y523" s="18">
        <f t="shared" si="280"/>
        <v>0.25</v>
      </c>
      <c r="Z523">
        <v>0</v>
      </c>
      <c r="AA523">
        <v>0</v>
      </c>
      <c r="AB523" s="17">
        <f t="shared" si="281"/>
        <v>0</v>
      </c>
      <c r="AC523" s="17">
        <f t="shared" si="282"/>
        <v>0</v>
      </c>
      <c r="AD523" s="18" t="e">
        <f t="shared" si="283"/>
        <v>#DIV/0!</v>
      </c>
      <c r="AE523">
        <v>6</v>
      </c>
      <c r="AF523" s="17">
        <f t="shared" si="284"/>
        <v>6</v>
      </c>
      <c r="AG523">
        <v>1</v>
      </c>
      <c r="AH523" s="17">
        <f t="shared" si="285"/>
        <v>1</v>
      </c>
      <c r="AI523">
        <v>5</v>
      </c>
      <c r="AJ523" s="17">
        <f t="shared" si="286"/>
        <v>5</v>
      </c>
      <c r="AK523">
        <v>0</v>
      </c>
      <c r="AL523" s="17">
        <f t="shared" si="287"/>
        <v>0</v>
      </c>
      <c r="AM523">
        <v>1</v>
      </c>
      <c r="AN523" s="17">
        <f t="shared" si="288"/>
        <v>1</v>
      </c>
      <c r="AO523">
        <v>0</v>
      </c>
      <c r="AQ523">
        <v>0</v>
      </c>
      <c r="AR523" s="17">
        <f t="shared" si="289"/>
        <v>0</v>
      </c>
      <c r="AS523">
        <v>2</v>
      </c>
      <c r="AT523" s="17">
        <f t="shared" si="290"/>
        <v>2</v>
      </c>
      <c r="BD523" s="65">
        <f t="shared" si="291"/>
        <v>53.571428571428569</v>
      </c>
      <c r="BE523" s="65">
        <f t="shared" si="292"/>
        <v>53.571428571428569</v>
      </c>
      <c r="BF523" s="66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2.0601652120060834</v>
      </c>
      <c r="BG523" s="38">
        <f t="shared" si="293"/>
        <v>0.2857142857142857</v>
      </c>
      <c r="BH523" s="38">
        <f t="shared" si="294"/>
        <v>0</v>
      </c>
      <c r="BI523" s="67">
        <f>IFERROR(((AG523*(12000/5))/((F523*60+G523)*(SUMIFS(팀공격력!X:X,팀공격력!A:A,B523,팀공격력!B:B,D523)+SUMIFS(팀수비력!X:X,팀수비력!A:A,B523,팀수비력!B:B,D523))))*100,"")</f>
        <v>0.17775289237284558</v>
      </c>
      <c r="BJ523" s="67">
        <f>IFERROR(((AI523*(12000/5))/((F523*60+G523)*(SUMIFS(팀공격력!V:V,팀공격력!A:A,B523,팀공격력!B:B,D523)+SUMIFS(팀수비력!W:W,팀수비력!A:A,B523,팀수비력!B:B,D523))))*100,"")</f>
        <v>1.6542186711661415</v>
      </c>
      <c r="BK523" s="67">
        <f>IFERROR(((AE523*(12000/5))/((F523*60+G523)*(SUMIFS(팀공격력!X:X,팀공격력!A:A,B523,팀공격력!B:B,D523)+SUMIFS(팀수비력!X:X,팀수비력!A:A,B523,팀수비력!B:B,D523))))*100,"")</f>
        <v>1.0665173542370736</v>
      </c>
      <c r="BL523" s="67">
        <f>IFERROR(100*AK523/(((((F523*60+G523)/(12000/5))*SUMIFS(팀공격력!P:P,팀공격력!A:A,B523,팀공격력!B:B,D523))-K523)),"")</f>
        <v>0</v>
      </c>
      <c r="BM523" s="67">
        <f>IFERROR(100*((AM523/E523*(2400))/((F523*60+G523)*SUMIFS(팀공격력!AR:AR,팀공격력!A:A,B523,팀공격력!B:B,D523))),"")</f>
        <v>1.5841690756133564</v>
      </c>
      <c r="BN523" s="67">
        <f>IFERROR((AO523*40)/(((F523*60+G523)/60)*(SUMIFS(팀수비력!Q:Q,팀수비력!A:A,B523,팀수비력!B:B,D523)-SUMIFS(팀수비력!N:N,팀수비력!A:A,B523,팀수비력!B:B,D523)))*100,"")</f>
        <v>0</v>
      </c>
      <c r="BO523" s="67">
        <f t="shared" si="295"/>
        <v>0</v>
      </c>
      <c r="BT523" t="s">
        <v>89</v>
      </c>
      <c r="BV523" t="s">
        <v>90</v>
      </c>
      <c r="CF523">
        <v>0</v>
      </c>
      <c r="CG523">
        <v>1</v>
      </c>
    </row>
    <row r="524" spans="1:85" x14ac:dyDescent="0.4">
      <c r="A524" s="11" t="s">
        <v>85</v>
      </c>
      <c r="B524" t="s">
        <v>99</v>
      </c>
      <c r="C524" t="s">
        <v>115</v>
      </c>
      <c r="D524" s="46" t="s">
        <v>309</v>
      </c>
      <c r="E524">
        <v>1</v>
      </c>
      <c r="F524">
        <v>3</v>
      </c>
      <c r="G524" s="1">
        <v>21</v>
      </c>
      <c r="H524" s="16">
        <f t="shared" si="270"/>
        <v>201</v>
      </c>
      <c r="I524">
        <v>0</v>
      </c>
      <c r="J524" s="17">
        <f t="shared" si="271"/>
        <v>0</v>
      </c>
      <c r="K524">
        <v>0</v>
      </c>
      <c r="L524">
        <v>0</v>
      </c>
      <c r="M524" s="17">
        <f t="shared" si="272"/>
        <v>0</v>
      </c>
      <c r="N524" s="17">
        <f t="shared" si="273"/>
        <v>0</v>
      </c>
      <c r="O524" s="18" t="e">
        <f t="shared" si="274"/>
        <v>#DIV/0!</v>
      </c>
      <c r="P524">
        <v>0</v>
      </c>
      <c r="Q524">
        <v>0</v>
      </c>
      <c r="R524" s="17">
        <f t="shared" si="275"/>
        <v>0</v>
      </c>
      <c r="S524" s="17">
        <f t="shared" si="276"/>
        <v>0</v>
      </c>
      <c r="T524" s="18" t="e">
        <f t="shared" si="277"/>
        <v>#DIV/0!</v>
      </c>
      <c r="U524">
        <v>0</v>
      </c>
      <c r="V524">
        <v>0</v>
      </c>
      <c r="W524" s="17">
        <f t="shared" si="278"/>
        <v>0</v>
      </c>
      <c r="X524" s="17">
        <f t="shared" si="279"/>
        <v>0</v>
      </c>
      <c r="Y524" s="18" t="e">
        <f t="shared" si="280"/>
        <v>#DIV/0!</v>
      </c>
      <c r="Z524">
        <v>0</v>
      </c>
      <c r="AA524">
        <v>0</v>
      </c>
      <c r="AB524" s="17">
        <f t="shared" si="281"/>
        <v>0</v>
      </c>
      <c r="AC524" s="17">
        <f t="shared" si="282"/>
        <v>0</v>
      </c>
      <c r="AD524" s="18" t="e">
        <f t="shared" si="283"/>
        <v>#DIV/0!</v>
      </c>
      <c r="AE524">
        <v>0</v>
      </c>
      <c r="AF524" s="17">
        <f t="shared" si="284"/>
        <v>0</v>
      </c>
      <c r="AG524">
        <v>0</v>
      </c>
      <c r="AH524" s="17">
        <f t="shared" si="285"/>
        <v>0</v>
      </c>
      <c r="AI524">
        <v>0</v>
      </c>
      <c r="AJ524" s="17">
        <f t="shared" si="286"/>
        <v>0</v>
      </c>
      <c r="AK524">
        <v>1</v>
      </c>
      <c r="AL524" s="17">
        <f t="shared" si="287"/>
        <v>1</v>
      </c>
      <c r="AM524">
        <v>0</v>
      </c>
      <c r="AN524" s="17">
        <f t="shared" si="288"/>
        <v>0</v>
      </c>
      <c r="AO524">
        <v>0</v>
      </c>
      <c r="AQ524">
        <v>0</v>
      </c>
      <c r="AR524" s="17">
        <f t="shared" si="289"/>
        <v>0</v>
      </c>
      <c r="AS524">
        <v>0</v>
      </c>
      <c r="AT524" s="17">
        <f t="shared" si="290"/>
        <v>0</v>
      </c>
      <c r="BD524" s="65" t="str">
        <f t="shared" si="291"/>
        <v/>
      </c>
      <c r="BE524" s="65" t="str">
        <f t="shared" si="292"/>
        <v/>
      </c>
      <c r="BF524" s="66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0</v>
      </c>
      <c r="BG524" s="38" t="str">
        <f t="shared" si="293"/>
        <v/>
      </c>
      <c r="BH524" s="38" t="str">
        <f t="shared" si="294"/>
        <v/>
      </c>
      <c r="BI524" s="67">
        <f>IFERROR(((AG524*(12000/5))/((F524*60+G524)*(SUMIFS(팀공격력!X:X,팀공격력!A:A,B524,팀공격력!B:B,D524)+SUMIFS(팀수비력!X:X,팀수비력!A:A,B524,팀수비력!B:B,D524))))*100,"")</f>
        <v>0</v>
      </c>
      <c r="BJ524" s="67">
        <f>IFERROR(((AI524*(12000/5))/((F524*60+G524)*(SUMIFS(팀공격력!V:V,팀공격력!A:A,B524,팀공격력!B:B,D524)+SUMIFS(팀수비력!W:W,팀수비력!A:A,B524,팀수비력!B:B,D524))))*100,"")</f>
        <v>0</v>
      </c>
      <c r="BK524" s="67">
        <f>IFERROR(((AE524*(12000/5))/((F524*60+G524)*(SUMIFS(팀공격력!X:X,팀공격력!A:A,B524,팀공격력!B:B,D524)+SUMIFS(팀수비력!X:X,팀수비력!A:A,B524,팀수비력!B:B,D524))))*100,"")</f>
        <v>0</v>
      </c>
      <c r="BL524" s="67">
        <f>IFERROR(100*AK524/(((((F524*60+G524)/(12000/5))*SUMIFS(팀공격력!P:P,팀공격력!A:A,B524,팀공격력!B:B,D524))-K524)),"")</f>
        <v>4.3577731779060898</v>
      </c>
      <c r="BM524" s="67">
        <f>IFERROR(100*((AM524/E524*(2400))/((F524*60+G524)*SUMIFS(팀공격력!AR:AR,팀공격력!A:A,B524,팀공격력!B:B,D524))),"")</f>
        <v>0</v>
      </c>
      <c r="BN524" s="67">
        <f>IFERROR((AO524*40)/(((F524*60+G524)/60)*(SUMIFS(팀수비력!Q:Q,팀수비력!A:A,B524,팀수비력!B:B,D524)-SUMIFS(팀수비력!N:N,팀수비력!A:A,B524,팀수비력!B:B,D524)))*100,"")</f>
        <v>0</v>
      </c>
      <c r="BO524" s="67" t="str">
        <f t="shared" si="295"/>
        <v/>
      </c>
      <c r="BT524" t="s">
        <v>89</v>
      </c>
      <c r="BV524" t="s">
        <v>93</v>
      </c>
      <c r="CF524">
        <v>1</v>
      </c>
      <c r="CG524">
        <v>0</v>
      </c>
    </row>
    <row r="525" spans="1:85" x14ac:dyDescent="0.4">
      <c r="A525" s="11" t="s">
        <v>85</v>
      </c>
      <c r="B525" t="s">
        <v>99</v>
      </c>
      <c r="C525" t="s">
        <v>117</v>
      </c>
      <c r="D525" s="46" t="s">
        <v>309</v>
      </c>
      <c r="E525">
        <v>8</v>
      </c>
      <c r="F525">
        <v>29</v>
      </c>
      <c r="G525" s="1">
        <v>55</v>
      </c>
      <c r="H525" s="16">
        <f t="shared" si="270"/>
        <v>14360</v>
      </c>
      <c r="I525">
        <v>79</v>
      </c>
      <c r="J525" s="17">
        <f t="shared" si="271"/>
        <v>9.875</v>
      </c>
      <c r="K525">
        <v>26</v>
      </c>
      <c r="L525">
        <v>89</v>
      </c>
      <c r="M525" s="17">
        <f t="shared" si="272"/>
        <v>3.25</v>
      </c>
      <c r="N525" s="17">
        <f t="shared" si="273"/>
        <v>11.125</v>
      </c>
      <c r="O525" s="18">
        <f t="shared" si="274"/>
        <v>0.29213483146067415</v>
      </c>
      <c r="P525">
        <v>10</v>
      </c>
      <c r="Q525">
        <v>26</v>
      </c>
      <c r="R525" s="17">
        <f t="shared" si="275"/>
        <v>1.25</v>
      </c>
      <c r="S525" s="17">
        <f t="shared" si="276"/>
        <v>3.25</v>
      </c>
      <c r="T525" s="18">
        <f t="shared" si="277"/>
        <v>0.38461538461538464</v>
      </c>
      <c r="U525">
        <v>16</v>
      </c>
      <c r="V525">
        <v>63</v>
      </c>
      <c r="W525" s="17">
        <f t="shared" si="278"/>
        <v>2</v>
      </c>
      <c r="X525" s="17">
        <f t="shared" si="279"/>
        <v>7.875</v>
      </c>
      <c r="Y525" s="18">
        <f t="shared" si="280"/>
        <v>0.25396825396825395</v>
      </c>
      <c r="Z525">
        <v>11</v>
      </c>
      <c r="AA525">
        <v>16</v>
      </c>
      <c r="AB525" s="17">
        <f t="shared" si="281"/>
        <v>1.375</v>
      </c>
      <c r="AC525" s="17">
        <f t="shared" si="282"/>
        <v>2</v>
      </c>
      <c r="AD525" s="18">
        <f t="shared" si="283"/>
        <v>0.6875</v>
      </c>
      <c r="AE525">
        <v>16</v>
      </c>
      <c r="AF525" s="17">
        <f t="shared" si="284"/>
        <v>2</v>
      </c>
      <c r="AG525">
        <v>5</v>
      </c>
      <c r="AH525" s="17">
        <f t="shared" si="285"/>
        <v>0.625</v>
      </c>
      <c r="AI525">
        <v>11</v>
      </c>
      <c r="AJ525" s="17">
        <f t="shared" si="286"/>
        <v>1.375</v>
      </c>
      <c r="AK525">
        <v>1</v>
      </c>
      <c r="AL525" s="17">
        <f t="shared" si="287"/>
        <v>0.125</v>
      </c>
      <c r="AM525">
        <v>5</v>
      </c>
      <c r="AN525" s="17">
        <f t="shared" si="288"/>
        <v>0.625</v>
      </c>
      <c r="AO525">
        <v>0</v>
      </c>
      <c r="AQ525">
        <v>10</v>
      </c>
      <c r="AR525" s="17">
        <f t="shared" si="289"/>
        <v>1.25</v>
      </c>
      <c r="AS525">
        <v>11</v>
      </c>
      <c r="AT525" s="17">
        <f t="shared" si="290"/>
        <v>1.375</v>
      </c>
      <c r="BD525" s="65">
        <f t="shared" si="291"/>
        <v>41.128696376509779</v>
      </c>
      <c r="BE525" s="65">
        <f t="shared" si="292"/>
        <v>38.202247191011232</v>
      </c>
      <c r="BF525" s="66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16.508371919421275</v>
      </c>
      <c r="BG525" s="38">
        <f t="shared" si="293"/>
        <v>0.7078651685393258</v>
      </c>
      <c r="BH525" s="38">
        <f t="shared" si="294"/>
        <v>0.1797752808988764</v>
      </c>
      <c r="BI525" s="67">
        <f>IFERROR(((AG525*(12000/5))/((F525*60+G525)*(SUMIFS(팀공격력!X:X,팀공격력!A:A,B525,팀공격력!B:B,D525)+SUMIFS(팀수비력!X:X,팀수비력!A:A,B525,팀수비력!B:B,D525))))*100,"")</f>
        <v>0.94025833597780983</v>
      </c>
      <c r="BJ525" s="67">
        <f>IFERROR(((AI525*(12000/5))/((F525*60+G525)*(SUMIFS(팀공격력!V:V,팀공격력!A:A,B525,팀공격력!B:B,D525)+SUMIFS(팀수비력!W:W,팀수비력!A:A,B525,팀수비력!B:B,D525))))*100,"")</f>
        <v>3.850136358996048</v>
      </c>
      <c r="BK525" s="67">
        <f>IFERROR(((AE525*(12000/5))/((F525*60+G525)*(SUMIFS(팀공격력!X:X,팀공격력!A:A,B525,팀공격력!B:B,D525)+SUMIFS(팀수비력!X:X,팀수비력!A:A,B525,팀수비력!B:B,D525))))*100,"")</f>
        <v>3.0088266751289918</v>
      </c>
      <c r="BL525" s="67">
        <f>IFERROR(100*AK525/(((((F525*60+G525)/(12000/5))*SUMIFS(팀공격력!P:P,팀공격력!A:A,B525,팀공격력!B:B,D525))-K525)),"")</f>
        <v>0.55888037631278664</v>
      </c>
      <c r="BM525" s="67">
        <f>IFERROR(100*((AM525/E525*(2400))/((F525*60+G525)*SUMIFS(팀공격력!AR:AR,팀공격력!A:A,B525,팀공격력!B:B,D525))),"")</f>
        <v>1.0474711262499177</v>
      </c>
      <c r="BN525" s="67">
        <f>IFERROR((AO525*40)/(((F525*60+G525)/60)*(SUMIFS(팀수비력!Q:Q,팀수비력!A:A,B525,팀수비력!B:B,D525)-SUMIFS(팀수비력!N:N,팀수비력!A:A,B525,팀수비력!B:B,D525)))*100,"")</f>
        <v>0</v>
      </c>
      <c r="BO525" s="67">
        <f t="shared" si="295"/>
        <v>9.4304036212749907</v>
      </c>
      <c r="BT525" t="s">
        <v>89</v>
      </c>
      <c r="BV525" t="s">
        <v>93</v>
      </c>
      <c r="CF525">
        <v>1</v>
      </c>
      <c r="CG525">
        <v>7</v>
      </c>
    </row>
    <row r="526" spans="1:85" x14ac:dyDescent="0.4">
      <c r="A526" s="11" t="s">
        <v>85</v>
      </c>
      <c r="B526" t="s">
        <v>99</v>
      </c>
      <c r="C526" t="s">
        <v>98</v>
      </c>
      <c r="D526" s="46" t="s">
        <v>309</v>
      </c>
      <c r="E526">
        <v>2</v>
      </c>
      <c r="F526">
        <v>2</v>
      </c>
      <c r="G526" s="1">
        <v>32</v>
      </c>
      <c r="H526" s="16">
        <f t="shared" si="270"/>
        <v>304</v>
      </c>
      <c r="I526">
        <v>3</v>
      </c>
      <c r="J526" s="17">
        <f t="shared" si="271"/>
        <v>1.5</v>
      </c>
      <c r="K526">
        <v>1</v>
      </c>
      <c r="L526">
        <v>3</v>
      </c>
      <c r="M526" s="17">
        <f t="shared" si="272"/>
        <v>0.5</v>
      </c>
      <c r="N526" s="17">
        <f t="shared" si="273"/>
        <v>1.5</v>
      </c>
      <c r="O526" s="18">
        <f t="shared" si="274"/>
        <v>0.33333333333333331</v>
      </c>
      <c r="P526">
        <v>0</v>
      </c>
      <c r="Q526">
        <v>1</v>
      </c>
      <c r="R526" s="17">
        <f t="shared" si="275"/>
        <v>0</v>
      </c>
      <c r="S526" s="17">
        <f t="shared" si="276"/>
        <v>0.5</v>
      </c>
      <c r="T526" s="18">
        <f t="shared" si="277"/>
        <v>0</v>
      </c>
      <c r="U526">
        <v>1</v>
      </c>
      <c r="V526">
        <v>2</v>
      </c>
      <c r="W526" s="17">
        <f t="shared" si="278"/>
        <v>0.5</v>
      </c>
      <c r="X526" s="17">
        <f t="shared" si="279"/>
        <v>1</v>
      </c>
      <c r="Y526" s="18">
        <f t="shared" si="280"/>
        <v>0.5</v>
      </c>
      <c r="Z526">
        <v>0</v>
      </c>
      <c r="AA526">
        <v>0</v>
      </c>
      <c r="AB526" s="17">
        <f t="shared" si="281"/>
        <v>0</v>
      </c>
      <c r="AC526" s="17">
        <f t="shared" si="282"/>
        <v>0</v>
      </c>
      <c r="AD526" s="18" t="e">
        <f t="shared" si="283"/>
        <v>#DIV/0!</v>
      </c>
      <c r="AE526">
        <v>1</v>
      </c>
      <c r="AF526" s="17">
        <f t="shared" si="284"/>
        <v>0.5</v>
      </c>
      <c r="AG526">
        <v>0</v>
      </c>
      <c r="AH526" s="17">
        <f t="shared" si="285"/>
        <v>0</v>
      </c>
      <c r="AI526">
        <v>1</v>
      </c>
      <c r="AJ526" s="17">
        <f t="shared" si="286"/>
        <v>0.5</v>
      </c>
      <c r="AK526">
        <v>0</v>
      </c>
      <c r="AL526" s="17">
        <f t="shared" si="287"/>
        <v>0</v>
      </c>
      <c r="AM526">
        <v>0</v>
      </c>
      <c r="AN526" s="17">
        <f t="shared" si="288"/>
        <v>0</v>
      </c>
      <c r="AO526">
        <v>0</v>
      </c>
      <c r="AQ526">
        <v>1</v>
      </c>
      <c r="AR526" s="17">
        <f t="shared" si="289"/>
        <v>0.5</v>
      </c>
      <c r="AS526">
        <v>1</v>
      </c>
      <c r="AT526" s="17">
        <f t="shared" si="290"/>
        <v>0.5</v>
      </c>
      <c r="BD526" s="65">
        <f t="shared" si="291"/>
        <v>50</v>
      </c>
      <c r="BE526" s="65">
        <f t="shared" si="292"/>
        <v>50</v>
      </c>
      <c r="BF526" s="66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7.3538604090217152</v>
      </c>
      <c r="BG526" s="38">
        <f t="shared" si="293"/>
        <v>0.66666666666666663</v>
      </c>
      <c r="BH526" s="38">
        <f t="shared" si="294"/>
        <v>0</v>
      </c>
      <c r="BI526" s="67">
        <f>IFERROR(((AG526*(12000/5))/((F526*60+G526)*(SUMIFS(팀공격력!X:X,팀공격력!A:A,B526,팀공격력!B:B,D526)+SUMIFS(팀수비력!X:X,팀수비력!A:A,B526,팀수비력!B:B,D526))))*100,"")</f>
        <v>0</v>
      </c>
      <c r="BJ526" s="67">
        <f>IFERROR(((AI526*(12000/5))/((F526*60+G526)*(SUMIFS(팀공격력!V:V,팀공격력!A:A,B526,팀공격력!B:B,D526)+SUMIFS(팀수비력!W:W,팀수비력!A:A,B526,팀수비력!B:B,D526))))*100,"")</f>
        <v>4.1333700744006618</v>
      </c>
      <c r="BK526" s="67">
        <f>IFERROR(((AE526*(12000/5))/((F526*60+G526)*(SUMIFS(팀공격력!X:X,팀공격력!A:A,B526,팀공격력!B:B,D526)+SUMIFS(팀수비력!X:X,팀수비력!A:A,B526,팀수비력!B:B,D526))))*100,"")</f>
        <v>2.2207417277370642</v>
      </c>
      <c r="BL526" s="67">
        <f>IFERROR(100*AK526/(((((F526*60+G526)/(12000/5))*SUMIFS(팀공격력!P:P,팀공격력!A:A,B526,팀공격력!B:B,D526))-K526)),"")</f>
        <v>0</v>
      </c>
      <c r="BM526" s="67">
        <f>IFERROR(100*((AM526/E526*(2400))/((F526*60+G526)*SUMIFS(팀공격력!AR:AR,팀공격력!A:A,B526,팀공격력!B:B,D526))),"")</f>
        <v>0</v>
      </c>
      <c r="BN526" s="67">
        <f>IFERROR((AO526*40)/(((F526*60+G526)/60)*(SUMIFS(팀수비력!Q:Q,팀수비력!A:A,B526,팀수비력!B:B,D526)-SUMIFS(팀수비력!N:N,팀수비력!A:A,B526,팀수비력!B:B,D526)))*100,"")</f>
        <v>0</v>
      </c>
      <c r="BO526" s="67">
        <f t="shared" si="295"/>
        <v>25</v>
      </c>
      <c r="BT526" t="s">
        <v>89</v>
      </c>
      <c r="BV526" t="s">
        <v>90</v>
      </c>
      <c r="CF526">
        <v>0</v>
      </c>
      <c r="CG526">
        <v>2</v>
      </c>
    </row>
    <row r="527" spans="1:85" x14ac:dyDescent="0.4">
      <c r="A527" s="11" t="s">
        <v>85</v>
      </c>
      <c r="B527" t="s">
        <v>99</v>
      </c>
      <c r="C527" t="s">
        <v>308</v>
      </c>
      <c r="D527" s="46" t="s">
        <v>309</v>
      </c>
      <c r="E527">
        <v>2</v>
      </c>
      <c r="F527">
        <v>4</v>
      </c>
      <c r="G527" s="1">
        <v>56</v>
      </c>
      <c r="H527" s="16">
        <f t="shared" si="270"/>
        <v>592</v>
      </c>
      <c r="I527">
        <v>6</v>
      </c>
      <c r="J527" s="17">
        <f t="shared" si="271"/>
        <v>3</v>
      </c>
      <c r="K527">
        <v>2</v>
      </c>
      <c r="L527">
        <v>3</v>
      </c>
      <c r="M527" s="17">
        <f t="shared" si="272"/>
        <v>1</v>
      </c>
      <c r="N527" s="17">
        <f t="shared" si="273"/>
        <v>1.5</v>
      </c>
      <c r="O527" s="18">
        <f t="shared" si="274"/>
        <v>0.66666666666666663</v>
      </c>
      <c r="P527">
        <v>2</v>
      </c>
      <c r="Q527">
        <v>3</v>
      </c>
      <c r="R527" s="17">
        <f t="shared" si="275"/>
        <v>1</v>
      </c>
      <c r="S527" s="17">
        <f t="shared" si="276"/>
        <v>1.5</v>
      </c>
      <c r="T527" s="18">
        <f t="shared" si="277"/>
        <v>0.66666666666666663</v>
      </c>
      <c r="U527">
        <v>0</v>
      </c>
      <c r="V527">
        <v>0</v>
      </c>
      <c r="W527" s="17">
        <f t="shared" si="278"/>
        <v>0</v>
      </c>
      <c r="X527" s="17">
        <f t="shared" si="279"/>
        <v>0</v>
      </c>
      <c r="Y527" s="18" t="e">
        <f t="shared" si="280"/>
        <v>#DIV/0!</v>
      </c>
      <c r="Z527">
        <v>2</v>
      </c>
      <c r="AA527">
        <v>2</v>
      </c>
      <c r="AB527" s="17">
        <f t="shared" si="281"/>
        <v>1</v>
      </c>
      <c r="AC527" s="17">
        <f t="shared" si="282"/>
        <v>1</v>
      </c>
      <c r="AD527" s="18">
        <f t="shared" si="283"/>
        <v>1</v>
      </c>
      <c r="AE527">
        <v>2</v>
      </c>
      <c r="AF527" s="17">
        <f t="shared" si="284"/>
        <v>1</v>
      </c>
      <c r="AG527">
        <v>1</v>
      </c>
      <c r="AH527" s="17">
        <f t="shared" si="285"/>
        <v>0.5</v>
      </c>
      <c r="AI527">
        <v>1</v>
      </c>
      <c r="AJ527" s="17">
        <f t="shared" si="286"/>
        <v>0.5</v>
      </c>
      <c r="AK527">
        <v>0</v>
      </c>
      <c r="AL527" s="17">
        <f t="shared" si="287"/>
        <v>0</v>
      </c>
      <c r="AM527">
        <v>0</v>
      </c>
      <c r="AN527" s="17">
        <f t="shared" si="288"/>
        <v>0</v>
      </c>
      <c r="AO527">
        <v>1</v>
      </c>
      <c r="AQ527">
        <v>0</v>
      </c>
      <c r="AR527" s="17">
        <f t="shared" si="289"/>
        <v>0</v>
      </c>
      <c r="AS527">
        <v>1</v>
      </c>
      <c r="AT527" s="17">
        <f t="shared" si="290"/>
        <v>0.5</v>
      </c>
      <c r="BD527" s="65">
        <f t="shared" si="291"/>
        <v>77.319587628865989</v>
      </c>
      <c r="BE527" s="65">
        <f t="shared" si="292"/>
        <v>66.666666666666657</v>
      </c>
      <c r="BF527" s="66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3.663017495628925</v>
      </c>
      <c r="BG527" s="38">
        <f t="shared" si="293"/>
        <v>0</v>
      </c>
      <c r="BH527" s="38">
        <f t="shared" si="294"/>
        <v>0.66666666666666663</v>
      </c>
      <c r="BI527" s="67">
        <f>IFERROR(((AG527*(12000/5))/((F527*60+G527)*(SUMIFS(팀공격력!X:X,팀공격력!A:A,B527,팀공격력!B:B,D527)+SUMIFS(팀수비력!X:X,팀수비력!A:A,B527,팀수비력!B:B,D527))))*100,"")</f>
        <v>1.1403808872163304</v>
      </c>
      <c r="BJ527" s="67">
        <f>IFERROR(((AI527*(12000/5))/((F527*60+G527)*(SUMIFS(팀공격력!V:V,팀공격력!A:A,B527,팀공격력!B:B,D527)+SUMIFS(팀수비력!W:W,팀수비력!A:A,B527,팀수비력!B:B,D527))))*100,"")</f>
        <v>2.1225413895570964</v>
      </c>
      <c r="BK527" s="67">
        <f>IFERROR(((AE527*(12000/5))/((F527*60+G527)*(SUMIFS(팀공격력!X:X,팀공격력!A:A,B527,팀공격력!B:B,D527)+SUMIFS(팀수비력!X:X,팀수비력!A:A,B527,팀수비력!B:B,D527))))*100,"")</f>
        <v>2.2807617744326607</v>
      </c>
      <c r="BL527" s="67">
        <f>IFERROR(100*AK527/(((((F527*60+G527)/(12000/5))*SUMIFS(팀공격력!P:P,팀공격력!A:A,B527,팀공격력!B:B,D527))-K527)),"")</f>
        <v>0</v>
      </c>
      <c r="BM527" s="67">
        <f>IFERROR(100*((AM527/E527*(2400))/((F527*60+G527)*SUMIFS(팀공격력!AR:AR,팀공격력!A:A,B527,팀공격력!B:B,D527))),"")</f>
        <v>0</v>
      </c>
      <c r="BN527" s="67">
        <f>IFERROR((AO527*40)/(((F527*60+G527)/60)*(SUMIFS(팀수비력!Q:Q,팀수비력!A:A,B527,팀수비력!B:B,D527)-SUMIFS(팀수비력!N:N,팀수비력!A:A,B527,팀수비력!B:B,D527)))*100,"")</f>
        <v>2.1005461419969191</v>
      </c>
      <c r="BO527" s="67">
        <f t="shared" si="295"/>
        <v>0</v>
      </c>
      <c r="BT527" t="s">
        <v>89</v>
      </c>
      <c r="BV527" t="s">
        <v>102</v>
      </c>
      <c r="CF527">
        <v>0</v>
      </c>
      <c r="CG527">
        <v>2</v>
      </c>
    </row>
    <row r="528" spans="1:85" x14ac:dyDescent="0.4">
      <c r="A528" s="11" t="s">
        <v>85</v>
      </c>
      <c r="B528" t="s">
        <v>99</v>
      </c>
      <c r="C528" t="s">
        <v>119</v>
      </c>
      <c r="D528" s="46" t="s">
        <v>309</v>
      </c>
      <c r="E528">
        <v>7</v>
      </c>
      <c r="F528">
        <v>18</v>
      </c>
      <c r="G528" s="1">
        <v>33</v>
      </c>
      <c r="H528" s="16">
        <f t="shared" si="270"/>
        <v>7791</v>
      </c>
      <c r="I528">
        <v>28</v>
      </c>
      <c r="J528" s="17">
        <f t="shared" si="271"/>
        <v>4</v>
      </c>
      <c r="K528">
        <v>13</v>
      </c>
      <c r="L528">
        <v>33</v>
      </c>
      <c r="M528" s="17">
        <f t="shared" si="272"/>
        <v>1.8571428571428572</v>
      </c>
      <c r="N528" s="17">
        <f t="shared" si="273"/>
        <v>4.7142857142857144</v>
      </c>
      <c r="O528" s="18">
        <f t="shared" si="274"/>
        <v>0.39393939393939392</v>
      </c>
      <c r="P528">
        <v>12</v>
      </c>
      <c r="Q528">
        <v>20</v>
      </c>
      <c r="R528" s="17">
        <f t="shared" si="275"/>
        <v>1.7142857142857142</v>
      </c>
      <c r="S528" s="17">
        <f t="shared" si="276"/>
        <v>2.8571428571428572</v>
      </c>
      <c r="T528" s="18">
        <f t="shared" si="277"/>
        <v>0.6</v>
      </c>
      <c r="U528">
        <v>1</v>
      </c>
      <c r="V528">
        <v>13</v>
      </c>
      <c r="W528" s="17">
        <f t="shared" si="278"/>
        <v>0.14285714285714285</v>
      </c>
      <c r="X528" s="17">
        <f t="shared" si="279"/>
        <v>1.8571428571428572</v>
      </c>
      <c r="Y528" s="18">
        <f t="shared" si="280"/>
        <v>7.6923076923076927E-2</v>
      </c>
      <c r="Z528">
        <v>1</v>
      </c>
      <c r="AA528">
        <v>7</v>
      </c>
      <c r="AB528" s="17">
        <f t="shared" si="281"/>
        <v>0.14285714285714285</v>
      </c>
      <c r="AC528" s="17">
        <f t="shared" si="282"/>
        <v>1</v>
      </c>
      <c r="AD528" s="18">
        <f t="shared" si="283"/>
        <v>0.14285714285714285</v>
      </c>
      <c r="AE528">
        <v>26</v>
      </c>
      <c r="AF528" s="17">
        <f t="shared" si="284"/>
        <v>3.7142857142857144</v>
      </c>
      <c r="AG528">
        <v>9</v>
      </c>
      <c r="AH528" s="17">
        <f t="shared" si="285"/>
        <v>1.2857142857142858</v>
      </c>
      <c r="AI528">
        <v>17</v>
      </c>
      <c r="AJ528" s="17">
        <f t="shared" si="286"/>
        <v>2.4285714285714284</v>
      </c>
      <c r="AK528">
        <v>7</v>
      </c>
      <c r="AL528" s="17">
        <f t="shared" si="287"/>
        <v>1</v>
      </c>
      <c r="AM528">
        <v>4</v>
      </c>
      <c r="AN528" s="17">
        <f t="shared" si="288"/>
        <v>0.5714285714285714</v>
      </c>
      <c r="AO528">
        <v>0</v>
      </c>
      <c r="AQ528">
        <v>2</v>
      </c>
      <c r="AR528" s="17">
        <f t="shared" si="289"/>
        <v>0.2857142857142857</v>
      </c>
      <c r="AS528">
        <v>11</v>
      </c>
      <c r="AT528" s="17">
        <f t="shared" si="290"/>
        <v>1.5714285714285714</v>
      </c>
      <c r="BD528" s="65">
        <f t="shared" si="291"/>
        <v>38.802660753880268</v>
      </c>
      <c r="BE528" s="65">
        <f t="shared" si="292"/>
        <v>40.909090909090914</v>
      </c>
      <c r="BF528" s="66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9.5609435456161584</v>
      </c>
      <c r="BG528" s="38">
        <f t="shared" si="293"/>
        <v>0.39393939393939392</v>
      </c>
      <c r="BH528" s="38">
        <f t="shared" si="294"/>
        <v>0.21212121212121213</v>
      </c>
      <c r="BI528" s="67">
        <f>IFERROR(((AG528*(12000/5))/((F528*60+G528)*(SUMIFS(팀공격력!X:X,팀공격력!A:A,B528,팀공격력!B:B,D528)+SUMIFS(팀수비력!X:X,팀수비력!A:A,B528,팀수비력!B:B,D528))))*100,"")</f>
        <v>2.7295370022859875</v>
      </c>
      <c r="BJ528" s="67">
        <f>IFERROR(((AI528*(12000/5))/((F528*60+G528)*(SUMIFS(팀공격력!V:V,팀공격력!A:A,B528,팀공격력!B:B,D528)+SUMIFS(팀수비력!W:W,팀수비력!A:A,B528,팀수비력!B:B,D528))))*100,"")</f>
        <v>9.596251816937384</v>
      </c>
      <c r="BK528" s="67">
        <f>IFERROR(((AE528*(12000/5))/((F528*60+G528)*(SUMIFS(팀공격력!X:X,팀공격력!A:A,B528,팀공격력!B:B,D528)+SUMIFS(팀수비력!X:X,팀수비력!A:A,B528,팀수비력!B:B,D528))))*100,"")</f>
        <v>7.8853291177150746</v>
      </c>
      <c r="BL528" s="67">
        <f>IFERROR(100*AK528/(((((F528*60+G528)/(12000/5))*SUMIFS(팀공격력!P:P,팀공격력!A:A,B528,팀공격력!B:B,D528))-K528)),"")</f>
        <v>6.1367172945843471</v>
      </c>
      <c r="BM528" s="67">
        <f>IFERROR(100*((AM528/E528*(2400))/((F528*60+G528)*SUMIFS(팀공격력!AR:AR,팀공격력!A:A,B528,팀공격력!B:B,D528))),"")</f>
        <v>1.5445190987497182</v>
      </c>
      <c r="BN528" s="67">
        <f>IFERROR((AO528*40)/(((F528*60+G528)/60)*(SUMIFS(팀수비력!Q:Q,팀수비력!A:A,B528,팀수비력!B:B,D528)-SUMIFS(팀수비력!N:N,팀수비력!A:A,B528,팀수비력!B:B,D528)))*100,"")</f>
        <v>0</v>
      </c>
      <c r="BO528" s="67">
        <f t="shared" si="295"/>
        <v>5.2521008403361344</v>
      </c>
      <c r="BT528" t="s">
        <v>89</v>
      </c>
      <c r="BV528" t="s">
        <v>93</v>
      </c>
      <c r="CF528">
        <v>2</v>
      </c>
      <c r="CG528">
        <v>5</v>
      </c>
    </row>
    <row r="529" spans="1:85" x14ac:dyDescent="0.4">
      <c r="A529" s="11" t="s">
        <v>85</v>
      </c>
      <c r="B529" t="s">
        <v>99</v>
      </c>
      <c r="C529" t="s">
        <v>120</v>
      </c>
      <c r="D529" s="46" t="s">
        <v>309</v>
      </c>
      <c r="E529">
        <v>10</v>
      </c>
      <c r="F529">
        <v>32</v>
      </c>
      <c r="G529" s="1">
        <v>7</v>
      </c>
      <c r="H529" s="16">
        <f t="shared" si="270"/>
        <v>19270</v>
      </c>
      <c r="I529">
        <v>171</v>
      </c>
      <c r="J529" s="17">
        <f t="shared" si="271"/>
        <v>17.100000000000001</v>
      </c>
      <c r="K529">
        <v>68</v>
      </c>
      <c r="L529">
        <v>136</v>
      </c>
      <c r="M529" s="17">
        <f t="shared" si="272"/>
        <v>6.8</v>
      </c>
      <c r="N529" s="17">
        <f t="shared" si="273"/>
        <v>13.6</v>
      </c>
      <c r="O529" s="18">
        <f t="shared" si="274"/>
        <v>0.5</v>
      </c>
      <c r="P529">
        <v>65</v>
      </c>
      <c r="Q529">
        <v>127</v>
      </c>
      <c r="R529" s="17">
        <f t="shared" si="275"/>
        <v>6.5</v>
      </c>
      <c r="S529" s="17">
        <f t="shared" si="276"/>
        <v>12.7</v>
      </c>
      <c r="T529" s="18">
        <f t="shared" si="277"/>
        <v>0.51181102362204722</v>
      </c>
      <c r="U529">
        <v>3</v>
      </c>
      <c r="V529">
        <v>9</v>
      </c>
      <c r="W529" s="17">
        <f t="shared" si="278"/>
        <v>0.3</v>
      </c>
      <c r="X529" s="17">
        <f t="shared" si="279"/>
        <v>0.9</v>
      </c>
      <c r="Y529" s="18">
        <f t="shared" si="280"/>
        <v>0.33333333333333331</v>
      </c>
      <c r="Z529">
        <v>32</v>
      </c>
      <c r="AA529">
        <v>48</v>
      </c>
      <c r="AB529" s="17">
        <f t="shared" si="281"/>
        <v>3.2</v>
      </c>
      <c r="AC529" s="17">
        <f t="shared" si="282"/>
        <v>4.8</v>
      </c>
      <c r="AD529" s="18">
        <f t="shared" si="283"/>
        <v>0.66666666666666663</v>
      </c>
      <c r="AE529">
        <v>121</v>
      </c>
      <c r="AF529" s="17">
        <f t="shared" si="284"/>
        <v>12.1</v>
      </c>
      <c r="AG529">
        <v>34</v>
      </c>
      <c r="AH529" s="17">
        <f t="shared" si="285"/>
        <v>3.4</v>
      </c>
      <c r="AI529">
        <v>87</v>
      </c>
      <c r="AJ529" s="17">
        <f t="shared" si="286"/>
        <v>8.6999999999999993</v>
      </c>
      <c r="AK529">
        <v>44</v>
      </c>
      <c r="AL529" s="17">
        <f t="shared" si="287"/>
        <v>4.4000000000000004</v>
      </c>
      <c r="AM529">
        <v>11</v>
      </c>
      <c r="AN529" s="17">
        <f t="shared" si="288"/>
        <v>1.1000000000000001</v>
      </c>
      <c r="AO529">
        <v>11</v>
      </c>
      <c r="AQ529">
        <v>44</v>
      </c>
      <c r="AR529" s="17">
        <f t="shared" si="289"/>
        <v>4.4000000000000004</v>
      </c>
      <c r="AS529">
        <v>33</v>
      </c>
      <c r="AT529" s="17">
        <f t="shared" si="290"/>
        <v>3.3</v>
      </c>
      <c r="BD529" s="65">
        <f t="shared" si="291"/>
        <v>54.417006109979624</v>
      </c>
      <c r="BE529" s="65">
        <f t="shared" si="292"/>
        <v>51.102941176470587</v>
      </c>
      <c r="BF529" s="66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29.165708047521019</v>
      </c>
      <c r="BG529" s="38">
        <f t="shared" si="293"/>
        <v>6.6176470588235295E-2</v>
      </c>
      <c r="BH529" s="38">
        <f t="shared" si="294"/>
        <v>0.35294117647058826</v>
      </c>
      <c r="BI529" s="67">
        <f>IFERROR(((AG529*(12000/5))/((F529*60+G529)*(SUMIFS(팀공격력!X:X,팀공격력!A:A,B529,팀공격력!B:B,D529)+SUMIFS(팀수비력!X:X,팀수비력!A:A,B529,팀수비력!B:B,D529))))*100,"")</f>
        <v>5.95578269275825</v>
      </c>
      <c r="BJ529" s="67">
        <f>IFERROR(((AI529*(12000/5))/((F529*60+G529)*(SUMIFS(팀공격력!V:V,팀공격력!A:A,B529,팀공격력!B:B,D529)+SUMIFS(팀수비력!W:W,팀수비력!A:A,B529,팀수비력!B:B,D529))))*100,"")</f>
        <v>28.365171698948803</v>
      </c>
      <c r="BK529" s="67">
        <f>IFERROR(((AE529*(12000/5))/((F529*60+G529)*(SUMIFS(팀공격력!X:X,팀공격력!A:A,B529,팀공격력!B:B,D529)+SUMIFS(팀수비력!X:X,팀수비력!A:A,B529,팀수비력!B:B,D529))))*100,"")</f>
        <v>21.195579583051419</v>
      </c>
      <c r="BL529" s="67">
        <f>IFERROR(100*AK529/(((((F529*60+G529)/(12000/5))*SUMIFS(팀공격력!P:P,팀공격력!A:A,B529,팀공격력!B:B,D529))-K529)),"")</f>
        <v>28.94752712460047</v>
      </c>
      <c r="BM529" s="67">
        <f>IFERROR(100*((AM529/E529*(2400))/((F529*60+G529)*SUMIFS(팀공격력!AR:AR,팀공격력!A:A,B529,팀공격력!B:B,D529))),"")</f>
        <v>1.7172655848722054</v>
      </c>
      <c r="BN529" s="67">
        <f>IFERROR((AO529*40)/(((F529*60+G529)/60)*(SUMIFS(팀수비력!Q:Q,팀수비력!A:A,B529,팀수비력!B:B,D529)-SUMIFS(팀수비력!N:N,팀수비력!A:A,B529,팀수비력!B:B,D529)))*100,"")</f>
        <v>3.5492362420041355</v>
      </c>
      <c r="BO529" s="67">
        <f t="shared" si="295"/>
        <v>21.877486077963404</v>
      </c>
      <c r="BT529" t="s">
        <v>96</v>
      </c>
      <c r="BV529" t="s">
        <v>102</v>
      </c>
      <c r="CF529">
        <v>2</v>
      </c>
      <c r="CG529">
        <v>8</v>
      </c>
    </row>
    <row r="530" spans="1:85" x14ac:dyDescent="0.4">
      <c r="A530" s="11" t="s">
        <v>85</v>
      </c>
      <c r="B530" t="s">
        <v>99</v>
      </c>
      <c r="C530" t="s">
        <v>121</v>
      </c>
      <c r="D530" s="46" t="s">
        <v>309</v>
      </c>
      <c r="E530">
        <v>10</v>
      </c>
      <c r="F530">
        <v>28</v>
      </c>
      <c r="G530" s="1">
        <v>37</v>
      </c>
      <c r="H530" s="16">
        <f t="shared" si="270"/>
        <v>17170</v>
      </c>
      <c r="I530">
        <v>89</v>
      </c>
      <c r="J530" s="17">
        <f t="shared" si="271"/>
        <v>8.9</v>
      </c>
      <c r="K530">
        <v>33</v>
      </c>
      <c r="L530">
        <v>90</v>
      </c>
      <c r="M530" s="17">
        <f t="shared" si="272"/>
        <v>3.3</v>
      </c>
      <c r="N530" s="17">
        <f t="shared" si="273"/>
        <v>9</v>
      </c>
      <c r="O530" s="18">
        <f t="shared" si="274"/>
        <v>0.36666666666666664</v>
      </c>
      <c r="P530">
        <v>16</v>
      </c>
      <c r="Q530">
        <v>38</v>
      </c>
      <c r="R530" s="17">
        <f t="shared" si="275"/>
        <v>1.6</v>
      </c>
      <c r="S530" s="17">
        <f t="shared" si="276"/>
        <v>3.8</v>
      </c>
      <c r="T530" s="18">
        <f t="shared" si="277"/>
        <v>0.42105263157894735</v>
      </c>
      <c r="U530">
        <v>17</v>
      </c>
      <c r="V530">
        <v>52</v>
      </c>
      <c r="W530" s="17">
        <f t="shared" si="278"/>
        <v>1.7</v>
      </c>
      <c r="X530" s="17">
        <f t="shared" si="279"/>
        <v>5.2</v>
      </c>
      <c r="Y530" s="18">
        <f t="shared" si="280"/>
        <v>0.32692307692307693</v>
      </c>
      <c r="Z530">
        <v>6</v>
      </c>
      <c r="AA530">
        <v>9</v>
      </c>
      <c r="AB530" s="17">
        <f t="shared" si="281"/>
        <v>0.6</v>
      </c>
      <c r="AC530" s="17">
        <f t="shared" si="282"/>
        <v>0.9</v>
      </c>
      <c r="AD530" s="18">
        <f t="shared" si="283"/>
        <v>0.66666666666666663</v>
      </c>
      <c r="AE530">
        <v>27</v>
      </c>
      <c r="AF530" s="17">
        <f t="shared" si="284"/>
        <v>2.7</v>
      </c>
      <c r="AG530">
        <v>9</v>
      </c>
      <c r="AH530" s="17">
        <f t="shared" si="285"/>
        <v>0.9</v>
      </c>
      <c r="AI530">
        <v>18</v>
      </c>
      <c r="AJ530" s="17">
        <f t="shared" si="286"/>
        <v>1.8</v>
      </c>
      <c r="AK530">
        <v>50</v>
      </c>
      <c r="AL530" s="17">
        <f t="shared" si="287"/>
        <v>5</v>
      </c>
      <c r="AM530">
        <v>13</v>
      </c>
      <c r="AN530" s="17">
        <f t="shared" si="288"/>
        <v>1.3</v>
      </c>
      <c r="AO530">
        <v>0</v>
      </c>
      <c r="AQ530">
        <v>16</v>
      </c>
      <c r="AR530" s="17">
        <f t="shared" si="289"/>
        <v>1.6</v>
      </c>
      <c r="AS530">
        <v>23</v>
      </c>
      <c r="AT530" s="17">
        <f t="shared" si="290"/>
        <v>2.2999999999999998</v>
      </c>
      <c r="BD530" s="65">
        <f t="shared" si="291"/>
        <v>47.360578969774373</v>
      </c>
      <c r="BE530" s="65">
        <f t="shared" si="292"/>
        <v>46.111111111111114</v>
      </c>
      <c r="BF530" s="66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17.896306722125253</v>
      </c>
      <c r="BG530" s="38">
        <f t="shared" si="293"/>
        <v>0.57777777777777772</v>
      </c>
      <c r="BH530" s="38">
        <f t="shared" si="294"/>
        <v>0.1</v>
      </c>
      <c r="BI530" s="67">
        <f>IFERROR(((AG530*(12000/5))/((F530*60+G530)*(SUMIFS(팀공격력!X:X,팀공격력!A:A,B530,팀공격력!B:B,D530)+SUMIFS(팀수비력!X:X,팀수비력!A:A,B530,팀수비력!B:B,D530))))*100,"")</f>
        <v>1.7693504272244052</v>
      </c>
      <c r="BJ530" s="67">
        <f>IFERROR(((AI530*(12000/5))/((F530*60+G530)*(SUMIFS(팀공격력!V:V,팀공격력!A:A,B530,팀공격력!B:B,D530)+SUMIFS(팀수비력!W:W,팀수비력!A:A,B530,팀수비력!B:B,D530))))*100,"")</f>
        <v>6.586430124379854</v>
      </c>
      <c r="BK530" s="67">
        <f>IFERROR(((AE530*(12000/5))/((F530*60+G530)*(SUMIFS(팀공격력!X:X,팀공격력!A:A,B530,팀공격력!B:B,D530)+SUMIFS(팀수비력!X:X,팀수비력!A:A,B530,팀수비력!B:B,D530))))*100,"")</f>
        <v>5.3080512816732162</v>
      </c>
      <c r="BL530" s="67">
        <f>IFERROR(100*AK530/(((((F530*60+G530)/(12000/5))*SUMIFS(팀공격력!P:P,팀공격력!A:A,B530,팀공격력!B:B,D530))-K530)),"")</f>
        <v>30.670299393239244</v>
      </c>
      <c r="BM530" s="67">
        <f>IFERROR(100*((AM530/E530*(2400))/((F530*60+G530)*SUMIFS(팀공격력!AR:AR,팀공격력!A:A,B530,팀공격력!B:B,D530))),"")</f>
        <v>2.2777158980586441</v>
      </c>
      <c r="BN530" s="67">
        <f>IFERROR((AO530*40)/(((F530*60+G530)/60)*(SUMIFS(팀수비력!Q:Q,팀수비력!A:A,B530,팀수비력!B:B,D530)-SUMIFS(팀수비력!N:N,팀수비력!A:A,B530,팀수비력!B:B,D530)))*100,"")</f>
        <v>0</v>
      </c>
      <c r="BO530" s="67">
        <f t="shared" si="295"/>
        <v>14.550745725718444</v>
      </c>
      <c r="BT530" t="s">
        <v>89</v>
      </c>
      <c r="BV530" t="s">
        <v>90</v>
      </c>
      <c r="CF530">
        <v>2</v>
      </c>
      <c r="CG530">
        <v>8</v>
      </c>
    </row>
    <row r="531" spans="1:85" x14ac:dyDescent="0.4">
      <c r="A531" s="11" t="s">
        <v>85</v>
      </c>
      <c r="B531" t="s">
        <v>99</v>
      </c>
      <c r="C531" t="s">
        <v>122</v>
      </c>
      <c r="D531" s="46" t="s">
        <v>309</v>
      </c>
      <c r="E531">
        <v>7</v>
      </c>
      <c r="F531">
        <v>17</v>
      </c>
      <c r="G531" s="1">
        <v>16</v>
      </c>
      <c r="H531" s="16">
        <f t="shared" si="270"/>
        <v>7252</v>
      </c>
      <c r="I531">
        <v>30</v>
      </c>
      <c r="J531" s="17">
        <f t="shared" si="271"/>
        <v>4.2857142857142856</v>
      </c>
      <c r="K531">
        <v>11</v>
      </c>
      <c r="L531">
        <v>22</v>
      </c>
      <c r="M531" s="17">
        <f t="shared" si="272"/>
        <v>1.5714285714285714</v>
      </c>
      <c r="N531" s="17">
        <f t="shared" si="273"/>
        <v>3.1428571428571428</v>
      </c>
      <c r="O531" s="18">
        <f t="shared" si="274"/>
        <v>0.5</v>
      </c>
      <c r="P531">
        <v>5</v>
      </c>
      <c r="Q531">
        <v>10</v>
      </c>
      <c r="R531" s="17">
        <f t="shared" si="275"/>
        <v>0.7142857142857143</v>
      </c>
      <c r="S531" s="17">
        <f t="shared" si="276"/>
        <v>1.4285714285714286</v>
      </c>
      <c r="T531" s="18">
        <f t="shared" si="277"/>
        <v>0.5</v>
      </c>
      <c r="U531">
        <v>6</v>
      </c>
      <c r="V531">
        <v>12</v>
      </c>
      <c r="W531" s="17">
        <f t="shared" si="278"/>
        <v>0.8571428571428571</v>
      </c>
      <c r="X531" s="17">
        <f t="shared" si="279"/>
        <v>1.7142857142857142</v>
      </c>
      <c r="Y531" s="18">
        <f t="shared" si="280"/>
        <v>0.5</v>
      </c>
      <c r="Z531">
        <v>2</v>
      </c>
      <c r="AA531">
        <v>4</v>
      </c>
      <c r="AB531" s="17">
        <f t="shared" si="281"/>
        <v>0.2857142857142857</v>
      </c>
      <c r="AC531" s="17">
        <f t="shared" si="282"/>
        <v>0.5714285714285714</v>
      </c>
      <c r="AD531" s="18">
        <f t="shared" si="283"/>
        <v>0.5</v>
      </c>
      <c r="AE531">
        <v>10</v>
      </c>
      <c r="AF531" s="17">
        <f t="shared" si="284"/>
        <v>1.4285714285714286</v>
      </c>
      <c r="AG531">
        <v>5</v>
      </c>
      <c r="AH531" s="17">
        <f t="shared" si="285"/>
        <v>0.7142857142857143</v>
      </c>
      <c r="AI531">
        <v>5</v>
      </c>
      <c r="AJ531" s="17">
        <f t="shared" si="286"/>
        <v>0.7142857142857143</v>
      </c>
      <c r="AK531">
        <v>2</v>
      </c>
      <c r="AL531" s="17">
        <f t="shared" si="287"/>
        <v>0.2857142857142857</v>
      </c>
      <c r="AM531">
        <v>1</v>
      </c>
      <c r="AN531" s="17">
        <f t="shared" si="288"/>
        <v>0.14285714285714285</v>
      </c>
      <c r="AO531">
        <v>0</v>
      </c>
      <c r="AQ531">
        <v>3</v>
      </c>
      <c r="AR531" s="17">
        <f t="shared" si="289"/>
        <v>0.42857142857142855</v>
      </c>
      <c r="AS531">
        <v>11</v>
      </c>
      <c r="AT531" s="17">
        <f t="shared" si="290"/>
        <v>1.5714285714285714</v>
      </c>
      <c r="BD531" s="65">
        <f t="shared" si="291"/>
        <v>63.131313131313128</v>
      </c>
      <c r="BE531" s="65">
        <f t="shared" si="292"/>
        <v>63.636363636363633</v>
      </c>
      <c r="BF531" s="66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7.2181405142142889</v>
      </c>
      <c r="BG531" s="38">
        <f t="shared" si="293"/>
        <v>0.54545454545454541</v>
      </c>
      <c r="BH531" s="38">
        <f t="shared" si="294"/>
        <v>0.18181818181818182</v>
      </c>
      <c r="BI531" s="67">
        <f>IFERROR(((AG531*(12000/5))/((F531*60+G531)*(SUMIFS(팀공격력!X:X,팀공격력!A:A,B531,팀공격력!B:B,D531)+SUMIFS(팀수비력!X:X,팀수비력!A:A,B531,팀수비력!B:B,D531))))*100,"")</f>
        <v>1.6291155531661863</v>
      </c>
      <c r="BJ531" s="67">
        <f>IFERROR(((AI531*(12000/5))/((F531*60+G531)*(SUMIFS(팀공격력!V:V,팀공격력!A:A,B531,팀공격력!B:B,D531)+SUMIFS(팀수비력!W:W,팀수비력!A:A,B531,팀수비력!B:B,D531))))*100,"")</f>
        <v>3.0322019850815662</v>
      </c>
      <c r="BK531" s="67">
        <f>IFERROR(((AE531*(12000/5))/((F531*60+G531)*(SUMIFS(팀공격력!X:X,팀공격력!A:A,B531,팀공격력!B:B,D531)+SUMIFS(팀수비력!X:X,팀수비력!A:A,B531,팀수비력!B:B,D531))))*100,"")</f>
        <v>3.2582311063323726</v>
      </c>
      <c r="BL531" s="67">
        <f>IFERROR(100*AK531/(((((F531*60+G531)/(12000/5))*SUMIFS(팀공격력!P:P,팀공격력!A:A,B531,팀공격력!B:B,D531))-K531)),"")</f>
        <v>1.8643383152596094</v>
      </c>
      <c r="BM531" s="67">
        <f>IFERROR(100*((AM531/E531*(2400))/((F531*60+G531)*SUMIFS(팀공격력!AR:AR,팀공격력!A:A,B531,팀공격력!B:B,D531))),"")</f>
        <v>0.41482860929257626</v>
      </c>
      <c r="BN531" s="67">
        <f>IFERROR((AO531*40)/(((F531*60+G531)/60)*(SUMIFS(팀수비력!Q:Q,팀수비력!A:A,B531,팀수비력!B:B,D531)-SUMIFS(팀수비력!N:N,팀수비력!A:A,B531,팀수비력!B:B,D531)))*100,"")</f>
        <v>0</v>
      </c>
      <c r="BO531" s="67">
        <f t="shared" si="295"/>
        <v>11.210762331838565</v>
      </c>
      <c r="BT531" t="s">
        <v>89</v>
      </c>
      <c r="BV531" t="s">
        <v>93</v>
      </c>
      <c r="CF531">
        <v>1</v>
      </c>
      <c r="CG531">
        <v>6</v>
      </c>
    </row>
    <row r="532" spans="1:85" x14ac:dyDescent="0.4">
      <c r="A532" s="11" t="s">
        <v>85</v>
      </c>
      <c r="B532" t="s">
        <v>123</v>
      </c>
      <c r="C532" t="s">
        <v>124</v>
      </c>
      <c r="D532" s="46" t="s">
        <v>309</v>
      </c>
      <c r="E532">
        <v>9</v>
      </c>
      <c r="F532">
        <v>25</v>
      </c>
      <c r="G532" s="1">
        <v>15</v>
      </c>
      <c r="H532" s="16">
        <f t="shared" si="270"/>
        <v>13635</v>
      </c>
      <c r="I532">
        <v>100</v>
      </c>
      <c r="J532" s="17">
        <f t="shared" si="271"/>
        <v>11.111111111111111</v>
      </c>
      <c r="K532">
        <v>36</v>
      </c>
      <c r="L532">
        <v>92</v>
      </c>
      <c r="M532" s="17">
        <f t="shared" si="272"/>
        <v>4</v>
      </c>
      <c r="N532" s="17">
        <f t="shared" si="273"/>
        <v>10.222222222222221</v>
      </c>
      <c r="O532" s="18">
        <f t="shared" si="274"/>
        <v>0.39130434782608697</v>
      </c>
      <c r="P532">
        <v>20</v>
      </c>
      <c r="Q532">
        <v>41</v>
      </c>
      <c r="R532" s="17">
        <f t="shared" si="275"/>
        <v>2.2222222222222223</v>
      </c>
      <c r="S532" s="17">
        <f t="shared" si="276"/>
        <v>4.5555555555555554</v>
      </c>
      <c r="T532" s="18">
        <f t="shared" si="277"/>
        <v>0.48780487804878048</v>
      </c>
      <c r="U532">
        <v>16</v>
      </c>
      <c r="V532">
        <v>51</v>
      </c>
      <c r="W532" s="17">
        <f t="shared" si="278"/>
        <v>1.7777777777777777</v>
      </c>
      <c r="X532" s="17">
        <f t="shared" si="279"/>
        <v>5.666666666666667</v>
      </c>
      <c r="Y532" s="18">
        <f t="shared" si="280"/>
        <v>0.31372549019607843</v>
      </c>
      <c r="Z532">
        <v>12</v>
      </c>
      <c r="AA532">
        <v>13</v>
      </c>
      <c r="AB532" s="17">
        <f t="shared" si="281"/>
        <v>1.3333333333333333</v>
      </c>
      <c r="AC532" s="17">
        <f t="shared" si="282"/>
        <v>1.4444444444444444</v>
      </c>
      <c r="AD532" s="18">
        <f t="shared" si="283"/>
        <v>0.92307692307692313</v>
      </c>
      <c r="AE532">
        <v>23</v>
      </c>
      <c r="AF532" s="17">
        <f t="shared" si="284"/>
        <v>2.5555555555555554</v>
      </c>
      <c r="AG532">
        <v>4</v>
      </c>
      <c r="AH532" s="17">
        <f t="shared" si="285"/>
        <v>0.44444444444444442</v>
      </c>
      <c r="AI532">
        <v>19</v>
      </c>
      <c r="AJ532" s="17">
        <f t="shared" si="286"/>
        <v>2.1111111111111112</v>
      </c>
      <c r="AK532">
        <v>32</v>
      </c>
      <c r="AL532" s="17">
        <f t="shared" si="287"/>
        <v>3.5555555555555554</v>
      </c>
      <c r="AM532">
        <v>7</v>
      </c>
      <c r="AN532" s="17">
        <f t="shared" si="288"/>
        <v>0.77777777777777779</v>
      </c>
      <c r="AO532">
        <v>0</v>
      </c>
      <c r="AQ532">
        <v>14</v>
      </c>
      <c r="AR532" s="17">
        <f t="shared" si="289"/>
        <v>1.5555555555555556</v>
      </c>
      <c r="AS532">
        <v>17</v>
      </c>
      <c r="AT532" s="17">
        <f t="shared" si="290"/>
        <v>1.8888888888888888</v>
      </c>
      <c r="BD532" s="65">
        <f t="shared" si="291"/>
        <v>51.166598444535403</v>
      </c>
      <c r="BE532" s="65">
        <f t="shared" si="292"/>
        <v>47.826086956521742</v>
      </c>
      <c r="BF532" s="66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21.238201197357771</v>
      </c>
      <c r="BG532" s="38">
        <f t="shared" si="293"/>
        <v>0.55434782608695654</v>
      </c>
      <c r="BH532" s="38">
        <f t="shared" si="294"/>
        <v>0.14130434782608695</v>
      </c>
      <c r="BI532" s="67">
        <f>IFERROR(((AG532*(12000/5))/((F532*60+G532)*(SUMIFS(팀공격력!X:X,팀공격력!A:A,B532,팀공격력!B:B,D532)+SUMIFS(팀수비력!X:X,팀수비력!A:A,B532,팀수비력!B:B,D532))))*100,"")</f>
        <v>0.93185789167152011</v>
      </c>
      <c r="BJ532" s="67">
        <f>IFERROR(((AI532*(12000/5))/((F532*60+G532)*(SUMIFS(팀공격력!V:V,팀공격력!A:A,B532,팀공격력!B:B,D532)+SUMIFS(팀수비력!W:W,팀수비력!A:A,B532,팀수비력!B:B,D532))))*100,"")</f>
        <v>9.0116796110748805</v>
      </c>
      <c r="BK532" s="67">
        <f>IFERROR(((AE532*(12000/5))/((F532*60+G532)*(SUMIFS(팀공격력!X:X,팀공격력!A:A,B532,팀공격력!B:B,D532)+SUMIFS(팀수비력!X:X,팀수비력!A:A,B532,팀수비력!B:B,D532))))*100,"")</f>
        <v>5.3581828771112407</v>
      </c>
      <c r="BL532" s="67">
        <f>IFERROR(100*AK532/(((((F532*60+G532)/(12000/5))*SUMIFS(팀공격력!P:P,팀공격력!A:A,B532,팀공격력!B:B,D532))-K532)),"")</f>
        <v>18.435834653607952</v>
      </c>
      <c r="BM532" s="67">
        <f>IFERROR(100*((AM532/E532*(2400))/((F532*60+G532)*SUMIFS(팀공격력!AR:AR,팀공격력!A:A,B532,팀공격력!B:B,D532))),"")</f>
        <v>1.5295769009299327</v>
      </c>
      <c r="BN532" s="67">
        <f>IFERROR((AO532*40)/(((F532*60+G532)/60)*(SUMIFS(팀수비력!Q:Q,팀수비력!A:A,B532,팀수비력!B:B,D532)-SUMIFS(팀수비력!N:N,팀수비력!A:A,B532,팀수비력!B:B,D532)))*100,"")</f>
        <v>0</v>
      </c>
      <c r="BO532" s="67">
        <f t="shared" si="295"/>
        <v>12.531328320802006</v>
      </c>
      <c r="BT532" t="s">
        <v>89</v>
      </c>
      <c r="BV532" t="s">
        <v>90</v>
      </c>
      <c r="CF532">
        <v>3</v>
      </c>
      <c r="CG532">
        <v>6</v>
      </c>
    </row>
    <row r="533" spans="1:85" x14ac:dyDescent="0.4">
      <c r="A533" s="11" t="s">
        <v>85</v>
      </c>
      <c r="B533" t="s">
        <v>123</v>
      </c>
      <c r="C533" t="s">
        <v>125</v>
      </c>
      <c r="D533" s="46" t="s">
        <v>309</v>
      </c>
      <c r="E533">
        <v>7</v>
      </c>
      <c r="F533">
        <v>8</v>
      </c>
      <c r="G533" s="1">
        <v>31</v>
      </c>
      <c r="H533" s="16">
        <f t="shared" si="270"/>
        <v>3577</v>
      </c>
      <c r="I533">
        <v>12</v>
      </c>
      <c r="J533" s="17">
        <f t="shared" si="271"/>
        <v>1.7142857142857142</v>
      </c>
      <c r="K533">
        <v>5</v>
      </c>
      <c r="L533">
        <v>12</v>
      </c>
      <c r="M533" s="17">
        <f t="shared" si="272"/>
        <v>0.7142857142857143</v>
      </c>
      <c r="N533" s="17">
        <f t="shared" si="273"/>
        <v>1.7142857142857142</v>
      </c>
      <c r="O533" s="18">
        <f t="shared" si="274"/>
        <v>0.41666666666666669</v>
      </c>
      <c r="P533">
        <v>4</v>
      </c>
      <c r="Q533">
        <v>11</v>
      </c>
      <c r="R533" s="17">
        <f t="shared" si="275"/>
        <v>0.5714285714285714</v>
      </c>
      <c r="S533" s="17">
        <f t="shared" si="276"/>
        <v>1.5714285714285714</v>
      </c>
      <c r="T533" s="18">
        <f t="shared" si="277"/>
        <v>0.36363636363636365</v>
      </c>
      <c r="U533">
        <v>1</v>
      </c>
      <c r="V533">
        <v>1</v>
      </c>
      <c r="W533" s="17">
        <f t="shared" si="278"/>
        <v>0.14285714285714285</v>
      </c>
      <c r="X533" s="17">
        <f t="shared" si="279"/>
        <v>0.14285714285714285</v>
      </c>
      <c r="Y533" s="18">
        <f t="shared" si="280"/>
        <v>1</v>
      </c>
      <c r="Z533">
        <v>1</v>
      </c>
      <c r="AA533">
        <v>1</v>
      </c>
      <c r="AB533" s="17">
        <f t="shared" si="281"/>
        <v>0.14285714285714285</v>
      </c>
      <c r="AC533" s="17">
        <f t="shared" si="282"/>
        <v>0.14285714285714285</v>
      </c>
      <c r="AD533" s="18">
        <f t="shared" si="283"/>
        <v>1</v>
      </c>
      <c r="AE533">
        <v>7</v>
      </c>
      <c r="AF533" s="17">
        <f t="shared" si="284"/>
        <v>1</v>
      </c>
      <c r="AG533">
        <v>2</v>
      </c>
      <c r="AH533" s="17">
        <f t="shared" si="285"/>
        <v>0.2857142857142857</v>
      </c>
      <c r="AI533">
        <v>5</v>
      </c>
      <c r="AJ533" s="17">
        <f t="shared" si="286"/>
        <v>0.7142857142857143</v>
      </c>
      <c r="AK533">
        <v>3</v>
      </c>
      <c r="AL533" s="17">
        <f t="shared" si="287"/>
        <v>0.42857142857142855</v>
      </c>
      <c r="AM533">
        <v>2</v>
      </c>
      <c r="AN533" s="17">
        <f t="shared" si="288"/>
        <v>0.2857142857142857</v>
      </c>
      <c r="AO533">
        <v>0</v>
      </c>
      <c r="AQ533">
        <v>1</v>
      </c>
      <c r="AR533" s="17">
        <f t="shared" si="289"/>
        <v>0.14285714285714285</v>
      </c>
      <c r="AS533">
        <v>5</v>
      </c>
      <c r="AT533" s="17">
        <f t="shared" si="290"/>
        <v>0.7142857142857143</v>
      </c>
      <c r="BD533" s="65">
        <f t="shared" si="291"/>
        <v>48.231511254019296</v>
      </c>
      <c r="BE533" s="65">
        <f t="shared" si="292"/>
        <v>45.833333333333329</v>
      </c>
      <c r="BF533" s="66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7.5749157191994518</v>
      </c>
      <c r="BG533" s="38">
        <f t="shared" si="293"/>
        <v>8.3333333333333329E-2</v>
      </c>
      <c r="BH533" s="38">
        <f t="shared" si="294"/>
        <v>8.3333333333333329E-2</v>
      </c>
      <c r="BI533" s="67">
        <f>IFERROR(((AG533*(12000/5))/((F533*60+G533)*(SUMIFS(팀공격력!X:X,팀공격력!A:A,B533,팀공격력!B:B,D533)+SUMIFS(팀수비력!X:X,팀수비력!A:A,B533,팀수비력!B:B,D533))))*100,"")</f>
        <v>1.3813744675952573</v>
      </c>
      <c r="BJ533" s="67">
        <f>IFERROR(((AI533*(12000/5))/((F533*60+G533)*(SUMIFS(팀공격력!V:V,팀공격력!A:A,B533,팀공격력!B:B,D533)+SUMIFS(팀수비력!W:W,팀수비력!A:A,B533,팀수비력!B:B,D533))))*100,"")</f>
        <v>7.030947888957896</v>
      </c>
      <c r="BK533" s="67">
        <f>IFERROR(((AE533*(12000/5))/((F533*60+G533)*(SUMIFS(팀공격력!X:X,팀공격력!A:A,B533,팀공격력!B:B,D533)+SUMIFS(팀수비력!X:X,팀수비력!A:A,B533,팀수비력!B:B,D533))))*100,"")</f>
        <v>4.8348106365834003</v>
      </c>
      <c r="BL533" s="67">
        <f>IFERROR(100*AK533/(((((F533*60+G533)/(12000/5))*SUMIFS(팀공격력!P:P,팀공격력!A:A,B533,팀공격력!B:B,D533))-K533)),"")</f>
        <v>4.5670210336690937</v>
      </c>
      <c r="BM533" s="67">
        <f>IFERROR(100*((AM533/E533*(2400))/((F533*60+G533)*SUMIFS(팀공격력!AR:AR,팀공격력!A:A,B533,팀공격력!B:B,D533))),"")</f>
        <v>1.6658637361060453</v>
      </c>
      <c r="BN533" s="67">
        <f>IFERROR((AO533*40)/(((F533*60+G533)/60)*(SUMIFS(팀수비력!Q:Q,팀수비력!A:A,B533,팀수비력!B:B,D533)-SUMIFS(팀수비력!N:N,팀수비력!A:A,B533,팀수비력!B:B,D533)))*100,"")</f>
        <v>0</v>
      </c>
      <c r="BO533" s="67">
        <f t="shared" si="295"/>
        <v>7.4404761904761907</v>
      </c>
      <c r="BT533" t="s">
        <v>89</v>
      </c>
      <c r="BV533" t="s">
        <v>102</v>
      </c>
      <c r="CF533">
        <v>3</v>
      </c>
      <c r="CG533">
        <v>4</v>
      </c>
    </row>
    <row r="534" spans="1:85" x14ac:dyDescent="0.4">
      <c r="A534" s="11" t="s">
        <v>85</v>
      </c>
      <c r="B534" t="s">
        <v>123</v>
      </c>
      <c r="C534" t="s">
        <v>95</v>
      </c>
      <c r="D534" s="46" t="s">
        <v>309</v>
      </c>
      <c r="E534">
        <v>10</v>
      </c>
      <c r="F534">
        <v>14</v>
      </c>
      <c r="G534" s="1">
        <v>51</v>
      </c>
      <c r="H534" s="16">
        <f t="shared" si="270"/>
        <v>8910</v>
      </c>
      <c r="I534">
        <v>108</v>
      </c>
      <c r="J534" s="17">
        <f t="shared" si="271"/>
        <v>10.8</v>
      </c>
      <c r="K534">
        <v>47</v>
      </c>
      <c r="L534">
        <v>79</v>
      </c>
      <c r="M534" s="17">
        <f t="shared" si="272"/>
        <v>4.7</v>
      </c>
      <c r="N534" s="17">
        <f t="shared" si="273"/>
        <v>7.9</v>
      </c>
      <c r="O534" s="18">
        <f t="shared" si="274"/>
        <v>0.59493670886075944</v>
      </c>
      <c r="P534">
        <v>46</v>
      </c>
      <c r="Q534">
        <v>75</v>
      </c>
      <c r="R534" s="17">
        <f t="shared" si="275"/>
        <v>4.5999999999999996</v>
      </c>
      <c r="S534" s="17">
        <f t="shared" si="276"/>
        <v>7.5</v>
      </c>
      <c r="T534" s="18">
        <f t="shared" si="277"/>
        <v>0.61333333333333329</v>
      </c>
      <c r="U534">
        <v>1</v>
      </c>
      <c r="V534">
        <v>4</v>
      </c>
      <c r="W534" s="17">
        <f t="shared" si="278"/>
        <v>0.1</v>
      </c>
      <c r="X534" s="17">
        <f t="shared" si="279"/>
        <v>0.4</v>
      </c>
      <c r="Y534" s="18">
        <f t="shared" si="280"/>
        <v>0.25</v>
      </c>
      <c r="Z534">
        <v>13</v>
      </c>
      <c r="AA534">
        <v>17</v>
      </c>
      <c r="AB534" s="17">
        <f t="shared" si="281"/>
        <v>1.3</v>
      </c>
      <c r="AC534" s="17">
        <f t="shared" si="282"/>
        <v>1.7</v>
      </c>
      <c r="AD534" s="18">
        <f t="shared" si="283"/>
        <v>0.76470588235294112</v>
      </c>
      <c r="AE534">
        <v>37</v>
      </c>
      <c r="AF534" s="17">
        <f t="shared" si="284"/>
        <v>3.7</v>
      </c>
      <c r="AG534">
        <v>11</v>
      </c>
      <c r="AH534" s="17">
        <f t="shared" si="285"/>
        <v>1.1000000000000001</v>
      </c>
      <c r="AI534">
        <v>26</v>
      </c>
      <c r="AJ534" s="17">
        <f t="shared" si="286"/>
        <v>2.6</v>
      </c>
      <c r="AK534">
        <v>17</v>
      </c>
      <c r="AL534" s="17">
        <f t="shared" si="287"/>
        <v>1.7</v>
      </c>
      <c r="AM534">
        <v>11</v>
      </c>
      <c r="AN534" s="17">
        <f t="shared" si="288"/>
        <v>1.1000000000000001</v>
      </c>
      <c r="AO534">
        <v>13</v>
      </c>
      <c r="AQ534">
        <v>11</v>
      </c>
      <c r="AR534" s="17">
        <f t="shared" si="289"/>
        <v>1.1000000000000001</v>
      </c>
      <c r="AS534">
        <v>18</v>
      </c>
      <c r="AT534" s="17">
        <f t="shared" si="290"/>
        <v>1.8</v>
      </c>
      <c r="BD534" s="65">
        <f t="shared" si="291"/>
        <v>62.442183163737276</v>
      </c>
      <c r="BE534" s="65">
        <f t="shared" si="292"/>
        <v>60.12658227848101</v>
      </c>
      <c r="BF534" s="66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31.50919101574312</v>
      </c>
      <c r="BG534" s="38">
        <f t="shared" si="293"/>
        <v>5.0632911392405063E-2</v>
      </c>
      <c r="BH534" s="38">
        <f t="shared" si="294"/>
        <v>0.21518987341772153</v>
      </c>
      <c r="BI534" s="67">
        <f>IFERROR(((AG534*(12000/5))/((F534*60+G534)*(SUMIFS(팀공격력!X:X,팀공격력!A:A,B534,팀공격력!B:B,D534)+SUMIFS(팀수비력!X:X,팀수비력!A:A,B534,팀수비력!B:B,D534))))*100,"")</f>
        <v>4.3572984749455337</v>
      </c>
      <c r="BJ534" s="67">
        <f>IFERROR(((AI534*(12000/5))/((F534*60+G534)*(SUMIFS(팀공격력!V:V,팀공격력!A:A,B534,팀공격력!B:B,D534)+SUMIFS(팀수비력!W:W,팀수비력!A:A,B534,팀수비력!B:B,D534))))*100,"")</f>
        <v>20.96816468073953</v>
      </c>
      <c r="BK534" s="67">
        <f>IFERROR(((AE534*(12000/5))/((F534*60+G534)*(SUMIFS(팀공격력!X:X,팀공격력!A:A,B534,팀공격력!B:B,D534)+SUMIFS(팀수비력!X:X,팀수비력!A:A,B534,팀수비력!B:B,D534))))*100,"")</f>
        <v>14.656367597544067</v>
      </c>
      <c r="BL534" s="67">
        <f>IFERROR(100*AK534/(((((F534*60+G534)/(12000/5))*SUMIFS(팀공격력!P:P,팀공격력!A:A,B534,팀공격력!B:B,D534))-K534)),"")</f>
        <v>22.293620090485867</v>
      </c>
      <c r="BM534" s="67">
        <f>IFERROR(100*((AM534/E534*(2400))/((F534*60+G534)*SUMIFS(팀공격력!AR:AR,팀공격력!A:A,B534,팀공격력!B:B,D534))),"")</f>
        <v>3.6782682617600768</v>
      </c>
      <c r="BN534" s="67">
        <f>IFERROR((AO534*40)/(((F534*60+G534)/60)*(SUMIFS(팀수비력!Q:Q,팀수비력!A:A,B534,팀수비력!B:B,D534)-SUMIFS(팀수비력!N:N,팀수비력!A:A,B534,팀수비력!B:B,D534)))*100,"")</f>
        <v>8.732377809684543</v>
      </c>
      <c r="BO534" s="67">
        <f t="shared" si="295"/>
        <v>11.284366023799754</v>
      </c>
      <c r="BT534" t="s">
        <v>96</v>
      </c>
      <c r="BV534" t="s">
        <v>93</v>
      </c>
      <c r="CF534">
        <v>4</v>
      </c>
      <c r="CG534">
        <v>6</v>
      </c>
    </row>
    <row r="535" spans="1:85" x14ac:dyDescent="0.4">
      <c r="A535" s="11" t="s">
        <v>85</v>
      </c>
      <c r="B535" t="s">
        <v>123</v>
      </c>
      <c r="C535" t="s">
        <v>128</v>
      </c>
      <c r="D535" s="46" t="s">
        <v>309</v>
      </c>
      <c r="E535">
        <v>4</v>
      </c>
      <c r="F535">
        <v>6</v>
      </c>
      <c r="G535" s="1">
        <v>47</v>
      </c>
      <c r="H535" s="16">
        <f t="shared" si="270"/>
        <v>1628</v>
      </c>
      <c r="I535">
        <v>6</v>
      </c>
      <c r="J535" s="17">
        <f t="shared" si="271"/>
        <v>1.5</v>
      </c>
      <c r="K535">
        <v>2</v>
      </c>
      <c r="L535">
        <v>6</v>
      </c>
      <c r="M535" s="17">
        <f t="shared" si="272"/>
        <v>0.5</v>
      </c>
      <c r="N535" s="17">
        <f t="shared" si="273"/>
        <v>1.5</v>
      </c>
      <c r="O535" s="18">
        <f t="shared" si="274"/>
        <v>0.33333333333333331</v>
      </c>
      <c r="P535">
        <v>0</v>
      </c>
      <c r="Q535">
        <v>1</v>
      </c>
      <c r="R535" s="17">
        <f t="shared" si="275"/>
        <v>0</v>
      </c>
      <c r="S535" s="17">
        <f t="shared" si="276"/>
        <v>0.25</v>
      </c>
      <c r="T535" s="18">
        <f t="shared" si="277"/>
        <v>0</v>
      </c>
      <c r="U535">
        <v>2</v>
      </c>
      <c r="V535">
        <v>5</v>
      </c>
      <c r="W535" s="17">
        <f t="shared" si="278"/>
        <v>0.5</v>
      </c>
      <c r="X535" s="17">
        <f t="shared" si="279"/>
        <v>1.25</v>
      </c>
      <c r="Y535" s="18">
        <f t="shared" si="280"/>
        <v>0.4</v>
      </c>
      <c r="Z535">
        <v>0</v>
      </c>
      <c r="AA535">
        <v>0</v>
      </c>
      <c r="AB535" s="17">
        <f t="shared" si="281"/>
        <v>0</v>
      </c>
      <c r="AC535" s="17">
        <f t="shared" si="282"/>
        <v>0</v>
      </c>
      <c r="AD535" s="18" t="e">
        <f t="shared" si="283"/>
        <v>#DIV/0!</v>
      </c>
      <c r="AE535">
        <v>3</v>
      </c>
      <c r="AF535" s="17">
        <f t="shared" si="284"/>
        <v>0.75</v>
      </c>
      <c r="AG535">
        <v>1</v>
      </c>
      <c r="AH535" s="17">
        <f t="shared" si="285"/>
        <v>0.25</v>
      </c>
      <c r="AI535">
        <v>2</v>
      </c>
      <c r="AJ535" s="17">
        <f t="shared" si="286"/>
        <v>0.5</v>
      </c>
      <c r="AK535">
        <v>0</v>
      </c>
      <c r="AL535" s="17">
        <f t="shared" si="287"/>
        <v>0</v>
      </c>
      <c r="AM535">
        <v>3</v>
      </c>
      <c r="AN535" s="17">
        <f t="shared" si="288"/>
        <v>0.75</v>
      </c>
      <c r="AO535">
        <v>0</v>
      </c>
      <c r="AQ535">
        <v>0</v>
      </c>
      <c r="AR535" s="17">
        <f t="shared" si="289"/>
        <v>0</v>
      </c>
      <c r="AS535">
        <v>6</v>
      </c>
      <c r="AT535" s="17">
        <f t="shared" si="290"/>
        <v>1.5</v>
      </c>
      <c r="BD535" s="65">
        <f t="shared" si="291"/>
        <v>50</v>
      </c>
      <c r="BE535" s="65">
        <f t="shared" si="292"/>
        <v>50</v>
      </c>
      <c r="BF535" s="66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4.245768177991093</v>
      </c>
      <c r="BG535" s="38">
        <f t="shared" si="293"/>
        <v>0.83333333333333337</v>
      </c>
      <c r="BH535" s="38">
        <f t="shared" si="294"/>
        <v>0</v>
      </c>
      <c r="BI535" s="67">
        <f>IFERROR(((AG535*(12000/5))/((F535*60+G535)*(SUMIFS(팀공격력!X:X,팀공격력!A:A,B535,팀공격력!B:B,D535)+SUMIFS(팀수비력!X:X,팀수비력!A:A,B535,팀수비력!B:B,D535))))*100,"")</f>
        <v>0.86717733776557304</v>
      </c>
      <c r="BJ535" s="67">
        <f>IFERROR(((AI535*(12000/5))/((F535*60+G535)*(SUMIFS(팀공격력!V:V,팀공격력!A:A,B535,팀공격력!B:B,D535)+SUMIFS(팀수비력!W:W,팀수비력!A:A,B535,팀수비력!B:B,D535))))*100,"")</f>
        <v>3.5310214950933512</v>
      </c>
      <c r="BK535" s="67">
        <f>IFERROR(((AE535*(12000/5))/((F535*60+G535)*(SUMIFS(팀공격력!X:X,팀공격력!A:A,B535,팀공격력!B:B,D535)+SUMIFS(팀수비력!X:X,팀수비력!A:A,B535,팀수비력!B:B,D535))))*100,"")</f>
        <v>2.601532013296719</v>
      </c>
      <c r="BL535" s="67">
        <f>IFERROR(100*AK535/(((((F535*60+G535)/(12000/5))*SUMIFS(팀공격력!P:P,팀공격력!A:A,B535,팀공격력!B:B,D535))-K535)),"")</f>
        <v>0</v>
      </c>
      <c r="BM535" s="67">
        <f>IFERROR(100*((AM535/E535*(2400))/((F535*60+G535)*SUMIFS(팀공격력!AR:AR,팀공격력!A:A,B535,팀공격력!B:B,D535))),"")</f>
        <v>5.4902898501701385</v>
      </c>
      <c r="BN535" s="67">
        <f>IFERROR((AO535*40)/(((F535*60+G535)/60)*(SUMIFS(팀수비력!Q:Q,팀수비력!A:A,B535,팀수비력!B:B,D535)-SUMIFS(팀수비력!N:N,팀수비력!A:A,B535,팀수비력!B:B,D535)))*100,"")</f>
        <v>0</v>
      </c>
      <c r="BO535" s="67">
        <f t="shared" si="295"/>
        <v>0</v>
      </c>
      <c r="BT535" t="s">
        <v>89</v>
      </c>
      <c r="BV535" t="s">
        <v>93</v>
      </c>
      <c r="CF535">
        <v>1</v>
      </c>
      <c r="CG535">
        <v>3</v>
      </c>
    </row>
    <row r="536" spans="1:85" x14ac:dyDescent="0.4">
      <c r="A536" s="11" t="s">
        <v>85</v>
      </c>
      <c r="B536" t="s">
        <v>123</v>
      </c>
      <c r="C536" t="s">
        <v>129</v>
      </c>
      <c r="D536" s="46" t="s">
        <v>309</v>
      </c>
      <c r="E536">
        <v>10</v>
      </c>
      <c r="F536">
        <v>11</v>
      </c>
      <c r="G536" s="1">
        <v>1</v>
      </c>
      <c r="H536" s="16">
        <f t="shared" si="270"/>
        <v>6610</v>
      </c>
      <c r="I536">
        <v>27</v>
      </c>
      <c r="J536" s="17">
        <f t="shared" si="271"/>
        <v>2.7</v>
      </c>
      <c r="K536">
        <v>10</v>
      </c>
      <c r="L536">
        <v>23</v>
      </c>
      <c r="M536" s="17">
        <f t="shared" si="272"/>
        <v>1</v>
      </c>
      <c r="N536" s="17">
        <f t="shared" si="273"/>
        <v>2.2999999999999998</v>
      </c>
      <c r="O536" s="18">
        <f t="shared" si="274"/>
        <v>0.43478260869565216</v>
      </c>
      <c r="P536">
        <v>7</v>
      </c>
      <c r="Q536">
        <v>17</v>
      </c>
      <c r="R536" s="17">
        <f t="shared" si="275"/>
        <v>0.7</v>
      </c>
      <c r="S536" s="17">
        <f t="shared" si="276"/>
        <v>1.7</v>
      </c>
      <c r="T536" s="18">
        <f t="shared" si="277"/>
        <v>0.41176470588235292</v>
      </c>
      <c r="U536">
        <v>3</v>
      </c>
      <c r="V536">
        <v>6</v>
      </c>
      <c r="W536" s="17">
        <f t="shared" si="278"/>
        <v>0.3</v>
      </c>
      <c r="X536" s="17">
        <f t="shared" si="279"/>
        <v>0.6</v>
      </c>
      <c r="Y536" s="18">
        <f t="shared" si="280"/>
        <v>0.5</v>
      </c>
      <c r="Z536">
        <v>4</v>
      </c>
      <c r="AA536">
        <v>8</v>
      </c>
      <c r="AB536" s="17">
        <f t="shared" si="281"/>
        <v>0.4</v>
      </c>
      <c r="AC536" s="17">
        <f t="shared" si="282"/>
        <v>0.8</v>
      </c>
      <c r="AD536" s="18">
        <f t="shared" si="283"/>
        <v>0.5</v>
      </c>
      <c r="AE536">
        <v>16</v>
      </c>
      <c r="AF536" s="17">
        <f t="shared" si="284"/>
        <v>1.6</v>
      </c>
      <c r="AG536">
        <v>7</v>
      </c>
      <c r="AH536" s="17">
        <f t="shared" si="285"/>
        <v>0.7</v>
      </c>
      <c r="AI536">
        <v>9</v>
      </c>
      <c r="AJ536" s="17">
        <f t="shared" si="286"/>
        <v>0.9</v>
      </c>
      <c r="AK536">
        <v>4</v>
      </c>
      <c r="AL536" s="17">
        <f t="shared" si="287"/>
        <v>0.4</v>
      </c>
      <c r="AM536">
        <v>4</v>
      </c>
      <c r="AN536" s="17">
        <f t="shared" si="288"/>
        <v>0.4</v>
      </c>
      <c r="AO536">
        <v>0</v>
      </c>
      <c r="AQ536">
        <v>2</v>
      </c>
      <c r="AR536" s="17">
        <f t="shared" si="289"/>
        <v>0.2</v>
      </c>
      <c r="AS536">
        <v>23</v>
      </c>
      <c r="AT536" s="17">
        <f t="shared" si="290"/>
        <v>2.2999999999999998</v>
      </c>
      <c r="BD536" s="65">
        <f t="shared" si="291"/>
        <v>50.904977375565608</v>
      </c>
      <c r="BE536" s="65">
        <f t="shared" si="292"/>
        <v>50</v>
      </c>
      <c r="BF536" s="66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12.426462060911884</v>
      </c>
      <c r="BG536" s="38">
        <f t="shared" si="293"/>
        <v>0.2608695652173913</v>
      </c>
      <c r="BH536" s="38">
        <f t="shared" si="294"/>
        <v>0.34782608695652173</v>
      </c>
      <c r="BI536" s="67">
        <f>IFERROR(((AG536*(12000/5))/((F536*60+G536)*(SUMIFS(팀공격력!X:X,팀공격력!A:A,B536,팀공격력!B:B,D536)+SUMIFS(팀수비력!X:X,팀수비력!A:A,B536,팀수비력!B:B,D536))))*100,"")</f>
        <v>3.7376523983269556</v>
      </c>
      <c r="BJ536" s="67">
        <f>IFERROR(((AI536*(12000/5))/((F536*60+G536)*(SUMIFS(팀공격력!V:V,팀공격력!A:A,B536,팀공격력!B:B,D536)+SUMIFS(팀수비력!W:W,팀수비력!A:A,B536,팀수비력!B:B,D536))))*100,"")</f>
        <v>9.7837607689311241</v>
      </c>
      <c r="BK536" s="67">
        <f>IFERROR(((AE536*(12000/5))/((F536*60+G536)*(SUMIFS(팀공격력!X:X,팀공격력!A:A,B536,팀공격력!B:B,D536)+SUMIFS(팀수비력!X:X,팀수비력!A:A,B536,팀수비력!B:B,D536))))*100,"")</f>
        <v>8.543205481890185</v>
      </c>
      <c r="BL536" s="67">
        <f>IFERROR(100*AK536/(((((F536*60+G536)/(12000/5))*SUMIFS(팀공격력!P:P,팀공격력!A:A,B536,팀공격력!B:B,D536))-K536)),"")</f>
        <v>4.9116918731964878</v>
      </c>
      <c r="BM536" s="67">
        <f>IFERROR(100*((AM536/E536*(2400))/((F536*60+G536)*SUMIFS(팀공격력!AR:AR,팀공격력!A:A,B536,팀공격력!B:B,D536))),"")</f>
        <v>1.8029635655223368</v>
      </c>
      <c r="BN536" s="67">
        <f>IFERROR((AO536*40)/(((F536*60+G536)/60)*(SUMIFS(팀수비력!Q:Q,팀수비력!A:A,B536,팀수비력!B:B,D536)-SUMIFS(팀수비력!N:N,팀수비력!A:A,B536,팀수비력!B:B,D536)))*100,"")</f>
        <v>0</v>
      </c>
      <c r="BO536" s="67">
        <f t="shared" si="295"/>
        <v>7.0126227208976157</v>
      </c>
      <c r="BT536" t="s">
        <v>89</v>
      </c>
      <c r="BV536" t="s">
        <v>93</v>
      </c>
      <c r="CF536">
        <v>4</v>
      </c>
      <c r="CG536">
        <v>6</v>
      </c>
    </row>
    <row r="537" spans="1:85" x14ac:dyDescent="0.4">
      <c r="A537" s="11" t="s">
        <v>85</v>
      </c>
      <c r="B537" t="s">
        <v>123</v>
      </c>
      <c r="C537" t="s">
        <v>130</v>
      </c>
      <c r="D537" s="46" t="s">
        <v>309</v>
      </c>
      <c r="E537">
        <v>10</v>
      </c>
      <c r="F537">
        <v>27</v>
      </c>
      <c r="G537" s="1">
        <v>1</v>
      </c>
      <c r="H537" s="16">
        <f t="shared" si="270"/>
        <v>16210</v>
      </c>
      <c r="I537">
        <v>123</v>
      </c>
      <c r="J537" s="17">
        <f t="shared" si="271"/>
        <v>12.3</v>
      </c>
      <c r="K537">
        <v>47</v>
      </c>
      <c r="L537">
        <v>94</v>
      </c>
      <c r="M537" s="17">
        <f t="shared" si="272"/>
        <v>4.7</v>
      </c>
      <c r="N537" s="17">
        <f t="shared" si="273"/>
        <v>9.4</v>
      </c>
      <c r="O537" s="18">
        <f t="shared" si="274"/>
        <v>0.5</v>
      </c>
      <c r="P537">
        <v>30</v>
      </c>
      <c r="Q537">
        <v>51</v>
      </c>
      <c r="R537" s="17">
        <f t="shared" si="275"/>
        <v>3</v>
      </c>
      <c r="S537" s="17">
        <f t="shared" si="276"/>
        <v>5.0999999999999996</v>
      </c>
      <c r="T537" s="18">
        <f t="shared" si="277"/>
        <v>0.58823529411764708</v>
      </c>
      <c r="U537">
        <v>17</v>
      </c>
      <c r="V537">
        <v>43</v>
      </c>
      <c r="W537" s="17">
        <f t="shared" si="278"/>
        <v>1.7</v>
      </c>
      <c r="X537" s="17">
        <f t="shared" si="279"/>
        <v>4.3</v>
      </c>
      <c r="Y537" s="18">
        <f t="shared" si="280"/>
        <v>0.39534883720930231</v>
      </c>
      <c r="Z537">
        <v>12</v>
      </c>
      <c r="AA537">
        <v>15</v>
      </c>
      <c r="AB537" s="17">
        <f t="shared" si="281"/>
        <v>1.2</v>
      </c>
      <c r="AC537" s="17">
        <f t="shared" si="282"/>
        <v>1.5</v>
      </c>
      <c r="AD537" s="18">
        <f t="shared" si="283"/>
        <v>0.8</v>
      </c>
      <c r="AE537">
        <v>15</v>
      </c>
      <c r="AF537" s="17">
        <f t="shared" si="284"/>
        <v>1.5</v>
      </c>
      <c r="AG537">
        <v>2</v>
      </c>
      <c r="AH537" s="17">
        <f t="shared" si="285"/>
        <v>0.2</v>
      </c>
      <c r="AI537">
        <v>13</v>
      </c>
      <c r="AJ537" s="17">
        <f t="shared" si="286"/>
        <v>1.3</v>
      </c>
      <c r="AK537">
        <v>34</v>
      </c>
      <c r="AL537" s="17">
        <f t="shared" si="287"/>
        <v>3.4</v>
      </c>
      <c r="AM537">
        <v>10</v>
      </c>
      <c r="AN537" s="17">
        <f t="shared" si="288"/>
        <v>1</v>
      </c>
      <c r="AO537">
        <v>0</v>
      </c>
      <c r="AQ537">
        <v>13</v>
      </c>
      <c r="AR537" s="17">
        <f t="shared" si="289"/>
        <v>1.3</v>
      </c>
      <c r="AS537">
        <v>24</v>
      </c>
      <c r="AT537" s="17">
        <f t="shared" si="290"/>
        <v>2.4</v>
      </c>
      <c r="BD537" s="65">
        <f t="shared" si="291"/>
        <v>61.133200795228639</v>
      </c>
      <c r="BE537" s="65">
        <f t="shared" si="292"/>
        <v>59.042553191489368</v>
      </c>
      <c r="BF537" s="66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20.18341978851057</v>
      </c>
      <c r="BG537" s="38">
        <f t="shared" si="293"/>
        <v>0.45744680851063829</v>
      </c>
      <c r="BH537" s="38">
        <f t="shared" si="294"/>
        <v>0.15957446808510639</v>
      </c>
      <c r="BI537" s="67">
        <f>IFERROR(((AG537*(12000/5))/((F537*60+G537)*(SUMIFS(팀공격력!X:X,팀공격력!A:A,B537,팀공격력!B:B,D537)+SUMIFS(팀수비력!X:X,팀수비력!A:A,B537,팀수비력!B:B,D537))))*100,"")</f>
        <v>0.43546104438073807</v>
      </c>
      <c r="BJ537" s="67">
        <f>IFERROR(((AI537*(12000/5))/((F537*60+G537)*(SUMIFS(팀공격력!V:V,팀공격력!A:A,B537,팀공격력!B:B,D537)+SUMIFS(팀수비력!W:W,팀수비력!A:A,B537,팀수비력!B:B,D537))))*100,"")</f>
        <v>5.7626880723438996</v>
      </c>
      <c r="BK537" s="67">
        <f>IFERROR(((AE537*(12000/5))/((F537*60+G537)*(SUMIFS(팀공격력!X:X,팀공격력!A:A,B537,팀공격력!B:B,D537)+SUMIFS(팀수비력!X:X,팀수비력!A:A,B537,팀수비력!B:B,D537))))*100,"")</f>
        <v>3.2659578328555359</v>
      </c>
      <c r="BL537" s="67">
        <f>IFERROR(100*AK537/(((((F537*60+G537)/(12000/5))*SUMIFS(팀공격력!P:P,팀공격력!A:A,B537,팀공격력!B:B,D537))-K537)),"")</f>
        <v>19.183209049960976</v>
      </c>
      <c r="BM537" s="67">
        <f>IFERROR(100*((AM537/E537*(2400))/((F537*60+G537)*SUMIFS(팀공격력!AR:AR,팀공격력!A:A,B537,팀공격력!B:B,D537))),"")</f>
        <v>1.8379995632484034</v>
      </c>
      <c r="BN537" s="67">
        <f>IFERROR((AO537*40)/(((F537*60+G537)/60)*(SUMIFS(팀수비력!Q:Q,팀수비력!A:A,B537,팀수비력!B:B,D537)-SUMIFS(팀수비력!N:N,팀수비력!A:A,B537,팀수비력!B:B,D537)))*100,"")</f>
        <v>0</v>
      </c>
      <c r="BO537" s="67">
        <f t="shared" si="295"/>
        <v>11.443661971830986</v>
      </c>
      <c r="BT537" t="s">
        <v>113</v>
      </c>
      <c r="BV537" t="s">
        <v>90</v>
      </c>
      <c r="CF537">
        <v>4</v>
      </c>
      <c r="CG537">
        <v>6</v>
      </c>
    </row>
    <row r="538" spans="1:85" x14ac:dyDescent="0.4">
      <c r="A538" s="11" t="s">
        <v>85</v>
      </c>
      <c r="B538" t="s">
        <v>123</v>
      </c>
      <c r="C538" t="s">
        <v>131</v>
      </c>
      <c r="D538" s="46" t="s">
        <v>309</v>
      </c>
      <c r="E538">
        <v>10</v>
      </c>
      <c r="F538">
        <v>21</v>
      </c>
      <c r="G538" s="1">
        <v>28</v>
      </c>
      <c r="H538" s="16">
        <f t="shared" si="270"/>
        <v>12880</v>
      </c>
      <c r="I538">
        <v>65</v>
      </c>
      <c r="J538" s="17">
        <f t="shared" si="271"/>
        <v>6.5</v>
      </c>
      <c r="K538">
        <v>29</v>
      </c>
      <c r="L538">
        <v>60</v>
      </c>
      <c r="M538" s="17">
        <f t="shared" si="272"/>
        <v>2.9</v>
      </c>
      <c r="N538" s="17">
        <f t="shared" si="273"/>
        <v>6</v>
      </c>
      <c r="O538" s="18">
        <f t="shared" si="274"/>
        <v>0.48333333333333334</v>
      </c>
      <c r="P538">
        <v>24</v>
      </c>
      <c r="Q538">
        <v>35</v>
      </c>
      <c r="R538" s="17">
        <f t="shared" si="275"/>
        <v>2.4</v>
      </c>
      <c r="S538" s="17">
        <f t="shared" si="276"/>
        <v>3.5</v>
      </c>
      <c r="T538" s="18">
        <f t="shared" si="277"/>
        <v>0.68571428571428572</v>
      </c>
      <c r="U538">
        <v>5</v>
      </c>
      <c r="V538">
        <v>25</v>
      </c>
      <c r="W538" s="17">
        <f t="shared" si="278"/>
        <v>0.5</v>
      </c>
      <c r="X538" s="17">
        <f t="shared" si="279"/>
        <v>2.5</v>
      </c>
      <c r="Y538" s="18">
        <f t="shared" si="280"/>
        <v>0.2</v>
      </c>
      <c r="Z538">
        <v>2</v>
      </c>
      <c r="AA538">
        <v>3</v>
      </c>
      <c r="AB538" s="17">
        <f t="shared" si="281"/>
        <v>0.2</v>
      </c>
      <c r="AC538" s="17">
        <f t="shared" si="282"/>
        <v>0.3</v>
      </c>
      <c r="AD538" s="18">
        <f t="shared" si="283"/>
        <v>0.66666666666666663</v>
      </c>
      <c r="AE538">
        <v>28</v>
      </c>
      <c r="AF538" s="17">
        <f t="shared" si="284"/>
        <v>2.8</v>
      </c>
      <c r="AG538">
        <v>7</v>
      </c>
      <c r="AH538" s="17">
        <f t="shared" si="285"/>
        <v>0.7</v>
      </c>
      <c r="AI538">
        <v>21</v>
      </c>
      <c r="AJ538" s="17">
        <f t="shared" si="286"/>
        <v>2.1</v>
      </c>
      <c r="AK538">
        <v>12</v>
      </c>
      <c r="AL538" s="17">
        <f t="shared" si="287"/>
        <v>1.2</v>
      </c>
      <c r="AM538">
        <v>9</v>
      </c>
      <c r="AN538" s="17">
        <f t="shared" si="288"/>
        <v>0.9</v>
      </c>
      <c r="AO538">
        <v>1</v>
      </c>
      <c r="AQ538">
        <v>14</v>
      </c>
      <c r="AR538" s="17">
        <f t="shared" si="289"/>
        <v>1.4</v>
      </c>
      <c r="AS538">
        <v>24</v>
      </c>
      <c r="AT538" s="17">
        <f t="shared" si="290"/>
        <v>2.4</v>
      </c>
      <c r="BD538" s="65">
        <f t="shared" si="291"/>
        <v>53.000652315720806</v>
      </c>
      <c r="BE538" s="65">
        <f t="shared" si="292"/>
        <v>52.5</v>
      </c>
      <c r="BF538" s="66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16.842008602572417</v>
      </c>
      <c r="BG538" s="38">
        <f t="shared" si="293"/>
        <v>0.41666666666666669</v>
      </c>
      <c r="BH538" s="38">
        <f t="shared" si="294"/>
        <v>0.05</v>
      </c>
      <c r="BI538" s="67">
        <f>IFERROR(((AG538*(12000/5))/((F538*60+G538)*(SUMIFS(팀공격력!X:X,팀공격력!A:A,B538,팀공격력!B:B,D538)+SUMIFS(팀수비력!X:X,팀수비력!A:A,B538,팀수비력!B:B,D538))))*100,"")</f>
        <v>1.9181585677749362</v>
      </c>
      <c r="BJ538" s="67">
        <f>IFERROR(((AI538*(12000/5))/((F538*60+G538)*(SUMIFS(팀공격력!V:V,팀공격력!A:A,B538,팀공격력!B:B,D538)+SUMIFS(팀수비력!W:W,팀수비력!A:A,B538,팀수비력!B:B,D538))))*100,"")</f>
        <v>11.715699036709189</v>
      </c>
      <c r="BK538" s="67">
        <f>IFERROR(((AE538*(12000/5))/((F538*60+G538)*(SUMIFS(팀공격력!X:X,팀공격력!A:A,B538,팀공격력!B:B,D538)+SUMIFS(팀수비력!X:X,팀수비력!A:A,B538,팀수비력!B:B,D538))))*100,"")</f>
        <v>7.6726342710997448</v>
      </c>
      <c r="BL538" s="67">
        <f>IFERROR(100*AK538/(((((F538*60+G538)/(12000/5))*SUMIFS(팀공격력!P:P,팀공격력!A:A,B538,팀공격력!B:B,D538))-K538)),"")</f>
        <v>8.0443332141580282</v>
      </c>
      <c r="BM538" s="67">
        <f>IFERROR(100*((AM538/E538*(2400))/((F538*60+G538)*SUMIFS(팀공격력!AR:AR,팀공격력!A:A,B538,팀공격력!B:B,D538))),"")</f>
        <v>2.081876989769484</v>
      </c>
      <c r="BN538" s="67">
        <f>IFERROR((AO538*40)/(((F538*60+G538)/60)*(SUMIFS(팀수비력!Q:Q,팀수비력!A:A,B538,팀수비력!B:B,D538)-SUMIFS(팀수비력!N:N,팀수비력!A:A,B538,팀수비력!B:B,D538)))*100,"")</f>
        <v>0.46467681727358617</v>
      </c>
      <c r="BO538" s="67">
        <f t="shared" si="295"/>
        <v>18.587360594795541</v>
      </c>
      <c r="BT538" t="s">
        <v>89</v>
      </c>
      <c r="BV538" t="s">
        <v>93</v>
      </c>
      <c r="CF538">
        <v>4</v>
      </c>
      <c r="CG538">
        <v>6</v>
      </c>
    </row>
    <row r="539" spans="1:85" x14ac:dyDescent="0.4">
      <c r="A539" s="11" t="s">
        <v>85</v>
      </c>
      <c r="B539" t="s">
        <v>123</v>
      </c>
      <c r="C539" t="s">
        <v>132</v>
      </c>
      <c r="D539" s="46" t="s">
        <v>309</v>
      </c>
      <c r="E539">
        <v>3</v>
      </c>
      <c r="F539">
        <v>5</v>
      </c>
      <c r="G539" s="1">
        <v>55</v>
      </c>
      <c r="H539" s="16">
        <f t="shared" si="270"/>
        <v>1065</v>
      </c>
      <c r="I539">
        <v>4</v>
      </c>
      <c r="J539" s="17">
        <f t="shared" si="271"/>
        <v>1.3333333333333333</v>
      </c>
      <c r="K539">
        <v>2</v>
      </c>
      <c r="L539">
        <v>4</v>
      </c>
      <c r="M539" s="17">
        <f t="shared" si="272"/>
        <v>0.66666666666666663</v>
      </c>
      <c r="N539" s="17">
        <f t="shared" si="273"/>
        <v>1.3333333333333333</v>
      </c>
      <c r="O539" s="18">
        <f t="shared" si="274"/>
        <v>0.5</v>
      </c>
      <c r="P539">
        <v>2</v>
      </c>
      <c r="Q539">
        <v>4</v>
      </c>
      <c r="R539" s="17">
        <f t="shared" si="275"/>
        <v>0.66666666666666663</v>
      </c>
      <c r="S539" s="17">
        <f t="shared" si="276"/>
        <v>1.3333333333333333</v>
      </c>
      <c r="T539" s="18">
        <f t="shared" si="277"/>
        <v>0.5</v>
      </c>
      <c r="U539">
        <v>0</v>
      </c>
      <c r="V539">
        <v>0</v>
      </c>
      <c r="W539" s="17">
        <f t="shared" si="278"/>
        <v>0</v>
      </c>
      <c r="X539" s="17">
        <f t="shared" si="279"/>
        <v>0</v>
      </c>
      <c r="Y539" s="18" t="e">
        <f t="shared" si="280"/>
        <v>#DIV/0!</v>
      </c>
      <c r="Z539">
        <v>0</v>
      </c>
      <c r="AA539">
        <v>0</v>
      </c>
      <c r="AB539" s="17">
        <f t="shared" si="281"/>
        <v>0</v>
      </c>
      <c r="AC539" s="17">
        <f t="shared" si="282"/>
        <v>0</v>
      </c>
      <c r="AD539" s="18" t="e">
        <f t="shared" si="283"/>
        <v>#DIV/0!</v>
      </c>
      <c r="AE539">
        <v>1</v>
      </c>
      <c r="AF539" s="17">
        <f t="shared" si="284"/>
        <v>0.33333333333333331</v>
      </c>
      <c r="AG539">
        <v>1</v>
      </c>
      <c r="AH539" s="17">
        <f t="shared" si="285"/>
        <v>0.33333333333333331</v>
      </c>
      <c r="AI539">
        <v>0</v>
      </c>
      <c r="AJ539" s="17">
        <f t="shared" si="286"/>
        <v>0</v>
      </c>
      <c r="AK539">
        <v>1</v>
      </c>
      <c r="AL539" s="17">
        <f t="shared" si="287"/>
        <v>0.33333333333333331</v>
      </c>
      <c r="AM539">
        <v>0</v>
      </c>
      <c r="AN539" s="17">
        <f t="shared" si="288"/>
        <v>0</v>
      </c>
      <c r="AO539">
        <v>0</v>
      </c>
      <c r="AQ539">
        <v>1</v>
      </c>
      <c r="AR539" s="17">
        <f t="shared" si="289"/>
        <v>0.33333333333333331</v>
      </c>
      <c r="AS539">
        <v>1</v>
      </c>
      <c r="AT539" s="17">
        <f t="shared" si="290"/>
        <v>0.33333333333333331</v>
      </c>
      <c r="BD539" s="65">
        <f t="shared" si="291"/>
        <v>50</v>
      </c>
      <c r="BE539" s="65">
        <f t="shared" si="292"/>
        <v>50</v>
      </c>
      <c r="BF539" s="66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4.0564029306159037</v>
      </c>
      <c r="BG539" s="38">
        <f t="shared" si="293"/>
        <v>0</v>
      </c>
      <c r="BH539" s="38">
        <f t="shared" si="294"/>
        <v>0</v>
      </c>
      <c r="BI539" s="67">
        <f>IFERROR(((AG539*(12000/5))/((F539*60+G539)*(SUMIFS(팀공격력!X:X,팀공격력!A:A,B539,팀공격력!B:B,D539)+SUMIFS(팀수비력!X:X,팀수비력!A:A,B539,팀수비력!B:B,D539))))*100,"")</f>
        <v>0.9942004971002486</v>
      </c>
      <c r="BJ539" s="67">
        <f>IFERROR(((AI539*(12000/5))/((F539*60+G539)*(SUMIFS(팀공격력!V:V,팀공격력!A:A,B539,팀공격력!B:B,D539)+SUMIFS(팀수비력!W:W,팀수비력!A:A,B539,팀수비력!B:B,D539))))*100,"")</f>
        <v>0</v>
      </c>
      <c r="BK539" s="67">
        <f>IFERROR(((AE539*(12000/5))/((F539*60+G539)*(SUMIFS(팀공격력!X:X,팀공격력!A:A,B539,팀공격력!B:B,D539)+SUMIFS(팀수비력!X:X,팀수비력!A:A,B539,팀수비력!B:B,D539))))*100,"")</f>
        <v>0.9942004971002486</v>
      </c>
      <c r="BL539" s="67">
        <f>IFERROR(100*AK539/(((((F539*60+G539)/(12000/5))*SUMIFS(팀공격력!P:P,팀공격력!A:A,B539,팀공격력!B:B,D539))-K539)),"")</f>
        <v>2.1227666725632406</v>
      </c>
      <c r="BM539" s="67">
        <f>IFERROR(100*((AM539/E539*(2400))/((F539*60+G539)*SUMIFS(팀공격력!AR:AR,팀공격력!A:A,B539,팀공격력!B:B,D539))),"")</f>
        <v>0</v>
      </c>
      <c r="BN539" s="67">
        <f>IFERROR((AO539*40)/(((F539*60+G539)/60)*(SUMIFS(팀수비력!Q:Q,팀수비력!A:A,B539,팀수비력!B:B,D539)-SUMIFS(팀수비력!N:N,팀수비력!A:A,B539,팀수비력!B:B,D539)))*100,"")</f>
        <v>0</v>
      </c>
      <c r="BO539" s="67">
        <f t="shared" si="295"/>
        <v>20</v>
      </c>
      <c r="BT539" t="s">
        <v>89</v>
      </c>
      <c r="BV539" t="s">
        <v>102</v>
      </c>
      <c r="CF539">
        <v>1</v>
      </c>
      <c r="CG539">
        <v>2</v>
      </c>
    </row>
    <row r="540" spans="1:85" x14ac:dyDescent="0.4">
      <c r="A540" s="11" t="s">
        <v>85</v>
      </c>
      <c r="B540" t="s">
        <v>123</v>
      </c>
      <c r="C540" t="s">
        <v>133</v>
      </c>
      <c r="D540" s="46" t="s">
        <v>309</v>
      </c>
      <c r="E540">
        <v>3</v>
      </c>
      <c r="F540">
        <v>4</v>
      </c>
      <c r="G540" s="1">
        <v>59</v>
      </c>
      <c r="H540" s="16">
        <f t="shared" si="270"/>
        <v>897</v>
      </c>
      <c r="I540">
        <v>2</v>
      </c>
      <c r="J540" s="17">
        <f t="shared" si="271"/>
        <v>0.66666666666666663</v>
      </c>
      <c r="K540">
        <v>1</v>
      </c>
      <c r="L540">
        <v>4</v>
      </c>
      <c r="M540" s="17">
        <f t="shared" si="272"/>
        <v>0.33333333333333331</v>
      </c>
      <c r="N540" s="17">
        <f t="shared" si="273"/>
        <v>1.3333333333333333</v>
      </c>
      <c r="O540" s="18">
        <f t="shared" si="274"/>
        <v>0.25</v>
      </c>
      <c r="P540">
        <v>1</v>
      </c>
      <c r="Q540">
        <v>2</v>
      </c>
      <c r="R540" s="17">
        <f t="shared" si="275"/>
        <v>0.33333333333333331</v>
      </c>
      <c r="S540" s="17">
        <f t="shared" si="276"/>
        <v>0.66666666666666663</v>
      </c>
      <c r="T540" s="18">
        <f t="shared" si="277"/>
        <v>0.5</v>
      </c>
      <c r="U540">
        <v>0</v>
      </c>
      <c r="V540">
        <v>2</v>
      </c>
      <c r="W540" s="17">
        <f t="shared" si="278"/>
        <v>0</v>
      </c>
      <c r="X540" s="17">
        <f t="shared" si="279"/>
        <v>0.66666666666666663</v>
      </c>
      <c r="Y540" s="18">
        <f t="shared" si="280"/>
        <v>0</v>
      </c>
      <c r="Z540">
        <v>0</v>
      </c>
      <c r="AA540">
        <v>0</v>
      </c>
      <c r="AB540" s="17">
        <f t="shared" si="281"/>
        <v>0</v>
      </c>
      <c r="AC540" s="17">
        <f t="shared" si="282"/>
        <v>0</v>
      </c>
      <c r="AD540" s="18" t="e">
        <f t="shared" si="283"/>
        <v>#DIV/0!</v>
      </c>
      <c r="AE540">
        <v>1</v>
      </c>
      <c r="AF540" s="17">
        <f t="shared" si="284"/>
        <v>0.33333333333333331</v>
      </c>
      <c r="AG540">
        <v>0</v>
      </c>
      <c r="AH540" s="17">
        <f t="shared" si="285"/>
        <v>0</v>
      </c>
      <c r="AI540">
        <v>1</v>
      </c>
      <c r="AJ540" s="17">
        <f t="shared" si="286"/>
        <v>0.33333333333333331</v>
      </c>
      <c r="AK540">
        <v>1</v>
      </c>
      <c r="AL540" s="17">
        <f t="shared" si="287"/>
        <v>0.33333333333333331</v>
      </c>
      <c r="AM540">
        <v>3</v>
      </c>
      <c r="AN540" s="17">
        <f t="shared" si="288"/>
        <v>1</v>
      </c>
      <c r="AO540">
        <v>0</v>
      </c>
      <c r="AQ540">
        <v>0</v>
      </c>
      <c r="AR540" s="17">
        <f t="shared" si="289"/>
        <v>0</v>
      </c>
      <c r="AS540">
        <v>8</v>
      </c>
      <c r="AT540" s="17">
        <f t="shared" si="290"/>
        <v>2.6666666666666665</v>
      </c>
      <c r="BD540" s="65">
        <f t="shared" si="291"/>
        <v>25</v>
      </c>
      <c r="BE540" s="65">
        <f t="shared" si="292"/>
        <v>25</v>
      </c>
      <c r="BF540" s="66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3.8529044558358416</v>
      </c>
      <c r="BG540" s="38">
        <f t="shared" si="293"/>
        <v>0.5</v>
      </c>
      <c r="BH540" s="38">
        <f t="shared" si="294"/>
        <v>0</v>
      </c>
      <c r="BI540" s="67">
        <f>IFERROR(((AG540*(12000/5))/((F540*60+G540)*(SUMIFS(팀공격력!X:X,팀공격력!A:A,B540,팀공격력!B:B,D540)+SUMIFS(팀수비력!X:X,팀수비력!A:A,B540,팀수비력!B:B,D540))))*100,"")</f>
        <v>0</v>
      </c>
      <c r="BJ540" s="67">
        <f>IFERROR(((AI540*(12000/5))/((F540*60+G540)*(SUMIFS(팀공격력!V:V,팀공격력!A:A,B540,팀공격력!B:B,D540)+SUMIFS(팀수비력!W:W,팀수비력!A:A,B540,팀수비력!B:B,D540))))*100,"")</f>
        <v>2.4032203152223977</v>
      </c>
      <c r="BK540" s="67">
        <f>IFERROR(((AE540*(12000/5))/((F540*60+G540)*(SUMIFS(팀공격력!X:X,팀공격력!A:A,B540,팀공격력!B:B,D540)+SUMIFS(팀수비력!X:X,팀수비력!A:A,B540,팀수비력!B:B,D540))))*100,"")</f>
        <v>1.1804052724768836</v>
      </c>
      <c r="BL540" s="67">
        <f>IFERROR(100*AK540/(((((F540*60+G540)/(12000/5))*SUMIFS(팀공격력!P:P,팀공격력!A:A,B540,팀공격력!B:B,D540))-K540)),"")</f>
        <v>2.477598381302391</v>
      </c>
      <c r="BM540" s="67">
        <f>IFERROR(100*((AM540/E540*(2400))/((F540*60+G540)*SUMIFS(팀공격력!AR:AR,팀공격력!A:A,B540,팀공격력!B:B,D540))),"")</f>
        <v>9.9645394382129169</v>
      </c>
      <c r="BN540" s="67">
        <f>IFERROR((AO540*40)/(((F540*60+G540)/60)*(SUMIFS(팀수비력!Q:Q,팀수비력!A:A,B540,팀수비력!B:B,D540)-SUMIFS(팀수비력!N:N,팀수비력!A:A,B540,팀수비력!B:B,D540)))*100,"")</f>
        <v>0</v>
      </c>
      <c r="BO540" s="67">
        <f t="shared" si="295"/>
        <v>0</v>
      </c>
      <c r="BT540" t="s">
        <v>89</v>
      </c>
      <c r="BV540" t="s">
        <v>90</v>
      </c>
      <c r="CF540">
        <v>2</v>
      </c>
      <c r="CG540">
        <v>1</v>
      </c>
    </row>
    <row r="541" spans="1:85" x14ac:dyDescent="0.4">
      <c r="A541" s="11" t="s">
        <v>85</v>
      </c>
      <c r="B541" t="s">
        <v>123</v>
      </c>
      <c r="C541" t="s">
        <v>134</v>
      </c>
      <c r="D541" s="46" t="s">
        <v>309</v>
      </c>
      <c r="E541">
        <v>10</v>
      </c>
      <c r="F541">
        <v>26</v>
      </c>
      <c r="G541" s="1">
        <v>2</v>
      </c>
      <c r="H541" s="16">
        <f t="shared" si="270"/>
        <v>15620</v>
      </c>
      <c r="I541">
        <v>214</v>
      </c>
      <c r="J541" s="17">
        <f t="shared" si="271"/>
        <v>21.4</v>
      </c>
      <c r="K541">
        <v>82</v>
      </c>
      <c r="L541">
        <v>160</v>
      </c>
      <c r="M541" s="17">
        <f t="shared" si="272"/>
        <v>8.1999999999999993</v>
      </c>
      <c r="N541" s="17">
        <f t="shared" si="273"/>
        <v>16</v>
      </c>
      <c r="O541" s="18">
        <f t="shared" si="274"/>
        <v>0.51249999999999996</v>
      </c>
      <c r="P541">
        <v>62</v>
      </c>
      <c r="Q541">
        <v>106</v>
      </c>
      <c r="R541" s="17">
        <f t="shared" si="275"/>
        <v>6.2</v>
      </c>
      <c r="S541" s="17">
        <f t="shared" si="276"/>
        <v>10.6</v>
      </c>
      <c r="T541" s="18">
        <f t="shared" si="277"/>
        <v>0.58490566037735847</v>
      </c>
      <c r="U541">
        <v>20</v>
      </c>
      <c r="V541">
        <v>54</v>
      </c>
      <c r="W541" s="17">
        <f t="shared" si="278"/>
        <v>2</v>
      </c>
      <c r="X541" s="17">
        <f t="shared" si="279"/>
        <v>5.4</v>
      </c>
      <c r="Y541" s="18">
        <f t="shared" si="280"/>
        <v>0.37037037037037035</v>
      </c>
      <c r="Z541">
        <v>30</v>
      </c>
      <c r="AA541">
        <v>34</v>
      </c>
      <c r="AB541" s="17">
        <f t="shared" si="281"/>
        <v>3</v>
      </c>
      <c r="AC541" s="17">
        <f t="shared" si="282"/>
        <v>3.4</v>
      </c>
      <c r="AD541" s="18">
        <f t="shared" si="283"/>
        <v>0.88235294117647056</v>
      </c>
      <c r="AE541">
        <v>87</v>
      </c>
      <c r="AF541" s="17">
        <f t="shared" si="284"/>
        <v>8.6999999999999993</v>
      </c>
      <c r="AG541">
        <v>13</v>
      </c>
      <c r="AH541" s="17">
        <f t="shared" si="285"/>
        <v>1.3</v>
      </c>
      <c r="AI541">
        <v>74</v>
      </c>
      <c r="AJ541" s="17">
        <f t="shared" si="286"/>
        <v>7.4</v>
      </c>
      <c r="AK541">
        <v>8</v>
      </c>
      <c r="AL541" s="17">
        <f t="shared" si="287"/>
        <v>0.8</v>
      </c>
      <c r="AM541">
        <v>6</v>
      </c>
      <c r="AN541" s="17">
        <f t="shared" si="288"/>
        <v>0.6</v>
      </c>
      <c r="AO541">
        <v>8</v>
      </c>
      <c r="AQ541">
        <v>11</v>
      </c>
      <c r="AR541" s="17">
        <f t="shared" si="289"/>
        <v>1.1000000000000001</v>
      </c>
      <c r="AS541">
        <v>14</v>
      </c>
      <c r="AT541" s="17">
        <f t="shared" si="290"/>
        <v>1.4</v>
      </c>
      <c r="BD541" s="65">
        <f t="shared" si="291"/>
        <v>61.156835848193872</v>
      </c>
      <c r="BE541" s="65">
        <f t="shared" si="292"/>
        <v>57.499999999999993</v>
      </c>
      <c r="BF541" s="66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34.287667680787884</v>
      </c>
      <c r="BG541" s="38">
        <f t="shared" si="293"/>
        <v>0.33750000000000002</v>
      </c>
      <c r="BH541" s="38">
        <f t="shared" si="294"/>
        <v>0.21249999999999999</v>
      </c>
      <c r="BI541" s="67">
        <f>IFERROR(((AG541*(12000/5))/((F541*60+G541)*(SUMIFS(팀공격력!X:X,팀공격력!A:A,B541,팀공격력!B:B,D541)+SUMIFS(팀수비력!X:X,팀수비력!A:A,B541,팀수비력!B:B,D541))))*100,"")</f>
        <v>2.9374105596143707</v>
      </c>
      <c r="BJ541" s="67">
        <f>IFERROR(((AI541*(12000/5))/((F541*60+G541)*(SUMIFS(팀공격력!V:V,팀공격력!A:A,B541,팀공격력!B:B,D541)+SUMIFS(팀수비력!W:W,팀수비력!A:A,B541,팀수비력!B:B,D541))))*100,"")</f>
        <v>34.042031174526748</v>
      </c>
      <c r="BK541" s="67">
        <f>IFERROR(((AE541*(12000/5))/((F541*60+G541)*(SUMIFS(팀공격력!X:X,팀공격력!A:A,B541,팀공격력!B:B,D541)+SUMIFS(팀수비력!X:X,팀수비력!A:A,B541,팀수비력!B:B,D541))))*100,"")</f>
        <v>19.658055283573098</v>
      </c>
      <c r="BL541" s="67">
        <f>IFERROR(100*AK541/(((((F541*60+G541)/(12000/5))*SUMIFS(팀공격력!P:P,팀공격력!A:A,B541,팀공격력!B:B,D541))-K541)),"")</f>
        <v>5.9667354498669907</v>
      </c>
      <c r="BM541" s="67">
        <f>IFERROR(100*((AM541/E541*(2400))/((F541*60+G541)*SUMIFS(팀공격력!AR:AR,팀공격력!A:A,B541,팀공격력!B:B,D541))),"")</f>
        <v>1.1444547856692684</v>
      </c>
      <c r="BN541" s="67">
        <f>IFERROR((AO541*40)/(((F541*60+G541)/60)*(SUMIFS(팀수비력!Q:Q,팀수비력!A:A,B541,팀수비력!B:B,D541)-SUMIFS(팀수비력!N:N,팀수비력!A:A,B541,팀수비력!B:B,D541)))*100,"")</f>
        <v>3.0653200545371528</v>
      </c>
      <c r="BO541" s="67">
        <f t="shared" si="295"/>
        <v>5.9152505915250586</v>
      </c>
      <c r="BT541" t="s">
        <v>96</v>
      </c>
      <c r="BV541" t="s">
        <v>93</v>
      </c>
      <c r="CF541">
        <v>4</v>
      </c>
      <c r="CG541">
        <v>6</v>
      </c>
    </row>
    <row r="542" spans="1:85" x14ac:dyDescent="0.4">
      <c r="A542" s="11" t="s">
        <v>85</v>
      </c>
      <c r="B542" t="s">
        <v>123</v>
      </c>
      <c r="C542" t="s">
        <v>136</v>
      </c>
      <c r="D542" s="46" t="s">
        <v>309</v>
      </c>
      <c r="E542">
        <v>10</v>
      </c>
      <c r="F542">
        <v>11</v>
      </c>
      <c r="G542" s="1">
        <v>30</v>
      </c>
      <c r="H542" s="16">
        <f t="shared" si="270"/>
        <v>6900</v>
      </c>
      <c r="I542">
        <v>16</v>
      </c>
      <c r="J542" s="17">
        <f t="shared" si="271"/>
        <v>1.6</v>
      </c>
      <c r="K542">
        <v>6</v>
      </c>
      <c r="L542">
        <v>18</v>
      </c>
      <c r="M542" s="17">
        <f t="shared" si="272"/>
        <v>0.6</v>
      </c>
      <c r="N542" s="17">
        <f t="shared" si="273"/>
        <v>1.8</v>
      </c>
      <c r="O542" s="18">
        <f t="shared" si="274"/>
        <v>0.33333333333333331</v>
      </c>
      <c r="P542">
        <v>2</v>
      </c>
      <c r="Q542">
        <v>6</v>
      </c>
      <c r="R542" s="17">
        <f t="shared" si="275"/>
        <v>0.2</v>
      </c>
      <c r="S542" s="17">
        <f t="shared" si="276"/>
        <v>0.6</v>
      </c>
      <c r="T542" s="18">
        <f t="shared" si="277"/>
        <v>0.33333333333333331</v>
      </c>
      <c r="U542">
        <v>4</v>
      </c>
      <c r="V542">
        <v>12</v>
      </c>
      <c r="W542" s="17">
        <f t="shared" si="278"/>
        <v>0.4</v>
      </c>
      <c r="X542" s="17">
        <f t="shared" si="279"/>
        <v>1.2</v>
      </c>
      <c r="Y542" s="18">
        <f t="shared" si="280"/>
        <v>0.33333333333333331</v>
      </c>
      <c r="Z542">
        <v>0</v>
      </c>
      <c r="AA542">
        <v>0</v>
      </c>
      <c r="AB542" s="17">
        <f t="shared" si="281"/>
        <v>0</v>
      </c>
      <c r="AC542" s="17">
        <f t="shared" si="282"/>
        <v>0</v>
      </c>
      <c r="AD542" s="18" t="e">
        <f t="shared" si="283"/>
        <v>#DIV/0!</v>
      </c>
      <c r="AE542">
        <v>18</v>
      </c>
      <c r="AF542" s="17">
        <f t="shared" si="284"/>
        <v>1.8</v>
      </c>
      <c r="AG542">
        <v>7</v>
      </c>
      <c r="AH542" s="17">
        <f t="shared" si="285"/>
        <v>0.7</v>
      </c>
      <c r="AI542">
        <v>11</v>
      </c>
      <c r="AJ542" s="17">
        <f t="shared" si="286"/>
        <v>1.1000000000000001</v>
      </c>
      <c r="AK542">
        <v>2</v>
      </c>
      <c r="AL542" s="17">
        <f t="shared" si="287"/>
        <v>0.2</v>
      </c>
      <c r="AM542">
        <v>5</v>
      </c>
      <c r="AN542" s="17">
        <f t="shared" si="288"/>
        <v>0.5</v>
      </c>
      <c r="AO542">
        <v>0</v>
      </c>
      <c r="AQ542">
        <v>2</v>
      </c>
      <c r="AR542" s="17">
        <f t="shared" si="289"/>
        <v>0.2</v>
      </c>
      <c r="AS542">
        <v>20</v>
      </c>
      <c r="AT542" s="17">
        <f t="shared" si="290"/>
        <v>2</v>
      </c>
      <c r="BD542" s="65">
        <f t="shared" si="291"/>
        <v>44.444444444444443</v>
      </c>
      <c r="BE542" s="65">
        <f t="shared" si="292"/>
        <v>44.444444444444443</v>
      </c>
      <c r="BF542" s="66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8.3479596543109906</v>
      </c>
      <c r="BG542" s="38">
        <f t="shared" si="293"/>
        <v>0.66666666666666663</v>
      </c>
      <c r="BH542" s="38">
        <f t="shared" si="294"/>
        <v>0</v>
      </c>
      <c r="BI542" s="67">
        <f>IFERROR(((AG542*(12000/5))/((F542*60+G542)*(SUMIFS(팀공격력!X:X,팀공격력!A:A,B542,팀공격력!B:B,D542)+SUMIFS(팀수비력!X:X,팀수비력!A:A,B542,팀수비력!B:B,D542))))*100,"")</f>
        <v>3.5805626598465472</v>
      </c>
      <c r="BJ542" s="67">
        <f>IFERROR(((AI542*(12000/5))/((F542*60+G542)*(SUMIFS(팀공격력!V:V,팀공격력!A:A,B542,팀공격력!B:B,D542)+SUMIFS(팀수비력!W:W,팀수비력!A:A,B542,팀수비력!B:B,D542))))*100,"")</f>
        <v>11.455350169226763</v>
      </c>
      <c r="BK542" s="67">
        <f>IFERROR(((AE542*(12000/5))/((F542*60+G542)*(SUMIFS(팀공격력!X:X,팀공격력!A:A,B542,팀공격력!B:B,D542)+SUMIFS(팀수비력!X:X,팀수비력!A:A,B542,팀수비력!B:B,D542))))*100,"")</f>
        <v>9.2071611253196934</v>
      </c>
      <c r="BL542" s="67">
        <f>IFERROR(100*AK542/(((((F542*60+G542)/(12000/5))*SUMIFS(팀공격력!P:P,팀공격력!A:A,B542,팀공격력!B:B,D542))-K542)),"")</f>
        <v>2.2358859698155396</v>
      </c>
      <c r="BM542" s="67">
        <f>IFERROR(100*((AM542/E542*(2400))/((F542*60+G542)*SUMIFS(팀공격력!AR:AR,팀공격력!A:A,B542,팀공격력!B:B,D542))),"")</f>
        <v>2.1589835449461319</v>
      </c>
      <c r="BN542" s="67">
        <f>IFERROR((AO542*40)/(((F542*60+G542)/60)*(SUMIFS(팀수비력!Q:Q,팀수비력!A:A,B542,팀수비력!B:B,D542)-SUMIFS(팀수비력!N:N,팀수비력!A:A,B542,팀수비력!B:B,D542)))*100,"")</f>
        <v>0</v>
      </c>
      <c r="BO542" s="67">
        <f t="shared" si="295"/>
        <v>10</v>
      </c>
      <c r="BT542" t="s">
        <v>89</v>
      </c>
      <c r="BV542" t="s">
        <v>93</v>
      </c>
      <c r="CF542">
        <v>4</v>
      </c>
      <c r="CG542">
        <v>6</v>
      </c>
    </row>
    <row r="543" spans="1:85" x14ac:dyDescent="0.4">
      <c r="A543" s="11" t="s">
        <v>85</v>
      </c>
      <c r="B543" t="s">
        <v>123</v>
      </c>
      <c r="C543" t="s">
        <v>137</v>
      </c>
      <c r="D543" s="46" t="s">
        <v>309</v>
      </c>
      <c r="E543">
        <v>6</v>
      </c>
      <c r="F543">
        <v>6</v>
      </c>
      <c r="G543" s="1">
        <v>11</v>
      </c>
      <c r="H543" s="16">
        <f t="shared" si="270"/>
        <v>2226</v>
      </c>
      <c r="I543">
        <v>8</v>
      </c>
      <c r="J543" s="17">
        <f t="shared" si="271"/>
        <v>1.3333333333333333</v>
      </c>
      <c r="K543">
        <v>2</v>
      </c>
      <c r="L543">
        <v>13</v>
      </c>
      <c r="M543" s="17">
        <f t="shared" si="272"/>
        <v>0.33333333333333331</v>
      </c>
      <c r="N543" s="17">
        <f t="shared" si="273"/>
        <v>2.1666666666666665</v>
      </c>
      <c r="O543" s="18">
        <f t="shared" si="274"/>
        <v>0.15384615384615385</v>
      </c>
      <c r="P543">
        <v>1</v>
      </c>
      <c r="Q543">
        <v>5</v>
      </c>
      <c r="R543" s="17">
        <f t="shared" si="275"/>
        <v>0.16666666666666666</v>
      </c>
      <c r="S543" s="17">
        <f t="shared" si="276"/>
        <v>0.83333333333333337</v>
      </c>
      <c r="T543" s="18">
        <f t="shared" si="277"/>
        <v>0.2</v>
      </c>
      <c r="U543">
        <v>1</v>
      </c>
      <c r="V543">
        <v>8</v>
      </c>
      <c r="W543" s="17">
        <f t="shared" si="278"/>
        <v>0.16666666666666666</v>
      </c>
      <c r="X543" s="17">
        <f t="shared" si="279"/>
        <v>1.3333333333333333</v>
      </c>
      <c r="Y543" s="18">
        <f t="shared" si="280"/>
        <v>0.125</v>
      </c>
      <c r="Z543">
        <v>3</v>
      </c>
      <c r="AA543">
        <v>6</v>
      </c>
      <c r="AB543" s="17">
        <f t="shared" si="281"/>
        <v>0.5</v>
      </c>
      <c r="AC543" s="17">
        <f t="shared" si="282"/>
        <v>1</v>
      </c>
      <c r="AD543" s="18">
        <f t="shared" si="283"/>
        <v>0.5</v>
      </c>
      <c r="AE543">
        <v>5</v>
      </c>
      <c r="AF543" s="17">
        <f t="shared" si="284"/>
        <v>0.83333333333333337</v>
      </c>
      <c r="AG543">
        <v>1</v>
      </c>
      <c r="AH543" s="17">
        <f t="shared" si="285"/>
        <v>0.16666666666666666</v>
      </c>
      <c r="AI543">
        <v>4</v>
      </c>
      <c r="AJ543" s="17">
        <f t="shared" si="286"/>
        <v>0.66666666666666663</v>
      </c>
      <c r="AK543">
        <v>4</v>
      </c>
      <c r="AL543" s="17">
        <f t="shared" si="287"/>
        <v>0.66666666666666663</v>
      </c>
      <c r="AM543">
        <v>2</v>
      </c>
      <c r="AN543" s="17">
        <f t="shared" si="288"/>
        <v>0.33333333333333331</v>
      </c>
      <c r="AO543">
        <v>0</v>
      </c>
      <c r="AQ543">
        <v>0</v>
      </c>
      <c r="AR543" s="17">
        <f t="shared" si="289"/>
        <v>0</v>
      </c>
      <c r="AS543">
        <v>3</v>
      </c>
      <c r="AT543" s="17">
        <f t="shared" si="290"/>
        <v>0.5</v>
      </c>
      <c r="BD543" s="65">
        <f t="shared" si="291"/>
        <v>25.575447570332482</v>
      </c>
      <c r="BE543" s="65">
        <f t="shared" si="292"/>
        <v>19.230769230769234</v>
      </c>
      <c r="BF543" s="66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12.141218518256398</v>
      </c>
      <c r="BG543" s="38">
        <f t="shared" si="293"/>
        <v>0.61538461538461542</v>
      </c>
      <c r="BH543" s="38">
        <f t="shared" si="294"/>
        <v>0.46153846153846156</v>
      </c>
      <c r="BI543" s="67">
        <f>IFERROR(((AG543*(12000/5))/((F543*60+G543)*(SUMIFS(팀공격력!X:X,팀공격력!A:A,B543,팀공격력!B:B,D543)+SUMIFS(팀수비력!X:X,팀수비력!A:A,B543,팀수비력!B:B,D543))))*100,"")</f>
        <v>0.95132392579673386</v>
      </c>
      <c r="BJ543" s="67">
        <f>IFERROR(((AI543*(12000/5))/((F543*60+G543)*(SUMIFS(팀공격력!V:V,팀공격력!A:A,B543,팀공격력!B:B,D543)+SUMIFS(팀수비력!W:W,팀수비력!A:A,B543,팀수비력!B:B,D543))))*100,"")</f>
        <v>7.747308617266814</v>
      </c>
      <c r="BK543" s="67">
        <f>IFERROR(((AE543*(12000/5))/((F543*60+G543)*(SUMIFS(팀공격력!X:X,팀공격력!A:A,B543,팀공격력!B:B,D543)+SUMIFS(팀수비력!X:X,팀수비력!A:A,B543,팀수비력!B:B,D543))))*100,"")</f>
        <v>4.7566196289836684</v>
      </c>
      <c r="BL543" s="67">
        <f>IFERROR(100*AK543/(((((F543*60+G543)/(12000/5))*SUMIFS(팀공격력!P:P,팀공격력!A:A,B543,팀공격력!B:B,D543))-K543)),"")</f>
        <v>8.1100260196668135</v>
      </c>
      <c r="BM543" s="67">
        <f>IFERROR(100*((AM543/E543*(2400))/((F543*60+G543)*SUMIFS(팀공격력!AR:AR,팀공격력!A:A,B543,팀공격력!B:B,D543))),"")</f>
        <v>2.6769068212270097</v>
      </c>
      <c r="BN543" s="67">
        <f>IFERROR((AO543*40)/(((F543*60+G543)/60)*(SUMIFS(팀수비력!Q:Q,팀수비력!A:A,B543,팀수비력!B:B,D543)-SUMIFS(팀수비력!N:N,팀수비력!A:A,B543,팀수비력!B:B,D543)))*100,"")</f>
        <v>0</v>
      </c>
      <c r="BO543" s="67">
        <f t="shared" si="295"/>
        <v>0</v>
      </c>
      <c r="BT543" t="s">
        <v>89</v>
      </c>
      <c r="BV543" t="s">
        <v>90</v>
      </c>
      <c r="CF543">
        <v>3</v>
      </c>
      <c r="CG543">
        <v>3</v>
      </c>
    </row>
    <row r="544" spans="1:85" x14ac:dyDescent="0.4">
      <c r="A544" s="11" t="s">
        <v>85</v>
      </c>
      <c r="B544" t="s">
        <v>123</v>
      </c>
      <c r="C544" t="s">
        <v>139</v>
      </c>
      <c r="D544" s="46" t="s">
        <v>309</v>
      </c>
      <c r="E544">
        <v>8</v>
      </c>
      <c r="F544">
        <v>31</v>
      </c>
      <c r="G544" s="1">
        <v>19</v>
      </c>
      <c r="H544" s="16">
        <f t="shared" si="270"/>
        <v>15032</v>
      </c>
      <c r="I544">
        <v>103</v>
      </c>
      <c r="J544" s="17">
        <f t="shared" si="271"/>
        <v>12.875</v>
      </c>
      <c r="K544">
        <v>44</v>
      </c>
      <c r="L544">
        <v>80</v>
      </c>
      <c r="M544" s="17">
        <f t="shared" si="272"/>
        <v>5.5</v>
      </c>
      <c r="N544" s="17">
        <f t="shared" si="273"/>
        <v>10</v>
      </c>
      <c r="O544" s="18">
        <f t="shared" si="274"/>
        <v>0.55000000000000004</v>
      </c>
      <c r="P544">
        <v>38</v>
      </c>
      <c r="Q544">
        <v>66</v>
      </c>
      <c r="R544" s="17">
        <f t="shared" si="275"/>
        <v>4.75</v>
      </c>
      <c r="S544" s="17">
        <f t="shared" si="276"/>
        <v>8.25</v>
      </c>
      <c r="T544" s="18">
        <f t="shared" si="277"/>
        <v>0.5757575757575758</v>
      </c>
      <c r="U544">
        <v>6</v>
      </c>
      <c r="V544">
        <v>14</v>
      </c>
      <c r="W544" s="17">
        <f t="shared" si="278"/>
        <v>0.75</v>
      </c>
      <c r="X544" s="17">
        <f t="shared" si="279"/>
        <v>1.75</v>
      </c>
      <c r="Y544" s="18">
        <f t="shared" si="280"/>
        <v>0.42857142857142855</v>
      </c>
      <c r="Z544">
        <v>9</v>
      </c>
      <c r="AA544">
        <v>19</v>
      </c>
      <c r="AB544" s="17">
        <f t="shared" si="281"/>
        <v>1.125</v>
      </c>
      <c r="AC544" s="17">
        <f t="shared" si="282"/>
        <v>2.375</v>
      </c>
      <c r="AD544" s="18">
        <f t="shared" si="283"/>
        <v>0.47368421052631576</v>
      </c>
      <c r="AE544">
        <v>31</v>
      </c>
      <c r="AF544" s="17">
        <f t="shared" si="284"/>
        <v>3.875</v>
      </c>
      <c r="AG544">
        <v>11</v>
      </c>
      <c r="AH544" s="17">
        <f t="shared" si="285"/>
        <v>1.375</v>
      </c>
      <c r="AI544">
        <v>20</v>
      </c>
      <c r="AJ544" s="17">
        <f t="shared" si="286"/>
        <v>2.5</v>
      </c>
      <c r="AK544">
        <v>9</v>
      </c>
      <c r="AL544" s="17">
        <f t="shared" si="287"/>
        <v>1.125</v>
      </c>
      <c r="AM544">
        <v>6</v>
      </c>
      <c r="AN544" s="17">
        <f t="shared" si="288"/>
        <v>0.75</v>
      </c>
      <c r="AO544">
        <v>0</v>
      </c>
      <c r="AQ544">
        <v>10</v>
      </c>
      <c r="AR544" s="17">
        <f t="shared" si="289"/>
        <v>1.25</v>
      </c>
      <c r="AS544">
        <v>20</v>
      </c>
      <c r="AT544" s="17">
        <f t="shared" si="290"/>
        <v>2.5</v>
      </c>
      <c r="BD544" s="65">
        <f t="shared" si="291"/>
        <v>58.284291534631052</v>
      </c>
      <c r="BE544" s="65">
        <f t="shared" si="292"/>
        <v>58.75</v>
      </c>
      <c r="BF544" s="66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15.076175226254392</v>
      </c>
      <c r="BG544" s="38">
        <f t="shared" si="293"/>
        <v>0.17499999999999999</v>
      </c>
      <c r="BH544" s="38">
        <f t="shared" si="294"/>
        <v>0.23749999999999999</v>
      </c>
      <c r="BI544" s="67">
        <f>IFERROR(((AG544*(12000/5))/((F544*60+G544)*(SUMIFS(팀공격력!X:X,팀공격력!A:A,B544,팀공격력!B:B,D544)+SUMIFS(팀수비력!X:X,팀수비력!A:A,B544,팀수비력!B:B,D544))))*100,"")</f>
        <v>2.0661803838086592</v>
      </c>
      <c r="BJ544" s="67">
        <f>IFERROR(((AI544*(12000/5))/((F544*60+G544)*(SUMIFS(팀공격력!V:V,팀공격력!A:A,B544,팀공격력!B:B,D544)+SUMIFS(팀수비력!W:W,팀수비력!A:A,B544,팀수비력!B:B,D544))))*100,"")</f>
        <v>7.6483541697870887</v>
      </c>
      <c r="BK544" s="67">
        <f>IFERROR(((AE544*(12000/5))/((F544*60+G544)*(SUMIFS(팀공격력!X:X,팀공격력!A:A,B544,팀공격력!B:B,D544)+SUMIFS(팀수비력!X:X,팀수비력!A:A,B544,팀수비력!B:B,D544))))*100,"")</f>
        <v>5.8228719907334945</v>
      </c>
      <c r="BL544" s="67">
        <f>IFERROR(100*AK544/(((((F544*60+G544)/(12000/5))*SUMIFS(팀공격력!P:P,팀공격력!A:A,B544,팀공격력!B:B,D544))-K544)),"")</f>
        <v>4.1680495843528327</v>
      </c>
      <c r="BM544" s="67">
        <f>IFERROR(100*((AM544/E544*(2400))/((F544*60+G544)*SUMIFS(팀공격력!AR:AR,팀공격력!A:A,B544,팀공격력!B:B,D544))),"")</f>
        <v>1.1892219100687846</v>
      </c>
      <c r="BN544" s="67">
        <f>IFERROR((AO544*40)/(((F544*60+G544)/60)*(SUMIFS(팀수비력!Q:Q,팀수비력!A:A,B544,팀수비력!B:B,D544)-SUMIFS(팀수비력!N:N,팀수비력!A:A,B544,팀수비력!B:B,D544)))*100,"")</f>
        <v>0</v>
      </c>
      <c r="BO544" s="67">
        <f t="shared" si="295"/>
        <v>10.166734444896299</v>
      </c>
      <c r="BT544" t="s">
        <v>89</v>
      </c>
      <c r="BV544" t="s">
        <v>93</v>
      </c>
      <c r="CF544">
        <v>3</v>
      </c>
      <c r="CG544">
        <v>5</v>
      </c>
    </row>
    <row r="545" spans="1:85" x14ac:dyDescent="0.4">
      <c r="A545" s="11" t="s">
        <v>85</v>
      </c>
      <c r="B545" t="s">
        <v>123</v>
      </c>
      <c r="C545" t="s">
        <v>141</v>
      </c>
      <c r="D545" s="46" t="s">
        <v>309</v>
      </c>
      <c r="E545">
        <v>1</v>
      </c>
      <c r="F545">
        <v>6</v>
      </c>
      <c r="G545" s="1">
        <v>36</v>
      </c>
      <c r="H545" s="16">
        <f t="shared" si="270"/>
        <v>396</v>
      </c>
      <c r="I545">
        <v>0</v>
      </c>
      <c r="J545" s="17">
        <f t="shared" si="271"/>
        <v>0</v>
      </c>
      <c r="K545">
        <v>0</v>
      </c>
      <c r="L545">
        <v>0</v>
      </c>
      <c r="M545" s="17">
        <f t="shared" si="272"/>
        <v>0</v>
      </c>
      <c r="N545" s="17">
        <f t="shared" si="273"/>
        <v>0</v>
      </c>
      <c r="O545" s="18" t="e">
        <f t="shared" si="274"/>
        <v>#DIV/0!</v>
      </c>
      <c r="P545">
        <v>0</v>
      </c>
      <c r="Q545">
        <v>0</v>
      </c>
      <c r="R545" s="17">
        <f t="shared" si="275"/>
        <v>0</v>
      </c>
      <c r="S545" s="17">
        <f t="shared" si="276"/>
        <v>0</v>
      </c>
      <c r="T545" s="18" t="e">
        <f t="shared" si="277"/>
        <v>#DIV/0!</v>
      </c>
      <c r="U545">
        <v>0</v>
      </c>
      <c r="V545">
        <v>0</v>
      </c>
      <c r="W545" s="17">
        <f t="shared" si="278"/>
        <v>0</v>
      </c>
      <c r="X545" s="17">
        <f t="shared" si="279"/>
        <v>0</v>
      </c>
      <c r="Y545" s="18" t="e">
        <f t="shared" si="280"/>
        <v>#DIV/0!</v>
      </c>
      <c r="Z545">
        <v>0</v>
      </c>
      <c r="AA545">
        <v>0</v>
      </c>
      <c r="AB545" s="17">
        <f t="shared" si="281"/>
        <v>0</v>
      </c>
      <c r="AC545" s="17">
        <f t="shared" si="282"/>
        <v>0</v>
      </c>
      <c r="AD545" s="18" t="e">
        <f t="shared" si="283"/>
        <v>#DIV/0!</v>
      </c>
      <c r="AE545">
        <v>0</v>
      </c>
      <c r="AF545" s="17">
        <f t="shared" si="284"/>
        <v>0</v>
      </c>
      <c r="AG545">
        <v>0</v>
      </c>
      <c r="AH545" s="17">
        <f t="shared" si="285"/>
        <v>0</v>
      </c>
      <c r="AI545">
        <v>0</v>
      </c>
      <c r="AJ545" s="17">
        <f t="shared" si="286"/>
        <v>0</v>
      </c>
      <c r="AK545">
        <v>1</v>
      </c>
      <c r="AL545" s="17">
        <f t="shared" si="287"/>
        <v>1</v>
      </c>
      <c r="AM545">
        <v>0</v>
      </c>
      <c r="AN545" s="17">
        <f t="shared" si="288"/>
        <v>0</v>
      </c>
      <c r="AO545">
        <v>0</v>
      </c>
      <c r="AQ545">
        <v>1</v>
      </c>
      <c r="AR545" s="17">
        <f t="shared" si="289"/>
        <v>1</v>
      </c>
      <c r="AS545">
        <v>0</v>
      </c>
      <c r="AT545" s="17">
        <f t="shared" si="290"/>
        <v>0</v>
      </c>
      <c r="BD545" s="65" t="str">
        <f t="shared" si="291"/>
        <v/>
      </c>
      <c r="BE545" s="65" t="str">
        <f t="shared" si="292"/>
        <v/>
      </c>
      <c r="BF545" s="66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0.72728436382254835</v>
      </c>
      <c r="BG545" s="38" t="str">
        <f t="shared" si="293"/>
        <v/>
      </c>
      <c r="BH545" s="38" t="str">
        <f t="shared" si="294"/>
        <v/>
      </c>
      <c r="BI545" s="67">
        <f>IFERROR(((AG545*(12000/5))/((F545*60+G545)*(SUMIFS(팀공격력!X:X,팀공격력!A:A,B545,팀공격력!B:B,D545)+SUMIFS(팀수비력!X:X,팀수비력!A:A,B545,팀수비력!B:B,D545))))*100,"")</f>
        <v>0</v>
      </c>
      <c r="BJ545" s="67">
        <f>IFERROR(((AI545*(12000/5))/((F545*60+G545)*(SUMIFS(팀공격력!V:V,팀공격력!A:A,B545,팀공격력!B:B,D545)+SUMIFS(팀수비력!W:W,팀수비력!A:A,B545,팀수비력!B:B,D545))))*100,"")</f>
        <v>0</v>
      </c>
      <c r="BK545" s="67">
        <f>IFERROR(((AE545*(12000/5))/((F545*60+G545)*(SUMIFS(팀공격력!X:X,팀공격력!A:A,B545,팀공격력!B:B,D545)+SUMIFS(팀수비력!X:X,팀수비력!A:A,B545,팀수비력!B:B,D545))))*100,"")</f>
        <v>0</v>
      </c>
      <c r="BL545" s="67">
        <f>IFERROR(100*AK545/(((((F545*60+G545)/(12000/5))*SUMIFS(팀공격력!P:P,팀공격력!A:A,B545,팀공격력!B:B,D545))-K545)),"")</f>
        <v>1.8254837531945964</v>
      </c>
      <c r="BM545" s="67">
        <f>IFERROR(100*((AM545/E545*(2400))/((F545*60+G545)*SUMIFS(팀공격력!AR:AR,팀공격력!A:A,B545,팀공격력!B:B,D545))),"")</f>
        <v>0</v>
      </c>
      <c r="BN545" s="67">
        <f>IFERROR((AO545*40)/(((F545*60+G545)/60)*(SUMIFS(팀수비력!Q:Q,팀수비력!A:A,B545,팀수비력!B:B,D545)-SUMIFS(팀수비력!N:N,팀수비력!A:A,B545,팀수비력!B:B,D545)))*100,"")</f>
        <v>0</v>
      </c>
      <c r="BO545" s="67">
        <f t="shared" si="295"/>
        <v>100</v>
      </c>
      <c r="BT545" t="s">
        <v>89</v>
      </c>
      <c r="BV545" t="s">
        <v>90</v>
      </c>
      <c r="CF545">
        <v>0</v>
      </c>
      <c r="CG545">
        <v>1</v>
      </c>
    </row>
    <row r="546" spans="1:85" x14ac:dyDescent="0.4">
      <c r="A546" s="11" t="s">
        <v>85</v>
      </c>
      <c r="B546" t="s">
        <v>123</v>
      </c>
      <c r="C546" t="s">
        <v>142</v>
      </c>
      <c r="D546" s="46" t="s">
        <v>309</v>
      </c>
      <c r="E546">
        <v>6</v>
      </c>
      <c r="F546">
        <v>6</v>
      </c>
      <c r="G546" s="1">
        <v>35</v>
      </c>
      <c r="H546" s="16">
        <f t="shared" si="270"/>
        <v>2370</v>
      </c>
      <c r="I546">
        <v>2</v>
      </c>
      <c r="J546" s="17">
        <f t="shared" si="271"/>
        <v>0.33333333333333331</v>
      </c>
      <c r="K546">
        <v>1</v>
      </c>
      <c r="L546">
        <v>7</v>
      </c>
      <c r="M546" s="17">
        <f t="shared" si="272"/>
        <v>0.16666666666666666</v>
      </c>
      <c r="N546" s="17">
        <f t="shared" si="273"/>
        <v>1.1666666666666667</v>
      </c>
      <c r="O546" s="18">
        <f t="shared" si="274"/>
        <v>0.14285714285714285</v>
      </c>
      <c r="P546">
        <v>1</v>
      </c>
      <c r="Q546">
        <v>1</v>
      </c>
      <c r="R546" s="17">
        <f t="shared" si="275"/>
        <v>0.16666666666666666</v>
      </c>
      <c r="S546" s="17">
        <f t="shared" si="276"/>
        <v>0.16666666666666666</v>
      </c>
      <c r="T546" s="18">
        <f t="shared" si="277"/>
        <v>1</v>
      </c>
      <c r="U546">
        <v>0</v>
      </c>
      <c r="V546">
        <v>6</v>
      </c>
      <c r="W546" s="17">
        <f t="shared" si="278"/>
        <v>0</v>
      </c>
      <c r="X546" s="17">
        <f t="shared" si="279"/>
        <v>1</v>
      </c>
      <c r="Y546" s="18">
        <f t="shared" si="280"/>
        <v>0</v>
      </c>
      <c r="Z546">
        <v>0</v>
      </c>
      <c r="AA546">
        <v>0</v>
      </c>
      <c r="AB546" s="17">
        <f t="shared" si="281"/>
        <v>0</v>
      </c>
      <c r="AC546" s="17">
        <f t="shared" si="282"/>
        <v>0</v>
      </c>
      <c r="AD546" s="18" t="e">
        <f t="shared" si="283"/>
        <v>#DIV/0!</v>
      </c>
      <c r="AE546">
        <v>3</v>
      </c>
      <c r="AF546" s="17">
        <f t="shared" si="284"/>
        <v>0.5</v>
      </c>
      <c r="AG546">
        <v>2</v>
      </c>
      <c r="AH546" s="17">
        <f t="shared" si="285"/>
        <v>0.33333333333333331</v>
      </c>
      <c r="AI546">
        <v>1</v>
      </c>
      <c r="AJ546" s="17">
        <f t="shared" si="286"/>
        <v>0.16666666666666666</v>
      </c>
      <c r="AK546">
        <v>1</v>
      </c>
      <c r="AL546" s="17">
        <f t="shared" si="287"/>
        <v>0.16666666666666666</v>
      </c>
      <c r="AM546">
        <v>2</v>
      </c>
      <c r="AN546" s="17">
        <f t="shared" si="288"/>
        <v>0.33333333333333331</v>
      </c>
      <c r="AO546">
        <v>0</v>
      </c>
      <c r="AQ546">
        <v>2</v>
      </c>
      <c r="AR546" s="17">
        <f t="shared" si="289"/>
        <v>0.33333333333333331</v>
      </c>
      <c r="AS546">
        <v>6</v>
      </c>
      <c r="AT546" s="17">
        <f t="shared" si="290"/>
        <v>1</v>
      </c>
      <c r="BD546" s="65">
        <f t="shared" si="291"/>
        <v>14.285714285714285</v>
      </c>
      <c r="BE546" s="65">
        <f t="shared" si="292"/>
        <v>14.285714285714285</v>
      </c>
      <c r="BF546" s="66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6.5621303105406641</v>
      </c>
      <c r="BG546" s="38">
        <f t="shared" si="293"/>
        <v>0.8571428571428571</v>
      </c>
      <c r="BH546" s="38">
        <f t="shared" si="294"/>
        <v>0</v>
      </c>
      <c r="BI546" s="67">
        <f>IFERROR(((AG546*(12000/5))/((F546*60+G546)*(SUMIFS(팀공격력!X:X,팀공격력!A:A,B546,팀공격력!B:B,D546)+SUMIFS(팀수비력!X:X,팀수비력!A:A,B546,팀수비력!B:B,D546))))*100,"")</f>
        <v>1.7870439314966493</v>
      </c>
      <c r="BJ546" s="67">
        <f>IFERROR(((AI546*(12000/5))/((F546*60+G546)*(SUMIFS(팀공격력!V:V,팀공격력!A:A,B546,팀공격력!B:B,D546)+SUMIFS(팀수비력!W:W,팀수비력!A:A,B546,팀수비력!B:B,D546))))*100,"")</f>
        <v>1.8191465170923973</v>
      </c>
      <c r="BK546" s="67">
        <f>IFERROR(((AE546*(12000/5))/((F546*60+G546)*(SUMIFS(팀공격력!X:X,팀공격력!A:A,B546,팀공격력!B:B,D546)+SUMIFS(팀수비력!X:X,팀수비력!A:A,B546,팀수비력!B:B,D546))))*100,"")</f>
        <v>2.680565897244974</v>
      </c>
      <c r="BL546" s="67">
        <f>IFERROR(100*AK546/(((((F546*60+G546)/(12000/5))*SUMIFS(팀공격력!P:P,팀공격력!A:A,B546,팀공격력!B:B,D546))-K546)),"")</f>
        <v>1.8642224638806899</v>
      </c>
      <c r="BM546" s="67">
        <f>IFERROR(100*((AM546/E546*(2400))/((F546*60+G546)*SUMIFS(팀공격력!AR:AR,팀공격력!A:A,B546,팀공격력!B:B,D546))),"")</f>
        <v>2.5142593181651156</v>
      </c>
      <c r="BN546" s="67">
        <f>IFERROR((AO546*40)/(((F546*60+G546)/60)*(SUMIFS(팀수비력!Q:Q,팀수비력!A:A,B546,팀수비력!B:B,D546)-SUMIFS(팀수비력!N:N,팀수비력!A:A,B546,팀수비력!B:B,D546)))*100,"")</f>
        <v>0</v>
      </c>
      <c r="BO546" s="67">
        <f t="shared" si="295"/>
        <v>22.222222222222221</v>
      </c>
      <c r="BT546" t="s">
        <v>89</v>
      </c>
      <c r="BV546" t="s">
        <v>90</v>
      </c>
      <c r="CF546">
        <v>3</v>
      </c>
      <c r="CG546">
        <v>3</v>
      </c>
    </row>
    <row r="547" spans="1:85" x14ac:dyDescent="0.4">
      <c r="A547" s="11" t="s">
        <v>85</v>
      </c>
      <c r="B547" t="s">
        <v>123</v>
      </c>
      <c r="C547" t="s">
        <v>143</v>
      </c>
      <c r="D547" s="46" t="s">
        <v>309</v>
      </c>
      <c r="E547">
        <v>9</v>
      </c>
      <c r="F547">
        <v>27</v>
      </c>
      <c r="G547" s="1">
        <v>51</v>
      </c>
      <c r="H547" s="16">
        <f t="shared" si="270"/>
        <v>15039</v>
      </c>
      <c r="I547">
        <v>57</v>
      </c>
      <c r="J547" s="17">
        <f t="shared" si="271"/>
        <v>6.333333333333333</v>
      </c>
      <c r="K547">
        <v>18</v>
      </c>
      <c r="L547">
        <v>34</v>
      </c>
      <c r="M547" s="17">
        <f t="shared" si="272"/>
        <v>2</v>
      </c>
      <c r="N547" s="17">
        <f t="shared" si="273"/>
        <v>3.7777777777777777</v>
      </c>
      <c r="O547" s="18">
        <f t="shared" si="274"/>
        <v>0.52941176470588236</v>
      </c>
      <c r="P547">
        <v>6</v>
      </c>
      <c r="Q547">
        <v>10</v>
      </c>
      <c r="R547" s="17">
        <f t="shared" si="275"/>
        <v>0.66666666666666663</v>
      </c>
      <c r="S547" s="17">
        <f t="shared" si="276"/>
        <v>1.1111111111111112</v>
      </c>
      <c r="T547" s="18">
        <f t="shared" si="277"/>
        <v>0.6</v>
      </c>
      <c r="U547">
        <v>12</v>
      </c>
      <c r="V547">
        <v>24</v>
      </c>
      <c r="W547" s="17">
        <f t="shared" si="278"/>
        <v>1.3333333333333333</v>
      </c>
      <c r="X547" s="17">
        <f t="shared" si="279"/>
        <v>2.6666666666666665</v>
      </c>
      <c r="Y547" s="18">
        <f t="shared" si="280"/>
        <v>0.5</v>
      </c>
      <c r="Z547">
        <v>9</v>
      </c>
      <c r="AA547">
        <v>12</v>
      </c>
      <c r="AB547" s="17">
        <f t="shared" si="281"/>
        <v>1</v>
      </c>
      <c r="AC547" s="17">
        <f t="shared" si="282"/>
        <v>1.3333333333333333</v>
      </c>
      <c r="AD547" s="18">
        <f t="shared" si="283"/>
        <v>0.75</v>
      </c>
      <c r="AE547">
        <v>39</v>
      </c>
      <c r="AF547" s="17">
        <f t="shared" si="284"/>
        <v>4.333333333333333</v>
      </c>
      <c r="AG547">
        <v>18</v>
      </c>
      <c r="AH547" s="17">
        <f t="shared" si="285"/>
        <v>2</v>
      </c>
      <c r="AI547">
        <v>21</v>
      </c>
      <c r="AJ547" s="17">
        <f t="shared" si="286"/>
        <v>2.3333333333333335</v>
      </c>
      <c r="AK547">
        <v>17</v>
      </c>
      <c r="AL547" s="17">
        <f t="shared" si="287"/>
        <v>1.8888888888888888</v>
      </c>
      <c r="AM547">
        <v>5</v>
      </c>
      <c r="AN547" s="17">
        <f t="shared" si="288"/>
        <v>0.55555555555555558</v>
      </c>
      <c r="AO547">
        <v>4</v>
      </c>
      <c r="AQ547">
        <v>9</v>
      </c>
      <c r="AR547" s="17">
        <f t="shared" si="289"/>
        <v>1</v>
      </c>
      <c r="AS547">
        <v>28</v>
      </c>
      <c r="AT547" s="17">
        <f t="shared" si="290"/>
        <v>3.1111111111111112</v>
      </c>
      <c r="BD547" s="65">
        <f t="shared" si="291"/>
        <v>72.556008146639499</v>
      </c>
      <c r="BE547" s="65">
        <f t="shared" si="292"/>
        <v>70.588235294117652</v>
      </c>
      <c r="BF547" s="66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8.3212821530817749</v>
      </c>
      <c r="BG547" s="38">
        <f t="shared" si="293"/>
        <v>0.70588235294117652</v>
      </c>
      <c r="BH547" s="38">
        <f t="shared" si="294"/>
        <v>0.35294117647058826</v>
      </c>
      <c r="BI547" s="67">
        <f>IFERROR(((AG547*(12000/5))/((F547*60+G547)*(SUMIFS(팀공격력!X:X,팀공격력!A:A,B547,팀공격력!B:B,D547)+SUMIFS(팀수비력!X:X,팀수비력!A:A,B547,팀수비력!B:B,D547))))*100,"")</f>
        <v>3.8018798183546307</v>
      </c>
      <c r="BJ547" s="67">
        <f>IFERROR(((AI547*(12000/5))/((F547*60+G547)*(SUMIFS(팀공격력!V:V,팀공격력!A:A,B547,팀공격력!B:B,D547)+SUMIFS(팀수비력!W:W,팀수비력!A:A,B547,팀수비력!B:B,D547))))*100,"")</f>
        <v>9.030413141401219</v>
      </c>
      <c r="BK547" s="67">
        <f>IFERROR(((AE547*(12000/5))/((F547*60+G547)*(SUMIFS(팀공격력!X:X,팀공격력!A:A,B547,팀공격력!B:B,D547)+SUMIFS(팀수비력!X:X,팀수비력!A:A,B547,팀수비력!B:B,D547))))*100,"")</f>
        <v>8.2374062731017013</v>
      </c>
      <c r="BL547" s="67">
        <f>IFERROR(100*AK547/(((((F547*60+G547)/(12000/5))*SUMIFS(팀공격력!P:P,팀공격력!A:A,B547,팀공격력!B:B,D547))-K547)),"")</f>
        <v>7.9754169501067302</v>
      </c>
      <c r="BM547" s="67">
        <f>IFERROR(100*((AM547/E547*(2400))/((F547*60+G547)*SUMIFS(팀공격력!AR:AR,팀공격력!A:A,B547,팀공격력!B:B,D547))),"")</f>
        <v>0.99055698252066704</v>
      </c>
      <c r="BN547" s="67">
        <f>IFERROR((AO547*40)/(((F547*60+G547)/60)*(SUMIFS(팀수비력!Q:Q,팀수비력!A:A,B547,팀수비력!B:B,D547)-SUMIFS(팀수비력!N:N,팀수비력!A:A,B547,팀수비력!B:B,D547)))*100,"")</f>
        <v>1.4326839991582982</v>
      </c>
      <c r="BO547" s="67">
        <f t="shared" si="295"/>
        <v>18.641259320629661</v>
      </c>
      <c r="BT547" t="s">
        <v>89</v>
      </c>
      <c r="BV547" t="s">
        <v>93</v>
      </c>
      <c r="CF547">
        <v>4</v>
      </c>
      <c r="CG547">
        <v>5</v>
      </c>
    </row>
    <row r="548" spans="1:85" x14ac:dyDescent="0.4">
      <c r="A548" s="11" t="s">
        <v>85</v>
      </c>
      <c r="B548" t="s">
        <v>145</v>
      </c>
      <c r="C548" t="s">
        <v>146</v>
      </c>
      <c r="D548" s="46" t="s">
        <v>309</v>
      </c>
      <c r="E548">
        <v>2</v>
      </c>
      <c r="F548">
        <v>3</v>
      </c>
      <c r="G548" s="1">
        <v>40</v>
      </c>
      <c r="H548" s="16">
        <f t="shared" si="270"/>
        <v>440</v>
      </c>
      <c r="I548">
        <v>9</v>
      </c>
      <c r="J548" s="17">
        <f t="shared" si="271"/>
        <v>4.5</v>
      </c>
      <c r="K548">
        <v>4</v>
      </c>
      <c r="L548">
        <v>8</v>
      </c>
      <c r="M548" s="17">
        <f t="shared" si="272"/>
        <v>2</v>
      </c>
      <c r="N548" s="17">
        <f t="shared" si="273"/>
        <v>4</v>
      </c>
      <c r="O548" s="18">
        <f t="shared" si="274"/>
        <v>0.5</v>
      </c>
      <c r="P548">
        <v>3</v>
      </c>
      <c r="Q548">
        <v>5</v>
      </c>
      <c r="R548" s="17">
        <f t="shared" si="275"/>
        <v>1.5</v>
      </c>
      <c r="S548" s="17">
        <f t="shared" si="276"/>
        <v>2.5</v>
      </c>
      <c r="T548" s="18">
        <f t="shared" si="277"/>
        <v>0.6</v>
      </c>
      <c r="U548">
        <v>1</v>
      </c>
      <c r="V548">
        <v>3</v>
      </c>
      <c r="W548" s="17">
        <f t="shared" si="278"/>
        <v>0.5</v>
      </c>
      <c r="X548" s="17">
        <f t="shared" si="279"/>
        <v>1.5</v>
      </c>
      <c r="Y548" s="18">
        <f t="shared" si="280"/>
        <v>0.33333333333333331</v>
      </c>
      <c r="Z548">
        <v>0</v>
      </c>
      <c r="AA548">
        <v>0</v>
      </c>
      <c r="AB548" s="17">
        <f t="shared" si="281"/>
        <v>0</v>
      </c>
      <c r="AC548" s="17">
        <f t="shared" si="282"/>
        <v>0</v>
      </c>
      <c r="AD548" s="18" t="e">
        <f t="shared" si="283"/>
        <v>#DIV/0!</v>
      </c>
      <c r="AE548">
        <v>1</v>
      </c>
      <c r="AF548" s="17">
        <f t="shared" si="284"/>
        <v>0.5</v>
      </c>
      <c r="AG548">
        <v>0</v>
      </c>
      <c r="AH548" s="17">
        <f t="shared" si="285"/>
        <v>0</v>
      </c>
      <c r="AI548">
        <v>1</v>
      </c>
      <c r="AJ548" s="17">
        <f t="shared" si="286"/>
        <v>0.5</v>
      </c>
      <c r="AK548">
        <v>0</v>
      </c>
      <c r="AL548" s="17">
        <f t="shared" si="287"/>
        <v>0</v>
      </c>
      <c r="AM548">
        <v>0</v>
      </c>
      <c r="AN548" s="17">
        <f t="shared" si="288"/>
        <v>0</v>
      </c>
      <c r="AO548">
        <v>0</v>
      </c>
      <c r="AQ548">
        <v>0</v>
      </c>
      <c r="AR548" s="17">
        <f t="shared" si="289"/>
        <v>0</v>
      </c>
      <c r="AS548">
        <v>0</v>
      </c>
      <c r="AT548" s="17">
        <f t="shared" si="290"/>
        <v>0</v>
      </c>
      <c r="BD548" s="65">
        <f t="shared" si="291"/>
        <v>56.25</v>
      </c>
      <c r="BE548" s="65">
        <f t="shared" si="292"/>
        <v>56.25</v>
      </c>
      <c r="BF548" s="66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10.892207986711506</v>
      </c>
      <c r="BG548" s="38">
        <f t="shared" si="293"/>
        <v>0.375</v>
      </c>
      <c r="BH548" s="38">
        <f t="shared" si="294"/>
        <v>0</v>
      </c>
      <c r="BI548" s="67">
        <f>IFERROR(((AG548*(12000/5))/((F548*60+G548)*(SUMIFS(팀공격력!X:X,팀공격력!A:A,B548,팀공격력!B:B,D548)+SUMIFS(팀수비력!X:X,팀수비력!A:A,B548,팀수비력!B:B,D548))))*100,"")</f>
        <v>0</v>
      </c>
      <c r="BJ548" s="67">
        <f>IFERROR(((AI548*(12000/5))/((F548*60+G548)*(SUMIFS(팀공격력!V:V,팀공격력!A:A,B548,팀공격력!B:B,D548)+SUMIFS(팀수비력!W:W,팀수비력!A:A,B548,팀수비력!B:B,D548))))*100,"")</f>
        <v>3.3984706881903146</v>
      </c>
      <c r="BK548" s="67">
        <f>IFERROR(((AE548*(12000/5))/((F548*60+G548)*(SUMIFS(팀공격력!X:X,팀공격력!A:A,B548,팀공격력!B:B,D548)+SUMIFS(팀수비력!X:X,팀수비력!A:A,B548,팀수비력!B:B,D548))))*100,"")</f>
        <v>1.642935377875137</v>
      </c>
      <c r="BL548" s="67">
        <f>IFERROR(100*AK548/(((((F548*60+G548)/(12000/5))*SUMIFS(팀공격력!P:P,팀공격력!A:A,B548,팀공격력!B:B,D548))-K548)),"")</f>
        <v>0</v>
      </c>
      <c r="BM548" s="67">
        <f>IFERROR(100*((AM548/E548*(2400))/((F548*60+G548)*SUMIFS(팀공격력!AR:AR,팀공격력!A:A,B548,팀공격력!B:B,D548))),"")</f>
        <v>0</v>
      </c>
      <c r="BN548" s="67">
        <f>IFERROR((AO548*40)/(((F548*60+G548)/60)*(SUMIFS(팀수비력!Q:Q,팀수비력!A:A,B548,팀수비력!B:B,D548)-SUMIFS(팀수비력!N:N,팀수비력!A:A,B548,팀수비력!B:B,D548)))*100,"")</f>
        <v>0</v>
      </c>
      <c r="BO548" s="67">
        <f t="shared" si="295"/>
        <v>0</v>
      </c>
      <c r="BT548" t="s">
        <v>89</v>
      </c>
      <c r="BV548" t="s">
        <v>93</v>
      </c>
      <c r="CF548">
        <v>1</v>
      </c>
      <c r="CG548">
        <v>1</v>
      </c>
    </row>
    <row r="549" spans="1:85" x14ac:dyDescent="0.4">
      <c r="A549" s="11" t="s">
        <v>85</v>
      </c>
      <c r="B549" t="s">
        <v>145</v>
      </c>
      <c r="C549" t="s">
        <v>147</v>
      </c>
      <c r="D549" s="46" t="s">
        <v>309</v>
      </c>
      <c r="E549">
        <v>2</v>
      </c>
      <c r="F549">
        <v>4</v>
      </c>
      <c r="G549" s="1">
        <v>12</v>
      </c>
      <c r="H549" s="16">
        <f t="shared" si="270"/>
        <v>504</v>
      </c>
      <c r="I549">
        <v>5</v>
      </c>
      <c r="J549" s="17">
        <f t="shared" si="271"/>
        <v>2.5</v>
      </c>
      <c r="K549">
        <v>2</v>
      </c>
      <c r="L549">
        <v>6</v>
      </c>
      <c r="M549" s="17">
        <f t="shared" si="272"/>
        <v>1</v>
      </c>
      <c r="N549" s="17">
        <f t="shared" si="273"/>
        <v>3</v>
      </c>
      <c r="O549" s="18">
        <f t="shared" si="274"/>
        <v>0.33333333333333331</v>
      </c>
      <c r="P549">
        <v>1</v>
      </c>
      <c r="Q549">
        <v>2</v>
      </c>
      <c r="R549" s="17">
        <f t="shared" si="275"/>
        <v>0.5</v>
      </c>
      <c r="S549" s="17">
        <f t="shared" si="276"/>
        <v>1</v>
      </c>
      <c r="T549" s="18">
        <f t="shared" si="277"/>
        <v>0.5</v>
      </c>
      <c r="U549">
        <v>1</v>
      </c>
      <c r="V549">
        <v>4</v>
      </c>
      <c r="W549" s="17">
        <f t="shared" si="278"/>
        <v>0.5</v>
      </c>
      <c r="X549" s="17">
        <f t="shared" si="279"/>
        <v>2</v>
      </c>
      <c r="Y549" s="18">
        <f t="shared" si="280"/>
        <v>0.25</v>
      </c>
      <c r="Z549">
        <v>0</v>
      </c>
      <c r="AA549">
        <v>0</v>
      </c>
      <c r="AB549" s="17">
        <f t="shared" si="281"/>
        <v>0</v>
      </c>
      <c r="AC549" s="17">
        <f t="shared" si="282"/>
        <v>0</v>
      </c>
      <c r="AD549" s="18" t="e">
        <f t="shared" si="283"/>
        <v>#DIV/0!</v>
      </c>
      <c r="AE549">
        <v>0</v>
      </c>
      <c r="AF549" s="17">
        <f t="shared" si="284"/>
        <v>0</v>
      </c>
      <c r="AG549">
        <v>0</v>
      </c>
      <c r="AH549" s="17">
        <f t="shared" si="285"/>
        <v>0</v>
      </c>
      <c r="AI549">
        <v>0</v>
      </c>
      <c r="AJ549" s="17">
        <f t="shared" si="286"/>
        <v>0</v>
      </c>
      <c r="AK549">
        <v>0</v>
      </c>
      <c r="AL549" s="17">
        <f t="shared" si="287"/>
        <v>0</v>
      </c>
      <c r="AM549">
        <v>0</v>
      </c>
      <c r="AN549" s="17">
        <f t="shared" si="288"/>
        <v>0</v>
      </c>
      <c r="AO549">
        <v>0</v>
      </c>
      <c r="AQ549">
        <v>0</v>
      </c>
      <c r="AR549" s="17">
        <f t="shared" si="289"/>
        <v>0</v>
      </c>
      <c r="AS549">
        <v>1</v>
      </c>
      <c r="AT549" s="17">
        <f t="shared" si="290"/>
        <v>0.5</v>
      </c>
      <c r="BD549" s="65">
        <f t="shared" si="291"/>
        <v>41.666666666666671</v>
      </c>
      <c r="BE549" s="65">
        <f t="shared" si="292"/>
        <v>41.666666666666671</v>
      </c>
      <c r="BF549" s="66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7.1318028484420575</v>
      </c>
      <c r="BG549" s="38">
        <f t="shared" si="293"/>
        <v>0.66666666666666663</v>
      </c>
      <c r="BH549" s="38">
        <f t="shared" si="294"/>
        <v>0</v>
      </c>
      <c r="BI549" s="67">
        <f>IFERROR(((AG549*(12000/5))/((F549*60+G549)*(SUMIFS(팀공격력!X:X,팀공격력!A:A,B549,팀공격력!B:B,D549)+SUMIFS(팀수비력!X:X,팀수비력!A:A,B549,팀수비력!B:B,D549))))*100,"")</f>
        <v>0</v>
      </c>
      <c r="BJ549" s="67">
        <f>IFERROR(((AI549*(12000/5))/((F549*60+G549)*(SUMIFS(팀공격력!V:V,팀공격력!A:A,B549,팀공격력!B:B,D549)+SUMIFS(팀수비력!W:W,팀수비력!A:A,B549,팀수비력!B:B,D549))))*100,"")</f>
        <v>0</v>
      </c>
      <c r="BK549" s="67">
        <f>IFERROR(((AE549*(12000/5))/((F549*60+G549)*(SUMIFS(팀공격력!X:X,팀공격력!A:A,B549,팀공격력!B:B,D549)+SUMIFS(팀수비력!X:X,팀수비력!A:A,B549,팀수비력!B:B,D549))))*100,"")</f>
        <v>0</v>
      </c>
      <c r="BL549" s="67">
        <f>IFERROR(100*AK549/(((((F549*60+G549)/(12000/5))*SUMIFS(팀공격력!P:P,팀공격력!A:A,B549,팀공격력!B:B,D549))-K549)),"")</f>
        <v>0</v>
      </c>
      <c r="BM549" s="67">
        <f>IFERROR(100*((AM549/E549*(2400))/((F549*60+G549)*SUMIFS(팀공격력!AR:AR,팀공격력!A:A,B549,팀공격력!B:B,D549))),"")</f>
        <v>0</v>
      </c>
      <c r="BN549" s="67">
        <f>IFERROR((AO549*40)/(((F549*60+G549)/60)*(SUMIFS(팀수비력!Q:Q,팀수비력!A:A,B549,팀수비력!B:B,D549)-SUMIFS(팀수비력!N:N,팀수비력!A:A,B549,팀수비력!B:B,D549)))*100,"")</f>
        <v>0</v>
      </c>
      <c r="BO549" s="67">
        <f t="shared" si="295"/>
        <v>0</v>
      </c>
      <c r="BT549" t="s">
        <v>89</v>
      </c>
      <c r="BV549" t="s">
        <v>90</v>
      </c>
      <c r="CF549">
        <v>1</v>
      </c>
      <c r="CG549">
        <v>1</v>
      </c>
    </row>
    <row r="550" spans="1:85" x14ac:dyDescent="0.4">
      <c r="A550" s="11" t="s">
        <v>85</v>
      </c>
      <c r="B550" t="s">
        <v>145</v>
      </c>
      <c r="C550" t="s">
        <v>148</v>
      </c>
      <c r="D550" s="46" t="s">
        <v>309</v>
      </c>
      <c r="E550">
        <v>9</v>
      </c>
      <c r="F550">
        <v>22</v>
      </c>
      <c r="G550" s="1">
        <v>8</v>
      </c>
      <c r="H550" s="16">
        <f t="shared" si="270"/>
        <v>11952</v>
      </c>
      <c r="I550">
        <v>164</v>
      </c>
      <c r="J550" s="17">
        <f t="shared" si="271"/>
        <v>18.222222222222221</v>
      </c>
      <c r="K550">
        <v>71</v>
      </c>
      <c r="L550">
        <v>108</v>
      </c>
      <c r="M550" s="17">
        <f t="shared" si="272"/>
        <v>7.8888888888888893</v>
      </c>
      <c r="N550" s="17">
        <f t="shared" si="273"/>
        <v>12</v>
      </c>
      <c r="O550" s="18">
        <f t="shared" si="274"/>
        <v>0.65740740740740744</v>
      </c>
      <c r="P550">
        <v>68</v>
      </c>
      <c r="Q550">
        <v>98</v>
      </c>
      <c r="R550" s="17">
        <f t="shared" si="275"/>
        <v>7.5555555555555554</v>
      </c>
      <c r="S550" s="17">
        <f t="shared" si="276"/>
        <v>10.888888888888889</v>
      </c>
      <c r="T550" s="18">
        <f t="shared" si="277"/>
        <v>0.69387755102040816</v>
      </c>
      <c r="U550">
        <v>3</v>
      </c>
      <c r="V550">
        <v>10</v>
      </c>
      <c r="W550" s="17">
        <f t="shared" si="278"/>
        <v>0.33333333333333331</v>
      </c>
      <c r="X550" s="17">
        <f t="shared" si="279"/>
        <v>1.1111111111111112</v>
      </c>
      <c r="Y550" s="18">
        <f t="shared" si="280"/>
        <v>0.3</v>
      </c>
      <c r="Z550">
        <v>19</v>
      </c>
      <c r="AA550">
        <v>25</v>
      </c>
      <c r="AB550" s="17">
        <f t="shared" si="281"/>
        <v>2.1111111111111112</v>
      </c>
      <c r="AC550" s="17">
        <f t="shared" si="282"/>
        <v>2.7777777777777777</v>
      </c>
      <c r="AD550" s="18">
        <f t="shared" si="283"/>
        <v>0.76</v>
      </c>
      <c r="AE550">
        <v>93</v>
      </c>
      <c r="AF550" s="17">
        <f t="shared" si="284"/>
        <v>10.333333333333334</v>
      </c>
      <c r="AG550">
        <v>37</v>
      </c>
      <c r="AH550" s="17">
        <f t="shared" si="285"/>
        <v>4.1111111111111107</v>
      </c>
      <c r="AI550">
        <v>56</v>
      </c>
      <c r="AJ550" s="17">
        <f t="shared" si="286"/>
        <v>6.2222222222222223</v>
      </c>
      <c r="AK550">
        <v>8</v>
      </c>
      <c r="AL550" s="17">
        <f t="shared" si="287"/>
        <v>0.88888888888888884</v>
      </c>
      <c r="AM550">
        <v>2</v>
      </c>
      <c r="AN550" s="17">
        <f t="shared" si="288"/>
        <v>0.22222222222222221</v>
      </c>
      <c r="AO550">
        <v>8</v>
      </c>
      <c r="AQ550">
        <v>20</v>
      </c>
      <c r="AR550" s="17">
        <f t="shared" si="289"/>
        <v>2.2222222222222223</v>
      </c>
      <c r="AS550">
        <v>15</v>
      </c>
      <c r="AT550" s="17">
        <f t="shared" si="290"/>
        <v>1.6666666666666667</v>
      </c>
      <c r="BD550" s="65">
        <f t="shared" si="291"/>
        <v>68.907563025210081</v>
      </c>
      <c r="BE550" s="65">
        <f t="shared" si="292"/>
        <v>67.129629629629633</v>
      </c>
      <c r="BF550" s="66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31.35200679909995</v>
      </c>
      <c r="BG550" s="38">
        <f t="shared" si="293"/>
        <v>9.2592592592592587E-2</v>
      </c>
      <c r="BH550" s="38">
        <f t="shared" si="294"/>
        <v>0.23148148148148148</v>
      </c>
      <c r="BI550" s="67">
        <f>IFERROR(((AG550*(12000/5))/((F550*60+G550)*(SUMIFS(팀공격력!X:X,팀공격력!A:A,B550,팀공격력!B:B,D550)+SUMIFS(팀수비력!X:X,팀수비력!A:A,B550,팀수비력!B:B,D550))))*100,"")</f>
        <v>10.070402090288866</v>
      </c>
      <c r="BJ550" s="67">
        <f>IFERROR(((AI550*(12000/5))/((F550*60+G550)*(SUMIFS(팀공격력!V:V,팀공격력!A:A,B550,팀공격력!B:B,D550)+SUMIFS(팀수비력!W:W,팀수비력!A:A,B550,팀수비력!B:B,D550))))*100,"")</f>
        <v>31.527981083211348</v>
      </c>
      <c r="BK550" s="67">
        <f>IFERROR(((AE550*(12000/5))/((F550*60+G550)*(SUMIFS(팀공격력!X:X,팀공격력!A:A,B550,팀공격력!B:B,D550)+SUMIFS(팀수비력!X:X,팀수비력!A:A,B550,팀수비력!B:B,D550))))*100,"")</f>
        <v>25.312091740455799</v>
      </c>
      <c r="BL550" s="67">
        <f>IFERROR(100*AK550/(((((F550*60+G550)/(12000/5))*SUMIFS(팀공격력!P:P,팀공격력!A:A,B550,팀공격력!B:B,D550))-K550)),"")</f>
        <v>8.4703889320251289</v>
      </c>
      <c r="BM550" s="67">
        <f>IFERROR(100*((AM550/E550*(2400))/((F550*60+G550)*SUMIFS(팀공격력!AR:AR,팀공격력!A:A,B550,팀공격력!B:B,D550))),"")</f>
        <v>0.53617737323667192</v>
      </c>
      <c r="BN550" s="67">
        <f>IFERROR((AO550*40)/(((F550*60+G550)/60)*(SUMIFS(팀수비력!Q:Q,팀수비력!A:A,B550,팀수비력!B:B,D550)-SUMIFS(팀수비력!N:N,팀수비력!A:A,B550,팀수비력!B:B,D550)))*100,"")</f>
        <v>3.3859089754803762</v>
      </c>
      <c r="BO550" s="67">
        <f t="shared" si="295"/>
        <v>14.388489208633093</v>
      </c>
      <c r="BT550" t="s">
        <v>96</v>
      </c>
      <c r="BV550" t="s">
        <v>102</v>
      </c>
      <c r="CF550">
        <v>7</v>
      </c>
      <c r="CG550">
        <v>2</v>
      </c>
    </row>
    <row r="551" spans="1:85" x14ac:dyDescent="0.4">
      <c r="A551" s="11" t="s">
        <v>85</v>
      </c>
      <c r="B551" t="s">
        <v>145</v>
      </c>
      <c r="C551" t="s">
        <v>150</v>
      </c>
      <c r="D551" s="46" t="s">
        <v>309</v>
      </c>
      <c r="E551">
        <v>9</v>
      </c>
      <c r="F551">
        <v>32</v>
      </c>
      <c r="G551" s="1">
        <v>5</v>
      </c>
      <c r="H551" s="16">
        <f t="shared" si="270"/>
        <v>17325</v>
      </c>
      <c r="I551">
        <v>95</v>
      </c>
      <c r="J551" s="17">
        <f t="shared" si="271"/>
        <v>10.555555555555555</v>
      </c>
      <c r="K551">
        <v>35</v>
      </c>
      <c r="L551">
        <v>83</v>
      </c>
      <c r="M551" s="17">
        <f t="shared" si="272"/>
        <v>3.8888888888888888</v>
      </c>
      <c r="N551" s="17">
        <f t="shared" si="273"/>
        <v>9.2222222222222214</v>
      </c>
      <c r="O551" s="18">
        <f t="shared" si="274"/>
        <v>0.42168674698795183</v>
      </c>
      <c r="P551">
        <v>30</v>
      </c>
      <c r="Q551">
        <v>57</v>
      </c>
      <c r="R551" s="17">
        <f t="shared" si="275"/>
        <v>3.3333333333333335</v>
      </c>
      <c r="S551" s="17">
        <f t="shared" si="276"/>
        <v>6.333333333333333</v>
      </c>
      <c r="T551" s="18">
        <f t="shared" si="277"/>
        <v>0.52631578947368418</v>
      </c>
      <c r="U551">
        <v>5</v>
      </c>
      <c r="V551">
        <v>26</v>
      </c>
      <c r="W551" s="17">
        <f t="shared" si="278"/>
        <v>0.55555555555555558</v>
      </c>
      <c r="X551" s="17">
        <f t="shared" si="279"/>
        <v>2.8888888888888888</v>
      </c>
      <c r="Y551" s="18">
        <f t="shared" si="280"/>
        <v>0.19230769230769232</v>
      </c>
      <c r="Z551">
        <v>20</v>
      </c>
      <c r="AA551">
        <v>27</v>
      </c>
      <c r="AB551" s="17">
        <f t="shared" si="281"/>
        <v>2.2222222222222223</v>
      </c>
      <c r="AC551" s="17">
        <f t="shared" si="282"/>
        <v>3</v>
      </c>
      <c r="AD551" s="18">
        <f t="shared" si="283"/>
        <v>0.7407407407407407</v>
      </c>
      <c r="AE551">
        <v>40</v>
      </c>
      <c r="AF551" s="17">
        <f t="shared" si="284"/>
        <v>4.4444444444444446</v>
      </c>
      <c r="AG551">
        <v>7</v>
      </c>
      <c r="AH551" s="17">
        <f t="shared" si="285"/>
        <v>0.77777777777777779</v>
      </c>
      <c r="AI551">
        <v>33</v>
      </c>
      <c r="AJ551" s="17">
        <f t="shared" si="286"/>
        <v>3.6666666666666665</v>
      </c>
      <c r="AK551">
        <v>26</v>
      </c>
      <c r="AL551" s="17">
        <f t="shared" si="287"/>
        <v>2.8888888888888888</v>
      </c>
      <c r="AM551">
        <v>5</v>
      </c>
      <c r="AN551" s="17">
        <f t="shared" si="288"/>
        <v>0.55555555555555558</v>
      </c>
      <c r="AO551">
        <v>1</v>
      </c>
      <c r="AQ551">
        <v>11</v>
      </c>
      <c r="AR551" s="17">
        <f t="shared" si="289"/>
        <v>1.2222222222222223</v>
      </c>
      <c r="AS551">
        <v>25</v>
      </c>
      <c r="AT551" s="17">
        <f t="shared" si="290"/>
        <v>2.7777777777777777</v>
      </c>
      <c r="BD551" s="65">
        <f t="shared" si="291"/>
        <v>50.063237774030355</v>
      </c>
      <c r="BE551" s="65">
        <f t="shared" si="292"/>
        <v>45.180722891566269</v>
      </c>
      <c r="BF551" s="66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16.475242594757347</v>
      </c>
      <c r="BG551" s="38">
        <f t="shared" si="293"/>
        <v>0.31325301204819278</v>
      </c>
      <c r="BH551" s="38">
        <f t="shared" si="294"/>
        <v>0.3253012048192771</v>
      </c>
      <c r="BI551" s="67">
        <f>IFERROR(((AG551*(12000/5))/((F551*60+G551)*(SUMIFS(팀공격력!X:X,팀공격력!A:A,B551,팀공격력!B:B,D551)+SUMIFS(팀수비력!X:X,팀수비력!A:A,B551,팀수비력!B:B,D551))))*100,"")</f>
        <v>1.3143483023001095</v>
      </c>
      <c r="BJ551" s="67">
        <f>IFERROR(((AI551*(12000/5))/((F551*60+G551)*(SUMIFS(팀공격력!V:V,팀공격력!A:A,B551,팀공격력!B:B,D551)+SUMIFS(팀수비력!W:W,팀수비력!A:A,B551,팀수비력!B:B,D551))))*100,"")</f>
        <v>12.817089452603472</v>
      </c>
      <c r="BK551" s="67">
        <f>IFERROR(((AE551*(12000/5))/((F551*60+G551)*(SUMIFS(팀공격력!X:X,팀공격력!A:A,B551,팀공격력!B:B,D551)+SUMIFS(팀수비력!X:X,팀수비력!A:A,B551,팀수비력!B:B,D551))))*100,"")</f>
        <v>7.5105617274291978</v>
      </c>
      <c r="BL551" s="67">
        <f>IFERROR(100*AK551/(((((F551*60+G551)/(12000/5))*SUMIFS(팀공격력!P:P,팀공격력!A:A,B551,팀공격력!B:B,D551))-K551)),"")</f>
        <v>12.69389208157453</v>
      </c>
      <c r="BM551" s="67">
        <f>IFERROR(100*((AM551/E551*(2400))/((F551*60+G551)*SUMIFS(팀공격력!AR:AR,팀공격력!A:A,B551,팀공격력!B:B,D551))),"")</f>
        <v>0.92473188527052019</v>
      </c>
      <c r="BN551" s="67">
        <f>IFERROR((AO551*40)/(((F551*60+G551)/60)*(SUMIFS(팀수비력!Q:Q,팀수비력!A:A,B551,팀수비력!B:B,D551)-SUMIFS(팀수비력!N:N,팀수비력!A:A,B551,팀수비력!B:B,D551)))*100,"")</f>
        <v>0.29197968308038563</v>
      </c>
      <c r="BO551" s="67">
        <f t="shared" si="295"/>
        <v>10.38911975821685</v>
      </c>
      <c r="BT551" t="s">
        <v>89</v>
      </c>
      <c r="BV551" t="s">
        <v>93</v>
      </c>
      <c r="CF551">
        <v>7</v>
      </c>
      <c r="CG551">
        <v>2</v>
      </c>
    </row>
    <row r="552" spans="1:85" x14ac:dyDescent="0.4">
      <c r="A552" s="11" t="s">
        <v>85</v>
      </c>
      <c r="B552" t="s">
        <v>145</v>
      </c>
      <c r="C552" t="s">
        <v>151</v>
      </c>
      <c r="D552" s="46" t="s">
        <v>309</v>
      </c>
      <c r="E552">
        <v>6</v>
      </c>
      <c r="F552">
        <v>6</v>
      </c>
      <c r="G552" s="1">
        <v>4</v>
      </c>
      <c r="H552" s="16">
        <f t="shared" si="270"/>
        <v>2184</v>
      </c>
      <c r="I552">
        <v>7</v>
      </c>
      <c r="J552" s="17">
        <f t="shared" si="271"/>
        <v>1.1666666666666667</v>
      </c>
      <c r="K552">
        <v>3</v>
      </c>
      <c r="L552">
        <v>11</v>
      </c>
      <c r="M552" s="17">
        <f t="shared" si="272"/>
        <v>0.5</v>
      </c>
      <c r="N552" s="17">
        <f t="shared" si="273"/>
        <v>1.8333333333333333</v>
      </c>
      <c r="O552" s="18">
        <f t="shared" si="274"/>
        <v>0.27272727272727271</v>
      </c>
      <c r="P552">
        <v>2</v>
      </c>
      <c r="Q552">
        <v>6</v>
      </c>
      <c r="R552" s="17">
        <f t="shared" si="275"/>
        <v>0.33333333333333331</v>
      </c>
      <c r="S552" s="17">
        <f t="shared" si="276"/>
        <v>1</v>
      </c>
      <c r="T552" s="18">
        <f t="shared" si="277"/>
        <v>0.33333333333333331</v>
      </c>
      <c r="U552">
        <v>1</v>
      </c>
      <c r="V552">
        <v>5</v>
      </c>
      <c r="W552" s="17">
        <f t="shared" si="278"/>
        <v>0.16666666666666666</v>
      </c>
      <c r="X552" s="17">
        <f t="shared" si="279"/>
        <v>0.83333333333333337</v>
      </c>
      <c r="Y552" s="18">
        <f t="shared" si="280"/>
        <v>0.2</v>
      </c>
      <c r="Z552">
        <v>0</v>
      </c>
      <c r="AA552">
        <v>0</v>
      </c>
      <c r="AB552" s="17">
        <f t="shared" si="281"/>
        <v>0</v>
      </c>
      <c r="AC552" s="17">
        <f t="shared" si="282"/>
        <v>0</v>
      </c>
      <c r="AD552" s="18" t="e">
        <f t="shared" si="283"/>
        <v>#DIV/0!</v>
      </c>
      <c r="AE552">
        <v>3</v>
      </c>
      <c r="AF552" s="17">
        <f t="shared" si="284"/>
        <v>0.5</v>
      </c>
      <c r="AG552">
        <v>2</v>
      </c>
      <c r="AH552" s="17">
        <f t="shared" si="285"/>
        <v>0.33333333333333331</v>
      </c>
      <c r="AI552">
        <v>1</v>
      </c>
      <c r="AJ552" s="17">
        <f t="shared" si="286"/>
        <v>0.16666666666666666</v>
      </c>
      <c r="AK552">
        <v>5</v>
      </c>
      <c r="AL552" s="17">
        <f t="shared" si="287"/>
        <v>0.83333333333333337</v>
      </c>
      <c r="AM552">
        <v>1</v>
      </c>
      <c r="AN552" s="17">
        <f t="shared" si="288"/>
        <v>0.16666666666666666</v>
      </c>
      <c r="AO552">
        <v>0</v>
      </c>
      <c r="AQ552">
        <v>2</v>
      </c>
      <c r="AR552" s="17">
        <f t="shared" si="289"/>
        <v>0.33333333333333331</v>
      </c>
      <c r="AS552">
        <v>6</v>
      </c>
      <c r="AT552" s="17">
        <f t="shared" si="290"/>
        <v>1</v>
      </c>
      <c r="BD552" s="65">
        <f t="shared" si="291"/>
        <v>31.818181818181817</v>
      </c>
      <c r="BE552" s="65">
        <f t="shared" si="292"/>
        <v>31.818181818181817</v>
      </c>
      <c r="BF552" s="66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10.697704272663087</v>
      </c>
      <c r="BG552" s="38">
        <f t="shared" si="293"/>
        <v>0.45454545454545453</v>
      </c>
      <c r="BH552" s="38">
        <f t="shared" si="294"/>
        <v>0</v>
      </c>
      <c r="BI552" s="67">
        <f>IFERROR(((AG552*(12000/5))/((F552*60+G552)*(SUMIFS(팀공격력!X:X,팀공격력!A:A,B552,팀공격력!B:B,D552)+SUMIFS(팀수비력!X:X,팀수비력!A:A,B552,팀수비력!B:B,D552))))*100,"")</f>
        <v>1.9859658413875281</v>
      </c>
      <c r="BJ552" s="67">
        <f>IFERROR(((AI552*(12000/5))/((F552*60+G552)*(SUMIFS(팀공격력!V:V,팀공격력!A:A,B552,팀공격력!B:B,D552)+SUMIFS(팀수비력!W:W,팀수비력!A:A,B552,팀수비력!B:B,D552))))*100,"")</f>
        <v>2.0540207456095305</v>
      </c>
      <c r="BK552" s="67">
        <f>IFERROR(((AE552*(12000/5))/((F552*60+G552)*(SUMIFS(팀공격력!X:X,팀공격력!A:A,B552,팀공격력!B:B,D552)+SUMIFS(팀수비력!X:X,팀수비력!A:A,B552,팀수비력!B:B,D552))))*100,"")</f>
        <v>2.9789487620812922</v>
      </c>
      <c r="BL552" s="67">
        <f>IFERROR(100*AK552/(((((F552*60+G552)/(12000/5))*SUMIFS(팀공격력!P:P,팀공격력!A:A,B552,팀공격력!B:B,D552))-K552)),"")</f>
        <v>11.806840096028965</v>
      </c>
      <c r="BM552" s="67">
        <f>IFERROR(100*((AM552/E552*(2400))/((F552*60+G552)*SUMIFS(팀공격력!AR:AR,팀공격력!A:A,B552,팀공격력!B:B,D552))),"")</f>
        <v>1.4671227025926519</v>
      </c>
      <c r="BN552" s="67">
        <f>IFERROR((AO552*40)/(((F552*60+G552)/60)*(SUMIFS(팀수비력!Q:Q,팀수비력!A:A,B552,팀수비력!B:B,D552)-SUMIFS(팀수비력!N:N,팀수비력!A:A,B552,팀수비력!B:B,D552)))*100,"")</f>
        <v>0</v>
      </c>
      <c r="BO552" s="67">
        <f t="shared" si="295"/>
        <v>15.384615384615385</v>
      </c>
      <c r="BT552" t="s">
        <v>89</v>
      </c>
      <c r="BV552" t="s">
        <v>90</v>
      </c>
      <c r="CF552">
        <v>5</v>
      </c>
      <c r="CG552">
        <v>1</v>
      </c>
    </row>
    <row r="553" spans="1:85" x14ac:dyDescent="0.4">
      <c r="A553" s="11" t="s">
        <v>85</v>
      </c>
      <c r="B553" t="s">
        <v>145</v>
      </c>
      <c r="C553" t="s">
        <v>152</v>
      </c>
      <c r="D553" s="46" t="s">
        <v>309</v>
      </c>
      <c r="E553">
        <v>9</v>
      </c>
      <c r="F553">
        <v>18</v>
      </c>
      <c r="G553" s="1">
        <v>59</v>
      </c>
      <c r="H553" s="16">
        <f t="shared" si="270"/>
        <v>10251</v>
      </c>
      <c r="I553">
        <v>119</v>
      </c>
      <c r="J553" s="17">
        <f t="shared" si="271"/>
        <v>13.222222222222221</v>
      </c>
      <c r="K553">
        <v>48</v>
      </c>
      <c r="L553">
        <v>85</v>
      </c>
      <c r="M553" s="17">
        <f t="shared" si="272"/>
        <v>5.333333333333333</v>
      </c>
      <c r="N553" s="17">
        <f t="shared" si="273"/>
        <v>9.4444444444444446</v>
      </c>
      <c r="O553" s="18">
        <f t="shared" si="274"/>
        <v>0.56470588235294117</v>
      </c>
      <c r="P553">
        <v>47</v>
      </c>
      <c r="Q553">
        <v>74</v>
      </c>
      <c r="R553" s="17">
        <f t="shared" si="275"/>
        <v>5.2222222222222223</v>
      </c>
      <c r="S553" s="17">
        <f t="shared" si="276"/>
        <v>8.2222222222222214</v>
      </c>
      <c r="T553" s="18">
        <f t="shared" si="277"/>
        <v>0.63513513513513509</v>
      </c>
      <c r="U553">
        <v>1</v>
      </c>
      <c r="V553">
        <v>11</v>
      </c>
      <c r="W553" s="17">
        <f t="shared" si="278"/>
        <v>0.1111111111111111</v>
      </c>
      <c r="X553" s="17">
        <f t="shared" si="279"/>
        <v>1.2222222222222223</v>
      </c>
      <c r="Y553" s="18">
        <f t="shared" si="280"/>
        <v>9.0909090909090912E-2</v>
      </c>
      <c r="Z553">
        <v>22</v>
      </c>
      <c r="AA553">
        <v>31</v>
      </c>
      <c r="AB553" s="17">
        <f t="shared" si="281"/>
        <v>2.4444444444444446</v>
      </c>
      <c r="AC553" s="17">
        <f t="shared" si="282"/>
        <v>3.4444444444444446</v>
      </c>
      <c r="AD553" s="18">
        <f t="shared" si="283"/>
        <v>0.70967741935483875</v>
      </c>
      <c r="AE553">
        <v>89</v>
      </c>
      <c r="AF553" s="17">
        <f t="shared" si="284"/>
        <v>9.8888888888888893</v>
      </c>
      <c r="AG553">
        <v>28</v>
      </c>
      <c r="AH553" s="17">
        <f t="shared" si="285"/>
        <v>3.1111111111111112</v>
      </c>
      <c r="AI553">
        <v>61</v>
      </c>
      <c r="AJ553" s="17">
        <f t="shared" si="286"/>
        <v>6.7777777777777777</v>
      </c>
      <c r="AK553">
        <v>34</v>
      </c>
      <c r="AL553" s="17">
        <f t="shared" si="287"/>
        <v>3.7777777777777777</v>
      </c>
      <c r="AM553">
        <v>5</v>
      </c>
      <c r="AN553" s="17">
        <f t="shared" si="288"/>
        <v>0.55555555555555558</v>
      </c>
      <c r="AO553">
        <v>1</v>
      </c>
      <c r="AQ553">
        <v>19</v>
      </c>
      <c r="AR553" s="17">
        <f t="shared" si="289"/>
        <v>2.1111111111111112</v>
      </c>
      <c r="AS553">
        <v>22</v>
      </c>
      <c r="AT553" s="17">
        <f t="shared" si="290"/>
        <v>2.4444444444444446</v>
      </c>
      <c r="BD553" s="65">
        <f t="shared" si="291"/>
        <v>60.32035685320357</v>
      </c>
      <c r="BE553" s="65">
        <f t="shared" si="292"/>
        <v>57.058823529411761</v>
      </c>
      <c r="BF553" s="66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30.937122087629845</v>
      </c>
      <c r="BG553" s="38">
        <f t="shared" si="293"/>
        <v>0.12941176470588237</v>
      </c>
      <c r="BH553" s="38">
        <f t="shared" si="294"/>
        <v>0.36470588235294116</v>
      </c>
      <c r="BI553" s="67">
        <f>IFERROR(((AG553*(12000/5))/((F553*60+G553)*(SUMIFS(팀공격력!X:X,팀공격력!A:A,B553,팀공격력!B:B,D553)+SUMIFS(팀수비력!X:X,팀수비력!A:A,B553,팀수비력!B:B,D553))))*100,"")</f>
        <v>8.8854099453124178</v>
      </c>
      <c r="BJ553" s="67">
        <f>IFERROR(((AI553*(12000/5))/((F553*60+G553)*(SUMIFS(팀공격력!V:V,팀공격력!A:A,B553,팀공격력!B:B,D553)+SUMIFS(팀수비력!W:W,팀수비력!A:A,B553,팀수비력!B:B,D553))))*100,"")</f>
        <v>40.041682735306431</v>
      </c>
      <c r="BK553" s="67">
        <f>IFERROR(((AE553*(12000/5))/((F553*60+G553)*(SUMIFS(팀공격력!X:X,팀공격력!A:A,B553,팀공격력!B:B,D553)+SUMIFS(팀수비력!X:X,팀수비력!A:A,B553,팀수비력!B:B,D553))))*100,"")</f>
        <v>28.242910183314468</v>
      </c>
      <c r="BL553" s="67">
        <f>IFERROR(100*AK553/(((((F553*60+G553)/(12000/5))*SUMIFS(팀공격력!P:P,팀공격력!A:A,B553,팀공격력!B:B,D553))-K553)),"")</f>
        <v>36.208572024440784</v>
      </c>
      <c r="BM553" s="67">
        <f>IFERROR(100*((AM553/E553*(2400))/((F553*60+G553)*SUMIFS(팀공격력!AR:AR,팀공격력!A:A,B553,팀공격력!B:B,D553))),"")</f>
        <v>1.5628699553518448</v>
      </c>
      <c r="BN553" s="67">
        <f>IFERROR((AO553*40)/(((F553*60+G553)/60)*(SUMIFS(팀수비력!Q:Q,팀수비력!A:A,B553,팀수비력!B:B,D553)-SUMIFS(팀수비력!N:N,팀수비력!A:A,B553,팀수비력!B:B,D553)))*100,"")</f>
        <v>0.49346873567141558</v>
      </c>
      <c r="BO553" s="67">
        <f t="shared" si="295"/>
        <v>16.150969058143488</v>
      </c>
      <c r="BT553" t="s">
        <v>96</v>
      </c>
      <c r="BV553" t="s">
        <v>102</v>
      </c>
      <c r="CF553">
        <v>7</v>
      </c>
      <c r="CG553">
        <v>2</v>
      </c>
    </row>
    <row r="554" spans="1:85" x14ac:dyDescent="0.4">
      <c r="A554" s="11" t="s">
        <v>85</v>
      </c>
      <c r="B554" t="s">
        <v>145</v>
      </c>
      <c r="C554" t="s">
        <v>154</v>
      </c>
      <c r="D554" s="46" t="s">
        <v>309</v>
      </c>
      <c r="E554">
        <v>9</v>
      </c>
      <c r="F554">
        <v>11</v>
      </c>
      <c r="G554" s="1">
        <v>46</v>
      </c>
      <c r="H554" s="16">
        <f t="shared" si="270"/>
        <v>6354</v>
      </c>
      <c r="I554">
        <v>44</v>
      </c>
      <c r="J554" s="17">
        <f t="shared" si="271"/>
        <v>4.8888888888888893</v>
      </c>
      <c r="K554">
        <v>14</v>
      </c>
      <c r="L554">
        <v>23</v>
      </c>
      <c r="M554" s="17">
        <f t="shared" si="272"/>
        <v>1.5555555555555556</v>
      </c>
      <c r="N554" s="17">
        <f t="shared" si="273"/>
        <v>2.5555555555555554</v>
      </c>
      <c r="O554" s="18">
        <f t="shared" si="274"/>
        <v>0.60869565217391308</v>
      </c>
      <c r="P554">
        <v>2</v>
      </c>
      <c r="Q554">
        <v>2</v>
      </c>
      <c r="R554" s="17">
        <f t="shared" si="275"/>
        <v>0.22222222222222221</v>
      </c>
      <c r="S554" s="17">
        <f t="shared" si="276"/>
        <v>0.22222222222222221</v>
      </c>
      <c r="T554" s="18">
        <f t="shared" si="277"/>
        <v>1</v>
      </c>
      <c r="U554">
        <v>12</v>
      </c>
      <c r="V554">
        <v>21</v>
      </c>
      <c r="W554" s="17">
        <f t="shared" si="278"/>
        <v>1.3333333333333333</v>
      </c>
      <c r="X554" s="17">
        <f t="shared" si="279"/>
        <v>2.3333333333333335</v>
      </c>
      <c r="Y554" s="18">
        <f t="shared" si="280"/>
        <v>0.5714285714285714</v>
      </c>
      <c r="Z554">
        <v>4</v>
      </c>
      <c r="AA554">
        <v>5</v>
      </c>
      <c r="AB554" s="17">
        <f t="shared" si="281"/>
        <v>0.44444444444444442</v>
      </c>
      <c r="AC554" s="17">
        <f t="shared" si="282"/>
        <v>0.55555555555555558</v>
      </c>
      <c r="AD554" s="18">
        <f t="shared" si="283"/>
        <v>0.8</v>
      </c>
      <c r="AE554">
        <v>10</v>
      </c>
      <c r="AF554" s="17">
        <f t="shared" si="284"/>
        <v>1.1111111111111112</v>
      </c>
      <c r="AG554">
        <v>4</v>
      </c>
      <c r="AH554" s="17">
        <f t="shared" si="285"/>
        <v>0.44444444444444442</v>
      </c>
      <c r="AI554">
        <v>6</v>
      </c>
      <c r="AJ554" s="17">
        <f t="shared" si="286"/>
        <v>0.66666666666666663</v>
      </c>
      <c r="AK554">
        <v>6</v>
      </c>
      <c r="AL554" s="17">
        <f t="shared" si="287"/>
        <v>0.66666666666666663</v>
      </c>
      <c r="AM554">
        <v>3</v>
      </c>
      <c r="AN554" s="17">
        <f t="shared" si="288"/>
        <v>0.33333333333333331</v>
      </c>
      <c r="AO554">
        <v>0</v>
      </c>
      <c r="AQ554">
        <v>1</v>
      </c>
      <c r="AR554" s="17">
        <f t="shared" si="289"/>
        <v>0.1111111111111111</v>
      </c>
      <c r="AS554">
        <v>8</v>
      </c>
      <c r="AT554" s="17">
        <f t="shared" si="290"/>
        <v>0.88888888888888884</v>
      </c>
      <c r="BD554" s="65">
        <f t="shared" si="291"/>
        <v>87.301587301587304</v>
      </c>
      <c r="BE554" s="65">
        <f t="shared" si="292"/>
        <v>86.956521739130437</v>
      </c>
      <c r="BF554" s="66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11.115914807968327</v>
      </c>
      <c r="BG554" s="38">
        <f t="shared" si="293"/>
        <v>0.91304347826086951</v>
      </c>
      <c r="BH554" s="38">
        <f t="shared" si="294"/>
        <v>0.21739130434782608</v>
      </c>
      <c r="BI554" s="67">
        <f>IFERROR(((AG554*(12000/5))/((F554*60+G554)*(SUMIFS(팀공격력!X:X,팀공격력!A:A,B554,팀공격력!B:B,D554)+SUMIFS(팀수비력!X:X,팀수비력!A:A,B554,팀수비력!B:B,D554))))*100,"")</f>
        <v>2.047851462507253</v>
      </c>
      <c r="BJ554" s="67">
        <f>IFERROR(((AI554*(12000/5))/((F554*60+G554)*(SUMIFS(팀공격력!V:V,팀공격력!A:A,B554,팀공격력!B:B,D554)+SUMIFS(팀수비력!W:W,팀수비력!A:A,B554,팀수비력!B:B,D554))))*100,"")</f>
        <v>6.35408117338699</v>
      </c>
      <c r="BK554" s="67">
        <f>IFERROR(((AE554*(12000/5))/((F554*60+G554)*(SUMIFS(팀공격력!X:X,팀공격력!A:A,B554,팀공격력!B:B,D554)+SUMIFS(팀수비력!X:X,팀수비력!A:A,B554,팀수비력!B:B,D554))))*100,"")</f>
        <v>5.1196286562681319</v>
      </c>
      <c r="BL554" s="67">
        <f>IFERROR(100*AK554/(((((F554*60+G554)/(12000/5))*SUMIFS(팀공격력!P:P,팀공격력!A:A,B554,팀공격력!B:B,D554))-K554)),"")</f>
        <v>8.1129502969114444</v>
      </c>
      <c r="BM554" s="67">
        <f>IFERROR(100*((AM554/E554*(2400))/((F554*60+G554)*SUMIFS(팀공격력!AR:AR,팀공격력!A:A,B554,팀공격력!B:B,D554))),"")</f>
        <v>1.5128404072060209</v>
      </c>
      <c r="BN554" s="67">
        <f>IFERROR((AO554*40)/(((F554*60+G554)/60)*(SUMIFS(팀수비력!Q:Q,팀수비력!A:A,B554,팀수비력!B:B,D554)-SUMIFS(팀수비력!N:N,팀수비력!A:A,B554,팀수비력!B:B,D554)))*100,"")</f>
        <v>0</v>
      </c>
      <c r="BO554" s="67">
        <f t="shared" si="295"/>
        <v>3.8167938931297711</v>
      </c>
      <c r="BT554" t="s">
        <v>89</v>
      </c>
      <c r="BV554" t="s">
        <v>93</v>
      </c>
      <c r="CF554">
        <v>7</v>
      </c>
      <c r="CG554">
        <v>2</v>
      </c>
    </row>
    <row r="555" spans="1:85" x14ac:dyDescent="0.4">
      <c r="A555" s="11" t="s">
        <v>85</v>
      </c>
      <c r="B555" t="s">
        <v>145</v>
      </c>
      <c r="C555" t="s">
        <v>155</v>
      </c>
      <c r="D555" s="46" t="s">
        <v>309</v>
      </c>
      <c r="E555">
        <v>9</v>
      </c>
      <c r="F555">
        <v>16</v>
      </c>
      <c r="G555" s="1">
        <v>23</v>
      </c>
      <c r="H555" s="16">
        <f t="shared" si="270"/>
        <v>8847</v>
      </c>
      <c r="I555">
        <v>51</v>
      </c>
      <c r="J555" s="17">
        <f t="shared" si="271"/>
        <v>5.666666666666667</v>
      </c>
      <c r="K555">
        <v>19</v>
      </c>
      <c r="L555">
        <v>43</v>
      </c>
      <c r="M555" s="17">
        <f t="shared" si="272"/>
        <v>2.1111111111111112</v>
      </c>
      <c r="N555" s="17">
        <f t="shared" si="273"/>
        <v>4.7777777777777777</v>
      </c>
      <c r="O555" s="18">
        <f t="shared" si="274"/>
        <v>0.44186046511627908</v>
      </c>
      <c r="P555">
        <v>12</v>
      </c>
      <c r="Q555">
        <v>30</v>
      </c>
      <c r="R555" s="17">
        <f t="shared" si="275"/>
        <v>1.3333333333333333</v>
      </c>
      <c r="S555" s="17">
        <f t="shared" si="276"/>
        <v>3.3333333333333335</v>
      </c>
      <c r="T555" s="18">
        <f t="shared" si="277"/>
        <v>0.4</v>
      </c>
      <c r="U555">
        <v>7</v>
      </c>
      <c r="V555">
        <v>13</v>
      </c>
      <c r="W555" s="17">
        <f t="shared" si="278"/>
        <v>0.77777777777777779</v>
      </c>
      <c r="X555" s="17">
        <f t="shared" si="279"/>
        <v>1.4444444444444444</v>
      </c>
      <c r="Y555" s="18">
        <f t="shared" si="280"/>
        <v>0.53846153846153844</v>
      </c>
      <c r="Z555">
        <v>6</v>
      </c>
      <c r="AA555">
        <v>8</v>
      </c>
      <c r="AB555" s="17">
        <f t="shared" si="281"/>
        <v>0.66666666666666663</v>
      </c>
      <c r="AC555" s="17">
        <f t="shared" si="282"/>
        <v>0.88888888888888884</v>
      </c>
      <c r="AD555" s="18">
        <f t="shared" si="283"/>
        <v>0.75</v>
      </c>
      <c r="AE555">
        <v>15</v>
      </c>
      <c r="AF555" s="17">
        <f t="shared" si="284"/>
        <v>1.6666666666666667</v>
      </c>
      <c r="AG555">
        <v>7</v>
      </c>
      <c r="AH555" s="17">
        <f t="shared" si="285"/>
        <v>0.77777777777777779</v>
      </c>
      <c r="AI555">
        <v>8</v>
      </c>
      <c r="AJ555" s="17">
        <f t="shared" si="286"/>
        <v>0.88888888888888884</v>
      </c>
      <c r="AK555">
        <v>10</v>
      </c>
      <c r="AL555" s="17">
        <f t="shared" si="287"/>
        <v>1.1111111111111112</v>
      </c>
      <c r="AM555">
        <v>0</v>
      </c>
      <c r="AN555" s="17">
        <f t="shared" si="288"/>
        <v>0</v>
      </c>
      <c r="AO555">
        <v>0</v>
      </c>
      <c r="AQ555">
        <v>4</v>
      </c>
      <c r="AR555" s="17">
        <f t="shared" si="289"/>
        <v>0.44444444444444442</v>
      </c>
      <c r="AS555">
        <v>15</v>
      </c>
      <c r="AT555" s="17">
        <f t="shared" si="290"/>
        <v>1.6666666666666667</v>
      </c>
      <c r="BD555" s="65">
        <f t="shared" si="291"/>
        <v>54.815133276010322</v>
      </c>
      <c r="BE555" s="65">
        <f t="shared" si="292"/>
        <v>52.325581395348841</v>
      </c>
      <c r="BF555" s="66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15.394246750700201</v>
      </c>
      <c r="BG555" s="38">
        <f t="shared" si="293"/>
        <v>0.30232558139534882</v>
      </c>
      <c r="BH555" s="38">
        <f t="shared" si="294"/>
        <v>0.18604651162790697</v>
      </c>
      <c r="BI555" s="67">
        <f>IFERROR(((AG555*(12000/5))/((F555*60+G555)*(SUMIFS(팀공격력!X:X,팀공격력!A:A,B555,팀공격력!B:B,D555)+SUMIFS(팀수비력!X:X,팀수비력!A:A,B555,팀수비력!B:B,D555))))*100,"")</f>
        <v>2.5738763803944158</v>
      </c>
      <c r="BJ555" s="67">
        <f>IFERROR(((AI555*(12000/5))/((F555*60+G555)*(SUMIFS(팀공격력!V:V,팀공격력!A:A,B555,팀공격력!B:B,D555)+SUMIFS(팀수비력!W:W,팀수비력!A:A,B555,팀수비력!B:B,D555))))*100,"")</f>
        <v>6.0847491467090062</v>
      </c>
      <c r="BK555" s="67">
        <f>IFERROR(((AE555*(12000/5))/((F555*60+G555)*(SUMIFS(팀공격력!X:X,팀공격력!A:A,B555,팀공격력!B:B,D555)+SUMIFS(팀수비력!X:X,팀수비력!A:A,B555,팀수비력!B:B,D555))))*100,"")</f>
        <v>5.5154493865594629</v>
      </c>
      <c r="BL555" s="67">
        <f>IFERROR(100*AK555/(((((F555*60+G555)/(12000/5))*SUMIFS(팀공격력!P:P,팀공격력!A:A,B555,팀공격력!B:B,D555))-K555)),"")</f>
        <v>9.6650652190546751</v>
      </c>
      <c r="BM555" s="67">
        <f>IFERROR(100*((AM555/E555*(2400))/((F555*60+G555)*SUMIFS(팀공격력!AR:AR,팀공격력!A:A,B555,팀공격력!B:B,D555))),"")</f>
        <v>0</v>
      </c>
      <c r="BN555" s="67">
        <f>IFERROR((AO555*40)/(((F555*60+G555)/60)*(SUMIFS(팀수비력!Q:Q,팀수비력!A:A,B555,팀수비력!B:B,D555)-SUMIFS(팀수비력!N:N,팀수비력!A:A,B555,팀수비력!B:B,D555)))*100,"")</f>
        <v>0</v>
      </c>
      <c r="BO555" s="67">
        <f t="shared" si="295"/>
        <v>7.9176563737133803</v>
      </c>
      <c r="BT555" t="s">
        <v>89</v>
      </c>
      <c r="BV555" t="s">
        <v>93</v>
      </c>
      <c r="CF555">
        <v>7</v>
      </c>
      <c r="CG555">
        <v>2</v>
      </c>
    </row>
    <row r="556" spans="1:85" x14ac:dyDescent="0.4">
      <c r="A556" s="11" t="s">
        <v>85</v>
      </c>
      <c r="B556" t="s">
        <v>145</v>
      </c>
      <c r="C556" t="s">
        <v>158</v>
      </c>
      <c r="D556" s="46" t="s">
        <v>309</v>
      </c>
      <c r="E556">
        <v>9</v>
      </c>
      <c r="F556">
        <v>21</v>
      </c>
      <c r="G556" s="1">
        <v>54</v>
      </c>
      <c r="H556" s="16">
        <f t="shared" si="270"/>
        <v>11826</v>
      </c>
      <c r="I556">
        <v>55</v>
      </c>
      <c r="J556" s="17">
        <f t="shared" si="271"/>
        <v>6.1111111111111107</v>
      </c>
      <c r="K556">
        <v>21</v>
      </c>
      <c r="L556">
        <v>46</v>
      </c>
      <c r="M556" s="17">
        <f t="shared" si="272"/>
        <v>2.3333333333333335</v>
      </c>
      <c r="N556" s="17">
        <f t="shared" si="273"/>
        <v>5.1111111111111107</v>
      </c>
      <c r="O556" s="18">
        <f t="shared" si="274"/>
        <v>0.45652173913043476</v>
      </c>
      <c r="P556">
        <v>15</v>
      </c>
      <c r="Q556">
        <v>27</v>
      </c>
      <c r="R556" s="17">
        <f t="shared" si="275"/>
        <v>1.6666666666666667</v>
      </c>
      <c r="S556" s="17">
        <f t="shared" si="276"/>
        <v>3</v>
      </c>
      <c r="T556" s="18">
        <f t="shared" si="277"/>
        <v>0.55555555555555558</v>
      </c>
      <c r="U556">
        <v>6</v>
      </c>
      <c r="V556">
        <v>19</v>
      </c>
      <c r="W556" s="17">
        <f t="shared" si="278"/>
        <v>0.66666666666666663</v>
      </c>
      <c r="X556" s="17">
        <f t="shared" si="279"/>
        <v>2.1111111111111112</v>
      </c>
      <c r="Y556" s="18">
        <f t="shared" si="280"/>
        <v>0.31578947368421051</v>
      </c>
      <c r="Z556">
        <v>7</v>
      </c>
      <c r="AA556">
        <v>9</v>
      </c>
      <c r="AB556" s="17">
        <f t="shared" si="281"/>
        <v>0.77777777777777779</v>
      </c>
      <c r="AC556" s="17">
        <f t="shared" si="282"/>
        <v>1</v>
      </c>
      <c r="AD556" s="18">
        <f t="shared" si="283"/>
        <v>0.77777777777777779</v>
      </c>
      <c r="AE556">
        <v>21</v>
      </c>
      <c r="AF556" s="17">
        <f t="shared" si="284"/>
        <v>2.3333333333333335</v>
      </c>
      <c r="AG556">
        <v>6</v>
      </c>
      <c r="AH556" s="17">
        <f t="shared" si="285"/>
        <v>0.66666666666666663</v>
      </c>
      <c r="AI556">
        <v>15</v>
      </c>
      <c r="AJ556" s="17">
        <f t="shared" si="286"/>
        <v>1.6666666666666667</v>
      </c>
      <c r="AK556">
        <v>14</v>
      </c>
      <c r="AL556" s="17">
        <f t="shared" si="287"/>
        <v>1.5555555555555556</v>
      </c>
      <c r="AM556">
        <v>2</v>
      </c>
      <c r="AN556" s="17">
        <f t="shared" si="288"/>
        <v>0.22222222222222221</v>
      </c>
      <c r="AO556">
        <v>0</v>
      </c>
      <c r="AQ556">
        <v>8</v>
      </c>
      <c r="AR556" s="17">
        <f t="shared" si="289"/>
        <v>0.88888888888888884</v>
      </c>
      <c r="AS556">
        <v>20</v>
      </c>
      <c r="AT556" s="17">
        <f t="shared" si="290"/>
        <v>2.2222222222222223</v>
      </c>
      <c r="BD556" s="65">
        <f t="shared" si="291"/>
        <v>55.044035228182544</v>
      </c>
      <c r="BE556" s="65">
        <f t="shared" si="292"/>
        <v>52.173913043478258</v>
      </c>
      <c r="BF556" s="66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13.212397496209642</v>
      </c>
      <c r="BG556" s="38">
        <f t="shared" si="293"/>
        <v>0.41304347826086957</v>
      </c>
      <c r="BH556" s="38">
        <f t="shared" si="294"/>
        <v>0.19565217391304349</v>
      </c>
      <c r="BI556" s="67">
        <f>IFERROR(((AG556*(12000/5))/((F556*60+G556)*(SUMIFS(팀공격력!X:X,팀공격력!A:A,B556,팀공격력!B:B,D556)+SUMIFS(팀수비력!X:X,팀수비력!A:A,B556,팀수비력!B:B,D556))))*100,"")</f>
        <v>1.650437365901964</v>
      </c>
      <c r="BJ556" s="67">
        <f>IFERROR(((AI556*(12000/5))/((F556*60+G556)*(SUMIFS(팀공격력!V:V,팀공격력!A:A,B556,팀공격력!B:B,D556)+SUMIFS(팀수비력!W:W,팀수비력!A:A,B556,팀수비력!B:B,D556))))*100,"")</f>
        <v>8.5349720479665425</v>
      </c>
      <c r="BK556" s="67">
        <f>IFERROR(((AE556*(12000/5))/((F556*60+G556)*(SUMIFS(팀공격력!X:X,팀공격력!A:A,B556,팀공격력!B:B,D556)+SUMIFS(팀수비력!X:X,팀수비력!A:A,B556,팀수비력!B:B,D556))))*100,"")</f>
        <v>5.7765307806568735</v>
      </c>
      <c r="BL556" s="67">
        <f>IFERROR(100*AK556/(((((F556*60+G556)/(12000/5))*SUMIFS(팀공격력!P:P,팀공격력!A:A,B556,팀공격력!B:B,D556))-K556)),"")</f>
        <v>9.810619996145828</v>
      </c>
      <c r="BM556" s="67">
        <f>IFERROR(100*((AM556/E556*(2400))/((F556*60+G556)*SUMIFS(팀공격력!AR:AR,팀공격력!A:A,B556,팀공격력!B:B,D556))),"")</f>
        <v>0.54189006975517529</v>
      </c>
      <c r="BN556" s="67">
        <f>IFERROR((AO556*40)/(((F556*60+G556)/60)*(SUMIFS(팀수비력!Q:Q,팀수비력!A:A,B556,팀수비력!B:B,D556)-SUMIFS(팀수비력!N:N,팀수비력!A:A,B556,팀수비력!B:B,D556)))*100,"")</f>
        <v>0</v>
      </c>
      <c r="BO556" s="67">
        <f t="shared" si="295"/>
        <v>13.802622498274673</v>
      </c>
      <c r="BT556" t="s">
        <v>89</v>
      </c>
      <c r="BV556" t="s">
        <v>90</v>
      </c>
      <c r="CF556">
        <v>7</v>
      </c>
      <c r="CG556">
        <v>2</v>
      </c>
    </row>
    <row r="557" spans="1:85" x14ac:dyDescent="0.4">
      <c r="A557" s="11" t="s">
        <v>85</v>
      </c>
      <c r="B557" t="s">
        <v>145</v>
      </c>
      <c r="C557" t="s">
        <v>159</v>
      </c>
      <c r="D557" s="46" t="s">
        <v>309</v>
      </c>
      <c r="E557">
        <v>1</v>
      </c>
      <c r="F557">
        <v>14</v>
      </c>
      <c r="G557" s="1">
        <v>33</v>
      </c>
      <c r="H557" s="16">
        <f t="shared" si="270"/>
        <v>873</v>
      </c>
      <c r="I557">
        <v>9</v>
      </c>
      <c r="J557" s="17">
        <f t="shared" si="271"/>
        <v>9</v>
      </c>
      <c r="K557">
        <v>3</v>
      </c>
      <c r="L557">
        <v>4</v>
      </c>
      <c r="M557" s="17">
        <f t="shared" si="272"/>
        <v>3</v>
      </c>
      <c r="N557" s="17">
        <f t="shared" si="273"/>
        <v>4</v>
      </c>
      <c r="O557" s="18">
        <f t="shared" si="274"/>
        <v>0.75</v>
      </c>
      <c r="P557">
        <v>1</v>
      </c>
      <c r="Q557">
        <v>1</v>
      </c>
      <c r="R557" s="17">
        <f t="shared" si="275"/>
        <v>1</v>
      </c>
      <c r="S557" s="17">
        <f t="shared" si="276"/>
        <v>1</v>
      </c>
      <c r="T557" s="18">
        <f t="shared" si="277"/>
        <v>1</v>
      </c>
      <c r="U557">
        <v>2</v>
      </c>
      <c r="V557">
        <v>3</v>
      </c>
      <c r="W557" s="17">
        <f t="shared" si="278"/>
        <v>2</v>
      </c>
      <c r="X557" s="17">
        <f t="shared" si="279"/>
        <v>3</v>
      </c>
      <c r="Y557" s="18">
        <f t="shared" si="280"/>
        <v>0.66666666666666663</v>
      </c>
      <c r="Z557">
        <v>1</v>
      </c>
      <c r="AA557">
        <v>1</v>
      </c>
      <c r="AB557" s="17">
        <f t="shared" si="281"/>
        <v>1</v>
      </c>
      <c r="AC557" s="17">
        <f t="shared" si="282"/>
        <v>1</v>
      </c>
      <c r="AD557" s="18">
        <f t="shared" si="283"/>
        <v>1</v>
      </c>
      <c r="AE557">
        <v>0</v>
      </c>
      <c r="AF557" s="17">
        <f t="shared" si="284"/>
        <v>0</v>
      </c>
      <c r="AG557">
        <v>0</v>
      </c>
      <c r="AH557" s="17">
        <f t="shared" si="285"/>
        <v>0</v>
      </c>
      <c r="AI557">
        <v>0</v>
      </c>
      <c r="AJ557" s="17">
        <f t="shared" si="286"/>
        <v>0</v>
      </c>
      <c r="AK557">
        <v>0</v>
      </c>
      <c r="AL557" s="17">
        <f t="shared" si="287"/>
        <v>0</v>
      </c>
      <c r="AM557">
        <v>0</v>
      </c>
      <c r="AN557" s="17">
        <f t="shared" si="288"/>
        <v>0</v>
      </c>
      <c r="AO557">
        <v>1</v>
      </c>
      <c r="AQ557">
        <v>0</v>
      </c>
      <c r="AR557" s="17">
        <f t="shared" si="289"/>
        <v>0</v>
      </c>
      <c r="AS557">
        <v>1</v>
      </c>
      <c r="AT557" s="17">
        <f t="shared" si="290"/>
        <v>1</v>
      </c>
      <c r="BD557" s="65">
        <f t="shared" si="291"/>
        <v>101.35135135135134</v>
      </c>
      <c r="BE557" s="65">
        <f t="shared" si="292"/>
        <v>100</v>
      </c>
      <c r="BF557" s="66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1.5234119074197883</v>
      </c>
      <c r="BG557" s="38">
        <f t="shared" si="293"/>
        <v>0.75</v>
      </c>
      <c r="BH557" s="38">
        <f t="shared" si="294"/>
        <v>0.25</v>
      </c>
      <c r="BI557" s="67">
        <f>IFERROR(((AG557*(12000/5))/((F557*60+G557)*(SUMIFS(팀공격력!X:X,팀공격력!A:A,B557,팀공격력!B:B,D557)+SUMIFS(팀수비력!X:X,팀수비력!A:A,B557,팀수비력!B:B,D557))))*100,"")</f>
        <v>0</v>
      </c>
      <c r="BJ557" s="67">
        <f>IFERROR(((AI557*(12000/5))/((F557*60+G557)*(SUMIFS(팀공격력!V:V,팀공격력!A:A,B557,팀공격력!B:B,D557)+SUMIFS(팀수비력!W:W,팀수비력!A:A,B557,팀수비력!B:B,D557))))*100,"")</f>
        <v>0</v>
      </c>
      <c r="BK557" s="67">
        <f>IFERROR(((AE557*(12000/5))/((F557*60+G557)*(SUMIFS(팀공격력!X:X,팀공격력!A:A,B557,팀공격력!B:B,D557)+SUMIFS(팀수비력!X:X,팀수비력!A:A,B557,팀수비력!B:B,D557))))*100,"")</f>
        <v>0</v>
      </c>
      <c r="BL557" s="67">
        <f>IFERROR(100*AK557/(((((F557*60+G557)/(12000/5))*SUMIFS(팀공격력!P:P,팀공격력!A:A,B557,팀공격력!B:B,D557))-K557)),"")</f>
        <v>0</v>
      </c>
      <c r="BM557" s="67">
        <f>IFERROR(100*((AM557/E557*(2400))/((F557*60+G557)*SUMIFS(팀공격력!AR:AR,팀공격력!A:A,B557,팀공격력!B:B,D557))),"")</f>
        <v>0</v>
      </c>
      <c r="BN557" s="67">
        <f>IFERROR((AO557*40)/(((F557*60+G557)/60)*(SUMIFS(팀수비력!Q:Q,팀수비력!A:A,B557,팀수비력!B:B,D557)-SUMIFS(팀수비력!N:N,팀수비력!A:A,B557,팀수비력!B:B,D557)))*100,"")</f>
        <v>0.64382690713601642</v>
      </c>
      <c r="BO557" s="67">
        <f t="shared" si="295"/>
        <v>0</v>
      </c>
      <c r="BT557" t="s">
        <v>89</v>
      </c>
      <c r="BV557" t="s">
        <v>93</v>
      </c>
      <c r="CF557">
        <v>0</v>
      </c>
      <c r="CG557">
        <v>1</v>
      </c>
    </row>
    <row r="558" spans="1:85" x14ac:dyDescent="0.4">
      <c r="A558" s="11" t="s">
        <v>85</v>
      </c>
      <c r="B558" t="s">
        <v>145</v>
      </c>
      <c r="C558" t="s">
        <v>160</v>
      </c>
      <c r="D558" s="46" t="s">
        <v>309</v>
      </c>
      <c r="E558">
        <v>9</v>
      </c>
      <c r="F558">
        <v>14</v>
      </c>
      <c r="G558" s="1">
        <v>25</v>
      </c>
      <c r="H558" s="16">
        <f t="shared" si="270"/>
        <v>7785</v>
      </c>
      <c r="I558">
        <v>35</v>
      </c>
      <c r="J558" s="17">
        <f t="shared" si="271"/>
        <v>3.8888888888888888</v>
      </c>
      <c r="K558">
        <v>11</v>
      </c>
      <c r="L558">
        <v>32</v>
      </c>
      <c r="M558" s="17">
        <f t="shared" si="272"/>
        <v>1.2222222222222223</v>
      </c>
      <c r="N558" s="17">
        <f t="shared" si="273"/>
        <v>3.5555555555555554</v>
      </c>
      <c r="O558" s="18">
        <f t="shared" si="274"/>
        <v>0.34375</v>
      </c>
      <c r="P558">
        <v>5</v>
      </c>
      <c r="Q558">
        <v>14</v>
      </c>
      <c r="R558" s="17">
        <f t="shared" si="275"/>
        <v>0.55555555555555558</v>
      </c>
      <c r="S558" s="17">
        <f t="shared" si="276"/>
        <v>1.5555555555555556</v>
      </c>
      <c r="T558" s="18">
        <f t="shared" si="277"/>
        <v>0.35714285714285715</v>
      </c>
      <c r="U558">
        <v>6</v>
      </c>
      <c r="V558">
        <v>18</v>
      </c>
      <c r="W558" s="17">
        <f t="shared" si="278"/>
        <v>0.66666666666666663</v>
      </c>
      <c r="X558" s="17">
        <f t="shared" si="279"/>
        <v>2</v>
      </c>
      <c r="Y558" s="18">
        <f t="shared" si="280"/>
        <v>0.33333333333333331</v>
      </c>
      <c r="Z558">
        <v>7</v>
      </c>
      <c r="AA558">
        <v>10</v>
      </c>
      <c r="AB558" s="17">
        <f t="shared" si="281"/>
        <v>0.77777777777777779</v>
      </c>
      <c r="AC558" s="17">
        <f t="shared" si="282"/>
        <v>1.1111111111111112</v>
      </c>
      <c r="AD558" s="18">
        <f t="shared" si="283"/>
        <v>0.7</v>
      </c>
      <c r="AE558">
        <v>12</v>
      </c>
      <c r="AF558" s="17">
        <f t="shared" si="284"/>
        <v>1.3333333333333333</v>
      </c>
      <c r="AG558">
        <v>3</v>
      </c>
      <c r="AH558" s="17">
        <f t="shared" si="285"/>
        <v>0.33333333333333331</v>
      </c>
      <c r="AI558">
        <v>9</v>
      </c>
      <c r="AJ558" s="17">
        <f t="shared" si="286"/>
        <v>1</v>
      </c>
      <c r="AK558">
        <v>8</v>
      </c>
      <c r="AL558" s="17">
        <f t="shared" si="287"/>
        <v>0.88888888888888884</v>
      </c>
      <c r="AM558">
        <v>5</v>
      </c>
      <c r="AN558" s="17">
        <f t="shared" si="288"/>
        <v>0.55555555555555558</v>
      </c>
      <c r="AO558">
        <v>0</v>
      </c>
      <c r="AQ558">
        <v>2</v>
      </c>
      <c r="AR558" s="17">
        <f t="shared" si="289"/>
        <v>0.22222222222222221</v>
      </c>
      <c r="AS558">
        <v>9</v>
      </c>
      <c r="AT558" s="17">
        <f t="shared" si="290"/>
        <v>1</v>
      </c>
      <c r="BD558" s="65">
        <f t="shared" si="291"/>
        <v>48.07692307692308</v>
      </c>
      <c r="BE558" s="65">
        <f t="shared" si="292"/>
        <v>43.75</v>
      </c>
      <c r="BF558" s="66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13.2973082473611</v>
      </c>
      <c r="BG558" s="38">
        <f t="shared" si="293"/>
        <v>0.5625</v>
      </c>
      <c r="BH558" s="38">
        <f t="shared" si="294"/>
        <v>0.3125</v>
      </c>
      <c r="BI558" s="67">
        <f>IFERROR(((AG558*(12000/5))/((F558*60+G558)*(SUMIFS(팀공격력!X:X,팀공격력!A:A,B558,팀공격력!B:B,D558)+SUMIFS(팀수비력!X:X,팀수비력!A:A,B558,팀수비력!B:B,D558))))*100,"")</f>
        <v>1.2535691900550177</v>
      </c>
      <c r="BJ558" s="67">
        <f>IFERROR(((AI558*(12000/5))/((F558*60+G558)*(SUMIFS(팀공격력!V:V,팀공격력!A:A,B558,팀공격력!B:B,D558)+SUMIFS(팀수비력!W:W,팀수비력!A:A,B558,팀수비력!B:B,D558))))*100,"")</f>
        <v>7.7791583382853444</v>
      </c>
      <c r="BK558" s="67">
        <f>IFERROR(((AE558*(12000/5))/((F558*60+G558)*(SUMIFS(팀공격력!X:X,팀공격력!A:A,B558,팀공격력!B:B,D558)+SUMIFS(팀수비력!X:X,팀수비력!A:A,B558,팀수비력!B:B,D558))))*100,"")</f>
        <v>5.0142767602200706</v>
      </c>
      <c r="BL558" s="67">
        <f>IFERROR(100*AK558/(((((F558*60+G558)/(12000/5))*SUMIFS(팀공격력!P:P,팀공격력!A:A,B558,팀공격력!B:B,D558))-K558)),"")</f>
        <v>8.2674876741231937</v>
      </c>
      <c r="BM558" s="67">
        <f>IFERROR(100*((AM558/E558*(2400))/((F558*60+G558)*SUMIFS(팀공격력!AR:AR,팀공격력!A:A,B558,팀공격력!B:B,D558))),"")</f>
        <v>2.0579293400528917</v>
      </c>
      <c r="BN558" s="67">
        <f>IFERROR((AO558*40)/(((F558*60+G558)/60)*(SUMIFS(팀수비력!Q:Q,팀수비력!A:A,B558,팀수비력!B:B,D558)-SUMIFS(팀수비력!N:N,팀수비력!A:A,B558,팀수비력!B:B,D558)))*100,"")</f>
        <v>0</v>
      </c>
      <c r="BO558" s="67">
        <f t="shared" si="295"/>
        <v>5.2083333333333339</v>
      </c>
      <c r="BT558" t="s">
        <v>89</v>
      </c>
      <c r="BV558" t="s">
        <v>90</v>
      </c>
      <c r="CF558">
        <v>7</v>
      </c>
      <c r="CG558">
        <v>2</v>
      </c>
    </row>
    <row r="559" spans="1:85" x14ac:dyDescent="0.4">
      <c r="A559" s="11" t="s">
        <v>85</v>
      </c>
      <c r="B559" t="s">
        <v>145</v>
      </c>
      <c r="C559" t="s">
        <v>161</v>
      </c>
      <c r="D559" s="46" t="s">
        <v>309</v>
      </c>
      <c r="E559">
        <v>9</v>
      </c>
      <c r="F559">
        <v>30</v>
      </c>
      <c r="G559" s="1">
        <v>38</v>
      </c>
      <c r="H559" s="16">
        <f t="shared" si="270"/>
        <v>16542</v>
      </c>
      <c r="I559">
        <v>84</v>
      </c>
      <c r="J559" s="17">
        <f t="shared" si="271"/>
        <v>9.3333333333333339</v>
      </c>
      <c r="K559">
        <v>30</v>
      </c>
      <c r="L559">
        <v>93</v>
      </c>
      <c r="M559" s="17">
        <f t="shared" si="272"/>
        <v>3.3333333333333335</v>
      </c>
      <c r="N559" s="17">
        <f t="shared" si="273"/>
        <v>10.333333333333334</v>
      </c>
      <c r="O559" s="18">
        <f t="shared" si="274"/>
        <v>0.32258064516129031</v>
      </c>
      <c r="P559">
        <v>24</v>
      </c>
      <c r="Q559">
        <v>59</v>
      </c>
      <c r="R559" s="17">
        <f t="shared" si="275"/>
        <v>2.6666666666666665</v>
      </c>
      <c r="S559" s="17">
        <f t="shared" si="276"/>
        <v>6.5555555555555554</v>
      </c>
      <c r="T559" s="18">
        <f t="shared" si="277"/>
        <v>0.40677966101694918</v>
      </c>
      <c r="U559">
        <v>6</v>
      </c>
      <c r="V559">
        <v>34</v>
      </c>
      <c r="W559" s="17">
        <f t="shared" si="278"/>
        <v>0.66666666666666663</v>
      </c>
      <c r="X559" s="17">
        <f t="shared" si="279"/>
        <v>3.7777777777777777</v>
      </c>
      <c r="Y559" s="18">
        <f t="shared" si="280"/>
        <v>0.17647058823529413</v>
      </c>
      <c r="Z559">
        <v>18</v>
      </c>
      <c r="AA559">
        <v>33</v>
      </c>
      <c r="AB559" s="17">
        <f t="shared" si="281"/>
        <v>2</v>
      </c>
      <c r="AC559" s="17">
        <f t="shared" si="282"/>
        <v>3.6666666666666665</v>
      </c>
      <c r="AD559" s="18">
        <f t="shared" si="283"/>
        <v>0.54545454545454541</v>
      </c>
      <c r="AE559">
        <v>59</v>
      </c>
      <c r="AF559" s="17">
        <f t="shared" si="284"/>
        <v>6.5555555555555554</v>
      </c>
      <c r="AG559">
        <v>14</v>
      </c>
      <c r="AH559" s="17">
        <f t="shared" si="285"/>
        <v>1.5555555555555556</v>
      </c>
      <c r="AI559">
        <v>45</v>
      </c>
      <c r="AJ559" s="17">
        <f t="shared" si="286"/>
        <v>5</v>
      </c>
      <c r="AK559">
        <v>37</v>
      </c>
      <c r="AL559" s="17">
        <f t="shared" si="287"/>
        <v>4.1111111111111107</v>
      </c>
      <c r="AM559">
        <v>5</v>
      </c>
      <c r="AN559" s="17">
        <f t="shared" si="288"/>
        <v>0.55555555555555558</v>
      </c>
      <c r="AO559">
        <v>13</v>
      </c>
      <c r="AQ559">
        <v>14</v>
      </c>
      <c r="AR559" s="17">
        <f t="shared" si="289"/>
        <v>1.5555555555555556</v>
      </c>
      <c r="AS559">
        <v>22</v>
      </c>
      <c r="AT559" s="17">
        <f t="shared" si="290"/>
        <v>2.4444444444444446</v>
      </c>
      <c r="BD559" s="65">
        <f t="shared" si="291"/>
        <v>39.0625</v>
      </c>
      <c r="BE559" s="65">
        <f t="shared" si="292"/>
        <v>35.483870967741936</v>
      </c>
      <c r="BF559" s="66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19.803906773662952</v>
      </c>
      <c r="BG559" s="38">
        <f t="shared" si="293"/>
        <v>0.36559139784946237</v>
      </c>
      <c r="BH559" s="38">
        <f t="shared" si="294"/>
        <v>0.35483870967741937</v>
      </c>
      <c r="BI559" s="67">
        <f>IFERROR(((AG559*(12000/5))/((F559*60+G559)*(SUMIFS(팀공격력!X:X,팀공격력!A:A,B559,팀공격력!B:B,D559)+SUMIFS(팀수비력!X:X,팀수비력!A:A,B559,팀수비력!B:B,D559))))*100,"")</f>
        <v>2.7531234841433201</v>
      </c>
      <c r="BJ559" s="67">
        <f>IFERROR(((AI559*(12000/5))/((F559*60+G559)*(SUMIFS(팀공격력!V:V,팀공격력!A:A,B559,팀공격력!B:B,D559)+SUMIFS(팀수비력!W:W,팀수비력!A:A,B559,팀수비력!B:B,D559))))*100,"")</f>
        <v>18.305146797107788</v>
      </c>
      <c r="BK559" s="67">
        <f>IFERROR(((AE559*(12000/5))/((F559*60+G559)*(SUMIFS(팀공격력!X:X,팀공격력!A:A,B559,팀공격력!B:B,D559)+SUMIFS(팀수비력!X:X,팀수비력!A:A,B559,팀수비력!B:B,D559))))*100,"")</f>
        <v>11.602448968889705</v>
      </c>
      <c r="BL559" s="67">
        <f>IFERROR(100*AK559/(((((F559*60+G559)/(12000/5))*SUMIFS(팀공격력!P:P,팀공격력!A:A,B559,팀공격력!B:B,D559))-K559)),"")</f>
        <v>18.594444281580191</v>
      </c>
      <c r="BM559" s="67">
        <f>IFERROR(100*((AM559/E559*(2400))/((F559*60+G559)*SUMIFS(팀공격력!AR:AR,팀공격력!A:A,B559,팀공격력!B:B,D559))),"")</f>
        <v>0.9685031986647179</v>
      </c>
      <c r="BN559" s="67">
        <f>IFERROR((AO559*40)/(((F559*60+G559)/60)*(SUMIFS(팀수비력!Q:Q,팀수비력!A:A,B559,팀수비력!B:B,D559)-SUMIFS(팀수비력!N:N,팀수비력!A:A,B559,팀수비력!B:B,D559)))*100,"")</f>
        <v>3.9754034652266874</v>
      </c>
      <c r="BO559" s="67">
        <f t="shared" si="295"/>
        <v>11.520737327188941</v>
      </c>
      <c r="BT559" t="s">
        <v>89</v>
      </c>
      <c r="BV559" t="s">
        <v>93</v>
      </c>
      <c r="CF559">
        <v>7</v>
      </c>
      <c r="CG559">
        <v>2</v>
      </c>
    </row>
    <row r="560" spans="1:85" x14ac:dyDescent="0.4">
      <c r="A560" s="11" t="s">
        <v>85</v>
      </c>
      <c r="B560" t="s">
        <v>145</v>
      </c>
      <c r="C560" t="s">
        <v>163</v>
      </c>
      <c r="D560" s="46" t="s">
        <v>309</v>
      </c>
      <c r="E560">
        <v>9</v>
      </c>
      <c r="F560">
        <v>29</v>
      </c>
      <c r="G560" s="1">
        <v>51</v>
      </c>
      <c r="H560" s="16">
        <f t="shared" si="270"/>
        <v>16119</v>
      </c>
      <c r="I560">
        <v>121</v>
      </c>
      <c r="J560" s="17">
        <f t="shared" si="271"/>
        <v>13.444444444444445</v>
      </c>
      <c r="K560">
        <v>38</v>
      </c>
      <c r="L560">
        <v>86</v>
      </c>
      <c r="M560" s="17">
        <f t="shared" si="272"/>
        <v>4.2222222222222223</v>
      </c>
      <c r="N560" s="17">
        <f t="shared" si="273"/>
        <v>9.5555555555555554</v>
      </c>
      <c r="O560" s="18">
        <f t="shared" si="274"/>
        <v>0.44186046511627908</v>
      </c>
      <c r="P560">
        <v>12</v>
      </c>
      <c r="Q560">
        <v>29</v>
      </c>
      <c r="R560" s="17">
        <f t="shared" si="275"/>
        <v>1.3333333333333333</v>
      </c>
      <c r="S560" s="17">
        <f t="shared" si="276"/>
        <v>3.2222222222222223</v>
      </c>
      <c r="T560" s="18">
        <f t="shared" si="277"/>
        <v>0.41379310344827586</v>
      </c>
      <c r="U560">
        <v>26</v>
      </c>
      <c r="V560">
        <v>57</v>
      </c>
      <c r="W560" s="17">
        <f t="shared" si="278"/>
        <v>2.8888888888888888</v>
      </c>
      <c r="X560" s="17">
        <f t="shared" si="279"/>
        <v>6.333333333333333</v>
      </c>
      <c r="Y560" s="18">
        <f t="shared" si="280"/>
        <v>0.45614035087719296</v>
      </c>
      <c r="Z560">
        <v>19</v>
      </c>
      <c r="AA560">
        <v>22</v>
      </c>
      <c r="AB560" s="17">
        <f t="shared" si="281"/>
        <v>2.1111111111111112</v>
      </c>
      <c r="AC560" s="17">
        <f t="shared" si="282"/>
        <v>2.4444444444444446</v>
      </c>
      <c r="AD560" s="18">
        <f t="shared" si="283"/>
        <v>0.86363636363636365</v>
      </c>
      <c r="AE560">
        <v>15</v>
      </c>
      <c r="AF560" s="17">
        <f t="shared" si="284"/>
        <v>1.6666666666666667</v>
      </c>
      <c r="AG560">
        <v>1</v>
      </c>
      <c r="AH560" s="17">
        <f t="shared" si="285"/>
        <v>0.1111111111111111</v>
      </c>
      <c r="AI560">
        <v>14</v>
      </c>
      <c r="AJ560" s="17">
        <f t="shared" si="286"/>
        <v>1.5555555555555556</v>
      </c>
      <c r="AK560">
        <v>40</v>
      </c>
      <c r="AL560" s="17">
        <f t="shared" si="287"/>
        <v>4.4444444444444446</v>
      </c>
      <c r="AM560">
        <v>1</v>
      </c>
      <c r="AN560" s="17">
        <f t="shared" si="288"/>
        <v>0.1111111111111111</v>
      </c>
      <c r="AO560">
        <v>0</v>
      </c>
      <c r="AQ560">
        <v>17</v>
      </c>
      <c r="AR560" s="17">
        <f t="shared" si="289"/>
        <v>1.8888888888888888</v>
      </c>
      <c r="AS560">
        <v>22</v>
      </c>
      <c r="AT560" s="17">
        <f t="shared" si="290"/>
        <v>2.4444444444444446</v>
      </c>
      <c r="BD560" s="65">
        <f t="shared" si="291"/>
        <v>63.231605351170558</v>
      </c>
      <c r="BE560" s="65">
        <f t="shared" si="292"/>
        <v>59.302325581395351</v>
      </c>
      <c r="BF560" s="66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18.845161858415938</v>
      </c>
      <c r="BG560" s="38">
        <f t="shared" si="293"/>
        <v>0.66279069767441856</v>
      </c>
      <c r="BH560" s="38">
        <f t="shared" si="294"/>
        <v>0.2558139534883721</v>
      </c>
      <c r="BI560" s="67">
        <f>IFERROR(((AG560*(12000/5))/((F560*60+G560)*(SUMIFS(팀공격력!X:X,팀공격력!A:A,B560,팀공격력!B:B,D560)+SUMIFS(팀수비력!X:X,팀수비력!A:A,B560,팀수비력!B:B,D560))))*100,"")</f>
        <v>0.20181227422251821</v>
      </c>
      <c r="BJ560" s="67">
        <f>IFERROR(((AI560*(12000/5))/((F560*60+G560)*(SUMIFS(팀공격력!V:V,팀공격력!A:A,B560,팀공격력!B:B,D560)+SUMIFS(팀수비력!W:W,팀수비력!A:A,B560,팀수비력!B:B,D560))))*100,"")</f>
        <v>5.8443828696963536</v>
      </c>
      <c r="BK560" s="67">
        <f>IFERROR(((AE560*(12000/5))/((F560*60+G560)*(SUMIFS(팀공격력!X:X,팀공격력!A:A,B560,팀공격력!B:B,D560)+SUMIFS(팀수비력!X:X,팀수비력!A:A,B560,팀수비력!B:B,D560))))*100,"")</f>
        <v>3.0271841133377735</v>
      </c>
      <c r="BL560" s="67">
        <f>IFERROR(100*AK560/(((((F560*60+G560)/(12000/5))*SUMIFS(팀공격력!P:P,팀공격력!A:A,B560,팀공격력!B:B,D560))-K560)),"")</f>
        <v>21.606584606658881</v>
      </c>
      <c r="BM560" s="67">
        <f>IFERROR(100*((AM560/E560*(2400))/((F560*60+G560)*SUMIFS(팀공격력!AR:AR,팀공격력!A:A,B560,팀공격력!B:B,D560))),"")</f>
        <v>0.198783794432803</v>
      </c>
      <c r="BN560" s="67">
        <f>IFERROR((AO560*40)/(((F560*60+G560)/60)*(SUMIFS(팀수비력!Q:Q,팀수비력!A:A,B560,팀수비력!B:B,D560)-SUMIFS(팀수비력!N:N,팀수비력!A:A,B560,팀수비력!B:B,D560)))*100,"")</f>
        <v>0</v>
      </c>
      <c r="BO560" s="67">
        <f t="shared" si="295"/>
        <v>15.086971955981539</v>
      </c>
      <c r="BT560" t="s">
        <v>89</v>
      </c>
      <c r="BV560" t="s">
        <v>90</v>
      </c>
      <c r="CF560">
        <v>7</v>
      </c>
      <c r="CG560">
        <v>2</v>
      </c>
    </row>
    <row r="561" spans="1:85" x14ac:dyDescent="0.4">
      <c r="A561" s="11" t="s">
        <v>85</v>
      </c>
      <c r="B561" t="s">
        <v>164</v>
      </c>
      <c r="C561" t="s">
        <v>165</v>
      </c>
      <c r="D561" s="46" t="s">
        <v>309</v>
      </c>
      <c r="E561">
        <v>7</v>
      </c>
      <c r="F561">
        <v>8</v>
      </c>
      <c r="G561" s="1">
        <v>55</v>
      </c>
      <c r="H561" s="16">
        <f t="shared" si="270"/>
        <v>3745</v>
      </c>
      <c r="I561">
        <v>32</v>
      </c>
      <c r="J561" s="17">
        <f t="shared" si="271"/>
        <v>4.5714285714285712</v>
      </c>
      <c r="K561">
        <v>14</v>
      </c>
      <c r="L561">
        <v>27</v>
      </c>
      <c r="M561" s="17">
        <f t="shared" si="272"/>
        <v>2</v>
      </c>
      <c r="N561" s="17">
        <f t="shared" si="273"/>
        <v>3.8571428571428572</v>
      </c>
      <c r="O561" s="18">
        <f t="shared" si="274"/>
        <v>0.51851851851851849</v>
      </c>
      <c r="P561">
        <v>10</v>
      </c>
      <c r="Q561">
        <v>17</v>
      </c>
      <c r="R561" s="17">
        <f t="shared" si="275"/>
        <v>1.4285714285714286</v>
      </c>
      <c r="S561" s="17">
        <f t="shared" si="276"/>
        <v>2.4285714285714284</v>
      </c>
      <c r="T561" s="18">
        <f t="shared" si="277"/>
        <v>0.58823529411764708</v>
      </c>
      <c r="U561">
        <v>4</v>
      </c>
      <c r="V561">
        <v>10</v>
      </c>
      <c r="W561" s="17">
        <f t="shared" si="278"/>
        <v>0.5714285714285714</v>
      </c>
      <c r="X561" s="17">
        <f t="shared" si="279"/>
        <v>1.4285714285714286</v>
      </c>
      <c r="Y561" s="18">
        <f t="shared" si="280"/>
        <v>0.4</v>
      </c>
      <c r="Z561">
        <v>0</v>
      </c>
      <c r="AA561">
        <v>0</v>
      </c>
      <c r="AB561" s="17">
        <f t="shared" si="281"/>
        <v>0</v>
      </c>
      <c r="AC561" s="17">
        <f t="shared" si="282"/>
        <v>0</v>
      </c>
      <c r="AD561" s="18" t="e">
        <f t="shared" si="283"/>
        <v>#DIV/0!</v>
      </c>
      <c r="AE561">
        <v>8</v>
      </c>
      <c r="AF561" s="17">
        <f t="shared" si="284"/>
        <v>1.1428571428571428</v>
      </c>
      <c r="AG561">
        <v>2</v>
      </c>
      <c r="AH561" s="17">
        <f t="shared" si="285"/>
        <v>0.2857142857142857</v>
      </c>
      <c r="AI561">
        <v>6</v>
      </c>
      <c r="AJ561" s="17">
        <f t="shared" si="286"/>
        <v>0.8571428571428571</v>
      </c>
      <c r="AK561">
        <v>11</v>
      </c>
      <c r="AL561" s="17">
        <f t="shared" si="287"/>
        <v>1.5714285714285714</v>
      </c>
      <c r="AM561">
        <v>2</v>
      </c>
      <c r="AN561" s="17">
        <f t="shared" si="288"/>
        <v>0.2857142857142857</v>
      </c>
      <c r="AO561">
        <v>0</v>
      </c>
      <c r="AQ561">
        <v>7</v>
      </c>
      <c r="AR561" s="17">
        <f t="shared" si="289"/>
        <v>1</v>
      </c>
      <c r="AS561">
        <v>9</v>
      </c>
      <c r="AT561" s="17">
        <f t="shared" si="290"/>
        <v>1.2857142857142858</v>
      </c>
      <c r="BD561" s="65">
        <f t="shared" si="291"/>
        <v>59.259259259259252</v>
      </c>
      <c r="BE561" s="65">
        <f t="shared" si="292"/>
        <v>59.259259259259252</v>
      </c>
      <c r="BF561" s="66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19.723188910927082</v>
      </c>
      <c r="BG561" s="38">
        <f t="shared" si="293"/>
        <v>0.37037037037037035</v>
      </c>
      <c r="BH561" s="38">
        <f t="shared" si="294"/>
        <v>0</v>
      </c>
      <c r="BI561" s="67">
        <f>IFERROR(((AG561*(12000/5))/((F561*60+G561)*(SUMIFS(팀공격력!X:X,팀공격력!A:A,B561,팀공격력!B:B,D561)+SUMIFS(팀수비력!X:X,팀수비력!A:A,B561,팀수비력!B:B,D561))))*100,"")</f>
        <v>1.3739605845057319</v>
      </c>
      <c r="BJ561" s="67">
        <f>IFERROR(((AI561*(12000/5))/((F561*60+G561)*(SUMIFS(팀공격력!V:V,팀공격력!A:A,B561,팀공격력!B:B,D561)+SUMIFS(팀수비력!W:W,팀수비력!A:A,B561,팀수비력!B:B,D561))))*100,"")</f>
        <v>8.3073727933541015</v>
      </c>
      <c r="BK561" s="67">
        <f>IFERROR(((AE561*(12000/5))/((F561*60+G561)*(SUMIFS(팀공격력!X:X,팀공격력!A:A,B561,팀공격력!B:B,D561)+SUMIFS(팀수비력!X:X,팀수비력!A:A,B561,팀수비력!B:B,D561))))*100,"")</f>
        <v>5.4958423380229275</v>
      </c>
      <c r="BL561" s="67">
        <f>IFERROR(100*AK561/(((((F561*60+G561)/(12000/5))*SUMIFS(팀공격력!P:P,팀공격력!A:A,B561,팀공격력!B:B,D561))-K561)),"")</f>
        <v>20.716443677168748</v>
      </c>
      <c r="BM561" s="67">
        <f>IFERROR(100*((AM561/E561*(2400))/((F561*60+G561)*SUMIFS(팀공격력!AR:AR,팀공격력!A:A,B561,팀공격력!B:B,D561))),"")</f>
        <v>1.7440876272476573</v>
      </c>
      <c r="BN561" s="67">
        <f>IFERROR((AO561*40)/(((F561*60+G561)/60)*(SUMIFS(팀수비력!Q:Q,팀수비력!A:A,B561,팀수비력!B:B,D561)-SUMIFS(팀수비력!N:N,팀수비력!A:A,B561,팀수비력!B:B,D561)))*100,"")</f>
        <v>0</v>
      </c>
      <c r="BO561" s="67">
        <f t="shared" si="295"/>
        <v>20.588235294117649</v>
      </c>
      <c r="BT561" t="s">
        <v>113</v>
      </c>
      <c r="BV561" t="s">
        <v>90</v>
      </c>
      <c r="CF561">
        <v>6</v>
      </c>
      <c r="CG561">
        <v>1</v>
      </c>
    </row>
    <row r="562" spans="1:85" x14ac:dyDescent="0.4">
      <c r="A562" s="11" t="s">
        <v>85</v>
      </c>
      <c r="B562" t="s">
        <v>164</v>
      </c>
      <c r="C562" t="s">
        <v>310</v>
      </c>
      <c r="D562" s="46" t="s">
        <v>309</v>
      </c>
      <c r="E562">
        <v>4</v>
      </c>
      <c r="F562">
        <v>1</v>
      </c>
      <c r="G562" s="1">
        <v>30</v>
      </c>
      <c r="H562" s="16">
        <f t="shared" si="270"/>
        <v>360</v>
      </c>
      <c r="I562">
        <v>3</v>
      </c>
      <c r="J562" s="17">
        <f t="shared" si="271"/>
        <v>0.75</v>
      </c>
      <c r="K562">
        <v>1</v>
      </c>
      <c r="L562">
        <v>1</v>
      </c>
      <c r="M562" s="17">
        <f t="shared" si="272"/>
        <v>0.25</v>
      </c>
      <c r="N562" s="17">
        <f t="shared" si="273"/>
        <v>0.25</v>
      </c>
      <c r="O562" s="18">
        <f t="shared" si="274"/>
        <v>1</v>
      </c>
      <c r="P562">
        <v>1</v>
      </c>
      <c r="Q562">
        <v>1</v>
      </c>
      <c r="R562" s="17">
        <f t="shared" si="275"/>
        <v>0.25</v>
      </c>
      <c r="S562" s="17">
        <f t="shared" si="276"/>
        <v>0.25</v>
      </c>
      <c r="T562" s="18">
        <f t="shared" si="277"/>
        <v>1</v>
      </c>
      <c r="U562">
        <v>0</v>
      </c>
      <c r="V562">
        <v>0</v>
      </c>
      <c r="W562" s="17">
        <f t="shared" si="278"/>
        <v>0</v>
      </c>
      <c r="X562" s="17">
        <f t="shared" si="279"/>
        <v>0</v>
      </c>
      <c r="Y562" s="18" t="e">
        <f t="shared" si="280"/>
        <v>#DIV/0!</v>
      </c>
      <c r="Z562">
        <v>1</v>
      </c>
      <c r="AA562">
        <v>2</v>
      </c>
      <c r="AB562" s="17">
        <f t="shared" si="281"/>
        <v>0.25</v>
      </c>
      <c r="AC562" s="17">
        <f t="shared" si="282"/>
        <v>0.5</v>
      </c>
      <c r="AD562" s="18">
        <f t="shared" si="283"/>
        <v>0.5</v>
      </c>
      <c r="AE562">
        <v>2</v>
      </c>
      <c r="AF562" s="17">
        <f t="shared" si="284"/>
        <v>0.5</v>
      </c>
      <c r="AG562">
        <v>0</v>
      </c>
      <c r="AH562" s="17">
        <f t="shared" si="285"/>
        <v>0</v>
      </c>
      <c r="AI562">
        <v>2</v>
      </c>
      <c r="AJ562" s="17">
        <f t="shared" si="286"/>
        <v>0.5</v>
      </c>
      <c r="AK562">
        <v>0</v>
      </c>
      <c r="AL562" s="17">
        <f t="shared" si="287"/>
        <v>0</v>
      </c>
      <c r="AM562">
        <v>0</v>
      </c>
      <c r="AN562" s="17">
        <f t="shared" si="288"/>
        <v>0</v>
      </c>
      <c r="AO562">
        <v>0</v>
      </c>
      <c r="AQ562">
        <v>1</v>
      </c>
      <c r="AR562" s="17">
        <f t="shared" si="289"/>
        <v>0.25</v>
      </c>
      <c r="AS562">
        <v>0</v>
      </c>
      <c r="AT562" s="17">
        <f t="shared" si="290"/>
        <v>0</v>
      </c>
      <c r="BD562" s="65">
        <f t="shared" si="291"/>
        <v>79.787234042553195</v>
      </c>
      <c r="BE562" s="65">
        <f t="shared" si="292"/>
        <v>100</v>
      </c>
      <c r="BF562" s="66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9.9312057104432832</v>
      </c>
      <c r="BG562" s="38">
        <f t="shared" si="293"/>
        <v>0</v>
      </c>
      <c r="BH562" s="38">
        <f t="shared" si="294"/>
        <v>2</v>
      </c>
      <c r="BI562" s="67">
        <f>IFERROR(((AG562*(12000/5))/((F562*60+G562)*(SUMIFS(팀공격력!X:X,팀공격력!A:A,B562,팀공격력!B:B,D562)+SUMIFS(팀수비력!X:X,팀수비력!A:A,B562,팀수비력!B:B,D562))))*100,"")</f>
        <v>0</v>
      </c>
      <c r="BJ562" s="67">
        <f>IFERROR(((AI562*(12000/5))/((F562*60+G562)*(SUMIFS(팀공격력!V:V,팀공격력!A:A,B562,팀공격력!B:B,D562)+SUMIFS(팀수비력!W:W,팀수비력!A:A,B562,팀수비력!B:B,D562))))*100,"")</f>
        <v>16.460905349794238</v>
      </c>
      <c r="BK562" s="67">
        <f>IFERROR(((AE562*(12000/5))/((F562*60+G562)*(SUMIFS(팀공격력!X:X,팀공격력!A:A,B562,팀공격력!B:B,D562)+SUMIFS(팀수비력!X:X,팀수비력!A:A,B562,팀수비력!B:B,D562))))*100,"")</f>
        <v>8.1674323634507395</v>
      </c>
      <c r="BL562" s="67">
        <f>IFERROR(100*AK562/(((((F562*60+G562)/(12000/5))*SUMIFS(팀공격력!P:P,팀공격력!A:A,B562,팀공격력!B:B,D562))-K562)),"")</f>
        <v>0</v>
      </c>
      <c r="BM562" s="67">
        <f>IFERROR(100*((AM562/E562*(2400))/((F562*60+G562)*SUMIFS(팀공격력!AR:AR,팀공격력!A:A,B562,팀공격력!B:B,D562))),"")</f>
        <v>0</v>
      </c>
      <c r="BN562" s="67">
        <f>IFERROR((AO562*40)/(((F562*60+G562)/60)*(SUMIFS(팀수비력!Q:Q,팀수비력!A:A,B562,팀수비력!B:B,D562)-SUMIFS(팀수비력!N:N,팀수비력!A:A,B562,팀수비력!B:B,D562)))*100,"")</f>
        <v>0</v>
      </c>
      <c r="BO562" s="67">
        <f t="shared" si="295"/>
        <v>34.722222222222221</v>
      </c>
      <c r="BT562" t="s">
        <v>89</v>
      </c>
      <c r="BV562" t="s">
        <v>93</v>
      </c>
      <c r="CF562">
        <v>4</v>
      </c>
      <c r="CG562">
        <v>0</v>
      </c>
    </row>
    <row r="563" spans="1:85" x14ac:dyDescent="0.4">
      <c r="A563" s="11" t="s">
        <v>85</v>
      </c>
      <c r="B563" t="s">
        <v>164</v>
      </c>
      <c r="C563" t="s">
        <v>167</v>
      </c>
      <c r="D563" s="46" t="s">
        <v>309</v>
      </c>
      <c r="E563">
        <v>9</v>
      </c>
      <c r="F563">
        <v>22</v>
      </c>
      <c r="G563" s="1">
        <v>0</v>
      </c>
      <c r="H563" s="16">
        <f t="shared" si="270"/>
        <v>11880</v>
      </c>
      <c r="I563">
        <v>89</v>
      </c>
      <c r="J563" s="17">
        <f t="shared" si="271"/>
        <v>9.8888888888888893</v>
      </c>
      <c r="K563">
        <v>35</v>
      </c>
      <c r="L563">
        <v>76</v>
      </c>
      <c r="M563" s="17">
        <f t="shared" si="272"/>
        <v>3.8888888888888888</v>
      </c>
      <c r="N563" s="17">
        <f t="shared" si="273"/>
        <v>8.4444444444444446</v>
      </c>
      <c r="O563" s="18">
        <f t="shared" si="274"/>
        <v>0.46052631578947367</v>
      </c>
      <c r="P563">
        <v>26</v>
      </c>
      <c r="Q563">
        <v>43</v>
      </c>
      <c r="R563" s="17">
        <f t="shared" si="275"/>
        <v>2.8888888888888888</v>
      </c>
      <c r="S563" s="17">
        <f t="shared" si="276"/>
        <v>4.7777777777777777</v>
      </c>
      <c r="T563" s="18">
        <f t="shared" si="277"/>
        <v>0.60465116279069764</v>
      </c>
      <c r="U563">
        <v>9</v>
      </c>
      <c r="V563">
        <v>33</v>
      </c>
      <c r="W563" s="17">
        <f t="shared" si="278"/>
        <v>1</v>
      </c>
      <c r="X563" s="17">
        <f t="shared" si="279"/>
        <v>3.6666666666666665</v>
      </c>
      <c r="Y563" s="18">
        <f t="shared" si="280"/>
        <v>0.27272727272727271</v>
      </c>
      <c r="Z563">
        <v>10</v>
      </c>
      <c r="AA563">
        <v>16</v>
      </c>
      <c r="AB563" s="17">
        <f t="shared" si="281"/>
        <v>1.1111111111111112</v>
      </c>
      <c r="AC563" s="17">
        <f t="shared" si="282"/>
        <v>1.7777777777777777</v>
      </c>
      <c r="AD563" s="18">
        <f t="shared" si="283"/>
        <v>0.625</v>
      </c>
      <c r="AE563">
        <v>14</v>
      </c>
      <c r="AF563" s="17">
        <f t="shared" si="284"/>
        <v>1.5555555555555556</v>
      </c>
      <c r="AG563">
        <v>4</v>
      </c>
      <c r="AH563" s="17">
        <f t="shared" si="285"/>
        <v>0.44444444444444442</v>
      </c>
      <c r="AI563">
        <v>10</v>
      </c>
      <c r="AJ563" s="17">
        <f t="shared" si="286"/>
        <v>1.1111111111111112</v>
      </c>
      <c r="AK563">
        <v>33</v>
      </c>
      <c r="AL563" s="17">
        <f t="shared" si="287"/>
        <v>3.6666666666666665</v>
      </c>
      <c r="AM563">
        <v>18</v>
      </c>
      <c r="AN563" s="17">
        <f t="shared" si="288"/>
        <v>2</v>
      </c>
      <c r="AO563">
        <v>1</v>
      </c>
      <c r="AQ563">
        <v>11</v>
      </c>
      <c r="AR563" s="17">
        <f t="shared" si="289"/>
        <v>1.2222222222222223</v>
      </c>
      <c r="AS563">
        <v>15</v>
      </c>
      <c r="AT563" s="17">
        <f t="shared" si="290"/>
        <v>1.6666666666666667</v>
      </c>
      <c r="BD563" s="65">
        <f t="shared" si="291"/>
        <v>53.588631984585732</v>
      </c>
      <c r="BE563" s="65">
        <f t="shared" si="292"/>
        <v>51.973684210526315</v>
      </c>
      <c r="BF563" s="66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22.110099076943335</v>
      </c>
      <c r="BG563" s="38">
        <f t="shared" si="293"/>
        <v>0.43421052631578949</v>
      </c>
      <c r="BH563" s="38">
        <f t="shared" si="294"/>
        <v>0.21052631578947367</v>
      </c>
      <c r="BI563" s="67">
        <f>IFERROR(((AG563*(12000/5))/((F563*60+G563)*(SUMIFS(팀공격력!X:X,팀공격력!A:A,B563,팀공격력!B:B,D563)+SUMIFS(팀수비력!X:X,팀수비력!A:A,B563,팀수비력!B:B,D563))))*100,"")</f>
        <v>1.1137407768341918</v>
      </c>
      <c r="BJ563" s="67">
        <f>IFERROR(((AI563*(12000/5))/((F563*60+G563)*(SUMIFS(팀공격력!V:V,팀공격력!A:A,B563,팀공격력!B:B,D563)+SUMIFS(팀수비력!W:W,팀수비력!A:A,B563,팀수비력!B:B,D563))))*100,"")</f>
        <v>5.6116722783389452</v>
      </c>
      <c r="BK563" s="67">
        <f>IFERROR(((AE563*(12000/5))/((F563*60+G563)*(SUMIFS(팀공격력!X:X,팀공격력!A:A,B563,팀공격력!B:B,D563)+SUMIFS(팀수비력!X:X,팀수비력!A:A,B563,팀수비력!B:B,D563))))*100,"")</f>
        <v>3.8980927189196715</v>
      </c>
      <c r="BL563" s="67">
        <f>IFERROR(100*AK563/(((((F563*60+G563)/(12000/5))*SUMIFS(팀공격력!P:P,팀공격력!A:A,B563,팀공격력!B:B,D563))-K563)),"")</f>
        <v>25.277671390271923</v>
      </c>
      <c r="BM563" s="67">
        <f>IFERROR(100*((AM563/E563*(2400))/((F563*60+G563)*SUMIFS(팀공격력!AR:AR,팀공격력!A:A,B563,팀공격력!B:B,D563))),"")</f>
        <v>4.9481880030624819</v>
      </c>
      <c r="BN563" s="67">
        <f>IFERROR((AO563*40)/(((F563*60+G563)/60)*(SUMIFS(팀수비력!Q:Q,팀수비력!A:A,B563,팀수비력!B:B,D563)-SUMIFS(팀수비력!N:N,팀수비력!A:A,B563,팀수비력!B:B,D563)))*100,"")</f>
        <v>0.5611672278338945</v>
      </c>
      <c r="BO563" s="67">
        <f t="shared" si="295"/>
        <v>11.697150148872819</v>
      </c>
      <c r="BT563" t="s">
        <v>89</v>
      </c>
      <c r="BV563" t="s">
        <v>90</v>
      </c>
      <c r="CF563">
        <v>8</v>
      </c>
      <c r="CG563">
        <v>1</v>
      </c>
    </row>
    <row r="564" spans="1:85" x14ac:dyDescent="0.4">
      <c r="A564" s="11" t="s">
        <v>85</v>
      </c>
      <c r="B564" t="s">
        <v>164</v>
      </c>
      <c r="C564" t="s">
        <v>169</v>
      </c>
      <c r="D564" s="46" t="s">
        <v>309</v>
      </c>
      <c r="E564">
        <v>7</v>
      </c>
      <c r="F564">
        <v>6</v>
      </c>
      <c r="G564" s="1">
        <v>13</v>
      </c>
      <c r="H564" s="16">
        <f t="shared" si="270"/>
        <v>2611</v>
      </c>
      <c r="I564">
        <v>19</v>
      </c>
      <c r="J564" s="17">
        <f t="shared" si="271"/>
        <v>2.7142857142857144</v>
      </c>
      <c r="K564">
        <v>7</v>
      </c>
      <c r="L564">
        <v>15</v>
      </c>
      <c r="M564" s="17">
        <f t="shared" si="272"/>
        <v>1</v>
      </c>
      <c r="N564" s="17">
        <f t="shared" si="273"/>
        <v>2.1428571428571428</v>
      </c>
      <c r="O564" s="18">
        <f t="shared" si="274"/>
        <v>0.46666666666666667</v>
      </c>
      <c r="P564">
        <v>6</v>
      </c>
      <c r="Q564">
        <v>12</v>
      </c>
      <c r="R564" s="17">
        <f t="shared" si="275"/>
        <v>0.8571428571428571</v>
      </c>
      <c r="S564" s="17">
        <f t="shared" si="276"/>
        <v>1.7142857142857142</v>
      </c>
      <c r="T564" s="18">
        <f t="shared" si="277"/>
        <v>0.5</v>
      </c>
      <c r="U564">
        <v>1</v>
      </c>
      <c r="V564">
        <v>3</v>
      </c>
      <c r="W564" s="17">
        <f t="shared" si="278"/>
        <v>0.14285714285714285</v>
      </c>
      <c r="X564" s="17">
        <f t="shared" si="279"/>
        <v>0.42857142857142855</v>
      </c>
      <c r="Y564" s="18">
        <f t="shared" si="280"/>
        <v>0.33333333333333331</v>
      </c>
      <c r="Z564">
        <v>4</v>
      </c>
      <c r="AA564">
        <v>4</v>
      </c>
      <c r="AB564" s="17">
        <f t="shared" si="281"/>
        <v>0.5714285714285714</v>
      </c>
      <c r="AC564" s="17">
        <f t="shared" si="282"/>
        <v>0.5714285714285714</v>
      </c>
      <c r="AD564" s="18">
        <f t="shared" si="283"/>
        <v>1</v>
      </c>
      <c r="AE564">
        <v>15</v>
      </c>
      <c r="AF564" s="17">
        <f t="shared" si="284"/>
        <v>2.1428571428571428</v>
      </c>
      <c r="AG564">
        <v>5</v>
      </c>
      <c r="AH564" s="17">
        <f t="shared" si="285"/>
        <v>0.7142857142857143</v>
      </c>
      <c r="AI564">
        <v>10</v>
      </c>
      <c r="AJ564" s="17">
        <f t="shared" si="286"/>
        <v>1.4285714285714286</v>
      </c>
      <c r="AK564">
        <v>1</v>
      </c>
      <c r="AL564" s="17">
        <f t="shared" si="287"/>
        <v>0.14285714285714285</v>
      </c>
      <c r="AM564">
        <v>0</v>
      </c>
      <c r="AN564" s="17">
        <f t="shared" si="288"/>
        <v>0</v>
      </c>
      <c r="AO564">
        <v>1</v>
      </c>
      <c r="AQ564">
        <v>1</v>
      </c>
      <c r="AR564" s="17">
        <f t="shared" si="289"/>
        <v>0.14285714285714285</v>
      </c>
      <c r="AS564">
        <v>7</v>
      </c>
      <c r="AT564" s="17">
        <f t="shared" si="290"/>
        <v>1</v>
      </c>
      <c r="BD564" s="65">
        <f t="shared" si="291"/>
        <v>56.68257756563245</v>
      </c>
      <c r="BE564" s="65">
        <f t="shared" si="292"/>
        <v>50</v>
      </c>
      <c r="BF564" s="66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14.776995091946441</v>
      </c>
      <c r="BG564" s="38">
        <f t="shared" si="293"/>
        <v>0.2</v>
      </c>
      <c r="BH564" s="38">
        <f t="shared" si="294"/>
        <v>0.26666666666666666</v>
      </c>
      <c r="BI564" s="67">
        <f>IFERROR(((AG564*(12000/5))/((F564*60+G564)*(SUMIFS(팀공격력!X:X,팀공격력!A:A,B564,팀공격력!B:B,D564)+SUMIFS(팀수비력!X:X,팀수비력!A:A,B564,팀수비력!B:B,D564))))*100,"")</f>
        <v>4.9267353398831544</v>
      </c>
      <c r="BJ564" s="67">
        <f>IFERROR(((AI564*(12000/5))/((F564*60+G564)*(SUMIFS(팀공격력!V:V,팀공격력!A:A,B564,팀공격력!B:B,D564)+SUMIFS(팀수비력!W:W,팀수비력!A:A,B564,팀수비력!B:B,D564))))*100,"")</f>
        <v>19.859001092245059</v>
      </c>
      <c r="BK564" s="67">
        <f>IFERROR(((AE564*(12000/5))/((F564*60+G564)*(SUMIFS(팀공격력!X:X,팀공격력!A:A,B564,팀공격력!B:B,D564)+SUMIFS(팀수비력!X:X,팀수비력!A:A,B564,팀수비력!B:B,D564))))*100,"")</f>
        <v>14.780206019649464</v>
      </c>
      <c r="BL564" s="67">
        <f>IFERROR(100*AK564/(((((F564*60+G564)/(12000/5))*SUMIFS(팀공격력!P:P,팀공격력!A:A,B564,팀공격력!B:B,D564))-K564)),"")</f>
        <v>2.5137997130078662</v>
      </c>
      <c r="BM564" s="67">
        <f>IFERROR(100*((AM564/E564*(2400))/((F564*60+G564)*SUMIFS(팀공격력!AR:AR,팀공격력!A:A,B564,팀공격력!B:B,D564))),"")</f>
        <v>0</v>
      </c>
      <c r="BN564" s="67">
        <f>IFERROR((AO564*40)/(((F564*60+G564)/60)*(SUMIFS(팀수비력!Q:Q,팀수비력!A:A,B564,팀수비력!B:B,D564)-SUMIFS(팀수비력!N:N,팀수비력!A:A,B564,팀수비력!B:B,D564)))*100,"")</f>
        <v>1.9859001092245059</v>
      </c>
      <c r="BO564" s="67">
        <f t="shared" si="295"/>
        <v>5.6306306306306304</v>
      </c>
      <c r="BT564" t="s">
        <v>96</v>
      </c>
      <c r="BV564" t="s">
        <v>102</v>
      </c>
      <c r="CF564">
        <v>7</v>
      </c>
      <c r="CG564">
        <v>0</v>
      </c>
    </row>
    <row r="565" spans="1:85" x14ac:dyDescent="0.4">
      <c r="A565" s="11" t="s">
        <v>85</v>
      </c>
      <c r="B565" t="s">
        <v>164</v>
      </c>
      <c r="C565" t="s">
        <v>172</v>
      </c>
      <c r="D565" s="46" t="s">
        <v>309</v>
      </c>
      <c r="E565">
        <v>9</v>
      </c>
      <c r="F565">
        <v>6</v>
      </c>
      <c r="G565" s="1">
        <v>4</v>
      </c>
      <c r="H565" s="16">
        <f t="shared" si="270"/>
        <v>3276</v>
      </c>
      <c r="I565">
        <v>12</v>
      </c>
      <c r="J565" s="17">
        <f t="shared" si="271"/>
        <v>1.3333333333333333</v>
      </c>
      <c r="K565">
        <v>5</v>
      </c>
      <c r="L565">
        <v>14</v>
      </c>
      <c r="M565" s="17">
        <f t="shared" si="272"/>
        <v>0.55555555555555558</v>
      </c>
      <c r="N565" s="17">
        <f t="shared" si="273"/>
        <v>1.5555555555555556</v>
      </c>
      <c r="O565" s="18">
        <f t="shared" si="274"/>
        <v>0.35714285714285715</v>
      </c>
      <c r="P565">
        <v>5</v>
      </c>
      <c r="Q565">
        <v>7</v>
      </c>
      <c r="R565" s="17">
        <f t="shared" si="275"/>
        <v>0.55555555555555558</v>
      </c>
      <c r="S565" s="17">
        <f t="shared" si="276"/>
        <v>0.77777777777777779</v>
      </c>
      <c r="T565" s="18">
        <f t="shared" si="277"/>
        <v>0.7142857142857143</v>
      </c>
      <c r="U565">
        <v>0</v>
      </c>
      <c r="V565">
        <v>7</v>
      </c>
      <c r="W565" s="17">
        <f t="shared" si="278"/>
        <v>0</v>
      </c>
      <c r="X565" s="17">
        <f t="shared" si="279"/>
        <v>0.77777777777777779</v>
      </c>
      <c r="Y565" s="18">
        <f t="shared" si="280"/>
        <v>0</v>
      </c>
      <c r="Z565">
        <v>2</v>
      </c>
      <c r="AA565">
        <v>2</v>
      </c>
      <c r="AB565" s="17">
        <f t="shared" si="281"/>
        <v>0.22222222222222221</v>
      </c>
      <c r="AC565" s="17">
        <f t="shared" si="282"/>
        <v>0.22222222222222221</v>
      </c>
      <c r="AD565" s="18">
        <f t="shared" si="283"/>
        <v>1</v>
      </c>
      <c r="AE565">
        <v>1</v>
      </c>
      <c r="AF565" s="17">
        <f t="shared" si="284"/>
        <v>0.1111111111111111</v>
      </c>
      <c r="AG565">
        <v>0</v>
      </c>
      <c r="AH565" s="17">
        <f t="shared" si="285"/>
        <v>0</v>
      </c>
      <c r="AI565">
        <v>1</v>
      </c>
      <c r="AJ565" s="17">
        <f t="shared" si="286"/>
        <v>0.1111111111111111</v>
      </c>
      <c r="AK565">
        <v>1</v>
      </c>
      <c r="AL565" s="17">
        <f t="shared" si="287"/>
        <v>0.1111111111111111</v>
      </c>
      <c r="AM565">
        <v>2</v>
      </c>
      <c r="AN565" s="17">
        <f t="shared" si="288"/>
        <v>0.22222222222222221</v>
      </c>
      <c r="AO565">
        <v>0</v>
      </c>
      <c r="AQ565">
        <v>6</v>
      </c>
      <c r="AR565" s="17">
        <f t="shared" si="289"/>
        <v>0.66666666666666663</v>
      </c>
      <c r="AS565">
        <v>7</v>
      </c>
      <c r="AT565" s="17">
        <f t="shared" si="290"/>
        <v>0.77777777777777779</v>
      </c>
      <c r="BD565" s="65">
        <f t="shared" si="291"/>
        <v>40.322580645161288</v>
      </c>
      <c r="BE565" s="65">
        <f t="shared" si="292"/>
        <v>35.714285714285715</v>
      </c>
      <c r="BF565" s="66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17.802504741934733</v>
      </c>
      <c r="BG565" s="38">
        <f t="shared" si="293"/>
        <v>0.5</v>
      </c>
      <c r="BH565" s="38">
        <f t="shared" si="294"/>
        <v>0.14285714285714285</v>
      </c>
      <c r="BI565" s="67">
        <f>IFERROR(((AG565*(12000/5))/((F565*60+G565)*(SUMIFS(팀공격력!X:X,팀공격력!A:A,B565,팀공격력!B:B,D565)+SUMIFS(팀수비력!X:X,팀수비력!A:A,B565,팀수비력!B:B,D565))))*100,"")</f>
        <v>0</v>
      </c>
      <c r="BJ565" s="67">
        <f>IFERROR(((AI565*(12000/5))/((F565*60+G565)*(SUMIFS(팀공격력!V:V,팀공격력!A:A,B565,팀공격력!B:B,D565)+SUMIFS(팀수비력!W:W,팀수비력!A:A,B565,팀수비력!B:B,D565))))*100,"")</f>
        <v>2.035002035002035</v>
      </c>
      <c r="BK565" s="67">
        <f>IFERROR(((AE565*(12000/5))/((F565*60+G565)*(SUMIFS(팀공격력!X:X,팀공격력!A:A,B565,팀공격력!B:B,D565)+SUMIFS(팀수비력!X:X,팀수비력!A:A,B565,팀수비력!B:B,D565))))*100,"")</f>
        <v>1.009710044932097</v>
      </c>
      <c r="BL565" s="67">
        <f>IFERROR(100*AK565/(((((F565*60+G565)/(12000/5))*SUMIFS(팀공격력!P:P,팀공격력!A:A,B565,팀공격력!B:B,D565))-K565)),"")</f>
        <v>2.4599237423639866</v>
      </c>
      <c r="BM565" s="67">
        <f>IFERROR(100*((AM565/E565*(2400))/((F565*60+G565)*SUMIFS(팀공격력!AR:AR,팀공격력!A:A,B565,팀공격력!B:B,D565))),"")</f>
        <v>1.9937753858493514</v>
      </c>
      <c r="BN565" s="67">
        <f>IFERROR((AO565*40)/(((F565*60+G565)/60)*(SUMIFS(팀수비력!Q:Q,팀수비력!A:A,B565,팀수비력!B:B,D565)-SUMIFS(팀수비력!N:N,팀수비력!A:A,B565,팀수비력!B:B,D565)))*100,"")</f>
        <v>0</v>
      </c>
      <c r="BO565" s="67">
        <f t="shared" si="295"/>
        <v>28.735632183908042</v>
      </c>
      <c r="BT565" t="s">
        <v>89</v>
      </c>
      <c r="BV565" t="s">
        <v>93</v>
      </c>
      <c r="CF565">
        <v>8</v>
      </c>
      <c r="CG565">
        <v>1</v>
      </c>
    </row>
    <row r="566" spans="1:85" x14ac:dyDescent="0.4">
      <c r="A566" s="11" t="s">
        <v>85</v>
      </c>
      <c r="B566" t="s">
        <v>164</v>
      </c>
      <c r="C566" t="s">
        <v>173</v>
      </c>
      <c r="D566" s="46" t="s">
        <v>309</v>
      </c>
      <c r="E566">
        <v>9</v>
      </c>
      <c r="F566">
        <v>35</v>
      </c>
      <c r="G566" s="1">
        <v>8</v>
      </c>
      <c r="H566" s="16">
        <f t="shared" si="270"/>
        <v>18972</v>
      </c>
      <c r="I566">
        <v>105</v>
      </c>
      <c r="J566" s="17">
        <f t="shared" si="271"/>
        <v>11.666666666666666</v>
      </c>
      <c r="K566">
        <v>39</v>
      </c>
      <c r="L566">
        <v>101</v>
      </c>
      <c r="M566" s="17">
        <f t="shared" si="272"/>
        <v>4.333333333333333</v>
      </c>
      <c r="N566" s="17">
        <f t="shared" si="273"/>
        <v>11.222222222222221</v>
      </c>
      <c r="O566" s="18">
        <f t="shared" si="274"/>
        <v>0.38613861386138615</v>
      </c>
      <c r="P566">
        <v>24</v>
      </c>
      <c r="Q566">
        <v>52</v>
      </c>
      <c r="R566" s="17">
        <f t="shared" si="275"/>
        <v>2.6666666666666665</v>
      </c>
      <c r="S566" s="17">
        <f t="shared" si="276"/>
        <v>5.7777777777777777</v>
      </c>
      <c r="T566" s="18">
        <f t="shared" si="277"/>
        <v>0.46153846153846156</v>
      </c>
      <c r="U566">
        <v>15</v>
      </c>
      <c r="V566">
        <v>49</v>
      </c>
      <c r="W566" s="17">
        <f t="shared" si="278"/>
        <v>1.6666666666666667</v>
      </c>
      <c r="X566" s="17">
        <f t="shared" si="279"/>
        <v>5.4444444444444446</v>
      </c>
      <c r="Y566" s="18">
        <f t="shared" si="280"/>
        <v>0.30612244897959184</v>
      </c>
      <c r="Z566">
        <v>12</v>
      </c>
      <c r="AA566">
        <v>22</v>
      </c>
      <c r="AB566" s="17">
        <f t="shared" si="281"/>
        <v>1.3333333333333333</v>
      </c>
      <c r="AC566" s="17">
        <f t="shared" si="282"/>
        <v>2.4444444444444446</v>
      </c>
      <c r="AD566" s="18">
        <f t="shared" si="283"/>
        <v>0.54545454545454541</v>
      </c>
      <c r="AE566">
        <v>53</v>
      </c>
      <c r="AF566" s="17">
        <f t="shared" si="284"/>
        <v>5.8888888888888893</v>
      </c>
      <c r="AG566">
        <v>12</v>
      </c>
      <c r="AH566" s="17">
        <f t="shared" si="285"/>
        <v>1.3333333333333333</v>
      </c>
      <c r="AI566">
        <v>41</v>
      </c>
      <c r="AJ566" s="17">
        <f t="shared" si="286"/>
        <v>4.5555555555555554</v>
      </c>
      <c r="AK566">
        <v>24</v>
      </c>
      <c r="AL566" s="17">
        <f t="shared" si="287"/>
        <v>2.6666666666666665</v>
      </c>
      <c r="AM566">
        <v>15</v>
      </c>
      <c r="AN566" s="17">
        <f t="shared" si="288"/>
        <v>1.6666666666666667</v>
      </c>
      <c r="AO566">
        <v>8</v>
      </c>
      <c r="AQ566">
        <v>11</v>
      </c>
      <c r="AR566" s="17">
        <f t="shared" si="289"/>
        <v>1.2222222222222223</v>
      </c>
      <c r="AS566">
        <v>18</v>
      </c>
      <c r="AT566" s="17">
        <f t="shared" si="290"/>
        <v>2</v>
      </c>
      <c r="BD566" s="65">
        <f t="shared" si="291"/>
        <v>47.434044091073361</v>
      </c>
      <c r="BE566" s="65">
        <f t="shared" si="292"/>
        <v>46.039603960396043</v>
      </c>
      <c r="BF566" s="66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17.91433098385227</v>
      </c>
      <c r="BG566" s="38">
        <f t="shared" si="293"/>
        <v>0.48514851485148514</v>
      </c>
      <c r="BH566" s="38">
        <f t="shared" si="294"/>
        <v>0.21782178217821782</v>
      </c>
      <c r="BI566" s="67">
        <f>IFERROR(((AG566*(12000/5))/((F566*60+G566)*(SUMIFS(팀공격력!X:X,팀공격력!A:A,B566,팀공격력!B:B,D566)+SUMIFS(팀수비력!X:X,팀수비력!A:A,B566,팀수비력!B:B,D566))))*100,"")</f>
        <v>2.0922265067663188</v>
      </c>
      <c r="BJ566" s="67">
        <f>IFERROR(((AI566*(12000/5))/((F566*60+G566)*(SUMIFS(팀공격력!V:V,팀공격력!A:A,B566,팀공격력!B:B,D566)+SUMIFS(팀수비력!W:W,팀수비력!A:A,B566,팀수비력!B:B,D566))))*100,"")</f>
        <v>14.407196570384425</v>
      </c>
      <c r="BK566" s="67">
        <f>IFERROR(((AE566*(12000/5))/((F566*60+G566)*(SUMIFS(팀공격력!X:X,팀공격력!A:A,B566,팀공격력!B:B,D566)+SUMIFS(팀수비력!X:X,팀수비력!A:A,B566,팀수비력!B:B,D566))))*100,"")</f>
        <v>9.2406670715512416</v>
      </c>
      <c r="BL566" s="67">
        <f>IFERROR(100*AK566/(((((F566*60+G566)/(12000/5))*SUMIFS(팀공격력!P:P,팀공격력!A:A,B566,팀공격력!B:B,D566))-K566)),"")</f>
        <v>10.648760972291036</v>
      </c>
      <c r="BM566" s="67">
        <f>IFERROR(100*((AM566/E566*(2400))/((F566*60+G566)*SUMIFS(팀공격력!AR:AR,팀공격력!A:A,B566,팀공격력!B:B,D566))),"")</f>
        <v>2.5820715385999673</v>
      </c>
      <c r="BN566" s="67">
        <f>IFERROR((AO566*40)/(((F566*60+G566)/60)*(SUMIFS(팀수비력!Q:Q,팀수비력!A:A,B566,팀수비력!B:B,D566)-SUMIFS(팀수비력!N:N,팀수비력!A:A,B566,팀수비력!B:B,D566)))*100,"")</f>
        <v>2.8111603064164732</v>
      </c>
      <c r="BO566" s="67">
        <f t="shared" si="295"/>
        <v>9.0401051939513479</v>
      </c>
      <c r="BT566" t="s">
        <v>89</v>
      </c>
      <c r="BV566" t="s">
        <v>93</v>
      </c>
      <c r="CF566">
        <v>8</v>
      </c>
      <c r="CG566">
        <v>1</v>
      </c>
    </row>
    <row r="567" spans="1:85" x14ac:dyDescent="0.4">
      <c r="A567" s="11" t="s">
        <v>85</v>
      </c>
      <c r="B567" t="s">
        <v>164</v>
      </c>
      <c r="C567" t="s">
        <v>174</v>
      </c>
      <c r="D567" s="46" t="s">
        <v>309</v>
      </c>
      <c r="E567">
        <v>3</v>
      </c>
      <c r="F567">
        <v>2</v>
      </c>
      <c r="G567" s="1">
        <v>48</v>
      </c>
      <c r="H567" s="16">
        <f t="shared" si="270"/>
        <v>504</v>
      </c>
      <c r="I567">
        <v>0</v>
      </c>
      <c r="J567" s="17">
        <f t="shared" si="271"/>
        <v>0</v>
      </c>
      <c r="K567">
        <v>0</v>
      </c>
      <c r="L567">
        <v>5</v>
      </c>
      <c r="M567" s="17">
        <f t="shared" si="272"/>
        <v>0</v>
      </c>
      <c r="N567" s="17">
        <f t="shared" si="273"/>
        <v>1.6666666666666667</v>
      </c>
      <c r="O567" s="18">
        <f t="shared" si="274"/>
        <v>0</v>
      </c>
      <c r="P567">
        <v>0</v>
      </c>
      <c r="Q567">
        <v>2</v>
      </c>
      <c r="R567" s="17">
        <f t="shared" si="275"/>
        <v>0</v>
      </c>
      <c r="S567" s="17">
        <f t="shared" si="276"/>
        <v>0.66666666666666663</v>
      </c>
      <c r="T567" s="18">
        <f t="shared" si="277"/>
        <v>0</v>
      </c>
      <c r="U567">
        <v>0</v>
      </c>
      <c r="V567">
        <v>3</v>
      </c>
      <c r="W567" s="17">
        <f t="shared" si="278"/>
        <v>0</v>
      </c>
      <c r="X567" s="17">
        <f t="shared" si="279"/>
        <v>1</v>
      </c>
      <c r="Y567" s="18">
        <f t="shared" si="280"/>
        <v>0</v>
      </c>
      <c r="Z567">
        <v>0</v>
      </c>
      <c r="AA567">
        <v>0</v>
      </c>
      <c r="AB567" s="17">
        <f t="shared" si="281"/>
        <v>0</v>
      </c>
      <c r="AC567" s="17">
        <f t="shared" si="282"/>
        <v>0</v>
      </c>
      <c r="AD567" s="18" t="e">
        <f t="shared" si="283"/>
        <v>#DIV/0!</v>
      </c>
      <c r="AE567">
        <v>4</v>
      </c>
      <c r="AF567" s="17">
        <f t="shared" si="284"/>
        <v>1.3333333333333333</v>
      </c>
      <c r="AG567">
        <v>3</v>
      </c>
      <c r="AH567" s="17">
        <f t="shared" si="285"/>
        <v>1</v>
      </c>
      <c r="AI567">
        <v>1</v>
      </c>
      <c r="AJ567" s="17">
        <f t="shared" si="286"/>
        <v>0.33333333333333331</v>
      </c>
      <c r="AK567">
        <v>1</v>
      </c>
      <c r="AL567" s="17">
        <f t="shared" si="287"/>
        <v>0.33333333333333331</v>
      </c>
      <c r="AM567">
        <v>0</v>
      </c>
      <c r="AN567" s="17">
        <f t="shared" si="288"/>
        <v>0</v>
      </c>
      <c r="AO567">
        <v>0</v>
      </c>
      <c r="AQ567">
        <v>1</v>
      </c>
      <c r="AR567" s="17">
        <f t="shared" si="289"/>
        <v>0.33333333333333331</v>
      </c>
      <c r="AS567">
        <v>2</v>
      </c>
      <c r="AT567" s="17">
        <f t="shared" si="290"/>
        <v>0.66666666666666663</v>
      </c>
      <c r="BD567" s="65">
        <f t="shared" si="291"/>
        <v>0</v>
      </c>
      <c r="BE567" s="65">
        <f t="shared" si="292"/>
        <v>0</v>
      </c>
      <c r="BF567" s="66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11.083934944691164</v>
      </c>
      <c r="BG567" s="38">
        <f t="shared" si="293"/>
        <v>0.6</v>
      </c>
      <c r="BH567" s="38">
        <f t="shared" si="294"/>
        <v>0</v>
      </c>
      <c r="BI567" s="67">
        <f>IFERROR(((AG567*(12000/5))/((F567*60+G567)*(SUMIFS(팀공격력!X:X,팀공격력!A:A,B567,팀공격력!B:B,D567)+SUMIFS(팀수비력!X:X,팀수비력!A:A,B567,팀수비력!B:B,D567))))*100,"")</f>
        <v>6.5631152920586295</v>
      </c>
      <c r="BJ567" s="67">
        <f>IFERROR(((AI567*(12000/5))/((F567*60+G567)*(SUMIFS(팀공격력!V:V,팀공격력!A:A,B567,팀공격력!B:B,D567)+SUMIFS(팀수비력!W:W,팀수비력!A:A,B567,팀수비력!B:B,D567))))*100,"")</f>
        <v>4.409171075837742</v>
      </c>
      <c r="BK567" s="67">
        <f>IFERROR(((AE567*(12000/5))/((F567*60+G567)*(SUMIFS(팀공격력!X:X,팀공격력!A:A,B567,팀공격력!B:B,D567)+SUMIFS(팀수비력!X:X,팀수비력!A:A,B567,팀수비력!B:B,D567))))*100,"")</f>
        <v>8.7508203894115066</v>
      </c>
      <c r="BL567" s="67">
        <f>IFERROR(100*AK567/(((((F567*60+G567)/(12000/5))*SUMIFS(팀공격력!P:P,팀공격력!A:A,B567,팀공격력!B:B,D567))-K567)),"")</f>
        <v>4.7460844803037494</v>
      </c>
      <c r="BM567" s="67">
        <f>IFERROR(100*((AM567/E567*(2400))/((F567*60+G567)*SUMIFS(팀공격력!AR:AR,팀공격력!A:A,B567,팀공격력!B:B,D567))),"")</f>
        <v>0</v>
      </c>
      <c r="BN567" s="67">
        <f>IFERROR((AO567*40)/(((F567*60+G567)/60)*(SUMIFS(팀수비력!Q:Q,팀수비력!A:A,B567,팀수비력!B:B,D567)-SUMIFS(팀수비력!N:N,팀수비력!A:A,B567,팀수비력!B:B,D567)))*100,"")</f>
        <v>0</v>
      </c>
      <c r="BO567" s="67">
        <f t="shared" si="295"/>
        <v>16.666666666666668</v>
      </c>
      <c r="BT567" t="s">
        <v>89</v>
      </c>
      <c r="BV567" t="s">
        <v>90</v>
      </c>
      <c r="CF567">
        <v>3</v>
      </c>
      <c r="CG567">
        <v>0</v>
      </c>
    </row>
    <row r="568" spans="1:85" x14ac:dyDescent="0.4">
      <c r="A568" s="11" t="s">
        <v>85</v>
      </c>
      <c r="B568" t="s">
        <v>164</v>
      </c>
      <c r="C568" t="s">
        <v>175</v>
      </c>
      <c r="D568" s="46" t="s">
        <v>309</v>
      </c>
      <c r="E568">
        <v>9</v>
      </c>
      <c r="F568">
        <v>23</v>
      </c>
      <c r="G568" s="1">
        <v>24</v>
      </c>
      <c r="H568" s="16">
        <f t="shared" si="270"/>
        <v>12636</v>
      </c>
      <c r="I568">
        <v>90</v>
      </c>
      <c r="J568" s="17">
        <f t="shared" si="271"/>
        <v>10</v>
      </c>
      <c r="K568">
        <v>40</v>
      </c>
      <c r="L568">
        <v>84</v>
      </c>
      <c r="M568" s="17">
        <f t="shared" si="272"/>
        <v>4.4444444444444446</v>
      </c>
      <c r="N568" s="17">
        <f t="shared" si="273"/>
        <v>9.3333333333333339</v>
      </c>
      <c r="O568" s="18">
        <f t="shared" si="274"/>
        <v>0.47619047619047616</v>
      </c>
      <c r="P568">
        <v>34</v>
      </c>
      <c r="Q568">
        <v>64</v>
      </c>
      <c r="R568" s="17">
        <f t="shared" si="275"/>
        <v>3.7777777777777777</v>
      </c>
      <c r="S568" s="17">
        <f t="shared" si="276"/>
        <v>7.1111111111111107</v>
      </c>
      <c r="T568" s="18">
        <f t="shared" si="277"/>
        <v>0.53125</v>
      </c>
      <c r="U568">
        <v>6</v>
      </c>
      <c r="V568">
        <v>20</v>
      </c>
      <c r="W568" s="17">
        <f t="shared" si="278"/>
        <v>0.66666666666666663</v>
      </c>
      <c r="X568" s="17">
        <f t="shared" si="279"/>
        <v>2.2222222222222223</v>
      </c>
      <c r="Y568" s="18">
        <f t="shared" si="280"/>
        <v>0.3</v>
      </c>
      <c r="Z568">
        <v>4</v>
      </c>
      <c r="AA568">
        <v>5</v>
      </c>
      <c r="AB568" s="17">
        <f t="shared" si="281"/>
        <v>0.44444444444444442</v>
      </c>
      <c r="AC568" s="17">
        <f t="shared" si="282"/>
        <v>0.55555555555555558</v>
      </c>
      <c r="AD568" s="18">
        <f t="shared" si="283"/>
        <v>0.8</v>
      </c>
      <c r="AE568">
        <v>47</v>
      </c>
      <c r="AF568" s="17">
        <f t="shared" si="284"/>
        <v>5.2222222222222223</v>
      </c>
      <c r="AG568">
        <v>13</v>
      </c>
      <c r="AH568" s="17">
        <f t="shared" si="285"/>
        <v>1.4444444444444444</v>
      </c>
      <c r="AI568">
        <v>34</v>
      </c>
      <c r="AJ568" s="17">
        <f t="shared" si="286"/>
        <v>3.7777777777777777</v>
      </c>
      <c r="AK568">
        <v>8</v>
      </c>
      <c r="AL568" s="17">
        <f t="shared" si="287"/>
        <v>0.88888888888888884</v>
      </c>
      <c r="AM568">
        <v>5</v>
      </c>
      <c r="AN568" s="17">
        <f t="shared" si="288"/>
        <v>0.55555555555555558</v>
      </c>
      <c r="AO568">
        <v>2</v>
      </c>
      <c r="AQ568">
        <v>4</v>
      </c>
      <c r="AR568" s="17">
        <f t="shared" si="289"/>
        <v>0.44444444444444442</v>
      </c>
      <c r="AS568">
        <v>16</v>
      </c>
      <c r="AT568" s="17">
        <f t="shared" si="290"/>
        <v>1.7777777777777777</v>
      </c>
      <c r="BD568" s="65">
        <f t="shared" si="291"/>
        <v>52.20417633410672</v>
      </c>
      <c r="BE568" s="65">
        <f t="shared" si="292"/>
        <v>51.19047619047619</v>
      </c>
      <c r="BF568" s="66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19.93845163554986</v>
      </c>
      <c r="BG568" s="38">
        <f t="shared" si="293"/>
        <v>0.23809523809523808</v>
      </c>
      <c r="BH568" s="38">
        <f t="shared" si="294"/>
        <v>5.9523809523809521E-2</v>
      </c>
      <c r="BI568" s="67">
        <f>IFERROR(((AG568*(12000/5))/((F568*60+G568)*(SUMIFS(팀공격력!X:X,팀공격력!A:A,B568,팀공격력!B:B,D568)+SUMIFS(팀수비력!X:X,팀수비력!A:A,B568,팀수비력!B:B,D568))))*100,"")</f>
        <v>3.403096818104475</v>
      </c>
      <c r="BJ568" s="67">
        <f>IFERROR(((AI568*(12000/5))/((F568*60+G568)*(SUMIFS(팀공격력!V:V,팀공격력!A:A,B568,팀공격력!B:B,D568)+SUMIFS(팀수비력!W:W,팀수비력!A:A,B568,팀수비력!B:B,D568))))*100,"")</f>
        <v>17.938166086314233</v>
      </c>
      <c r="BK568" s="67">
        <f>IFERROR(((AE568*(12000/5))/((F568*60+G568)*(SUMIFS(팀공격력!X:X,팀공격력!A:A,B568,팀공격력!B:B,D568)+SUMIFS(팀수비력!X:X,팀수비력!A:A,B568,팀수비력!B:B,D568))))*100,"")</f>
        <v>12.303503880839257</v>
      </c>
      <c r="BL568" s="67">
        <f>IFERROR(100*AK568/(((((F568*60+G568)/(12000/5))*SUMIFS(팀공격력!P:P,팀공격력!A:A,B568,팀공격력!B:B,D568))-K568)),"")</f>
        <v>5.8786787669471297</v>
      </c>
      <c r="BM568" s="67">
        <f>IFERROR(100*((AM568/E568*(2400))/((F568*60+G568)*SUMIFS(팀공격력!AR:AR,팀공격력!A:A,B568,팀공격력!B:B,D568))),"")</f>
        <v>1.2922618241616173</v>
      </c>
      <c r="BN568" s="67">
        <f>IFERROR((AO568*40)/(((F568*60+G568)/60)*(SUMIFS(팀수비력!Q:Q,팀수비력!A:A,B568,팀수비력!B:B,D568)-SUMIFS(팀수비력!N:N,팀수비력!A:A,B568,팀수비력!B:B,D568)))*100,"")</f>
        <v>1.0551862403714256</v>
      </c>
      <c r="BO568" s="67">
        <f t="shared" si="295"/>
        <v>4.434589800443459</v>
      </c>
      <c r="BT568" t="s">
        <v>89</v>
      </c>
      <c r="BV568" t="s">
        <v>102</v>
      </c>
      <c r="CF568">
        <v>8</v>
      </c>
      <c r="CG568">
        <v>1</v>
      </c>
    </row>
    <row r="569" spans="1:85" x14ac:dyDescent="0.4">
      <c r="A569" s="11" t="s">
        <v>85</v>
      </c>
      <c r="B569" t="s">
        <v>164</v>
      </c>
      <c r="C569" t="s">
        <v>176</v>
      </c>
      <c r="D569" s="46" t="s">
        <v>309</v>
      </c>
      <c r="E569">
        <v>9</v>
      </c>
      <c r="F569">
        <v>23</v>
      </c>
      <c r="G569" s="1">
        <v>5</v>
      </c>
      <c r="H569" s="16">
        <f t="shared" si="270"/>
        <v>12465</v>
      </c>
      <c r="I569">
        <v>76</v>
      </c>
      <c r="J569" s="17">
        <f t="shared" si="271"/>
        <v>8.4444444444444446</v>
      </c>
      <c r="K569">
        <v>28</v>
      </c>
      <c r="L569">
        <v>66</v>
      </c>
      <c r="M569" s="17">
        <f t="shared" si="272"/>
        <v>3.1111111111111112</v>
      </c>
      <c r="N569" s="17">
        <f t="shared" si="273"/>
        <v>7.333333333333333</v>
      </c>
      <c r="O569" s="18">
        <f t="shared" si="274"/>
        <v>0.42424242424242425</v>
      </c>
      <c r="P569">
        <v>19</v>
      </c>
      <c r="Q569">
        <v>31</v>
      </c>
      <c r="R569" s="17">
        <f t="shared" si="275"/>
        <v>2.1111111111111112</v>
      </c>
      <c r="S569" s="17">
        <f t="shared" si="276"/>
        <v>3.4444444444444446</v>
      </c>
      <c r="T569" s="18">
        <f t="shared" si="277"/>
        <v>0.61290322580645162</v>
      </c>
      <c r="U569">
        <v>9</v>
      </c>
      <c r="V569">
        <v>35</v>
      </c>
      <c r="W569" s="17">
        <f t="shared" si="278"/>
        <v>1</v>
      </c>
      <c r="X569" s="17">
        <f t="shared" si="279"/>
        <v>3.8888888888888888</v>
      </c>
      <c r="Y569" s="18">
        <f t="shared" si="280"/>
        <v>0.25714285714285712</v>
      </c>
      <c r="Z569">
        <v>11</v>
      </c>
      <c r="AA569">
        <v>12</v>
      </c>
      <c r="AB569" s="17">
        <f t="shared" si="281"/>
        <v>1.2222222222222223</v>
      </c>
      <c r="AC569" s="17">
        <f t="shared" si="282"/>
        <v>1.3333333333333333</v>
      </c>
      <c r="AD569" s="18">
        <f t="shared" si="283"/>
        <v>0.91666666666666663</v>
      </c>
      <c r="AE569">
        <v>25</v>
      </c>
      <c r="AF569" s="17">
        <f t="shared" si="284"/>
        <v>2.7777777777777777</v>
      </c>
      <c r="AG569">
        <v>3</v>
      </c>
      <c r="AH569" s="17">
        <f t="shared" si="285"/>
        <v>0.33333333333333331</v>
      </c>
      <c r="AI569">
        <v>22</v>
      </c>
      <c r="AJ569" s="17">
        <f t="shared" si="286"/>
        <v>2.4444444444444446</v>
      </c>
      <c r="AK569">
        <v>17</v>
      </c>
      <c r="AL569" s="17">
        <f t="shared" si="287"/>
        <v>1.8888888888888888</v>
      </c>
      <c r="AM569">
        <v>11</v>
      </c>
      <c r="AN569" s="17">
        <f t="shared" si="288"/>
        <v>1.2222222222222223</v>
      </c>
      <c r="AO569">
        <v>2</v>
      </c>
      <c r="AQ569">
        <v>10</v>
      </c>
      <c r="AR569" s="17">
        <f t="shared" si="289"/>
        <v>1.1111111111111112</v>
      </c>
      <c r="AS569">
        <v>27</v>
      </c>
      <c r="AT569" s="17">
        <f t="shared" si="290"/>
        <v>3</v>
      </c>
      <c r="BD569" s="65">
        <f t="shared" si="291"/>
        <v>53.310886644219977</v>
      </c>
      <c r="BE569" s="65">
        <f t="shared" si="292"/>
        <v>49.242424242424242</v>
      </c>
      <c r="BF569" s="66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18.213185923845444</v>
      </c>
      <c r="BG569" s="38">
        <f t="shared" si="293"/>
        <v>0.53030303030303028</v>
      </c>
      <c r="BH569" s="38">
        <f t="shared" si="294"/>
        <v>0.18181818181818182</v>
      </c>
      <c r="BI569" s="67">
        <f>IFERROR(((AG569*(12000/5))/((F569*60+G569)*(SUMIFS(팀공격력!X:X,팀공격력!A:A,B569,팀공격력!B:B,D569)+SUMIFS(팀수비력!X:X,팀수비력!A:A,B569,팀수비력!B:B,D569))))*100,"")</f>
        <v>0.79610351557101078</v>
      </c>
      <c r="BJ569" s="67">
        <f>IFERROR(((AI569*(12000/5))/((F569*60+G569)*(SUMIFS(팀공격력!V:V,팀공격력!A:A,B569,팀공격력!B:B,D569)+SUMIFS(팀수비력!W:W,팀수비력!A:A,B569,팀수비력!B:B,D569))))*100,"")</f>
        <v>11.766278914293354</v>
      </c>
      <c r="BK569" s="67">
        <f>IFERROR(((AE569*(12000/5))/((F569*60+G569)*(SUMIFS(팀공격력!X:X,팀공격력!A:A,B569,팀공격력!B:B,D569)+SUMIFS(팀수비력!X:X,팀수비력!A:A,B569,팀수비력!B:B,D569))))*100,"")</f>
        <v>6.6341959630917557</v>
      </c>
      <c r="BL569" s="67">
        <f>IFERROR(100*AK569/(((((F569*60+G569)/(12000/5))*SUMIFS(팀공격력!P:P,팀공격력!A:A,B569,팀공격력!B:B,D569))-K569)),"")</f>
        <v>11.667643736505713</v>
      </c>
      <c r="BM569" s="67">
        <f>IFERROR(100*((AM569/E569*(2400))/((F569*60+G569)*SUMIFS(팀공격력!AR:AR,팀공격력!A:A,B569,팀공격력!B:B,D569))),"")</f>
        <v>2.8819771281374749</v>
      </c>
      <c r="BN569" s="67">
        <f>IFERROR((AO569*40)/(((F569*60+G569)/60)*(SUMIFS(팀수비력!Q:Q,팀수비력!A:A,B569,팀수비력!B:B,D569)-SUMIFS(팀수비력!N:N,팀수비력!A:A,B569,팀수비력!B:B,D569)))*100,"")</f>
        <v>1.0696617194812141</v>
      </c>
      <c r="BO569" s="67">
        <f t="shared" si="295"/>
        <v>12.303149606299213</v>
      </c>
      <c r="BT569" t="s">
        <v>89</v>
      </c>
      <c r="BV569" t="s">
        <v>90</v>
      </c>
      <c r="CF569">
        <v>8</v>
      </c>
      <c r="CG569">
        <v>1</v>
      </c>
    </row>
    <row r="570" spans="1:85" x14ac:dyDescent="0.4">
      <c r="A570" s="11" t="s">
        <v>85</v>
      </c>
      <c r="B570" t="s">
        <v>164</v>
      </c>
      <c r="C570" t="s">
        <v>178</v>
      </c>
      <c r="D570" s="46" t="s">
        <v>309</v>
      </c>
      <c r="E570">
        <v>9</v>
      </c>
      <c r="F570">
        <v>34</v>
      </c>
      <c r="G570" s="1">
        <v>30</v>
      </c>
      <c r="H570" s="16">
        <f t="shared" si="270"/>
        <v>18630</v>
      </c>
      <c r="I570">
        <v>219</v>
      </c>
      <c r="J570" s="17">
        <f t="shared" si="271"/>
        <v>24.333333333333332</v>
      </c>
      <c r="K570">
        <v>96</v>
      </c>
      <c r="L570">
        <v>185</v>
      </c>
      <c r="M570" s="17">
        <f t="shared" si="272"/>
        <v>10.666666666666666</v>
      </c>
      <c r="N570" s="17">
        <f t="shared" si="273"/>
        <v>20.555555555555557</v>
      </c>
      <c r="O570" s="18">
        <f t="shared" si="274"/>
        <v>0.51891891891891895</v>
      </c>
      <c r="P570">
        <v>85</v>
      </c>
      <c r="Q570">
        <v>161</v>
      </c>
      <c r="R570" s="17">
        <f t="shared" si="275"/>
        <v>9.4444444444444446</v>
      </c>
      <c r="S570" s="17">
        <f t="shared" si="276"/>
        <v>17.888888888888889</v>
      </c>
      <c r="T570" s="18">
        <f t="shared" si="277"/>
        <v>0.52795031055900621</v>
      </c>
      <c r="U570">
        <v>11</v>
      </c>
      <c r="V570">
        <v>24</v>
      </c>
      <c r="W570" s="17">
        <f t="shared" si="278"/>
        <v>1.2222222222222223</v>
      </c>
      <c r="X570" s="17">
        <f t="shared" si="279"/>
        <v>2.6666666666666665</v>
      </c>
      <c r="Y570" s="18">
        <f t="shared" si="280"/>
        <v>0.45833333333333331</v>
      </c>
      <c r="Z570">
        <v>16</v>
      </c>
      <c r="AA570">
        <v>28</v>
      </c>
      <c r="AB570" s="17">
        <f t="shared" si="281"/>
        <v>1.7777777777777777</v>
      </c>
      <c r="AC570" s="17">
        <f t="shared" si="282"/>
        <v>3.1111111111111112</v>
      </c>
      <c r="AD570" s="18">
        <f t="shared" si="283"/>
        <v>0.5714285714285714</v>
      </c>
      <c r="AE570">
        <v>98</v>
      </c>
      <c r="AF570" s="17">
        <f t="shared" si="284"/>
        <v>10.888888888888889</v>
      </c>
      <c r="AG570">
        <v>31</v>
      </c>
      <c r="AH570" s="17">
        <f t="shared" si="285"/>
        <v>3.4444444444444446</v>
      </c>
      <c r="AI570">
        <v>67</v>
      </c>
      <c r="AJ570" s="17">
        <f t="shared" si="286"/>
        <v>7.4444444444444446</v>
      </c>
      <c r="AK570">
        <v>39</v>
      </c>
      <c r="AL570" s="17">
        <f t="shared" si="287"/>
        <v>4.333333333333333</v>
      </c>
      <c r="AM570">
        <v>12</v>
      </c>
      <c r="AN570" s="17">
        <f t="shared" si="288"/>
        <v>1.3333333333333333</v>
      </c>
      <c r="AO570">
        <v>14</v>
      </c>
      <c r="AQ570">
        <v>13</v>
      </c>
      <c r="AR570" s="17">
        <f t="shared" si="289"/>
        <v>1.4444444444444444</v>
      </c>
      <c r="AS570">
        <v>12</v>
      </c>
      <c r="AT570" s="17">
        <f t="shared" si="290"/>
        <v>1.3333333333333333</v>
      </c>
      <c r="BD570" s="65">
        <f t="shared" si="291"/>
        <v>55.493614433407664</v>
      </c>
      <c r="BE570" s="65">
        <f t="shared" si="292"/>
        <v>54.864864864864856</v>
      </c>
      <c r="BF570" s="66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31.532777551636944</v>
      </c>
      <c r="BG570" s="38">
        <f t="shared" si="293"/>
        <v>0.12972972972972974</v>
      </c>
      <c r="BH570" s="38">
        <f t="shared" si="294"/>
        <v>0.15135135135135136</v>
      </c>
      <c r="BI570" s="67">
        <f>IFERROR(((AG570*(12000/5))/((F570*60+G570)*(SUMIFS(팀공격력!X:X,팀공격력!A:A,B570,팀공격력!B:B,D570)+SUMIFS(팀수비력!X:X,팀수비력!A:A,B570,팀수비력!B:B,D570))))*100,"")</f>
        <v>5.5041392014559332</v>
      </c>
      <c r="BJ570" s="67">
        <f>IFERROR(((AI570*(12000/5))/((F570*60+G570)*(SUMIFS(팀공격력!V:V,팀공격력!A:A,B570,팀공격력!B:B,D570)+SUMIFS(팀수비력!W:W,팀수비력!A:A,B570,팀수비력!B:B,D570))))*100,"")</f>
        <v>23.975666487743784</v>
      </c>
      <c r="BK570" s="67">
        <f>IFERROR(((AE570*(12000/5))/((F570*60+G570)*(SUMIFS(팀공격력!X:X,팀공격력!A:A,B570,팀공격력!B:B,D570)+SUMIFS(팀수비력!X:X,팀수비력!A:A,B570,팀수비력!B:B,D570))))*100,"")</f>
        <v>17.400181991699405</v>
      </c>
      <c r="BL570" s="67">
        <f>IFERROR(100*AK570/(((((F570*60+G570)/(12000/5))*SUMIFS(팀공격력!P:P,팀공격력!A:A,B570,팀공격력!B:B,D570))-K570)),"")</f>
        <v>23.836809534723812</v>
      </c>
      <c r="BM570" s="67">
        <f>IFERROR(100*((AM570/E570*(2400))/((F570*60+G570)*SUMIFS(팀공격력!AR:AR,팀공격력!A:A,B570,팀공격력!B:B,D570))),"")</f>
        <v>2.1035775085483017</v>
      </c>
      <c r="BN570" s="67">
        <f>IFERROR((AO570*40)/(((F570*60+G570)/60)*(SUMIFS(팀수비력!Q:Q,팀수비력!A:A,B570,팀수비력!B:B,D570)-SUMIFS(팀수비력!N:N,팀수비력!A:A,B570,팀수비력!B:B,D570)))*100,"")</f>
        <v>5.0098407586330298</v>
      </c>
      <c r="BO570" s="67">
        <f t="shared" si="295"/>
        <v>6.1810574362875617</v>
      </c>
      <c r="BT570" t="s">
        <v>96</v>
      </c>
      <c r="BV570" t="s">
        <v>102</v>
      </c>
      <c r="CF570">
        <v>8</v>
      </c>
      <c r="CG570">
        <v>1</v>
      </c>
    </row>
    <row r="571" spans="1:85" x14ac:dyDescent="0.4">
      <c r="A571" s="11" t="s">
        <v>85</v>
      </c>
      <c r="B571" t="s">
        <v>164</v>
      </c>
      <c r="C571" t="s">
        <v>180</v>
      </c>
      <c r="D571" s="46" t="s">
        <v>309</v>
      </c>
      <c r="E571">
        <v>8</v>
      </c>
      <c r="F571">
        <v>17</v>
      </c>
      <c r="G571" s="1">
        <v>41</v>
      </c>
      <c r="H571" s="16">
        <f t="shared" si="270"/>
        <v>8488</v>
      </c>
      <c r="I571">
        <v>46</v>
      </c>
      <c r="J571" s="17">
        <f t="shared" si="271"/>
        <v>5.75</v>
      </c>
      <c r="K571">
        <v>21</v>
      </c>
      <c r="L571">
        <v>34</v>
      </c>
      <c r="M571" s="17">
        <f t="shared" si="272"/>
        <v>2.625</v>
      </c>
      <c r="N571" s="17">
        <f t="shared" si="273"/>
        <v>4.25</v>
      </c>
      <c r="O571" s="18">
        <f t="shared" si="274"/>
        <v>0.61764705882352944</v>
      </c>
      <c r="P571">
        <v>21</v>
      </c>
      <c r="Q571">
        <v>34</v>
      </c>
      <c r="R571" s="17">
        <f t="shared" si="275"/>
        <v>2.625</v>
      </c>
      <c r="S571" s="17">
        <f t="shared" si="276"/>
        <v>4.25</v>
      </c>
      <c r="T571" s="18">
        <f t="shared" si="277"/>
        <v>0.61764705882352944</v>
      </c>
      <c r="U571">
        <v>0</v>
      </c>
      <c r="V571">
        <v>0</v>
      </c>
      <c r="W571" s="17">
        <f t="shared" si="278"/>
        <v>0</v>
      </c>
      <c r="X571" s="17">
        <f t="shared" si="279"/>
        <v>0</v>
      </c>
      <c r="Y571" s="18" t="e">
        <f t="shared" si="280"/>
        <v>#DIV/0!</v>
      </c>
      <c r="Z571">
        <v>4</v>
      </c>
      <c r="AA571">
        <v>6</v>
      </c>
      <c r="AB571" s="17">
        <f t="shared" si="281"/>
        <v>0.5</v>
      </c>
      <c r="AC571" s="17">
        <f t="shared" si="282"/>
        <v>0.75</v>
      </c>
      <c r="AD571" s="18">
        <f t="shared" si="283"/>
        <v>0.66666666666666663</v>
      </c>
      <c r="AE571">
        <v>32</v>
      </c>
      <c r="AF571" s="17">
        <f t="shared" si="284"/>
        <v>4</v>
      </c>
      <c r="AG571">
        <v>6</v>
      </c>
      <c r="AH571" s="17">
        <f t="shared" si="285"/>
        <v>0.75</v>
      </c>
      <c r="AI571">
        <v>26</v>
      </c>
      <c r="AJ571" s="17">
        <f t="shared" si="286"/>
        <v>3.25</v>
      </c>
      <c r="AK571">
        <v>5</v>
      </c>
      <c r="AL571" s="17">
        <f t="shared" si="287"/>
        <v>0.625</v>
      </c>
      <c r="AM571">
        <v>3</v>
      </c>
      <c r="AN571" s="17">
        <f t="shared" si="288"/>
        <v>0.375</v>
      </c>
      <c r="AO571">
        <v>2</v>
      </c>
      <c r="AQ571">
        <v>11</v>
      </c>
      <c r="AR571" s="17">
        <f t="shared" si="289"/>
        <v>1.375</v>
      </c>
      <c r="AS571">
        <v>15</v>
      </c>
      <c r="AT571" s="17">
        <f t="shared" si="290"/>
        <v>1.875</v>
      </c>
      <c r="BD571" s="65">
        <f t="shared" si="291"/>
        <v>62.772925764192131</v>
      </c>
      <c r="BE571" s="65">
        <f t="shared" si="292"/>
        <v>61.764705882352942</v>
      </c>
      <c r="BF571" s="66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13.935044770426426</v>
      </c>
      <c r="BG571" s="38">
        <f t="shared" si="293"/>
        <v>0</v>
      </c>
      <c r="BH571" s="38">
        <f t="shared" si="294"/>
        <v>0.17647058823529413</v>
      </c>
      <c r="BI571" s="67">
        <f>IFERROR(((AG571*(12000/5))/((F571*60+G571)*(SUMIFS(팀공격력!X:X,팀공격력!A:A,B571,팀공격력!B:B,D571)+SUMIFS(팀수비력!X:X,팀수비력!A:A,B571,팀수비력!B:B,D571))))*100,"")</f>
        <v>2.0784229388611686</v>
      </c>
      <c r="BJ571" s="67">
        <f>IFERROR(((AI571*(12000/5))/((F571*60+G571)*(SUMIFS(팀공격력!V:V,팀공격력!A:A,B571,팀공격력!B:B,D571)+SUMIFS(팀수비력!W:W,팀수비력!A:A,B571,팀수비력!B:B,D571))))*100,"")</f>
        <v>18.151987991761789</v>
      </c>
      <c r="BK571" s="67">
        <f>IFERROR(((AE571*(12000/5))/((F571*60+G571)*(SUMIFS(팀공격력!X:X,팀공격력!A:A,B571,팀공격력!B:B,D571)+SUMIFS(팀수비력!X:X,팀수비력!A:A,B571,팀수비력!B:B,D571))))*100,"")</f>
        <v>11.0849223405929</v>
      </c>
      <c r="BL571" s="67">
        <f>IFERROR(100*AK571/(((((F571*60+G571)/(12000/5))*SUMIFS(팀공격력!P:P,팀공격력!A:A,B571,팀공격력!B:B,D571))-K571)),"")</f>
        <v>4.4616133937634084</v>
      </c>
      <c r="BM571" s="67">
        <f>IFERROR(100*((AM571/E571*(2400))/((F571*60+G571)*SUMIFS(팀공격력!AR:AR,팀공격력!A:A,B571,팀공격력!B:B,D571))),"")</f>
        <v>1.1542662872365357</v>
      </c>
      <c r="BN571" s="67">
        <f>IFERROR((AO571*40)/(((F571*60+G571)/60)*(SUMIFS(팀수비력!Q:Q,팀수비력!A:A,B571,팀수비력!B:B,D571)-SUMIFS(팀수비력!N:N,팀수비력!A:A,B571,팀수비력!B:B,D571)))*100,"")</f>
        <v>1.3963067685970609</v>
      </c>
      <c r="BO571" s="67">
        <f t="shared" si="295"/>
        <v>23.089840470193113</v>
      </c>
      <c r="BT571" t="s">
        <v>89</v>
      </c>
      <c r="BV571" t="s">
        <v>93</v>
      </c>
      <c r="CF571">
        <v>7</v>
      </c>
      <c r="CG571">
        <v>1</v>
      </c>
    </row>
    <row r="572" spans="1:85" x14ac:dyDescent="0.4">
      <c r="A572" s="11" t="s">
        <v>85</v>
      </c>
      <c r="B572" t="s">
        <v>164</v>
      </c>
      <c r="C572" t="s">
        <v>181</v>
      </c>
      <c r="D572" s="46" t="s">
        <v>309</v>
      </c>
      <c r="E572">
        <v>9</v>
      </c>
      <c r="F572">
        <v>26</v>
      </c>
      <c r="G572" s="1">
        <v>44</v>
      </c>
      <c r="H572" s="16">
        <f t="shared" si="270"/>
        <v>14436</v>
      </c>
      <c r="I572">
        <v>41</v>
      </c>
      <c r="J572" s="17">
        <f t="shared" si="271"/>
        <v>4.5555555555555554</v>
      </c>
      <c r="K572">
        <v>15</v>
      </c>
      <c r="L572">
        <v>34</v>
      </c>
      <c r="M572" s="17">
        <f t="shared" si="272"/>
        <v>1.6666666666666667</v>
      </c>
      <c r="N572" s="17">
        <f t="shared" si="273"/>
        <v>3.7777777777777777</v>
      </c>
      <c r="O572" s="18">
        <f t="shared" si="274"/>
        <v>0.44117647058823528</v>
      </c>
      <c r="P572">
        <v>7</v>
      </c>
      <c r="Q572">
        <v>9</v>
      </c>
      <c r="R572" s="17">
        <f t="shared" si="275"/>
        <v>0.77777777777777779</v>
      </c>
      <c r="S572" s="17">
        <f t="shared" si="276"/>
        <v>1</v>
      </c>
      <c r="T572" s="18">
        <f t="shared" si="277"/>
        <v>0.77777777777777779</v>
      </c>
      <c r="U572">
        <v>8</v>
      </c>
      <c r="V572">
        <v>25</v>
      </c>
      <c r="W572" s="17">
        <f t="shared" si="278"/>
        <v>0.88888888888888884</v>
      </c>
      <c r="X572" s="17">
        <f t="shared" si="279"/>
        <v>2.7777777777777777</v>
      </c>
      <c r="Y572" s="18">
        <f t="shared" si="280"/>
        <v>0.32</v>
      </c>
      <c r="Z572">
        <v>3</v>
      </c>
      <c r="AA572">
        <v>6</v>
      </c>
      <c r="AB572" s="17">
        <f t="shared" si="281"/>
        <v>0.33333333333333331</v>
      </c>
      <c r="AC572" s="17">
        <f t="shared" si="282"/>
        <v>0.66666666666666663</v>
      </c>
      <c r="AD572" s="18">
        <f t="shared" si="283"/>
        <v>0.5</v>
      </c>
      <c r="AE572">
        <v>40</v>
      </c>
      <c r="AF572" s="17">
        <f t="shared" si="284"/>
        <v>4.4444444444444446</v>
      </c>
      <c r="AG572">
        <v>17</v>
      </c>
      <c r="AH572" s="17">
        <f t="shared" si="285"/>
        <v>1.8888888888888888</v>
      </c>
      <c r="AI572">
        <v>23</v>
      </c>
      <c r="AJ572" s="17">
        <f t="shared" si="286"/>
        <v>2.5555555555555554</v>
      </c>
      <c r="AK572">
        <v>40</v>
      </c>
      <c r="AL572" s="17">
        <f t="shared" si="287"/>
        <v>4.4444444444444446</v>
      </c>
      <c r="AM572">
        <v>17</v>
      </c>
      <c r="AN572" s="17">
        <f t="shared" si="288"/>
        <v>1.8888888888888888</v>
      </c>
      <c r="AO572">
        <v>1</v>
      </c>
      <c r="AQ572">
        <v>10</v>
      </c>
      <c r="AR572" s="17">
        <f t="shared" si="289"/>
        <v>1.1111111111111112</v>
      </c>
      <c r="AS572">
        <v>31</v>
      </c>
      <c r="AT572" s="17">
        <f t="shared" si="290"/>
        <v>3.4444444444444446</v>
      </c>
      <c r="BD572" s="65">
        <f t="shared" si="291"/>
        <v>55.949781659388641</v>
      </c>
      <c r="BE572" s="65">
        <f t="shared" si="292"/>
        <v>55.882352941176471</v>
      </c>
      <c r="BF572" s="66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9.0241473335231213</v>
      </c>
      <c r="BG572" s="38">
        <f t="shared" si="293"/>
        <v>0.73529411764705888</v>
      </c>
      <c r="BH572" s="38">
        <f t="shared" si="294"/>
        <v>0.17647058823529413</v>
      </c>
      <c r="BI572" s="67">
        <f>IFERROR(((AG572*(12000/5))/((F572*60+G572)*(SUMIFS(팀공격력!X:X,팀공격력!A:A,B572,팀공격력!B:B,D572)+SUMIFS(팀수비력!X:X,팀수비력!A:A,B572,팀수비력!B:B,D572))))*100,"")</f>
        <v>3.8953153104986384</v>
      </c>
      <c r="BJ572" s="67">
        <f>IFERROR(((AI572*(12000/5))/((F572*60+G572)*(SUMIFS(팀공격력!V:V,팀공격력!A:A,B572,팀공격력!B:B,D572)+SUMIFS(팀수비력!W:W,팀수비력!A:A,B572,팀수비력!B:B,D572))))*100,"")</f>
        <v>10.621594162741294</v>
      </c>
      <c r="BK572" s="67">
        <f>IFERROR(((AE572*(12000/5))/((F572*60+G572)*(SUMIFS(팀공격력!X:X,팀공격력!A:A,B572,팀공격력!B:B,D572)+SUMIFS(팀수비력!X:X,팀수비력!A:A,B572,팀수비력!B:B,D572))))*100,"")</f>
        <v>9.1654477894085602</v>
      </c>
      <c r="BL572" s="67">
        <f>IFERROR(100*AK572/(((((F572*60+G572)/(12000/5))*SUMIFS(팀공격력!P:P,팀공격력!A:A,B572,팀공격력!B:B,D572))-K572)),"")</f>
        <v>21.485931191305362</v>
      </c>
      <c r="BM572" s="67">
        <f>IFERROR(100*((AM572/E572*(2400))/((F572*60+G572)*SUMIFS(팀공격력!AR:AR,팀공격력!A:A,B572,팀공격력!B:B,D572))),"")</f>
        <v>3.8458485310585377</v>
      </c>
      <c r="BN572" s="67">
        <f>IFERROR((AO572*40)/(((F572*60+G572)/60)*(SUMIFS(팀수비력!Q:Q,팀수비력!A:A,B572,팀수비력!B:B,D572)-SUMIFS(팀수비력!N:N,팀수비력!A:A,B572,팀수비력!B:B,D572)))*100,"")</f>
        <v>0.46180844185831715</v>
      </c>
      <c r="BO572" s="67">
        <f t="shared" si="295"/>
        <v>21.440823327615782</v>
      </c>
      <c r="BT572" t="s">
        <v>89</v>
      </c>
      <c r="BV572" t="s">
        <v>90</v>
      </c>
      <c r="CF572">
        <v>8</v>
      </c>
      <c r="CG572">
        <v>1</v>
      </c>
    </row>
    <row r="573" spans="1:85" x14ac:dyDescent="0.4">
      <c r="A573" s="11" t="s">
        <v>85</v>
      </c>
      <c r="B573" t="s">
        <v>183</v>
      </c>
      <c r="C573" t="s">
        <v>187</v>
      </c>
      <c r="D573" s="46" t="s">
        <v>309</v>
      </c>
      <c r="E573">
        <v>6</v>
      </c>
      <c r="F573">
        <v>6</v>
      </c>
      <c r="G573" s="1">
        <v>41</v>
      </c>
      <c r="H573" s="16">
        <f t="shared" si="270"/>
        <v>2406</v>
      </c>
      <c r="I573">
        <v>2</v>
      </c>
      <c r="J573" s="17">
        <f t="shared" si="271"/>
        <v>0.33333333333333331</v>
      </c>
      <c r="K573">
        <v>0</v>
      </c>
      <c r="L573">
        <v>2</v>
      </c>
      <c r="M573" s="17">
        <f t="shared" si="272"/>
        <v>0</v>
      </c>
      <c r="N573" s="17">
        <f t="shared" si="273"/>
        <v>0.33333333333333331</v>
      </c>
      <c r="O573" s="18">
        <f t="shared" si="274"/>
        <v>0</v>
      </c>
      <c r="P573">
        <v>0</v>
      </c>
      <c r="Q573">
        <v>2</v>
      </c>
      <c r="R573" s="17">
        <f t="shared" si="275"/>
        <v>0</v>
      </c>
      <c r="S573" s="17">
        <f t="shared" si="276"/>
        <v>0.33333333333333331</v>
      </c>
      <c r="T573" s="18">
        <f t="shared" si="277"/>
        <v>0</v>
      </c>
      <c r="U573">
        <v>0</v>
      </c>
      <c r="V573">
        <v>0</v>
      </c>
      <c r="W573" s="17">
        <f t="shared" si="278"/>
        <v>0</v>
      </c>
      <c r="X573" s="17">
        <f t="shared" si="279"/>
        <v>0</v>
      </c>
      <c r="Y573" s="18" t="e">
        <f t="shared" si="280"/>
        <v>#DIV/0!</v>
      </c>
      <c r="Z573">
        <v>2</v>
      </c>
      <c r="AA573">
        <v>2</v>
      </c>
      <c r="AB573" s="17">
        <f t="shared" si="281"/>
        <v>0.33333333333333331</v>
      </c>
      <c r="AC573" s="17">
        <f t="shared" si="282"/>
        <v>0.33333333333333331</v>
      </c>
      <c r="AD573" s="18">
        <f t="shared" si="283"/>
        <v>1</v>
      </c>
      <c r="AE573">
        <v>10</v>
      </c>
      <c r="AF573" s="17">
        <f t="shared" si="284"/>
        <v>1.6666666666666667</v>
      </c>
      <c r="AG573">
        <v>5</v>
      </c>
      <c r="AH573" s="17">
        <f t="shared" si="285"/>
        <v>0.83333333333333337</v>
      </c>
      <c r="AI573">
        <v>5</v>
      </c>
      <c r="AJ573" s="17">
        <f t="shared" si="286"/>
        <v>0.83333333333333337</v>
      </c>
      <c r="AK573">
        <v>5</v>
      </c>
      <c r="AL573" s="17">
        <f t="shared" si="287"/>
        <v>0.83333333333333337</v>
      </c>
      <c r="AM573">
        <v>2</v>
      </c>
      <c r="AN573" s="17">
        <f t="shared" si="288"/>
        <v>0.33333333333333331</v>
      </c>
      <c r="AO573">
        <v>2</v>
      </c>
      <c r="AQ573">
        <v>3</v>
      </c>
      <c r="AR573" s="17">
        <f t="shared" si="289"/>
        <v>0.5</v>
      </c>
      <c r="AS573">
        <v>5</v>
      </c>
      <c r="AT573" s="17">
        <f t="shared" si="290"/>
        <v>0.83333333333333337</v>
      </c>
      <c r="BD573" s="65">
        <f t="shared" si="291"/>
        <v>34.722222222222221</v>
      </c>
      <c r="BE573" s="65">
        <f t="shared" si="292"/>
        <v>0</v>
      </c>
      <c r="BF573" s="66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4.8340686744676766</v>
      </c>
      <c r="BG573" s="38">
        <f t="shared" si="293"/>
        <v>0</v>
      </c>
      <c r="BH573" s="38">
        <f t="shared" si="294"/>
        <v>1</v>
      </c>
      <c r="BI573" s="67">
        <f>IFERROR(((AG573*(12000/5))/((F573*60+G573)*(SUMIFS(팀공격력!X:X,팀공격력!A:A,B573,팀공격력!B:B,D573)+SUMIFS(팀수비력!X:X,팀수비력!A:A,B573,팀수비력!B:B,D573))))*100,"")</f>
        <v>4.6904681868995226</v>
      </c>
      <c r="BJ573" s="67">
        <f>IFERROR(((AI573*(12000/5))/((F573*60+G573)*(SUMIFS(팀공격력!V:V,팀공격력!A:A,B573,팀공격력!B:B,D573)+SUMIFS(팀수비력!W:W,팀수비력!A:A,B573,팀수비력!B:B,D573))))*100,"")</f>
        <v>9.3516209476309236</v>
      </c>
      <c r="BK573" s="67">
        <f>IFERROR(((AE573*(12000/5))/((F573*60+G573)*(SUMIFS(팀공격력!X:X,팀공격력!A:A,B573,팀공격력!B:B,D573)+SUMIFS(팀수비력!X:X,팀수비력!A:A,B573,팀수비력!B:B,D573))))*100,"")</f>
        <v>9.3809363737990452</v>
      </c>
      <c r="BL573" s="67">
        <f>IFERROR(100*AK573/(((((F573*60+G573)/(12000/5))*SUMIFS(팀공격력!P:P,팀공격력!A:A,B573,팀공격력!B:B,D573))-K573)),"")</f>
        <v>12.734122141454874</v>
      </c>
      <c r="BM573" s="67">
        <f>IFERROR(100*((AM573/E573*(2400))/((F573*60+G573)*SUMIFS(팀공격력!AR:AR,팀공격력!A:A,B573,팀공격력!B:B,D573))),"")</f>
        <v>2.9736404158546348</v>
      </c>
      <c r="BN573" s="67">
        <f>IFERROR((AO573*40)/(((F573*60+G573)/60)*(SUMIFS(팀수비력!Q:Q,팀수비력!A:A,B573,팀수비력!B:B,D573)-SUMIFS(팀수비력!N:N,팀수비력!A:A,B573,팀수비력!B:B,D573)))*100,"")</f>
        <v>3.1835305353637184</v>
      </c>
      <c r="BO573" s="67">
        <f t="shared" si="295"/>
        <v>51.020408163265309</v>
      </c>
      <c r="BT573" t="s">
        <v>89</v>
      </c>
      <c r="BV573" t="s">
        <v>102</v>
      </c>
      <c r="CF573">
        <v>2</v>
      </c>
      <c r="CG573">
        <v>4</v>
      </c>
    </row>
    <row r="574" spans="1:85" x14ac:dyDescent="0.4">
      <c r="A574" s="11" t="s">
        <v>85</v>
      </c>
      <c r="B574" t="s">
        <v>183</v>
      </c>
      <c r="C574" t="s">
        <v>188</v>
      </c>
      <c r="D574" s="46" t="s">
        <v>309</v>
      </c>
      <c r="E574">
        <v>8</v>
      </c>
      <c r="F574">
        <v>22</v>
      </c>
      <c r="G574" s="1">
        <v>52</v>
      </c>
      <c r="H574" s="16">
        <f t="shared" si="270"/>
        <v>10976</v>
      </c>
      <c r="I574">
        <v>50</v>
      </c>
      <c r="J574" s="17">
        <f t="shared" si="271"/>
        <v>6.25</v>
      </c>
      <c r="K574">
        <v>15</v>
      </c>
      <c r="L574">
        <v>52</v>
      </c>
      <c r="M574" s="17">
        <f t="shared" si="272"/>
        <v>1.875</v>
      </c>
      <c r="N574" s="17">
        <f t="shared" si="273"/>
        <v>6.5</v>
      </c>
      <c r="O574" s="18">
        <f t="shared" si="274"/>
        <v>0.28846153846153844</v>
      </c>
      <c r="P574">
        <v>9</v>
      </c>
      <c r="Q574">
        <v>31</v>
      </c>
      <c r="R574" s="17">
        <f t="shared" si="275"/>
        <v>1.125</v>
      </c>
      <c r="S574" s="17">
        <f t="shared" si="276"/>
        <v>3.875</v>
      </c>
      <c r="T574" s="18">
        <f t="shared" si="277"/>
        <v>0.29032258064516131</v>
      </c>
      <c r="U574">
        <v>6</v>
      </c>
      <c r="V574">
        <v>21</v>
      </c>
      <c r="W574" s="17">
        <f t="shared" si="278"/>
        <v>0.75</v>
      </c>
      <c r="X574" s="17">
        <f t="shared" si="279"/>
        <v>2.625</v>
      </c>
      <c r="Y574" s="18">
        <f t="shared" si="280"/>
        <v>0.2857142857142857</v>
      </c>
      <c r="Z574">
        <v>14</v>
      </c>
      <c r="AA574">
        <v>18</v>
      </c>
      <c r="AB574" s="17">
        <f t="shared" si="281"/>
        <v>1.75</v>
      </c>
      <c r="AC574" s="17">
        <f t="shared" si="282"/>
        <v>2.25</v>
      </c>
      <c r="AD574" s="18">
        <f t="shared" si="283"/>
        <v>0.77777777777777779</v>
      </c>
      <c r="AE574">
        <v>16</v>
      </c>
      <c r="AF574" s="17">
        <f t="shared" si="284"/>
        <v>2</v>
      </c>
      <c r="AG574">
        <v>3</v>
      </c>
      <c r="AH574" s="17">
        <f t="shared" si="285"/>
        <v>0.375</v>
      </c>
      <c r="AI574">
        <v>13</v>
      </c>
      <c r="AJ574" s="17">
        <f t="shared" si="286"/>
        <v>1.625</v>
      </c>
      <c r="AK574">
        <v>35</v>
      </c>
      <c r="AL574" s="17">
        <f t="shared" si="287"/>
        <v>4.375</v>
      </c>
      <c r="AM574">
        <v>6</v>
      </c>
      <c r="AN574" s="17">
        <f t="shared" si="288"/>
        <v>0.75</v>
      </c>
      <c r="AO574">
        <v>0</v>
      </c>
      <c r="AQ574">
        <v>11</v>
      </c>
      <c r="AR574" s="17">
        <f t="shared" si="289"/>
        <v>1.375</v>
      </c>
      <c r="AS574">
        <v>19</v>
      </c>
      <c r="AT574" s="17">
        <f t="shared" si="290"/>
        <v>2.375</v>
      </c>
      <c r="BD574" s="65">
        <f t="shared" si="291"/>
        <v>41.722296395193595</v>
      </c>
      <c r="BE574" s="65">
        <f t="shared" si="292"/>
        <v>34.615384615384613</v>
      </c>
      <c r="BF574" s="66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17.040976516195176</v>
      </c>
      <c r="BG574" s="38">
        <f t="shared" si="293"/>
        <v>0.40384615384615385</v>
      </c>
      <c r="BH574" s="38">
        <f t="shared" si="294"/>
        <v>0.34615384615384615</v>
      </c>
      <c r="BI574" s="67">
        <f>IFERROR(((AG574*(12000/5))/((F574*60+G574)*(SUMIFS(팀공격력!X:X,팀공격력!A:A,B574,팀공격력!B:B,D574)+SUMIFS(팀수비력!X:X,팀수비력!A:A,B574,팀수비력!B:B,D574))))*100,"")</f>
        <v>0.82254128700293383</v>
      </c>
      <c r="BJ574" s="67">
        <f>IFERROR(((AI574*(12000/5))/((F574*60+G574)*(SUMIFS(팀공격력!V:V,팀공격력!A:A,B574,팀공격력!B:B,D574)+SUMIFS(팀수비력!W:W,팀수비력!A:A,B574,팀수비력!B:B,D574))))*100,"")</f>
        <v>7.1064139941690962</v>
      </c>
      <c r="BK574" s="67">
        <f>IFERROR(((AE574*(12000/5))/((F574*60+G574)*(SUMIFS(팀공격력!X:X,팀공격력!A:A,B574,팀공격력!B:B,D574)+SUMIFS(팀수비력!X:X,팀수비력!A:A,B574,팀수비력!B:B,D574))))*100,"")</f>
        <v>4.3868868640156471</v>
      </c>
      <c r="BL574" s="67">
        <f>IFERROR(100*AK574/(((((F574*60+G574)/(12000/5))*SUMIFS(팀공격력!P:P,팀공격력!A:A,B574,팀공격력!B:B,D574))-K574)),"")</f>
        <v>29.327560924516444</v>
      </c>
      <c r="BM574" s="67">
        <f>IFERROR(100*((AM574/E574*(2400))/((F574*60+G574)*SUMIFS(팀공격력!AR:AR,팀공격력!A:A,B574,팀공격력!B:B,D574))),"")</f>
        <v>1.9555153536478458</v>
      </c>
      <c r="BN574" s="67">
        <f>IFERROR((AO574*40)/(((F574*60+G574)/60)*(SUMIFS(팀수비력!Q:Q,팀수비력!A:A,B574,팀수비력!B:B,D574)-SUMIFS(팀수비력!N:N,팀수비력!A:A,B574,팀수비력!B:B,D574)))*100,"")</f>
        <v>0</v>
      </c>
      <c r="BO574" s="67">
        <f t="shared" si="295"/>
        <v>15.510434292160181</v>
      </c>
      <c r="BT574" t="s">
        <v>89</v>
      </c>
      <c r="BV574" t="s">
        <v>90</v>
      </c>
      <c r="CF574">
        <v>2</v>
      </c>
      <c r="CG574">
        <v>6</v>
      </c>
    </row>
    <row r="575" spans="1:85" x14ac:dyDescent="0.4">
      <c r="A575" s="11" t="s">
        <v>85</v>
      </c>
      <c r="B575" t="s">
        <v>183</v>
      </c>
      <c r="C575" t="s">
        <v>191</v>
      </c>
      <c r="D575" s="46" t="s">
        <v>309</v>
      </c>
      <c r="E575">
        <v>8</v>
      </c>
      <c r="F575">
        <v>20</v>
      </c>
      <c r="G575" s="1">
        <v>9</v>
      </c>
      <c r="H575" s="16">
        <f t="shared" si="270"/>
        <v>9672</v>
      </c>
      <c r="I575">
        <v>42</v>
      </c>
      <c r="J575" s="17">
        <f t="shared" si="271"/>
        <v>5.25</v>
      </c>
      <c r="K575">
        <v>15</v>
      </c>
      <c r="L575">
        <v>37</v>
      </c>
      <c r="M575" s="17">
        <f t="shared" si="272"/>
        <v>1.875</v>
      </c>
      <c r="N575" s="17">
        <f t="shared" si="273"/>
        <v>4.625</v>
      </c>
      <c r="O575" s="18">
        <f t="shared" si="274"/>
        <v>0.40540540540540543</v>
      </c>
      <c r="P575">
        <v>9</v>
      </c>
      <c r="Q575">
        <v>16</v>
      </c>
      <c r="R575" s="17">
        <f t="shared" si="275"/>
        <v>1.125</v>
      </c>
      <c r="S575" s="17">
        <f t="shared" si="276"/>
        <v>2</v>
      </c>
      <c r="T575" s="18">
        <f t="shared" si="277"/>
        <v>0.5625</v>
      </c>
      <c r="U575">
        <v>6</v>
      </c>
      <c r="V575">
        <v>21</v>
      </c>
      <c r="W575" s="17">
        <f t="shared" si="278"/>
        <v>0.75</v>
      </c>
      <c r="X575" s="17">
        <f t="shared" si="279"/>
        <v>2.625</v>
      </c>
      <c r="Y575" s="18">
        <f t="shared" si="280"/>
        <v>0.2857142857142857</v>
      </c>
      <c r="Z575">
        <v>6</v>
      </c>
      <c r="AA575">
        <v>6</v>
      </c>
      <c r="AB575" s="17">
        <f t="shared" si="281"/>
        <v>0.75</v>
      </c>
      <c r="AC575" s="17">
        <f t="shared" si="282"/>
        <v>0.75</v>
      </c>
      <c r="AD575" s="18">
        <f t="shared" si="283"/>
        <v>1</v>
      </c>
      <c r="AE575">
        <v>17</v>
      </c>
      <c r="AF575" s="17">
        <f t="shared" si="284"/>
        <v>2.125</v>
      </c>
      <c r="AG575">
        <v>1</v>
      </c>
      <c r="AH575" s="17">
        <f t="shared" si="285"/>
        <v>0.125</v>
      </c>
      <c r="AI575">
        <v>16</v>
      </c>
      <c r="AJ575" s="17">
        <f t="shared" si="286"/>
        <v>2</v>
      </c>
      <c r="AK575">
        <v>8</v>
      </c>
      <c r="AL575" s="17">
        <f t="shared" si="287"/>
        <v>1</v>
      </c>
      <c r="AM575">
        <v>1</v>
      </c>
      <c r="AN575" s="17">
        <f t="shared" si="288"/>
        <v>0.125</v>
      </c>
      <c r="AO575">
        <v>0</v>
      </c>
      <c r="AQ575">
        <v>1</v>
      </c>
      <c r="AR575" s="17">
        <f t="shared" si="289"/>
        <v>0.125</v>
      </c>
      <c r="AS575">
        <v>15</v>
      </c>
      <c r="AT575" s="17">
        <f t="shared" si="290"/>
        <v>1.875</v>
      </c>
      <c r="BD575" s="65">
        <f t="shared" si="291"/>
        <v>52.976791120080726</v>
      </c>
      <c r="BE575" s="65">
        <f t="shared" si="292"/>
        <v>48.648648648648653</v>
      </c>
      <c r="BF575" s="66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11.08172224797535</v>
      </c>
      <c r="BG575" s="38">
        <f t="shared" si="293"/>
        <v>0.56756756756756754</v>
      </c>
      <c r="BH575" s="38">
        <f t="shared" si="294"/>
        <v>0.16216216216216217</v>
      </c>
      <c r="BI575" s="67">
        <f>IFERROR(((AG575*(12000/5))/((F575*60+G575)*(SUMIFS(팀공격력!X:X,팀공격력!A:A,B575,팀공격력!B:B,D575)+SUMIFS(팀수비력!X:X,팀수비력!A:A,B575,팀수비력!B:B,D575))))*100,"")</f>
        <v>0.31114602860987733</v>
      </c>
      <c r="BJ575" s="67">
        <f>IFERROR(((AI575*(12000/5))/((F575*60+G575)*(SUMIFS(팀공격력!V:V,팀공격력!A:A,B575,팀공격력!B:B,D575)+SUMIFS(팀수비력!W:W,팀수비력!A:A,B575,팀수비력!B:B,D575))))*100,"")</f>
        <v>9.9255583126550881</v>
      </c>
      <c r="BK575" s="67">
        <f>IFERROR(((AE575*(12000/5))/((F575*60+G575)*(SUMIFS(팀공격력!X:X,팀공격력!A:A,B575,팀공격력!B:B,D575)+SUMIFS(팀수비력!X:X,팀수비력!A:A,B575,팀수비력!B:B,D575))))*100,"")</f>
        <v>5.2894824863679153</v>
      </c>
      <c r="BL575" s="67">
        <f>IFERROR(100*AK575/(((((F575*60+G575)/(12000/5))*SUMIFS(팀공격력!P:P,팀공격력!A:A,B575,팀공격력!B:B,D575))-K575)),"")</f>
        <v>7.7383471374161168</v>
      </c>
      <c r="BM575" s="67">
        <f>IFERROR(100*((AM575/E575*(2400))/((F575*60+G575)*SUMIFS(팀공격력!AR:AR,팀공격력!A:A,B575,팀공격력!B:B,D575))),"")</f>
        <v>0.36986036189755228</v>
      </c>
      <c r="BN575" s="67">
        <f>IFERROR((AO575*40)/(((F575*60+G575)/60)*(SUMIFS(팀수비력!Q:Q,팀수비력!A:A,B575,팀수비력!B:B,D575)-SUMIFS(팀수비력!N:N,팀수비력!A:A,B575,팀수비력!B:B,D575)))*100,"")</f>
        <v>0</v>
      </c>
      <c r="BO575" s="67">
        <f t="shared" si="295"/>
        <v>2.4606299212598426</v>
      </c>
      <c r="BT575" t="s">
        <v>89</v>
      </c>
      <c r="BV575" t="s">
        <v>93</v>
      </c>
      <c r="CF575">
        <v>2</v>
      </c>
      <c r="CG575">
        <v>6</v>
      </c>
    </row>
    <row r="576" spans="1:85" x14ac:dyDescent="0.4">
      <c r="A576" s="11" t="s">
        <v>85</v>
      </c>
      <c r="B576" t="s">
        <v>183</v>
      </c>
      <c r="C576" t="s">
        <v>192</v>
      </c>
      <c r="D576" s="46" t="s">
        <v>309</v>
      </c>
      <c r="E576">
        <v>7</v>
      </c>
      <c r="F576">
        <v>9</v>
      </c>
      <c r="G576" s="1">
        <v>13</v>
      </c>
      <c r="H576" s="16">
        <f t="shared" si="270"/>
        <v>3871</v>
      </c>
      <c r="I576">
        <v>14</v>
      </c>
      <c r="J576" s="17">
        <f t="shared" si="271"/>
        <v>2</v>
      </c>
      <c r="K576">
        <v>6</v>
      </c>
      <c r="L576">
        <v>22</v>
      </c>
      <c r="M576" s="17">
        <f t="shared" si="272"/>
        <v>0.8571428571428571</v>
      </c>
      <c r="N576" s="17">
        <f t="shared" si="273"/>
        <v>3.1428571428571428</v>
      </c>
      <c r="O576" s="18">
        <f t="shared" si="274"/>
        <v>0.27272727272727271</v>
      </c>
      <c r="P576">
        <v>4</v>
      </c>
      <c r="Q576">
        <v>11</v>
      </c>
      <c r="R576" s="17">
        <f t="shared" si="275"/>
        <v>0.5714285714285714</v>
      </c>
      <c r="S576" s="17">
        <f t="shared" si="276"/>
        <v>1.5714285714285714</v>
      </c>
      <c r="T576" s="18">
        <f t="shared" si="277"/>
        <v>0.36363636363636365</v>
      </c>
      <c r="U576">
        <v>2</v>
      </c>
      <c r="V576">
        <v>11</v>
      </c>
      <c r="W576" s="17">
        <f t="shared" si="278"/>
        <v>0.2857142857142857</v>
      </c>
      <c r="X576" s="17">
        <f t="shared" si="279"/>
        <v>1.5714285714285714</v>
      </c>
      <c r="Y576" s="18">
        <f t="shared" si="280"/>
        <v>0.18181818181818182</v>
      </c>
      <c r="Z576">
        <v>0</v>
      </c>
      <c r="AA576">
        <v>0</v>
      </c>
      <c r="AB576" s="17">
        <f t="shared" si="281"/>
        <v>0</v>
      </c>
      <c r="AC576" s="17">
        <f t="shared" si="282"/>
        <v>0</v>
      </c>
      <c r="AD576" s="18" t="e">
        <f t="shared" si="283"/>
        <v>#DIV/0!</v>
      </c>
      <c r="AE576">
        <v>6</v>
      </c>
      <c r="AF576" s="17">
        <f t="shared" si="284"/>
        <v>0.8571428571428571</v>
      </c>
      <c r="AG576">
        <v>2</v>
      </c>
      <c r="AH576" s="17">
        <f t="shared" si="285"/>
        <v>0.2857142857142857</v>
      </c>
      <c r="AI576">
        <v>4</v>
      </c>
      <c r="AJ576" s="17">
        <f t="shared" si="286"/>
        <v>0.5714285714285714</v>
      </c>
      <c r="AK576">
        <v>5</v>
      </c>
      <c r="AL576" s="17">
        <f t="shared" si="287"/>
        <v>0.7142857142857143</v>
      </c>
      <c r="AM576">
        <v>0</v>
      </c>
      <c r="AN576" s="17">
        <f t="shared" si="288"/>
        <v>0</v>
      </c>
      <c r="AO576">
        <v>0</v>
      </c>
      <c r="AQ576">
        <v>7</v>
      </c>
      <c r="AR576" s="17">
        <f t="shared" si="289"/>
        <v>1</v>
      </c>
      <c r="AS576">
        <v>4</v>
      </c>
      <c r="AT576" s="17">
        <f t="shared" si="290"/>
        <v>0.5714285714285714</v>
      </c>
      <c r="BD576" s="65">
        <f t="shared" si="291"/>
        <v>31.818181818181817</v>
      </c>
      <c r="BE576" s="65">
        <f t="shared" si="292"/>
        <v>31.818181818181817</v>
      </c>
      <c r="BF576" s="66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17.288317469149295</v>
      </c>
      <c r="BG576" s="38">
        <f t="shared" si="293"/>
        <v>0.5</v>
      </c>
      <c r="BH576" s="38">
        <f t="shared" si="294"/>
        <v>0</v>
      </c>
      <c r="BI576" s="67">
        <f>IFERROR(((AG576*(12000/5))/((F576*60+G576)*(SUMIFS(팀공격력!X:X,팀공격력!A:A,B576,팀공격력!B:B,D576)+SUMIFS(팀수비력!X:X,팀수비력!A:A,B576,팀수비력!B:B,D576))))*100,"")</f>
        <v>1.3604902299795358</v>
      </c>
      <c r="BJ576" s="67">
        <f>IFERROR(((AI576*(12000/5))/((F576*60+G576)*(SUMIFS(팀공격력!V:V,팀공격력!A:A,B576,팀공격력!B:B,D576)+SUMIFS(팀수비력!W:W,팀수비력!A:A,B576,팀수비력!B:B,D576))))*100,"")</f>
        <v>5.4249547920433994</v>
      </c>
      <c r="BK576" s="67">
        <f>IFERROR(((AE576*(12000/5))/((F576*60+G576)*(SUMIFS(팀공격력!X:X,팀공격력!A:A,B576,팀공격력!B:B,D576)+SUMIFS(팀수비력!X:X,팀수비력!A:A,B576,팀수비력!B:B,D576))))*100,"")</f>
        <v>4.081470689938608</v>
      </c>
      <c r="BL576" s="67">
        <f>IFERROR(100*AK576/(((((F576*60+G576)/(12000/5))*SUMIFS(팀공격력!P:P,팀공격력!A:A,B576,팀공격력!B:B,D576))-K576)),"")</f>
        <v>10.384665310890918</v>
      </c>
      <c r="BM576" s="67">
        <f>IFERROR(100*((AM576/E576*(2400))/((F576*60+G576)*SUMIFS(팀공격력!AR:AR,팀공격력!A:A,B576,팀공격력!B:B,D576))),"")</f>
        <v>0</v>
      </c>
      <c r="BN576" s="67">
        <f>IFERROR((AO576*40)/(((F576*60+G576)/60)*(SUMIFS(팀수비력!Q:Q,팀수비력!A:A,B576,팀수비력!B:B,D576)-SUMIFS(팀수비력!N:N,팀수비력!A:A,B576,팀수비력!B:B,D576)))*100,"")</f>
        <v>0</v>
      </c>
      <c r="BO576" s="67">
        <f t="shared" si="295"/>
        <v>24.137931034482758</v>
      </c>
      <c r="BT576" t="s">
        <v>113</v>
      </c>
      <c r="BV576" t="s">
        <v>90</v>
      </c>
      <c r="CF576">
        <v>2</v>
      </c>
      <c r="CG576">
        <v>5</v>
      </c>
    </row>
    <row r="577" spans="1:85" x14ac:dyDescent="0.4">
      <c r="A577" s="11" t="s">
        <v>85</v>
      </c>
      <c r="B577" t="s">
        <v>183</v>
      </c>
      <c r="C577" t="s">
        <v>193</v>
      </c>
      <c r="D577" s="46" t="s">
        <v>309</v>
      </c>
      <c r="E577">
        <v>8</v>
      </c>
      <c r="F577">
        <v>13</v>
      </c>
      <c r="G577" s="1">
        <v>54</v>
      </c>
      <c r="H577" s="16">
        <f t="shared" si="270"/>
        <v>6672</v>
      </c>
      <c r="I577">
        <v>29</v>
      </c>
      <c r="J577" s="17">
        <f t="shared" si="271"/>
        <v>3.625</v>
      </c>
      <c r="K577">
        <v>12</v>
      </c>
      <c r="L577">
        <v>32</v>
      </c>
      <c r="M577" s="17">
        <f t="shared" si="272"/>
        <v>1.5</v>
      </c>
      <c r="N577" s="17">
        <f t="shared" si="273"/>
        <v>4</v>
      </c>
      <c r="O577" s="18">
        <f t="shared" si="274"/>
        <v>0.375</v>
      </c>
      <c r="P577">
        <v>7</v>
      </c>
      <c r="Q577">
        <v>10</v>
      </c>
      <c r="R577" s="17">
        <f t="shared" si="275"/>
        <v>0.875</v>
      </c>
      <c r="S577" s="17">
        <f t="shared" si="276"/>
        <v>1.25</v>
      </c>
      <c r="T577" s="18">
        <f t="shared" si="277"/>
        <v>0.7</v>
      </c>
      <c r="U577">
        <v>5</v>
      </c>
      <c r="V577">
        <v>22</v>
      </c>
      <c r="W577" s="17">
        <f t="shared" si="278"/>
        <v>0.625</v>
      </c>
      <c r="X577" s="17">
        <f t="shared" si="279"/>
        <v>2.75</v>
      </c>
      <c r="Y577" s="18">
        <f t="shared" si="280"/>
        <v>0.22727272727272727</v>
      </c>
      <c r="Z577">
        <v>0</v>
      </c>
      <c r="AA577">
        <v>0</v>
      </c>
      <c r="AB577" s="17">
        <f t="shared" si="281"/>
        <v>0</v>
      </c>
      <c r="AC577" s="17">
        <f t="shared" si="282"/>
        <v>0</v>
      </c>
      <c r="AD577" s="18" t="e">
        <f t="shared" si="283"/>
        <v>#DIV/0!</v>
      </c>
      <c r="AE577">
        <v>17</v>
      </c>
      <c r="AF577" s="17">
        <f t="shared" si="284"/>
        <v>2.125</v>
      </c>
      <c r="AG577">
        <v>4</v>
      </c>
      <c r="AH577" s="17">
        <f t="shared" si="285"/>
        <v>0.5</v>
      </c>
      <c r="AI577">
        <v>13</v>
      </c>
      <c r="AJ577" s="17">
        <f t="shared" si="286"/>
        <v>1.625</v>
      </c>
      <c r="AK577">
        <v>2</v>
      </c>
      <c r="AL577" s="17">
        <f t="shared" si="287"/>
        <v>0.25</v>
      </c>
      <c r="AM577">
        <v>3</v>
      </c>
      <c r="AN577" s="17">
        <f t="shared" si="288"/>
        <v>0.375</v>
      </c>
      <c r="AO577">
        <v>2</v>
      </c>
      <c r="AQ577">
        <v>4</v>
      </c>
      <c r="AR577" s="17">
        <f t="shared" si="289"/>
        <v>0.5</v>
      </c>
      <c r="AS577">
        <v>19</v>
      </c>
      <c r="AT577" s="17">
        <f t="shared" si="290"/>
        <v>2.375</v>
      </c>
      <c r="BD577" s="65">
        <f t="shared" si="291"/>
        <v>45.3125</v>
      </c>
      <c r="BE577" s="65">
        <f t="shared" si="292"/>
        <v>45.3125</v>
      </c>
      <c r="BF577" s="66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14.230373942604158</v>
      </c>
      <c r="BG577" s="38">
        <f t="shared" si="293"/>
        <v>0.6875</v>
      </c>
      <c r="BH577" s="38">
        <f t="shared" si="294"/>
        <v>0</v>
      </c>
      <c r="BI577" s="67">
        <f>IFERROR(((AG577*(12000/5))/((F577*60+G577)*(SUMIFS(팀공격력!X:X,팀공격력!A:A,B577,팀공격력!B:B,D577)+SUMIFS(팀수비력!X:X,팀수비력!A:A,B577,팀수비력!B:B,D577))))*100,"")</f>
        <v>1.8041992738097923</v>
      </c>
      <c r="BJ577" s="67">
        <f>IFERROR(((AI577*(12000/5))/((F577*60+G577)*(SUMIFS(팀공격력!V:V,팀공격력!A:A,B577,팀공격력!B:B,D577)+SUMIFS(팀수비력!W:W,팀수비력!A:A,B577,팀수비력!B:B,D577))))*100,"")</f>
        <v>11.690647482014388</v>
      </c>
      <c r="BK577" s="67">
        <f>IFERROR(((AE577*(12000/5))/((F577*60+G577)*(SUMIFS(팀공격력!X:X,팀공격력!A:A,B577,팀공격력!B:B,D577)+SUMIFS(팀수비력!X:X,팀수비력!A:A,B577,팀수비력!B:B,D577))))*100,"")</f>
        <v>7.6678469136916174</v>
      </c>
      <c r="BL577" s="67">
        <f>IFERROR(100*AK577/(((((F577*60+G577)/(12000/5))*SUMIFS(팀공격력!P:P,팀공격력!A:A,B577,팀공격력!B:B,D577))-K577)),"")</f>
        <v>2.8709851067647589</v>
      </c>
      <c r="BM577" s="67">
        <f>IFERROR(100*((AM577/E577*(2400))/((F577*60+G577)*SUMIFS(팀공격력!AR:AR,팀공격력!A:A,B577,팀공격력!B:B,D577))),"")</f>
        <v>1.6084934443674128</v>
      </c>
      <c r="BN577" s="67">
        <f>IFERROR((AO577*40)/(((F577*60+G577)/60)*(SUMIFS(팀수비력!Q:Q,팀수비력!A:A,B577,팀수비력!B:B,D577)-SUMIFS(팀수비력!N:N,팀수비력!A:A,B577,팀수비력!B:B,D577)))*100,"")</f>
        <v>1.5306903413439459</v>
      </c>
      <c r="BO577" s="67">
        <f t="shared" si="295"/>
        <v>11.111111111111111</v>
      </c>
      <c r="BT577" t="s">
        <v>89</v>
      </c>
      <c r="BV577" t="s">
        <v>93</v>
      </c>
      <c r="CF577">
        <v>2</v>
      </c>
      <c r="CG577">
        <v>6</v>
      </c>
    </row>
    <row r="578" spans="1:85" x14ac:dyDescent="0.4">
      <c r="A578" s="11" t="s">
        <v>85</v>
      </c>
      <c r="B578" t="s">
        <v>183</v>
      </c>
      <c r="C578" t="s">
        <v>194</v>
      </c>
      <c r="D578" s="46" t="s">
        <v>309</v>
      </c>
      <c r="E578">
        <v>8</v>
      </c>
      <c r="F578">
        <v>18</v>
      </c>
      <c r="G578" s="1">
        <v>51</v>
      </c>
      <c r="H578" s="16">
        <f t="shared" ref="H578:H641" si="296">(F578*60+G578)*E578</f>
        <v>9048</v>
      </c>
      <c r="I578">
        <v>42</v>
      </c>
      <c r="J578" s="17">
        <f t="shared" ref="J578:J641" si="297">I578/$E578</f>
        <v>5.25</v>
      </c>
      <c r="K578">
        <v>13</v>
      </c>
      <c r="L578">
        <v>36</v>
      </c>
      <c r="M578" s="17">
        <f t="shared" ref="M578:M641" si="298">K578/$E578</f>
        <v>1.625</v>
      </c>
      <c r="N578" s="17">
        <f t="shared" ref="N578:N641" si="299">L578/$E578</f>
        <v>4.5</v>
      </c>
      <c r="O578" s="18">
        <f t="shared" ref="O578:O641" si="300">K578/L578</f>
        <v>0.3611111111111111</v>
      </c>
      <c r="P578">
        <v>6</v>
      </c>
      <c r="Q578">
        <v>16</v>
      </c>
      <c r="R578" s="17">
        <f t="shared" ref="R578:R641" si="301">P578/$E578</f>
        <v>0.75</v>
      </c>
      <c r="S578" s="17">
        <f t="shared" ref="S578:S641" si="302">Q578/$E578</f>
        <v>2</v>
      </c>
      <c r="T578" s="18">
        <f t="shared" ref="T578:T641" si="303">P578/Q578</f>
        <v>0.375</v>
      </c>
      <c r="U578">
        <v>7</v>
      </c>
      <c r="V578">
        <v>20</v>
      </c>
      <c r="W578" s="17">
        <f t="shared" ref="W578:W641" si="304">U578/$E578</f>
        <v>0.875</v>
      </c>
      <c r="X578" s="17">
        <f t="shared" ref="X578:X641" si="305">V578/$E578</f>
        <v>2.5</v>
      </c>
      <c r="Y578" s="18">
        <f t="shared" ref="Y578:Y641" si="306">U578/V578</f>
        <v>0.35</v>
      </c>
      <c r="Z578">
        <v>9</v>
      </c>
      <c r="AA578">
        <v>14</v>
      </c>
      <c r="AB578" s="17">
        <f t="shared" ref="AB578:AB641" si="307">Z578/$E578</f>
        <v>1.125</v>
      </c>
      <c r="AC578" s="17">
        <f t="shared" ref="AC578:AC641" si="308">AA578/$E578</f>
        <v>1.75</v>
      </c>
      <c r="AD578" s="18">
        <f t="shared" ref="AD578:AD641" si="309">Z578/AA578</f>
        <v>0.6428571428571429</v>
      </c>
      <c r="AE578">
        <v>15</v>
      </c>
      <c r="AF578" s="17">
        <f t="shared" ref="AF578:AF641" si="310">AE578/$E578</f>
        <v>1.875</v>
      </c>
      <c r="AG578">
        <v>7</v>
      </c>
      <c r="AH578" s="17">
        <f t="shared" ref="AH578:AH641" si="311">AG578/$E578</f>
        <v>0.875</v>
      </c>
      <c r="AI578">
        <v>8</v>
      </c>
      <c r="AJ578" s="17">
        <f t="shared" ref="AJ578:AJ641" si="312">AI578/$E578</f>
        <v>1</v>
      </c>
      <c r="AK578">
        <v>14</v>
      </c>
      <c r="AL578" s="17">
        <f t="shared" ref="AL578:AL641" si="313">AK578/$E578</f>
        <v>1.75</v>
      </c>
      <c r="AM578">
        <v>4</v>
      </c>
      <c r="AN578" s="17">
        <f t="shared" ref="AN578:AN641" si="314">AM578/$E578</f>
        <v>0.5</v>
      </c>
      <c r="AO578">
        <v>1</v>
      </c>
      <c r="AQ578">
        <v>9</v>
      </c>
      <c r="AR578" s="17">
        <f t="shared" ref="AR578:AR641" si="315">AQ578/$E578</f>
        <v>1.125</v>
      </c>
      <c r="AS578">
        <v>13</v>
      </c>
      <c r="AT578" s="17">
        <f t="shared" ref="AT578:AT641" si="316">AS578/$E578</f>
        <v>1.625</v>
      </c>
      <c r="BD578" s="65">
        <f t="shared" ref="BD578:BD641" si="317">IFERROR((I578/(2*(L578+(0.44*AA578))))*100,"")</f>
        <v>49.810246679316897</v>
      </c>
      <c r="BE578" s="65">
        <f t="shared" ref="BE578:BE641" si="318">IFERROR(((P578+(1.5*U578))/L578)*100,"")</f>
        <v>45.833333333333329</v>
      </c>
      <c r="BF578" s="66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14.912408546360799</v>
      </c>
      <c r="BG578" s="38">
        <f t="shared" ref="BG578:BG641" si="319">IFERROR(V578/L578,"")</f>
        <v>0.55555555555555558</v>
      </c>
      <c r="BH578" s="38">
        <f t="shared" ref="BH578:BH641" si="320">IFERROR(AA578/L578,"")</f>
        <v>0.3888888888888889</v>
      </c>
      <c r="BI578" s="67">
        <f>IFERROR(((AG578*(12000/5))/((F578*60+G578)*(SUMIFS(팀공격력!X:X,팀공격력!A:A,B578,팀공격력!B:B,D578)+SUMIFS(팀수비력!X:X,팀수비력!A:A,B578,팀수비력!B:B,D578))))*100,"")</f>
        <v>2.3282306278739098</v>
      </c>
      <c r="BJ578" s="67">
        <f>IFERROR(((AI578*(12000/5))/((F578*60+G578)*(SUMIFS(팀공격력!V:V,팀공격력!A:A,B578,팀공격력!B:B,D578)+SUMIFS(팀수비력!W:W,팀수비력!A:A,B578,팀수비력!B:B,D578))))*100,"")</f>
        <v>5.3050397877984086</v>
      </c>
      <c r="BK578" s="67">
        <f>IFERROR(((AE578*(12000/5))/((F578*60+G578)*(SUMIFS(팀공격력!X:X,팀공격력!A:A,B578,팀공격력!B:B,D578)+SUMIFS(팀수비력!X:X,팀수비력!A:A,B578,팀수비력!B:B,D578))))*100,"")</f>
        <v>4.9890656311583781</v>
      </c>
      <c r="BL578" s="67">
        <f>IFERROR(100*AK578/(((((F578*60+G578)/(12000/5))*SUMIFS(팀공격력!P:P,팀공격력!A:A,B578,팀공격력!B:B,D578))-K578)),"")</f>
        <v>14.323166442867191</v>
      </c>
      <c r="BM578" s="67">
        <f>IFERROR(100*((AM578/E578*(2400))/((F578*60+G578)*SUMIFS(팀공격력!AR:AR,팀공격력!A:A,B578,팀공격력!B:B,D578))),"")</f>
        <v>1.5814718922516027</v>
      </c>
      <c r="BN578" s="67">
        <f>IFERROR((AO578*40)/(((F578*60+G578)/60)*(SUMIFS(팀수비력!Q:Q,팀수비력!A:A,B578,팀수비력!B:B,D578)-SUMIFS(팀수비력!N:N,팀수비력!A:A,B578,팀수비력!B:B,D578)))*100,"")</f>
        <v>0.56436593487217113</v>
      </c>
      <c r="BO578" s="67">
        <f t="shared" ref="BO578:BO641" si="321">IFERROR(100*AQ578/(L578+0.44*AA578+AQ578),"")</f>
        <v>17.591868647380767</v>
      </c>
      <c r="BT578" t="s">
        <v>89</v>
      </c>
      <c r="BV578" t="s">
        <v>90</v>
      </c>
      <c r="CF578">
        <v>2</v>
      </c>
      <c r="CG578">
        <v>6</v>
      </c>
    </row>
    <row r="579" spans="1:85" x14ac:dyDescent="0.4">
      <c r="A579" s="11" t="s">
        <v>85</v>
      </c>
      <c r="B579" t="s">
        <v>183</v>
      </c>
      <c r="C579" t="s">
        <v>195</v>
      </c>
      <c r="D579" s="46" t="s">
        <v>309</v>
      </c>
      <c r="E579">
        <v>8</v>
      </c>
      <c r="F579">
        <v>12</v>
      </c>
      <c r="G579" s="1">
        <v>56</v>
      </c>
      <c r="H579" s="16">
        <f t="shared" si="296"/>
        <v>6208</v>
      </c>
      <c r="I579">
        <v>83</v>
      </c>
      <c r="J579" s="17">
        <f t="shared" si="297"/>
        <v>10.375</v>
      </c>
      <c r="K579">
        <v>33</v>
      </c>
      <c r="L579">
        <v>66</v>
      </c>
      <c r="M579" s="17">
        <f t="shared" si="298"/>
        <v>4.125</v>
      </c>
      <c r="N579" s="17">
        <f t="shared" si="299"/>
        <v>8.25</v>
      </c>
      <c r="O579" s="18">
        <f t="shared" si="300"/>
        <v>0.5</v>
      </c>
      <c r="P579">
        <v>25</v>
      </c>
      <c r="Q579">
        <v>45</v>
      </c>
      <c r="R579" s="17">
        <f t="shared" si="301"/>
        <v>3.125</v>
      </c>
      <c r="S579" s="17">
        <f t="shared" si="302"/>
        <v>5.625</v>
      </c>
      <c r="T579" s="18">
        <f t="shared" si="303"/>
        <v>0.55555555555555558</v>
      </c>
      <c r="U579">
        <v>8</v>
      </c>
      <c r="V579">
        <v>21</v>
      </c>
      <c r="W579" s="17">
        <f t="shared" si="304"/>
        <v>1</v>
      </c>
      <c r="X579" s="17">
        <f t="shared" si="305"/>
        <v>2.625</v>
      </c>
      <c r="Y579" s="18">
        <f t="shared" si="306"/>
        <v>0.38095238095238093</v>
      </c>
      <c r="Z579">
        <v>9</v>
      </c>
      <c r="AA579">
        <v>13</v>
      </c>
      <c r="AB579" s="17">
        <f t="shared" si="307"/>
        <v>1.125</v>
      </c>
      <c r="AC579" s="17">
        <f t="shared" si="308"/>
        <v>1.625</v>
      </c>
      <c r="AD579" s="18">
        <f t="shared" si="309"/>
        <v>0.69230769230769229</v>
      </c>
      <c r="AE579">
        <v>38</v>
      </c>
      <c r="AF579" s="17">
        <f t="shared" si="310"/>
        <v>4.75</v>
      </c>
      <c r="AG579">
        <v>10</v>
      </c>
      <c r="AH579" s="17">
        <f t="shared" si="311"/>
        <v>1.25</v>
      </c>
      <c r="AI579">
        <v>28</v>
      </c>
      <c r="AJ579" s="17">
        <f t="shared" si="312"/>
        <v>3.5</v>
      </c>
      <c r="AK579">
        <v>8</v>
      </c>
      <c r="AL579" s="17">
        <f t="shared" si="313"/>
        <v>1</v>
      </c>
      <c r="AM579">
        <v>4</v>
      </c>
      <c r="AN579" s="17">
        <f t="shared" si="314"/>
        <v>0.5</v>
      </c>
      <c r="AO579">
        <v>3</v>
      </c>
      <c r="AQ579">
        <v>19</v>
      </c>
      <c r="AR579" s="17">
        <f t="shared" si="315"/>
        <v>2.375</v>
      </c>
      <c r="AS579">
        <v>9</v>
      </c>
      <c r="AT579" s="17">
        <f t="shared" si="316"/>
        <v>1.125</v>
      </c>
      <c r="BD579" s="65">
        <f t="shared" si="317"/>
        <v>57.863915225878415</v>
      </c>
      <c r="BE579" s="65">
        <f t="shared" si="318"/>
        <v>56.060606060606055</v>
      </c>
      <c r="BF579" s="66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38.540840602696271</v>
      </c>
      <c r="BG579" s="38">
        <f t="shared" si="319"/>
        <v>0.31818181818181818</v>
      </c>
      <c r="BH579" s="38">
        <f t="shared" si="320"/>
        <v>0.19696969696969696</v>
      </c>
      <c r="BI579" s="67">
        <f>IFERROR(((AG579*(12000/5))/((F579*60+G579)*(SUMIFS(팀공격력!X:X,팀공격력!A:A,B579,팀공격력!B:B,D579)+SUMIFS(팀수비력!X:X,팀수비력!A:A,B579,팀수비력!B:B,D579))))*100,"")</f>
        <v>4.8476230488317231</v>
      </c>
      <c r="BJ579" s="67">
        <f>IFERROR(((AI579*(12000/5))/((F579*60+G579)*(SUMIFS(팀공격력!V:V,팀공격력!A:A,B579,팀공격력!B:B,D579)+SUMIFS(팀수비력!W:W,팀수비력!A:A,B579,팀수비력!B:B,D579))))*100,"")</f>
        <v>27.061855670103093</v>
      </c>
      <c r="BK579" s="67">
        <f>IFERROR(((AE579*(12000/5))/((F579*60+G579)*(SUMIFS(팀공격력!X:X,팀공격력!A:A,B579,팀공격력!B:B,D579)+SUMIFS(팀수비력!X:X,팀수비력!A:A,B579,팀수비력!B:B,D579))))*100,"")</f>
        <v>18.420967585560547</v>
      </c>
      <c r="BL579" s="67">
        <f>IFERROR(100*AK579/(((((F579*60+G579)/(12000/5))*SUMIFS(팀공격력!P:P,팀공격력!A:A,B579,팀공격력!B:B,D579))-K579)),"")</f>
        <v>18.611865063978293</v>
      </c>
      <c r="BM579" s="67">
        <f>IFERROR(100*((AM579/E579*(2400))/((F579*60+G579)*SUMIFS(팀공격력!AR:AR,팀공격력!A:A,B579,팀공격력!B:B,D579))),"")</f>
        <v>2.3049545233718596</v>
      </c>
      <c r="BN579" s="67">
        <f>IFERROR((AO579*40)/(((F579*60+G579)/60)*(SUMIFS(팀수비력!Q:Q,팀수비력!A:A,B579,팀수비력!B:B,D579)-SUMIFS(팀수비력!N:N,팀수비력!A:A,B579,팀수비력!B:B,D579)))*100,"")</f>
        <v>2.4676464136872118</v>
      </c>
      <c r="BO579" s="67">
        <f t="shared" si="321"/>
        <v>20.943562610229279</v>
      </c>
      <c r="BT579" t="s">
        <v>96</v>
      </c>
      <c r="BV579" t="s">
        <v>93</v>
      </c>
      <c r="CF579">
        <v>2</v>
      </c>
      <c r="CG579">
        <v>6</v>
      </c>
    </row>
    <row r="580" spans="1:85" x14ac:dyDescent="0.4">
      <c r="A580" s="11" t="s">
        <v>85</v>
      </c>
      <c r="B580" t="s">
        <v>183</v>
      </c>
      <c r="C580" t="s">
        <v>196</v>
      </c>
      <c r="D580" s="46" t="s">
        <v>309</v>
      </c>
      <c r="E580">
        <v>5</v>
      </c>
      <c r="F580">
        <v>25</v>
      </c>
      <c r="G580" s="1">
        <v>47</v>
      </c>
      <c r="H580" s="16">
        <f t="shared" si="296"/>
        <v>7735</v>
      </c>
      <c r="I580">
        <v>60</v>
      </c>
      <c r="J580" s="17">
        <f t="shared" si="297"/>
        <v>12</v>
      </c>
      <c r="K580">
        <v>20</v>
      </c>
      <c r="L580">
        <v>49</v>
      </c>
      <c r="M580" s="17">
        <f t="shared" si="298"/>
        <v>4</v>
      </c>
      <c r="N580" s="17">
        <f t="shared" si="299"/>
        <v>9.8000000000000007</v>
      </c>
      <c r="O580" s="18">
        <f t="shared" si="300"/>
        <v>0.40816326530612246</v>
      </c>
      <c r="P580">
        <v>19</v>
      </c>
      <c r="Q580">
        <v>43</v>
      </c>
      <c r="R580" s="17">
        <f t="shared" si="301"/>
        <v>3.8</v>
      </c>
      <c r="S580" s="17">
        <f t="shared" si="302"/>
        <v>8.6</v>
      </c>
      <c r="T580" s="18">
        <f t="shared" si="303"/>
        <v>0.44186046511627908</v>
      </c>
      <c r="U580">
        <v>1</v>
      </c>
      <c r="V580">
        <v>6</v>
      </c>
      <c r="W580" s="17">
        <f t="shared" si="304"/>
        <v>0.2</v>
      </c>
      <c r="X580" s="17">
        <f t="shared" si="305"/>
        <v>1.2</v>
      </c>
      <c r="Y580" s="18">
        <f t="shared" si="306"/>
        <v>0.16666666666666666</v>
      </c>
      <c r="Z580">
        <v>19</v>
      </c>
      <c r="AA580">
        <v>27</v>
      </c>
      <c r="AB580" s="17">
        <f t="shared" si="307"/>
        <v>3.8</v>
      </c>
      <c r="AC580" s="17">
        <f t="shared" si="308"/>
        <v>5.4</v>
      </c>
      <c r="AD580" s="18">
        <f t="shared" si="309"/>
        <v>0.70370370370370372</v>
      </c>
      <c r="AE580">
        <v>33</v>
      </c>
      <c r="AF580" s="17">
        <f t="shared" si="310"/>
        <v>6.6</v>
      </c>
      <c r="AG580">
        <v>13</v>
      </c>
      <c r="AH580" s="17">
        <f t="shared" si="311"/>
        <v>2.6</v>
      </c>
      <c r="AI580">
        <v>20</v>
      </c>
      <c r="AJ580" s="17">
        <f t="shared" si="312"/>
        <v>4</v>
      </c>
      <c r="AK580">
        <v>7</v>
      </c>
      <c r="AL580" s="17">
        <f t="shared" si="313"/>
        <v>1.4</v>
      </c>
      <c r="AM580">
        <v>3</v>
      </c>
      <c r="AN580" s="17">
        <f t="shared" si="314"/>
        <v>0.6</v>
      </c>
      <c r="AO580">
        <v>2</v>
      </c>
      <c r="AQ580">
        <v>10</v>
      </c>
      <c r="AR580" s="17">
        <f t="shared" si="315"/>
        <v>2</v>
      </c>
      <c r="AS580">
        <v>17</v>
      </c>
      <c r="AT580" s="17">
        <f t="shared" si="316"/>
        <v>3.4</v>
      </c>
      <c r="BD580" s="65">
        <f t="shared" si="317"/>
        <v>49.277266754270691</v>
      </c>
      <c r="BE580" s="65">
        <f t="shared" si="318"/>
        <v>41.836734693877553</v>
      </c>
      <c r="BF580" s="66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15.104740120900431</v>
      </c>
      <c r="BG580" s="38">
        <f t="shared" si="319"/>
        <v>0.12244897959183673</v>
      </c>
      <c r="BH580" s="38">
        <f t="shared" si="320"/>
        <v>0.55102040816326525</v>
      </c>
      <c r="BI580" s="67">
        <f>IFERROR(((AG580*(12000/5))/((F580*60+G580)*(SUMIFS(팀공격력!X:X,팀공격력!A:A,B580,팀공격력!B:B,D580)+SUMIFS(팀수비력!X:X,팀수비력!A:A,B580,팀수비력!B:B,D580))))*100,"")</f>
        <v>3.1611390637759804</v>
      </c>
      <c r="BJ580" s="67">
        <f>IFERROR(((AI580*(12000/5))/((F580*60+G580)*(SUMIFS(팀공격력!V:V,팀공격력!A:A,B580,팀공격력!B:B,D580)+SUMIFS(팀수비력!W:W,팀수비력!A:A,B580,팀수비력!B:B,D580))))*100,"")</f>
        <v>9.6961861667744031</v>
      </c>
      <c r="BK580" s="67">
        <f>IFERROR(((AE580*(12000/5))/((F580*60+G580)*(SUMIFS(팀공격력!X:X,팀공격력!A:A,B580,팀공격력!B:B,D580)+SUMIFS(팀수비력!X:X,팀수비력!A:A,B580,팀수비력!B:B,D580))))*100,"")</f>
        <v>8.0244299311236436</v>
      </c>
      <c r="BL580" s="67">
        <f>IFERROR(100*AK580/(((((F580*60+G580)/(12000/5))*SUMIFS(팀공격력!P:P,팀공격력!A:A,B580,팀공격력!B:B,D580))-K580)),"")</f>
        <v>5.3241217575940043</v>
      </c>
      <c r="BM580" s="67">
        <f>IFERROR(100*((AM580/E580*(2400))/((F580*60+G580)*SUMIFS(팀공격력!AR:AR,팀공격력!A:A,B580,팀공격력!B:B,D580))),"")</f>
        <v>1.387442567656028</v>
      </c>
      <c r="BN580" s="67">
        <f>IFERROR((AO580*40)/(((F580*60+G580)/60)*(SUMIFS(팀수비력!Q:Q,팀수비력!A:A,B580,팀수비력!B:B,D580)-SUMIFS(팀수비력!N:N,팀수비력!A:A,B580,팀수비력!B:B,D580)))*100,"")</f>
        <v>0.82520733334250229</v>
      </c>
      <c r="BO580" s="67">
        <f t="shared" si="321"/>
        <v>14.108352144469526</v>
      </c>
      <c r="BT580" t="s">
        <v>89</v>
      </c>
      <c r="BV580" t="s">
        <v>102</v>
      </c>
      <c r="CF580">
        <v>1</v>
      </c>
      <c r="CG580">
        <v>4</v>
      </c>
    </row>
    <row r="581" spans="1:85" x14ac:dyDescent="0.4">
      <c r="A581" s="11" t="s">
        <v>85</v>
      </c>
      <c r="B581" t="s">
        <v>183</v>
      </c>
      <c r="C581" t="s">
        <v>197</v>
      </c>
      <c r="D581" s="46" t="s">
        <v>309</v>
      </c>
      <c r="E581">
        <v>8</v>
      </c>
      <c r="F581">
        <v>24</v>
      </c>
      <c r="G581" s="1">
        <v>50</v>
      </c>
      <c r="H581" s="16">
        <f t="shared" si="296"/>
        <v>11920</v>
      </c>
      <c r="I581">
        <v>91</v>
      </c>
      <c r="J581" s="17">
        <f t="shared" si="297"/>
        <v>11.375</v>
      </c>
      <c r="K581">
        <v>26</v>
      </c>
      <c r="L581">
        <v>71</v>
      </c>
      <c r="M581" s="17">
        <f t="shared" si="298"/>
        <v>3.25</v>
      </c>
      <c r="N581" s="17">
        <f t="shared" si="299"/>
        <v>8.875</v>
      </c>
      <c r="O581" s="18">
        <f t="shared" si="300"/>
        <v>0.36619718309859156</v>
      </c>
      <c r="P581">
        <v>11</v>
      </c>
      <c r="Q581">
        <v>26</v>
      </c>
      <c r="R581" s="17">
        <f t="shared" si="301"/>
        <v>1.375</v>
      </c>
      <c r="S581" s="17">
        <f t="shared" si="302"/>
        <v>3.25</v>
      </c>
      <c r="T581" s="18">
        <f t="shared" si="303"/>
        <v>0.42307692307692307</v>
      </c>
      <c r="U581">
        <v>15</v>
      </c>
      <c r="V581">
        <v>45</v>
      </c>
      <c r="W581" s="17">
        <f t="shared" si="304"/>
        <v>1.875</v>
      </c>
      <c r="X581" s="17">
        <f t="shared" si="305"/>
        <v>5.625</v>
      </c>
      <c r="Y581" s="18">
        <f t="shared" si="306"/>
        <v>0.33333333333333331</v>
      </c>
      <c r="Z581">
        <v>24</v>
      </c>
      <c r="AA581">
        <v>28</v>
      </c>
      <c r="AB581" s="17">
        <f t="shared" si="307"/>
        <v>3</v>
      </c>
      <c r="AC581" s="17">
        <f t="shared" si="308"/>
        <v>3.5</v>
      </c>
      <c r="AD581" s="18">
        <f t="shared" si="309"/>
        <v>0.8571428571428571</v>
      </c>
      <c r="AE581">
        <v>37</v>
      </c>
      <c r="AF581" s="17">
        <f t="shared" si="310"/>
        <v>4.625</v>
      </c>
      <c r="AG581">
        <v>4</v>
      </c>
      <c r="AH581" s="17">
        <f t="shared" si="311"/>
        <v>0.5</v>
      </c>
      <c r="AI581">
        <v>33</v>
      </c>
      <c r="AJ581" s="17">
        <f t="shared" si="312"/>
        <v>4.125</v>
      </c>
      <c r="AK581">
        <v>31</v>
      </c>
      <c r="AL581" s="17">
        <f t="shared" si="313"/>
        <v>3.875</v>
      </c>
      <c r="AM581">
        <v>3</v>
      </c>
      <c r="AN581" s="17">
        <f t="shared" si="314"/>
        <v>0.375</v>
      </c>
      <c r="AO581">
        <v>1</v>
      </c>
      <c r="AQ581">
        <v>13</v>
      </c>
      <c r="AR581" s="17">
        <f t="shared" si="315"/>
        <v>1.625</v>
      </c>
      <c r="AS581">
        <v>14</v>
      </c>
      <c r="AT581" s="17">
        <f t="shared" si="316"/>
        <v>1.75</v>
      </c>
      <c r="BD581" s="65">
        <f t="shared" si="317"/>
        <v>54.608737397983688</v>
      </c>
      <c r="BE581" s="65">
        <f t="shared" si="318"/>
        <v>47.183098591549296</v>
      </c>
      <c r="BF581" s="66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21.311306143520905</v>
      </c>
      <c r="BG581" s="38">
        <f t="shared" si="319"/>
        <v>0.63380281690140849</v>
      </c>
      <c r="BH581" s="38">
        <f t="shared" si="320"/>
        <v>0.39436619718309857</v>
      </c>
      <c r="BI581" s="67">
        <f>IFERROR(((AG581*(12000/5))/((F581*60+G581)*(SUMIFS(팀공격력!X:X,팀공격력!A:A,B581,팀공격력!B:B,D581)+SUMIFS(팀수비력!X:X,팀수비력!A:A,B581,팀수비력!B:B,D581))))*100,"")</f>
        <v>1.0098672445351455</v>
      </c>
      <c r="BJ581" s="67">
        <f>IFERROR(((AI581*(12000/5))/((F581*60+G581)*(SUMIFS(팀공격력!V:V,팀공격력!A:A,B581,팀공격력!B:B,D581)+SUMIFS(팀수비력!W:W,팀수비력!A:A,B581,팀수비력!B:B,D581))))*100,"")</f>
        <v>16.610738255033556</v>
      </c>
      <c r="BK581" s="67">
        <f>IFERROR(((AE581*(12000/5))/((F581*60+G581)*(SUMIFS(팀공격력!X:X,팀공격력!A:A,B581,팀공격력!B:B,D581)+SUMIFS(팀수비력!X:X,팀수비력!A:A,B581,팀수비력!B:B,D581))))*100,"")</f>
        <v>9.341272011950096</v>
      </c>
      <c r="BL581" s="67">
        <f>IFERROR(100*AK581/(((((F581*60+G581)/(12000/5))*SUMIFS(팀공격력!P:P,팀공격력!A:A,B581,팀공격력!B:B,D581))-K581)),"")</f>
        <v>25.855777584708946</v>
      </c>
      <c r="BM581" s="67">
        <f>IFERROR(100*((AM581/E581*(2400))/((F581*60+G581)*SUMIFS(팀공격력!AR:AR,팀공격력!A:A,B581,팀공격력!B:B,D581))),"")</f>
        <v>0.90032451852511541</v>
      </c>
      <c r="BN581" s="67">
        <f>IFERROR((AO581*40)/(((F581*60+G581)/60)*(SUMIFS(팀수비력!Q:Q,팀수비력!A:A,B581,팀수비력!B:B,D581)-SUMIFS(팀수비력!N:N,팀수비력!A:A,B581,팀수비력!B:B,D581)))*100,"")</f>
        <v>0.42838783378552053</v>
      </c>
      <c r="BO581" s="67">
        <f t="shared" si="321"/>
        <v>13.496677740863788</v>
      </c>
      <c r="BT581" t="s">
        <v>89</v>
      </c>
      <c r="BV581" t="s">
        <v>90</v>
      </c>
      <c r="CF581">
        <v>2</v>
      </c>
      <c r="CG581">
        <v>6</v>
      </c>
    </row>
    <row r="582" spans="1:85" x14ac:dyDescent="0.4">
      <c r="A582" s="11" t="s">
        <v>85</v>
      </c>
      <c r="B582" t="s">
        <v>183</v>
      </c>
      <c r="C582" t="s">
        <v>198</v>
      </c>
      <c r="D582" s="46" t="s">
        <v>309</v>
      </c>
      <c r="E582">
        <v>3</v>
      </c>
      <c r="F582">
        <v>11</v>
      </c>
      <c r="G582" s="1">
        <v>56</v>
      </c>
      <c r="H582" s="16">
        <f t="shared" si="296"/>
        <v>2148</v>
      </c>
      <c r="I582">
        <v>0</v>
      </c>
      <c r="J582" s="17">
        <f t="shared" si="297"/>
        <v>0</v>
      </c>
      <c r="K582">
        <v>0</v>
      </c>
      <c r="L582">
        <v>3</v>
      </c>
      <c r="M582" s="17">
        <f t="shared" si="298"/>
        <v>0</v>
      </c>
      <c r="N582" s="17">
        <f t="shared" si="299"/>
        <v>1</v>
      </c>
      <c r="O582" s="18">
        <f t="shared" si="300"/>
        <v>0</v>
      </c>
      <c r="P582">
        <v>0</v>
      </c>
      <c r="Q582">
        <v>3</v>
      </c>
      <c r="R582" s="17">
        <f t="shared" si="301"/>
        <v>0</v>
      </c>
      <c r="S582" s="17">
        <f t="shared" si="302"/>
        <v>1</v>
      </c>
      <c r="T582" s="18">
        <f t="shared" si="303"/>
        <v>0</v>
      </c>
      <c r="U582">
        <v>0</v>
      </c>
      <c r="V582">
        <v>0</v>
      </c>
      <c r="W582" s="17">
        <f t="shared" si="304"/>
        <v>0</v>
      </c>
      <c r="X582" s="17">
        <f t="shared" si="305"/>
        <v>0</v>
      </c>
      <c r="Y582" s="18" t="e">
        <f t="shared" si="306"/>
        <v>#DIV/0!</v>
      </c>
      <c r="Z582">
        <v>0</v>
      </c>
      <c r="AA582">
        <v>0</v>
      </c>
      <c r="AB582" s="17">
        <f t="shared" si="307"/>
        <v>0</v>
      </c>
      <c r="AC582" s="17">
        <f t="shared" si="308"/>
        <v>0</v>
      </c>
      <c r="AD582" s="18" t="e">
        <f t="shared" si="309"/>
        <v>#DIV/0!</v>
      </c>
      <c r="AE582">
        <v>11</v>
      </c>
      <c r="AF582" s="17">
        <f t="shared" si="310"/>
        <v>3.6666666666666665</v>
      </c>
      <c r="AG582">
        <v>4</v>
      </c>
      <c r="AH582" s="17">
        <f t="shared" si="311"/>
        <v>1.3333333333333333</v>
      </c>
      <c r="AI582">
        <v>7</v>
      </c>
      <c r="AJ582" s="17">
        <f t="shared" si="312"/>
        <v>2.3333333333333335</v>
      </c>
      <c r="AK582">
        <v>1</v>
      </c>
      <c r="AL582" s="17">
        <f t="shared" si="313"/>
        <v>0.33333333333333331</v>
      </c>
      <c r="AM582">
        <v>0</v>
      </c>
      <c r="AN582" s="17">
        <f t="shared" si="314"/>
        <v>0</v>
      </c>
      <c r="AO582">
        <v>0</v>
      </c>
      <c r="AQ582">
        <v>0</v>
      </c>
      <c r="AR582" s="17">
        <f t="shared" si="315"/>
        <v>0</v>
      </c>
      <c r="AS582">
        <v>8</v>
      </c>
      <c r="AT582" s="17">
        <f t="shared" si="316"/>
        <v>2.6666666666666665</v>
      </c>
      <c r="BD582" s="65">
        <f t="shared" si="317"/>
        <v>0</v>
      </c>
      <c r="BE582" s="65">
        <f t="shared" si="318"/>
        <v>0</v>
      </c>
      <c r="BF582" s="66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1.3813002639818281</v>
      </c>
      <c r="BG582" s="38">
        <f t="shared" si="319"/>
        <v>0</v>
      </c>
      <c r="BH582" s="38">
        <f t="shared" si="320"/>
        <v>0</v>
      </c>
      <c r="BI582" s="67">
        <f>IFERROR(((AG582*(12000/5))/((F582*60+G582)*(SUMIFS(팀공격력!X:X,팀공격력!A:A,B582,팀공격력!B:B,D582)+SUMIFS(팀수비력!X:X,팀수비력!A:A,B582,팀수비력!B:B,D582))))*100,"")</f>
        <v>2.1015393775940878</v>
      </c>
      <c r="BJ582" s="67">
        <f>IFERROR(((AI582*(12000/5))/((F582*60+G582)*(SUMIFS(팀공격력!V:V,팀공격력!A:A,B582,팀공격력!B:B,D582)+SUMIFS(팀수비력!W:W,팀수비력!A:A,B582,팀수비력!B:B,D582))))*100,"")</f>
        <v>7.3324022346368718</v>
      </c>
      <c r="BK582" s="67">
        <f>IFERROR(((AE582*(12000/5))/((F582*60+G582)*(SUMIFS(팀공격력!X:X,팀공격력!A:A,B582,팀공격력!B:B,D582)+SUMIFS(팀수비력!X:X,팀수비력!A:A,B582,팀수비력!B:B,D582))))*100,"")</f>
        <v>5.7792332883837405</v>
      </c>
      <c r="BL582" s="67">
        <f>IFERROR(100*AK582/(((((F582*60+G582)/(12000/5))*SUMIFS(팀공격력!P:P,팀공격력!A:A,B582,팀공격력!B:B,D582))-K582)),"")</f>
        <v>1.4263639605372638</v>
      </c>
      <c r="BM582" s="67">
        <f>IFERROR(100*((AM582/E582*(2400))/((F582*60+G582)*SUMIFS(팀공격력!AR:AR,팀공격력!A:A,B582,팀공격력!B:B,D582))),"")</f>
        <v>0</v>
      </c>
      <c r="BN582" s="67">
        <f>IFERROR((AO582*40)/(((F582*60+G582)/60)*(SUMIFS(팀수비력!Q:Q,팀수비력!A:A,B582,팀수비력!B:B,D582)-SUMIFS(팀수비력!N:N,팀수비력!A:A,B582,팀수비력!B:B,D582)))*100,"")</f>
        <v>0</v>
      </c>
      <c r="BO582" s="67">
        <f t="shared" si="321"/>
        <v>0</v>
      </c>
      <c r="BT582" t="s">
        <v>89</v>
      </c>
      <c r="BV582" t="s">
        <v>102</v>
      </c>
      <c r="CF582">
        <v>1</v>
      </c>
      <c r="CG582">
        <v>2</v>
      </c>
    </row>
    <row r="583" spans="1:85" x14ac:dyDescent="0.4">
      <c r="A583" s="11" t="s">
        <v>85</v>
      </c>
      <c r="B583" t="s">
        <v>183</v>
      </c>
      <c r="C583" t="s">
        <v>285</v>
      </c>
      <c r="D583" s="46" t="s">
        <v>309</v>
      </c>
      <c r="E583">
        <v>8</v>
      </c>
      <c r="F583">
        <v>16</v>
      </c>
      <c r="G583" s="1">
        <v>37</v>
      </c>
      <c r="H583" s="16">
        <f t="shared" si="296"/>
        <v>7976</v>
      </c>
      <c r="I583">
        <v>51</v>
      </c>
      <c r="J583" s="17">
        <f t="shared" si="297"/>
        <v>6.375</v>
      </c>
      <c r="K583">
        <v>20</v>
      </c>
      <c r="L583">
        <v>36</v>
      </c>
      <c r="M583" s="17">
        <f t="shared" si="298"/>
        <v>2.5</v>
      </c>
      <c r="N583" s="17">
        <f t="shared" si="299"/>
        <v>4.5</v>
      </c>
      <c r="O583" s="18">
        <f t="shared" si="300"/>
        <v>0.55555555555555558</v>
      </c>
      <c r="P583">
        <v>16</v>
      </c>
      <c r="Q583">
        <v>27</v>
      </c>
      <c r="R583" s="17">
        <f t="shared" si="301"/>
        <v>2</v>
      </c>
      <c r="S583" s="17">
        <f t="shared" si="302"/>
        <v>3.375</v>
      </c>
      <c r="T583" s="18">
        <f t="shared" si="303"/>
        <v>0.59259259259259256</v>
      </c>
      <c r="U583">
        <v>4</v>
      </c>
      <c r="V583">
        <v>9</v>
      </c>
      <c r="W583" s="17">
        <f t="shared" si="304"/>
        <v>0.5</v>
      </c>
      <c r="X583" s="17">
        <f t="shared" si="305"/>
        <v>1.125</v>
      </c>
      <c r="Y583" s="18">
        <f t="shared" si="306"/>
        <v>0.44444444444444442</v>
      </c>
      <c r="Z583">
        <v>7</v>
      </c>
      <c r="AA583">
        <v>9</v>
      </c>
      <c r="AB583" s="17">
        <f t="shared" si="307"/>
        <v>0.875</v>
      </c>
      <c r="AC583" s="17">
        <f t="shared" si="308"/>
        <v>1.125</v>
      </c>
      <c r="AD583" s="18">
        <f t="shared" si="309"/>
        <v>0.77777777777777779</v>
      </c>
      <c r="AE583">
        <v>22</v>
      </c>
      <c r="AF583" s="17">
        <f t="shared" si="310"/>
        <v>2.75</v>
      </c>
      <c r="AG583">
        <v>10</v>
      </c>
      <c r="AH583" s="17">
        <f t="shared" si="311"/>
        <v>1.25</v>
      </c>
      <c r="AI583">
        <v>12</v>
      </c>
      <c r="AJ583" s="17">
        <f t="shared" si="312"/>
        <v>1.5</v>
      </c>
      <c r="AK583">
        <v>2</v>
      </c>
      <c r="AL583" s="17">
        <f t="shared" si="313"/>
        <v>0.25</v>
      </c>
      <c r="AM583">
        <v>2</v>
      </c>
      <c r="AN583" s="17">
        <f t="shared" si="314"/>
        <v>0.25</v>
      </c>
      <c r="AO583">
        <v>1</v>
      </c>
      <c r="AQ583">
        <v>4</v>
      </c>
      <c r="AR583" s="17">
        <f t="shared" si="315"/>
        <v>0.5</v>
      </c>
      <c r="AS583">
        <v>14</v>
      </c>
      <c r="AT583" s="17">
        <f t="shared" si="316"/>
        <v>1.75</v>
      </c>
      <c r="BD583" s="65">
        <f t="shared" si="317"/>
        <v>63.813813813813816</v>
      </c>
      <c r="BE583" s="65">
        <f t="shared" si="318"/>
        <v>61.111111111111114</v>
      </c>
      <c r="BF583" s="66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14.535915438623563</v>
      </c>
      <c r="BG583" s="38">
        <f t="shared" si="319"/>
        <v>0.25</v>
      </c>
      <c r="BH583" s="38">
        <f t="shared" si="320"/>
        <v>0.25</v>
      </c>
      <c r="BI583" s="67">
        <f>IFERROR(((AG583*(12000/5))/((F583*60+G583)*(SUMIFS(팀공격력!X:X,팀공격력!A:A,B583,팀공격력!B:B,D583)+SUMIFS(팀수비력!X:X,팀수비력!A:A,B583,팀수비력!B:B,D583))))*100,"")</f>
        <v>3.7730747100234869</v>
      </c>
      <c r="BJ583" s="67">
        <f>IFERROR(((AI583*(12000/5))/((F583*60+G583)*(SUMIFS(팀공격력!V:V,팀공격력!A:A,B583,팀공격력!B:B,D583)+SUMIFS(팀수비력!W:W,팀수비력!A:A,B583,팀수비력!B:B,D583))))*100,"")</f>
        <v>9.0270812437311942</v>
      </c>
      <c r="BK583" s="67">
        <f>IFERROR(((AE583*(12000/5))/((F583*60+G583)*(SUMIFS(팀공격력!X:X,팀공격력!A:A,B583,팀공격력!B:B,D583)+SUMIFS(팀수비력!X:X,팀수비력!A:A,B583,팀수비력!B:B,D583))))*100,"")</f>
        <v>8.3007643620516731</v>
      </c>
      <c r="BL583" s="67">
        <f>IFERROR(100*AK583/(((((F583*60+G583)/(12000/5))*SUMIFS(팀공격력!P:P,팀공격력!A:A,B583,팀공격력!B:B,D583))-K583)),"")</f>
        <v>2.5765586838079391</v>
      </c>
      <c r="BM583" s="67">
        <f>IFERROR(100*((AM583/E583*(2400))/((F583*60+G583)*SUMIFS(팀공격력!AR:AR,팀공격력!A:A,B583,팀공격력!B:B,D583))),"")</f>
        <v>0.89701339525404356</v>
      </c>
      <c r="BN583" s="67">
        <f>IFERROR((AO583*40)/(((F583*60+G583)/60)*(SUMIFS(팀수비력!Q:Q,팀수비력!A:A,B583,팀수비력!B:B,D583)-SUMIFS(팀수비력!N:N,팀수비력!A:A,B583,팀수비력!B:B,D583)))*100,"")</f>
        <v>0.64021852792419809</v>
      </c>
      <c r="BO583" s="67">
        <f t="shared" si="321"/>
        <v>9.0991810737033667</v>
      </c>
      <c r="BT583" t="s">
        <v>89</v>
      </c>
      <c r="BV583" t="s">
        <v>93</v>
      </c>
      <c r="CF583">
        <v>2</v>
      </c>
      <c r="CG583">
        <v>6</v>
      </c>
    </row>
    <row r="584" spans="1:85" x14ac:dyDescent="0.4">
      <c r="A584" s="11" t="s">
        <v>85</v>
      </c>
      <c r="B584" t="s">
        <v>183</v>
      </c>
      <c r="C584" t="s">
        <v>202</v>
      </c>
      <c r="D584" s="46" t="s">
        <v>309</v>
      </c>
      <c r="E584">
        <v>7</v>
      </c>
      <c r="F584">
        <v>29</v>
      </c>
      <c r="G584" s="1">
        <v>50</v>
      </c>
      <c r="H584" s="16">
        <f t="shared" si="296"/>
        <v>12530</v>
      </c>
      <c r="I584">
        <v>165</v>
      </c>
      <c r="J584" s="17">
        <f t="shared" si="297"/>
        <v>23.571428571428573</v>
      </c>
      <c r="K584">
        <v>67</v>
      </c>
      <c r="L584">
        <v>121</v>
      </c>
      <c r="M584" s="17">
        <f t="shared" si="298"/>
        <v>9.5714285714285712</v>
      </c>
      <c r="N584" s="17">
        <f t="shared" si="299"/>
        <v>17.285714285714285</v>
      </c>
      <c r="O584" s="18">
        <f t="shared" si="300"/>
        <v>0.55371900826446285</v>
      </c>
      <c r="P584">
        <v>67</v>
      </c>
      <c r="Q584">
        <v>120</v>
      </c>
      <c r="R584" s="17">
        <f t="shared" si="301"/>
        <v>9.5714285714285712</v>
      </c>
      <c r="S584" s="17">
        <f t="shared" si="302"/>
        <v>17.142857142857142</v>
      </c>
      <c r="T584" s="18">
        <f t="shared" si="303"/>
        <v>0.55833333333333335</v>
      </c>
      <c r="U584">
        <v>0</v>
      </c>
      <c r="V584">
        <v>1</v>
      </c>
      <c r="W584" s="17">
        <f t="shared" si="304"/>
        <v>0</v>
      </c>
      <c r="X584" s="17">
        <f t="shared" si="305"/>
        <v>0.14285714285714285</v>
      </c>
      <c r="Y584" s="18">
        <f t="shared" si="306"/>
        <v>0</v>
      </c>
      <c r="Z584">
        <v>31</v>
      </c>
      <c r="AA584">
        <v>53</v>
      </c>
      <c r="AB584" s="17">
        <f t="shared" si="307"/>
        <v>4.4285714285714288</v>
      </c>
      <c r="AC584" s="17">
        <f t="shared" si="308"/>
        <v>7.5714285714285712</v>
      </c>
      <c r="AD584" s="18">
        <f t="shared" si="309"/>
        <v>0.58490566037735847</v>
      </c>
      <c r="AE584">
        <v>93</v>
      </c>
      <c r="AF584" s="17">
        <f t="shared" si="310"/>
        <v>13.285714285714286</v>
      </c>
      <c r="AG584">
        <v>43</v>
      </c>
      <c r="AH584" s="17">
        <f t="shared" si="311"/>
        <v>6.1428571428571432</v>
      </c>
      <c r="AI584">
        <v>50</v>
      </c>
      <c r="AJ584" s="17">
        <f t="shared" si="312"/>
        <v>7.1428571428571432</v>
      </c>
      <c r="AK584">
        <v>23</v>
      </c>
      <c r="AL584" s="17">
        <f t="shared" si="313"/>
        <v>3.2857142857142856</v>
      </c>
      <c r="AM584">
        <v>5</v>
      </c>
      <c r="AN584" s="17">
        <f t="shared" si="314"/>
        <v>0.7142857142857143</v>
      </c>
      <c r="AO584">
        <v>6</v>
      </c>
      <c r="AQ584">
        <v>14</v>
      </c>
      <c r="AR584" s="17">
        <f t="shared" si="315"/>
        <v>2</v>
      </c>
      <c r="AS584">
        <v>11</v>
      </c>
      <c r="AT584" s="17">
        <f t="shared" si="316"/>
        <v>1.5714285714285714</v>
      </c>
      <c r="BD584" s="65">
        <f t="shared" si="317"/>
        <v>57.164634146341463</v>
      </c>
      <c r="BE584" s="65">
        <f t="shared" si="318"/>
        <v>55.371900826446286</v>
      </c>
      <c r="BF584" s="66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29.15832770581374</v>
      </c>
      <c r="BG584" s="38">
        <f t="shared" si="319"/>
        <v>8.2644628099173556E-3</v>
      </c>
      <c r="BH584" s="38">
        <f t="shared" si="320"/>
        <v>0.43801652892561982</v>
      </c>
      <c r="BI584" s="67">
        <f>IFERROR(((AG584*(12000/5))/((F584*60+G584)*(SUMIFS(팀공격력!X:X,팀공격력!A:A,B584,팀공격력!B:B,D584)+SUMIFS(팀수비력!X:X,팀수비력!A:A,B584,팀수비력!B:B,D584))))*100,"")</f>
        <v>9.0366193236545769</v>
      </c>
      <c r="BJ584" s="67">
        <f>IFERROR(((AI584*(12000/5))/((F584*60+G584)*(SUMIFS(팀공격력!V:V,팀공격력!A:A,B584,팀공격력!B:B,D584)+SUMIFS(팀수비력!W:W,팀수비력!A:A,B584,팀수비력!B:B,D584))))*100,"")</f>
        <v>20.949720670391063</v>
      </c>
      <c r="BK584" s="67">
        <f>IFERROR(((AE584*(12000/5))/((F584*60+G584)*(SUMIFS(팀공격력!X:X,팀공격력!A:A,B584,팀공격력!B:B,D584)+SUMIFS(팀수비력!X:X,팀수비력!A:A,B584,팀수비력!B:B,D584))))*100,"")</f>
        <v>19.544316211625016</v>
      </c>
      <c r="BL584" s="67">
        <f>IFERROR(100*AK584/(((((F584*60+G584)/(12000/5))*SUMIFS(팀공격력!P:P,팀공격력!A:A,B584,팀공격력!B:B,D584))-K584)),"")</f>
        <v>21.243024822012696</v>
      </c>
      <c r="BM584" s="67">
        <f>IFERROR(100*((AM584/E584*(2400))/((F584*60+G584)*SUMIFS(팀공격력!AR:AR,팀공격력!A:A,B584,팀공격력!B:B,D584))),"")</f>
        <v>1.4274897926069934</v>
      </c>
      <c r="BN584" s="67">
        <f>IFERROR((AO584*40)/(((F584*60+G584)/60)*(SUMIFS(팀수비력!Q:Q,팀수비력!A:A,B584,팀수비력!B:B,D584)-SUMIFS(팀수비력!N:N,팀수비력!A:A,B584,팀수비력!B:B,D584)))*100,"")</f>
        <v>2.1395459408058959</v>
      </c>
      <c r="BO584" s="67">
        <f t="shared" si="321"/>
        <v>8.8428499242041436</v>
      </c>
      <c r="BT584" t="s">
        <v>96</v>
      </c>
      <c r="BV584" t="s">
        <v>102</v>
      </c>
      <c r="CF584">
        <v>2</v>
      </c>
      <c r="CG584">
        <v>5</v>
      </c>
    </row>
    <row r="585" spans="1:85" x14ac:dyDescent="0.4">
      <c r="A585" s="11" t="s">
        <v>85</v>
      </c>
      <c r="B585" t="s">
        <v>183</v>
      </c>
      <c r="C585" t="s">
        <v>87</v>
      </c>
      <c r="D585" s="46" t="s">
        <v>309</v>
      </c>
      <c r="E585">
        <v>7</v>
      </c>
      <c r="F585">
        <v>11</v>
      </c>
      <c r="G585" s="1">
        <v>31</v>
      </c>
      <c r="H585" s="16">
        <f t="shared" si="296"/>
        <v>4837</v>
      </c>
      <c r="I585">
        <v>23</v>
      </c>
      <c r="J585" s="17">
        <f t="shared" si="297"/>
        <v>3.2857142857142856</v>
      </c>
      <c r="K585">
        <v>8</v>
      </c>
      <c r="L585">
        <v>27</v>
      </c>
      <c r="M585" s="17">
        <f t="shared" si="298"/>
        <v>1.1428571428571428</v>
      </c>
      <c r="N585" s="17">
        <f t="shared" si="299"/>
        <v>3.8571428571428572</v>
      </c>
      <c r="O585" s="18">
        <f t="shared" si="300"/>
        <v>0.29629629629629628</v>
      </c>
      <c r="P585">
        <v>5</v>
      </c>
      <c r="Q585">
        <v>14</v>
      </c>
      <c r="R585" s="17">
        <f t="shared" si="301"/>
        <v>0.7142857142857143</v>
      </c>
      <c r="S585" s="17">
        <f t="shared" si="302"/>
        <v>2</v>
      </c>
      <c r="T585" s="18">
        <f t="shared" si="303"/>
        <v>0.35714285714285715</v>
      </c>
      <c r="U585">
        <v>3</v>
      </c>
      <c r="V585">
        <v>13</v>
      </c>
      <c r="W585" s="17">
        <f t="shared" si="304"/>
        <v>0.42857142857142855</v>
      </c>
      <c r="X585" s="17">
        <f t="shared" si="305"/>
        <v>1.8571428571428572</v>
      </c>
      <c r="Y585" s="18">
        <f t="shared" si="306"/>
        <v>0.23076923076923078</v>
      </c>
      <c r="Z585">
        <v>4</v>
      </c>
      <c r="AA585">
        <v>5</v>
      </c>
      <c r="AB585" s="17">
        <f t="shared" si="307"/>
        <v>0.5714285714285714</v>
      </c>
      <c r="AC585" s="17">
        <f t="shared" si="308"/>
        <v>0.7142857142857143</v>
      </c>
      <c r="AD585" s="18">
        <f t="shared" si="309"/>
        <v>0.8</v>
      </c>
      <c r="AE585">
        <v>5</v>
      </c>
      <c r="AF585" s="17">
        <f t="shared" si="310"/>
        <v>0.7142857142857143</v>
      </c>
      <c r="AG585">
        <v>1</v>
      </c>
      <c r="AH585" s="17">
        <f t="shared" si="311"/>
        <v>0.14285714285714285</v>
      </c>
      <c r="AI585">
        <v>4</v>
      </c>
      <c r="AJ585" s="17">
        <f t="shared" si="312"/>
        <v>0.5714285714285714</v>
      </c>
      <c r="AK585">
        <v>7</v>
      </c>
      <c r="AL585" s="17">
        <f t="shared" si="313"/>
        <v>1</v>
      </c>
      <c r="AM585">
        <v>2</v>
      </c>
      <c r="AN585" s="17">
        <f t="shared" si="314"/>
        <v>0.2857142857142857</v>
      </c>
      <c r="AO585">
        <v>0</v>
      </c>
      <c r="AQ585">
        <v>2</v>
      </c>
      <c r="AR585" s="17">
        <f t="shared" si="315"/>
        <v>0.2857142857142857</v>
      </c>
      <c r="AS585">
        <v>9</v>
      </c>
      <c r="AT585" s="17">
        <f t="shared" si="316"/>
        <v>1.2857142857142858</v>
      </c>
      <c r="BD585" s="65">
        <f t="shared" si="317"/>
        <v>39.38356164383562</v>
      </c>
      <c r="BE585" s="65">
        <f t="shared" si="318"/>
        <v>35.185185185185183</v>
      </c>
      <c r="BF585" s="66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14.885259458341947</v>
      </c>
      <c r="BG585" s="38">
        <f t="shared" si="319"/>
        <v>0.48148148148148145</v>
      </c>
      <c r="BH585" s="38">
        <f t="shared" si="320"/>
        <v>0.18518518518518517</v>
      </c>
      <c r="BI585" s="67">
        <f>IFERROR(((AG585*(12000/5))/((F585*60+G585)*(SUMIFS(팀공격력!X:X,팀공격력!A:A,B585,팀공격력!B:B,D585)+SUMIFS(팀수비력!X:X,팀수비력!A:A,B585,팀수비력!B:B,D585))))*100,"")</f>
        <v>0.54439297914521223</v>
      </c>
      <c r="BJ585" s="67">
        <f>IFERROR(((AI585*(12000/5))/((F585*60+G585)*(SUMIFS(팀공격력!V:V,팀공격력!A:A,B585,팀공격력!B:B,D585)+SUMIFS(팀수비력!W:W,팀수비력!A:A,B585,팀수비력!B:B,D585))))*100,"")</f>
        <v>4.3415340086830678</v>
      </c>
      <c r="BK585" s="67">
        <f>IFERROR(((AE585*(12000/5))/((F585*60+G585)*(SUMIFS(팀공격력!X:X,팀공격력!A:A,B585,팀공격력!B:B,D585)+SUMIFS(팀수비력!X:X,팀수비력!A:A,B585,팀수비력!B:B,D585))))*100,"")</f>
        <v>2.7219648957260612</v>
      </c>
      <c r="BL585" s="67">
        <f>IFERROR(100*AK585/(((((F585*60+G585)/(12000/5))*SUMIFS(팀공격력!P:P,팀공격력!A:A,B585,팀공격력!B:B,D585))-K585)),"")</f>
        <v>11.733072598386704</v>
      </c>
      <c r="BM585" s="67">
        <f>IFERROR(100*((AM585/E585*(2400))/((F585*60+G585)*SUMIFS(팀공격력!AR:AR,팀공격력!A:A,B585,팀공격력!B:B,D585))),"")</f>
        <v>1.4791355882874202</v>
      </c>
      <c r="BN585" s="67">
        <f>IFERROR((AO585*40)/(((F585*60+G585)/60)*(SUMIFS(팀수비력!Q:Q,팀수비력!A:A,B585,팀수비력!B:B,D585)-SUMIFS(팀수비력!N:N,팀수비력!A:A,B585,팀수비력!B:B,D585)))*100,"")</f>
        <v>0</v>
      </c>
      <c r="BO585" s="67">
        <f t="shared" si="321"/>
        <v>6.4102564102564106</v>
      </c>
      <c r="BT585" t="s">
        <v>89</v>
      </c>
      <c r="BV585" t="s">
        <v>90</v>
      </c>
      <c r="CF585">
        <v>2</v>
      </c>
      <c r="CG585">
        <v>5</v>
      </c>
    </row>
    <row r="586" spans="1:85" x14ac:dyDescent="0.4">
      <c r="A586" s="11" t="s">
        <v>85</v>
      </c>
      <c r="B586" t="s">
        <v>203</v>
      </c>
      <c r="C586" t="s">
        <v>204</v>
      </c>
      <c r="D586" s="46" t="s">
        <v>309</v>
      </c>
      <c r="E586">
        <v>7</v>
      </c>
      <c r="F586">
        <v>10</v>
      </c>
      <c r="G586" s="1">
        <v>32</v>
      </c>
      <c r="H586" s="16">
        <f t="shared" si="296"/>
        <v>4424</v>
      </c>
      <c r="I586">
        <v>30</v>
      </c>
      <c r="J586" s="17">
        <f t="shared" si="297"/>
        <v>4.2857142857142856</v>
      </c>
      <c r="K586">
        <v>11</v>
      </c>
      <c r="L586">
        <v>25</v>
      </c>
      <c r="M586" s="17">
        <f t="shared" si="298"/>
        <v>1.5714285714285714</v>
      </c>
      <c r="N586" s="17">
        <f t="shared" si="299"/>
        <v>3.5714285714285716</v>
      </c>
      <c r="O586" s="18">
        <f t="shared" si="300"/>
        <v>0.44</v>
      </c>
      <c r="P586">
        <v>5</v>
      </c>
      <c r="Q586">
        <v>10</v>
      </c>
      <c r="R586" s="17">
        <f t="shared" si="301"/>
        <v>0.7142857142857143</v>
      </c>
      <c r="S586" s="17">
        <f t="shared" si="302"/>
        <v>1.4285714285714286</v>
      </c>
      <c r="T586" s="18">
        <f t="shared" si="303"/>
        <v>0.5</v>
      </c>
      <c r="U586">
        <v>6</v>
      </c>
      <c r="V586">
        <v>15</v>
      </c>
      <c r="W586" s="17">
        <f t="shared" si="304"/>
        <v>0.8571428571428571</v>
      </c>
      <c r="X586" s="17">
        <f t="shared" si="305"/>
        <v>2.1428571428571428</v>
      </c>
      <c r="Y586" s="18">
        <f t="shared" si="306"/>
        <v>0.4</v>
      </c>
      <c r="Z586">
        <v>2</v>
      </c>
      <c r="AA586">
        <v>5</v>
      </c>
      <c r="AB586" s="17">
        <f t="shared" si="307"/>
        <v>0.2857142857142857</v>
      </c>
      <c r="AC586" s="17">
        <f t="shared" si="308"/>
        <v>0.7142857142857143</v>
      </c>
      <c r="AD586" s="18">
        <f t="shared" si="309"/>
        <v>0.4</v>
      </c>
      <c r="AE586">
        <v>3</v>
      </c>
      <c r="AF586" s="17">
        <f t="shared" si="310"/>
        <v>0.42857142857142855</v>
      </c>
      <c r="AG586">
        <v>0</v>
      </c>
      <c r="AH586" s="17">
        <f t="shared" si="311"/>
        <v>0</v>
      </c>
      <c r="AI586">
        <v>3</v>
      </c>
      <c r="AJ586" s="17">
        <f t="shared" si="312"/>
        <v>0.42857142857142855</v>
      </c>
      <c r="AK586">
        <v>3</v>
      </c>
      <c r="AL586" s="17">
        <f t="shared" si="313"/>
        <v>0.42857142857142855</v>
      </c>
      <c r="AM586">
        <v>4</v>
      </c>
      <c r="AN586" s="17">
        <f t="shared" si="314"/>
        <v>0.5714285714285714</v>
      </c>
      <c r="AO586">
        <v>0</v>
      </c>
      <c r="AQ586">
        <v>0</v>
      </c>
      <c r="AR586" s="17">
        <f t="shared" si="315"/>
        <v>0</v>
      </c>
      <c r="AS586">
        <v>6</v>
      </c>
      <c r="AT586" s="17">
        <f t="shared" si="316"/>
        <v>0.8571428571428571</v>
      </c>
      <c r="BD586" s="65">
        <f t="shared" si="317"/>
        <v>55.147058823529413</v>
      </c>
      <c r="BE586" s="65">
        <f t="shared" si="318"/>
        <v>56.000000000000007</v>
      </c>
      <c r="BF586" s="66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12.812734350563948</v>
      </c>
      <c r="BG586" s="38">
        <f t="shared" si="319"/>
        <v>0.6</v>
      </c>
      <c r="BH586" s="38">
        <f t="shared" si="320"/>
        <v>0.2</v>
      </c>
      <c r="BI586" s="67">
        <f>IFERROR(((AG586*(12000/5))/((F586*60+G586)*(SUMIFS(팀공격력!X:X,팀공격력!A:A,B586,팀공격력!B:B,D586)+SUMIFS(팀수비력!X:X,팀수비력!A:A,B586,팀수비력!B:B,D586))))*100,"")</f>
        <v>0</v>
      </c>
      <c r="BJ586" s="67">
        <f>IFERROR(((AI586*(12000/5))/((F586*60+G586)*(SUMIFS(팀공격력!V:V,팀공격력!A:A,B586,팀공격력!B:B,D586)+SUMIFS(팀수비력!W:W,팀수비력!A:A,B586,팀수비력!B:B,D586))))*100,"")</f>
        <v>3.4732942266131523</v>
      </c>
      <c r="BK586" s="67">
        <f>IFERROR(((AE586*(12000/5))/((F586*60+G586)*(SUMIFS(팀공격력!X:X,팀공격력!A:A,B586,팀공격력!B:B,D586)+SUMIFS(팀수비력!X:X,팀수비력!A:A,B586,팀수비력!B:B,D586))))*100,"")</f>
        <v>1.8404531604670662</v>
      </c>
      <c r="BL586" s="67">
        <f>IFERROR(100*AK586/(((((F586*60+G586)/(12000/5))*SUMIFS(팀공격력!P:P,팀공격력!A:A,B586,팀공격력!B:B,D586))-K586)),"")</f>
        <v>4.4462009682837671</v>
      </c>
      <c r="BM586" s="67">
        <f>IFERROR(100*((AM586/E586*(2400))/((F586*60+G586)*SUMIFS(팀공격력!AR:AR,팀공격력!A:A,B586,팀공격력!B:B,D586))),"")</f>
        <v>2.9205077746030357</v>
      </c>
      <c r="BN586" s="67">
        <f>IFERROR((AO586*40)/(((F586*60+G586)/60)*(SUMIFS(팀수비력!Q:Q,팀수비력!A:A,B586,팀수비력!B:B,D586)-SUMIFS(팀수비력!N:N,팀수비력!A:A,B586,팀수비력!B:B,D586)))*100,"")</f>
        <v>0</v>
      </c>
      <c r="BO586" s="67">
        <f t="shared" si="321"/>
        <v>0</v>
      </c>
      <c r="BT586" t="s">
        <v>89</v>
      </c>
      <c r="BV586" t="s">
        <v>90</v>
      </c>
      <c r="CF586">
        <v>5</v>
      </c>
      <c r="CG586">
        <v>2</v>
      </c>
    </row>
    <row r="587" spans="1:85" x14ac:dyDescent="0.4">
      <c r="A587" s="11" t="s">
        <v>85</v>
      </c>
      <c r="B587" t="s">
        <v>203</v>
      </c>
      <c r="C587" t="s">
        <v>205</v>
      </c>
      <c r="D587" s="46" t="s">
        <v>309</v>
      </c>
      <c r="E587">
        <v>8</v>
      </c>
      <c r="F587">
        <v>8</v>
      </c>
      <c r="G587" s="1">
        <v>51</v>
      </c>
      <c r="H587" s="16">
        <f t="shared" si="296"/>
        <v>4248</v>
      </c>
      <c r="I587">
        <v>24</v>
      </c>
      <c r="J587" s="17">
        <f t="shared" si="297"/>
        <v>3</v>
      </c>
      <c r="K587">
        <v>10</v>
      </c>
      <c r="L587">
        <v>15</v>
      </c>
      <c r="M587" s="17">
        <f t="shared" si="298"/>
        <v>1.25</v>
      </c>
      <c r="N587" s="17">
        <f t="shared" si="299"/>
        <v>1.875</v>
      </c>
      <c r="O587" s="18">
        <f t="shared" si="300"/>
        <v>0.66666666666666663</v>
      </c>
      <c r="P587">
        <v>10</v>
      </c>
      <c r="Q587">
        <v>15</v>
      </c>
      <c r="R587" s="17">
        <f t="shared" si="301"/>
        <v>1.25</v>
      </c>
      <c r="S587" s="17">
        <f t="shared" si="302"/>
        <v>1.875</v>
      </c>
      <c r="T587" s="18">
        <f t="shared" si="303"/>
        <v>0.66666666666666663</v>
      </c>
      <c r="U587">
        <v>0</v>
      </c>
      <c r="V587">
        <v>0</v>
      </c>
      <c r="W587" s="17">
        <f t="shared" si="304"/>
        <v>0</v>
      </c>
      <c r="X587" s="17">
        <f t="shared" si="305"/>
        <v>0</v>
      </c>
      <c r="Y587" s="18" t="e">
        <f t="shared" si="306"/>
        <v>#DIV/0!</v>
      </c>
      <c r="Z587">
        <v>4</v>
      </c>
      <c r="AA587">
        <v>7</v>
      </c>
      <c r="AB587" s="17">
        <f t="shared" si="307"/>
        <v>0.5</v>
      </c>
      <c r="AC587" s="17">
        <f t="shared" si="308"/>
        <v>0.875</v>
      </c>
      <c r="AD587" s="18">
        <f t="shared" si="309"/>
        <v>0.5714285714285714</v>
      </c>
      <c r="AE587">
        <v>25</v>
      </c>
      <c r="AF587" s="17">
        <f t="shared" si="310"/>
        <v>3.125</v>
      </c>
      <c r="AG587">
        <v>11</v>
      </c>
      <c r="AH587" s="17">
        <f t="shared" si="311"/>
        <v>1.375</v>
      </c>
      <c r="AI587">
        <v>14</v>
      </c>
      <c r="AJ587" s="17">
        <f t="shared" si="312"/>
        <v>1.75</v>
      </c>
      <c r="AK587">
        <v>8</v>
      </c>
      <c r="AL587" s="17">
        <f t="shared" si="313"/>
        <v>1</v>
      </c>
      <c r="AM587">
        <v>0</v>
      </c>
      <c r="AN587" s="17">
        <f t="shared" si="314"/>
        <v>0</v>
      </c>
      <c r="AO587">
        <v>2</v>
      </c>
      <c r="AQ587">
        <v>6</v>
      </c>
      <c r="AR587" s="17">
        <f t="shared" si="315"/>
        <v>0.75</v>
      </c>
      <c r="AS587">
        <v>9</v>
      </c>
      <c r="AT587" s="17">
        <f t="shared" si="316"/>
        <v>1.125</v>
      </c>
      <c r="BD587" s="65">
        <f t="shared" si="317"/>
        <v>66.371681415929203</v>
      </c>
      <c r="BE587" s="65">
        <f t="shared" si="318"/>
        <v>66.666666666666657</v>
      </c>
      <c r="BF587" s="66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13.50056542027518</v>
      </c>
      <c r="BG587" s="38">
        <f t="shared" si="319"/>
        <v>0</v>
      </c>
      <c r="BH587" s="38">
        <f t="shared" si="320"/>
        <v>0.46666666666666667</v>
      </c>
      <c r="BI587" s="67">
        <f>IFERROR(((AG587*(12000/5))/((F587*60+G587)*(SUMIFS(팀공격력!X:X,팀공격력!A:A,B587,팀공격력!B:B,D587)+SUMIFS(팀수비력!X:X,팀수비력!A:A,B587,팀수비력!B:B,D587))))*100,"")</f>
        <v>8.0319085822768628</v>
      </c>
      <c r="BJ587" s="67">
        <f>IFERROR(((AI587*(12000/5))/((F587*60+G587)*(SUMIFS(팀공격력!V:V,팀공격력!A:A,B587,팀공격력!B:B,D587)+SUMIFS(팀수비력!W:W,팀수비력!A:A,B587,팀수비력!B:B,D587))))*100,"")</f>
        <v>19.291718340912222</v>
      </c>
      <c r="BK587" s="67">
        <f>IFERROR(((AE587*(12000/5))/((F587*60+G587)*(SUMIFS(팀공격력!X:X,팀공격력!A:A,B587,팀공격력!B:B,D587)+SUMIFS(팀수비력!X:X,팀수비력!A:A,B587,팀수비력!B:B,D587))))*100,"")</f>
        <v>18.254337686992873</v>
      </c>
      <c r="BL587" s="67">
        <f>IFERROR(100*AK587/(((((F587*60+G587)/(12000/5))*SUMIFS(팀공격력!P:P,팀공격력!A:A,B587,팀공격력!B:B,D587))-K587)),"")</f>
        <v>14.302954454029409</v>
      </c>
      <c r="BM587" s="67">
        <f>IFERROR(100*((AM587/E587*(2400))/((F587*60+G587)*SUMIFS(팀공격력!AR:AR,팀공격력!A:A,B587,팀공격력!B:B,D587))),"")</f>
        <v>0</v>
      </c>
      <c r="BN587" s="67">
        <f>IFERROR((AO587*40)/(((F587*60+G587)/60)*(SUMIFS(팀수비력!Q:Q,팀수비력!A:A,B587,팀수비력!B:B,D587)-SUMIFS(팀수비력!N:N,팀수비력!A:A,B587,팀수비력!B:B,D587)))*100,"")</f>
        <v>2.6050570670313746</v>
      </c>
      <c r="BO587" s="67">
        <f t="shared" si="321"/>
        <v>24.916943521594686</v>
      </c>
      <c r="BT587" t="s">
        <v>96</v>
      </c>
      <c r="BV587" t="s">
        <v>102</v>
      </c>
      <c r="CF587">
        <v>5</v>
      </c>
      <c r="CG587">
        <v>3</v>
      </c>
    </row>
    <row r="588" spans="1:85" x14ac:dyDescent="0.4">
      <c r="A588" s="11" t="s">
        <v>85</v>
      </c>
      <c r="B588" t="s">
        <v>203</v>
      </c>
      <c r="C588" t="s">
        <v>206</v>
      </c>
      <c r="D588" s="46" t="s">
        <v>309</v>
      </c>
      <c r="E588">
        <v>9</v>
      </c>
      <c r="F588">
        <v>25</v>
      </c>
      <c r="G588" s="1">
        <v>59</v>
      </c>
      <c r="H588" s="16">
        <f t="shared" si="296"/>
        <v>14031</v>
      </c>
      <c r="I588">
        <v>56</v>
      </c>
      <c r="J588" s="17">
        <f t="shared" si="297"/>
        <v>6.2222222222222223</v>
      </c>
      <c r="K588">
        <v>21</v>
      </c>
      <c r="L588">
        <v>61</v>
      </c>
      <c r="M588" s="17">
        <f t="shared" si="298"/>
        <v>2.3333333333333335</v>
      </c>
      <c r="N588" s="17">
        <f t="shared" si="299"/>
        <v>6.7777777777777777</v>
      </c>
      <c r="O588" s="18">
        <f t="shared" si="300"/>
        <v>0.34426229508196721</v>
      </c>
      <c r="P588">
        <v>9</v>
      </c>
      <c r="Q588">
        <v>14</v>
      </c>
      <c r="R588" s="17">
        <f t="shared" si="301"/>
        <v>1</v>
      </c>
      <c r="S588" s="17">
        <f t="shared" si="302"/>
        <v>1.5555555555555556</v>
      </c>
      <c r="T588" s="18">
        <f t="shared" si="303"/>
        <v>0.6428571428571429</v>
      </c>
      <c r="U588">
        <v>12</v>
      </c>
      <c r="V588">
        <v>47</v>
      </c>
      <c r="W588" s="17">
        <f t="shared" si="304"/>
        <v>1.3333333333333333</v>
      </c>
      <c r="X588" s="17">
        <f t="shared" si="305"/>
        <v>5.2222222222222223</v>
      </c>
      <c r="Y588" s="18">
        <f t="shared" si="306"/>
        <v>0.25531914893617019</v>
      </c>
      <c r="Z588">
        <v>2</v>
      </c>
      <c r="AA588">
        <v>2</v>
      </c>
      <c r="AB588" s="17">
        <f t="shared" si="307"/>
        <v>0.22222222222222221</v>
      </c>
      <c r="AC588" s="17">
        <f t="shared" si="308"/>
        <v>0.22222222222222221</v>
      </c>
      <c r="AD588" s="18">
        <f t="shared" si="309"/>
        <v>1</v>
      </c>
      <c r="AE588">
        <v>39</v>
      </c>
      <c r="AF588" s="17">
        <f t="shared" si="310"/>
        <v>4.333333333333333</v>
      </c>
      <c r="AG588">
        <v>14</v>
      </c>
      <c r="AH588" s="17">
        <f t="shared" si="311"/>
        <v>1.5555555555555556</v>
      </c>
      <c r="AI588">
        <v>25</v>
      </c>
      <c r="AJ588" s="17">
        <f t="shared" si="312"/>
        <v>2.7777777777777777</v>
      </c>
      <c r="AK588">
        <v>26</v>
      </c>
      <c r="AL588" s="17">
        <f t="shared" si="313"/>
        <v>2.8888888888888888</v>
      </c>
      <c r="AM588">
        <v>24</v>
      </c>
      <c r="AN588" s="17">
        <f t="shared" si="314"/>
        <v>2.6666666666666665</v>
      </c>
      <c r="AO588">
        <v>0</v>
      </c>
      <c r="AQ588">
        <v>8</v>
      </c>
      <c r="AR588" s="17">
        <f t="shared" si="315"/>
        <v>0.88888888888888884</v>
      </c>
      <c r="AS588">
        <v>23</v>
      </c>
      <c r="AT588" s="17">
        <f t="shared" si="316"/>
        <v>2.5555555555555554</v>
      </c>
      <c r="BD588" s="65">
        <f t="shared" si="317"/>
        <v>45.248868778280546</v>
      </c>
      <c r="BE588" s="65">
        <f t="shared" si="318"/>
        <v>44.26229508196721</v>
      </c>
      <c r="BF588" s="66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13.344330120547729</v>
      </c>
      <c r="BG588" s="38">
        <f t="shared" si="319"/>
        <v>0.77049180327868849</v>
      </c>
      <c r="BH588" s="38">
        <f t="shared" si="320"/>
        <v>3.2786885245901641E-2</v>
      </c>
      <c r="BI588" s="67">
        <f>IFERROR(((AG588*(12000/5))/((F588*60+G588)*(SUMIFS(팀공격력!X:X,팀공격력!A:A,B588,팀공격력!B:B,D588)+SUMIFS(팀수비력!X:X,팀수비력!A:A,B588,팀수비력!B:B,D588))))*100,"")</f>
        <v>3.4817895154613212</v>
      </c>
      <c r="BJ588" s="67">
        <f>IFERROR(((AI588*(12000/5))/((F588*60+G588)*(SUMIFS(팀공격력!V:V,팀공격력!A:A,B588,팀공격력!B:B,D588)+SUMIFS(팀수비력!W:W,팀수비력!A:A,B588,팀수비력!B:B,D588))))*100,"")</f>
        <v>11.73360033792769</v>
      </c>
      <c r="BK588" s="67">
        <f>IFERROR(((AE588*(12000/5))/((F588*60+G588)*(SUMIFS(팀공격력!X:X,팀공격력!A:A,B588,팀공격력!B:B,D588)+SUMIFS(팀수비력!X:X,팀수비력!A:A,B588,팀수비력!B:B,D588))))*100,"")</f>
        <v>9.6992707930708235</v>
      </c>
      <c r="BL588" s="67">
        <f>IFERROR(100*AK588/(((((F588*60+G588)/(12000/5))*SUMIFS(팀공격력!P:P,팀공격력!A:A,B588,팀공격력!B:B,D588))-K588)),"")</f>
        <v>15.065840620789896</v>
      </c>
      <c r="BM588" s="67">
        <f>IFERROR(100*((AM588/E588*(2400))/((F588*60+G588)*SUMIFS(팀공격력!AR:AR,팀공격력!A:A,B588,팀공격력!B:B,D588))),"")</f>
        <v>5.5250487042308452</v>
      </c>
      <c r="BN588" s="67">
        <f>IFERROR((AO588*40)/(((F588*60+G588)/60)*(SUMIFS(팀수비력!Q:Q,팀수비력!A:A,B588,팀수비력!B:B,D588)-SUMIFS(팀수비력!N:N,팀수비력!A:A,B588,팀수비력!B:B,D588)))*100,"")</f>
        <v>0</v>
      </c>
      <c r="BO588" s="67">
        <f t="shared" si="321"/>
        <v>11.448196908986835</v>
      </c>
      <c r="BT588" t="s">
        <v>89</v>
      </c>
      <c r="BV588" t="s">
        <v>93</v>
      </c>
      <c r="CF588">
        <v>6</v>
      </c>
      <c r="CG588">
        <v>3</v>
      </c>
    </row>
    <row r="589" spans="1:85" x14ac:dyDescent="0.4">
      <c r="A589" s="11" t="s">
        <v>85</v>
      </c>
      <c r="B589" t="s">
        <v>203</v>
      </c>
      <c r="C589" t="s">
        <v>207</v>
      </c>
      <c r="D589" s="46" t="s">
        <v>309</v>
      </c>
      <c r="E589">
        <v>9</v>
      </c>
      <c r="F589">
        <v>11</v>
      </c>
      <c r="G589" s="1">
        <v>3</v>
      </c>
      <c r="H589" s="16">
        <f t="shared" si="296"/>
        <v>5967</v>
      </c>
      <c r="I589">
        <v>33</v>
      </c>
      <c r="J589" s="17">
        <f t="shared" si="297"/>
        <v>3.6666666666666665</v>
      </c>
      <c r="K589">
        <v>12</v>
      </c>
      <c r="L589">
        <v>32</v>
      </c>
      <c r="M589" s="17">
        <f t="shared" si="298"/>
        <v>1.3333333333333333</v>
      </c>
      <c r="N589" s="17">
        <f t="shared" si="299"/>
        <v>3.5555555555555554</v>
      </c>
      <c r="O589" s="18">
        <f t="shared" si="300"/>
        <v>0.375</v>
      </c>
      <c r="P589">
        <v>9</v>
      </c>
      <c r="Q589">
        <v>22</v>
      </c>
      <c r="R589" s="17">
        <f t="shared" si="301"/>
        <v>1</v>
      </c>
      <c r="S589" s="17">
        <f t="shared" si="302"/>
        <v>2.4444444444444446</v>
      </c>
      <c r="T589" s="18">
        <f t="shared" si="303"/>
        <v>0.40909090909090912</v>
      </c>
      <c r="U589">
        <v>3</v>
      </c>
      <c r="V589">
        <v>10</v>
      </c>
      <c r="W589" s="17">
        <f t="shared" si="304"/>
        <v>0.33333333333333331</v>
      </c>
      <c r="X589" s="17">
        <f t="shared" si="305"/>
        <v>1.1111111111111112</v>
      </c>
      <c r="Y589" s="18">
        <f t="shared" si="306"/>
        <v>0.3</v>
      </c>
      <c r="Z589">
        <v>6</v>
      </c>
      <c r="AA589">
        <v>9</v>
      </c>
      <c r="AB589" s="17">
        <f t="shared" si="307"/>
        <v>0.66666666666666663</v>
      </c>
      <c r="AC589" s="17">
        <f t="shared" si="308"/>
        <v>1</v>
      </c>
      <c r="AD589" s="18">
        <f t="shared" si="309"/>
        <v>0.66666666666666663</v>
      </c>
      <c r="AE589">
        <v>23</v>
      </c>
      <c r="AF589" s="17">
        <f t="shared" si="310"/>
        <v>2.5555555555555554</v>
      </c>
      <c r="AG589">
        <v>11</v>
      </c>
      <c r="AH589" s="17">
        <f t="shared" si="311"/>
        <v>1.2222222222222223</v>
      </c>
      <c r="AI589">
        <v>12</v>
      </c>
      <c r="AJ589" s="17">
        <f t="shared" si="312"/>
        <v>1.3333333333333333</v>
      </c>
      <c r="AK589">
        <v>5</v>
      </c>
      <c r="AL589" s="17">
        <f t="shared" si="313"/>
        <v>0.55555555555555558</v>
      </c>
      <c r="AM589">
        <v>3</v>
      </c>
      <c r="AN589" s="17">
        <f t="shared" si="314"/>
        <v>0.33333333333333331</v>
      </c>
      <c r="AO589">
        <v>0</v>
      </c>
      <c r="AQ589">
        <v>3</v>
      </c>
      <c r="AR589" s="17">
        <f t="shared" si="315"/>
        <v>0.33333333333333331</v>
      </c>
      <c r="AS589">
        <v>17</v>
      </c>
      <c r="AT589" s="17">
        <f t="shared" si="316"/>
        <v>1.8888888888888888</v>
      </c>
      <c r="BD589" s="65">
        <f t="shared" si="317"/>
        <v>45.884315906562847</v>
      </c>
      <c r="BE589" s="65">
        <f t="shared" si="318"/>
        <v>42.1875</v>
      </c>
      <c r="BF589" s="66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17.494253523884193</v>
      </c>
      <c r="BG589" s="38">
        <f t="shared" si="319"/>
        <v>0.3125</v>
      </c>
      <c r="BH589" s="38">
        <f t="shared" si="320"/>
        <v>0.28125</v>
      </c>
      <c r="BI589" s="67">
        <f>IFERROR(((AG589*(12000/5))/((F589*60+G589)*(SUMIFS(팀공격력!X:X,팀공격력!A:A,B589,팀공격력!B:B,D589)+SUMIFS(팀수비력!X:X,팀수비력!A:A,B589,팀수비력!B:B,D589))))*100,"")</f>
        <v>6.432795561371063</v>
      </c>
      <c r="BJ589" s="67">
        <f>IFERROR(((AI589*(12000/5))/((F589*60+G589)*(SUMIFS(팀공격력!V:V,팀공격력!A:A,B589,팀공격력!B:B,D589)+SUMIFS(팀수비력!W:W,팀수비력!A:A,B589,팀수비력!B:B,D589))))*100,"")</f>
        <v>13.243571349740646</v>
      </c>
      <c r="BK589" s="67">
        <f>IFERROR(((AE589*(12000/5))/((F589*60+G589)*(SUMIFS(팀공격력!X:X,팀공격력!A:A,B589,팀공격력!B:B,D589)+SUMIFS(팀수비력!X:X,팀수비력!A:A,B589,팀수비력!B:B,D589))))*100,"")</f>
        <v>13.450390719230404</v>
      </c>
      <c r="BL589" s="67">
        <f>IFERROR(100*AK589/(((((F589*60+G589)/(12000/5))*SUMIFS(팀공격력!P:P,팀공격력!A:A,B589,팀공격력!B:B,D589))-K589)),"")</f>
        <v>7.1100998969035514</v>
      </c>
      <c r="BM589" s="67">
        <f>IFERROR(100*((AM589/E589*(2400))/((F589*60+G589)*SUMIFS(팀공격력!AR:AR,팀공격력!A:A,B589,팀공격력!B:B,D589))),"")</f>
        <v>1.6239726489245641</v>
      </c>
      <c r="BN589" s="67">
        <f>IFERROR((AO589*40)/(((F589*60+G589)/60)*(SUMIFS(팀수비력!Q:Q,팀수비력!A:A,B589,팀수비력!B:B,D589)-SUMIFS(팀수비력!N:N,팀수비력!A:A,B589,팀수비력!B:B,D589)))*100,"")</f>
        <v>0</v>
      </c>
      <c r="BO589" s="67">
        <f t="shared" si="321"/>
        <v>7.7002053388090346</v>
      </c>
      <c r="BT589" t="s">
        <v>89</v>
      </c>
      <c r="BV589" t="s">
        <v>93</v>
      </c>
      <c r="CF589">
        <v>6</v>
      </c>
      <c r="CG589">
        <v>3</v>
      </c>
    </row>
    <row r="590" spans="1:85" x14ac:dyDescent="0.4">
      <c r="A590" s="11" t="s">
        <v>85</v>
      </c>
      <c r="B590" t="s">
        <v>203</v>
      </c>
      <c r="C590" t="s">
        <v>211</v>
      </c>
      <c r="D590" s="46" t="s">
        <v>309</v>
      </c>
      <c r="E590">
        <v>6</v>
      </c>
      <c r="F590">
        <v>9</v>
      </c>
      <c r="G590" s="1">
        <v>28</v>
      </c>
      <c r="H590" s="16">
        <f t="shared" si="296"/>
        <v>3408</v>
      </c>
      <c r="I590">
        <v>21</v>
      </c>
      <c r="J590" s="17">
        <f t="shared" si="297"/>
        <v>3.5</v>
      </c>
      <c r="K590">
        <v>6</v>
      </c>
      <c r="L590">
        <v>20</v>
      </c>
      <c r="M590" s="17">
        <f t="shared" si="298"/>
        <v>1</v>
      </c>
      <c r="N590" s="17">
        <f t="shared" si="299"/>
        <v>3.3333333333333335</v>
      </c>
      <c r="O590" s="18">
        <f t="shared" si="300"/>
        <v>0.3</v>
      </c>
      <c r="P590">
        <v>2</v>
      </c>
      <c r="Q590">
        <v>11</v>
      </c>
      <c r="R590" s="17">
        <f t="shared" si="301"/>
        <v>0.33333333333333331</v>
      </c>
      <c r="S590" s="17">
        <f t="shared" si="302"/>
        <v>1.8333333333333333</v>
      </c>
      <c r="T590" s="18">
        <f t="shared" si="303"/>
        <v>0.18181818181818182</v>
      </c>
      <c r="U590">
        <v>4</v>
      </c>
      <c r="V590">
        <v>9</v>
      </c>
      <c r="W590" s="17">
        <f t="shared" si="304"/>
        <v>0.66666666666666663</v>
      </c>
      <c r="X590" s="17">
        <f t="shared" si="305"/>
        <v>1.5</v>
      </c>
      <c r="Y590" s="18">
        <f t="shared" si="306"/>
        <v>0.44444444444444442</v>
      </c>
      <c r="Z590">
        <v>5</v>
      </c>
      <c r="AA590">
        <v>6</v>
      </c>
      <c r="AB590" s="17">
        <f t="shared" si="307"/>
        <v>0.83333333333333337</v>
      </c>
      <c r="AC590" s="17">
        <f t="shared" si="308"/>
        <v>1</v>
      </c>
      <c r="AD590" s="18">
        <f t="shared" si="309"/>
        <v>0.83333333333333337</v>
      </c>
      <c r="AE590">
        <v>6</v>
      </c>
      <c r="AF590" s="17">
        <f t="shared" si="310"/>
        <v>1</v>
      </c>
      <c r="AG590">
        <v>2</v>
      </c>
      <c r="AH590" s="17">
        <f t="shared" si="311"/>
        <v>0.33333333333333331</v>
      </c>
      <c r="AI590">
        <v>4</v>
      </c>
      <c r="AJ590" s="17">
        <f t="shared" si="312"/>
        <v>0.66666666666666663</v>
      </c>
      <c r="AK590">
        <v>5</v>
      </c>
      <c r="AL590" s="17">
        <f t="shared" si="313"/>
        <v>0.83333333333333337</v>
      </c>
      <c r="AM590">
        <v>1</v>
      </c>
      <c r="AN590" s="17">
        <f t="shared" si="314"/>
        <v>0.16666666666666666</v>
      </c>
      <c r="AO590">
        <v>0</v>
      </c>
      <c r="AQ590">
        <v>3</v>
      </c>
      <c r="AR590" s="17">
        <f t="shared" si="315"/>
        <v>0.5</v>
      </c>
      <c r="AS590">
        <v>3</v>
      </c>
      <c r="AT590" s="17">
        <f t="shared" si="316"/>
        <v>0.5</v>
      </c>
      <c r="BD590" s="65">
        <f t="shared" si="317"/>
        <v>46.378091872791515</v>
      </c>
      <c r="BE590" s="65">
        <f t="shared" si="318"/>
        <v>40</v>
      </c>
      <c r="BF590" s="66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13.438774953981106</v>
      </c>
      <c r="BG590" s="38">
        <f t="shared" si="319"/>
        <v>0.45</v>
      </c>
      <c r="BH590" s="38">
        <f t="shared" si="320"/>
        <v>0.3</v>
      </c>
      <c r="BI590" s="67">
        <f>IFERROR(((AG590*(12000/5))/((F590*60+G590)*(SUMIFS(팀공격력!X:X,팀공격력!A:A,B590,팀공격력!B:B,D590)+SUMIFS(팀수비력!X:X,팀수비력!A:A,B590,팀수비력!B:B,D590))))*100,"")</f>
        <v>1.3652187763089034</v>
      </c>
      <c r="BJ590" s="67">
        <f>IFERROR(((AI590*(12000/5))/((F590*60+G590)*(SUMIFS(팀공격력!V:V,팀공격력!A:A,B590,팀공격력!B:B,D590)+SUMIFS(팀수비력!W:W,팀수비력!A:A,B590,팀수비력!B:B,D590))))*100,"")</f>
        <v>5.1528684300927514</v>
      </c>
      <c r="BK590" s="67">
        <f>IFERROR(((AE590*(12000/5))/((F590*60+G590)*(SUMIFS(팀공격력!X:X,팀공격력!A:A,B590,팀공격력!B:B,D590)+SUMIFS(팀수비력!X:X,팀수비력!A:A,B590,팀수비력!B:B,D590))))*100,"")</f>
        <v>4.0956563289267107</v>
      </c>
      <c r="BL590" s="67">
        <f>IFERROR(100*AK590/(((((F590*60+G590)/(12000/5))*SUMIFS(팀공격력!P:P,팀공격력!A:A,B590,팀공격력!B:B,D590))-K590)),"")</f>
        <v>7.7487343733856795</v>
      </c>
      <c r="BM590" s="67">
        <f>IFERROR(100*((AM590/E590*(2400))/((F590*60+G590)*SUMIFS(팀공격력!AR:AR,팀공격력!A:A,B590,팀공격력!B:B,D590))),"")</f>
        <v>0.94779389633537492</v>
      </c>
      <c r="BN590" s="67">
        <f>IFERROR((AO590*40)/(((F590*60+G590)/60)*(SUMIFS(팀수비력!Q:Q,팀수비력!A:A,B590,팀수비력!B:B,D590)-SUMIFS(팀수비력!N:N,팀수비력!A:A,B590,팀수비력!B:B,D590)))*100,"")</f>
        <v>0</v>
      </c>
      <c r="BO590" s="67">
        <f t="shared" si="321"/>
        <v>11.700468018720748</v>
      </c>
      <c r="BT590" t="s">
        <v>113</v>
      </c>
      <c r="BV590" t="s">
        <v>93</v>
      </c>
      <c r="CF590">
        <v>4</v>
      </c>
      <c r="CG590">
        <v>2</v>
      </c>
    </row>
    <row r="591" spans="1:85" x14ac:dyDescent="0.4">
      <c r="A591" s="11" t="s">
        <v>85</v>
      </c>
      <c r="B591" t="s">
        <v>203</v>
      </c>
      <c r="C591" t="s">
        <v>212</v>
      </c>
      <c r="D591" s="46" t="s">
        <v>309</v>
      </c>
      <c r="E591">
        <v>7</v>
      </c>
      <c r="F591">
        <v>6</v>
      </c>
      <c r="G591" s="1">
        <v>48</v>
      </c>
      <c r="H591" s="16">
        <f t="shared" si="296"/>
        <v>2856</v>
      </c>
      <c r="I591">
        <v>18</v>
      </c>
      <c r="J591" s="17">
        <f t="shared" si="297"/>
        <v>2.5714285714285716</v>
      </c>
      <c r="K591">
        <v>6</v>
      </c>
      <c r="L591">
        <v>11</v>
      </c>
      <c r="M591" s="17">
        <f t="shared" si="298"/>
        <v>0.8571428571428571</v>
      </c>
      <c r="N591" s="17">
        <f t="shared" si="299"/>
        <v>1.5714285714285714</v>
      </c>
      <c r="O591" s="18">
        <f t="shared" si="300"/>
        <v>0.54545454545454541</v>
      </c>
      <c r="P591">
        <v>6</v>
      </c>
      <c r="Q591">
        <v>11</v>
      </c>
      <c r="R591" s="17">
        <f t="shared" si="301"/>
        <v>0.8571428571428571</v>
      </c>
      <c r="S591" s="17">
        <f t="shared" si="302"/>
        <v>1.5714285714285714</v>
      </c>
      <c r="T591" s="18">
        <f t="shared" si="303"/>
        <v>0.54545454545454541</v>
      </c>
      <c r="U591">
        <v>0</v>
      </c>
      <c r="V591">
        <v>0</v>
      </c>
      <c r="W591" s="17">
        <f t="shared" si="304"/>
        <v>0</v>
      </c>
      <c r="X591" s="17">
        <f t="shared" si="305"/>
        <v>0</v>
      </c>
      <c r="Y591" s="18" t="e">
        <f t="shared" si="306"/>
        <v>#DIV/0!</v>
      </c>
      <c r="Z591">
        <v>6</v>
      </c>
      <c r="AA591">
        <v>8</v>
      </c>
      <c r="AB591" s="17">
        <f t="shared" si="307"/>
        <v>0.8571428571428571</v>
      </c>
      <c r="AC591" s="17">
        <f t="shared" si="308"/>
        <v>1.1428571428571428</v>
      </c>
      <c r="AD591" s="18">
        <f t="shared" si="309"/>
        <v>0.75</v>
      </c>
      <c r="AE591">
        <v>5</v>
      </c>
      <c r="AF591" s="17">
        <f t="shared" si="310"/>
        <v>0.7142857142857143</v>
      </c>
      <c r="AG591">
        <v>3</v>
      </c>
      <c r="AH591" s="17">
        <f t="shared" si="311"/>
        <v>0.42857142857142855</v>
      </c>
      <c r="AI591">
        <v>2</v>
      </c>
      <c r="AJ591" s="17">
        <f t="shared" si="312"/>
        <v>0.2857142857142857</v>
      </c>
      <c r="AK591">
        <v>0</v>
      </c>
      <c r="AL591" s="17">
        <f t="shared" si="313"/>
        <v>0</v>
      </c>
      <c r="AM591">
        <v>0</v>
      </c>
      <c r="AN591" s="17">
        <f t="shared" si="314"/>
        <v>0</v>
      </c>
      <c r="AO591">
        <v>0</v>
      </c>
      <c r="AQ591">
        <v>5</v>
      </c>
      <c r="AR591" s="17">
        <f t="shared" si="315"/>
        <v>0.7142857142857143</v>
      </c>
      <c r="AS591">
        <v>8</v>
      </c>
      <c r="AT591" s="17">
        <f t="shared" si="316"/>
        <v>1.1428571428571428</v>
      </c>
      <c r="BD591" s="65">
        <f t="shared" si="317"/>
        <v>61.983471074380169</v>
      </c>
      <c r="BE591" s="65">
        <f t="shared" si="318"/>
        <v>54.54545454545454</v>
      </c>
      <c r="BF591" s="66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14.243268012772242</v>
      </c>
      <c r="BG591" s="38">
        <f t="shared" si="319"/>
        <v>0</v>
      </c>
      <c r="BH591" s="38">
        <f t="shared" si="320"/>
        <v>0.72727272727272729</v>
      </c>
      <c r="BI591" s="67">
        <f>IFERROR(((AG591*(12000/5))/((F591*60+G591)*(SUMIFS(팀공격력!X:X,팀공격력!A:A,B591,팀공격력!B:B,D591)+SUMIFS(팀수비력!X:X,팀수비력!A:A,B591,팀수비력!B:B,D591))))*100,"")</f>
        <v>2.8508980328803575</v>
      </c>
      <c r="BJ591" s="67">
        <f>IFERROR(((AI591*(12000/5))/((F591*60+G591)*(SUMIFS(팀공격력!V:V,팀공격력!A:A,B591,팀공격력!B:B,D591)+SUMIFS(팀수비력!W:W,팀수비력!A:A,B591,팀수비력!B:B,D591))))*100,"")</f>
        <v>3.5868005738880915</v>
      </c>
      <c r="BK591" s="67">
        <f>IFERROR(((AE591*(12000/5))/((F591*60+G591)*(SUMIFS(팀공격력!X:X,팀공격력!A:A,B591,팀공격력!B:B,D591)+SUMIFS(팀수비력!X:X,팀수비력!A:A,B591,팀수비력!B:B,D591))))*100,"")</f>
        <v>4.7514967214672623</v>
      </c>
      <c r="BL591" s="67">
        <f>IFERROR(100*AK591/(((((F591*60+G591)/(12000/5))*SUMIFS(팀공격력!P:P,팀공격력!A:A,B591,팀공격력!B:B,D591))-K591)),"")</f>
        <v>0</v>
      </c>
      <c r="BM591" s="67">
        <f>IFERROR(100*((AM591/E591*(2400))/((F591*60+G591)*SUMIFS(팀공격력!AR:AR,팀공격력!A:A,B591,팀공격력!B:B,D591))),"")</f>
        <v>0</v>
      </c>
      <c r="BN591" s="67">
        <f>IFERROR((AO591*40)/(((F591*60+G591)/60)*(SUMIFS(팀수비력!Q:Q,팀수비력!A:A,B591,팀수비력!B:B,D591)-SUMIFS(팀수비력!N:N,팀수비력!A:A,B591,팀수비력!B:B,D591)))*100,"")</f>
        <v>0</v>
      </c>
      <c r="BO591" s="67">
        <f t="shared" si="321"/>
        <v>25.614754098360656</v>
      </c>
      <c r="BT591" t="s">
        <v>89</v>
      </c>
      <c r="BV591" t="s">
        <v>102</v>
      </c>
      <c r="CF591">
        <v>4</v>
      </c>
      <c r="CG591">
        <v>3</v>
      </c>
    </row>
    <row r="592" spans="1:85" x14ac:dyDescent="0.4">
      <c r="A592" s="11" t="s">
        <v>85</v>
      </c>
      <c r="B592" t="s">
        <v>203</v>
      </c>
      <c r="C592" t="s">
        <v>213</v>
      </c>
      <c r="D592" s="46" t="s">
        <v>309</v>
      </c>
      <c r="E592">
        <v>2</v>
      </c>
      <c r="F592">
        <v>6</v>
      </c>
      <c r="G592" s="1">
        <v>4</v>
      </c>
      <c r="H592" s="16">
        <f t="shared" si="296"/>
        <v>728</v>
      </c>
      <c r="I592">
        <v>4</v>
      </c>
      <c r="J592" s="17">
        <f t="shared" si="297"/>
        <v>2</v>
      </c>
      <c r="K592">
        <v>2</v>
      </c>
      <c r="L592">
        <v>5</v>
      </c>
      <c r="M592" s="17">
        <f t="shared" si="298"/>
        <v>1</v>
      </c>
      <c r="N592" s="17">
        <f t="shared" si="299"/>
        <v>2.5</v>
      </c>
      <c r="O592" s="18">
        <f t="shared" si="300"/>
        <v>0.4</v>
      </c>
      <c r="P592">
        <v>2</v>
      </c>
      <c r="Q592">
        <v>3</v>
      </c>
      <c r="R592" s="17">
        <f t="shared" si="301"/>
        <v>1</v>
      </c>
      <c r="S592" s="17">
        <f t="shared" si="302"/>
        <v>1.5</v>
      </c>
      <c r="T592" s="18">
        <f t="shared" si="303"/>
        <v>0.66666666666666663</v>
      </c>
      <c r="U592">
        <v>0</v>
      </c>
      <c r="V592">
        <v>2</v>
      </c>
      <c r="W592" s="17">
        <f t="shared" si="304"/>
        <v>0</v>
      </c>
      <c r="X592" s="17">
        <f t="shared" si="305"/>
        <v>1</v>
      </c>
      <c r="Y592" s="18">
        <f t="shared" si="306"/>
        <v>0</v>
      </c>
      <c r="Z592">
        <v>0</v>
      </c>
      <c r="AA592">
        <v>0</v>
      </c>
      <c r="AB592" s="17">
        <f t="shared" si="307"/>
        <v>0</v>
      </c>
      <c r="AC592" s="17">
        <f t="shared" si="308"/>
        <v>0</v>
      </c>
      <c r="AD592" s="18" t="e">
        <f t="shared" si="309"/>
        <v>#DIV/0!</v>
      </c>
      <c r="AE592">
        <v>0</v>
      </c>
      <c r="AF592" s="17">
        <f t="shared" si="310"/>
        <v>0</v>
      </c>
      <c r="AG592">
        <v>0</v>
      </c>
      <c r="AH592" s="17">
        <f t="shared" si="311"/>
        <v>0</v>
      </c>
      <c r="AI592">
        <v>0</v>
      </c>
      <c r="AJ592" s="17">
        <f t="shared" si="312"/>
        <v>0</v>
      </c>
      <c r="AK592">
        <v>0</v>
      </c>
      <c r="AL592" s="17">
        <f t="shared" si="313"/>
        <v>0</v>
      </c>
      <c r="AM592">
        <v>0</v>
      </c>
      <c r="AN592" s="17">
        <f t="shared" si="314"/>
        <v>0</v>
      </c>
      <c r="AO592">
        <v>0</v>
      </c>
      <c r="AQ592">
        <v>0</v>
      </c>
      <c r="AR592" s="17">
        <f t="shared" si="315"/>
        <v>0</v>
      </c>
      <c r="AS592">
        <v>1</v>
      </c>
      <c r="AT592" s="17">
        <f t="shared" si="316"/>
        <v>0.5</v>
      </c>
      <c r="BD592" s="65">
        <f t="shared" si="317"/>
        <v>40</v>
      </c>
      <c r="BE592" s="65">
        <f t="shared" si="318"/>
        <v>40</v>
      </c>
      <c r="BF592" s="66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4.0893908116295732</v>
      </c>
      <c r="BG592" s="38">
        <f t="shared" si="319"/>
        <v>0.4</v>
      </c>
      <c r="BH592" s="38">
        <f t="shared" si="320"/>
        <v>0</v>
      </c>
      <c r="BI592" s="67">
        <f>IFERROR(((AG592*(12000/5))/((F592*60+G592)*(SUMIFS(팀공격력!X:X,팀공격력!A:A,B592,팀공격력!B:B,D592)+SUMIFS(팀수비력!X:X,팀수비력!A:A,B592,팀수비력!B:B,D592))))*100,"")</f>
        <v>0</v>
      </c>
      <c r="BJ592" s="67">
        <f>IFERROR(((AI592*(12000/5))/((F592*60+G592)*(SUMIFS(팀공격력!V:V,팀공격력!A:A,B592,팀공격력!B:B,D592)+SUMIFS(팀수비력!W:W,팀수비력!A:A,B592,팀수비력!B:B,D592))))*100,"")</f>
        <v>0</v>
      </c>
      <c r="BK592" s="67">
        <f>IFERROR(((AE592*(12000/5))/((F592*60+G592)*(SUMIFS(팀공격력!X:X,팀공격력!A:A,B592,팀공격력!B:B,D592)+SUMIFS(팀수비력!X:X,팀수비력!A:A,B592,팀수비력!B:B,D592))))*100,"")</f>
        <v>0</v>
      </c>
      <c r="BL592" s="67">
        <f>IFERROR(100*AK592/(((((F592*60+G592)/(12000/5))*SUMIFS(팀공격력!P:P,팀공격력!A:A,B592,팀공격력!B:B,D592))-K592)),"")</f>
        <v>0</v>
      </c>
      <c r="BM592" s="67">
        <f>IFERROR(100*((AM592/E592*(2400))/((F592*60+G592)*SUMIFS(팀공격력!AR:AR,팀공격력!A:A,B592,팀공격력!B:B,D592))),"")</f>
        <v>0</v>
      </c>
      <c r="BN592" s="67">
        <f>IFERROR((AO592*40)/(((F592*60+G592)/60)*(SUMIFS(팀수비력!Q:Q,팀수비력!A:A,B592,팀수비력!B:B,D592)-SUMIFS(팀수비력!N:N,팀수비력!A:A,B592,팀수비력!B:B,D592)))*100,"")</f>
        <v>0</v>
      </c>
      <c r="BO592" s="67">
        <f t="shared" si="321"/>
        <v>0</v>
      </c>
      <c r="BT592" t="s">
        <v>89</v>
      </c>
      <c r="BV592" t="s">
        <v>93</v>
      </c>
      <c r="CF592">
        <v>2</v>
      </c>
      <c r="CG592">
        <v>0</v>
      </c>
    </row>
    <row r="593" spans="1:85" x14ac:dyDescent="0.4">
      <c r="A593" s="11" t="s">
        <v>85</v>
      </c>
      <c r="B593" t="s">
        <v>203</v>
      </c>
      <c r="C593" t="s">
        <v>214</v>
      </c>
      <c r="D593" s="46" t="s">
        <v>309</v>
      </c>
      <c r="E593">
        <v>4</v>
      </c>
      <c r="F593">
        <v>6</v>
      </c>
      <c r="G593" s="1">
        <v>31</v>
      </c>
      <c r="H593" s="16">
        <f t="shared" si="296"/>
        <v>1564</v>
      </c>
      <c r="I593">
        <v>3</v>
      </c>
      <c r="J593" s="17">
        <f t="shared" si="297"/>
        <v>0.75</v>
      </c>
      <c r="K593">
        <v>1</v>
      </c>
      <c r="L593">
        <v>4</v>
      </c>
      <c r="M593" s="17">
        <f t="shared" si="298"/>
        <v>0.25</v>
      </c>
      <c r="N593" s="17">
        <f t="shared" si="299"/>
        <v>1</v>
      </c>
      <c r="O593" s="18">
        <f t="shared" si="300"/>
        <v>0.25</v>
      </c>
      <c r="P593">
        <v>0</v>
      </c>
      <c r="Q593">
        <v>0</v>
      </c>
      <c r="R593" s="17">
        <f t="shared" si="301"/>
        <v>0</v>
      </c>
      <c r="S593" s="17">
        <f t="shared" si="302"/>
        <v>0</v>
      </c>
      <c r="T593" s="18" t="e">
        <f t="shared" si="303"/>
        <v>#DIV/0!</v>
      </c>
      <c r="U593">
        <v>1</v>
      </c>
      <c r="V593">
        <v>4</v>
      </c>
      <c r="W593" s="17">
        <f t="shared" si="304"/>
        <v>0.25</v>
      </c>
      <c r="X593" s="17">
        <f t="shared" si="305"/>
        <v>1</v>
      </c>
      <c r="Y593" s="18">
        <f t="shared" si="306"/>
        <v>0.25</v>
      </c>
      <c r="Z593">
        <v>0</v>
      </c>
      <c r="AA593">
        <v>0</v>
      </c>
      <c r="AB593" s="17">
        <f t="shared" si="307"/>
        <v>0</v>
      </c>
      <c r="AC593" s="17">
        <f t="shared" si="308"/>
        <v>0</v>
      </c>
      <c r="AD593" s="18" t="e">
        <f t="shared" si="309"/>
        <v>#DIV/0!</v>
      </c>
      <c r="AE593">
        <v>1</v>
      </c>
      <c r="AF593" s="17">
        <f t="shared" si="310"/>
        <v>0.25</v>
      </c>
      <c r="AG593">
        <v>0</v>
      </c>
      <c r="AH593" s="17">
        <f t="shared" si="311"/>
        <v>0</v>
      </c>
      <c r="AI593">
        <v>1</v>
      </c>
      <c r="AJ593" s="17">
        <f t="shared" si="312"/>
        <v>0.25</v>
      </c>
      <c r="AK593">
        <v>2</v>
      </c>
      <c r="AL593" s="17">
        <f t="shared" si="313"/>
        <v>0.5</v>
      </c>
      <c r="AM593">
        <v>3</v>
      </c>
      <c r="AN593" s="17">
        <f t="shared" si="314"/>
        <v>0.75</v>
      </c>
      <c r="AO593">
        <v>1</v>
      </c>
      <c r="AQ593">
        <v>1</v>
      </c>
      <c r="AR593" s="17">
        <f t="shared" si="315"/>
        <v>0.25</v>
      </c>
      <c r="AS593">
        <v>2</v>
      </c>
      <c r="AT593" s="17">
        <f t="shared" si="316"/>
        <v>0.5</v>
      </c>
      <c r="BD593" s="65">
        <f t="shared" si="317"/>
        <v>37.5</v>
      </c>
      <c r="BE593" s="65">
        <f t="shared" si="318"/>
        <v>37.5</v>
      </c>
      <c r="BF593" s="66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3.8070032108265082</v>
      </c>
      <c r="BG593" s="38">
        <f t="shared" si="319"/>
        <v>1</v>
      </c>
      <c r="BH593" s="38">
        <f t="shared" si="320"/>
        <v>0</v>
      </c>
      <c r="BI593" s="67">
        <f>IFERROR(((AG593*(12000/5))/((F593*60+G593)*(SUMIFS(팀공격력!X:X,팀공격력!A:A,B593,팀공격력!B:B,D593)+SUMIFS(팀수비력!X:X,팀수비력!A:A,B593,팀수비력!B:B,D593))))*100,"")</f>
        <v>0</v>
      </c>
      <c r="BJ593" s="67">
        <f>IFERROR(((AI593*(12000/5))/((F593*60+G593)*(SUMIFS(팀공격력!V:V,팀공격력!A:A,B593,팀공격력!B:B,D593)+SUMIFS(팀수비력!W:W,팀수비력!A:A,B593,팀수비력!B:B,D593))))*100,"")</f>
        <v>1.8713742124633523</v>
      </c>
      <c r="BK593" s="67">
        <f>IFERROR(((AE593*(12000/5))/((F593*60+G593)*(SUMIFS(팀공격력!X:X,팀공격력!A:A,B593,팀공격력!B:B,D593)+SUMIFS(팀수비력!X:X,팀수비력!A:A,B593,팀수비력!B:B,D593))))*100,"")</f>
        <v>0.99161670708881999</v>
      </c>
      <c r="BL593" s="67">
        <f>IFERROR(100*AK593/(((((F593*60+G593)/(12000/5))*SUMIFS(팀공격력!P:P,팀공격력!A:A,B593,팀공격력!B:B,D593))-K593)),"")</f>
        <v>4.2061725582292011</v>
      </c>
      <c r="BM593" s="67">
        <f>IFERROR(100*((AM593/E593*(2400))/((F593*60+G593)*SUMIFS(팀공격력!AR:AR,팀공격력!A:A,B593,팀공격력!B:B,D593))),"")</f>
        <v>6.1958086931795862</v>
      </c>
      <c r="BN593" s="67">
        <f>IFERROR((AO593*40)/(((F593*60+G593)/60)*(SUMIFS(팀수비력!Q:Q,팀수비력!A:A,B593,팀수비력!B:B,D593)-SUMIFS(팀수비력!N:N,팀수비력!A:A,B593,팀수비력!B:B,D593)))*100,"")</f>
        <v>1.7689070365647825</v>
      </c>
      <c r="BO593" s="67">
        <f t="shared" si="321"/>
        <v>20</v>
      </c>
      <c r="BT593" t="s">
        <v>89</v>
      </c>
      <c r="BV593" t="s">
        <v>90</v>
      </c>
      <c r="CF593">
        <v>2</v>
      </c>
      <c r="CG593">
        <v>2</v>
      </c>
    </row>
    <row r="594" spans="1:85" x14ac:dyDescent="0.4">
      <c r="A594" s="11" t="s">
        <v>85</v>
      </c>
      <c r="B594" t="s">
        <v>203</v>
      </c>
      <c r="C594" t="s">
        <v>216</v>
      </c>
      <c r="D594" s="46" t="s">
        <v>309</v>
      </c>
      <c r="E594">
        <v>9</v>
      </c>
      <c r="F594">
        <v>26</v>
      </c>
      <c r="G594" s="1">
        <v>44</v>
      </c>
      <c r="H594" s="16">
        <f t="shared" si="296"/>
        <v>14436</v>
      </c>
      <c r="I594">
        <v>83</v>
      </c>
      <c r="J594" s="17">
        <f t="shared" si="297"/>
        <v>9.2222222222222214</v>
      </c>
      <c r="K594">
        <v>31</v>
      </c>
      <c r="L594">
        <v>74</v>
      </c>
      <c r="M594" s="17">
        <f t="shared" si="298"/>
        <v>3.4444444444444446</v>
      </c>
      <c r="N594" s="17">
        <f t="shared" si="299"/>
        <v>8.2222222222222214</v>
      </c>
      <c r="O594" s="18">
        <f t="shared" si="300"/>
        <v>0.41891891891891891</v>
      </c>
      <c r="P594">
        <v>21</v>
      </c>
      <c r="Q594">
        <v>39</v>
      </c>
      <c r="R594" s="17">
        <f t="shared" si="301"/>
        <v>2.3333333333333335</v>
      </c>
      <c r="S594" s="17">
        <f t="shared" si="302"/>
        <v>4.333333333333333</v>
      </c>
      <c r="T594" s="18">
        <f t="shared" si="303"/>
        <v>0.53846153846153844</v>
      </c>
      <c r="U594">
        <v>10</v>
      </c>
      <c r="V594">
        <v>35</v>
      </c>
      <c r="W594" s="17">
        <f t="shared" si="304"/>
        <v>1.1111111111111112</v>
      </c>
      <c r="X594" s="17">
        <f t="shared" si="305"/>
        <v>3.8888888888888888</v>
      </c>
      <c r="Y594" s="18">
        <f t="shared" si="306"/>
        <v>0.2857142857142857</v>
      </c>
      <c r="Z594">
        <v>11</v>
      </c>
      <c r="AA594">
        <v>15</v>
      </c>
      <c r="AB594" s="17">
        <f t="shared" si="307"/>
        <v>1.2222222222222223</v>
      </c>
      <c r="AC594" s="17">
        <f t="shared" si="308"/>
        <v>1.6666666666666667</v>
      </c>
      <c r="AD594" s="18">
        <f t="shared" si="309"/>
        <v>0.73333333333333328</v>
      </c>
      <c r="AE594">
        <v>20</v>
      </c>
      <c r="AF594" s="17">
        <f t="shared" si="310"/>
        <v>2.2222222222222223</v>
      </c>
      <c r="AG594">
        <v>9</v>
      </c>
      <c r="AH594" s="17">
        <f t="shared" si="311"/>
        <v>1</v>
      </c>
      <c r="AI594">
        <v>11</v>
      </c>
      <c r="AJ594" s="17">
        <f t="shared" si="312"/>
        <v>1.2222222222222223</v>
      </c>
      <c r="AK594">
        <v>45</v>
      </c>
      <c r="AL594" s="17">
        <f t="shared" si="313"/>
        <v>5</v>
      </c>
      <c r="AM594">
        <v>18</v>
      </c>
      <c r="AN594" s="17">
        <f t="shared" si="314"/>
        <v>2</v>
      </c>
      <c r="AO594">
        <v>0</v>
      </c>
      <c r="AQ594">
        <v>10</v>
      </c>
      <c r="AR594" s="17">
        <f t="shared" si="315"/>
        <v>1.1111111111111112</v>
      </c>
      <c r="AS594">
        <v>24</v>
      </c>
      <c r="AT594" s="17">
        <f t="shared" si="316"/>
        <v>2.6666666666666665</v>
      </c>
      <c r="BD594" s="65">
        <f t="shared" si="317"/>
        <v>51.488833746898266</v>
      </c>
      <c r="BE594" s="65">
        <f t="shared" si="318"/>
        <v>48.648648648648653</v>
      </c>
      <c r="BF594" s="66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16.815656601277396</v>
      </c>
      <c r="BG594" s="38">
        <f t="shared" si="319"/>
        <v>0.47297297297297297</v>
      </c>
      <c r="BH594" s="38">
        <f t="shared" si="320"/>
        <v>0.20270270270270271</v>
      </c>
      <c r="BI594" s="67">
        <f>IFERROR(((AG594*(12000/5))/((F594*60+G594)*(SUMIFS(팀공격력!X:X,팀공격력!A:A,B594,팀공격력!B:B,D594)+SUMIFS(팀수비력!X:X,팀수비력!A:A,B594,팀수비력!B:B,D594))))*100,"")</f>
        <v>2.1754982495296495</v>
      </c>
      <c r="BJ594" s="67">
        <f>IFERROR(((AI594*(12000/5))/((F594*60+G594)*(SUMIFS(팀공격력!V:V,팀공격력!A:A,B594,팀공격력!B:B,D594)+SUMIFS(팀수비력!W:W,팀수비력!A:A,B594,팀수비력!B:B,D594))))*100,"")</f>
        <v>5.0179429475092752</v>
      </c>
      <c r="BK594" s="67">
        <f>IFERROR(((AE594*(12000/5))/((F594*60+G594)*(SUMIFS(팀공격력!X:X,팀공격력!A:A,B594,팀공격력!B:B,D594)+SUMIFS(팀수비력!X:X,팀수비력!A:A,B594,팀수비력!B:B,D594))))*100,"")</f>
        <v>4.8344405545103317</v>
      </c>
      <c r="BL594" s="67">
        <f>IFERROR(100*AK594/(((((F594*60+G594)/(12000/5))*SUMIFS(팀공격력!P:P,팀공격력!A:A,B594,팀공격력!B:B,D594))-K594)),"")</f>
        <v>26.759697912743565</v>
      </c>
      <c r="BM594" s="67">
        <f>IFERROR(100*((AM594/E594*(2400))/((F594*60+G594)*SUMIFS(팀공격력!AR:AR,팀공격력!A:A,B594,팀공격력!B:B,D594))),"")</f>
        <v>4.0275331654750088</v>
      </c>
      <c r="BN594" s="67">
        <f>IFERROR((AO594*40)/(((F594*60+G594)/60)*(SUMIFS(팀수비력!Q:Q,팀수비력!A:A,B594,팀수비력!B:B,D594)-SUMIFS(팀수비력!N:N,팀수비력!A:A,B594,팀수비력!B:B,D594)))*100,"")</f>
        <v>0</v>
      </c>
      <c r="BO594" s="67">
        <f t="shared" si="321"/>
        <v>11.037527593818986</v>
      </c>
      <c r="BT594" t="s">
        <v>89</v>
      </c>
      <c r="BV594" t="s">
        <v>90</v>
      </c>
      <c r="CF594">
        <v>6</v>
      </c>
      <c r="CG594">
        <v>3</v>
      </c>
    </row>
    <row r="595" spans="1:85" x14ac:dyDescent="0.4">
      <c r="A595" s="11" t="s">
        <v>85</v>
      </c>
      <c r="B595" t="s">
        <v>203</v>
      </c>
      <c r="C595" t="s">
        <v>217</v>
      </c>
      <c r="D595" s="46" t="s">
        <v>309</v>
      </c>
      <c r="E595">
        <v>1</v>
      </c>
      <c r="F595">
        <v>11</v>
      </c>
      <c r="G595" s="1">
        <v>32</v>
      </c>
      <c r="H595" s="16">
        <f t="shared" si="296"/>
        <v>692</v>
      </c>
      <c r="I595">
        <v>3</v>
      </c>
      <c r="J595" s="17">
        <f t="shared" si="297"/>
        <v>3</v>
      </c>
      <c r="K595">
        <v>1</v>
      </c>
      <c r="L595">
        <v>1</v>
      </c>
      <c r="M595" s="17">
        <f t="shared" si="298"/>
        <v>1</v>
      </c>
      <c r="N595" s="17">
        <f t="shared" si="299"/>
        <v>1</v>
      </c>
      <c r="O595" s="18">
        <f t="shared" si="300"/>
        <v>1</v>
      </c>
      <c r="P595">
        <v>0</v>
      </c>
      <c r="Q595">
        <v>0</v>
      </c>
      <c r="R595" s="17">
        <f t="shared" si="301"/>
        <v>0</v>
      </c>
      <c r="S595" s="17">
        <f t="shared" si="302"/>
        <v>0</v>
      </c>
      <c r="T595" s="18" t="e">
        <f t="shared" si="303"/>
        <v>#DIV/0!</v>
      </c>
      <c r="U595">
        <v>1</v>
      </c>
      <c r="V595">
        <v>1</v>
      </c>
      <c r="W595" s="17">
        <f t="shared" si="304"/>
        <v>1</v>
      </c>
      <c r="X595" s="17">
        <f t="shared" si="305"/>
        <v>1</v>
      </c>
      <c r="Y595" s="18">
        <f t="shared" si="306"/>
        <v>1</v>
      </c>
      <c r="Z595">
        <v>0</v>
      </c>
      <c r="AA595">
        <v>0</v>
      </c>
      <c r="AB595" s="17">
        <f t="shared" si="307"/>
        <v>0</v>
      </c>
      <c r="AC595" s="17">
        <f t="shared" si="308"/>
        <v>0</v>
      </c>
      <c r="AD595" s="18" t="e">
        <f t="shared" si="309"/>
        <v>#DIV/0!</v>
      </c>
      <c r="AE595">
        <v>0</v>
      </c>
      <c r="AF595" s="17">
        <f t="shared" si="310"/>
        <v>0</v>
      </c>
      <c r="AG595">
        <v>0</v>
      </c>
      <c r="AH595" s="17">
        <f t="shared" si="311"/>
        <v>0</v>
      </c>
      <c r="AI595">
        <v>0</v>
      </c>
      <c r="AJ595" s="17">
        <f t="shared" si="312"/>
        <v>0</v>
      </c>
      <c r="AK595">
        <v>1</v>
      </c>
      <c r="AL595" s="17">
        <f t="shared" si="313"/>
        <v>1</v>
      </c>
      <c r="AM595">
        <v>0</v>
      </c>
      <c r="AN595" s="17">
        <f t="shared" si="314"/>
        <v>0</v>
      </c>
      <c r="AO595">
        <v>0</v>
      </c>
      <c r="AQ595">
        <v>0</v>
      </c>
      <c r="AR595" s="17">
        <f t="shared" si="315"/>
        <v>0</v>
      </c>
      <c r="AS595">
        <v>1</v>
      </c>
      <c r="AT595" s="17">
        <f t="shared" si="316"/>
        <v>1</v>
      </c>
      <c r="BD595" s="65">
        <f t="shared" si="317"/>
        <v>150</v>
      </c>
      <c r="BE595" s="65">
        <f t="shared" si="318"/>
        <v>150</v>
      </c>
      <c r="BF595" s="66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0.43021336862230192</v>
      </c>
      <c r="BG595" s="38">
        <f t="shared" si="319"/>
        <v>1</v>
      </c>
      <c r="BH595" s="38">
        <f t="shared" si="320"/>
        <v>0</v>
      </c>
      <c r="BI595" s="67">
        <f>IFERROR(((AG595*(12000/5))/((F595*60+G595)*(SUMIFS(팀공격력!X:X,팀공격력!A:A,B595,팀공격력!B:B,D595)+SUMIFS(팀수비력!X:X,팀수비력!A:A,B595,팀수비력!B:B,D595))))*100,"")</f>
        <v>0</v>
      </c>
      <c r="BJ595" s="67">
        <f>IFERROR(((AI595*(12000/5))/((F595*60+G595)*(SUMIFS(팀공격력!V:V,팀공격력!A:A,B595,팀공격력!B:B,D595)+SUMIFS(팀수비력!W:W,팀수비력!A:A,B595,팀수비력!B:B,D595))))*100,"")</f>
        <v>0</v>
      </c>
      <c r="BK595" s="67">
        <f>IFERROR(((AE595*(12000/5))/((F595*60+G595)*(SUMIFS(팀공격력!X:X,팀공격력!A:A,B595,팀공격력!B:B,D595)+SUMIFS(팀수비력!X:X,팀수비력!A:A,B595,팀수비력!B:B,D595))))*100,"")</f>
        <v>0</v>
      </c>
      <c r="BL595" s="67">
        <f>IFERROR(100*AK595/(((((F595*60+G595)/(12000/5))*SUMIFS(팀공격력!P:P,팀공격력!A:A,B595,팀공격력!B:B,D595))-K595)),"")</f>
        <v>1.1775326765317737</v>
      </c>
      <c r="BM595" s="67">
        <f>IFERROR(100*((AM595/E595*(2400))/((F595*60+G595)*SUMIFS(팀공격력!AR:AR,팀공격력!A:A,B595,팀공격력!B:B,D595))),"")</f>
        <v>0</v>
      </c>
      <c r="BN595" s="67">
        <f>IFERROR((AO595*40)/(((F595*60+G595)/60)*(SUMIFS(팀수비력!Q:Q,팀수비력!A:A,B595,팀수비력!B:B,D595)-SUMIFS(팀수비력!N:N,팀수비력!A:A,B595,팀수비력!B:B,D595)))*100,"")</f>
        <v>0</v>
      </c>
      <c r="BO595" s="67">
        <f t="shared" si="321"/>
        <v>0</v>
      </c>
      <c r="BT595" t="s">
        <v>89</v>
      </c>
      <c r="BV595" t="s">
        <v>90</v>
      </c>
      <c r="CF595">
        <v>0</v>
      </c>
      <c r="CG595">
        <v>1</v>
      </c>
    </row>
    <row r="596" spans="1:85" x14ac:dyDescent="0.4">
      <c r="A596" s="11" t="s">
        <v>85</v>
      </c>
      <c r="B596" t="s">
        <v>203</v>
      </c>
      <c r="C596" t="s">
        <v>219</v>
      </c>
      <c r="D596" s="46" t="s">
        <v>309</v>
      </c>
      <c r="E596">
        <v>7</v>
      </c>
      <c r="F596">
        <v>11</v>
      </c>
      <c r="G596" s="1">
        <v>47</v>
      </c>
      <c r="H596" s="16">
        <f t="shared" si="296"/>
        <v>4949</v>
      </c>
      <c r="I596">
        <v>9</v>
      </c>
      <c r="J596" s="17">
        <f t="shared" si="297"/>
        <v>1.2857142857142858</v>
      </c>
      <c r="K596">
        <v>3</v>
      </c>
      <c r="L596">
        <v>9</v>
      </c>
      <c r="M596" s="17">
        <f t="shared" si="298"/>
        <v>0.42857142857142855</v>
      </c>
      <c r="N596" s="17">
        <f t="shared" si="299"/>
        <v>1.2857142857142858</v>
      </c>
      <c r="O596" s="18">
        <f t="shared" si="300"/>
        <v>0.33333333333333331</v>
      </c>
      <c r="P596">
        <v>1</v>
      </c>
      <c r="Q596">
        <v>4</v>
      </c>
      <c r="R596" s="17">
        <f t="shared" si="301"/>
        <v>0.14285714285714285</v>
      </c>
      <c r="S596" s="17">
        <f t="shared" si="302"/>
        <v>0.5714285714285714</v>
      </c>
      <c r="T596" s="18">
        <f t="shared" si="303"/>
        <v>0.25</v>
      </c>
      <c r="U596">
        <v>2</v>
      </c>
      <c r="V596">
        <v>5</v>
      </c>
      <c r="W596" s="17">
        <f t="shared" si="304"/>
        <v>0.2857142857142857</v>
      </c>
      <c r="X596" s="17">
        <f t="shared" si="305"/>
        <v>0.7142857142857143</v>
      </c>
      <c r="Y596" s="18">
        <f t="shared" si="306"/>
        <v>0.4</v>
      </c>
      <c r="Z596">
        <v>1</v>
      </c>
      <c r="AA596">
        <v>2</v>
      </c>
      <c r="AB596" s="17">
        <f t="shared" si="307"/>
        <v>0.14285714285714285</v>
      </c>
      <c r="AC596" s="17">
        <f t="shared" si="308"/>
        <v>0.2857142857142857</v>
      </c>
      <c r="AD596" s="18">
        <f t="shared" si="309"/>
        <v>0.5</v>
      </c>
      <c r="AE596">
        <v>11</v>
      </c>
      <c r="AF596" s="17">
        <f t="shared" si="310"/>
        <v>1.5714285714285714</v>
      </c>
      <c r="AG596">
        <v>4</v>
      </c>
      <c r="AH596" s="17">
        <f t="shared" si="311"/>
        <v>0.5714285714285714</v>
      </c>
      <c r="AI596">
        <v>7</v>
      </c>
      <c r="AJ596" s="17">
        <f t="shared" si="312"/>
        <v>1</v>
      </c>
      <c r="AK596">
        <v>14</v>
      </c>
      <c r="AL596" s="17">
        <f t="shared" si="313"/>
        <v>2</v>
      </c>
      <c r="AM596">
        <v>3</v>
      </c>
      <c r="AN596" s="17">
        <f t="shared" si="314"/>
        <v>0.42857142857142855</v>
      </c>
      <c r="AO596">
        <v>0</v>
      </c>
      <c r="AQ596">
        <v>6</v>
      </c>
      <c r="AR596" s="17">
        <f t="shared" si="315"/>
        <v>0.8571428571428571</v>
      </c>
      <c r="AS596">
        <v>14</v>
      </c>
      <c r="AT596" s="17">
        <f t="shared" si="316"/>
        <v>2</v>
      </c>
      <c r="BD596" s="65">
        <f t="shared" si="317"/>
        <v>45.546558704453439</v>
      </c>
      <c r="BE596" s="65">
        <f t="shared" si="318"/>
        <v>44.444444444444443</v>
      </c>
      <c r="BF596" s="66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6.6868422903192801</v>
      </c>
      <c r="BG596" s="38">
        <f t="shared" si="319"/>
        <v>0.55555555555555558</v>
      </c>
      <c r="BH596" s="38">
        <f t="shared" si="320"/>
        <v>0.22222222222222221</v>
      </c>
      <c r="BI596" s="67">
        <f>IFERROR(((AG596*(12000/5))/((F596*60+G596)*(SUMIFS(팀공격력!X:X,팀공격력!A:A,B596,팀공격력!B:B,D596)+SUMIFS(팀수비력!X:X,팀수비력!A:A,B596,팀수비력!B:B,D596))))*100,"")</f>
        <v>2.1936188541540518</v>
      </c>
      <c r="BJ596" s="67">
        <f>IFERROR(((AI596*(12000/5))/((F596*60+G596)*(SUMIFS(팀공격력!V:V,팀공격력!A:A,B596,팀공격력!B:B,D596)+SUMIFS(팀수비력!W:W,팀수비력!A:A,B596,팀수비력!B:B,D596))))*100,"")</f>
        <v>7.244626901714561</v>
      </c>
      <c r="BK596" s="67">
        <f>IFERROR(((AE596*(12000/5))/((F596*60+G596)*(SUMIFS(팀공격력!X:X,팀공격력!A:A,B596,팀공격력!B:B,D596)+SUMIFS(팀수비력!X:X,팀수비력!A:A,B596,팀수비력!B:B,D596))))*100,"")</f>
        <v>6.0324518489236416</v>
      </c>
      <c r="BL596" s="67">
        <f>IFERROR(100*AK596/(((((F596*60+G596)/(12000/5))*SUMIFS(팀공격력!P:P,팀공격력!A:A,B596,팀공격력!B:B,D596))-K596)),"")</f>
        <v>16.512192484986684</v>
      </c>
      <c r="BM596" s="67">
        <f>IFERROR(100*((AM596/E596*(2400))/((F596*60+G596)*SUMIFS(팀공격력!AR:AR,팀공격력!A:A,B596,팀공격력!B:B,D596))),"")</f>
        <v>1.9580207710917099</v>
      </c>
      <c r="BN596" s="67">
        <f>IFERROR((AO596*40)/(((F596*60+G596)/60)*(SUMIFS(팀수비력!Q:Q,팀수비력!A:A,B596,팀수비력!B:B,D596)-SUMIFS(팀수비력!N:N,팀수비력!A:A,B596,팀수비력!B:B,D596)))*100,"")</f>
        <v>0</v>
      </c>
      <c r="BO596" s="67">
        <f t="shared" si="321"/>
        <v>37.783375314861459</v>
      </c>
      <c r="BT596" t="s">
        <v>89</v>
      </c>
      <c r="BV596" t="s">
        <v>90</v>
      </c>
      <c r="CF596">
        <v>4</v>
      </c>
      <c r="CG596">
        <v>3</v>
      </c>
    </row>
    <row r="597" spans="1:85" x14ac:dyDescent="0.4">
      <c r="A597" s="11" t="s">
        <v>85</v>
      </c>
      <c r="B597" t="s">
        <v>203</v>
      </c>
      <c r="C597" t="s">
        <v>220</v>
      </c>
      <c r="D597" s="46" t="s">
        <v>309</v>
      </c>
      <c r="E597">
        <v>9</v>
      </c>
      <c r="F597">
        <v>32</v>
      </c>
      <c r="G597" s="1">
        <v>8</v>
      </c>
      <c r="H597" s="16">
        <f t="shared" si="296"/>
        <v>17352</v>
      </c>
      <c r="I597">
        <v>271</v>
      </c>
      <c r="J597" s="17">
        <f t="shared" si="297"/>
        <v>30.111111111111111</v>
      </c>
      <c r="K597">
        <v>104</v>
      </c>
      <c r="L597">
        <v>192</v>
      </c>
      <c r="M597" s="17">
        <f t="shared" si="298"/>
        <v>11.555555555555555</v>
      </c>
      <c r="N597" s="17">
        <f t="shared" si="299"/>
        <v>21.333333333333332</v>
      </c>
      <c r="O597" s="18">
        <f t="shared" si="300"/>
        <v>0.54166666666666663</v>
      </c>
      <c r="P597">
        <v>71</v>
      </c>
      <c r="Q597">
        <v>112</v>
      </c>
      <c r="R597" s="17">
        <f t="shared" si="301"/>
        <v>7.8888888888888893</v>
      </c>
      <c r="S597" s="17">
        <f t="shared" si="302"/>
        <v>12.444444444444445</v>
      </c>
      <c r="T597" s="18">
        <f t="shared" si="303"/>
        <v>0.6339285714285714</v>
      </c>
      <c r="U597">
        <v>33</v>
      </c>
      <c r="V597">
        <v>80</v>
      </c>
      <c r="W597" s="17">
        <f t="shared" si="304"/>
        <v>3.6666666666666665</v>
      </c>
      <c r="X597" s="17">
        <f t="shared" si="305"/>
        <v>8.8888888888888893</v>
      </c>
      <c r="Y597" s="18">
        <f t="shared" si="306"/>
        <v>0.41249999999999998</v>
      </c>
      <c r="Z597">
        <v>30</v>
      </c>
      <c r="AA597">
        <v>42</v>
      </c>
      <c r="AB597" s="17">
        <f t="shared" si="307"/>
        <v>3.3333333333333335</v>
      </c>
      <c r="AC597" s="17">
        <f t="shared" si="308"/>
        <v>4.666666666666667</v>
      </c>
      <c r="AD597" s="18">
        <f t="shared" si="309"/>
        <v>0.7142857142857143</v>
      </c>
      <c r="AE597">
        <v>87</v>
      </c>
      <c r="AF597" s="17">
        <f t="shared" si="310"/>
        <v>9.6666666666666661</v>
      </c>
      <c r="AG597">
        <v>26</v>
      </c>
      <c r="AH597" s="17">
        <f t="shared" si="311"/>
        <v>2.8888888888888888</v>
      </c>
      <c r="AI597">
        <v>61</v>
      </c>
      <c r="AJ597" s="17">
        <f t="shared" si="312"/>
        <v>6.7777777777777777</v>
      </c>
      <c r="AK597">
        <v>41</v>
      </c>
      <c r="AL597" s="17">
        <f t="shared" si="313"/>
        <v>4.5555555555555554</v>
      </c>
      <c r="AM597">
        <v>14</v>
      </c>
      <c r="AN597" s="17">
        <f t="shared" si="314"/>
        <v>1.5555555555555556</v>
      </c>
      <c r="AO597">
        <v>6</v>
      </c>
      <c r="AQ597">
        <v>30</v>
      </c>
      <c r="AR597" s="17">
        <f t="shared" si="315"/>
        <v>3.3333333333333335</v>
      </c>
      <c r="AS597">
        <v>24</v>
      </c>
      <c r="AT597" s="17">
        <f t="shared" si="316"/>
        <v>2.6666666666666665</v>
      </c>
      <c r="BD597" s="65">
        <f t="shared" si="317"/>
        <v>64.376662865830482</v>
      </c>
      <c r="BE597" s="65">
        <f t="shared" si="318"/>
        <v>62.760416666666664</v>
      </c>
      <c r="BF597" s="66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37.133161791137702</v>
      </c>
      <c r="BG597" s="38">
        <f t="shared" si="319"/>
        <v>0.41666666666666669</v>
      </c>
      <c r="BH597" s="38">
        <f t="shared" si="320"/>
        <v>0.21875</v>
      </c>
      <c r="BI597" s="67">
        <f>IFERROR(((AG597*(12000/5))/((F597*60+G597)*(SUMIFS(팀공격력!X:X,팀공격력!A:A,B597,팀공격력!B:B,D597)+SUMIFS(팀수비력!X:X,팀수비력!A:A,B597,팀수비력!B:B,D597))))*100,"")</f>
        <v>5.2286179690170869</v>
      </c>
      <c r="BJ597" s="67">
        <f>IFERROR(((AI597*(12000/5))/((F597*60+G597)*(SUMIFS(팀공격력!V:V,팀공격력!A:A,B597,팀공격력!B:B,D597)+SUMIFS(팀수비력!W:W,팀수비력!A:A,B597,팀수비력!B:B,D597))))*100,"")</f>
        <v>23.150490841007993</v>
      </c>
      <c r="BK597" s="67">
        <f>IFERROR(((AE597*(12000/5))/((F597*60+G597)*(SUMIFS(팀공격력!X:X,팀공격력!A:A,B597,팀공격력!B:B,D597)+SUMIFS(팀수비력!X:X,팀수비력!A:A,B597,팀수비력!B:B,D597))))*100,"")</f>
        <v>17.495760127095636</v>
      </c>
      <c r="BL597" s="67">
        <f>IFERROR(100*AK597/(((((F597*60+G597)/(12000/5))*SUMIFS(팀공격력!P:P,팀공격력!A:A,B597,팀공격력!B:B,D597))-K597)),"")</f>
        <v>30.282140922743608</v>
      </c>
      <c r="BM597" s="67">
        <f>IFERROR(100*((AM597/E597*(2400))/((F597*60+G597)*SUMIFS(팀공격력!AR:AR,팀공격력!A:A,B597,팀공격력!B:B,D597))),"")</f>
        <v>2.6061054853592327</v>
      </c>
      <c r="BN597" s="67">
        <f>IFERROR((AO597*40)/(((F597*60+G597)/60)*(SUMIFS(팀수비력!Q:Q,팀수비력!A:A,B597,팀수비력!B:B,D597)-SUMIFS(팀수비력!N:N,팀수비력!A:A,B597,팀수비력!B:B,D597)))*100,"")</f>
        <v>2.1524148899278943</v>
      </c>
      <c r="BO597" s="67">
        <f t="shared" si="321"/>
        <v>12.4750499001996</v>
      </c>
      <c r="BT597" t="s">
        <v>96</v>
      </c>
      <c r="BV597" t="s">
        <v>93</v>
      </c>
      <c r="CF597">
        <v>6</v>
      </c>
      <c r="CG597">
        <v>3</v>
      </c>
    </row>
    <row r="598" spans="1:85" x14ac:dyDescent="0.4">
      <c r="A598" s="11" t="s">
        <v>85</v>
      </c>
      <c r="B598" t="s">
        <v>203</v>
      </c>
      <c r="C598" t="s">
        <v>221</v>
      </c>
      <c r="D598" s="46" t="s">
        <v>309</v>
      </c>
      <c r="E598">
        <v>9</v>
      </c>
      <c r="F598">
        <v>29</v>
      </c>
      <c r="G598" s="1">
        <v>40</v>
      </c>
      <c r="H598" s="16">
        <f t="shared" si="296"/>
        <v>16020</v>
      </c>
      <c r="I598">
        <v>112</v>
      </c>
      <c r="J598" s="17">
        <f t="shared" si="297"/>
        <v>12.444444444444445</v>
      </c>
      <c r="K598">
        <v>46</v>
      </c>
      <c r="L598">
        <v>94</v>
      </c>
      <c r="M598" s="17">
        <f t="shared" si="298"/>
        <v>5.1111111111111107</v>
      </c>
      <c r="N598" s="17">
        <f t="shared" si="299"/>
        <v>10.444444444444445</v>
      </c>
      <c r="O598" s="18">
        <f t="shared" si="300"/>
        <v>0.48936170212765956</v>
      </c>
      <c r="P598">
        <v>46</v>
      </c>
      <c r="Q598">
        <v>94</v>
      </c>
      <c r="R598" s="17">
        <f t="shared" si="301"/>
        <v>5.1111111111111107</v>
      </c>
      <c r="S598" s="17">
        <f t="shared" si="302"/>
        <v>10.444444444444445</v>
      </c>
      <c r="T598" s="18">
        <f t="shared" si="303"/>
        <v>0.48936170212765956</v>
      </c>
      <c r="U598">
        <v>0</v>
      </c>
      <c r="V598">
        <v>0</v>
      </c>
      <c r="W598" s="17">
        <f t="shared" si="304"/>
        <v>0</v>
      </c>
      <c r="X598" s="17">
        <f t="shared" si="305"/>
        <v>0</v>
      </c>
      <c r="Y598" s="18" t="e">
        <f t="shared" si="306"/>
        <v>#DIV/0!</v>
      </c>
      <c r="Z598">
        <v>20</v>
      </c>
      <c r="AA598">
        <v>27</v>
      </c>
      <c r="AB598" s="17">
        <f t="shared" si="307"/>
        <v>2.2222222222222223</v>
      </c>
      <c r="AC598" s="17">
        <f t="shared" si="308"/>
        <v>3</v>
      </c>
      <c r="AD598" s="18">
        <f t="shared" si="309"/>
        <v>0.7407407407407407</v>
      </c>
      <c r="AE598">
        <v>54</v>
      </c>
      <c r="AF598" s="17">
        <f t="shared" si="310"/>
        <v>6</v>
      </c>
      <c r="AG598">
        <v>23</v>
      </c>
      <c r="AH598" s="17">
        <f t="shared" si="311"/>
        <v>2.5555555555555554</v>
      </c>
      <c r="AI598">
        <v>31</v>
      </c>
      <c r="AJ598" s="17">
        <f t="shared" si="312"/>
        <v>3.4444444444444446</v>
      </c>
      <c r="AK598">
        <v>17</v>
      </c>
      <c r="AL598" s="17">
        <f t="shared" si="313"/>
        <v>1.8888888888888888</v>
      </c>
      <c r="AM598">
        <v>4</v>
      </c>
      <c r="AN598" s="17">
        <f t="shared" si="314"/>
        <v>0.44444444444444442</v>
      </c>
      <c r="AO598">
        <v>2</v>
      </c>
      <c r="AQ598">
        <v>12</v>
      </c>
      <c r="AR598" s="17">
        <f t="shared" si="315"/>
        <v>1.3333333333333333</v>
      </c>
      <c r="AS598">
        <v>18</v>
      </c>
      <c r="AT598" s="17">
        <f t="shared" si="316"/>
        <v>2</v>
      </c>
      <c r="BD598" s="65">
        <f t="shared" si="317"/>
        <v>52.890064223649411</v>
      </c>
      <c r="BE598" s="65">
        <f t="shared" si="318"/>
        <v>48.936170212765958</v>
      </c>
      <c r="BF598" s="66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19.715605567467577</v>
      </c>
      <c r="BG598" s="38">
        <f t="shared" si="319"/>
        <v>0</v>
      </c>
      <c r="BH598" s="38">
        <f t="shared" si="320"/>
        <v>0.28723404255319152</v>
      </c>
      <c r="BI598" s="67">
        <f>IFERROR(((AG598*(12000/5))/((F598*60+G598)*(SUMIFS(팀공격력!X:X,팀공격력!A:A,B598,팀공격력!B:B,D598)+SUMIFS(팀수비력!X:X,팀수비력!A:A,B598,팀수비력!B:B,D598))))*100,"")</f>
        <v>5.009892722949302</v>
      </c>
      <c r="BJ598" s="67">
        <f>IFERROR(((AI598*(12000/5))/((F598*60+G598)*(SUMIFS(팀공격력!V:V,팀공격력!A:A,B598,팀공격력!B:B,D598)+SUMIFS(팀수비력!W:W,팀수비력!A:A,B598,팀수비력!B:B,D598))))*100,"")</f>
        <v>12.743217319813649</v>
      </c>
      <c r="BK598" s="67">
        <f>IFERROR(((AE598*(12000/5))/((F598*60+G598)*(SUMIFS(팀공격력!X:X,팀공격력!A:A,B598,팀공격력!B:B,D598)+SUMIFS(팀수비력!X:X,팀수비력!A:A,B598,팀수비력!B:B,D598))))*100,"")</f>
        <v>11.762356827794013</v>
      </c>
      <c r="BL598" s="67">
        <f>IFERROR(100*AK598/(((((F598*60+G598)/(12000/5))*SUMIFS(팀공격력!P:P,팀공격력!A:A,B598,팀공격력!B:B,D598))-K598)),"")</f>
        <v>9.7133606323207307</v>
      </c>
      <c r="BM598" s="67">
        <f>IFERROR(100*((AM598/E598*(2400))/((F598*60+G598)*SUMIFS(팀공격력!AR:AR,팀공격력!A:A,B598,팀공격력!B:B,D598))),"")</f>
        <v>0.80651225935354731</v>
      </c>
      <c r="BN598" s="67">
        <f>IFERROR((AO598*40)/(((F598*60+G598)/60)*(SUMIFS(팀수비력!Q:Q,팀수비력!A:A,B598,팀수비력!B:B,D598)-SUMIFS(팀수비력!N:N,팀수비력!A:A,B598,팀수비력!B:B,D598)))*100,"")</f>
        <v>0.77712657449082012</v>
      </c>
      <c r="BO598" s="67">
        <f t="shared" si="321"/>
        <v>10.179843909060061</v>
      </c>
      <c r="BT598" t="s">
        <v>89</v>
      </c>
      <c r="BV598" t="s">
        <v>102</v>
      </c>
      <c r="CF598">
        <v>6</v>
      </c>
      <c r="CG598">
        <v>3</v>
      </c>
    </row>
    <row r="599" spans="1:85" x14ac:dyDescent="0.4">
      <c r="A599" s="11" t="s">
        <v>85</v>
      </c>
      <c r="B599" t="s">
        <v>203</v>
      </c>
      <c r="C599" t="s">
        <v>222</v>
      </c>
      <c r="D599" s="46" t="s">
        <v>309</v>
      </c>
      <c r="E599">
        <v>9</v>
      </c>
      <c r="F599">
        <v>25</v>
      </c>
      <c r="G599" s="1">
        <v>8</v>
      </c>
      <c r="H599" s="16">
        <f t="shared" si="296"/>
        <v>13572</v>
      </c>
      <c r="I599">
        <v>92</v>
      </c>
      <c r="J599" s="17">
        <f t="shared" si="297"/>
        <v>10.222222222222221</v>
      </c>
      <c r="K599">
        <v>32</v>
      </c>
      <c r="L599">
        <v>75</v>
      </c>
      <c r="M599" s="17">
        <f t="shared" si="298"/>
        <v>3.5555555555555554</v>
      </c>
      <c r="N599" s="17">
        <f t="shared" si="299"/>
        <v>8.3333333333333339</v>
      </c>
      <c r="O599" s="18">
        <f t="shared" si="300"/>
        <v>0.42666666666666669</v>
      </c>
      <c r="P599">
        <v>10</v>
      </c>
      <c r="Q599">
        <v>17</v>
      </c>
      <c r="R599" s="17">
        <f t="shared" si="301"/>
        <v>1.1111111111111112</v>
      </c>
      <c r="S599" s="17">
        <f t="shared" si="302"/>
        <v>1.8888888888888888</v>
      </c>
      <c r="T599" s="18">
        <f t="shared" si="303"/>
        <v>0.58823529411764708</v>
      </c>
      <c r="U599">
        <v>22</v>
      </c>
      <c r="V599">
        <v>58</v>
      </c>
      <c r="W599" s="17">
        <f t="shared" si="304"/>
        <v>2.4444444444444446</v>
      </c>
      <c r="X599" s="17">
        <f t="shared" si="305"/>
        <v>6.4444444444444446</v>
      </c>
      <c r="Y599" s="18">
        <f t="shared" si="306"/>
        <v>0.37931034482758619</v>
      </c>
      <c r="Z599">
        <v>6</v>
      </c>
      <c r="AA599">
        <v>14</v>
      </c>
      <c r="AB599" s="17">
        <f t="shared" si="307"/>
        <v>0.66666666666666663</v>
      </c>
      <c r="AC599" s="17">
        <f t="shared" si="308"/>
        <v>1.5555555555555556</v>
      </c>
      <c r="AD599" s="18">
        <f t="shared" si="309"/>
        <v>0.42857142857142855</v>
      </c>
      <c r="AE599">
        <v>28</v>
      </c>
      <c r="AF599" s="17">
        <f t="shared" si="310"/>
        <v>3.1111111111111112</v>
      </c>
      <c r="AG599">
        <v>6</v>
      </c>
      <c r="AH599" s="17">
        <f t="shared" si="311"/>
        <v>0.66666666666666663</v>
      </c>
      <c r="AI599">
        <v>22</v>
      </c>
      <c r="AJ599" s="17">
        <f t="shared" si="312"/>
        <v>2.4444444444444446</v>
      </c>
      <c r="AK599">
        <v>9</v>
      </c>
      <c r="AL599" s="17">
        <f t="shared" si="313"/>
        <v>1</v>
      </c>
      <c r="AM599">
        <v>7</v>
      </c>
      <c r="AN599" s="17">
        <f t="shared" si="314"/>
        <v>0.77777777777777779</v>
      </c>
      <c r="AO599">
        <v>2</v>
      </c>
      <c r="AQ599">
        <v>9</v>
      </c>
      <c r="AR599" s="17">
        <f t="shared" si="315"/>
        <v>1</v>
      </c>
      <c r="AS599">
        <v>25</v>
      </c>
      <c r="AT599" s="17">
        <f t="shared" si="316"/>
        <v>2.7777777777777777</v>
      </c>
      <c r="BD599" s="65">
        <f t="shared" si="317"/>
        <v>56.678166584524405</v>
      </c>
      <c r="BE599" s="65">
        <f t="shared" si="318"/>
        <v>57.333333333333336</v>
      </c>
      <c r="BF599" s="66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17.799285027832113</v>
      </c>
      <c r="BG599" s="38">
        <f t="shared" si="319"/>
        <v>0.77333333333333332</v>
      </c>
      <c r="BH599" s="38">
        <f t="shared" si="320"/>
        <v>0.18666666666666668</v>
      </c>
      <c r="BI599" s="67">
        <f>IFERROR(((AG599*(12000/5))/((F599*60+G599)*(SUMIFS(팀공격력!X:X,팀공격력!A:A,B599,팀공격력!B:B,D599)+SUMIFS(팀수비력!X:X,팀수비력!A:A,B599,팀수비력!B:B,D599))))*100,"")</f>
        <v>1.542661004529424</v>
      </c>
      <c r="BJ599" s="67">
        <f>IFERROR(((AI599*(12000/5))/((F599*60+G599)*(SUMIFS(팀공격력!V:V,팀공격력!A:A,B599,팀공격력!B:B,D599)+SUMIFS(팀수비력!W:W,팀수비력!A:A,B599,팀수비력!B:B,D599))))*100,"")</f>
        <v>10.674775182765091</v>
      </c>
      <c r="BK599" s="67">
        <f>IFERROR(((AE599*(12000/5))/((F599*60+G599)*(SUMIFS(팀공격력!X:X,팀공격력!A:A,B599,팀공격력!B:B,D599)+SUMIFS(팀수비력!X:X,팀수비력!A:A,B599,팀수비력!B:B,D599))))*100,"")</f>
        <v>7.1990846878039791</v>
      </c>
      <c r="BL599" s="67">
        <f>IFERROR(100*AK599/(((((F599*60+G599)/(12000/5))*SUMIFS(팀공격력!P:P,팀공격력!A:A,B599,팀공격력!B:B,D599))-K599)),"")</f>
        <v>5.7973503961522779</v>
      </c>
      <c r="BM599" s="67">
        <f>IFERROR(100*((AM599/E599*(2400))/((F599*60+G599)*SUMIFS(팀공격력!AR:AR,팀공격력!A:A,B599,팀공격력!B:B,D599))),"")</f>
        <v>1.6659719415691647</v>
      </c>
      <c r="BN599" s="67">
        <f>IFERROR((AO599*40)/(((F599*60+G599)/60)*(SUMIFS(팀수비력!Q:Q,팀수비력!A:A,B599,팀수비력!B:B,D599)-SUMIFS(팀수비력!N:N,팀수비력!A:A,B599,팀수비력!B:B,D599)))*100,"")</f>
        <v>0.91729794601701586</v>
      </c>
      <c r="BO599" s="67">
        <f t="shared" si="321"/>
        <v>9.9822537710736476</v>
      </c>
      <c r="BT599" t="s">
        <v>89</v>
      </c>
      <c r="BV599" t="s">
        <v>93</v>
      </c>
      <c r="CF599">
        <v>6</v>
      </c>
      <c r="CG599">
        <v>3</v>
      </c>
    </row>
    <row r="600" spans="1:85" x14ac:dyDescent="0.4">
      <c r="A600" s="11" t="s">
        <v>85</v>
      </c>
      <c r="B600" t="s">
        <v>203</v>
      </c>
      <c r="C600" t="s">
        <v>223</v>
      </c>
      <c r="D600" s="46" t="s">
        <v>309</v>
      </c>
      <c r="E600">
        <v>3</v>
      </c>
      <c r="F600">
        <v>20</v>
      </c>
      <c r="G600" s="1">
        <v>49</v>
      </c>
      <c r="H600" s="16">
        <f t="shared" si="296"/>
        <v>3747</v>
      </c>
      <c r="I600">
        <v>31</v>
      </c>
      <c r="J600" s="17">
        <f t="shared" si="297"/>
        <v>10.333333333333334</v>
      </c>
      <c r="K600">
        <v>12</v>
      </c>
      <c r="L600">
        <v>31</v>
      </c>
      <c r="M600" s="17">
        <f t="shared" si="298"/>
        <v>4</v>
      </c>
      <c r="N600" s="17">
        <f t="shared" si="299"/>
        <v>10.333333333333334</v>
      </c>
      <c r="O600" s="18">
        <f t="shared" si="300"/>
        <v>0.38709677419354838</v>
      </c>
      <c r="P600">
        <v>7</v>
      </c>
      <c r="Q600">
        <v>17</v>
      </c>
      <c r="R600" s="17">
        <f t="shared" si="301"/>
        <v>2.3333333333333335</v>
      </c>
      <c r="S600" s="17">
        <f t="shared" si="302"/>
        <v>5.666666666666667</v>
      </c>
      <c r="T600" s="18">
        <f t="shared" si="303"/>
        <v>0.41176470588235292</v>
      </c>
      <c r="U600">
        <v>5</v>
      </c>
      <c r="V600">
        <v>14</v>
      </c>
      <c r="W600" s="17">
        <f t="shared" si="304"/>
        <v>1.6666666666666667</v>
      </c>
      <c r="X600" s="17">
        <f t="shared" si="305"/>
        <v>4.666666666666667</v>
      </c>
      <c r="Y600" s="18">
        <f t="shared" si="306"/>
        <v>0.35714285714285715</v>
      </c>
      <c r="Z600">
        <v>2</v>
      </c>
      <c r="AA600">
        <v>2</v>
      </c>
      <c r="AB600" s="17">
        <f t="shared" si="307"/>
        <v>0.66666666666666663</v>
      </c>
      <c r="AC600" s="17">
        <f t="shared" si="308"/>
        <v>0.66666666666666663</v>
      </c>
      <c r="AD600" s="18">
        <f t="shared" si="309"/>
        <v>1</v>
      </c>
      <c r="AE600">
        <v>9</v>
      </c>
      <c r="AF600" s="17">
        <f t="shared" si="310"/>
        <v>3</v>
      </c>
      <c r="AG600">
        <v>3</v>
      </c>
      <c r="AH600" s="17">
        <f t="shared" si="311"/>
        <v>1</v>
      </c>
      <c r="AI600">
        <v>6</v>
      </c>
      <c r="AJ600" s="17">
        <f t="shared" si="312"/>
        <v>2</v>
      </c>
      <c r="AK600">
        <v>9</v>
      </c>
      <c r="AL600" s="17">
        <f t="shared" si="313"/>
        <v>3</v>
      </c>
      <c r="AM600">
        <v>7</v>
      </c>
      <c r="AN600" s="17">
        <f t="shared" si="314"/>
        <v>2.3333333333333335</v>
      </c>
      <c r="AO600">
        <v>2</v>
      </c>
      <c r="AQ600">
        <v>3</v>
      </c>
      <c r="AR600" s="17">
        <f t="shared" si="315"/>
        <v>1</v>
      </c>
      <c r="AS600">
        <v>4</v>
      </c>
      <c r="AT600" s="17">
        <f t="shared" si="316"/>
        <v>1.3333333333333333</v>
      </c>
      <c r="BD600" s="65">
        <f t="shared" si="317"/>
        <v>48.619824341279802</v>
      </c>
      <c r="BE600" s="65">
        <f t="shared" si="318"/>
        <v>46.774193548387096</v>
      </c>
      <c r="BF600" s="66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8.3138854042448003</v>
      </c>
      <c r="BG600" s="38">
        <f t="shared" si="319"/>
        <v>0.45161290322580644</v>
      </c>
      <c r="BH600" s="38">
        <f t="shared" si="320"/>
        <v>6.4516129032258063E-2</v>
      </c>
      <c r="BI600" s="67">
        <f>IFERROR(((AG600*(12000/5))/((F600*60+G600)*(SUMIFS(팀공격력!X:X,팀공격력!A:A,B600,팀공격력!B:B,D600)+SUMIFS(팀수비력!X:X,팀수비력!A:A,B600,팀수비력!B:B,D600))))*100,"")</f>
        <v>0.9312781404445043</v>
      </c>
      <c r="BJ600" s="67">
        <f>IFERROR(((AI600*(12000/5))/((F600*60+G600)*(SUMIFS(팀공격력!V:V,팀공격력!A:A,B600,팀공격력!B:B,D600)+SUMIFS(팀수비력!W:W,팀수비력!A:A,B600,팀수비력!B:B,D600))))*100,"")</f>
        <v>3.5150071276533419</v>
      </c>
      <c r="BK600" s="67">
        <f>IFERROR(((AE600*(12000/5))/((F600*60+G600)*(SUMIFS(팀공격력!X:X,팀공격력!A:A,B600,팀공격력!B:B,D600)+SUMIFS(팀수비력!X:X,팀수비력!A:A,B600,팀수비력!B:B,D600))))*100,"")</f>
        <v>2.7938344213335129</v>
      </c>
      <c r="BL600" s="67">
        <f>IFERROR(100*AK600/(((((F600*60+G600)/(12000/5))*SUMIFS(팀공격력!P:P,팀공격력!A:A,B600,팀공격력!B:B,D600))-K600)),"")</f>
        <v>6.2900041350953115</v>
      </c>
      <c r="BM600" s="67">
        <f>IFERROR(100*((AM600/E600*(2400))/((F600*60+G600)*SUMIFS(팀공격력!AR:AR,팀공격력!A:A,B600,팀공격력!B:B,D600))),"")</f>
        <v>6.0343131014082481</v>
      </c>
      <c r="BN600" s="67">
        <f>IFERROR((AO600*40)/(((F600*60+G600)/60)*(SUMIFS(팀수비력!Q:Q,팀수비력!A:A,B600,팀수비력!B:B,D600)-SUMIFS(팀수비력!N:N,팀수비력!A:A,B600,팀수비력!B:B,D600)))*100,"")</f>
        <v>1.10751425347771</v>
      </c>
      <c r="BO600" s="67">
        <f t="shared" si="321"/>
        <v>8.6009174311926611</v>
      </c>
      <c r="BT600" t="s">
        <v>89</v>
      </c>
      <c r="BV600" t="s">
        <v>90</v>
      </c>
      <c r="CF600">
        <v>2</v>
      </c>
      <c r="CG600">
        <v>1</v>
      </c>
    </row>
    <row r="601" spans="1:85" x14ac:dyDescent="0.4">
      <c r="A601" s="11" t="s">
        <v>85</v>
      </c>
      <c r="B601" t="s">
        <v>224</v>
      </c>
      <c r="C601" t="s">
        <v>225</v>
      </c>
      <c r="D601" s="46" t="s">
        <v>309</v>
      </c>
      <c r="E601">
        <v>4</v>
      </c>
      <c r="F601">
        <v>5</v>
      </c>
      <c r="G601" s="1">
        <v>25</v>
      </c>
      <c r="H601" s="16">
        <f t="shared" si="296"/>
        <v>1300</v>
      </c>
      <c r="I601">
        <v>11</v>
      </c>
      <c r="J601" s="17">
        <f t="shared" si="297"/>
        <v>2.75</v>
      </c>
      <c r="K601">
        <v>4</v>
      </c>
      <c r="L601">
        <v>9</v>
      </c>
      <c r="M601" s="17">
        <f t="shared" si="298"/>
        <v>1</v>
      </c>
      <c r="N601" s="17">
        <f t="shared" si="299"/>
        <v>2.25</v>
      </c>
      <c r="O601" s="18">
        <f t="shared" si="300"/>
        <v>0.44444444444444442</v>
      </c>
      <c r="P601">
        <v>1</v>
      </c>
      <c r="Q601">
        <v>3</v>
      </c>
      <c r="R601" s="17">
        <f t="shared" si="301"/>
        <v>0.25</v>
      </c>
      <c r="S601" s="17">
        <f t="shared" si="302"/>
        <v>0.75</v>
      </c>
      <c r="T601" s="18">
        <f t="shared" si="303"/>
        <v>0.33333333333333331</v>
      </c>
      <c r="U601">
        <v>3</v>
      </c>
      <c r="V601">
        <v>6</v>
      </c>
      <c r="W601" s="17">
        <f t="shared" si="304"/>
        <v>0.75</v>
      </c>
      <c r="X601" s="17">
        <f t="shared" si="305"/>
        <v>1.5</v>
      </c>
      <c r="Y601" s="18">
        <f t="shared" si="306"/>
        <v>0.5</v>
      </c>
      <c r="Z601">
        <v>0</v>
      </c>
      <c r="AA601">
        <v>2</v>
      </c>
      <c r="AB601" s="17">
        <f t="shared" si="307"/>
        <v>0</v>
      </c>
      <c r="AC601" s="17">
        <f t="shared" si="308"/>
        <v>0.5</v>
      </c>
      <c r="AD601" s="18">
        <f t="shared" si="309"/>
        <v>0</v>
      </c>
      <c r="AE601">
        <v>1</v>
      </c>
      <c r="AF601" s="17">
        <f t="shared" si="310"/>
        <v>0.25</v>
      </c>
      <c r="AG601">
        <v>0</v>
      </c>
      <c r="AH601" s="17">
        <f t="shared" si="311"/>
        <v>0</v>
      </c>
      <c r="AI601">
        <v>1</v>
      </c>
      <c r="AJ601" s="17">
        <f t="shared" si="312"/>
        <v>0.25</v>
      </c>
      <c r="AK601">
        <v>0</v>
      </c>
      <c r="AL601" s="17">
        <f t="shared" si="313"/>
        <v>0</v>
      </c>
      <c r="AM601">
        <v>0</v>
      </c>
      <c r="AN601" s="17">
        <f t="shared" si="314"/>
        <v>0</v>
      </c>
      <c r="AO601">
        <v>0</v>
      </c>
      <c r="AQ601">
        <v>1</v>
      </c>
      <c r="AR601" s="17">
        <f t="shared" si="315"/>
        <v>0.25</v>
      </c>
      <c r="AS601">
        <v>3</v>
      </c>
      <c r="AT601" s="17">
        <f t="shared" si="316"/>
        <v>0.75</v>
      </c>
      <c r="BD601" s="65">
        <f t="shared" si="317"/>
        <v>55.668016194331983</v>
      </c>
      <c r="BE601" s="65">
        <f t="shared" si="318"/>
        <v>61.111111111111114</v>
      </c>
      <c r="BF601" s="66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10.568878635176979</v>
      </c>
      <c r="BG601" s="38">
        <f t="shared" si="319"/>
        <v>0.66666666666666663</v>
      </c>
      <c r="BH601" s="38">
        <f t="shared" si="320"/>
        <v>0.22222222222222221</v>
      </c>
      <c r="BI601" s="67">
        <f>IFERROR(((AG601*(12000/5))/((F601*60+G601)*(SUMIFS(팀공격력!X:X,팀공격력!A:A,B601,팀공격력!B:B,D601)+SUMIFS(팀수비력!X:X,팀수비력!A:A,B601,팀수비력!B:B,D601))))*100,"")</f>
        <v>0</v>
      </c>
      <c r="BJ601" s="67">
        <f>IFERROR(((AI601*(12000/5))/((F601*60+G601)*(SUMIFS(팀공격력!V:V,팀공격력!A:A,B601,팀공격력!B:B,D601)+SUMIFS(팀수비력!W:W,팀수비력!A:A,B601,팀수비력!B:B,D601))))*100,"")</f>
        <v>2.197802197802198</v>
      </c>
      <c r="BK601" s="67">
        <f>IFERROR(((AE601*(12000/5))/((F601*60+G601)*(SUMIFS(팀공격력!X:X,팀공격력!A:A,B601,팀공격력!B:B,D601)+SUMIFS(팀수비력!X:X,팀수비력!A:A,B601,팀수비력!B:B,D601))))*100,"")</f>
        <v>1.1666059059423988</v>
      </c>
      <c r="BL601" s="67">
        <f>IFERROR(100*AK601/(((((F601*60+G601)/(12000/5))*SUMIFS(팀공격력!P:P,팀공격력!A:A,B601,팀공격력!B:B,D601))-K601)),"")</f>
        <v>0</v>
      </c>
      <c r="BM601" s="67">
        <f>IFERROR(100*((AM601/E601*(2400))/((F601*60+G601)*SUMIFS(팀공격력!AR:AR,팀공격력!A:A,B601,팀공격력!B:B,D601))),"")</f>
        <v>0</v>
      </c>
      <c r="BN601" s="67">
        <f>IFERROR((AO601*40)/(((F601*60+G601)/60)*(SUMIFS(팀수비력!Q:Q,팀수비력!A:A,B601,팀수비력!B:B,D601)-SUMIFS(팀수비력!N:N,팀수비력!A:A,B601,팀수비력!B:B,D601)))*100,"")</f>
        <v>0</v>
      </c>
      <c r="BO601" s="67">
        <f t="shared" si="321"/>
        <v>9.1911764705882355</v>
      </c>
      <c r="BT601" t="s">
        <v>89</v>
      </c>
      <c r="BV601" t="s">
        <v>90</v>
      </c>
      <c r="CF601">
        <v>0</v>
      </c>
      <c r="CG601">
        <v>4</v>
      </c>
    </row>
    <row r="602" spans="1:85" x14ac:dyDescent="0.4">
      <c r="A602" s="11" t="s">
        <v>85</v>
      </c>
      <c r="B602" t="s">
        <v>224</v>
      </c>
      <c r="C602" t="s">
        <v>226</v>
      </c>
      <c r="D602" s="46" t="s">
        <v>309</v>
      </c>
      <c r="E602">
        <v>4</v>
      </c>
      <c r="F602">
        <v>9</v>
      </c>
      <c r="G602" s="1">
        <v>45</v>
      </c>
      <c r="H602" s="16">
        <f t="shared" si="296"/>
        <v>2340</v>
      </c>
      <c r="I602">
        <v>22</v>
      </c>
      <c r="J602" s="17">
        <f t="shared" si="297"/>
        <v>5.5</v>
      </c>
      <c r="K602">
        <v>9</v>
      </c>
      <c r="L602">
        <v>13</v>
      </c>
      <c r="M602" s="17">
        <f t="shared" si="298"/>
        <v>2.25</v>
      </c>
      <c r="N602" s="17">
        <f t="shared" si="299"/>
        <v>3.25</v>
      </c>
      <c r="O602" s="18">
        <f t="shared" si="300"/>
        <v>0.69230769230769229</v>
      </c>
      <c r="P602">
        <v>8</v>
      </c>
      <c r="Q602">
        <v>12</v>
      </c>
      <c r="R602" s="17">
        <f t="shared" si="301"/>
        <v>2</v>
      </c>
      <c r="S602" s="17">
        <f t="shared" si="302"/>
        <v>3</v>
      </c>
      <c r="T602" s="18">
        <f t="shared" si="303"/>
        <v>0.66666666666666663</v>
      </c>
      <c r="U602">
        <v>1</v>
      </c>
      <c r="V602">
        <v>1</v>
      </c>
      <c r="W602" s="17">
        <f t="shared" si="304"/>
        <v>0.25</v>
      </c>
      <c r="X602" s="17">
        <f t="shared" si="305"/>
        <v>0.25</v>
      </c>
      <c r="Y602" s="18">
        <f t="shared" si="306"/>
        <v>1</v>
      </c>
      <c r="Z602">
        <v>3</v>
      </c>
      <c r="AA602">
        <v>6</v>
      </c>
      <c r="AB602" s="17">
        <f t="shared" si="307"/>
        <v>0.75</v>
      </c>
      <c r="AC602" s="17">
        <f t="shared" si="308"/>
        <v>1.5</v>
      </c>
      <c r="AD602" s="18">
        <f t="shared" si="309"/>
        <v>0.5</v>
      </c>
      <c r="AE602">
        <v>13</v>
      </c>
      <c r="AF602" s="17">
        <f t="shared" si="310"/>
        <v>3.25</v>
      </c>
      <c r="AG602">
        <v>7</v>
      </c>
      <c r="AH602" s="17">
        <f t="shared" si="311"/>
        <v>1.75</v>
      </c>
      <c r="AI602">
        <v>6</v>
      </c>
      <c r="AJ602" s="17">
        <f t="shared" si="312"/>
        <v>1.5</v>
      </c>
      <c r="AK602">
        <v>1</v>
      </c>
      <c r="AL602" s="17">
        <f t="shared" si="313"/>
        <v>0.25</v>
      </c>
      <c r="AM602">
        <v>2</v>
      </c>
      <c r="AN602" s="17">
        <f t="shared" si="314"/>
        <v>0.5</v>
      </c>
      <c r="AO602">
        <v>1</v>
      </c>
      <c r="AQ602">
        <v>2</v>
      </c>
      <c r="AR602" s="17">
        <f t="shared" si="315"/>
        <v>0.5</v>
      </c>
      <c r="AS602">
        <v>9</v>
      </c>
      <c r="AT602" s="17">
        <f t="shared" si="316"/>
        <v>2.25</v>
      </c>
      <c r="BD602" s="65">
        <f t="shared" si="317"/>
        <v>70.332480818414325</v>
      </c>
      <c r="BE602" s="65">
        <f t="shared" si="318"/>
        <v>73.076923076923066</v>
      </c>
      <c r="BF602" s="66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9.5197620059498504</v>
      </c>
      <c r="BG602" s="38">
        <f t="shared" si="319"/>
        <v>7.6923076923076927E-2</v>
      </c>
      <c r="BH602" s="38">
        <f t="shared" si="320"/>
        <v>0.46153846153846156</v>
      </c>
      <c r="BI602" s="67">
        <f>IFERROR(((AG602*(12000/5))/((F602*60+G602)*(SUMIFS(팀공격력!X:X,팀공격력!A:A,B602,팀공격력!B:B,D602)+SUMIFS(팀수비력!X:X,팀수비력!A:A,B602,팀수비력!B:B,D602))))*100,"")</f>
        <v>4.5368007453315515</v>
      </c>
      <c r="BJ602" s="67">
        <f>IFERROR(((AI602*(12000/5))/((F602*60+G602)*(SUMIFS(팀공격력!V:V,팀공격력!A:A,B602,팀공격력!B:B,D602)+SUMIFS(팀수비력!W:W,팀수비력!A:A,B602,팀수비력!B:B,D602))))*100,"")</f>
        <v>7.3260073260073266</v>
      </c>
      <c r="BK602" s="67">
        <f>IFERROR(((AE602*(12000/5))/((F602*60+G602)*(SUMIFS(팀공격력!X:X,팀공격력!A:A,B602,팀공격력!B:B,D602)+SUMIFS(팀수비력!X:X,팀수비력!A:A,B602,팀수비력!B:B,D602))))*100,"")</f>
        <v>8.42548709847288</v>
      </c>
      <c r="BL602" s="67">
        <f>IFERROR(100*AK602/(((((F602*60+G602)/(12000/5))*SUMIFS(팀공격력!P:P,팀공격력!A:A,B602,팀공격력!B:B,D602))-K602)),"")</f>
        <v>1.7831271592555444</v>
      </c>
      <c r="BM602" s="67">
        <f>IFERROR(100*((AM602/E602*(2400))/((F602*60+G602)*SUMIFS(팀공격력!AR:AR,팀공격력!A:A,B602,팀공격력!B:B,D602))),"")</f>
        <v>2.8287162828687542</v>
      </c>
      <c r="BN602" s="67">
        <f>IFERROR((AO602*40)/(((F602*60+G602)/60)*(SUMIFS(팀수비력!Q:Q,팀수비력!A:A,B602,팀수비력!B:B,D602)-SUMIFS(팀수비력!N:N,팀수비력!A:A,B602,팀수비력!B:B,D602)))*100,"")</f>
        <v>1.030795000644247</v>
      </c>
      <c r="BO602" s="67">
        <f t="shared" si="321"/>
        <v>11.337868480725623</v>
      </c>
      <c r="BT602" t="s">
        <v>89</v>
      </c>
      <c r="BV602" t="s">
        <v>102</v>
      </c>
      <c r="CF602">
        <v>1</v>
      </c>
      <c r="CG602">
        <v>3</v>
      </c>
    </row>
    <row r="603" spans="1:85" x14ac:dyDescent="0.4">
      <c r="A603" s="11" t="s">
        <v>85</v>
      </c>
      <c r="B603" t="s">
        <v>224</v>
      </c>
      <c r="C603" t="s">
        <v>227</v>
      </c>
      <c r="D603" s="46" t="s">
        <v>309</v>
      </c>
      <c r="E603">
        <v>3</v>
      </c>
      <c r="F603">
        <v>5</v>
      </c>
      <c r="G603" s="1">
        <v>44</v>
      </c>
      <c r="H603" s="16">
        <f t="shared" si="296"/>
        <v>1032</v>
      </c>
      <c r="I603">
        <v>3</v>
      </c>
      <c r="J603" s="17">
        <f t="shared" si="297"/>
        <v>1</v>
      </c>
      <c r="K603">
        <v>1</v>
      </c>
      <c r="L603">
        <v>4</v>
      </c>
      <c r="M603" s="17">
        <f t="shared" si="298"/>
        <v>0.33333333333333331</v>
      </c>
      <c r="N603" s="17">
        <f t="shared" si="299"/>
        <v>1.3333333333333333</v>
      </c>
      <c r="O603" s="18">
        <f t="shared" si="300"/>
        <v>0.25</v>
      </c>
      <c r="P603">
        <v>0</v>
      </c>
      <c r="Q603">
        <v>0</v>
      </c>
      <c r="R603" s="17">
        <f t="shared" si="301"/>
        <v>0</v>
      </c>
      <c r="S603" s="17">
        <f t="shared" si="302"/>
        <v>0</v>
      </c>
      <c r="T603" s="18" t="e">
        <f t="shared" si="303"/>
        <v>#DIV/0!</v>
      </c>
      <c r="U603">
        <v>1</v>
      </c>
      <c r="V603">
        <v>4</v>
      </c>
      <c r="W603" s="17">
        <f t="shared" si="304"/>
        <v>0.33333333333333331</v>
      </c>
      <c r="X603" s="17">
        <f t="shared" si="305"/>
        <v>1.3333333333333333</v>
      </c>
      <c r="Y603" s="18">
        <f t="shared" si="306"/>
        <v>0.25</v>
      </c>
      <c r="Z603">
        <v>0</v>
      </c>
      <c r="AA603">
        <v>0</v>
      </c>
      <c r="AB603" s="17">
        <f t="shared" si="307"/>
        <v>0</v>
      </c>
      <c r="AC603" s="17">
        <f t="shared" si="308"/>
        <v>0</v>
      </c>
      <c r="AD603" s="18" t="e">
        <f t="shared" si="309"/>
        <v>#DIV/0!</v>
      </c>
      <c r="AE603">
        <v>0</v>
      </c>
      <c r="AF603" s="17">
        <f t="shared" si="310"/>
        <v>0</v>
      </c>
      <c r="AG603">
        <v>0</v>
      </c>
      <c r="AH603" s="17">
        <f t="shared" si="311"/>
        <v>0</v>
      </c>
      <c r="AI603">
        <v>0</v>
      </c>
      <c r="AJ603" s="17">
        <f t="shared" si="312"/>
        <v>0</v>
      </c>
      <c r="AK603">
        <v>0</v>
      </c>
      <c r="AL603" s="17">
        <f t="shared" si="313"/>
        <v>0</v>
      </c>
      <c r="AM603">
        <v>0</v>
      </c>
      <c r="AN603" s="17">
        <f t="shared" si="314"/>
        <v>0</v>
      </c>
      <c r="AO603">
        <v>0</v>
      </c>
      <c r="AQ603">
        <v>0</v>
      </c>
      <c r="AR603" s="17">
        <f t="shared" si="315"/>
        <v>0</v>
      </c>
      <c r="AS603">
        <v>1</v>
      </c>
      <c r="AT603" s="17">
        <f t="shared" si="316"/>
        <v>0.33333333333333331</v>
      </c>
      <c r="BD603" s="65">
        <f t="shared" si="317"/>
        <v>37.5</v>
      </c>
      <c r="BE603" s="65">
        <f t="shared" si="318"/>
        <v>37.5</v>
      </c>
      <c r="BF603" s="66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3.6710045704006897</v>
      </c>
      <c r="BG603" s="38">
        <f t="shared" si="319"/>
        <v>1</v>
      </c>
      <c r="BH603" s="38">
        <f t="shared" si="320"/>
        <v>0</v>
      </c>
      <c r="BI603" s="67">
        <f>IFERROR(((AG603*(12000/5))/((F603*60+G603)*(SUMIFS(팀공격력!X:X,팀공격력!A:A,B603,팀공격력!B:B,D603)+SUMIFS(팀수비력!X:X,팀수비력!A:A,B603,팀수비력!B:B,D603))))*100,"")</f>
        <v>0</v>
      </c>
      <c r="BJ603" s="67">
        <f>IFERROR(((AI603*(12000/5))/((F603*60+G603)*(SUMIFS(팀공격력!V:V,팀공격력!A:A,B603,팀공격력!B:B,D603)+SUMIFS(팀수비력!W:W,팀수비력!A:A,B603,팀수비력!B:B,D603))))*100,"")</f>
        <v>0</v>
      </c>
      <c r="BK603" s="67">
        <f>IFERROR(((AE603*(12000/5))/((F603*60+G603)*(SUMIFS(팀공격력!X:X,팀공격력!A:A,B603,팀공격력!B:B,D603)+SUMIFS(팀수비력!X:X,팀수비력!A:A,B603,팀수비력!B:B,D603))))*100,"")</f>
        <v>0</v>
      </c>
      <c r="BL603" s="67">
        <f>IFERROR(100*AK603/(((((F603*60+G603)/(12000/5))*SUMIFS(팀공격력!P:P,팀공격력!A:A,B603,팀공격력!B:B,D603))-K603)),"")</f>
        <v>0</v>
      </c>
      <c r="BM603" s="67">
        <f>IFERROR(100*((AM603/E603*(2400))/((F603*60+G603)*SUMIFS(팀공격력!AR:AR,팀공격력!A:A,B603,팀공격력!B:B,D603))),"")</f>
        <v>0</v>
      </c>
      <c r="BN603" s="67">
        <f>IFERROR((AO603*40)/(((F603*60+G603)/60)*(SUMIFS(팀수비력!Q:Q,팀수비력!A:A,B603,팀수비력!B:B,D603)-SUMIFS(팀수비력!N:N,팀수비력!A:A,B603,팀수비력!B:B,D603)))*100,"")</f>
        <v>0</v>
      </c>
      <c r="BO603" s="67">
        <f t="shared" si="321"/>
        <v>0</v>
      </c>
      <c r="BT603" t="s">
        <v>89</v>
      </c>
      <c r="BV603" t="s">
        <v>93</v>
      </c>
      <c r="CF603">
        <v>0</v>
      </c>
      <c r="CG603">
        <v>3</v>
      </c>
    </row>
    <row r="604" spans="1:85" x14ac:dyDescent="0.4">
      <c r="A604" s="11" t="s">
        <v>85</v>
      </c>
      <c r="B604" t="s">
        <v>224</v>
      </c>
      <c r="C604" t="s">
        <v>228</v>
      </c>
      <c r="D604" s="46" t="s">
        <v>309</v>
      </c>
      <c r="E604">
        <v>8</v>
      </c>
      <c r="F604">
        <v>11</v>
      </c>
      <c r="G604" s="1">
        <v>5</v>
      </c>
      <c r="H604" s="16">
        <f t="shared" si="296"/>
        <v>5320</v>
      </c>
      <c r="I604">
        <v>50</v>
      </c>
      <c r="J604" s="17">
        <f t="shared" si="297"/>
        <v>6.25</v>
      </c>
      <c r="K604">
        <v>18</v>
      </c>
      <c r="L604">
        <v>30</v>
      </c>
      <c r="M604" s="17">
        <f t="shared" si="298"/>
        <v>2.25</v>
      </c>
      <c r="N604" s="17">
        <f t="shared" si="299"/>
        <v>3.75</v>
      </c>
      <c r="O604" s="18">
        <f t="shared" si="300"/>
        <v>0.6</v>
      </c>
      <c r="P604">
        <v>6</v>
      </c>
      <c r="Q604">
        <v>10</v>
      </c>
      <c r="R604" s="17">
        <f t="shared" si="301"/>
        <v>0.75</v>
      </c>
      <c r="S604" s="17">
        <f t="shared" si="302"/>
        <v>1.25</v>
      </c>
      <c r="T604" s="18">
        <f t="shared" si="303"/>
        <v>0.6</v>
      </c>
      <c r="U604">
        <v>12</v>
      </c>
      <c r="V604">
        <v>20</v>
      </c>
      <c r="W604" s="17">
        <f t="shared" si="304"/>
        <v>1.5</v>
      </c>
      <c r="X604" s="17">
        <f t="shared" si="305"/>
        <v>2.5</v>
      </c>
      <c r="Y604" s="18">
        <f t="shared" si="306"/>
        <v>0.6</v>
      </c>
      <c r="Z604">
        <v>2</v>
      </c>
      <c r="AA604">
        <v>2</v>
      </c>
      <c r="AB604" s="17">
        <f t="shared" si="307"/>
        <v>0.25</v>
      </c>
      <c r="AC604" s="17">
        <f t="shared" si="308"/>
        <v>0.25</v>
      </c>
      <c r="AD604" s="18">
        <f t="shared" si="309"/>
        <v>1</v>
      </c>
      <c r="AE604">
        <v>19</v>
      </c>
      <c r="AF604" s="17">
        <f t="shared" si="310"/>
        <v>2.375</v>
      </c>
      <c r="AG604">
        <v>5</v>
      </c>
      <c r="AH604" s="17">
        <f t="shared" si="311"/>
        <v>0.625</v>
      </c>
      <c r="AI604">
        <v>14</v>
      </c>
      <c r="AJ604" s="17">
        <f t="shared" si="312"/>
        <v>1.75</v>
      </c>
      <c r="AK604">
        <v>5</v>
      </c>
      <c r="AL604" s="17">
        <f t="shared" si="313"/>
        <v>0.625</v>
      </c>
      <c r="AM604">
        <v>1</v>
      </c>
      <c r="AN604" s="17">
        <f t="shared" si="314"/>
        <v>0.125</v>
      </c>
      <c r="AO604">
        <v>0</v>
      </c>
      <c r="AQ604">
        <v>1</v>
      </c>
      <c r="AR604" s="17">
        <f t="shared" si="315"/>
        <v>0.125</v>
      </c>
      <c r="AS604">
        <v>18</v>
      </c>
      <c r="AT604" s="17">
        <f t="shared" si="316"/>
        <v>2.25</v>
      </c>
      <c r="BD604" s="65">
        <f t="shared" si="317"/>
        <v>80.958549222797927</v>
      </c>
      <c r="BE604" s="65">
        <f t="shared" si="318"/>
        <v>80</v>
      </c>
      <c r="BF604" s="66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15.134917008385207</v>
      </c>
      <c r="BG604" s="38">
        <f t="shared" si="319"/>
        <v>0.66666666666666663</v>
      </c>
      <c r="BH604" s="38">
        <f t="shared" si="320"/>
        <v>6.6666666666666666E-2</v>
      </c>
      <c r="BI604" s="67">
        <f>IFERROR(((AG604*(12000/5))/((F604*60+G604)*(SUMIFS(팀공격력!X:X,팀공격력!A:A,B604,팀공격력!B:B,D604)+SUMIFS(팀수비력!X:X,팀수비력!A:A,B604,팀수비력!B:B,D604))))*100,"")</f>
        <v>2.8507287175284182</v>
      </c>
      <c r="BJ604" s="67">
        <f>IFERROR(((AI604*(12000/5))/((F604*60+G604)*(SUMIFS(팀공격력!V:V,팀공격력!A:A,B604,팀공격력!B:B,D604)+SUMIFS(팀수비력!W:W,팀수비력!A:A,B604,팀수비력!B:B,D604))))*100,"")</f>
        <v>15.037593984962406</v>
      </c>
      <c r="BK604" s="67">
        <f>IFERROR(((AE604*(12000/5))/((F604*60+G604)*(SUMIFS(팀공격력!X:X,팀공격력!A:A,B604,팀공격력!B:B,D604)+SUMIFS(팀수비력!X:X,팀수비력!A:A,B604,팀수비력!B:B,D604))))*100,"")</f>
        <v>10.832769126607991</v>
      </c>
      <c r="BL604" s="67">
        <f>IFERROR(100*AK604/(((((F604*60+G604)/(12000/5))*SUMIFS(팀공격력!P:P,팀공격력!A:A,B604,팀공격력!B:B,D604))-K604)),"")</f>
        <v>8.9315619068884669</v>
      </c>
      <c r="BM604" s="67">
        <f>IFERROR(100*((AM604/E604*(2400))/((F604*60+G604)*SUMIFS(팀공격력!AR:AR,팀공격력!A:A,B604,팀공격력!B:B,D604))),"")</f>
        <v>0.62210489679632375</v>
      </c>
      <c r="BN604" s="67">
        <f>IFERROR((AO604*40)/(((F604*60+G604)/60)*(SUMIFS(팀수비력!Q:Q,팀수비력!A:A,B604,팀수비력!B:B,D604)-SUMIFS(팀수비력!N:N,팀수비력!A:A,B604,팀수비력!B:B,D604)))*100,"")</f>
        <v>0</v>
      </c>
      <c r="BO604" s="67">
        <f t="shared" si="321"/>
        <v>3.1367628607277291</v>
      </c>
      <c r="BT604" t="s">
        <v>89</v>
      </c>
      <c r="BV604" t="s">
        <v>102</v>
      </c>
      <c r="CF604">
        <v>1</v>
      </c>
      <c r="CG604">
        <v>7</v>
      </c>
    </row>
    <row r="605" spans="1:85" x14ac:dyDescent="0.4">
      <c r="A605" s="11" t="s">
        <v>85</v>
      </c>
      <c r="B605" t="s">
        <v>224</v>
      </c>
      <c r="C605" t="s">
        <v>229</v>
      </c>
      <c r="D605" s="46" t="s">
        <v>309</v>
      </c>
      <c r="E605">
        <v>4</v>
      </c>
      <c r="F605">
        <v>4</v>
      </c>
      <c r="G605" s="1">
        <v>35</v>
      </c>
      <c r="H605" s="16">
        <f t="shared" si="296"/>
        <v>1100</v>
      </c>
      <c r="I605">
        <v>5</v>
      </c>
      <c r="J605" s="17">
        <f t="shared" si="297"/>
        <v>1.25</v>
      </c>
      <c r="K605">
        <v>2</v>
      </c>
      <c r="L605">
        <v>6</v>
      </c>
      <c r="M605" s="17">
        <f t="shared" si="298"/>
        <v>0.5</v>
      </c>
      <c r="N605" s="17">
        <f t="shared" si="299"/>
        <v>1.5</v>
      </c>
      <c r="O605" s="18">
        <f t="shared" si="300"/>
        <v>0.33333333333333331</v>
      </c>
      <c r="P605">
        <v>1</v>
      </c>
      <c r="Q605">
        <v>1</v>
      </c>
      <c r="R605" s="17">
        <f t="shared" si="301"/>
        <v>0.25</v>
      </c>
      <c r="S605" s="17">
        <f t="shared" si="302"/>
        <v>0.25</v>
      </c>
      <c r="T605" s="18">
        <f t="shared" si="303"/>
        <v>1</v>
      </c>
      <c r="U605">
        <v>1</v>
      </c>
      <c r="V605">
        <v>5</v>
      </c>
      <c r="W605" s="17">
        <f t="shared" si="304"/>
        <v>0.25</v>
      </c>
      <c r="X605" s="17">
        <f t="shared" si="305"/>
        <v>1.25</v>
      </c>
      <c r="Y605" s="18">
        <f t="shared" si="306"/>
        <v>0.2</v>
      </c>
      <c r="Z605">
        <v>0</v>
      </c>
      <c r="AA605">
        <v>0</v>
      </c>
      <c r="AB605" s="17">
        <f t="shared" si="307"/>
        <v>0</v>
      </c>
      <c r="AC605" s="17">
        <f t="shared" si="308"/>
        <v>0</v>
      </c>
      <c r="AD605" s="18" t="e">
        <f t="shared" si="309"/>
        <v>#DIV/0!</v>
      </c>
      <c r="AE605">
        <v>2</v>
      </c>
      <c r="AF605" s="17">
        <f t="shared" si="310"/>
        <v>0.5</v>
      </c>
      <c r="AG605">
        <v>0</v>
      </c>
      <c r="AH605" s="17">
        <f t="shared" si="311"/>
        <v>0</v>
      </c>
      <c r="AI605">
        <v>2</v>
      </c>
      <c r="AJ605" s="17">
        <f t="shared" si="312"/>
        <v>0.5</v>
      </c>
      <c r="AK605">
        <v>0</v>
      </c>
      <c r="AL605" s="17">
        <f t="shared" si="313"/>
        <v>0</v>
      </c>
      <c r="AM605">
        <v>0</v>
      </c>
      <c r="AN605" s="17">
        <f t="shared" si="314"/>
        <v>0</v>
      </c>
      <c r="AO605">
        <v>0</v>
      </c>
      <c r="AQ605">
        <v>0</v>
      </c>
      <c r="AR605" s="17">
        <f t="shared" si="315"/>
        <v>0</v>
      </c>
      <c r="AS605">
        <v>7</v>
      </c>
      <c r="AT605" s="17">
        <f t="shared" si="316"/>
        <v>1.75</v>
      </c>
      <c r="BD605" s="65">
        <f t="shared" si="317"/>
        <v>41.666666666666671</v>
      </c>
      <c r="BE605" s="65">
        <f t="shared" si="318"/>
        <v>41.666666666666671</v>
      </c>
      <c r="BF605" s="66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6.8881394848245678</v>
      </c>
      <c r="BG605" s="38">
        <f t="shared" si="319"/>
        <v>0.83333333333333337</v>
      </c>
      <c r="BH605" s="38">
        <f t="shared" si="320"/>
        <v>0</v>
      </c>
      <c r="BI605" s="67">
        <f>IFERROR(((AG605*(12000/5))/((F605*60+G605)*(SUMIFS(팀공격력!X:X,팀공격력!A:A,B605,팀공격력!B:B,D605)+SUMIFS(팀수비력!X:X,팀수비력!A:A,B605,팀수비력!B:B,D605))))*100,"")</f>
        <v>0</v>
      </c>
      <c r="BJ605" s="67">
        <f>IFERROR(((AI605*(12000/5))/((F605*60+G605)*(SUMIFS(팀공격력!V:V,팀공격력!A:A,B605,팀공격력!B:B,D605)+SUMIFS(팀수비력!W:W,팀수비력!A:A,B605,팀수비력!B:B,D605))))*100,"")</f>
        <v>5.1948051948051948</v>
      </c>
      <c r="BK605" s="67">
        <f>IFERROR(((AE605*(12000/5))/((F605*60+G605)*(SUMIFS(팀공격력!X:X,팀공격력!A:A,B605,팀공격력!B:B,D605)+SUMIFS(팀수비력!X:X,팀수비력!A:A,B605,팀수비력!B:B,D605))))*100,"")</f>
        <v>2.7574321413183971</v>
      </c>
      <c r="BL605" s="67">
        <f>IFERROR(100*AK605/(((((F605*60+G605)/(12000/5))*SUMIFS(팀공격력!P:P,팀공격력!A:A,B605,팀공격력!B:B,D605))-K605)),"")</f>
        <v>0</v>
      </c>
      <c r="BM605" s="67">
        <f>IFERROR(100*((AM605/E605*(2400))/((F605*60+G605)*SUMIFS(팀공격력!AR:AR,팀공격력!A:A,B605,팀공격력!B:B,D605))),"")</f>
        <v>0</v>
      </c>
      <c r="BN605" s="67">
        <f>IFERROR((AO605*40)/(((F605*60+G605)/60)*(SUMIFS(팀수비력!Q:Q,팀수비력!A:A,B605,팀수비력!B:B,D605)-SUMIFS(팀수비력!N:N,팀수비력!A:A,B605,팀수비력!B:B,D605)))*100,"")</f>
        <v>0</v>
      </c>
      <c r="BO605" s="67">
        <f t="shared" si="321"/>
        <v>0</v>
      </c>
      <c r="BT605" t="s">
        <v>89</v>
      </c>
      <c r="BV605" t="s">
        <v>93</v>
      </c>
      <c r="CF605">
        <v>0</v>
      </c>
      <c r="CG605">
        <v>4</v>
      </c>
    </row>
    <row r="606" spans="1:85" x14ac:dyDescent="0.4">
      <c r="A606" s="11" t="s">
        <v>85</v>
      </c>
      <c r="B606" t="s">
        <v>224</v>
      </c>
      <c r="C606" t="s">
        <v>230</v>
      </c>
      <c r="D606" s="46" t="s">
        <v>309</v>
      </c>
      <c r="E606">
        <v>3</v>
      </c>
      <c r="F606">
        <v>32</v>
      </c>
      <c r="G606" s="1">
        <v>21</v>
      </c>
      <c r="H606" s="16">
        <f t="shared" si="296"/>
        <v>5823</v>
      </c>
      <c r="I606">
        <v>41</v>
      </c>
      <c r="J606" s="17">
        <f t="shared" si="297"/>
        <v>13.666666666666666</v>
      </c>
      <c r="K606">
        <v>16</v>
      </c>
      <c r="L606">
        <v>30</v>
      </c>
      <c r="M606" s="17">
        <f t="shared" si="298"/>
        <v>5.333333333333333</v>
      </c>
      <c r="N606" s="17">
        <f t="shared" si="299"/>
        <v>10</v>
      </c>
      <c r="O606" s="18">
        <f t="shared" si="300"/>
        <v>0.53333333333333333</v>
      </c>
      <c r="P606">
        <v>11</v>
      </c>
      <c r="Q606">
        <v>16</v>
      </c>
      <c r="R606" s="17">
        <f t="shared" si="301"/>
        <v>3.6666666666666665</v>
      </c>
      <c r="S606" s="17">
        <f t="shared" si="302"/>
        <v>5.333333333333333</v>
      </c>
      <c r="T606" s="18">
        <f t="shared" si="303"/>
        <v>0.6875</v>
      </c>
      <c r="U606">
        <v>5</v>
      </c>
      <c r="V606">
        <v>14</v>
      </c>
      <c r="W606" s="17">
        <f t="shared" si="304"/>
        <v>1.6666666666666667</v>
      </c>
      <c r="X606" s="17">
        <f t="shared" si="305"/>
        <v>4.666666666666667</v>
      </c>
      <c r="Y606" s="18">
        <f t="shared" si="306"/>
        <v>0.35714285714285715</v>
      </c>
      <c r="Z606">
        <v>4</v>
      </c>
      <c r="AA606">
        <v>4</v>
      </c>
      <c r="AB606" s="17">
        <f t="shared" si="307"/>
        <v>1.3333333333333333</v>
      </c>
      <c r="AC606" s="17">
        <f t="shared" si="308"/>
        <v>1.3333333333333333</v>
      </c>
      <c r="AD606" s="18">
        <f t="shared" si="309"/>
        <v>1</v>
      </c>
      <c r="AE606">
        <v>30</v>
      </c>
      <c r="AF606" s="17">
        <f t="shared" si="310"/>
        <v>10</v>
      </c>
      <c r="AG606">
        <v>8</v>
      </c>
      <c r="AH606" s="17">
        <f t="shared" si="311"/>
        <v>2.6666666666666665</v>
      </c>
      <c r="AI606">
        <v>22</v>
      </c>
      <c r="AJ606" s="17">
        <f t="shared" si="312"/>
        <v>7.333333333333333</v>
      </c>
      <c r="AK606">
        <v>16</v>
      </c>
      <c r="AL606" s="17">
        <f t="shared" si="313"/>
        <v>5.333333333333333</v>
      </c>
      <c r="AM606">
        <v>2</v>
      </c>
      <c r="AN606" s="17">
        <f t="shared" si="314"/>
        <v>0.66666666666666663</v>
      </c>
      <c r="AO606">
        <v>2</v>
      </c>
      <c r="AQ606">
        <v>2</v>
      </c>
      <c r="AR606" s="17">
        <f t="shared" si="315"/>
        <v>0.66666666666666663</v>
      </c>
      <c r="AS606">
        <v>11</v>
      </c>
      <c r="AT606" s="17">
        <f t="shared" si="316"/>
        <v>3.6666666666666665</v>
      </c>
      <c r="BD606" s="65">
        <f t="shared" si="317"/>
        <v>64.54659949622166</v>
      </c>
      <c r="BE606" s="65">
        <f t="shared" si="318"/>
        <v>61.666666666666671</v>
      </c>
      <c r="BF606" s="66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5.4911117102104834</v>
      </c>
      <c r="BG606" s="38">
        <f t="shared" si="319"/>
        <v>0.46666666666666667</v>
      </c>
      <c r="BH606" s="38">
        <f t="shared" si="320"/>
        <v>0.13333333333333333</v>
      </c>
      <c r="BI606" s="67">
        <f>IFERROR(((AG606*(12000/5))/((F606*60+G606)*(SUMIFS(팀공격력!X:X,팀공격력!A:A,B606,팀공격력!B:B,D606)+SUMIFS(팀수비력!X:X,팀수비력!A:A,B606,팀수비력!B:B,D606))))*100,"")</f>
        <v>1.5626869425297458</v>
      </c>
      <c r="BJ606" s="67">
        <f>IFERROR(((AI606*(12000/5))/((F606*60+G606)*(SUMIFS(팀공격력!V:V,팀공격력!A:A,B606,팀공격력!B:B,D606)+SUMIFS(팀수비력!W:W,팀수비력!A:A,B606,팀수비력!B:B,D606))))*100,"")</f>
        <v>8.0959740928829032</v>
      </c>
      <c r="BK606" s="67">
        <f>IFERROR(((AE606*(12000/5))/((F606*60+G606)*(SUMIFS(팀공격력!X:X,팀공격력!A:A,B606,팀공격력!B:B,D606)+SUMIFS(팀수비력!X:X,팀수비력!A:A,B606,팀수비력!B:B,D606))))*100,"")</f>
        <v>5.8600760344865472</v>
      </c>
      <c r="BL606" s="67">
        <f>IFERROR(100*AK606/(((((F606*60+G606)/(12000/5))*SUMIFS(팀공격력!P:P,팀공격력!A:A,B606,팀공격력!B:B,D606))-K606)),"")</f>
        <v>8.0025508130716663</v>
      </c>
      <c r="BM606" s="67">
        <f>IFERROR(100*((AM606/E606*(2400))/((F606*60+G606)*SUMIFS(팀공격력!AR:AR,팀공격력!A:A,B606,팀공격력!B:B,D606))),"")</f>
        <v>1.1367329730229923</v>
      </c>
      <c r="BN606" s="67">
        <f>IFERROR((AO606*40)/(((F606*60+G606)/60)*(SUMIFS(팀수비력!Q:Q,팀수비력!A:A,B606,팀수비력!B:B,D606)-SUMIFS(팀수비력!N:N,팀수비력!A:A,B606,팀수비력!B:B,D606)))*100,"")</f>
        <v>0.62134474536515649</v>
      </c>
      <c r="BO606" s="67">
        <f t="shared" si="321"/>
        <v>5.9241706161137433</v>
      </c>
      <c r="BT606" t="s">
        <v>96</v>
      </c>
      <c r="BV606" t="s">
        <v>102</v>
      </c>
      <c r="CF606">
        <v>1</v>
      </c>
      <c r="CG606">
        <v>2</v>
      </c>
    </row>
    <row r="607" spans="1:85" x14ac:dyDescent="0.4">
      <c r="A607" s="11" t="s">
        <v>85</v>
      </c>
      <c r="B607" t="s">
        <v>224</v>
      </c>
      <c r="C607" t="s">
        <v>231</v>
      </c>
      <c r="D607" s="46" t="s">
        <v>309</v>
      </c>
      <c r="E607">
        <v>6</v>
      </c>
      <c r="F607">
        <v>24</v>
      </c>
      <c r="G607" s="1">
        <v>10</v>
      </c>
      <c r="H607" s="16">
        <f t="shared" si="296"/>
        <v>8700</v>
      </c>
      <c r="I607">
        <v>43</v>
      </c>
      <c r="J607" s="17">
        <f t="shared" si="297"/>
        <v>7.166666666666667</v>
      </c>
      <c r="K607">
        <v>16</v>
      </c>
      <c r="L607">
        <v>45</v>
      </c>
      <c r="M607" s="17">
        <f t="shared" si="298"/>
        <v>2.6666666666666665</v>
      </c>
      <c r="N607" s="17">
        <f t="shared" si="299"/>
        <v>7.5</v>
      </c>
      <c r="O607" s="18">
        <f t="shared" si="300"/>
        <v>0.35555555555555557</v>
      </c>
      <c r="P607">
        <v>12</v>
      </c>
      <c r="Q607">
        <v>29</v>
      </c>
      <c r="R607" s="17">
        <f t="shared" si="301"/>
        <v>2</v>
      </c>
      <c r="S607" s="17">
        <f t="shared" si="302"/>
        <v>4.833333333333333</v>
      </c>
      <c r="T607" s="18">
        <f t="shared" si="303"/>
        <v>0.41379310344827586</v>
      </c>
      <c r="U607">
        <v>4</v>
      </c>
      <c r="V607">
        <v>16</v>
      </c>
      <c r="W607" s="17">
        <f t="shared" si="304"/>
        <v>0.66666666666666663</v>
      </c>
      <c r="X607" s="17">
        <f t="shared" si="305"/>
        <v>2.6666666666666665</v>
      </c>
      <c r="Y607" s="18">
        <f t="shared" si="306"/>
        <v>0.25</v>
      </c>
      <c r="Z607">
        <v>7</v>
      </c>
      <c r="AA607">
        <v>9</v>
      </c>
      <c r="AB607" s="17">
        <f t="shared" si="307"/>
        <v>1.1666666666666667</v>
      </c>
      <c r="AC607" s="17">
        <f t="shared" si="308"/>
        <v>1.5</v>
      </c>
      <c r="AD607" s="18">
        <f t="shared" si="309"/>
        <v>0.77777777777777779</v>
      </c>
      <c r="AE607">
        <v>25</v>
      </c>
      <c r="AF607" s="17">
        <f t="shared" si="310"/>
        <v>4.166666666666667</v>
      </c>
      <c r="AG607">
        <v>15</v>
      </c>
      <c r="AH607" s="17">
        <f t="shared" si="311"/>
        <v>2.5</v>
      </c>
      <c r="AI607">
        <v>10</v>
      </c>
      <c r="AJ607" s="17">
        <f t="shared" si="312"/>
        <v>1.6666666666666667</v>
      </c>
      <c r="AK607">
        <v>4</v>
      </c>
      <c r="AL607" s="17">
        <f t="shared" si="313"/>
        <v>0.66666666666666663</v>
      </c>
      <c r="AM607">
        <v>4</v>
      </c>
      <c r="AN607" s="17">
        <f t="shared" si="314"/>
        <v>0.66666666666666663</v>
      </c>
      <c r="AO607">
        <v>10</v>
      </c>
      <c r="AQ607">
        <v>6</v>
      </c>
      <c r="AR607" s="17">
        <f t="shared" si="315"/>
        <v>1</v>
      </c>
      <c r="AS607">
        <v>12</v>
      </c>
      <c r="AT607" s="17">
        <f t="shared" si="316"/>
        <v>2</v>
      </c>
      <c r="BD607" s="65">
        <f t="shared" si="317"/>
        <v>43.91339869281046</v>
      </c>
      <c r="BE607" s="65">
        <f t="shared" si="318"/>
        <v>40</v>
      </c>
      <c r="BF607" s="66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11.96636093949868</v>
      </c>
      <c r="BG607" s="38">
        <f t="shared" si="319"/>
        <v>0.35555555555555557</v>
      </c>
      <c r="BH607" s="38">
        <f t="shared" si="320"/>
        <v>0.2</v>
      </c>
      <c r="BI607" s="67">
        <f>IFERROR(((AG607*(12000/5))/((F607*60+G607)*(SUMIFS(팀공격력!X:X,팀공격력!A:A,B607,팀공격력!B:B,D607)+SUMIFS(팀수비력!X:X,팀수비력!A:A,B607,팀수비력!B:B,D607))))*100,"")</f>
        <v>3.9222095113580648</v>
      </c>
      <c r="BJ607" s="67">
        <f>IFERROR(((AI607*(12000/5))/((F607*60+G607)*(SUMIFS(팀공격력!V:V,팀공격력!A:A,B607,팀공격력!B:B,D607)+SUMIFS(팀수비력!W:W,팀수비력!A:A,B607,팀수비력!B:B,D607))))*100,"")</f>
        <v>4.9261083743842367</v>
      </c>
      <c r="BK607" s="67">
        <f>IFERROR(((AE607*(12000/5))/((F607*60+G607)*(SUMIFS(팀공격력!X:X,팀공격력!A:A,B607,팀공격력!B:B,D607)+SUMIFS(팀수비력!X:X,팀수비력!A:A,B607,팀수비력!B:B,D607))))*100,"")</f>
        <v>6.5370158522634423</v>
      </c>
      <c r="BL607" s="67">
        <f>IFERROR(100*AK607/(((((F607*60+G607)/(12000/5))*SUMIFS(팀공격력!P:P,팀공격력!A:A,B607,팀공격력!B:B,D607))-K607)),"")</f>
        <v>2.752688172043011</v>
      </c>
      <c r="BM607" s="67">
        <f>IFERROR(100*((AM607/E607*(2400))/((F607*60+G607)*SUMIFS(팀공격력!AR:AR,팀공격력!A:A,B607,팀공격력!B:B,D607))),"")</f>
        <v>1.5216542763018128</v>
      </c>
      <c r="BN607" s="67">
        <f>IFERROR((AO607*40)/(((F607*60+G607)/60)*(SUMIFS(팀수비력!Q:Q,팀수비력!A:A,B607,팀수비력!B:B,D607)-SUMIFS(팀수비력!N:N,팀수비력!A:A,B607,팀수비력!B:B,D607)))*100,"")</f>
        <v>4.1587246577716162</v>
      </c>
      <c r="BO607" s="67">
        <f t="shared" si="321"/>
        <v>10.91703056768559</v>
      </c>
      <c r="BT607" t="s">
        <v>113</v>
      </c>
      <c r="BV607" t="s">
        <v>90</v>
      </c>
      <c r="CF607">
        <v>1</v>
      </c>
      <c r="CG607">
        <v>5</v>
      </c>
    </row>
    <row r="608" spans="1:85" x14ac:dyDescent="0.4">
      <c r="A608" s="11" t="s">
        <v>85</v>
      </c>
      <c r="B608" t="s">
        <v>224</v>
      </c>
      <c r="C608" t="s">
        <v>232</v>
      </c>
      <c r="D608" s="46" t="s">
        <v>309</v>
      </c>
      <c r="E608">
        <v>6</v>
      </c>
      <c r="F608">
        <v>33</v>
      </c>
      <c r="G608" s="1">
        <v>48</v>
      </c>
      <c r="H608" s="16">
        <f t="shared" si="296"/>
        <v>12168</v>
      </c>
      <c r="I608">
        <v>134</v>
      </c>
      <c r="J608" s="17">
        <f t="shared" si="297"/>
        <v>22.333333333333332</v>
      </c>
      <c r="K608">
        <v>54</v>
      </c>
      <c r="L608">
        <v>113</v>
      </c>
      <c r="M608" s="17">
        <f t="shared" si="298"/>
        <v>9</v>
      </c>
      <c r="N608" s="17">
        <f t="shared" si="299"/>
        <v>18.833333333333332</v>
      </c>
      <c r="O608" s="18">
        <f t="shared" si="300"/>
        <v>0.47787610619469029</v>
      </c>
      <c r="P608">
        <v>36</v>
      </c>
      <c r="Q608">
        <v>65</v>
      </c>
      <c r="R608" s="17">
        <f t="shared" si="301"/>
        <v>6</v>
      </c>
      <c r="S608" s="17">
        <f t="shared" si="302"/>
        <v>10.833333333333334</v>
      </c>
      <c r="T608" s="18">
        <f t="shared" si="303"/>
        <v>0.55384615384615388</v>
      </c>
      <c r="U608">
        <v>18</v>
      </c>
      <c r="V608">
        <v>48</v>
      </c>
      <c r="W608" s="17">
        <f t="shared" si="304"/>
        <v>3</v>
      </c>
      <c r="X608" s="17">
        <f t="shared" si="305"/>
        <v>8</v>
      </c>
      <c r="Y608" s="18">
        <f t="shared" si="306"/>
        <v>0.375</v>
      </c>
      <c r="Z608">
        <v>8</v>
      </c>
      <c r="AA608">
        <v>13</v>
      </c>
      <c r="AB608" s="17">
        <f t="shared" si="307"/>
        <v>1.3333333333333333</v>
      </c>
      <c r="AC608" s="17">
        <f t="shared" si="308"/>
        <v>2.1666666666666665</v>
      </c>
      <c r="AD608" s="18">
        <f t="shared" si="309"/>
        <v>0.61538461538461542</v>
      </c>
      <c r="AE608">
        <v>57</v>
      </c>
      <c r="AF608" s="17">
        <f t="shared" si="310"/>
        <v>9.5</v>
      </c>
      <c r="AG608">
        <v>14</v>
      </c>
      <c r="AH608" s="17">
        <f t="shared" si="311"/>
        <v>2.3333333333333335</v>
      </c>
      <c r="AI608">
        <v>43</v>
      </c>
      <c r="AJ608" s="17">
        <f t="shared" si="312"/>
        <v>7.166666666666667</v>
      </c>
      <c r="AK608">
        <v>17</v>
      </c>
      <c r="AL608" s="17">
        <f t="shared" si="313"/>
        <v>2.8333333333333335</v>
      </c>
      <c r="AM608">
        <v>9</v>
      </c>
      <c r="AN608" s="17">
        <f t="shared" si="314"/>
        <v>1.5</v>
      </c>
      <c r="AO608">
        <v>3</v>
      </c>
      <c r="AQ608">
        <v>18</v>
      </c>
      <c r="AR608" s="17">
        <f t="shared" si="315"/>
        <v>3</v>
      </c>
      <c r="AS608">
        <v>16</v>
      </c>
      <c r="AT608" s="17">
        <f t="shared" si="316"/>
        <v>2.6666666666666665</v>
      </c>
      <c r="BD608" s="65">
        <f t="shared" si="317"/>
        <v>56.435309973045818</v>
      </c>
      <c r="BE608" s="65">
        <f t="shared" si="318"/>
        <v>55.752212389380531</v>
      </c>
      <c r="BF608" s="66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21.283716991324301</v>
      </c>
      <c r="BG608" s="38">
        <f t="shared" si="319"/>
        <v>0.4247787610619469</v>
      </c>
      <c r="BH608" s="38">
        <f t="shared" si="320"/>
        <v>0.11504424778761062</v>
      </c>
      <c r="BI608" s="67">
        <f>IFERROR(((AG608*(12000/5))/((F608*60+G608)*(SUMIFS(팀공격력!X:X,팀공격력!A:A,B608,팀공격력!B:B,D608)+SUMIFS(팀수비력!X:X,팀수비력!A:A,B608,팀수비력!B:B,D608))))*100,"")</f>
        <v>2.6173850453835872</v>
      </c>
      <c r="BJ608" s="67">
        <f>IFERROR(((AI608*(12000/5))/((F608*60+G608)*(SUMIFS(팀공격력!V:V,팀공격력!A:A,B608,팀공격력!B:B,D608)+SUMIFS(팀수비력!W:W,팀수비력!A:A,B608,팀수비력!B:B,D608))))*100,"")</f>
        <v>15.145111298957453</v>
      </c>
      <c r="BK608" s="67">
        <f>IFERROR(((AE608*(12000/5))/((F608*60+G608)*(SUMIFS(팀공격력!X:X,팀공격력!A:A,B608,팀공격력!B:B,D608)+SUMIFS(팀수비력!X:X,팀수비력!A:A,B608,팀수비력!B:B,D608))))*100,"")</f>
        <v>10.656496256204605</v>
      </c>
      <c r="BL608" s="67">
        <f>IFERROR(100*AK608/(((((F608*60+G608)/(12000/5))*SUMIFS(팀공격력!P:P,팀공격력!A:A,B608,팀공격력!B:B,D608))-K608)),"")</f>
        <v>9.9058940069341261</v>
      </c>
      <c r="BM608" s="67">
        <f>IFERROR(100*((AM608/E608*(2400))/((F608*60+G608)*SUMIFS(팀공격력!AR:AR,팀공격력!A:A,B608,팀공격력!B:B,D608))),"")</f>
        <v>2.4479275524825752</v>
      </c>
      <c r="BN608" s="67">
        <f>IFERROR((AO608*40)/(((F608*60+G608)/60)*(SUMIFS(팀수비력!Q:Q,팀수비력!A:A,B608,팀수비력!B:B,D608)-SUMIFS(팀수비력!N:N,팀수비력!A:A,B608,팀수비력!B:B,D608)))*100,"")</f>
        <v>0.89203413517290586</v>
      </c>
      <c r="BO608" s="67">
        <f t="shared" si="321"/>
        <v>13.165593914569923</v>
      </c>
      <c r="BT608" t="s">
        <v>96</v>
      </c>
      <c r="BV608" t="s">
        <v>93</v>
      </c>
      <c r="CF608">
        <v>0</v>
      </c>
      <c r="CG608">
        <v>6</v>
      </c>
    </row>
    <row r="609" spans="1:85" x14ac:dyDescent="0.4">
      <c r="A609" s="11" t="s">
        <v>85</v>
      </c>
      <c r="B609" t="s">
        <v>224</v>
      </c>
      <c r="C609" t="s">
        <v>129</v>
      </c>
      <c r="D609" s="46" t="s">
        <v>309</v>
      </c>
      <c r="E609">
        <v>9</v>
      </c>
      <c r="F609">
        <v>30</v>
      </c>
      <c r="G609" s="1">
        <v>3</v>
      </c>
      <c r="H609" s="16">
        <f t="shared" si="296"/>
        <v>16227</v>
      </c>
      <c r="I609">
        <v>89</v>
      </c>
      <c r="J609" s="17">
        <f t="shared" si="297"/>
        <v>9.8888888888888893</v>
      </c>
      <c r="K609">
        <v>35</v>
      </c>
      <c r="L609">
        <v>86</v>
      </c>
      <c r="M609" s="17">
        <f t="shared" si="298"/>
        <v>3.8888888888888888</v>
      </c>
      <c r="N609" s="17">
        <f t="shared" si="299"/>
        <v>9.5555555555555554</v>
      </c>
      <c r="O609" s="18">
        <f t="shared" si="300"/>
        <v>0.40697674418604651</v>
      </c>
      <c r="P609">
        <v>27</v>
      </c>
      <c r="Q609">
        <v>56</v>
      </c>
      <c r="R609" s="17">
        <f t="shared" si="301"/>
        <v>3</v>
      </c>
      <c r="S609" s="17">
        <f t="shared" si="302"/>
        <v>6.2222222222222223</v>
      </c>
      <c r="T609" s="18">
        <f t="shared" si="303"/>
        <v>0.48214285714285715</v>
      </c>
      <c r="U609">
        <v>8</v>
      </c>
      <c r="V609">
        <v>30</v>
      </c>
      <c r="W609" s="17">
        <f t="shared" si="304"/>
        <v>0.88888888888888884</v>
      </c>
      <c r="X609" s="17">
        <f t="shared" si="305"/>
        <v>3.3333333333333335</v>
      </c>
      <c r="Y609" s="18">
        <f t="shared" si="306"/>
        <v>0.26666666666666666</v>
      </c>
      <c r="Z609">
        <v>11</v>
      </c>
      <c r="AA609">
        <v>12</v>
      </c>
      <c r="AB609" s="17">
        <f t="shared" si="307"/>
        <v>1.2222222222222223</v>
      </c>
      <c r="AC609" s="17">
        <f t="shared" si="308"/>
        <v>1.3333333333333333</v>
      </c>
      <c r="AD609" s="18">
        <f t="shared" si="309"/>
        <v>0.91666666666666663</v>
      </c>
      <c r="AE609">
        <v>26</v>
      </c>
      <c r="AF609" s="17">
        <f t="shared" si="310"/>
        <v>2.8888888888888888</v>
      </c>
      <c r="AG609">
        <v>9</v>
      </c>
      <c r="AH609" s="17">
        <f t="shared" si="311"/>
        <v>1</v>
      </c>
      <c r="AI609">
        <v>17</v>
      </c>
      <c r="AJ609" s="17">
        <f t="shared" si="312"/>
        <v>1.8888888888888888</v>
      </c>
      <c r="AK609">
        <v>49</v>
      </c>
      <c r="AL609" s="17">
        <f t="shared" si="313"/>
        <v>5.4444444444444446</v>
      </c>
      <c r="AM609">
        <v>16</v>
      </c>
      <c r="AN609" s="17">
        <f t="shared" si="314"/>
        <v>1.7777777777777777</v>
      </c>
      <c r="AO609">
        <v>0</v>
      </c>
      <c r="AQ609">
        <v>17</v>
      </c>
      <c r="AR609" s="17">
        <f t="shared" si="315"/>
        <v>1.8888888888888888</v>
      </c>
      <c r="AS609">
        <v>29</v>
      </c>
      <c r="AT609" s="17">
        <f t="shared" si="316"/>
        <v>3.2222222222222223</v>
      </c>
      <c r="BD609" s="65">
        <f t="shared" si="317"/>
        <v>48.751095530236633</v>
      </c>
      <c r="BE609" s="65">
        <f t="shared" si="318"/>
        <v>45.348837209302324</v>
      </c>
      <c r="BF609" s="66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18.959893643891768</v>
      </c>
      <c r="BG609" s="38">
        <f t="shared" si="319"/>
        <v>0.34883720930232559</v>
      </c>
      <c r="BH609" s="38">
        <f t="shared" si="320"/>
        <v>0.13953488372093023</v>
      </c>
      <c r="BI609" s="67">
        <f>IFERROR(((AG609*(12000/5))/((F609*60+G609)*(SUMIFS(팀공격력!X:X,팀공격력!A:A,B609,팀공격력!B:B,D609)+SUMIFS(팀수비력!X:X,팀수비력!A:A,B609,팀수비력!B:B,D609))))*100,"")</f>
        <v>1.8925802966619616</v>
      </c>
      <c r="BJ609" s="67">
        <f>IFERROR(((AI609*(12000/5))/((F609*60+G609)*(SUMIFS(팀공격력!V:V,팀공격력!A:A,B609,팀공격력!B:B,D609)+SUMIFS(팀수비력!W:W,팀수비력!A:A,B609,팀수비력!B:B,D609))))*100,"")</f>
        <v>6.7348070675857699</v>
      </c>
      <c r="BK609" s="67">
        <f>IFERROR(((AE609*(12000/5))/((F609*60+G609)*(SUMIFS(팀공격력!X:X,팀공격력!A:A,B609,팀공격력!B:B,D609)+SUMIFS(팀수비력!X:X,팀수비력!A:A,B609,팀수비력!B:B,D609))))*100,"")</f>
        <v>5.4674541903567775</v>
      </c>
      <c r="BL609" s="67">
        <f>IFERROR(100*AK609/(((((F609*60+G609)/(12000/5))*SUMIFS(팀공격력!P:P,팀공격력!A:A,B609,팀공격력!B:B,D609))-K609)),"")</f>
        <v>29.592275812089053</v>
      </c>
      <c r="BM609" s="67">
        <f>IFERROR(100*((AM609/E609*(2400))/((F609*60+G609)*SUMIFS(팀공격력!AR:AR,팀공격력!A:A,B609,팀공격력!B:B,D609))),"")</f>
        <v>3.2632999824553566</v>
      </c>
      <c r="BN609" s="67">
        <f>IFERROR((AO609*40)/(((F609*60+G609)/60)*(SUMIFS(팀수비력!Q:Q,팀수비력!A:A,B609,팀수비력!B:B,D609)-SUMIFS(팀수비력!N:N,팀수비력!A:A,B609,팀수비력!B:B,D609)))*100,"")</f>
        <v>0</v>
      </c>
      <c r="BO609" s="67">
        <f t="shared" si="321"/>
        <v>15.700036941263392</v>
      </c>
      <c r="BT609" t="s">
        <v>89</v>
      </c>
      <c r="BV609" t="s">
        <v>93</v>
      </c>
      <c r="CF609">
        <v>1</v>
      </c>
      <c r="CG609">
        <v>8</v>
      </c>
    </row>
    <row r="610" spans="1:85" x14ac:dyDescent="0.4">
      <c r="A610" s="11" t="s">
        <v>85</v>
      </c>
      <c r="B610" t="s">
        <v>224</v>
      </c>
      <c r="C610" t="s">
        <v>234</v>
      </c>
      <c r="D610" s="46" t="s">
        <v>309</v>
      </c>
      <c r="E610">
        <v>8</v>
      </c>
      <c r="F610">
        <v>24</v>
      </c>
      <c r="G610" s="1">
        <v>33</v>
      </c>
      <c r="H610" s="16">
        <f t="shared" si="296"/>
        <v>11784</v>
      </c>
      <c r="I610">
        <v>61</v>
      </c>
      <c r="J610" s="17">
        <f t="shared" si="297"/>
        <v>7.625</v>
      </c>
      <c r="K610">
        <v>23</v>
      </c>
      <c r="L610">
        <v>69</v>
      </c>
      <c r="M610" s="17">
        <f t="shared" si="298"/>
        <v>2.875</v>
      </c>
      <c r="N610" s="17">
        <f t="shared" si="299"/>
        <v>8.625</v>
      </c>
      <c r="O610" s="18">
        <f t="shared" si="300"/>
        <v>0.33333333333333331</v>
      </c>
      <c r="P610">
        <v>12</v>
      </c>
      <c r="Q610">
        <v>29</v>
      </c>
      <c r="R610" s="17">
        <f t="shared" si="301"/>
        <v>1.5</v>
      </c>
      <c r="S610" s="17">
        <f t="shared" si="302"/>
        <v>3.625</v>
      </c>
      <c r="T610" s="18">
        <f t="shared" si="303"/>
        <v>0.41379310344827586</v>
      </c>
      <c r="U610">
        <v>11</v>
      </c>
      <c r="V610">
        <v>40</v>
      </c>
      <c r="W610" s="17">
        <f t="shared" si="304"/>
        <v>1.375</v>
      </c>
      <c r="X610" s="17">
        <f t="shared" si="305"/>
        <v>5</v>
      </c>
      <c r="Y610" s="18">
        <f t="shared" si="306"/>
        <v>0.27500000000000002</v>
      </c>
      <c r="Z610">
        <v>4</v>
      </c>
      <c r="AA610">
        <v>4</v>
      </c>
      <c r="AB610" s="17">
        <f t="shared" si="307"/>
        <v>0.5</v>
      </c>
      <c r="AC610" s="17">
        <f t="shared" si="308"/>
        <v>0.5</v>
      </c>
      <c r="AD610" s="18">
        <f t="shared" si="309"/>
        <v>1</v>
      </c>
      <c r="AE610">
        <v>15</v>
      </c>
      <c r="AF610" s="17">
        <f t="shared" si="310"/>
        <v>1.875</v>
      </c>
      <c r="AG610">
        <v>5</v>
      </c>
      <c r="AH610" s="17">
        <f t="shared" si="311"/>
        <v>0.625</v>
      </c>
      <c r="AI610">
        <v>10</v>
      </c>
      <c r="AJ610" s="17">
        <f t="shared" si="312"/>
        <v>1.25</v>
      </c>
      <c r="AK610">
        <v>6</v>
      </c>
      <c r="AL610" s="17">
        <f t="shared" si="313"/>
        <v>0.75</v>
      </c>
      <c r="AM610">
        <v>2</v>
      </c>
      <c r="AN610" s="17">
        <f t="shared" si="314"/>
        <v>0.25</v>
      </c>
      <c r="AO610">
        <v>0</v>
      </c>
      <c r="AQ610">
        <v>8</v>
      </c>
      <c r="AR610" s="17">
        <f t="shared" si="315"/>
        <v>1</v>
      </c>
      <c r="AS610">
        <v>9</v>
      </c>
      <c r="AT610" s="17">
        <f t="shared" si="316"/>
        <v>1.125</v>
      </c>
      <c r="BD610" s="65">
        <f t="shared" si="317"/>
        <v>43.103448275862064</v>
      </c>
      <c r="BE610" s="65">
        <f t="shared" si="318"/>
        <v>41.304347826086953</v>
      </c>
      <c r="BF610" s="66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16.880540065831106</v>
      </c>
      <c r="BG610" s="38">
        <f t="shared" si="319"/>
        <v>0.57971014492753625</v>
      </c>
      <c r="BH610" s="38">
        <f t="shared" si="320"/>
        <v>5.7971014492753624E-2</v>
      </c>
      <c r="BI610" s="67">
        <f>IFERROR(((AG610*(12000/5))/((F610*60+G610)*(SUMIFS(팀공격력!X:X,팀공격력!A:A,B610,팀공격력!B:B,D610)+SUMIFS(팀수비력!X:X,팀수비력!A:A,B610,팀수비력!B:B,D610))))*100,"")</f>
        <v>1.2869888643288514</v>
      </c>
      <c r="BJ610" s="67">
        <f>IFERROR(((AI610*(12000/5))/((F610*60+G610)*(SUMIFS(팀공격력!V:V,팀공격력!A:A,B610,팀공격력!B:B,D610)+SUMIFS(팀수비력!W:W,팀수비력!A:A,B610,팀수비력!B:B,D610))))*100,"")</f>
        <v>4.8491901852390651</v>
      </c>
      <c r="BK610" s="67">
        <f>IFERROR(((AE610*(12000/5))/((F610*60+G610)*(SUMIFS(팀공격력!X:X,팀공격력!A:A,B610,팀공격력!B:B,D610)+SUMIFS(팀수비력!X:X,팀수비력!A:A,B610,팀수비력!B:B,D610))))*100,"")</f>
        <v>3.860966592986554</v>
      </c>
      <c r="BL610" s="67">
        <f>IFERROR(100*AK610/(((((F610*60+G610)/(12000/5))*SUMIFS(팀공격력!P:P,팀공격력!A:A,B610,팀공격력!B:B,D610))-K610)),"")</f>
        <v>4.2592083196535846</v>
      </c>
      <c r="BM610" s="67">
        <f>IFERROR(100*((AM610/E610*(2400))/((F610*60+G610)*SUMIFS(팀공격력!AR:AR,팀공격력!A:A,B610,팀공격력!B:B,D610))),"")</f>
        <v>0.56171046350245113</v>
      </c>
      <c r="BN610" s="67">
        <f>IFERROR((AO610*40)/(((F610*60+G610)/60)*(SUMIFS(팀수비력!Q:Q,팀수비력!A:A,B610,팀수비력!B:B,D610)-SUMIFS(팀수비력!N:N,팀수비력!A:A,B610,팀수비력!B:B,D610)))*100,"")</f>
        <v>0</v>
      </c>
      <c r="BO610" s="67">
        <f t="shared" si="321"/>
        <v>10.15744032503809</v>
      </c>
      <c r="BT610" t="s">
        <v>89</v>
      </c>
      <c r="BV610" t="s">
        <v>90</v>
      </c>
      <c r="CF610">
        <v>1</v>
      </c>
      <c r="CG610">
        <v>7</v>
      </c>
    </row>
    <row r="611" spans="1:85" x14ac:dyDescent="0.4">
      <c r="A611" s="11" t="s">
        <v>85</v>
      </c>
      <c r="B611" t="s">
        <v>224</v>
      </c>
      <c r="C611" t="s">
        <v>235</v>
      </c>
      <c r="D611" s="46" t="s">
        <v>309</v>
      </c>
      <c r="E611">
        <v>1</v>
      </c>
      <c r="F611">
        <v>9</v>
      </c>
      <c r="G611" s="1">
        <v>36</v>
      </c>
      <c r="H611" s="16">
        <f t="shared" si="296"/>
        <v>576</v>
      </c>
      <c r="I611">
        <v>2</v>
      </c>
      <c r="J611" s="17">
        <f t="shared" si="297"/>
        <v>2</v>
      </c>
      <c r="K611">
        <v>1</v>
      </c>
      <c r="L611">
        <v>6</v>
      </c>
      <c r="M611" s="17">
        <f t="shared" si="298"/>
        <v>1</v>
      </c>
      <c r="N611" s="17">
        <f t="shared" si="299"/>
        <v>6</v>
      </c>
      <c r="O611" s="18">
        <f t="shared" si="300"/>
        <v>0.16666666666666666</v>
      </c>
      <c r="P611">
        <v>1</v>
      </c>
      <c r="Q611">
        <v>4</v>
      </c>
      <c r="R611" s="17">
        <f t="shared" si="301"/>
        <v>1</v>
      </c>
      <c r="S611" s="17">
        <f t="shared" si="302"/>
        <v>4</v>
      </c>
      <c r="T611" s="18">
        <f t="shared" si="303"/>
        <v>0.25</v>
      </c>
      <c r="U611">
        <v>0</v>
      </c>
      <c r="V611">
        <v>2</v>
      </c>
      <c r="W611" s="17">
        <f t="shared" si="304"/>
        <v>0</v>
      </c>
      <c r="X611" s="17">
        <f t="shared" si="305"/>
        <v>2</v>
      </c>
      <c r="Y611" s="18">
        <f t="shared" si="306"/>
        <v>0</v>
      </c>
      <c r="Z611">
        <v>0</v>
      </c>
      <c r="AA611">
        <v>0</v>
      </c>
      <c r="AB611" s="17">
        <f t="shared" si="307"/>
        <v>0</v>
      </c>
      <c r="AC611" s="17">
        <f t="shared" si="308"/>
        <v>0</v>
      </c>
      <c r="AD611" s="18" t="e">
        <f t="shared" si="309"/>
        <v>#DIV/0!</v>
      </c>
      <c r="AE611">
        <v>3</v>
      </c>
      <c r="AF611" s="17">
        <f t="shared" si="310"/>
        <v>3</v>
      </c>
      <c r="AG611">
        <v>0</v>
      </c>
      <c r="AH611" s="17">
        <f t="shared" si="311"/>
        <v>0</v>
      </c>
      <c r="AI611">
        <v>3</v>
      </c>
      <c r="AJ611" s="17">
        <f t="shared" si="312"/>
        <v>3</v>
      </c>
      <c r="AK611">
        <v>0</v>
      </c>
      <c r="AL611" s="17">
        <f t="shared" si="313"/>
        <v>0</v>
      </c>
      <c r="AM611">
        <v>0</v>
      </c>
      <c r="AN611" s="17">
        <f t="shared" si="314"/>
        <v>0</v>
      </c>
      <c r="AO611">
        <v>0</v>
      </c>
      <c r="AQ611">
        <v>0</v>
      </c>
      <c r="AR611" s="17">
        <f t="shared" si="315"/>
        <v>0</v>
      </c>
      <c r="AS611">
        <v>0</v>
      </c>
      <c r="AT611" s="17">
        <f t="shared" si="316"/>
        <v>0</v>
      </c>
      <c r="BD611" s="65">
        <f t="shared" si="317"/>
        <v>16.666666666666664</v>
      </c>
      <c r="BE611" s="65">
        <f t="shared" si="318"/>
        <v>16.666666666666664</v>
      </c>
      <c r="BF611" s="66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3.2886082609839513</v>
      </c>
      <c r="BG611" s="38">
        <f t="shared" si="319"/>
        <v>0.33333333333333331</v>
      </c>
      <c r="BH611" s="38">
        <f t="shared" si="320"/>
        <v>0</v>
      </c>
      <c r="BI611" s="67">
        <f>IFERROR(((AG611*(12000/5))/((F611*60+G611)*(SUMIFS(팀공격력!X:X,팀공격력!A:A,B611,팀공격력!B:B,D611)+SUMIFS(팀수비력!X:X,팀수비력!A:A,B611,팀수비력!B:B,D611))))*100,"")</f>
        <v>0</v>
      </c>
      <c r="BJ611" s="67">
        <f>IFERROR(((AI611*(12000/5))/((F611*60+G611)*(SUMIFS(팀공격력!V:V,팀공격력!A:A,B611,팀공격력!B:B,D611)+SUMIFS(팀수비력!W:W,팀수비력!A:A,B611,팀수비력!B:B,D611))))*100,"")</f>
        <v>3.7202380952380953</v>
      </c>
      <c r="BK611" s="67">
        <f>IFERROR(((AE611*(12000/5))/((F611*60+G611)*(SUMIFS(팀공격력!X:X,팀공격력!A:A,B611,팀공격력!B:B,D611)+SUMIFS(팀수비력!X:X,팀수비력!A:A,B611,팀수비력!B:B,D611))))*100,"")</f>
        <v>1.9747235387045814</v>
      </c>
      <c r="BL611" s="67">
        <f>IFERROR(100*AK611/(((((F611*60+G611)/(12000/5))*SUMIFS(팀공격력!P:P,팀공격력!A:A,B611,팀공격력!B:B,D611))-K611)),"")</f>
        <v>0</v>
      </c>
      <c r="BM611" s="67">
        <f>IFERROR(100*((AM611/E611*(2400))/((F611*60+G611)*SUMIFS(팀공격력!AR:AR,팀공격력!A:A,B611,팀공격력!B:B,D611))),"")</f>
        <v>0</v>
      </c>
      <c r="BN611" s="67">
        <f>IFERROR((AO611*40)/(((F611*60+G611)/60)*(SUMIFS(팀수비력!Q:Q,팀수비력!A:A,B611,팀수비력!B:B,D611)-SUMIFS(팀수비력!N:N,팀수비력!A:A,B611,팀수비력!B:B,D611)))*100,"")</f>
        <v>0</v>
      </c>
      <c r="BO611" s="67">
        <f t="shared" si="321"/>
        <v>0</v>
      </c>
      <c r="BT611" t="s">
        <v>96</v>
      </c>
      <c r="BV611" t="s">
        <v>93</v>
      </c>
      <c r="CF611">
        <v>0</v>
      </c>
      <c r="CG611">
        <v>1</v>
      </c>
    </row>
    <row r="612" spans="1:85" x14ac:dyDescent="0.4">
      <c r="A612" s="11" t="s">
        <v>85</v>
      </c>
      <c r="B612" t="s">
        <v>224</v>
      </c>
      <c r="C612" t="s">
        <v>237</v>
      </c>
      <c r="D612" s="46" t="s">
        <v>309</v>
      </c>
      <c r="E612">
        <v>3</v>
      </c>
      <c r="F612">
        <v>3</v>
      </c>
      <c r="G612" s="1">
        <v>58</v>
      </c>
      <c r="H612" s="16">
        <f t="shared" si="296"/>
        <v>714</v>
      </c>
      <c r="I612">
        <v>3</v>
      </c>
      <c r="J612" s="17">
        <f t="shared" si="297"/>
        <v>1</v>
      </c>
      <c r="K612">
        <v>1</v>
      </c>
      <c r="L612">
        <v>3</v>
      </c>
      <c r="M612" s="17">
        <f t="shared" si="298"/>
        <v>0.33333333333333331</v>
      </c>
      <c r="N612" s="17">
        <f t="shared" si="299"/>
        <v>1</v>
      </c>
      <c r="O612" s="18">
        <f t="shared" si="300"/>
        <v>0.33333333333333331</v>
      </c>
      <c r="P612">
        <v>0</v>
      </c>
      <c r="Q612">
        <v>1</v>
      </c>
      <c r="R612" s="17">
        <f t="shared" si="301"/>
        <v>0</v>
      </c>
      <c r="S612" s="17">
        <f t="shared" si="302"/>
        <v>0.33333333333333331</v>
      </c>
      <c r="T612" s="18">
        <f t="shared" si="303"/>
        <v>0</v>
      </c>
      <c r="U612">
        <v>1</v>
      </c>
      <c r="V612">
        <v>2</v>
      </c>
      <c r="W612" s="17">
        <f t="shared" si="304"/>
        <v>0.33333333333333331</v>
      </c>
      <c r="X612" s="17">
        <f t="shared" si="305"/>
        <v>0.66666666666666663</v>
      </c>
      <c r="Y612" s="18">
        <f t="shared" si="306"/>
        <v>0.5</v>
      </c>
      <c r="Z612">
        <v>0</v>
      </c>
      <c r="AA612">
        <v>0</v>
      </c>
      <c r="AB612" s="17">
        <f t="shared" si="307"/>
        <v>0</v>
      </c>
      <c r="AC612" s="17">
        <f t="shared" si="308"/>
        <v>0</v>
      </c>
      <c r="AD612" s="18" t="e">
        <f t="shared" si="309"/>
        <v>#DIV/0!</v>
      </c>
      <c r="AE612">
        <v>0</v>
      </c>
      <c r="AF612" s="17">
        <f t="shared" si="310"/>
        <v>0</v>
      </c>
      <c r="AG612">
        <v>0</v>
      </c>
      <c r="AH612" s="17">
        <f t="shared" si="311"/>
        <v>0</v>
      </c>
      <c r="AI612">
        <v>0</v>
      </c>
      <c r="AJ612" s="17">
        <f t="shared" si="312"/>
        <v>0</v>
      </c>
      <c r="AK612">
        <v>1</v>
      </c>
      <c r="AL612" s="17">
        <f t="shared" si="313"/>
        <v>0.33333333333333331</v>
      </c>
      <c r="AM612">
        <v>0</v>
      </c>
      <c r="AN612" s="17">
        <f t="shared" si="314"/>
        <v>0</v>
      </c>
      <c r="AO612">
        <v>0</v>
      </c>
      <c r="AQ612">
        <v>1</v>
      </c>
      <c r="AR612" s="17">
        <f t="shared" si="315"/>
        <v>0.33333333333333331</v>
      </c>
      <c r="AS612">
        <v>1</v>
      </c>
      <c r="AT612" s="17">
        <f t="shared" si="316"/>
        <v>0.33333333333333331</v>
      </c>
      <c r="BD612" s="65">
        <f t="shared" si="317"/>
        <v>50</v>
      </c>
      <c r="BE612" s="65">
        <f t="shared" si="318"/>
        <v>50</v>
      </c>
      <c r="BF612" s="66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5.3059897992346112</v>
      </c>
      <c r="BG612" s="38">
        <f t="shared" si="319"/>
        <v>0.66666666666666663</v>
      </c>
      <c r="BH612" s="38">
        <f t="shared" si="320"/>
        <v>0</v>
      </c>
      <c r="BI612" s="67">
        <f>IFERROR(((AG612*(12000/5))/((F612*60+G612)*(SUMIFS(팀공격력!X:X,팀공격력!A:A,B612,팀공격력!B:B,D612)+SUMIFS(팀수비력!X:X,팀수비력!A:A,B612,팀수비력!B:B,D612))))*100,"")</f>
        <v>0</v>
      </c>
      <c r="BJ612" s="67">
        <f>IFERROR(((AI612*(12000/5))/((F612*60+G612)*(SUMIFS(팀공격력!V:V,팀공격력!A:A,B612,팀공격력!B:B,D612)+SUMIFS(팀수비력!W:W,팀수비력!A:A,B612,팀수비력!B:B,D612))))*100,"")</f>
        <v>0</v>
      </c>
      <c r="BK612" s="67">
        <f>IFERROR(((AE612*(12000/5))/((F612*60+G612)*(SUMIFS(팀공격력!X:X,팀공격력!A:A,B612,팀공격력!B:B,D612)+SUMIFS(팀수비력!X:X,팀수비력!A:A,B612,팀수비력!B:B,D612))))*100,"")</f>
        <v>0</v>
      </c>
      <c r="BL612" s="67">
        <f>IFERROR(100*AK612/(((((F612*60+G612)/(12000/5))*SUMIFS(팀공격력!P:P,팀공격력!A:A,B612,팀공격력!B:B,D612))-K612)),"")</f>
        <v>3.9250318908841137</v>
      </c>
      <c r="BM612" s="67">
        <f>IFERROR(100*((AM612/E612*(2400))/((F612*60+G612)*SUMIFS(팀공격력!AR:AR,팀공격력!A:A,B612,팀공격력!B:B,D612))),"")</f>
        <v>0</v>
      </c>
      <c r="BN612" s="67">
        <f>IFERROR((AO612*40)/(((F612*60+G612)/60)*(SUMIFS(팀수비력!Q:Q,팀수비력!A:A,B612,팀수비력!B:B,D612)-SUMIFS(팀수비력!N:N,팀수비력!A:A,B612,팀수비력!B:B,D612)))*100,"")</f>
        <v>0</v>
      </c>
      <c r="BO612" s="67">
        <f t="shared" si="321"/>
        <v>25</v>
      </c>
      <c r="BT612" t="s">
        <v>89</v>
      </c>
      <c r="BV612" t="s">
        <v>90</v>
      </c>
      <c r="CF612">
        <v>0</v>
      </c>
      <c r="CG612">
        <v>3</v>
      </c>
    </row>
    <row r="613" spans="1:85" x14ac:dyDescent="0.4">
      <c r="A613" s="11" t="s">
        <v>85</v>
      </c>
      <c r="B613" t="s">
        <v>224</v>
      </c>
      <c r="C613" t="s">
        <v>238</v>
      </c>
      <c r="D613" s="46" t="s">
        <v>309</v>
      </c>
      <c r="E613">
        <v>8</v>
      </c>
      <c r="F613">
        <v>18</v>
      </c>
      <c r="G613" s="1">
        <v>38</v>
      </c>
      <c r="H613" s="16">
        <f t="shared" si="296"/>
        <v>8944</v>
      </c>
      <c r="I613">
        <v>44</v>
      </c>
      <c r="J613" s="17">
        <f t="shared" si="297"/>
        <v>5.5</v>
      </c>
      <c r="K613">
        <v>16</v>
      </c>
      <c r="L613">
        <v>38</v>
      </c>
      <c r="M613" s="17">
        <f t="shared" si="298"/>
        <v>2</v>
      </c>
      <c r="N613" s="17">
        <f t="shared" si="299"/>
        <v>4.75</v>
      </c>
      <c r="O613" s="18">
        <f t="shared" si="300"/>
        <v>0.42105263157894735</v>
      </c>
      <c r="P613">
        <v>12</v>
      </c>
      <c r="Q613">
        <v>31</v>
      </c>
      <c r="R613" s="17">
        <f t="shared" si="301"/>
        <v>1.5</v>
      </c>
      <c r="S613" s="17">
        <f t="shared" si="302"/>
        <v>3.875</v>
      </c>
      <c r="T613" s="18">
        <f t="shared" si="303"/>
        <v>0.38709677419354838</v>
      </c>
      <c r="U613">
        <v>4</v>
      </c>
      <c r="V613">
        <v>7</v>
      </c>
      <c r="W613" s="17">
        <f t="shared" si="304"/>
        <v>0.5</v>
      </c>
      <c r="X613" s="17">
        <f t="shared" si="305"/>
        <v>0.875</v>
      </c>
      <c r="Y613" s="18">
        <f t="shared" si="306"/>
        <v>0.5714285714285714</v>
      </c>
      <c r="Z613">
        <v>8</v>
      </c>
      <c r="AA613">
        <v>9</v>
      </c>
      <c r="AB613" s="17">
        <f t="shared" si="307"/>
        <v>1</v>
      </c>
      <c r="AC613" s="17">
        <f t="shared" si="308"/>
        <v>1.125</v>
      </c>
      <c r="AD613" s="18">
        <f t="shared" si="309"/>
        <v>0.88888888888888884</v>
      </c>
      <c r="AE613">
        <v>28</v>
      </c>
      <c r="AF613" s="17">
        <f t="shared" si="310"/>
        <v>3.5</v>
      </c>
      <c r="AG613">
        <v>14</v>
      </c>
      <c r="AH613" s="17">
        <f t="shared" si="311"/>
        <v>1.75</v>
      </c>
      <c r="AI613">
        <v>14</v>
      </c>
      <c r="AJ613" s="17">
        <f t="shared" si="312"/>
        <v>1.75</v>
      </c>
      <c r="AK613">
        <v>9</v>
      </c>
      <c r="AL613" s="17">
        <f t="shared" si="313"/>
        <v>1.125</v>
      </c>
      <c r="AM613">
        <v>5</v>
      </c>
      <c r="AN613" s="17">
        <f t="shared" si="314"/>
        <v>0.625</v>
      </c>
      <c r="AO613">
        <v>4</v>
      </c>
      <c r="AQ613">
        <v>6</v>
      </c>
      <c r="AR613" s="17">
        <f t="shared" si="315"/>
        <v>0.75</v>
      </c>
      <c r="AS613">
        <v>7</v>
      </c>
      <c r="AT613" s="17">
        <f t="shared" si="316"/>
        <v>0.875</v>
      </c>
      <c r="BD613" s="65">
        <f t="shared" si="317"/>
        <v>52.430886558627265</v>
      </c>
      <c r="BE613" s="65">
        <f t="shared" si="318"/>
        <v>47.368421052631575</v>
      </c>
      <c r="BF613" s="66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13.543183015109006</v>
      </c>
      <c r="BG613" s="38">
        <f t="shared" si="319"/>
        <v>0.18421052631578946</v>
      </c>
      <c r="BH613" s="38">
        <f t="shared" si="320"/>
        <v>0.23684210526315788</v>
      </c>
      <c r="BI613" s="67">
        <f>IFERROR(((AG613*(12000/5))/((F613*60+G613)*(SUMIFS(팀공격력!X:X,팀공격력!A:A,B613,팀공격력!B:B,D613)+SUMIFS(팀수비력!X:X,팀수비력!A:A,B613,팀수비력!B:B,D613))))*100,"")</f>
        <v>4.7478147334865071</v>
      </c>
      <c r="BJ613" s="67">
        <f>IFERROR(((AI613*(12000/5))/((F613*60+G613)*(SUMIFS(팀공격력!V:V,팀공격력!A:A,B613,팀공격력!B:B,D613)+SUMIFS(팀수비력!W:W,팀수비력!A:A,B613,팀수비력!B:B,D613))))*100,"")</f>
        <v>8.9445438282647594</v>
      </c>
      <c r="BK613" s="67">
        <f>IFERROR(((AE613*(12000/5))/((F613*60+G613)*(SUMIFS(팀공격력!X:X,팀공격력!A:A,B613,팀공격력!B:B,D613)+SUMIFS(팀수비력!X:X,팀수비력!A:A,B613,팀수비력!B:B,D613))))*100,"")</f>
        <v>9.4956294669730141</v>
      </c>
      <c r="BL613" s="67">
        <f>IFERROR(100*AK613/(((((F613*60+G613)/(12000/5))*SUMIFS(팀공격력!P:P,팀공격력!A:A,B613,팀공격력!B:B,D613))-K613)),"")</f>
        <v>8.3043067057276652</v>
      </c>
      <c r="BM613" s="67">
        <f>IFERROR(100*((AM613/E613*(2400))/((F613*60+G613)*SUMIFS(팀공격력!AR:AR,팀공격력!A:A,B613,팀공격력!B:B,D613))),"")</f>
        <v>1.8501778012949701</v>
      </c>
      <c r="BN613" s="67">
        <f>IFERROR((AO613*40)/(((F613*60+G613)/60)*(SUMIFS(팀수비력!Q:Q,팀수비력!A:A,B613,팀수비력!B:B,D613)-SUMIFS(팀수비력!N:N,팀수비력!A:A,B613,팀수비력!B:B,D613)))*100,"")</f>
        <v>2.1574779083251681</v>
      </c>
      <c r="BO613" s="67">
        <f t="shared" si="321"/>
        <v>12.510425354462052</v>
      </c>
      <c r="BT613" t="s">
        <v>89</v>
      </c>
      <c r="BV613" t="s">
        <v>102</v>
      </c>
      <c r="CF613">
        <v>1</v>
      </c>
      <c r="CG613">
        <v>7</v>
      </c>
    </row>
    <row r="614" spans="1:85" x14ac:dyDescent="0.4">
      <c r="A614" s="11" t="s">
        <v>85</v>
      </c>
      <c r="B614" t="s">
        <v>224</v>
      </c>
      <c r="C614" t="s">
        <v>240</v>
      </c>
      <c r="D614" s="46" t="s">
        <v>309</v>
      </c>
      <c r="E614">
        <v>5</v>
      </c>
      <c r="F614">
        <v>3</v>
      </c>
      <c r="G614" s="1">
        <v>56</v>
      </c>
      <c r="H614" s="16">
        <f t="shared" si="296"/>
        <v>1180</v>
      </c>
      <c r="I614">
        <v>6</v>
      </c>
      <c r="J614" s="17">
        <f t="shared" si="297"/>
        <v>1.2</v>
      </c>
      <c r="K614">
        <v>2</v>
      </c>
      <c r="L614">
        <v>5</v>
      </c>
      <c r="M614" s="17">
        <f t="shared" si="298"/>
        <v>0.4</v>
      </c>
      <c r="N614" s="17">
        <f t="shared" si="299"/>
        <v>1</v>
      </c>
      <c r="O614" s="18">
        <f t="shared" si="300"/>
        <v>0.4</v>
      </c>
      <c r="P614">
        <v>1</v>
      </c>
      <c r="Q614">
        <v>3</v>
      </c>
      <c r="R614" s="17">
        <f t="shared" si="301"/>
        <v>0.2</v>
      </c>
      <c r="S614" s="17">
        <f t="shared" si="302"/>
        <v>0.6</v>
      </c>
      <c r="T614" s="18">
        <f t="shared" si="303"/>
        <v>0.33333333333333331</v>
      </c>
      <c r="U614">
        <v>1</v>
      </c>
      <c r="V614">
        <v>2</v>
      </c>
      <c r="W614" s="17">
        <f t="shared" si="304"/>
        <v>0.2</v>
      </c>
      <c r="X614" s="17">
        <f t="shared" si="305"/>
        <v>0.4</v>
      </c>
      <c r="Y614" s="18">
        <f t="shared" si="306"/>
        <v>0.5</v>
      </c>
      <c r="Z614">
        <v>1</v>
      </c>
      <c r="AA614">
        <v>2</v>
      </c>
      <c r="AB614" s="17">
        <f t="shared" si="307"/>
        <v>0.2</v>
      </c>
      <c r="AC614" s="17">
        <f t="shared" si="308"/>
        <v>0.4</v>
      </c>
      <c r="AD614" s="18">
        <f t="shared" si="309"/>
        <v>0.5</v>
      </c>
      <c r="AE614">
        <v>1</v>
      </c>
      <c r="AF614" s="17">
        <f t="shared" si="310"/>
        <v>0.2</v>
      </c>
      <c r="AG614">
        <v>0</v>
      </c>
      <c r="AH614" s="17">
        <f t="shared" si="311"/>
        <v>0</v>
      </c>
      <c r="AI614">
        <v>1</v>
      </c>
      <c r="AJ614" s="17">
        <f t="shared" si="312"/>
        <v>0.2</v>
      </c>
      <c r="AK614">
        <v>2</v>
      </c>
      <c r="AL614" s="17">
        <f t="shared" si="313"/>
        <v>0.4</v>
      </c>
      <c r="AM614">
        <v>1</v>
      </c>
      <c r="AN614" s="17">
        <f t="shared" si="314"/>
        <v>0.2</v>
      </c>
      <c r="AO614">
        <v>0</v>
      </c>
      <c r="AQ614">
        <v>2</v>
      </c>
      <c r="AR614" s="17">
        <f t="shared" si="315"/>
        <v>0.4</v>
      </c>
      <c r="AS614">
        <v>3</v>
      </c>
      <c r="AT614" s="17">
        <f t="shared" si="316"/>
        <v>0.6</v>
      </c>
      <c r="BD614" s="65">
        <f t="shared" si="317"/>
        <v>51.020408163265309</v>
      </c>
      <c r="BE614" s="65">
        <f t="shared" si="318"/>
        <v>50</v>
      </c>
      <c r="BF614" s="66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10.541382954530253</v>
      </c>
      <c r="BG614" s="38">
        <f t="shared" si="319"/>
        <v>0.4</v>
      </c>
      <c r="BH614" s="38">
        <f t="shared" si="320"/>
        <v>0.4</v>
      </c>
      <c r="BI614" s="67">
        <f>IFERROR(((AG614*(12000/5))/((F614*60+G614)*(SUMIFS(팀공격력!X:X,팀공격력!A:A,B614,팀공격력!B:B,D614)+SUMIFS(팀수비력!X:X,팀수비력!A:A,B614,팀수비력!B:B,D614))))*100,"")</f>
        <v>0</v>
      </c>
      <c r="BJ614" s="67">
        <f>IFERROR(((AI614*(12000/5))/((F614*60+G614)*(SUMIFS(팀공격력!V:V,팀공격력!A:A,B614,팀공격력!B:B,D614)+SUMIFS(팀수비력!W:W,팀수비력!A:A,B614,팀수비력!B:B,D614))))*100,"")</f>
        <v>3.026634382566586</v>
      </c>
      <c r="BK614" s="67">
        <f>IFERROR(((AE614*(12000/5))/((F614*60+G614)*(SUMIFS(팀공격력!X:X,팀공격력!A:A,B614,팀공격력!B:B,D614)+SUMIFS(팀수비력!X:X,팀수비력!A:A,B614,팀수비력!B:B,D614))))*100,"")</f>
        <v>1.60655474335288</v>
      </c>
      <c r="BL614" s="67">
        <f>IFERROR(100*AK614/(((((F614*60+G614)/(12000/5))*SUMIFS(팀공격력!P:P,팀공격력!A:A,B614,팀공격력!B:B,D614))-K614)),"")</f>
        <v>8.245722531436817</v>
      </c>
      <c r="BM614" s="67">
        <f>IFERROR(100*((AM614/E614*(2400))/((F614*60+G614)*SUMIFS(팀공격력!AR:AR,팀공격력!A:A,B614,팀공격력!B:B,D614))),"")</f>
        <v>2.8047441109800357</v>
      </c>
      <c r="BN614" s="67">
        <f>IFERROR((AO614*40)/(((F614*60+G614)/60)*(SUMIFS(팀수비력!Q:Q,팀수비력!A:A,B614,팀수비력!B:B,D614)-SUMIFS(팀수비력!N:N,팀수비력!A:A,B614,팀수비력!B:B,D614)))*100,"")</f>
        <v>0</v>
      </c>
      <c r="BO614" s="67">
        <f t="shared" si="321"/>
        <v>25.380710659898476</v>
      </c>
      <c r="BT614" t="s">
        <v>89</v>
      </c>
      <c r="BV614" t="s">
        <v>90</v>
      </c>
      <c r="CF614">
        <v>1</v>
      </c>
      <c r="CG614">
        <v>4</v>
      </c>
    </row>
    <row r="615" spans="1:85" x14ac:dyDescent="0.4">
      <c r="A615" s="11" t="s">
        <v>85</v>
      </c>
      <c r="B615" t="s">
        <v>224</v>
      </c>
      <c r="C615" t="s">
        <v>241</v>
      </c>
      <c r="D615" s="46" t="s">
        <v>309</v>
      </c>
      <c r="E615">
        <v>9</v>
      </c>
      <c r="F615">
        <v>11</v>
      </c>
      <c r="G615" s="1">
        <v>26</v>
      </c>
      <c r="H615" s="16">
        <f t="shared" si="296"/>
        <v>6174</v>
      </c>
      <c r="I615">
        <v>32</v>
      </c>
      <c r="J615" s="17">
        <f t="shared" si="297"/>
        <v>3.5555555555555554</v>
      </c>
      <c r="K615">
        <v>11</v>
      </c>
      <c r="L615">
        <v>25</v>
      </c>
      <c r="M615" s="17">
        <f t="shared" si="298"/>
        <v>1.2222222222222223</v>
      </c>
      <c r="N615" s="17">
        <f t="shared" si="299"/>
        <v>2.7777777777777777</v>
      </c>
      <c r="O615" s="18">
        <f t="shared" si="300"/>
        <v>0.44</v>
      </c>
      <c r="P615">
        <v>7</v>
      </c>
      <c r="Q615">
        <v>12</v>
      </c>
      <c r="R615" s="17">
        <f t="shared" si="301"/>
        <v>0.77777777777777779</v>
      </c>
      <c r="S615" s="17">
        <f t="shared" si="302"/>
        <v>1.3333333333333333</v>
      </c>
      <c r="T615" s="18">
        <f t="shared" si="303"/>
        <v>0.58333333333333337</v>
      </c>
      <c r="U615">
        <v>4</v>
      </c>
      <c r="V615">
        <v>13</v>
      </c>
      <c r="W615" s="17">
        <f t="shared" si="304"/>
        <v>0.44444444444444442</v>
      </c>
      <c r="X615" s="17">
        <f t="shared" si="305"/>
        <v>1.4444444444444444</v>
      </c>
      <c r="Y615" s="18">
        <f t="shared" si="306"/>
        <v>0.30769230769230771</v>
      </c>
      <c r="Z615">
        <v>6</v>
      </c>
      <c r="AA615">
        <v>8</v>
      </c>
      <c r="AB615" s="17">
        <f t="shared" si="307"/>
        <v>0.66666666666666663</v>
      </c>
      <c r="AC615" s="17">
        <f t="shared" si="308"/>
        <v>0.88888888888888884</v>
      </c>
      <c r="AD615" s="18">
        <f t="shared" si="309"/>
        <v>0.75</v>
      </c>
      <c r="AE615">
        <v>6</v>
      </c>
      <c r="AF615" s="17">
        <f t="shared" si="310"/>
        <v>0.66666666666666663</v>
      </c>
      <c r="AG615">
        <v>3</v>
      </c>
      <c r="AH615" s="17">
        <f t="shared" si="311"/>
        <v>0.33333333333333331</v>
      </c>
      <c r="AI615">
        <v>3</v>
      </c>
      <c r="AJ615" s="17">
        <f t="shared" si="312"/>
        <v>0.33333333333333331</v>
      </c>
      <c r="AK615">
        <v>5</v>
      </c>
      <c r="AL615" s="17">
        <f t="shared" si="313"/>
        <v>0.55555555555555558</v>
      </c>
      <c r="AM615">
        <v>2</v>
      </c>
      <c r="AN615" s="17">
        <f t="shared" si="314"/>
        <v>0.22222222222222221</v>
      </c>
      <c r="AO615">
        <v>1</v>
      </c>
      <c r="AQ615">
        <v>0</v>
      </c>
      <c r="AR615" s="17">
        <f t="shared" si="315"/>
        <v>0</v>
      </c>
      <c r="AS615">
        <v>13</v>
      </c>
      <c r="AT615" s="17">
        <f t="shared" si="316"/>
        <v>1.4444444444444444</v>
      </c>
      <c r="BD615" s="65">
        <f t="shared" si="317"/>
        <v>56.100981767180926</v>
      </c>
      <c r="BE615" s="65">
        <f t="shared" si="318"/>
        <v>52</v>
      </c>
      <c r="BF615" s="66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13.125286195208718</v>
      </c>
      <c r="BG615" s="38">
        <f t="shared" si="319"/>
        <v>0.52</v>
      </c>
      <c r="BH615" s="38">
        <f t="shared" si="320"/>
        <v>0.32</v>
      </c>
      <c r="BI615" s="67">
        <f>IFERROR(((AG615*(12000/5))/((F615*60+G615)*(SUMIFS(팀공격력!X:X,팀공격력!A:A,B615,팀공격력!B:B,D615)+SUMIFS(팀수비력!X:X,팀수비력!A:A,B615,팀수비력!B:B,D615))))*100,"")</f>
        <v>1.6580769071338759</v>
      </c>
      <c r="BJ615" s="67">
        <f>IFERROR(((AI615*(12000/5))/((F615*60+G615)*(SUMIFS(팀공격력!V:V,팀공격력!A:A,B615,팀공격력!B:B,D615)+SUMIFS(팀수비력!W:W,팀수비력!A:A,B615,팀수비력!B:B,D615))))*100,"")</f>
        <v>3.1236984589754266</v>
      </c>
      <c r="BK615" s="67">
        <f>IFERROR(((AE615*(12000/5))/((F615*60+G615)*(SUMIFS(팀공격력!X:X,팀공격력!A:A,B615,팀공격력!B:B,D615)+SUMIFS(팀수비력!X:X,팀수비력!A:A,B615,팀수비력!B:B,D615))))*100,"")</f>
        <v>3.3161538142677518</v>
      </c>
      <c r="BL615" s="67">
        <f>IFERROR(100*AK615/(((((F615*60+G615)/(12000/5))*SUMIFS(팀공격력!P:P,팀공격력!A:A,B615,팀공격력!B:B,D615))-K615)),"")</f>
        <v>7.6549163700386575</v>
      </c>
      <c r="BM615" s="67">
        <f>IFERROR(100*((AM615/E615*(2400))/((F615*60+G615)*SUMIFS(팀공격력!AR:AR,팀공격력!A:A,B615,팀공격력!B:B,D615))),"")</f>
        <v>1.0721082121659999</v>
      </c>
      <c r="BN615" s="67">
        <f>IFERROR((AO615*40)/(((F615*60+G615)/60)*(SUMIFS(팀수비력!Q:Q,팀수비력!A:A,B615,팀수비력!B:B,D615)-SUMIFS(팀수비력!N:N,팀수비력!A:A,B615,팀수비력!B:B,D615)))*100,"")</f>
        <v>0.87903072212373812</v>
      </c>
      <c r="BO615" s="67">
        <f t="shared" si="321"/>
        <v>0</v>
      </c>
      <c r="BT615" t="s">
        <v>89</v>
      </c>
      <c r="BV615" t="s">
        <v>93</v>
      </c>
      <c r="CF615">
        <v>1</v>
      </c>
      <c r="CG615">
        <v>8</v>
      </c>
    </row>
    <row r="616" spans="1:85" x14ac:dyDescent="0.4">
      <c r="A616" s="11" t="s">
        <v>85</v>
      </c>
      <c r="B616" t="s">
        <v>224</v>
      </c>
      <c r="C616" t="s">
        <v>242</v>
      </c>
      <c r="D616" s="46" t="s">
        <v>309</v>
      </c>
      <c r="E616">
        <v>9</v>
      </c>
      <c r="F616">
        <v>26</v>
      </c>
      <c r="G616" s="1">
        <v>55</v>
      </c>
      <c r="H616" s="16">
        <f t="shared" si="296"/>
        <v>14535</v>
      </c>
      <c r="I616">
        <v>100</v>
      </c>
      <c r="J616" s="17">
        <f t="shared" si="297"/>
        <v>11.111111111111111</v>
      </c>
      <c r="K616">
        <v>35</v>
      </c>
      <c r="L616">
        <v>87</v>
      </c>
      <c r="M616" s="17">
        <f t="shared" si="298"/>
        <v>3.8888888888888888</v>
      </c>
      <c r="N616" s="17">
        <f t="shared" si="299"/>
        <v>9.6666666666666661</v>
      </c>
      <c r="O616" s="18">
        <f t="shared" si="300"/>
        <v>0.40229885057471265</v>
      </c>
      <c r="P616">
        <v>22</v>
      </c>
      <c r="Q616">
        <v>46</v>
      </c>
      <c r="R616" s="17">
        <f t="shared" si="301"/>
        <v>2.4444444444444446</v>
      </c>
      <c r="S616" s="17">
        <f t="shared" si="302"/>
        <v>5.1111111111111107</v>
      </c>
      <c r="T616" s="18">
        <f t="shared" si="303"/>
        <v>0.47826086956521741</v>
      </c>
      <c r="U616">
        <v>13</v>
      </c>
      <c r="V616">
        <v>41</v>
      </c>
      <c r="W616" s="17">
        <f t="shared" si="304"/>
        <v>1.4444444444444444</v>
      </c>
      <c r="X616" s="17">
        <f t="shared" si="305"/>
        <v>4.5555555555555554</v>
      </c>
      <c r="Y616" s="18">
        <f t="shared" si="306"/>
        <v>0.31707317073170732</v>
      </c>
      <c r="Z616">
        <v>17</v>
      </c>
      <c r="AA616">
        <v>24</v>
      </c>
      <c r="AB616" s="17">
        <f t="shared" si="307"/>
        <v>1.8888888888888888</v>
      </c>
      <c r="AC616" s="17">
        <f t="shared" si="308"/>
        <v>2.6666666666666665</v>
      </c>
      <c r="AD616" s="18">
        <f t="shared" si="309"/>
        <v>0.70833333333333337</v>
      </c>
      <c r="AE616">
        <v>52</v>
      </c>
      <c r="AF616" s="17">
        <f t="shared" si="310"/>
        <v>5.7777777777777777</v>
      </c>
      <c r="AG616">
        <v>10</v>
      </c>
      <c r="AH616" s="17">
        <f t="shared" si="311"/>
        <v>1.1111111111111112</v>
      </c>
      <c r="AI616">
        <v>42</v>
      </c>
      <c r="AJ616" s="17">
        <f t="shared" si="312"/>
        <v>4.666666666666667</v>
      </c>
      <c r="AK616">
        <v>21</v>
      </c>
      <c r="AL616" s="17">
        <f t="shared" si="313"/>
        <v>2.3333333333333335</v>
      </c>
      <c r="AM616">
        <v>8</v>
      </c>
      <c r="AN616" s="17">
        <f t="shared" si="314"/>
        <v>0.88888888888888884</v>
      </c>
      <c r="AO616">
        <v>2</v>
      </c>
      <c r="AQ616">
        <v>17</v>
      </c>
      <c r="AR616" s="17">
        <f t="shared" si="315"/>
        <v>1.8888888888888888</v>
      </c>
      <c r="AS616">
        <v>24</v>
      </c>
      <c r="AT616" s="17">
        <f t="shared" si="316"/>
        <v>2.6666666666666665</v>
      </c>
      <c r="BD616" s="65">
        <f t="shared" si="317"/>
        <v>51.250512505125045</v>
      </c>
      <c r="BE616" s="65">
        <f t="shared" si="318"/>
        <v>47.701149425287355</v>
      </c>
      <c r="BF616" s="66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22.394628104222207</v>
      </c>
      <c r="BG616" s="38">
        <f t="shared" si="319"/>
        <v>0.47126436781609193</v>
      </c>
      <c r="BH616" s="38">
        <f t="shared" si="320"/>
        <v>0.27586206896551724</v>
      </c>
      <c r="BI616" s="67">
        <f>IFERROR(((AG616*(12000/5))/((F616*60+G616)*(SUMIFS(팀공격력!X:X,팀공격력!A:A,B616,팀공격력!B:B,D616)+SUMIFS(팀수비력!X:X,팀수비력!A:A,B616,팀수비력!B:B,D616))))*100,"")</f>
        <v>2.3476589438469326</v>
      </c>
      <c r="BJ616" s="67">
        <f>IFERROR(((AI616*(12000/5))/((F616*60+G616)*(SUMIFS(팀공격력!V:V,팀공격력!A:A,B616,팀공격력!B:B,D616)+SUMIFS(팀수비력!W:W,팀수비력!A:A,B616,팀수비력!B:B,D616))))*100,"")</f>
        <v>18.575851393188856</v>
      </c>
      <c r="BK616" s="67">
        <f>IFERROR(((AE616*(12000/5))/((F616*60+G616)*(SUMIFS(팀공격력!X:X,팀공격력!A:A,B616,팀공격력!B:B,D616)+SUMIFS(팀수비력!X:X,팀수비력!A:A,B616,팀수비력!B:B,D616))))*100,"")</f>
        <v>12.20782650800405</v>
      </c>
      <c r="BL616" s="67">
        <f>IFERROR(100*AK616/(((((F616*60+G616)/(12000/5))*SUMIFS(팀공격력!P:P,팀공격력!A:A,B616,팀공격력!B:B,D616))-K616)),"")</f>
        <v>14.515919989631485</v>
      </c>
      <c r="BM616" s="67">
        <f>IFERROR(100*((AM616/E616*(2400))/((F616*60+G616)*SUMIFS(팀공격력!AR:AR,팀공격력!A:A,B616,팀공격력!B:B,D616))),"")</f>
        <v>1.8215881945408692</v>
      </c>
      <c r="BN616" s="67">
        <f>IFERROR((AO616*40)/(((F616*60+G616)/60)*(SUMIFS(팀수비력!Q:Q,팀수비력!A:A,B616,팀수비력!B:B,D616)-SUMIFS(팀수비력!N:N,팀수비력!A:A,B616,팀수비력!B:B,D616)))*100,"")</f>
        <v>0.74676789520357201</v>
      </c>
      <c r="BO616" s="67">
        <f t="shared" si="321"/>
        <v>14.839385474860334</v>
      </c>
      <c r="BT616" t="s">
        <v>89</v>
      </c>
      <c r="BV616" t="s">
        <v>93</v>
      </c>
      <c r="CF616">
        <v>1</v>
      </c>
      <c r="CG616">
        <v>8</v>
      </c>
    </row>
    <row r="617" spans="1:85" x14ac:dyDescent="0.4">
      <c r="A617" s="11" t="s">
        <v>85</v>
      </c>
      <c r="B617" t="s">
        <v>224</v>
      </c>
      <c r="C617" t="s">
        <v>243</v>
      </c>
      <c r="D617" s="46" t="s">
        <v>309</v>
      </c>
      <c r="E617">
        <v>6</v>
      </c>
      <c r="F617">
        <v>27</v>
      </c>
      <c r="G617" s="1">
        <v>11</v>
      </c>
      <c r="H617" s="16">
        <f t="shared" si="296"/>
        <v>9786</v>
      </c>
      <c r="I617">
        <v>69</v>
      </c>
      <c r="J617" s="17">
        <f t="shared" si="297"/>
        <v>11.5</v>
      </c>
      <c r="K617">
        <v>22</v>
      </c>
      <c r="L617">
        <v>50</v>
      </c>
      <c r="M617" s="17">
        <f t="shared" si="298"/>
        <v>3.6666666666666665</v>
      </c>
      <c r="N617" s="17">
        <f t="shared" si="299"/>
        <v>8.3333333333333339</v>
      </c>
      <c r="O617" s="18">
        <f t="shared" si="300"/>
        <v>0.44</v>
      </c>
      <c r="P617">
        <v>6</v>
      </c>
      <c r="Q617">
        <v>17</v>
      </c>
      <c r="R617" s="17">
        <f t="shared" si="301"/>
        <v>1</v>
      </c>
      <c r="S617" s="17">
        <f t="shared" si="302"/>
        <v>2.8333333333333335</v>
      </c>
      <c r="T617" s="18">
        <f t="shared" si="303"/>
        <v>0.35294117647058826</v>
      </c>
      <c r="U617">
        <v>16</v>
      </c>
      <c r="V617">
        <v>33</v>
      </c>
      <c r="W617" s="17">
        <f t="shared" si="304"/>
        <v>2.6666666666666665</v>
      </c>
      <c r="X617" s="17">
        <f t="shared" si="305"/>
        <v>5.5</v>
      </c>
      <c r="Y617" s="18">
        <f t="shared" si="306"/>
        <v>0.48484848484848486</v>
      </c>
      <c r="Z617">
        <v>9</v>
      </c>
      <c r="AA617">
        <v>10</v>
      </c>
      <c r="AB617" s="17">
        <f t="shared" si="307"/>
        <v>1.5</v>
      </c>
      <c r="AC617" s="17">
        <f t="shared" si="308"/>
        <v>1.6666666666666667</v>
      </c>
      <c r="AD617" s="18">
        <f t="shared" si="309"/>
        <v>0.9</v>
      </c>
      <c r="AE617">
        <v>10</v>
      </c>
      <c r="AF617" s="17">
        <f t="shared" si="310"/>
        <v>1.6666666666666667</v>
      </c>
      <c r="AG617">
        <v>3</v>
      </c>
      <c r="AH617" s="17">
        <f t="shared" si="311"/>
        <v>0.5</v>
      </c>
      <c r="AI617">
        <v>7</v>
      </c>
      <c r="AJ617" s="17">
        <f t="shared" si="312"/>
        <v>1.1666666666666667</v>
      </c>
      <c r="AK617">
        <v>27</v>
      </c>
      <c r="AL617" s="17">
        <f t="shared" si="313"/>
        <v>4.5</v>
      </c>
      <c r="AM617">
        <v>3</v>
      </c>
      <c r="AN617" s="17">
        <f t="shared" si="314"/>
        <v>0.5</v>
      </c>
      <c r="AO617">
        <v>0</v>
      </c>
      <c r="AQ617">
        <v>11</v>
      </c>
      <c r="AR617" s="17">
        <f t="shared" si="315"/>
        <v>1.8333333333333333</v>
      </c>
      <c r="AS617">
        <v>15</v>
      </c>
      <c r="AT617" s="17">
        <f t="shared" si="316"/>
        <v>2.5</v>
      </c>
      <c r="BD617" s="65">
        <f t="shared" si="317"/>
        <v>63.419117647058819</v>
      </c>
      <c r="BE617" s="65">
        <f t="shared" si="318"/>
        <v>60</v>
      </c>
      <c r="BF617" s="66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12.659226306414247</v>
      </c>
      <c r="BG617" s="38">
        <f t="shared" si="319"/>
        <v>0.66</v>
      </c>
      <c r="BH617" s="38">
        <f t="shared" si="320"/>
        <v>0.2</v>
      </c>
      <c r="BI617" s="67">
        <f>IFERROR(((AG617*(12000/5))/((F617*60+G617)*(SUMIFS(팀공격력!X:X,팀공격력!A:A,B617,팀공격력!B:B,D617)+SUMIFS(팀수비력!X:X,팀수비력!A:A,B617,팀수비력!B:B,D617))))*100,"")</f>
        <v>0.69738857038248858</v>
      </c>
      <c r="BJ617" s="67">
        <f>IFERROR(((AI617*(12000/5))/((F617*60+G617)*(SUMIFS(팀공격력!V:V,팀공격력!A:A,B617,팀공격력!B:B,D617)+SUMIFS(팀수비력!W:W,팀수비력!A:A,B617,팀수비력!B:B,D617))))*100,"")</f>
        <v>3.0656039239730228</v>
      </c>
      <c r="BK617" s="67">
        <f>IFERROR(((AE617*(12000/5))/((F617*60+G617)*(SUMIFS(팀공격력!X:X,팀공격력!A:A,B617,팀공격력!B:B,D617)+SUMIFS(팀수비력!X:X,팀수비력!A:A,B617,팀수비력!B:B,D617))))*100,"")</f>
        <v>2.3246285679416285</v>
      </c>
      <c r="BL617" s="67">
        <f>IFERROR(100*AK617/(((((F617*60+G617)/(12000/5))*SUMIFS(팀공격력!P:P,팀공격력!A:A,B617,팀공격력!B:B,D617))-K617)),"")</f>
        <v>16.933340650208923</v>
      </c>
      <c r="BM617" s="67">
        <f>IFERROR(100*((AM617/E617*(2400))/((F617*60+G617)*SUMIFS(팀공격력!AR:AR,팀공격력!A:A,B617,팀공격력!B:B,D617))),"")</f>
        <v>1.0145916771785537</v>
      </c>
      <c r="BN617" s="67">
        <f>IFERROR((AO617*40)/(((F617*60+G617)/60)*(SUMIFS(팀수비력!Q:Q,팀수비력!A:A,B617,팀수비력!B:B,D617)-SUMIFS(팀수비력!N:N,팀수비력!A:A,B617,팀수비력!B:B,D617)))*100,"")</f>
        <v>0</v>
      </c>
      <c r="BO617" s="67">
        <f t="shared" si="321"/>
        <v>16.819571865443425</v>
      </c>
      <c r="BT617" t="s">
        <v>89</v>
      </c>
      <c r="BV617" t="s">
        <v>90</v>
      </c>
      <c r="CF617">
        <v>0</v>
      </c>
      <c r="CG617">
        <v>6</v>
      </c>
    </row>
    <row r="618" spans="1:85" x14ac:dyDescent="0.4">
      <c r="A618" s="11" t="s">
        <v>85</v>
      </c>
      <c r="B618" t="s">
        <v>224</v>
      </c>
      <c r="C618" t="s">
        <v>244</v>
      </c>
      <c r="D618" s="46" t="s">
        <v>309</v>
      </c>
      <c r="E618">
        <v>1</v>
      </c>
      <c r="F618">
        <v>4</v>
      </c>
      <c r="G618" s="1">
        <v>57</v>
      </c>
      <c r="H618" s="16">
        <f t="shared" si="296"/>
        <v>297</v>
      </c>
      <c r="I618">
        <v>2</v>
      </c>
      <c r="J618" s="17">
        <f t="shared" si="297"/>
        <v>2</v>
      </c>
      <c r="K618">
        <v>1</v>
      </c>
      <c r="L618">
        <v>3</v>
      </c>
      <c r="M618" s="17">
        <f t="shared" si="298"/>
        <v>1</v>
      </c>
      <c r="N618" s="17">
        <f t="shared" si="299"/>
        <v>3</v>
      </c>
      <c r="O618" s="18">
        <f t="shared" si="300"/>
        <v>0.33333333333333331</v>
      </c>
      <c r="P618">
        <v>1</v>
      </c>
      <c r="Q618">
        <v>1</v>
      </c>
      <c r="R618" s="17">
        <f t="shared" si="301"/>
        <v>1</v>
      </c>
      <c r="S618" s="17">
        <f t="shared" si="302"/>
        <v>1</v>
      </c>
      <c r="T618" s="18">
        <f t="shared" si="303"/>
        <v>1</v>
      </c>
      <c r="U618">
        <v>0</v>
      </c>
      <c r="V618">
        <v>2</v>
      </c>
      <c r="W618" s="17">
        <f t="shared" si="304"/>
        <v>0</v>
      </c>
      <c r="X618" s="17">
        <f t="shared" si="305"/>
        <v>2</v>
      </c>
      <c r="Y618" s="18">
        <f t="shared" si="306"/>
        <v>0</v>
      </c>
      <c r="Z618">
        <v>0</v>
      </c>
      <c r="AA618">
        <v>0</v>
      </c>
      <c r="AB618" s="17">
        <f t="shared" si="307"/>
        <v>0</v>
      </c>
      <c r="AC618" s="17">
        <f t="shared" si="308"/>
        <v>0</v>
      </c>
      <c r="AD618" s="18" t="e">
        <f t="shared" si="309"/>
        <v>#DIV/0!</v>
      </c>
      <c r="AE618">
        <v>2</v>
      </c>
      <c r="AF618" s="17">
        <f t="shared" si="310"/>
        <v>2</v>
      </c>
      <c r="AG618">
        <v>2</v>
      </c>
      <c r="AH618" s="17">
        <f t="shared" si="311"/>
        <v>2</v>
      </c>
      <c r="AI618">
        <v>0</v>
      </c>
      <c r="AJ618" s="17">
        <f t="shared" si="312"/>
        <v>0</v>
      </c>
      <c r="AK618">
        <v>0</v>
      </c>
      <c r="AL618" s="17">
        <f t="shared" si="313"/>
        <v>0</v>
      </c>
      <c r="AM618">
        <v>1</v>
      </c>
      <c r="AN618" s="17">
        <f t="shared" si="314"/>
        <v>1</v>
      </c>
      <c r="AO618">
        <v>0</v>
      </c>
      <c r="AQ618">
        <v>0</v>
      </c>
      <c r="AR618" s="17">
        <f t="shared" si="315"/>
        <v>0</v>
      </c>
      <c r="AS618">
        <v>0</v>
      </c>
      <c r="AT618" s="17">
        <f t="shared" si="316"/>
        <v>0</v>
      </c>
      <c r="BD618" s="65">
        <f t="shared" si="317"/>
        <v>33.333333333333329</v>
      </c>
      <c r="BE618" s="65">
        <f t="shared" si="318"/>
        <v>33.333333333333329</v>
      </c>
      <c r="BF618" s="66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3.1889534651965588</v>
      </c>
      <c r="BG618" s="38">
        <f t="shared" si="319"/>
        <v>0.66666666666666663</v>
      </c>
      <c r="BH618" s="38">
        <f t="shared" si="320"/>
        <v>0</v>
      </c>
      <c r="BI618" s="67">
        <f>IFERROR(((AG618*(12000/5))/((F618*60+G618)*(SUMIFS(팀공격력!X:X,팀공격력!A:A,B618,팀공격력!B:B,D618)+SUMIFS(팀수비력!X:X,팀수비력!A:A,B618,팀수비력!B:B,D618))))*100,"")</f>
        <v>2.5531779086281454</v>
      </c>
      <c r="BJ618" s="67">
        <f>IFERROR(((AI618*(12000/5))/((F618*60+G618)*(SUMIFS(팀공격력!V:V,팀공격력!A:A,B618,팀공격력!B:B,D618)+SUMIFS(팀수비력!W:W,팀수비력!A:A,B618,팀수비력!B:B,D618))))*100,"")</f>
        <v>0</v>
      </c>
      <c r="BK618" s="67">
        <f>IFERROR(((AE618*(12000/5))/((F618*60+G618)*(SUMIFS(팀공격력!X:X,팀공격력!A:A,B618,팀공격력!B:B,D618)+SUMIFS(팀수비력!X:X,팀수비력!A:A,B618,팀수비력!B:B,D618))))*100,"")</f>
        <v>2.5531779086281454</v>
      </c>
      <c r="BL618" s="67">
        <f>IFERROR(100*AK618/(((((F618*60+G618)/(12000/5))*SUMIFS(팀공격력!P:P,팀공격력!A:A,B618,팀공격력!B:B,D618))-K618)),"")</f>
        <v>0</v>
      </c>
      <c r="BM618" s="67">
        <f>IFERROR(100*((AM618/E618*(2400))/((F618*60+G618)*SUMIFS(팀공격력!AR:AR,팀공격력!A:A,B618,팀공격력!B:B,D618))),"")</f>
        <v>11.143427780998122</v>
      </c>
      <c r="BN618" s="67">
        <f>IFERROR((AO618*40)/(((F618*60+G618)/60)*(SUMIFS(팀수비력!Q:Q,팀수비력!A:A,B618,팀수비력!B:B,D618)-SUMIFS(팀수비력!N:N,팀수비력!A:A,B618,팀수비력!B:B,D618)))*100,"")</f>
        <v>0</v>
      </c>
      <c r="BO618" s="67">
        <f t="shared" si="321"/>
        <v>0</v>
      </c>
      <c r="BT618" t="s">
        <v>89</v>
      </c>
      <c r="BV618" t="s">
        <v>93</v>
      </c>
      <c r="CF618">
        <v>0</v>
      </c>
      <c r="CG618">
        <v>1</v>
      </c>
    </row>
    <row r="619" spans="1:85" x14ac:dyDescent="0.4">
      <c r="A619" s="11" t="s">
        <v>85</v>
      </c>
      <c r="B619" t="s">
        <v>245</v>
      </c>
      <c r="C619" t="s">
        <v>246</v>
      </c>
      <c r="D619" s="46" t="s">
        <v>309</v>
      </c>
      <c r="E619">
        <v>8</v>
      </c>
      <c r="F619">
        <v>25</v>
      </c>
      <c r="G619" s="1">
        <v>48</v>
      </c>
      <c r="H619" s="16">
        <f t="shared" si="296"/>
        <v>12384</v>
      </c>
      <c r="I619">
        <v>171</v>
      </c>
      <c r="J619" s="17">
        <f t="shared" si="297"/>
        <v>21.375</v>
      </c>
      <c r="K619">
        <v>66</v>
      </c>
      <c r="L619">
        <v>108</v>
      </c>
      <c r="M619" s="17">
        <f t="shared" si="298"/>
        <v>8.25</v>
      </c>
      <c r="N619" s="17">
        <f t="shared" si="299"/>
        <v>13.5</v>
      </c>
      <c r="O619" s="18">
        <f t="shared" si="300"/>
        <v>0.61111111111111116</v>
      </c>
      <c r="P619">
        <v>66</v>
      </c>
      <c r="Q619">
        <v>101</v>
      </c>
      <c r="R619" s="17">
        <f t="shared" si="301"/>
        <v>8.25</v>
      </c>
      <c r="S619" s="17">
        <f t="shared" si="302"/>
        <v>12.625</v>
      </c>
      <c r="T619" s="18">
        <f t="shared" si="303"/>
        <v>0.65346534653465349</v>
      </c>
      <c r="U619">
        <v>0</v>
      </c>
      <c r="V619">
        <v>7</v>
      </c>
      <c r="W619" s="17">
        <f t="shared" si="304"/>
        <v>0</v>
      </c>
      <c r="X619" s="17">
        <f t="shared" si="305"/>
        <v>0.875</v>
      </c>
      <c r="Y619" s="18">
        <f t="shared" si="306"/>
        <v>0</v>
      </c>
      <c r="Z619">
        <v>39</v>
      </c>
      <c r="AA619">
        <v>46</v>
      </c>
      <c r="AB619" s="17">
        <f t="shared" si="307"/>
        <v>4.875</v>
      </c>
      <c r="AC619" s="17">
        <f t="shared" si="308"/>
        <v>5.75</v>
      </c>
      <c r="AD619" s="18">
        <f t="shared" si="309"/>
        <v>0.84782608695652173</v>
      </c>
      <c r="AE619">
        <v>61</v>
      </c>
      <c r="AF619" s="17">
        <f t="shared" si="310"/>
        <v>7.625</v>
      </c>
      <c r="AG619">
        <v>23</v>
      </c>
      <c r="AH619" s="17">
        <f t="shared" si="311"/>
        <v>2.875</v>
      </c>
      <c r="AI619">
        <v>38</v>
      </c>
      <c r="AJ619" s="17">
        <f t="shared" si="312"/>
        <v>4.75</v>
      </c>
      <c r="AK619">
        <v>18</v>
      </c>
      <c r="AL619" s="17">
        <f t="shared" si="313"/>
        <v>2.25</v>
      </c>
      <c r="AM619">
        <v>12</v>
      </c>
      <c r="AN619" s="17">
        <f t="shared" si="314"/>
        <v>1.5</v>
      </c>
      <c r="AO619">
        <v>6</v>
      </c>
      <c r="AQ619">
        <v>10</v>
      </c>
      <c r="AR619" s="17">
        <f t="shared" si="315"/>
        <v>1.25</v>
      </c>
      <c r="AS619">
        <v>27</v>
      </c>
      <c r="AT619" s="17">
        <f t="shared" si="316"/>
        <v>3.375</v>
      </c>
      <c r="BD619" s="65">
        <f t="shared" si="317"/>
        <v>66.671865252651273</v>
      </c>
      <c r="BE619" s="65">
        <f t="shared" si="318"/>
        <v>61.111111111111114</v>
      </c>
      <c r="BF619" s="66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31.383702541344352</v>
      </c>
      <c r="BG619" s="38">
        <f t="shared" si="319"/>
        <v>6.4814814814814811E-2</v>
      </c>
      <c r="BH619" s="38">
        <f t="shared" si="320"/>
        <v>0.42592592592592593</v>
      </c>
      <c r="BI619" s="67">
        <f>IFERROR(((AG619*(12000/5))/((F619*60+G619)*(SUMIFS(팀공격력!X:X,팀공격력!A:A,B619,팀공격력!B:B,D619)+SUMIFS(팀수비력!X:X,팀수비력!A:A,B619,팀수비력!B:B,D619))))*100,"")</f>
        <v>5.6155771226271138</v>
      </c>
      <c r="BJ619" s="67">
        <f>IFERROR(((AI619*(12000/5))/((F619*60+G619)*(SUMIFS(팀공격력!V:V,팀공격력!A:A,B619,팀공격력!B:B,D619)+SUMIFS(팀수비력!W:W,팀수비력!A:A,B619,팀수비력!B:B,D619))))*100,"")</f>
        <v>19.316304485957556</v>
      </c>
      <c r="BK619" s="67">
        <f>IFERROR(((AE619*(12000/5))/((F619*60+G619)*(SUMIFS(팀공격력!X:X,팀공격력!A:A,B619,팀공격력!B:B,D619)+SUMIFS(팀수비력!X:X,팀수비력!A:A,B619,팀수비력!B:B,D619))))*100,"")</f>
        <v>14.893487151315387</v>
      </c>
      <c r="BL619" s="67">
        <f>IFERROR(100*AK619/(((((F619*60+G619)/(12000/5))*SUMIFS(팀공격력!P:P,팀공격력!A:A,B619,팀공격력!B:B,D619))-K619)),"")</f>
        <v>16.946758932354186</v>
      </c>
      <c r="BM619" s="67">
        <f>IFERROR(100*((AM619/E619*(2400))/((F619*60+G619)*SUMIFS(팀공격력!AR:AR,팀공격력!A:A,B619,팀공격력!B:B,D619))),"")</f>
        <v>3.1774182877937394</v>
      </c>
      <c r="BN619" s="67">
        <f>IFERROR((AO619*40)/(((F619*60+G619)/60)*(SUMIFS(팀수비력!Q:Q,팀수비력!A:A,B619,팀수비력!B:B,D619)-SUMIFS(팀수비력!N:N,팀수비력!A:A,B619,팀수비력!B:B,D619)))*100,"")</f>
        <v>2.1483430903915357</v>
      </c>
      <c r="BO619" s="67">
        <f t="shared" si="321"/>
        <v>7.2337962962962958</v>
      </c>
      <c r="BT619" t="s">
        <v>96</v>
      </c>
      <c r="BV619" t="s">
        <v>102</v>
      </c>
      <c r="CF619">
        <v>4</v>
      </c>
      <c r="CG619">
        <v>4</v>
      </c>
    </row>
    <row r="620" spans="1:85" x14ac:dyDescent="0.4">
      <c r="A620" s="11" t="s">
        <v>85</v>
      </c>
      <c r="B620" t="s">
        <v>245</v>
      </c>
      <c r="C620" t="s">
        <v>247</v>
      </c>
      <c r="D620" s="46" t="s">
        <v>309</v>
      </c>
      <c r="E620">
        <v>8</v>
      </c>
      <c r="F620">
        <v>21</v>
      </c>
      <c r="G620" s="1">
        <v>43</v>
      </c>
      <c r="H620" s="16">
        <f t="shared" si="296"/>
        <v>10424</v>
      </c>
      <c r="I620">
        <v>69</v>
      </c>
      <c r="J620" s="17">
        <f t="shared" si="297"/>
        <v>8.625</v>
      </c>
      <c r="K620">
        <v>24</v>
      </c>
      <c r="L620">
        <v>48</v>
      </c>
      <c r="M620" s="17">
        <f t="shared" si="298"/>
        <v>3</v>
      </c>
      <c r="N620" s="17">
        <f t="shared" si="299"/>
        <v>6</v>
      </c>
      <c r="O620" s="18">
        <f t="shared" si="300"/>
        <v>0.5</v>
      </c>
      <c r="P620">
        <v>8</v>
      </c>
      <c r="Q620">
        <v>12</v>
      </c>
      <c r="R620" s="17">
        <f t="shared" si="301"/>
        <v>1</v>
      </c>
      <c r="S620" s="17">
        <f t="shared" si="302"/>
        <v>1.5</v>
      </c>
      <c r="T620" s="18">
        <f t="shared" si="303"/>
        <v>0.66666666666666663</v>
      </c>
      <c r="U620">
        <v>16</v>
      </c>
      <c r="V620">
        <v>36</v>
      </c>
      <c r="W620" s="17">
        <f t="shared" si="304"/>
        <v>2</v>
      </c>
      <c r="X620" s="17">
        <f t="shared" si="305"/>
        <v>4.5</v>
      </c>
      <c r="Y620" s="18">
        <f t="shared" si="306"/>
        <v>0.44444444444444442</v>
      </c>
      <c r="Z620">
        <v>5</v>
      </c>
      <c r="AA620">
        <v>7</v>
      </c>
      <c r="AB620" s="17">
        <f t="shared" si="307"/>
        <v>0.625</v>
      </c>
      <c r="AC620" s="17">
        <f t="shared" si="308"/>
        <v>0.875</v>
      </c>
      <c r="AD620" s="18">
        <f t="shared" si="309"/>
        <v>0.7142857142857143</v>
      </c>
      <c r="AE620">
        <v>19</v>
      </c>
      <c r="AF620" s="17">
        <f t="shared" si="310"/>
        <v>2.375</v>
      </c>
      <c r="AG620">
        <v>3</v>
      </c>
      <c r="AH620" s="17">
        <f t="shared" si="311"/>
        <v>0.375</v>
      </c>
      <c r="AI620">
        <v>16</v>
      </c>
      <c r="AJ620" s="17">
        <f t="shared" si="312"/>
        <v>2</v>
      </c>
      <c r="AK620">
        <v>14</v>
      </c>
      <c r="AL620" s="17">
        <f t="shared" si="313"/>
        <v>1.75</v>
      </c>
      <c r="AM620">
        <v>6</v>
      </c>
      <c r="AN620" s="17">
        <f t="shared" si="314"/>
        <v>0.75</v>
      </c>
      <c r="AO620">
        <v>0</v>
      </c>
      <c r="AQ620">
        <v>11</v>
      </c>
      <c r="AR620" s="17">
        <f t="shared" si="315"/>
        <v>1.375</v>
      </c>
      <c r="AS620">
        <v>22</v>
      </c>
      <c r="AT620" s="17">
        <f t="shared" si="316"/>
        <v>2.75</v>
      </c>
      <c r="BD620" s="65">
        <f t="shared" si="317"/>
        <v>67.541111981205958</v>
      </c>
      <c r="BE620" s="65">
        <f t="shared" si="318"/>
        <v>66.666666666666657</v>
      </c>
      <c r="BF620" s="66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16.743594691730276</v>
      </c>
      <c r="BG620" s="38">
        <f t="shared" si="319"/>
        <v>0.75</v>
      </c>
      <c r="BH620" s="38">
        <f t="shared" si="320"/>
        <v>0.14583333333333334</v>
      </c>
      <c r="BI620" s="67">
        <f>IFERROR(((AG620*(12000/5))/((F620*60+G620)*(SUMIFS(팀공격력!X:X,팀공격력!A:A,B620,팀공격력!B:B,D620)+SUMIFS(팀수비력!X:X,팀수비력!A:A,B620,팀수비력!B:B,D620))))*100,"")</f>
        <v>0.87019053546932879</v>
      </c>
      <c r="BJ620" s="67">
        <f>IFERROR(((AI620*(12000/5))/((F620*60+G620)*(SUMIFS(팀공격력!V:V,팀공격력!A:A,B620,팀공격력!B:B,D620)+SUMIFS(팀수비력!W:W,팀수비력!A:A,B620,팀수비력!B:B,D620))))*100,"")</f>
        <v>9.6624435413862084</v>
      </c>
      <c r="BK620" s="67">
        <f>IFERROR(((AE620*(12000/5))/((F620*60+G620)*(SUMIFS(팀공격력!X:X,팀공격력!A:A,B620,팀공격력!B:B,D620)+SUMIFS(팀수비력!X:X,팀수비력!A:A,B620,팀수비력!B:B,D620))))*100,"")</f>
        <v>5.5112067246390826</v>
      </c>
      <c r="BL620" s="67">
        <f>IFERROR(100*AK620/(((((F620*60+G620)/(12000/5))*SUMIFS(팀공격력!P:P,팀공격력!A:A,B620,팀공격력!B:B,D620))-K620)),"")</f>
        <v>11.574193681730341</v>
      </c>
      <c r="BM620" s="67">
        <f>IFERROR(100*((AM620/E620*(2400))/((F620*60+G620)*SUMIFS(팀공격력!AR:AR,팀공격력!A:A,B620,팀공격력!B:B,D620))),"")</f>
        <v>1.8874303566787063</v>
      </c>
      <c r="BN620" s="67">
        <f>IFERROR((AO620*40)/(((F620*60+G620)/60)*(SUMIFS(팀수비력!Q:Q,팀수비력!A:A,B620,팀수비력!B:B,D620)-SUMIFS(팀수비력!N:N,팀수비력!A:A,B620,팀수비력!B:B,D620)))*100,"")</f>
        <v>0</v>
      </c>
      <c r="BO620" s="67">
        <f t="shared" si="321"/>
        <v>17.719072164948454</v>
      </c>
      <c r="BT620" t="s">
        <v>89</v>
      </c>
      <c r="BV620" t="s">
        <v>93</v>
      </c>
      <c r="CF620">
        <v>4</v>
      </c>
      <c r="CG620">
        <v>4</v>
      </c>
    </row>
    <row r="621" spans="1:85" x14ac:dyDescent="0.4">
      <c r="A621" s="11" t="s">
        <v>85</v>
      </c>
      <c r="B621" t="s">
        <v>245</v>
      </c>
      <c r="C621" t="s">
        <v>248</v>
      </c>
      <c r="D621" s="46" t="s">
        <v>309</v>
      </c>
      <c r="E621">
        <v>8</v>
      </c>
      <c r="F621">
        <v>7</v>
      </c>
      <c r="G621" s="1">
        <v>28</v>
      </c>
      <c r="H621" s="16">
        <f t="shared" si="296"/>
        <v>3584</v>
      </c>
      <c r="I621">
        <v>15</v>
      </c>
      <c r="J621" s="17">
        <f t="shared" si="297"/>
        <v>1.875</v>
      </c>
      <c r="K621">
        <v>6</v>
      </c>
      <c r="L621">
        <v>11</v>
      </c>
      <c r="M621" s="17">
        <f t="shared" si="298"/>
        <v>0.75</v>
      </c>
      <c r="N621" s="17">
        <f t="shared" si="299"/>
        <v>1.375</v>
      </c>
      <c r="O621" s="18">
        <f t="shared" si="300"/>
        <v>0.54545454545454541</v>
      </c>
      <c r="P621">
        <v>6</v>
      </c>
      <c r="Q621">
        <v>11</v>
      </c>
      <c r="R621" s="17">
        <f t="shared" si="301"/>
        <v>0.75</v>
      </c>
      <c r="S621" s="17">
        <f t="shared" si="302"/>
        <v>1.375</v>
      </c>
      <c r="T621" s="18">
        <f t="shared" si="303"/>
        <v>0.54545454545454541</v>
      </c>
      <c r="U621">
        <v>0</v>
      </c>
      <c r="V621">
        <v>0</v>
      </c>
      <c r="W621" s="17">
        <f t="shared" si="304"/>
        <v>0</v>
      </c>
      <c r="X621" s="17">
        <f t="shared" si="305"/>
        <v>0</v>
      </c>
      <c r="Y621" s="18" t="e">
        <f t="shared" si="306"/>
        <v>#DIV/0!</v>
      </c>
      <c r="Z621">
        <v>3</v>
      </c>
      <c r="AA621">
        <v>4</v>
      </c>
      <c r="AB621" s="17">
        <f t="shared" si="307"/>
        <v>0.375</v>
      </c>
      <c r="AC621" s="17">
        <f t="shared" si="308"/>
        <v>0.5</v>
      </c>
      <c r="AD621" s="18">
        <f t="shared" si="309"/>
        <v>0.75</v>
      </c>
      <c r="AE621">
        <v>14</v>
      </c>
      <c r="AF621" s="17">
        <f t="shared" si="310"/>
        <v>1.75</v>
      </c>
      <c r="AG621">
        <v>3</v>
      </c>
      <c r="AH621" s="17">
        <f t="shared" si="311"/>
        <v>0.375</v>
      </c>
      <c r="AI621">
        <v>11</v>
      </c>
      <c r="AJ621" s="17">
        <f t="shared" si="312"/>
        <v>1.375</v>
      </c>
      <c r="AK621">
        <v>3</v>
      </c>
      <c r="AL621" s="17">
        <f t="shared" si="313"/>
        <v>0.375</v>
      </c>
      <c r="AM621">
        <v>2</v>
      </c>
      <c r="AN621" s="17">
        <f t="shared" si="314"/>
        <v>0.25</v>
      </c>
      <c r="AO621">
        <v>1</v>
      </c>
      <c r="AQ621">
        <v>6</v>
      </c>
      <c r="AR621" s="17">
        <f t="shared" si="315"/>
        <v>0.75</v>
      </c>
      <c r="AS621">
        <v>11</v>
      </c>
      <c r="AT621" s="17">
        <f t="shared" si="316"/>
        <v>1.375</v>
      </c>
      <c r="BD621" s="65">
        <f t="shared" si="317"/>
        <v>58.777429467084644</v>
      </c>
      <c r="BE621" s="65">
        <f t="shared" si="318"/>
        <v>54.54545454545454</v>
      </c>
      <c r="BF621" s="66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14.716218590757334</v>
      </c>
      <c r="BG621" s="38">
        <f t="shared" si="319"/>
        <v>0</v>
      </c>
      <c r="BH621" s="38">
        <f t="shared" si="320"/>
        <v>0.36363636363636365</v>
      </c>
      <c r="BI621" s="67">
        <f>IFERROR(((AG621*(12000/5))/((F621*60+G621)*(SUMIFS(팀공격력!X:X,팀공격력!A:A,B621,팀공격력!B:B,D621)+SUMIFS(팀수비력!X:X,팀수비력!A:A,B621,팀수비력!B:B,D621))))*100,"")</f>
        <v>2.5309336332958381</v>
      </c>
      <c r="BJ621" s="67">
        <f>IFERROR(((AI621*(12000/5))/((F621*60+G621)*(SUMIFS(팀공격력!V:V,팀공격력!A:A,B621,팀공격력!B:B,D621)+SUMIFS(팀수비력!W:W,팀수비력!A:A,B621,팀수비력!B:B,D621))))*100,"")</f>
        <v>19.320843091334893</v>
      </c>
      <c r="BK621" s="67">
        <f>IFERROR(((AE621*(12000/5))/((F621*60+G621)*(SUMIFS(팀공격력!X:X,팀공격력!A:A,B621,팀공격력!B:B,D621)+SUMIFS(팀수비력!X:X,팀수비력!A:A,B621,팀수비력!B:B,D621))))*100,"")</f>
        <v>11.811023622047244</v>
      </c>
      <c r="BL621" s="67">
        <f>IFERROR(100*AK621/(((((F621*60+G621)/(12000/5))*SUMIFS(팀공격력!P:P,팀공격력!A:A,B621,팀공격력!B:B,D621))-K621)),"")</f>
        <v>6.8430656934306562</v>
      </c>
      <c r="BM621" s="67">
        <f>IFERROR(100*((AM621/E621*(2400))/((F621*60+G621)*SUMIFS(팀공격력!AR:AR,팀공격력!A:A,B621,팀공격력!B:B,D621))),"")</f>
        <v>1.8298524960955016</v>
      </c>
      <c r="BN621" s="67">
        <f>IFERROR((AO621*40)/(((F621*60+G621)/60)*(SUMIFS(팀수비력!Q:Q,팀수비력!A:A,B621,팀수비력!B:B,D621)-SUMIFS(팀수비력!N:N,팀수비력!A:A,B621,팀수비력!B:B,D621)))*100,"")</f>
        <v>1.2372154404486968</v>
      </c>
      <c r="BO621" s="67">
        <f t="shared" si="321"/>
        <v>31.982942430703627</v>
      </c>
      <c r="BT621" t="s">
        <v>89</v>
      </c>
      <c r="BV621" t="s">
        <v>102</v>
      </c>
      <c r="CF621">
        <v>4</v>
      </c>
      <c r="CG621">
        <v>4</v>
      </c>
    </row>
    <row r="622" spans="1:85" x14ac:dyDescent="0.4">
      <c r="A622" s="11" t="s">
        <v>85</v>
      </c>
      <c r="B622" t="s">
        <v>245</v>
      </c>
      <c r="C622" t="s">
        <v>249</v>
      </c>
      <c r="D622" s="46" t="s">
        <v>309</v>
      </c>
      <c r="E622">
        <v>8</v>
      </c>
      <c r="F622">
        <v>22</v>
      </c>
      <c r="G622" s="1">
        <v>9</v>
      </c>
      <c r="H622" s="16">
        <f t="shared" si="296"/>
        <v>10632</v>
      </c>
      <c r="I622">
        <v>46</v>
      </c>
      <c r="J622" s="17">
        <f t="shared" si="297"/>
        <v>5.75</v>
      </c>
      <c r="K622">
        <v>17</v>
      </c>
      <c r="L622">
        <v>37</v>
      </c>
      <c r="M622" s="17">
        <f t="shared" si="298"/>
        <v>2.125</v>
      </c>
      <c r="N622" s="17">
        <f t="shared" si="299"/>
        <v>4.625</v>
      </c>
      <c r="O622" s="18">
        <f t="shared" si="300"/>
        <v>0.45945945945945948</v>
      </c>
      <c r="P622">
        <v>5</v>
      </c>
      <c r="Q622">
        <v>12</v>
      </c>
      <c r="R622" s="17">
        <f t="shared" si="301"/>
        <v>0.625</v>
      </c>
      <c r="S622" s="17">
        <f t="shared" si="302"/>
        <v>1.5</v>
      </c>
      <c r="T622" s="18">
        <f t="shared" si="303"/>
        <v>0.41666666666666669</v>
      </c>
      <c r="U622">
        <v>12</v>
      </c>
      <c r="V622">
        <v>25</v>
      </c>
      <c r="W622" s="17">
        <f t="shared" si="304"/>
        <v>1.5</v>
      </c>
      <c r="X622" s="17">
        <f t="shared" si="305"/>
        <v>3.125</v>
      </c>
      <c r="Y622" s="18">
        <f t="shared" si="306"/>
        <v>0.48</v>
      </c>
      <c r="Z622">
        <v>0</v>
      </c>
      <c r="AA622">
        <v>0</v>
      </c>
      <c r="AB622" s="17">
        <f t="shared" si="307"/>
        <v>0</v>
      </c>
      <c r="AC622" s="17">
        <f t="shared" si="308"/>
        <v>0</v>
      </c>
      <c r="AD622" s="18" t="e">
        <f t="shared" si="309"/>
        <v>#DIV/0!</v>
      </c>
      <c r="AE622">
        <v>15</v>
      </c>
      <c r="AF622" s="17">
        <f t="shared" si="310"/>
        <v>1.875</v>
      </c>
      <c r="AG622">
        <v>4</v>
      </c>
      <c r="AH622" s="17">
        <f t="shared" si="311"/>
        <v>0.5</v>
      </c>
      <c r="AI622">
        <v>11</v>
      </c>
      <c r="AJ622" s="17">
        <f t="shared" si="312"/>
        <v>1.375</v>
      </c>
      <c r="AK622">
        <v>23</v>
      </c>
      <c r="AL622" s="17">
        <f t="shared" si="313"/>
        <v>2.875</v>
      </c>
      <c r="AM622">
        <v>4</v>
      </c>
      <c r="AN622" s="17">
        <f t="shared" si="314"/>
        <v>0.5</v>
      </c>
      <c r="AO622">
        <v>0</v>
      </c>
      <c r="AQ622">
        <v>7</v>
      </c>
      <c r="AR622" s="17">
        <f t="shared" si="315"/>
        <v>0.875</v>
      </c>
      <c r="AS622">
        <v>18</v>
      </c>
      <c r="AT622" s="17">
        <f t="shared" si="316"/>
        <v>2.25</v>
      </c>
      <c r="BD622" s="65">
        <f t="shared" si="317"/>
        <v>62.162162162162161</v>
      </c>
      <c r="BE622" s="65">
        <f t="shared" si="318"/>
        <v>62.162162162162161</v>
      </c>
      <c r="BF622" s="66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11.635072816384405</v>
      </c>
      <c r="BG622" s="38">
        <f t="shared" si="319"/>
        <v>0.67567567567567566</v>
      </c>
      <c r="BH622" s="38">
        <f t="shared" si="320"/>
        <v>0</v>
      </c>
      <c r="BI622" s="67">
        <f>IFERROR(((AG622*(12000/5))/((F622*60+G622)*(SUMIFS(팀공격력!X:X,팀공격력!A:A,B622,팀공격력!B:B,D622)+SUMIFS(팀수비력!X:X,팀수비력!A:A,B622,팀수비력!B:B,D622))))*100,"")</f>
        <v>1.1375553225147081</v>
      </c>
      <c r="BJ622" s="67">
        <f>IFERROR(((AI622*(12000/5))/((F622*60+G622)*(SUMIFS(팀공격력!V:V,팀공격력!A:A,B622,팀공격력!B:B,D622)+SUMIFS(팀수비력!W:W,팀수비력!A:A,B622,팀수비력!B:B,D622))))*100,"")</f>
        <v>6.5129704325944555</v>
      </c>
      <c r="BK622" s="67">
        <f>IFERROR(((AE622*(12000/5))/((F622*60+G622)*(SUMIFS(팀공격력!X:X,팀공격력!A:A,B622,팀공격력!B:B,D622)+SUMIFS(팀수비력!X:X,팀수비력!A:A,B622,팀수비력!B:B,D622))))*100,"")</f>
        <v>4.2658324594301558</v>
      </c>
      <c r="BL622" s="67">
        <f>IFERROR(100*AK622/(((((F622*60+G622)/(12000/5))*SUMIFS(팀공격력!P:P,팀공격력!A:A,B622,팀공격력!B:B,D622))-K622)),"")</f>
        <v>17.577210764131028</v>
      </c>
      <c r="BM622" s="67">
        <f>IFERROR(100*((AM622/E622*(2400))/((F622*60+G622)*SUMIFS(팀공격력!AR:AR,팀공격력!A:A,B622,팀공격력!B:B,D622))),"")</f>
        <v>1.2336703058702554</v>
      </c>
      <c r="BN622" s="67">
        <f>IFERROR((AO622*40)/(((F622*60+G622)/60)*(SUMIFS(팀수비력!Q:Q,팀수비력!A:A,B622,팀수비력!B:B,D622)-SUMIFS(팀수비력!N:N,팀수비력!A:A,B622,팀수비력!B:B,D622)))*100,"")</f>
        <v>0</v>
      </c>
      <c r="BO622" s="67">
        <f t="shared" si="321"/>
        <v>15.909090909090908</v>
      </c>
      <c r="BT622" t="s">
        <v>89</v>
      </c>
      <c r="BV622" t="s">
        <v>90</v>
      </c>
      <c r="CF622">
        <v>4</v>
      </c>
      <c r="CG622">
        <v>4</v>
      </c>
    </row>
    <row r="623" spans="1:85" x14ac:dyDescent="0.4">
      <c r="A623" s="11" t="s">
        <v>85</v>
      </c>
      <c r="B623" t="s">
        <v>245</v>
      </c>
      <c r="C623" t="s">
        <v>250</v>
      </c>
      <c r="D623" s="46" t="s">
        <v>309</v>
      </c>
      <c r="E623">
        <v>7</v>
      </c>
      <c r="F623">
        <v>4</v>
      </c>
      <c r="G623" s="1">
        <v>15</v>
      </c>
      <c r="H623" s="16">
        <f t="shared" si="296"/>
        <v>1785</v>
      </c>
      <c r="I623">
        <v>3</v>
      </c>
      <c r="J623" s="17">
        <f t="shared" si="297"/>
        <v>0.42857142857142855</v>
      </c>
      <c r="K623">
        <v>1</v>
      </c>
      <c r="L623">
        <v>9</v>
      </c>
      <c r="M623" s="17">
        <f t="shared" si="298"/>
        <v>0.14285714285714285</v>
      </c>
      <c r="N623" s="17">
        <f t="shared" si="299"/>
        <v>1.2857142857142858</v>
      </c>
      <c r="O623" s="18">
        <f t="shared" si="300"/>
        <v>0.1111111111111111</v>
      </c>
      <c r="P623">
        <v>0</v>
      </c>
      <c r="Q623">
        <v>3</v>
      </c>
      <c r="R623" s="17">
        <f t="shared" si="301"/>
        <v>0</v>
      </c>
      <c r="S623" s="17">
        <f t="shared" si="302"/>
        <v>0.42857142857142855</v>
      </c>
      <c r="T623" s="18">
        <f t="shared" si="303"/>
        <v>0</v>
      </c>
      <c r="U623">
        <v>1</v>
      </c>
      <c r="V623">
        <v>6</v>
      </c>
      <c r="W623" s="17">
        <f t="shared" si="304"/>
        <v>0.14285714285714285</v>
      </c>
      <c r="X623" s="17">
        <f t="shared" si="305"/>
        <v>0.8571428571428571</v>
      </c>
      <c r="Y623" s="18">
        <f t="shared" si="306"/>
        <v>0.16666666666666666</v>
      </c>
      <c r="Z623">
        <v>0</v>
      </c>
      <c r="AA623">
        <v>0</v>
      </c>
      <c r="AB623" s="17">
        <f t="shared" si="307"/>
        <v>0</v>
      </c>
      <c r="AC623" s="17">
        <f t="shared" si="308"/>
        <v>0</v>
      </c>
      <c r="AD623" s="18" t="e">
        <f t="shared" si="309"/>
        <v>#DIV/0!</v>
      </c>
      <c r="AE623">
        <v>2</v>
      </c>
      <c r="AF623" s="17">
        <f t="shared" si="310"/>
        <v>0.2857142857142857</v>
      </c>
      <c r="AG623">
        <v>2</v>
      </c>
      <c r="AH623" s="17">
        <f t="shared" si="311"/>
        <v>0.2857142857142857</v>
      </c>
      <c r="AI623">
        <v>0</v>
      </c>
      <c r="AJ623" s="17">
        <f t="shared" si="312"/>
        <v>0</v>
      </c>
      <c r="AK623">
        <v>1</v>
      </c>
      <c r="AL623" s="17">
        <f t="shared" si="313"/>
        <v>0.14285714285714285</v>
      </c>
      <c r="AM623">
        <v>0</v>
      </c>
      <c r="AN623" s="17">
        <f t="shared" si="314"/>
        <v>0</v>
      </c>
      <c r="AO623">
        <v>0</v>
      </c>
      <c r="AQ623">
        <v>1</v>
      </c>
      <c r="AR623" s="17">
        <f t="shared" si="315"/>
        <v>0.14285714285714285</v>
      </c>
      <c r="AS623">
        <v>1</v>
      </c>
      <c r="AT623" s="17">
        <f t="shared" si="316"/>
        <v>0.14285714285714285</v>
      </c>
      <c r="BD623" s="65">
        <f t="shared" si="317"/>
        <v>16.666666666666664</v>
      </c>
      <c r="BE623" s="65">
        <f t="shared" si="318"/>
        <v>16.666666666666664</v>
      </c>
      <c r="BF623" s="66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13.781650421546233</v>
      </c>
      <c r="BG623" s="38">
        <f t="shared" si="319"/>
        <v>0.66666666666666663</v>
      </c>
      <c r="BH623" s="38">
        <f t="shared" si="320"/>
        <v>0</v>
      </c>
      <c r="BI623" s="67">
        <f>IFERROR(((AG623*(12000/5))/((F623*60+G623)*(SUMIFS(팀공격력!X:X,팀공격력!A:A,B623,팀공격력!B:B,D623)+SUMIFS(팀수비력!X:X,팀수비력!A:A,B623,팀수비력!B:B,D623))))*100,"")</f>
        <v>2.9643353404353867</v>
      </c>
      <c r="BJ623" s="67">
        <f>IFERROR(((AI623*(12000/5))/((F623*60+G623)*(SUMIFS(팀공격력!V:V,팀공격력!A:A,B623,팀공격력!B:B,D623)+SUMIFS(팀수비력!W:W,팀수비력!A:A,B623,팀수비력!B:B,D623))))*100,"")</f>
        <v>0</v>
      </c>
      <c r="BK623" s="67">
        <f>IFERROR(((AE623*(12000/5))/((F623*60+G623)*(SUMIFS(팀공격력!X:X,팀공격력!A:A,B623,팀공격력!B:B,D623)+SUMIFS(팀수비력!X:X,팀수비력!A:A,B623,팀수비력!B:B,D623))))*100,"")</f>
        <v>2.9643353404353867</v>
      </c>
      <c r="BL623" s="67">
        <f>IFERROR(100*AK623/(((((F623*60+G623)/(12000/5))*SUMIFS(팀공격력!P:P,팀공격력!A:A,B623,팀공격력!B:B,D623))-K623)),"")</f>
        <v>3.653802237953871</v>
      </c>
      <c r="BM623" s="67">
        <f>IFERROR(100*((AM623/E623*(2400))/((F623*60+G623)*SUMIFS(팀공격력!AR:AR,팀공격력!A:A,B623,팀공격력!B:B,D623))),"")</f>
        <v>0</v>
      </c>
      <c r="BN623" s="67">
        <f>IFERROR((AO623*40)/(((F623*60+G623)/60)*(SUMIFS(팀수비력!Q:Q,팀수비력!A:A,B623,팀수비력!B:B,D623)-SUMIFS(팀수비력!N:N,팀수비력!A:A,B623,팀수비력!B:B,D623)))*100,"")</f>
        <v>0</v>
      </c>
      <c r="BO623" s="67">
        <f t="shared" si="321"/>
        <v>10</v>
      </c>
      <c r="BT623" t="s">
        <v>89</v>
      </c>
      <c r="BV623" t="s">
        <v>90</v>
      </c>
      <c r="CF623">
        <v>4</v>
      </c>
      <c r="CG623">
        <v>3</v>
      </c>
    </row>
    <row r="624" spans="1:85" x14ac:dyDescent="0.4">
      <c r="A624" s="11" t="s">
        <v>85</v>
      </c>
      <c r="B624" t="s">
        <v>245</v>
      </c>
      <c r="C624" t="s">
        <v>252</v>
      </c>
      <c r="D624" s="46" t="s">
        <v>309</v>
      </c>
      <c r="E624">
        <v>3</v>
      </c>
      <c r="F624">
        <v>3</v>
      </c>
      <c r="G624" s="1">
        <v>12</v>
      </c>
      <c r="H624" s="16">
        <f t="shared" si="296"/>
        <v>576</v>
      </c>
      <c r="I624">
        <v>2</v>
      </c>
      <c r="J624" s="17">
        <f t="shared" si="297"/>
        <v>0.66666666666666663</v>
      </c>
      <c r="K624">
        <v>1</v>
      </c>
      <c r="L624">
        <v>1</v>
      </c>
      <c r="M624" s="17">
        <f t="shared" si="298"/>
        <v>0.33333333333333331</v>
      </c>
      <c r="N624" s="17">
        <f t="shared" si="299"/>
        <v>0.33333333333333331</v>
      </c>
      <c r="O624" s="18">
        <f t="shared" si="300"/>
        <v>1</v>
      </c>
      <c r="P624">
        <v>1</v>
      </c>
      <c r="Q624">
        <v>1</v>
      </c>
      <c r="R624" s="17">
        <f t="shared" si="301"/>
        <v>0.33333333333333331</v>
      </c>
      <c r="S624" s="17">
        <f t="shared" si="302"/>
        <v>0.33333333333333331</v>
      </c>
      <c r="T624" s="18">
        <f t="shared" si="303"/>
        <v>1</v>
      </c>
      <c r="U624">
        <v>0</v>
      </c>
      <c r="V624">
        <v>0</v>
      </c>
      <c r="W624" s="17">
        <f t="shared" si="304"/>
        <v>0</v>
      </c>
      <c r="X624" s="17">
        <f t="shared" si="305"/>
        <v>0</v>
      </c>
      <c r="Y624" s="18" t="e">
        <f t="shared" si="306"/>
        <v>#DIV/0!</v>
      </c>
      <c r="Z624">
        <v>0</v>
      </c>
      <c r="AA624">
        <v>0</v>
      </c>
      <c r="AB624" s="17">
        <f t="shared" si="307"/>
        <v>0</v>
      </c>
      <c r="AC624" s="17">
        <f t="shared" si="308"/>
        <v>0</v>
      </c>
      <c r="AD624" s="18" t="e">
        <f t="shared" si="309"/>
        <v>#DIV/0!</v>
      </c>
      <c r="AE624">
        <v>1</v>
      </c>
      <c r="AF624" s="17">
        <f t="shared" si="310"/>
        <v>0.33333333333333331</v>
      </c>
      <c r="AG624">
        <v>0</v>
      </c>
      <c r="AH624" s="17">
        <f t="shared" si="311"/>
        <v>0</v>
      </c>
      <c r="AI624">
        <v>1</v>
      </c>
      <c r="AJ624" s="17">
        <f t="shared" si="312"/>
        <v>0.33333333333333331</v>
      </c>
      <c r="AK624">
        <v>2</v>
      </c>
      <c r="AL624" s="17">
        <f t="shared" si="313"/>
        <v>0.66666666666666663</v>
      </c>
      <c r="AM624">
        <v>0</v>
      </c>
      <c r="AN624" s="17">
        <f t="shared" si="314"/>
        <v>0</v>
      </c>
      <c r="AO624">
        <v>0</v>
      </c>
      <c r="AQ624">
        <v>0</v>
      </c>
      <c r="AR624" s="17">
        <f t="shared" si="315"/>
        <v>0</v>
      </c>
      <c r="AS624">
        <v>2</v>
      </c>
      <c r="AT624" s="17">
        <f t="shared" si="316"/>
        <v>0.66666666666666663</v>
      </c>
      <c r="BD624" s="65">
        <f t="shared" si="317"/>
        <v>100</v>
      </c>
      <c r="BE624" s="65">
        <f t="shared" si="318"/>
        <v>100</v>
      </c>
      <c r="BF624" s="66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1.8303754466116091</v>
      </c>
      <c r="BG624" s="38">
        <f t="shared" si="319"/>
        <v>0</v>
      </c>
      <c r="BH624" s="38">
        <f t="shared" si="320"/>
        <v>0</v>
      </c>
      <c r="BI624" s="67">
        <f>IFERROR(((AG624*(12000/5))/((F624*60+G624)*(SUMIFS(팀공격력!X:X,팀공격력!A:A,B624,팀공격력!B:B,D624)+SUMIFS(팀수비력!X:X,팀수비력!A:A,B624,팀수비력!B:B,D624))))*100,"")</f>
        <v>0</v>
      </c>
      <c r="BJ624" s="67">
        <f>IFERROR(((AI624*(12000/5))/((F624*60+G624)*(SUMIFS(팀공격력!V:V,팀공격력!A:A,B624,팀공격력!B:B,D624)+SUMIFS(팀수비력!W:W,팀수비력!A:A,B624,팀수비력!B:B,D624))))*100,"")</f>
        <v>4.0983606557377046</v>
      </c>
      <c r="BK624" s="67">
        <f>IFERROR(((AE624*(12000/5))/((F624*60+G624)*(SUMIFS(팀공격력!X:X,팀공격력!A:A,B624,팀공격력!B:B,D624)+SUMIFS(팀수비력!X:X,팀수비력!A:A,B624,팀수비력!B:B,D624))))*100,"")</f>
        <v>1.9685039370078741</v>
      </c>
      <c r="BL624" s="67">
        <f>IFERROR(100*AK624/(((((F624*60+G624)/(12000/5))*SUMIFS(팀공격력!P:P,팀공격력!A:A,B624,팀공격력!B:B,D624))-K624)),"")</f>
        <v>9.8231827111984291</v>
      </c>
      <c r="BM624" s="67">
        <f>IFERROR(100*((AM624/E624*(2400))/((F624*60+G624)*SUMIFS(팀공격력!AR:AR,팀공격력!A:A,B624,팀공격력!B:B,D624))),"")</f>
        <v>0</v>
      </c>
      <c r="BN624" s="67">
        <f>IFERROR((AO624*40)/(((F624*60+G624)/60)*(SUMIFS(팀수비력!Q:Q,팀수비력!A:A,B624,팀수비력!B:B,D624)-SUMIFS(팀수비력!N:N,팀수비력!A:A,B624,팀수비력!B:B,D624)))*100,"")</f>
        <v>0</v>
      </c>
      <c r="BO624" s="67">
        <f t="shared" si="321"/>
        <v>0</v>
      </c>
      <c r="BT624" t="s">
        <v>89</v>
      </c>
      <c r="BV624" t="s">
        <v>90</v>
      </c>
      <c r="CF624">
        <v>2</v>
      </c>
      <c r="CG624">
        <v>1</v>
      </c>
    </row>
    <row r="625" spans="1:85" x14ac:dyDescent="0.4">
      <c r="A625" s="11" t="s">
        <v>85</v>
      </c>
      <c r="B625" t="s">
        <v>245</v>
      </c>
      <c r="C625" t="s">
        <v>253</v>
      </c>
      <c r="D625" s="46" t="s">
        <v>309</v>
      </c>
      <c r="E625">
        <v>1</v>
      </c>
      <c r="F625">
        <v>8</v>
      </c>
      <c r="G625" s="1">
        <v>27</v>
      </c>
      <c r="H625" s="16">
        <f t="shared" si="296"/>
        <v>507</v>
      </c>
      <c r="I625">
        <v>4</v>
      </c>
      <c r="J625" s="17">
        <f t="shared" si="297"/>
        <v>4</v>
      </c>
      <c r="K625">
        <v>1</v>
      </c>
      <c r="L625">
        <v>5</v>
      </c>
      <c r="M625" s="17">
        <f t="shared" si="298"/>
        <v>1</v>
      </c>
      <c r="N625" s="17">
        <f t="shared" si="299"/>
        <v>5</v>
      </c>
      <c r="O625" s="18">
        <f t="shared" si="300"/>
        <v>0.2</v>
      </c>
      <c r="P625">
        <v>1</v>
      </c>
      <c r="Q625">
        <v>4</v>
      </c>
      <c r="R625" s="17">
        <f t="shared" si="301"/>
        <v>1</v>
      </c>
      <c r="S625" s="17">
        <f t="shared" si="302"/>
        <v>4</v>
      </c>
      <c r="T625" s="18">
        <f t="shared" si="303"/>
        <v>0.25</v>
      </c>
      <c r="U625">
        <v>0</v>
      </c>
      <c r="V625">
        <v>1</v>
      </c>
      <c r="W625" s="17">
        <f t="shared" si="304"/>
        <v>0</v>
      </c>
      <c r="X625" s="17">
        <f t="shared" si="305"/>
        <v>1</v>
      </c>
      <c r="Y625" s="18">
        <f t="shared" si="306"/>
        <v>0</v>
      </c>
      <c r="Z625">
        <v>2</v>
      </c>
      <c r="AA625">
        <v>2</v>
      </c>
      <c r="AB625" s="17">
        <f t="shared" si="307"/>
        <v>2</v>
      </c>
      <c r="AC625" s="17">
        <f t="shared" si="308"/>
        <v>2</v>
      </c>
      <c r="AD625" s="18">
        <f t="shared" si="309"/>
        <v>1</v>
      </c>
      <c r="AE625">
        <v>2</v>
      </c>
      <c r="AF625" s="17">
        <f t="shared" si="310"/>
        <v>2</v>
      </c>
      <c r="AG625">
        <v>1</v>
      </c>
      <c r="AH625" s="17">
        <f t="shared" si="311"/>
        <v>1</v>
      </c>
      <c r="AI625">
        <v>1</v>
      </c>
      <c r="AJ625" s="17">
        <f t="shared" si="312"/>
        <v>1</v>
      </c>
      <c r="AK625">
        <v>1</v>
      </c>
      <c r="AL625" s="17">
        <f t="shared" si="313"/>
        <v>1</v>
      </c>
      <c r="AM625">
        <v>0</v>
      </c>
      <c r="AN625" s="17">
        <f t="shared" si="314"/>
        <v>0</v>
      </c>
      <c r="AO625">
        <v>0</v>
      </c>
      <c r="AQ625">
        <v>0</v>
      </c>
      <c r="AR625" s="17">
        <f t="shared" si="315"/>
        <v>0</v>
      </c>
      <c r="AS625">
        <v>1</v>
      </c>
      <c r="AT625" s="17">
        <f t="shared" si="316"/>
        <v>1</v>
      </c>
      <c r="BD625" s="65">
        <f t="shared" si="317"/>
        <v>34.013605442176868</v>
      </c>
      <c r="BE625" s="65">
        <f t="shared" si="318"/>
        <v>20</v>
      </c>
      <c r="BF625" s="66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4.0757804027744422</v>
      </c>
      <c r="BG625" s="38">
        <f t="shared" si="319"/>
        <v>0.2</v>
      </c>
      <c r="BH625" s="38">
        <f t="shared" si="320"/>
        <v>0.4</v>
      </c>
      <c r="BI625" s="67">
        <f>IFERROR(((AG625*(12000/5))/((F625*60+G625)*(SUMIFS(팀공격력!X:X,팀공격력!A:A,B625,팀공격력!B:B,D625)+SUMIFS(팀수비력!X:X,팀수비력!A:A,B625,팀수비력!B:B,D625))))*100,"")</f>
        <v>0.74546894655919493</v>
      </c>
      <c r="BJ625" s="67">
        <f>IFERROR(((AI625*(12000/5))/((F625*60+G625)*(SUMIFS(팀공격력!V:V,팀공격력!A:A,B625,팀공격력!B:B,D625)+SUMIFS(팀수비력!W:W,팀수비력!A:A,B625,팀수비력!B:B,D625))))*100,"")</f>
        <v>1.5520419051314385</v>
      </c>
      <c r="BK625" s="67">
        <f>IFERROR(((AE625*(12000/5))/((F625*60+G625)*(SUMIFS(팀공격력!X:X,팀공격력!A:A,B625,팀공격력!B:B,D625)+SUMIFS(팀수비력!X:X,팀수비력!A:A,B625,팀수비력!B:B,D625))))*100,"")</f>
        <v>1.4909378931183899</v>
      </c>
      <c r="BL625" s="67">
        <f>IFERROR(100*AK625/(((((F625*60+G625)/(12000/5))*SUMIFS(팀공격력!P:P,팀공격력!A:A,B625,팀공격력!B:B,D625))-K625)),"")</f>
        <v>1.8049319766261311</v>
      </c>
      <c r="BM625" s="67">
        <f>IFERROR(100*((AM625/E625*(2400))/((F625*60+G625)*SUMIFS(팀공격력!AR:AR,팀공격력!A:A,B625,팀공격력!B:B,D625))),"")</f>
        <v>0</v>
      </c>
      <c r="BN625" s="67">
        <f>IFERROR((AO625*40)/(((F625*60+G625)/60)*(SUMIFS(팀수비력!Q:Q,팀수비력!A:A,B625,팀수비력!B:B,D625)-SUMIFS(팀수비력!N:N,팀수비력!A:A,B625,팀수비력!B:B,D625)))*100,"")</f>
        <v>0</v>
      </c>
      <c r="BO625" s="67">
        <f t="shared" si="321"/>
        <v>0</v>
      </c>
      <c r="BT625" t="s">
        <v>113</v>
      </c>
      <c r="BV625" t="s">
        <v>90</v>
      </c>
      <c r="CF625">
        <v>1</v>
      </c>
      <c r="CG625">
        <v>0</v>
      </c>
    </row>
    <row r="626" spans="1:85" x14ac:dyDescent="0.4">
      <c r="A626" s="11" t="s">
        <v>85</v>
      </c>
      <c r="B626" t="s">
        <v>245</v>
      </c>
      <c r="C626" t="s">
        <v>254</v>
      </c>
      <c r="D626" s="46" t="s">
        <v>309</v>
      </c>
      <c r="E626">
        <v>8</v>
      </c>
      <c r="F626">
        <v>29</v>
      </c>
      <c r="G626" s="1">
        <v>15</v>
      </c>
      <c r="H626" s="16">
        <f t="shared" si="296"/>
        <v>14040</v>
      </c>
      <c r="I626">
        <v>98</v>
      </c>
      <c r="J626" s="17">
        <f t="shared" si="297"/>
        <v>12.25</v>
      </c>
      <c r="K626">
        <v>35</v>
      </c>
      <c r="L626">
        <v>85</v>
      </c>
      <c r="M626" s="17">
        <f t="shared" si="298"/>
        <v>4.375</v>
      </c>
      <c r="N626" s="17">
        <f t="shared" si="299"/>
        <v>10.625</v>
      </c>
      <c r="O626" s="18">
        <f t="shared" si="300"/>
        <v>0.41176470588235292</v>
      </c>
      <c r="P626">
        <v>25</v>
      </c>
      <c r="Q626">
        <v>49</v>
      </c>
      <c r="R626" s="17">
        <f t="shared" si="301"/>
        <v>3.125</v>
      </c>
      <c r="S626" s="17">
        <f t="shared" si="302"/>
        <v>6.125</v>
      </c>
      <c r="T626" s="18">
        <f t="shared" si="303"/>
        <v>0.51020408163265307</v>
      </c>
      <c r="U626">
        <v>10</v>
      </c>
      <c r="V626">
        <v>36</v>
      </c>
      <c r="W626" s="17">
        <f t="shared" si="304"/>
        <v>1.25</v>
      </c>
      <c r="X626" s="17">
        <f t="shared" si="305"/>
        <v>4.5</v>
      </c>
      <c r="Y626" s="18">
        <f t="shared" si="306"/>
        <v>0.27777777777777779</v>
      </c>
      <c r="Z626">
        <v>18</v>
      </c>
      <c r="AA626">
        <v>24</v>
      </c>
      <c r="AB626" s="17">
        <f t="shared" si="307"/>
        <v>2.25</v>
      </c>
      <c r="AC626" s="17">
        <f t="shared" si="308"/>
        <v>3</v>
      </c>
      <c r="AD626" s="18">
        <f t="shared" si="309"/>
        <v>0.75</v>
      </c>
      <c r="AE626">
        <v>30</v>
      </c>
      <c r="AF626" s="17">
        <f t="shared" si="310"/>
        <v>3.75</v>
      </c>
      <c r="AG626">
        <v>9</v>
      </c>
      <c r="AH626" s="17">
        <f t="shared" si="311"/>
        <v>1.125</v>
      </c>
      <c r="AI626">
        <v>21</v>
      </c>
      <c r="AJ626" s="17">
        <f t="shared" si="312"/>
        <v>2.625</v>
      </c>
      <c r="AK626">
        <v>44</v>
      </c>
      <c r="AL626" s="17">
        <f t="shared" si="313"/>
        <v>5.5</v>
      </c>
      <c r="AM626">
        <v>10</v>
      </c>
      <c r="AN626" s="17">
        <f t="shared" si="314"/>
        <v>1.25</v>
      </c>
      <c r="AO626">
        <v>0</v>
      </c>
      <c r="AQ626">
        <v>24</v>
      </c>
      <c r="AR626" s="17">
        <f t="shared" si="315"/>
        <v>3</v>
      </c>
      <c r="AS626">
        <v>27</v>
      </c>
      <c r="AT626" s="17">
        <f t="shared" si="316"/>
        <v>3.375</v>
      </c>
      <c r="BD626" s="65">
        <f t="shared" si="317"/>
        <v>51.276684805357888</v>
      </c>
      <c r="BE626" s="65">
        <f t="shared" si="318"/>
        <v>47.058823529411761</v>
      </c>
      <c r="BF626" s="66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23.941435995556539</v>
      </c>
      <c r="BG626" s="38">
        <f t="shared" si="319"/>
        <v>0.42352941176470588</v>
      </c>
      <c r="BH626" s="38">
        <f t="shared" si="320"/>
        <v>0.28235294117647058</v>
      </c>
      <c r="BI626" s="67">
        <f>IFERROR(((AG626*(12000/5))/((F626*60+G626)*(SUMIFS(팀공격력!X:X,팀공격력!A:A,B626,팀공격력!B:B,D626)+SUMIFS(팀수비력!X:X,팀수비력!A:A,B626,팀수비력!B:B,D626))))*100,"")</f>
        <v>1.9382192610539066</v>
      </c>
      <c r="BJ626" s="67">
        <f>IFERROR(((AI626*(12000/5))/((F626*60+G626)*(SUMIFS(팀공격력!V:V,팀공격력!A:A,B626,팀공격력!B:B,D626)+SUMIFS(팀수비력!W:W,팀수비력!A:A,B626,팀수비력!B:B,D626))))*100,"")</f>
        <v>9.4157208911307269</v>
      </c>
      <c r="BK626" s="67">
        <f>IFERROR(((AE626*(12000/5))/((F626*60+G626)*(SUMIFS(팀공격력!X:X,팀공격력!A:A,B626,팀공격력!B:B,D626)+SUMIFS(팀수비력!X:X,팀수비력!A:A,B626,팀수비력!B:B,D626))))*100,"")</f>
        <v>6.4607308701796891</v>
      </c>
      <c r="BL626" s="67">
        <f>IFERROR(100*AK626/(((((F626*60+G626)/(12000/5))*SUMIFS(팀공격력!P:P,팀공격력!A:A,B626,팀공격력!B:B,D626))-K626)),"")</f>
        <v>27.458169195366438</v>
      </c>
      <c r="BM626" s="67">
        <f>IFERROR(100*((AM626/E626*(2400))/((F626*60+G626)*SUMIFS(팀공격력!AR:AR,팀공격력!A:A,B626,팀공격력!B:B,D626))),"")</f>
        <v>2.3355382286347144</v>
      </c>
      <c r="BN626" s="67">
        <f>IFERROR((AO626*40)/(((F626*60+G626)/60)*(SUMIFS(팀수비력!Q:Q,팀수비력!A:A,B626,팀수비력!B:B,D626)-SUMIFS(팀수비력!N:N,팀수비력!A:A,B626,팀수비력!B:B,D626)))*100,"")</f>
        <v>0</v>
      </c>
      <c r="BO626" s="67">
        <f t="shared" si="321"/>
        <v>20.073603211776515</v>
      </c>
      <c r="BT626" t="s">
        <v>89</v>
      </c>
      <c r="BV626" t="s">
        <v>90</v>
      </c>
      <c r="CF626">
        <v>4</v>
      </c>
      <c r="CG626">
        <v>4</v>
      </c>
    </row>
    <row r="627" spans="1:85" x14ac:dyDescent="0.4">
      <c r="A627" s="11" t="s">
        <v>85</v>
      </c>
      <c r="B627" t="s">
        <v>245</v>
      </c>
      <c r="C627" t="s">
        <v>255</v>
      </c>
      <c r="D627" s="46" t="s">
        <v>309</v>
      </c>
      <c r="E627">
        <v>1</v>
      </c>
      <c r="F627">
        <v>11</v>
      </c>
      <c r="G627" s="1">
        <v>51</v>
      </c>
      <c r="H627" s="16">
        <f t="shared" si="296"/>
        <v>711</v>
      </c>
      <c r="I627">
        <v>0</v>
      </c>
      <c r="J627" s="17">
        <f t="shared" si="297"/>
        <v>0</v>
      </c>
      <c r="K627">
        <v>0</v>
      </c>
      <c r="L627">
        <v>4</v>
      </c>
      <c r="M627" s="17">
        <f t="shared" si="298"/>
        <v>0</v>
      </c>
      <c r="N627" s="17">
        <f t="shared" si="299"/>
        <v>4</v>
      </c>
      <c r="O627" s="18">
        <f t="shared" si="300"/>
        <v>0</v>
      </c>
      <c r="P627">
        <v>0</v>
      </c>
      <c r="Q627">
        <v>2</v>
      </c>
      <c r="R627" s="17">
        <f t="shared" si="301"/>
        <v>0</v>
      </c>
      <c r="S627" s="17">
        <f t="shared" si="302"/>
        <v>2</v>
      </c>
      <c r="T627" s="18">
        <f t="shared" si="303"/>
        <v>0</v>
      </c>
      <c r="U627">
        <v>0</v>
      </c>
      <c r="V627">
        <v>2</v>
      </c>
      <c r="W627" s="17">
        <f t="shared" si="304"/>
        <v>0</v>
      </c>
      <c r="X627" s="17">
        <f t="shared" si="305"/>
        <v>2</v>
      </c>
      <c r="Y627" s="18">
        <f t="shared" si="306"/>
        <v>0</v>
      </c>
      <c r="Z627">
        <v>0</v>
      </c>
      <c r="AA627">
        <v>0</v>
      </c>
      <c r="AB627" s="17">
        <f t="shared" si="307"/>
        <v>0</v>
      </c>
      <c r="AC627" s="17">
        <f t="shared" si="308"/>
        <v>0</v>
      </c>
      <c r="AD627" s="18" t="e">
        <f t="shared" si="309"/>
        <v>#DIV/0!</v>
      </c>
      <c r="AE627">
        <v>1</v>
      </c>
      <c r="AF627" s="17">
        <f t="shared" si="310"/>
        <v>1</v>
      </c>
      <c r="AG627">
        <v>0</v>
      </c>
      <c r="AH627" s="17">
        <f t="shared" si="311"/>
        <v>0</v>
      </c>
      <c r="AI627">
        <v>1</v>
      </c>
      <c r="AJ627" s="17">
        <f t="shared" si="312"/>
        <v>1</v>
      </c>
      <c r="AK627">
        <v>0</v>
      </c>
      <c r="AL627" s="17">
        <f t="shared" si="313"/>
        <v>0</v>
      </c>
      <c r="AM627">
        <v>0</v>
      </c>
      <c r="AN627" s="17">
        <f t="shared" si="314"/>
        <v>0</v>
      </c>
      <c r="AO627">
        <v>0</v>
      </c>
      <c r="AQ627">
        <v>0</v>
      </c>
      <c r="AR627" s="17">
        <f t="shared" si="315"/>
        <v>0</v>
      </c>
      <c r="AS627">
        <v>2</v>
      </c>
      <c r="AT627" s="17">
        <f t="shared" si="316"/>
        <v>2</v>
      </c>
      <c r="BD627" s="65">
        <f t="shared" si="317"/>
        <v>0</v>
      </c>
      <c r="BE627" s="65">
        <f t="shared" si="318"/>
        <v>0</v>
      </c>
      <c r="BF627" s="66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1.977114406466548</v>
      </c>
      <c r="BG627" s="38">
        <f t="shared" si="319"/>
        <v>0.5</v>
      </c>
      <c r="BH627" s="38">
        <f t="shared" si="320"/>
        <v>0</v>
      </c>
      <c r="BI627" s="67">
        <f>IFERROR(((AG627*(12000/5))/((F627*60+G627)*(SUMIFS(팀공격력!X:X,팀공격력!A:A,B627,팀공격력!B:B,D627)+SUMIFS(팀수비력!X:X,팀수비력!A:A,B627,팀수비력!B:B,D627))))*100,"")</f>
        <v>0</v>
      </c>
      <c r="BJ627" s="67">
        <f>IFERROR(((AI627*(12000/5))/((F627*60+G627)*(SUMIFS(팀공격력!V:V,팀공격력!A:A,B627,팀공격력!B:B,D627)+SUMIFS(팀수비력!W:W,팀수비력!A:A,B627,팀수비력!B:B,D627))))*100,"")</f>
        <v>1.1067303036591269</v>
      </c>
      <c r="BK627" s="67">
        <f>IFERROR(((AE627*(12000/5))/((F627*60+G627)*(SUMIFS(팀공격력!X:X,팀공격력!A:A,B627,팀공격력!B:B,D627)+SUMIFS(팀수비력!X:X,팀수비력!A:A,B627,팀수비력!B:B,D627))))*100,"")</f>
        <v>0.53157912222997439</v>
      </c>
      <c r="BL627" s="67">
        <f>IFERROR(100*AK627/(((((F627*60+G627)/(12000/5))*SUMIFS(팀공격력!P:P,팀공격력!A:A,B627,팀공격력!B:B,D627))-K627)),"")</f>
        <v>0</v>
      </c>
      <c r="BM627" s="67">
        <f>IFERROR(100*((AM627/E627*(2400))/((F627*60+G627)*SUMIFS(팀공격력!AR:AR,팀공격력!A:A,B627,팀공격력!B:B,D627))),"")</f>
        <v>0</v>
      </c>
      <c r="BN627" s="67">
        <f>IFERROR((AO627*40)/(((F627*60+G627)/60)*(SUMIFS(팀수비력!Q:Q,팀수비력!A:A,B627,팀수비력!B:B,D627)-SUMIFS(팀수비력!N:N,팀수비력!A:A,B627,팀수비력!B:B,D627)))*100,"")</f>
        <v>0</v>
      </c>
      <c r="BO627" s="67">
        <f t="shared" si="321"/>
        <v>0</v>
      </c>
      <c r="BT627" t="s">
        <v>89</v>
      </c>
      <c r="BV627" t="s">
        <v>93</v>
      </c>
      <c r="CF627">
        <v>0</v>
      </c>
      <c r="CG627">
        <v>1</v>
      </c>
    </row>
    <row r="628" spans="1:85" x14ac:dyDescent="0.4">
      <c r="A628" s="11" t="s">
        <v>85</v>
      </c>
      <c r="B628" t="s">
        <v>245</v>
      </c>
      <c r="C628" t="s">
        <v>258</v>
      </c>
      <c r="D628" s="46" t="s">
        <v>309</v>
      </c>
      <c r="E628">
        <v>8</v>
      </c>
      <c r="F628">
        <v>28</v>
      </c>
      <c r="G628" s="1">
        <v>25</v>
      </c>
      <c r="H628" s="16">
        <f t="shared" si="296"/>
        <v>13640</v>
      </c>
      <c r="I628">
        <v>82</v>
      </c>
      <c r="J628" s="17">
        <f t="shared" si="297"/>
        <v>10.25</v>
      </c>
      <c r="K628">
        <v>33</v>
      </c>
      <c r="L628">
        <v>72</v>
      </c>
      <c r="M628" s="17">
        <f t="shared" si="298"/>
        <v>4.125</v>
      </c>
      <c r="N628" s="17">
        <f t="shared" si="299"/>
        <v>9</v>
      </c>
      <c r="O628" s="18">
        <f t="shared" si="300"/>
        <v>0.45833333333333331</v>
      </c>
      <c r="P628">
        <v>22</v>
      </c>
      <c r="Q628">
        <v>50</v>
      </c>
      <c r="R628" s="17">
        <f t="shared" si="301"/>
        <v>2.75</v>
      </c>
      <c r="S628" s="17">
        <f t="shared" si="302"/>
        <v>6.25</v>
      </c>
      <c r="T628" s="18">
        <f t="shared" si="303"/>
        <v>0.44</v>
      </c>
      <c r="U628">
        <v>11</v>
      </c>
      <c r="V628">
        <v>22</v>
      </c>
      <c r="W628" s="17">
        <f t="shared" si="304"/>
        <v>1.375</v>
      </c>
      <c r="X628" s="17">
        <f t="shared" si="305"/>
        <v>2.75</v>
      </c>
      <c r="Y628" s="18">
        <f t="shared" si="306"/>
        <v>0.5</v>
      </c>
      <c r="Z628">
        <v>5</v>
      </c>
      <c r="AA628">
        <v>13</v>
      </c>
      <c r="AB628" s="17">
        <f t="shared" si="307"/>
        <v>0.625</v>
      </c>
      <c r="AC628" s="17">
        <f t="shared" si="308"/>
        <v>1.625</v>
      </c>
      <c r="AD628" s="18">
        <f t="shared" si="309"/>
        <v>0.38461538461538464</v>
      </c>
      <c r="AE628">
        <v>38</v>
      </c>
      <c r="AF628" s="17">
        <f t="shared" si="310"/>
        <v>4.75</v>
      </c>
      <c r="AG628">
        <v>3</v>
      </c>
      <c r="AH628" s="17">
        <f t="shared" si="311"/>
        <v>0.375</v>
      </c>
      <c r="AI628">
        <v>35</v>
      </c>
      <c r="AJ628" s="17">
        <f t="shared" si="312"/>
        <v>4.375</v>
      </c>
      <c r="AK628">
        <v>26</v>
      </c>
      <c r="AL628" s="17">
        <f t="shared" si="313"/>
        <v>3.25</v>
      </c>
      <c r="AM628">
        <v>8</v>
      </c>
      <c r="AN628" s="17">
        <f t="shared" si="314"/>
        <v>1</v>
      </c>
      <c r="AO628">
        <v>1</v>
      </c>
      <c r="AQ628">
        <v>6</v>
      </c>
      <c r="AR628" s="17">
        <f t="shared" si="315"/>
        <v>0.75</v>
      </c>
      <c r="AS628">
        <v>17</v>
      </c>
      <c r="AT628" s="17">
        <f t="shared" si="316"/>
        <v>2.125</v>
      </c>
      <c r="BD628" s="65">
        <f t="shared" si="317"/>
        <v>52.753474009264025</v>
      </c>
      <c r="BE628" s="65">
        <f t="shared" si="318"/>
        <v>53.472222222222221</v>
      </c>
      <c r="BF628" s="66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17.25624294366111</v>
      </c>
      <c r="BG628" s="38">
        <f t="shared" si="319"/>
        <v>0.30555555555555558</v>
      </c>
      <c r="BH628" s="38">
        <f t="shared" si="320"/>
        <v>0.18055555555555555</v>
      </c>
      <c r="BI628" s="67">
        <f>IFERROR(((AG628*(12000/5))/((F628*60+G628)*(SUMIFS(팀공격력!X:X,팀공격력!A:A,B628,팀공격력!B:B,D628)+SUMIFS(팀수비력!X:X,팀수비력!A:A,B628,팀수비력!B:B,D628))))*100,"")</f>
        <v>0.66501951185720554</v>
      </c>
      <c r="BJ628" s="67">
        <f>IFERROR(((AI628*(12000/5))/((F628*60+G628)*(SUMIFS(팀공격력!V:V,팀공격력!A:A,B628,팀공격력!B:B,D628)+SUMIFS(팀수비력!W:W,팀수비력!A:A,B628,팀수비력!B:B,D628))))*100,"")</f>
        <v>16.153069563963271</v>
      </c>
      <c r="BK628" s="67">
        <f>IFERROR(((AE628*(12000/5))/((F628*60+G628)*(SUMIFS(팀공격력!X:X,팀공격력!A:A,B628,팀공격력!B:B,D628)+SUMIFS(팀수비력!X:X,팀수비력!A:A,B628,팀수비력!B:B,D628))))*100,"")</f>
        <v>8.4235804835246029</v>
      </c>
      <c r="BL628" s="67">
        <f>IFERROR(100*AK628/(((((F628*60+G628)/(12000/5))*SUMIFS(팀공격력!P:P,팀공격력!A:A,B628,팀공격력!B:B,D628))-K628)),"")</f>
        <v>16.594200007977982</v>
      </c>
      <c r="BM628" s="67">
        <f>IFERROR(100*((AM628/E628*(2400))/((F628*60+G628)*SUMIFS(팀공격력!AR:AR,팀공격력!A:A,B628,팀공격력!B:B,D628))),"")</f>
        <v>1.9232232686235422</v>
      </c>
      <c r="BN628" s="67">
        <f>IFERROR((AO628*40)/(((F628*60+G628)/60)*(SUMIFS(팀수비력!Q:Q,팀수비력!A:A,B628,팀수비력!B:B,D628)-SUMIFS(팀수비력!N:N,팀수비력!A:A,B628,팀수비력!B:B,D628)))*100,"")</f>
        <v>0.32508652042288333</v>
      </c>
      <c r="BO628" s="67">
        <f t="shared" si="321"/>
        <v>7.1667462971810796</v>
      </c>
      <c r="BT628" t="s">
        <v>89</v>
      </c>
      <c r="BV628" t="s">
        <v>93</v>
      </c>
      <c r="CF628">
        <v>4</v>
      </c>
      <c r="CG628">
        <v>4</v>
      </c>
    </row>
    <row r="629" spans="1:85" x14ac:dyDescent="0.4">
      <c r="A629" s="11" t="s">
        <v>85</v>
      </c>
      <c r="B629" t="s">
        <v>245</v>
      </c>
      <c r="C629" t="s">
        <v>259</v>
      </c>
      <c r="D629" s="46" t="s">
        <v>309</v>
      </c>
      <c r="E629">
        <v>7</v>
      </c>
      <c r="F629">
        <v>9</v>
      </c>
      <c r="G629" s="1">
        <v>52</v>
      </c>
      <c r="H629" s="16">
        <f t="shared" si="296"/>
        <v>4144</v>
      </c>
      <c r="I629">
        <v>30</v>
      </c>
      <c r="J629" s="17">
        <f t="shared" si="297"/>
        <v>4.2857142857142856</v>
      </c>
      <c r="K629">
        <v>12</v>
      </c>
      <c r="L629">
        <v>22</v>
      </c>
      <c r="M629" s="17">
        <f t="shared" si="298"/>
        <v>1.7142857142857142</v>
      </c>
      <c r="N629" s="17">
        <f t="shared" si="299"/>
        <v>3.1428571428571428</v>
      </c>
      <c r="O629" s="18">
        <f t="shared" si="300"/>
        <v>0.54545454545454541</v>
      </c>
      <c r="P629">
        <v>12</v>
      </c>
      <c r="Q629">
        <v>22</v>
      </c>
      <c r="R629" s="17">
        <f t="shared" si="301"/>
        <v>1.7142857142857142</v>
      </c>
      <c r="S629" s="17">
        <f t="shared" si="302"/>
        <v>3.1428571428571428</v>
      </c>
      <c r="T629" s="18">
        <f t="shared" si="303"/>
        <v>0.54545454545454541</v>
      </c>
      <c r="U629">
        <v>0</v>
      </c>
      <c r="V629">
        <v>0</v>
      </c>
      <c r="W629" s="17">
        <f t="shared" si="304"/>
        <v>0</v>
      </c>
      <c r="X629" s="17">
        <f t="shared" si="305"/>
        <v>0</v>
      </c>
      <c r="Y629" s="18" t="e">
        <f t="shared" si="306"/>
        <v>#DIV/0!</v>
      </c>
      <c r="Z629">
        <v>6</v>
      </c>
      <c r="AA629">
        <v>7</v>
      </c>
      <c r="AB629" s="17">
        <f t="shared" si="307"/>
        <v>0.8571428571428571</v>
      </c>
      <c r="AC629" s="17">
        <f t="shared" si="308"/>
        <v>1</v>
      </c>
      <c r="AD629" s="18">
        <f t="shared" si="309"/>
        <v>0.8571428571428571</v>
      </c>
      <c r="AE629">
        <v>17</v>
      </c>
      <c r="AF629" s="17">
        <f t="shared" si="310"/>
        <v>2.4285714285714284</v>
      </c>
      <c r="AG629">
        <v>2</v>
      </c>
      <c r="AH629" s="17">
        <f t="shared" si="311"/>
        <v>0.2857142857142857</v>
      </c>
      <c r="AI629">
        <v>15</v>
      </c>
      <c r="AJ629" s="17">
        <f t="shared" si="312"/>
        <v>2.1428571428571428</v>
      </c>
      <c r="AK629">
        <v>6</v>
      </c>
      <c r="AL629" s="17">
        <f t="shared" si="313"/>
        <v>0.8571428571428571</v>
      </c>
      <c r="AM629">
        <v>1</v>
      </c>
      <c r="AN629" s="17">
        <f t="shared" si="314"/>
        <v>0.14285714285714285</v>
      </c>
      <c r="AO629">
        <v>3</v>
      </c>
      <c r="AQ629">
        <v>2</v>
      </c>
      <c r="AR629" s="17">
        <f t="shared" si="315"/>
        <v>0.2857142857142857</v>
      </c>
      <c r="AS629">
        <v>14</v>
      </c>
      <c r="AT629" s="17">
        <f t="shared" si="316"/>
        <v>2</v>
      </c>
      <c r="BD629" s="65">
        <f t="shared" si="317"/>
        <v>59.808612440191389</v>
      </c>
      <c r="BE629" s="65">
        <f t="shared" si="318"/>
        <v>54.54545454545454</v>
      </c>
      <c r="BF629" s="66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16.075643381916443</v>
      </c>
      <c r="BG629" s="38">
        <f t="shared" si="319"/>
        <v>0</v>
      </c>
      <c r="BH629" s="38">
        <f t="shared" si="320"/>
        <v>0.31818181818181818</v>
      </c>
      <c r="BI629" s="67">
        <f>IFERROR(((AG629*(12000/5))/((F629*60+G629)*(SUMIFS(팀공격력!X:X,팀공격력!A:A,B629,팀공격력!B:B,D629)+SUMIFS(팀수비력!X:X,팀수비력!A:A,B629,팀수비력!B:B,D629))))*100,"")</f>
        <v>1.276867418599702</v>
      </c>
      <c r="BJ629" s="67">
        <f>IFERROR(((AI629*(12000/5))/((F629*60+G629)*(SUMIFS(팀공격력!V:V,팀공격력!A:A,B629,팀공격력!B:B,D629)+SUMIFS(팀수비력!W:W,팀수비력!A:A,B629,팀수비력!B:B,D629))))*100,"")</f>
        <v>19.937970757642891</v>
      </c>
      <c r="BK629" s="67">
        <f>IFERROR(((AE629*(12000/5))/((F629*60+G629)*(SUMIFS(팀공격력!X:X,팀공격력!A:A,B629,팀공격력!B:B,D629)+SUMIFS(팀수비력!X:X,팀수비력!A:A,B629,팀수비력!B:B,D629))))*100,"")</f>
        <v>10.853373058097468</v>
      </c>
      <c r="BL629" s="67">
        <f>IFERROR(100*AK629/(((((F629*60+G629)/(12000/5))*SUMIFS(팀공격력!P:P,팀공격력!A:A,B629,팀공격력!B:B,D629))-K629)),"")</f>
        <v>11.139992573338285</v>
      </c>
      <c r="BM629" s="67">
        <f>IFERROR(100*((AM629/E629*(2400))/((F629*60+G629)*SUMIFS(팀공격력!AR:AR,팀공격력!A:A,B629,팀공격력!B:B,D629))),"")</f>
        <v>0.79128756587913585</v>
      </c>
      <c r="BN629" s="67">
        <f>IFERROR((AO629*40)/(((F629*60+G629)/60)*(SUMIFS(팀수비력!Q:Q,팀수비력!A:A,B629,팀수비력!B:B,D629)-SUMIFS(팀수비력!N:N,팀수비력!A:A,B629,팀수비력!B:B,D629)))*100,"")</f>
        <v>2.8088134323700142</v>
      </c>
      <c r="BO629" s="67">
        <f t="shared" si="321"/>
        <v>7.3855243722304289</v>
      </c>
      <c r="BT629" t="s">
        <v>89</v>
      </c>
      <c r="BV629" t="s">
        <v>102</v>
      </c>
      <c r="CF629">
        <v>4</v>
      </c>
      <c r="CG629">
        <v>3</v>
      </c>
    </row>
    <row r="630" spans="1:85" x14ac:dyDescent="0.4">
      <c r="A630" s="11" t="s">
        <v>85</v>
      </c>
      <c r="B630" t="s">
        <v>245</v>
      </c>
      <c r="C630" t="s">
        <v>260</v>
      </c>
      <c r="D630" s="46" t="s">
        <v>309</v>
      </c>
      <c r="E630">
        <v>8</v>
      </c>
      <c r="F630">
        <v>11</v>
      </c>
      <c r="G630" s="1">
        <v>27</v>
      </c>
      <c r="H630" s="16">
        <f t="shared" si="296"/>
        <v>5496</v>
      </c>
      <c r="I630">
        <v>32</v>
      </c>
      <c r="J630" s="17">
        <f t="shared" si="297"/>
        <v>4</v>
      </c>
      <c r="K630">
        <v>12</v>
      </c>
      <c r="L630">
        <v>25</v>
      </c>
      <c r="M630" s="17">
        <f t="shared" si="298"/>
        <v>1.5</v>
      </c>
      <c r="N630" s="17">
        <f t="shared" si="299"/>
        <v>3.125</v>
      </c>
      <c r="O630" s="18">
        <f t="shared" si="300"/>
        <v>0.48</v>
      </c>
      <c r="P630">
        <v>9</v>
      </c>
      <c r="Q630">
        <v>15</v>
      </c>
      <c r="R630" s="17">
        <f t="shared" si="301"/>
        <v>1.125</v>
      </c>
      <c r="S630" s="17">
        <f t="shared" si="302"/>
        <v>1.875</v>
      </c>
      <c r="T630" s="18">
        <f t="shared" si="303"/>
        <v>0.6</v>
      </c>
      <c r="U630">
        <v>3</v>
      </c>
      <c r="V630">
        <v>10</v>
      </c>
      <c r="W630" s="17">
        <f t="shared" si="304"/>
        <v>0.375</v>
      </c>
      <c r="X630" s="17">
        <f t="shared" si="305"/>
        <v>1.25</v>
      </c>
      <c r="Y630" s="18">
        <f t="shared" si="306"/>
        <v>0.3</v>
      </c>
      <c r="Z630">
        <v>5</v>
      </c>
      <c r="AA630">
        <v>8</v>
      </c>
      <c r="AB630" s="17">
        <f t="shared" si="307"/>
        <v>0.625</v>
      </c>
      <c r="AC630" s="17">
        <f t="shared" si="308"/>
        <v>1</v>
      </c>
      <c r="AD630" s="18">
        <f t="shared" si="309"/>
        <v>0.625</v>
      </c>
      <c r="AE630">
        <v>15</v>
      </c>
      <c r="AF630" s="17">
        <f t="shared" si="310"/>
        <v>1.875</v>
      </c>
      <c r="AG630">
        <v>7</v>
      </c>
      <c r="AH630" s="17">
        <f t="shared" si="311"/>
        <v>0.875</v>
      </c>
      <c r="AI630">
        <v>8</v>
      </c>
      <c r="AJ630" s="17">
        <f t="shared" si="312"/>
        <v>1</v>
      </c>
      <c r="AK630">
        <v>4</v>
      </c>
      <c r="AL630" s="17">
        <f t="shared" si="313"/>
        <v>0.5</v>
      </c>
      <c r="AM630">
        <v>2</v>
      </c>
      <c r="AN630" s="17">
        <f t="shared" si="314"/>
        <v>0.25</v>
      </c>
      <c r="AO630">
        <v>6</v>
      </c>
      <c r="AQ630">
        <v>4</v>
      </c>
      <c r="AR630" s="17">
        <f t="shared" si="315"/>
        <v>0.5</v>
      </c>
      <c r="AS630">
        <v>8</v>
      </c>
      <c r="AT630" s="17">
        <f t="shared" si="316"/>
        <v>1</v>
      </c>
      <c r="BD630" s="65">
        <f t="shared" si="317"/>
        <v>56.100981767180926</v>
      </c>
      <c r="BE630" s="65">
        <f t="shared" si="318"/>
        <v>54</v>
      </c>
      <c r="BF630" s="66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16.635475150758989</v>
      </c>
      <c r="BG630" s="38">
        <f t="shared" si="319"/>
        <v>0.4</v>
      </c>
      <c r="BH630" s="38">
        <f t="shared" si="320"/>
        <v>0.32</v>
      </c>
      <c r="BI630" s="67">
        <f>IFERROR(((AG630*(12000/5))/((F630*60+G630)*(SUMIFS(팀공격력!X:X,팀공격력!A:A,B630,팀공격력!B:B,D630)+SUMIFS(팀수비력!X:X,팀수비력!A:A,B630,팀수비력!B:B,D630))))*100,"")</f>
        <v>3.8510470034040503</v>
      </c>
      <c r="BJ630" s="67">
        <f>IFERROR(((AI630*(12000/5))/((F630*60+G630)*(SUMIFS(팀공격력!V:V,팀공격력!A:A,B630,팀공격력!B:B,D630)+SUMIFS(팀수비력!W:W,팀수비력!A:A,B630,팀수비력!B:B,D630))))*100,"")</f>
        <v>9.163146968286922</v>
      </c>
      <c r="BK630" s="67">
        <f>IFERROR(((AE630*(12000/5))/((F630*60+G630)*(SUMIFS(팀공격력!X:X,팀공격력!A:A,B630,팀공격력!B:B,D630)+SUMIFS(팀수비력!X:X,팀수비력!A:A,B630,팀수비력!B:B,D630))))*100,"")</f>
        <v>8.2522435787229647</v>
      </c>
      <c r="BL630" s="67">
        <f>IFERROR(100*AK630/(((((F630*60+G630)/(12000/5))*SUMIFS(팀공격력!P:P,팀공격력!A:A,B630,팀공격력!B:B,D630))-K630)),"")</f>
        <v>6.2084085132801734</v>
      </c>
      <c r="BM630" s="67">
        <f>IFERROR(100*((AM630/E630*(2400))/((F630*60+G630)*SUMIFS(팀공격력!AR:AR,팀공격력!A:A,B630,팀공격력!B:B,D630))),"")</f>
        <v>1.1932662565513608</v>
      </c>
      <c r="BN630" s="67">
        <f>IFERROR((AO630*40)/(((F630*60+G630)/60)*(SUMIFS(팀수비력!Q:Q,팀수비력!A:A,B630,팀수비력!B:B,D630)-SUMIFS(팀수비력!N:N,팀수비력!A:A,B630,팀수비력!B:B,D630)))*100,"")</f>
        <v>4.84080801153726</v>
      </c>
      <c r="BO630" s="67">
        <f t="shared" si="321"/>
        <v>12.300123001230014</v>
      </c>
      <c r="BT630" t="s">
        <v>89</v>
      </c>
      <c r="BV630" t="s">
        <v>93</v>
      </c>
      <c r="CF630">
        <v>4</v>
      </c>
      <c r="CG630">
        <v>4</v>
      </c>
    </row>
    <row r="631" spans="1:85" x14ac:dyDescent="0.4">
      <c r="A631" s="11" t="s">
        <v>85</v>
      </c>
      <c r="B631" t="s">
        <v>245</v>
      </c>
      <c r="C631" t="s">
        <v>261</v>
      </c>
      <c r="D631" s="46" t="s">
        <v>309</v>
      </c>
      <c r="E631">
        <v>7</v>
      </c>
      <c r="F631">
        <v>14</v>
      </c>
      <c r="G631" s="1">
        <v>49</v>
      </c>
      <c r="H631" s="16">
        <f t="shared" si="296"/>
        <v>6223</v>
      </c>
      <c r="I631">
        <v>81</v>
      </c>
      <c r="J631" s="17">
        <f t="shared" si="297"/>
        <v>11.571428571428571</v>
      </c>
      <c r="K631">
        <v>30</v>
      </c>
      <c r="L631">
        <v>56</v>
      </c>
      <c r="M631" s="17">
        <f t="shared" si="298"/>
        <v>4.2857142857142856</v>
      </c>
      <c r="N631" s="17">
        <f t="shared" si="299"/>
        <v>8</v>
      </c>
      <c r="O631" s="18">
        <f t="shared" si="300"/>
        <v>0.5357142857142857</v>
      </c>
      <c r="P631">
        <v>19</v>
      </c>
      <c r="Q631">
        <v>33</v>
      </c>
      <c r="R631" s="17">
        <f t="shared" si="301"/>
        <v>2.7142857142857144</v>
      </c>
      <c r="S631" s="17">
        <f t="shared" si="302"/>
        <v>4.7142857142857144</v>
      </c>
      <c r="T631" s="18">
        <f t="shared" si="303"/>
        <v>0.5757575757575758</v>
      </c>
      <c r="U631">
        <v>11</v>
      </c>
      <c r="V631">
        <v>23</v>
      </c>
      <c r="W631" s="17">
        <f t="shared" si="304"/>
        <v>1.5714285714285714</v>
      </c>
      <c r="X631" s="17">
        <f t="shared" si="305"/>
        <v>3.2857142857142856</v>
      </c>
      <c r="Y631" s="18">
        <f t="shared" si="306"/>
        <v>0.47826086956521741</v>
      </c>
      <c r="Z631">
        <v>10</v>
      </c>
      <c r="AA631">
        <v>12</v>
      </c>
      <c r="AB631" s="17">
        <f t="shared" si="307"/>
        <v>1.4285714285714286</v>
      </c>
      <c r="AC631" s="17">
        <f t="shared" si="308"/>
        <v>1.7142857142857142</v>
      </c>
      <c r="AD631" s="18">
        <f t="shared" si="309"/>
        <v>0.83333333333333337</v>
      </c>
      <c r="AE631">
        <v>36</v>
      </c>
      <c r="AF631" s="17">
        <f t="shared" si="310"/>
        <v>5.1428571428571432</v>
      </c>
      <c r="AG631">
        <v>9</v>
      </c>
      <c r="AH631" s="17">
        <f t="shared" si="311"/>
        <v>1.2857142857142858</v>
      </c>
      <c r="AI631">
        <v>27</v>
      </c>
      <c r="AJ631" s="17">
        <f t="shared" si="312"/>
        <v>3.8571428571428572</v>
      </c>
      <c r="AK631">
        <v>7</v>
      </c>
      <c r="AL631" s="17">
        <f t="shared" si="313"/>
        <v>1</v>
      </c>
      <c r="AM631">
        <v>4</v>
      </c>
      <c r="AN631" s="17">
        <f t="shared" si="314"/>
        <v>0.5714285714285714</v>
      </c>
      <c r="AO631">
        <v>2</v>
      </c>
      <c r="AQ631">
        <v>11</v>
      </c>
      <c r="AR631" s="17">
        <f t="shared" si="315"/>
        <v>1.5714285714285714</v>
      </c>
      <c r="AS631">
        <v>11</v>
      </c>
      <c r="AT631" s="17">
        <f t="shared" si="316"/>
        <v>1.5714285714285714</v>
      </c>
      <c r="BD631" s="65">
        <f t="shared" si="317"/>
        <v>66.090078328981733</v>
      </c>
      <c r="BE631" s="65">
        <f t="shared" si="318"/>
        <v>63.392857142857139</v>
      </c>
      <c r="BF631" s="66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28.573128411663355</v>
      </c>
      <c r="BG631" s="38">
        <f t="shared" si="319"/>
        <v>0.4107142857142857</v>
      </c>
      <c r="BH631" s="38">
        <f t="shared" si="320"/>
        <v>0.21428571428571427</v>
      </c>
      <c r="BI631" s="67">
        <f>IFERROR(((AG631*(12000/5))/((F631*60+G631)*(SUMIFS(팀공격력!X:X,팀공격력!A:A,B631,팀공격력!B:B,D631)+SUMIFS(팀수비력!X:X,팀수비력!A:A,B631,팀수비력!B:B,D631))))*100,"")</f>
        <v>3.8262933668724477</v>
      </c>
      <c r="BJ631" s="67">
        <f>IFERROR(((AI631*(12000/5))/((F631*60+G631)*(SUMIFS(팀공격력!V:V,팀공격력!A:A,B631,팀공격력!B:B,D631)+SUMIFS(팀수비력!W:W,팀수비력!A:A,B631,팀수비력!B:B,D631))))*100,"")</f>
        <v>23.898652012760699</v>
      </c>
      <c r="BK631" s="67">
        <f>IFERROR(((AE631*(12000/5))/((F631*60+G631)*(SUMIFS(팀공격력!X:X,팀공격력!A:A,B631,팀공격력!B:B,D631)+SUMIFS(팀수비력!X:X,팀수비력!A:A,B631,팀수비력!B:B,D631))))*100,"")</f>
        <v>15.305173467489791</v>
      </c>
      <c r="BL631" s="67">
        <f>IFERROR(100*AK631/(((((F631*60+G631)/(12000/5))*SUMIFS(팀공격력!P:P,팀공격력!A:A,B631,팀공격력!B:B,D631))-K631)),"")</f>
        <v>10.159467353640173</v>
      </c>
      <c r="BM631" s="67">
        <f>IFERROR(100*((AM631/E631*(2400))/((F631*60+G631)*SUMIFS(팀공격력!AR:AR,팀공격력!A:A,B631,팀공격력!B:B,D631))),"")</f>
        <v>2.1077266096758085</v>
      </c>
      <c r="BN631" s="67">
        <f>IFERROR((AO631*40)/(((F631*60+G631)/60)*(SUMIFS(팀수비력!Q:Q,팀수비력!A:A,B631,팀수비력!B:B,D631)-SUMIFS(팀수비력!N:N,팀수비력!A:A,B631,팀수비력!B:B,D631)))*100,"")</f>
        <v>1.2469572943104976</v>
      </c>
      <c r="BO631" s="67">
        <f t="shared" si="321"/>
        <v>15.218594355285003</v>
      </c>
      <c r="BT631" t="s">
        <v>96</v>
      </c>
      <c r="BV631" t="s">
        <v>93</v>
      </c>
      <c r="CF631">
        <v>4</v>
      </c>
      <c r="CG631">
        <v>3</v>
      </c>
    </row>
    <row r="632" spans="1:85" x14ac:dyDescent="0.4">
      <c r="A632" s="11" t="s">
        <v>85</v>
      </c>
      <c r="B632" t="s">
        <v>245</v>
      </c>
      <c r="C632" t="s">
        <v>262</v>
      </c>
      <c r="D632" s="46" t="s">
        <v>309</v>
      </c>
      <c r="E632">
        <v>8</v>
      </c>
      <c r="F632">
        <v>24</v>
      </c>
      <c r="G632" s="1">
        <v>42</v>
      </c>
      <c r="H632" s="16">
        <f t="shared" si="296"/>
        <v>11856</v>
      </c>
      <c r="I632">
        <v>75</v>
      </c>
      <c r="J632" s="17">
        <f t="shared" si="297"/>
        <v>9.375</v>
      </c>
      <c r="K632">
        <v>29</v>
      </c>
      <c r="L632">
        <v>47</v>
      </c>
      <c r="M632" s="17">
        <f t="shared" si="298"/>
        <v>3.625</v>
      </c>
      <c r="N632" s="17">
        <f t="shared" si="299"/>
        <v>5.875</v>
      </c>
      <c r="O632" s="18">
        <f t="shared" si="300"/>
        <v>0.61702127659574468</v>
      </c>
      <c r="P632">
        <v>27</v>
      </c>
      <c r="Q632">
        <v>45</v>
      </c>
      <c r="R632" s="17">
        <f t="shared" si="301"/>
        <v>3.375</v>
      </c>
      <c r="S632" s="17">
        <f t="shared" si="302"/>
        <v>5.625</v>
      </c>
      <c r="T632" s="18">
        <f t="shared" si="303"/>
        <v>0.6</v>
      </c>
      <c r="U632">
        <v>2</v>
      </c>
      <c r="V632">
        <v>2</v>
      </c>
      <c r="W632" s="17">
        <f t="shared" si="304"/>
        <v>0.25</v>
      </c>
      <c r="X632" s="17">
        <f t="shared" si="305"/>
        <v>0.25</v>
      </c>
      <c r="Y632" s="18">
        <f t="shared" si="306"/>
        <v>1</v>
      </c>
      <c r="Z632">
        <v>15</v>
      </c>
      <c r="AA632">
        <v>20</v>
      </c>
      <c r="AB632" s="17">
        <f t="shared" si="307"/>
        <v>1.875</v>
      </c>
      <c r="AC632" s="17">
        <f t="shared" si="308"/>
        <v>2.5</v>
      </c>
      <c r="AD632" s="18">
        <f t="shared" si="309"/>
        <v>0.75</v>
      </c>
      <c r="AE632">
        <v>26</v>
      </c>
      <c r="AF632" s="17">
        <f t="shared" si="310"/>
        <v>3.25</v>
      </c>
      <c r="AG632">
        <v>15</v>
      </c>
      <c r="AH632" s="17">
        <f t="shared" si="311"/>
        <v>1.875</v>
      </c>
      <c r="AI632">
        <v>11</v>
      </c>
      <c r="AJ632" s="17">
        <f t="shared" si="312"/>
        <v>1.375</v>
      </c>
      <c r="AK632">
        <v>42</v>
      </c>
      <c r="AL632" s="17">
        <f t="shared" si="313"/>
        <v>5.25</v>
      </c>
      <c r="AM632">
        <v>7</v>
      </c>
      <c r="AN632" s="17">
        <f t="shared" si="314"/>
        <v>0.875</v>
      </c>
      <c r="AO632">
        <v>5</v>
      </c>
      <c r="AQ632">
        <v>8</v>
      </c>
      <c r="AR632" s="17">
        <f t="shared" si="315"/>
        <v>1</v>
      </c>
      <c r="AS632">
        <v>10</v>
      </c>
      <c r="AT632" s="17">
        <f t="shared" si="316"/>
        <v>1.25</v>
      </c>
      <c r="BD632" s="65">
        <f t="shared" si="317"/>
        <v>67.20430107526883</v>
      </c>
      <c r="BE632" s="65">
        <f t="shared" si="318"/>
        <v>63.829787234042556</v>
      </c>
      <c r="BF632" s="66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15.129127578146806</v>
      </c>
      <c r="BG632" s="38">
        <f t="shared" si="319"/>
        <v>4.2553191489361701E-2</v>
      </c>
      <c r="BH632" s="38">
        <f t="shared" si="320"/>
        <v>0.42553191489361702</v>
      </c>
      <c r="BI632" s="67">
        <f>IFERROR(((AG632*(12000/5))/((F632*60+G632)*(SUMIFS(팀공격력!X:X,팀공격력!A:A,B632,팀공격력!B:B,D632)+SUMIFS(팀수비력!X:X,팀수비력!A:A,B632,팀수비력!B:B,D632))))*100,"")</f>
        <v>3.8254327520800788</v>
      </c>
      <c r="BJ632" s="67">
        <f>IFERROR(((AI632*(12000/5))/((F632*60+G632)*(SUMIFS(팀공격력!V:V,팀공격력!A:A,B632,팀공격력!B:B,D632)+SUMIFS(팀수비력!W:W,팀수비력!A:A,B632,팀수비력!B:B,D632))))*100,"")</f>
        <v>5.8405787482577818</v>
      </c>
      <c r="BK632" s="67">
        <f>IFERROR(((AE632*(12000/5))/((F632*60+G632)*(SUMIFS(팀공격력!X:X,팀공격력!A:A,B632,팀공격력!B:B,D632)+SUMIFS(팀수비력!X:X,팀수비력!A:A,B632,팀수비력!B:B,D632))))*100,"")</f>
        <v>6.6307501036054708</v>
      </c>
      <c r="BL632" s="67">
        <f>IFERROR(100*AK632/(((((F632*60+G632)/(12000/5))*SUMIFS(팀공격력!P:P,팀공격력!A:A,B632,팀공격력!B:B,D632))-K632)),"")</f>
        <v>30.911332315221991</v>
      </c>
      <c r="BM632" s="67">
        <f>IFERROR(100*((AM632/E632*(2400))/((F632*60+G632)*SUMIFS(팀공격력!AR:AR,팀공격력!A:A,B632,팀공격력!B:B,D632))),"")</f>
        <v>1.9360382684735136</v>
      </c>
      <c r="BN632" s="67">
        <f>IFERROR((AO632*40)/(((F632*60+G632)/60)*(SUMIFS(팀수비력!Q:Q,팀수비력!A:A,B632,팀수비력!B:B,D632)-SUMIFS(팀수비력!N:N,팀수비력!A:A,B632,팀수비력!B:B,D632)))*100,"")</f>
        <v>1.870015240624211</v>
      </c>
      <c r="BO632" s="67">
        <f t="shared" si="321"/>
        <v>12.539184952978056</v>
      </c>
      <c r="BT632" t="s">
        <v>89</v>
      </c>
      <c r="BV632" t="s">
        <v>93</v>
      </c>
      <c r="CF632">
        <v>4</v>
      </c>
      <c r="CG632">
        <v>4</v>
      </c>
    </row>
    <row r="633" spans="1:85" x14ac:dyDescent="0.4">
      <c r="A633" s="11" t="s">
        <v>85</v>
      </c>
      <c r="B633" t="s">
        <v>263</v>
      </c>
      <c r="C633" t="s">
        <v>264</v>
      </c>
      <c r="D633" s="46" t="s">
        <v>309</v>
      </c>
      <c r="E633">
        <v>10</v>
      </c>
      <c r="F633">
        <v>34</v>
      </c>
      <c r="G633" s="1">
        <v>41</v>
      </c>
      <c r="H633" s="16">
        <f t="shared" si="296"/>
        <v>20810</v>
      </c>
      <c r="I633">
        <v>149</v>
      </c>
      <c r="J633" s="17">
        <f t="shared" si="297"/>
        <v>14.9</v>
      </c>
      <c r="K633">
        <v>62</v>
      </c>
      <c r="L633">
        <v>105</v>
      </c>
      <c r="M633" s="17">
        <f t="shared" si="298"/>
        <v>6.2</v>
      </c>
      <c r="N633" s="17">
        <f t="shared" si="299"/>
        <v>10.5</v>
      </c>
      <c r="O633" s="18">
        <f t="shared" si="300"/>
        <v>0.59047619047619049</v>
      </c>
      <c r="P633">
        <v>46</v>
      </c>
      <c r="Q633">
        <v>69</v>
      </c>
      <c r="R633" s="17">
        <f t="shared" si="301"/>
        <v>4.5999999999999996</v>
      </c>
      <c r="S633" s="17">
        <f t="shared" si="302"/>
        <v>6.9</v>
      </c>
      <c r="T633" s="18">
        <f t="shared" si="303"/>
        <v>0.66666666666666663</v>
      </c>
      <c r="U633">
        <v>16</v>
      </c>
      <c r="V633">
        <v>36</v>
      </c>
      <c r="W633" s="17">
        <f t="shared" si="304"/>
        <v>1.6</v>
      </c>
      <c r="X633" s="17">
        <f t="shared" si="305"/>
        <v>3.6</v>
      </c>
      <c r="Y633" s="18">
        <f t="shared" si="306"/>
        <v>0.44444444444444442</v>
      </c>
      <c r="Z633">
        <v>9</v>
      </c>
      <c r="AA633">
        <v>11</v>
      </c>
      <c r="AB633" s="17">
        <f t="shared" si="307"/>
        <v>0.9</v>
      </c>
      <c r="AC633" s="17">
        <f t="shared" si="308"/>
        <v>1.1000000000000001</v>
      </c>
      <c r="AD633" s="18">
        <f t="shared" si="309"/>
        <v>0.81818181818181823</v>
      </c>
      <c r="AE633">
        <v>65</v>
      </c>
      <c r="AF633" s="17">
        <f t="shared" si="310"/>
        <v>6.5</v>
      </c>
      <c r="AG633">
        <v>16</v>
      </c>
      <c r="AH633" s="17">
        <f t="shared" si="311"/>
        <v>1.6</v>
      </c>
      <c r="AI633">
        <v>49</v>
      </c>
      <c r="AJ633" s="17">
        <f t="shared" si="312"/>
        <v>4.9000000000000004</v>
      </c>
      <c r="AK633">
        <v>48</v>
      </c>
      <c r="AL633" s="17">
        <f t="shared" si="313"/>
        <v>4.8</v>
      </c>
      <c r="AM633">
        <v>5</v>
      </c>
      <c r="AN633" s="17">
        <f t="shared" si="314"/>
        <v>0.5</v>
      </c>
      <c r="AO633">
        <v>2</v>
      </c>
      <c r="AQ633">
        <v>24</v>
      </c>
      <c r="AR633" s="17">
        <f t="shared" si="315"/>
        <v>2.4</v>
      </c>
      <c r="AS633">
        <v>25</v>
      </c>
      <c r="AT633" s="17">
        <f t="shared" si="316"/>
        <v>2.5</v>
      </c>
      <c r="BD633" s="65">
        <f t="shared" si="317"/>
        <v>67.825928623452285</v>
      </c>
      <c r="BE633" s="65">
        <f t="shared" si="318"/>
        <v>66.666666666666657</v>
      </c>
      <c r="BF633" s="66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17.873617339794816</v>
      </c>
      <c r="BG633" s="38">
        <f t="shared" si="319"/>
        <v>0.34285714285714286</v>
      </c>
      <c r="BH633" s="38">
        <f t="shared" si="320"/>
        <v>0.10476190476190476</v>
      </c>
      <c r="BI633" s="67">
        <f>IFERROR(((AG633*(12000/5))/((F633*60+G633)*(SUMIFS(팀공격력!X:X,팀공격력!A:A,B633,팀공격력!B:B,D633)+SUMIFS(팀수비력!X:X,팀수비력!A:A,B633,팀수비력!B:B,D633))))*100,"")</f>
        <v>2.5844071410399816</v>
      </c>
      <c r="BJ633" s="67">
        <f>IFERROR(((AI633*(12000/5))/((F633*60+G633)*(SUMIFS(팀공격력!V:V,팀공격력!A:A,B633,팀공격력!B:B,D633)+SUMIFS(팀수비력!W:W,팀수비력!A:A,B633,팀수비력!B:B,D633))))*100,"")</f>
        <v>18.112593797360738</v>
      </c>
      <c r="BK633" s="67">
        <f>IFERROR(((AE633*(12000/5))/((F633*60+G633)*(SUMIFS(팀공격력!X:X,팀공격력!A:A,B633,팀공격력!B:B,D633)+SUMIFS(팀수비력!X:X,팀수비력!A:A,B633,팀수비력!B:B,D633))))*100,"")</f>
        <v>10.499154010474925</v>
      </c>
      <c r="BL633" s="67">
        <f>IFERROR(100*AK633/(((((F633*60+G633)/(12000/5))*SUMIFS(팀공격력!P:P,팀공격력!A:A,B633,팀공격력!B:B,D633))-K633)),"")</f>
        <v>20.694895797966083</v>
      </c>
      <c r="BM633" s="67">
        <f>IFERROR(100*((AM633/E633*(2400))/((F633*60+G633)*SUMIFS(팀공격력!AR:AR,팀공격력!A:A,B633,팀공격력!B:B,D633))),"")</f>
        <v>0.6903978365113802</v>
      </c>
      <c r="BN633" s="67">
        <f>IFERROR((AO633*40)/(((F633*60+G633)/60)*(SUMIFS(팀수비력!Q:Q,팀수비력!A:A,B633,팀수비력!B:B,D633)-SUMIFS(팀수비력!N:N,팀수비력!A:A,B633,팀수비력!B:B,D633)))*100,"")</f>
        <v>0.53269823865546972</v>
      </c>
      <c r="BO633" s="67">
        <f t="shared" si="321"/>
        <v>17.931858936043035</v>
      </c>
      <c r="BT633" t="s">
        <v>89</v>
      </c>
      <c r="BV633" t="s">
        <v>93</v>
      </c>
      <c r="CF633">
        <v>7</v>
      </c>
      <c r="CG633">
        <v>3</v>
      </c>
    </row>
    <row r="634" spans="1:85" x14ac:dyDescent="0.4">
      <c r="A634" s="11" t="s">
        <v>85</v>
      </c>
      <c r="B634" t="s">
        <v>263</v>
      </c>
      <c r="C634" t="s">
        <v>266</v>
      </c>
      <c r="D634" s="46" t="s">
        <v>309</v>
      </c>
      <c r="E634">
        <v>4</v>
      </c>
      <c r="F634">
        <v>20</v>
      </c>
      <c r="G634" s="1">
        <v>25</v>
      </c>
      <c r="H634" s="16">
        <f t="shared" si="296"/>
        <v>4900</v>
      </c>
      <c r="I634">
        <v>17</v>
      </c>
      <c r="J634" s="17">
        <f t="shared" si="297"/>
        <v>4.25</v>
      </c>
      <c r="K634">
        <v>5</v>
      </c>
      <c r="L634">
        <v>13</v>
      </c>
      <c r="M634" s="17">
        <f t="shared" si="298"/>
        <v>1.25</v>
      </c>
      <c r="N634" s="17">
        <f t="shared" si="299"/>
        <v>3.25</v>
      </c>
      <c r="O634" s="18">
        <f t="shared" si="300"/>
        <v>0.38461538461538464</v>
      </c>
      <c r="P634">
        <v>0</v>
      </c>
      <c r="Q634">
        <v>4</v>
      </c>
      <c r="R634" s="17">
        <f t="shared" si="301"/>
        <v>0</v>
      </c>
      <c r="S634" s="17">
        <f t="shared" si="302"/>
        <v>1</v>
      </c>
      <c r="T634" s="18">
        <f t="shared" si="303"/>
        <v>0</v>
      </c>
      <c r="U634">
        <v>5</v>
      </c>
      <c r="V634">
        <v>9</v>
      </c>
      <c r="W634" s="17">
        <f t="shared" si="304"/>
        <v>1.25</v>
      </c>
      <c r="X634" s="17">
        <f t="shared" si="305"/>
        <v>2.25</v>
      </c>
      <c r="Y634" s="18">
        <f t="shared" si="306"/>
        <v>0.55555555555555558</v>
      </c>
      <c r="Z634">
        <v>2</v>
      </c>
      <c r="AA634">
        <v>2</v>
      </c>
      <c r="AB634" s="17">
        <f t="shared" si="307"/>
        <v>0.5</v>
      </c>
      <c r="AC634" s="17">
        <f t="shared" si="308"/>
        <v>0.5</v>
      </c>
      <c r="AD634" s="18">
        <f t="shared" si="309"/>
        <v>1</v>
      </c>
      <c r="AE634">
        <v>7</v>
      </c>
      <c r="AF634" s="17">
        <f t="shared" si="310"/>
        <v>1.75</v>
      </c>
      <c r="AG634">
        <v>3</v>
      </c>
      <c r="AH634" s="17">
        <f t="shared" si="311"/>
        <v>0.75</v>
      </c>
      <c r="AI634">
        <v>4</v>
      </c>
      <c r="AJ634" s="17">
        <f t="shared" si="312"/>
        <v>1</v>
      </c>
      <c r="AK634">
        <v>4</v>
      </c>
      <c r="AL634" s="17">
        <f t="shared" si="313"/>
        <v>1</v>
      </c>
      <c r="AM634">
        <v>5</v>
      </c>
      <c r="AN634" s="17">
        <f t="shared" si="314"/>
        <v>1.25</v>
      </c>
      <c r="AO634">
        <v>0</v>
      </c>
      <c r="AQ634">
        <v>2</v>
      </c>
      <c r="AR634" s="17">
        <f t="shared" si="315"/>
        <v>0.5</v>
      </c>
      <c r="AS634">
        <v>8</v>
      </c>
      <c r="AT634" s="17">
        <f t="shared" si="316"/>
        <v>2</v>
      </c>
      <c r="BD634" s="65">
        <f t="shared" si="317"/>
        <v>61.239193083573483</v>
      </c>
      <c r="BE634" s="65">
        <f t="shared" si="318"/>
        <v>57.692307692307686</v>
      </c>
      <c r="BF634" s="66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3.6025748882230055</v>
      </c>
      <c r="BG634" s="38">
        <f t="shared" si="319"/>
        <v>0.69230769230769229</v>
      </c>
      <c r="BH634" s="38">
        <f t="shared" si="320"/>
        <v>0.15384615384615385</v>
      </c>
      <c r="BI634" s="67">
        <f>IFERROR(((AG634*(12000/5))/((F634*60+G634)*(SUMIFS(팀공격력!X:X,팀공격력!A:A,B634,팀공격력!B:B,D634)+SUMIFS(팀수비력!X:X,팀수비력!A:A,B634,팀수비력!B:B,D634))))*100,"")</f>
        <v>0.82318641742411247</v>
      </c>
      <c r="BJ634" s="67">
        <f>IFERROR(((AI634*(12000/5))/((F634*60+G634)*(SUMIFS(팀공격력!V:V,팀공격력!A:A,B634,팀공격력!B:B,D634)+SUMIFS(팀수비력!W:W,팀수비력!A:A,B634,팀수비력!B:B,D634))))*100,"")</f>
        <v>2.5117739403453689</v>
      </c>
      <c r="BK634" s="67">
        <f>IFERROR(((AE634*(12000/5))/((F634*60+G634)*(SUMIFS(팀공격력!X:X,팀공격력!A:A,B634,팀공격력!B:B,D634)+SUMIFS(팀수비력!X:X,팀수비력!A:A,B634,팀수비력!B:B,D634))))*100,"")</f>
        <v>1.9207683073229291</v>
      </c>
      <c r="BL634" s="67">
        <f>IFERROR(100*AK634/(((((F634*60+G634)/(12000/5))*SUMIFS(팀공격력!P:P,팀공격력!A:A,B634,팀공격력!B:B,D634))-K634)),"")</f>
        <v>2.3805095778315044</v>
      </c>
      <c r="BM634" s="67">
        <f>IFERROR(100*((AM634/E634*(2400))/((F634*60+G634)*SUMIFS(팀공격력!AR:AR,팀공격력!A:A,B634,팀공격력!B:B,D634))),"")</f>
        <v>2.9320773424085353</v>
      </c>
      <c r="BN634" s="67">
        <f>IFERROR((AO634*40)/(((F634*60+G634)/60)*(SUMIFS(팀수비력!Q:Q,팀수비력!A:A,B634,팀수비력!B:B,D634)-SUMIFS(팀수비력!N:N,팀수비력!A:A,B634,팀수비력!B:B,D634)))*100,"")</f>
        <v>0</v>
      </c>
      <c r="BO634" s="67">
        <f t="shared" si="321"/>
        <v>12.594458438287154</v>
      </c>
      <c r="BT634" t="s">
        <v>89</v>
      </c>
      <c r="BV634" t="s">
        <v>90</v>
      </c>
      <c r="CF634">
        <v>2</v>
      </c>
      <c r="CG634">
        <v>2</v>
      </c>
    </row>
    <row r="635" spans="1:85" x14ac:dyDescent="0.4">
      <c r="A635" s="11" t="s">
        <v>85</v>
      </c>
      <c r="B635" t="s">
        <v>263</v>
      </c>
      <c r="C635" t="s">
        <v>267</v>
      </c>
      <c r="D635" s="46" t="s">
        <v>309</v>
      </c>
      <c r="E635">
        <v>9</v>
      </c>
      <c r="F635">
        <v>24</v>
      </c>
      <c r="G635" s="1">
        <v>53</v>
      </c>
      <c r="H635" s="16">
        <f t="shared" si="296"/>
        <v>13437</v>
      </c>
      <c r="I635">
        <v>123</v>
      </c>
      <c r="J635" s="17">
        <f t="shared" si="297"/>
        <v>13.666666666666666</v>
      </c>
      <c r="K635">
        <v>49</v>
      </c>
      <c r="L635">
        <v>75</v>
      </c>
      <c r="M635" s="17">
        <f t="shared" si="298"/>
        <v>5.4444444444444446</v>
      </c>
      <c r="N635" s="17">
        <f t="shared" si="299"/>
        <v>8.3333333333333339</v>
      </c>
      <c r="O635" s="18">
        <f t="shared" si="300"/>
        <v>0.65333333333333332</v>
      </c>
      <c r="P635">
        <v>48</v>
      </c>
      <c r="Q635">
        <v>72</v>
      </c>
      <c r="R635" s="17">
        <f t="shared" si="301"/>
        <v>5.333333333333333</v>
      </c>
      <c r="S635" s="17">
        <f t="shared" si="302"/>
        <v>8</v>
      </c>
      <c r="T635" s="18">
        <f t="shared" si="303"/>
        <v>0.66666666666666663</v>
      </c>
      <c r="U635">
        <v>1</v>
      </c>
      <c r="V635">
        <v>3</v>
      </c>
      <c r="W635" s="17">
        <f t="shared" si="304"/>
        <v>0.1111111111111111</v>
      </c>
      <c r="X635" s="17">
        <f t="shared" si="305"/>
        <v>0.33333333333333331</v>
      </c>
      <c r="Y635" s="18">
        <f t="shared" si="306"/>
        <v>0.33333333333333331</v>
      </c>
      <c r="Z635">
        <v>24</v>
      </c>
      <c r="AA635">
        <v>29</v>
      </c>
      <c r="AB635" s="17">
        <f t="shared" si="307"/>
        <v>2.6666666666666665</v>
      </c>
      <c r="AC635" s="17">
        <f t="shared" si="308"/>
        <v>3.2222222222222223</v>
      </c>
      <c r="AD635" s="18">
        <f t="shared" si="309"/>
        <v>0.82758620689655171</v>
      </c>
      <c r="AE635">
        <v>58</v>
      </c>
      <c r="AF635" s="17">
        <f t="shared" si="310"/>
        <v>6.4444444444444446</v>
      </c>
      <c r="AG635">
        <v>21</v>
      </c>
      <c r="AH635" s="17">
        <f t="shared" si="311"/>
        <v>2.3333333333333335</v>
      </c>
      <c r="AI635">
        <v>37</v>
      </c>
      <c r="AJ635" s="17">
        <f t="shared" si="312"/>
        <v>4.1111111111111107</v>
      </c>
      <c r="AK635">
        <v>14</v>
      </c>
      <c r="AL635" s="17">
        <f t="shared" si="313"/>
        <v>1.5555555555555556</v>
      </c>
      <c r="AM635">
        <v>4</v>
      </c>
      <c r="AN635" s="17">
        <f t="shared" si="314"/>
        <v>0.44444444444444442</v>
      </c>
      <c r="AO635">
        <v>7</v>
      </c>
      <c r="AQ635">
        <v>12</v>
      </c>
      <c r="AR635" s="17">
        <f t="shared" si="315"/>
        <v>1.3333333333333333</v>
      </c>
      <c r="AS635">
        <v>25</v>
      </c>
      <c r="AT635" s="17">
        <f t="shared" si="316"/>
        <v>2.7777777777777777</v>
      </c>
      <c r="BD635" s="65">
        <f t="shared" si="317"/>
        <v>70.07748404740201</v>
      </c>
      <c r="BE635" s="65">
        <f t="shared" si="318"/>
        <v>66</v>
      </c>
      <c r="BF635" s="66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18.569287522720664</v>
      </c>
      <c r="BG635" s="38">
        <f t="shared" si="319"/>
        <v>0.04</v>
      </c>
      <c r="BH635" s="38">
        <f t="shared" si="320"/>
        <v>0.38666666666666666</v>
      </c>
      <c r="BI635" s="67">
        <f>IFERROR(((AG635*(12000/5))/((F635*60+G635)*(SUMIFS(팀공격력!X:X,팀공격력!A:A,B635,팀공격력!B:B,D635)+SUMIFS(팀수비력!X:X,팀수비력!A:A,B635,팀수비력!B:B,D635))))*100,"")</f>
        <v>4.7279461014144442</v>
      </c>
      <c r="BJ635" s="67">
        <f>IFERROR(((AI635*(12000/5))/((F635*60+G635)*(SUMIFS(팀공격력!V:V,팀공격력!A:A,B635,팀공격력!B:B,D635)+SUMIFS(팀수비력!W:W,팀수비력!A:A,B635,팀수비력!B:B,D635))))*100,"")</f>
        <v>19.06332113967747</v>
      </c>
      <c r="BK635" s="67">
        <f>IFERROR(((AE635*(12000/5))/((F635*60+G635)*(SUMIFS(팀공격력!X:X,팀공격력!A:A,B635,팀공격력!B:B,D635)+SUMIFS(팀수비력!X:X,팀수비력!A:A,B635,팀수비력!B:B,D635))))*100,"")</f>
        <v>13.058136851525607</v>
      </c>
      <c r="BL635" s="67">
        <f>IFERROR(100*AK635/(((((F635*60+G635)/(12000/5))*SUMIFS(팀공격력!P:P,팀공격력!A:A,B635,팀공격력!B:B,D635))-K635)),"")</f>
        <v>8.648047626033712</v>
      </c>
      <c r="BM635" s="67">
        <f>IFERROR(100*((AM635/E635*(2400))/((F635*60+G635)*SUMIFS(팀공격력!AR:AR,팀공격력!A:A,B635,팀공격력!B:B,D635))),"")</f>
        <v>0.85538015794012467</v>
      </c>
      <c r="BN635" s="67">
        <f>IFERROR((AO635*40)/(((F635*60+G635)/60)*(SUMIFS(팀수비력!Q:Q,팀수비력!A:A,B635,팀수비력!B:B,D635)-SUMIFS(팀수비력!N:N,팀수비력!A:A,B635,팀수비력!B:B,D635)))*100,"")</f>
        <v>2.598732499160826</v>
      </c>
      <c r="BO635" s="67">
        <f t="shared" si="321"/>
        <v>12.028869286287089</v>
      </c>
      <c r="BT635" t="s">
        <v>89</v>
      </c>
      <c r="BV635" t="s">
        <v>102</v>
      </c>
      <c r="CF635">
        <v>6</v>
      </c>
      <c r="CG635">
        <v>3</v>
      </c>
    </row>
    <row r="636" spans="1:85" x14ac:dyDescent="0.4">
      <c r="A636" s="11" t="s">
        <v>85</v>
      </c>
      <c r="B636" t="s">
        <v>263</v>
      </c>
      <c r="C636" t="s">
        <v>268</v>
      </c>
      <c r="D636" s="46" t="s">
        <v>309</v>
      </c>
      <c r="E636">
        <v>5</v>
      </c>
      <c r="F636">
        <v>7</v>
      </c>
      <c r="G636" s="1">
        <v>49</v>
      </c>
      <c r="H636" s="16">
        <f t="shared" si="296"/>
        <v>2345</v>
      </c>
      <c r="I636">
        <v>11</v>
      </c>
      <c r="J636" s="17">
        <f t="shared" si="297"/>
        <v>2.2000000000000002</v>
      </c>
      <c r="K636">
        <v>4</v>
      </c>
      <c r="L636">
        <v>9</v>
      </c>
      <c r="M636" s="17">
        <f t="shared" si="298"/>
        <v>0.8</v>
      </c>
      <c r="N636" s="17">
        <f t="shared" si="299"/>
        <v>1.8</v>
      </c>
      <c r="O636" s="18">
        <f t="shared" si="300"/>
        <v>0.44444444444444442</v>
      </c>
      <c r="P636">
        <v>2</v>
      </c>
      <c r="Q636">
        <v>3</v>
      </c>
      <c r="R636" s="17">
        <f t="shared" si="301"/>
        <v>0.4</v>
      </c>
      <c r="S636" s="17">
        <f t="shared" si="302"/>
        <v>0.6</v>
      </c>
      <c r="T636" s="18">
        <f t="shared" si="303"/>
        <v>0.66666666666666663</v>
      </c>
      <c r="U636">
        <v>2</v>
      </c>
      <c r="V636">
        <v>6</v>
      </c>
      <c r="W636" s="17">
        <f t="shared" si="304"/>
        <v>0.4</v>
      </c>
      <c r="X636" s="17">
        <f t="shared" si="305"/>
        <v>1.2</v>
      </c>
      <c r="Y636" s="18">
        <f t="shared" si="306"/>
        <v>0.33333333333333331</v>
      </c>
      <c r="Z636">
        <v>1</v>
      </c>
      <c r="AA636">
        <v>2</v>
      </c>
      <c r="AB636" s="17">
        <f t="shared" si="307"/>
        <v>0.2</v>
      </c>
      <c r="AC636" s="17">
        <f t="shared" si="308"/>
        <v>0.4</v>
      </c>
      <c r="AD636" s="18">
        <f t="shared" si="309"/>
        <v>0.5</v>
      </c>
      <c r="AE636">
        <v>4</v>
      </c>
      <c r="AF636" s="17">
        <f t="shared" si="310"/>
        <v>0.8</v>
      </c>
      <c r="AG636">
        <v>0</v>
      </c>
      <c r="AH636" s="17">
        <f t="shared" si="311"/>
        <v>0</v>
      </c>
      <c r="AI636">
        <v>4</v>
      </c>
      <c r="AJ636" s="17">
        <f t="shared" si="312"/>
        <v>0.8</v>
      </c>
      <c r="AK636">
        <v>2</v>
      </c>
      <c r="AL636" s="17">
        <f t="shared" si="313"/>
        <v>0.4</v>
      </c>
      <c r="AM636">
        <v>0</v>
      </c>
      <c r="AN636" s="17">
        <f t="shared" si="314"/>
        <v>0</v>
      </c>
      <c r="AO636">
        <v>0</v>
      </c>
      <c r="AQ636">
        <v>2</v>
      </c>
      <c r="AR636" s="17">
        <f t="shared" si="315"/>
        <v>0.4</v>
      </c>
      <c r="AS636">
        <v>3</v>
      </c>
      <c r="AT636" s="17">
        <f t="shared" si="316"/>
        <v>0.6</v>
      </c>
      <c r="BD636" s="65">
        <f t="shared" si="317"/>
        <v>55.668016194331983</v>
      </c>
      <c r="BE636" s="65">
        <f t="shared" si="318"/>
        <v>55.555555555555557</v>
      </c>
      <c r="BF636" s="66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7.0395063654795571</v>
      </c>
      <c r="BG636" s="38">
        <f t="shared" si="319"/>
        <v>0.66666666666666663</v>
      </c>
      <c r="BH636" s="38">
        <f t="shared" si="320"/>
        <v>0.22222222222222221</v>
      </c>
      <c r="BI636" s="67">
        <f>IFERROR(((AG636*(12000/5))/((F636*60+G636)*(SUMIFS(팀공격력!X:X,팀공격력!A:A,B636,팀공격력!B:B,D636)+SUMIFS(팀수비력!X:X,팀수비력!A:A,B636,팀수비력!B:B,D636))))*100,"")</f>
        <v>0</v>
      </c>
      <c r="BJ636" s="67">
        <f>IFERROR(((AI636*(12000/5))/((F636*60+G636)*(SUMIFS(팀공격력!V:V,팀공격력!A:A,B636,팀공격력!B:B,D636)+SUMIFS(팀수비력!W:W,팀수비력!A:A,B636,팀수비력!B:B,D636))))*100,"")</f>
        <v>6.5606035755289493</v>
      </c>
      <c r="BK636" s="67">
        <f>IFERROR(((AE636*(12000/5))/((F636*60+G636)*(SUMIFS(팀공격력!X:X,팀공격력!A:A,B636,팀공격력!B:B,D636)+SUMIFS(팀수비력!X:X,팀수비력!A:A,B636,팀수비력!B:B,D636))))*100,"")</f>
        <v>2.8668183691387004</v>
      </c>
      <c r="BL636" s="67">
        <f>IFERROR(100*AK636/(((((F636*60+G636)/(12000/5))*SUMIFS(팀공격력!P:P,팀공격력!A:A,B636,팀공격력!B:B,D636))-K636)),"")</f>
        <v>3.2130449625479454</v>
      </c>
      <c r="BM636" s="67">
        <f>IFERROR(100*((AM636/E636*(2400))/((F636*60+G636)*SUMIFS(팀공격력!AR:AR,팀공격력!A:A,B636,팀공격력!B:B,D636))),"")</f>
        <v>0</v>
      </c>
      <c r="BN636" s="67">
        <f>IFERROR((AO636*40)/(((F636*60+G636)/60)*(SUMIFS(팀수비력!Q:Q,팀수비력!A:A,B636,팀수비력!B:B,D636)-SUMIFS(팀수비력!N:N,팀수비력!A:A,B636,팀수비력!B:B,D636)))*100,"")</f>
        <v>0</v>
      </c>
      <c r="BO636" s="67">
        <f t="shared" si="321"/>
        <v>16.835016835016834</v>
      </c>
      <c r="BT636" t="s">
        <v>89</v>
      </c>
      <c r="BV636" t="s">
        <v>90</v>
      </c>
      <c r="CF636">
        <v>4</v>
      </c>
      <c r="CG636">
        <v>1</v>
      </c>
    </row>
    <row r="637" spans="1:85" x14ac:dyDescent="0.4">
      <c r="A637" s="11" t="s">
        <v>85</v>
      </c>
      <c r="B637" t="s">
        <v>263</v>
      </c>
      <c r="C637" t="s">
        <v>271</v>
      </c>
      <c r="D637" s="46" t="s">
        <v>309</v>
      </c>
      <c r="E637">
        <v>9</v>
      </c>
      <c r="F637">
        <v>16</v>
      </c>
      <c r="G637" s="1">
        <v>41</v>
      </c>
      <c r="H637" s="16">
        <f t="shared" si="296"/>
        <v>9009</v>
      </c>
      <c r="I637">
        <v>65</v>
      </c>
      <c r="J637" s="17">
        <f t="shared" si="297"/>
        <v>7.2222222222222223</v>
      </c>
      <c r="K637">
        <v>19</v>
      </c>
      <c r="L637">
        <v>51</v>
      </c>
      <c r="M637" s="17">
        <f t="shared" si="298"/>
        <v>2.1111111111111112</v>
      </c>
      <c r="N637" s="17">
        <f t="shared" si="299"/>
        <v>5.666666666666667</v>
      </c>
      <c r="O637" s="18">
        <f t="shared" si="300"/>
        <v>0.37254901960784315</v>
      </c>
      <c r="P637">
        <v>7</v>
      </c>
      <c r="Q637">
        <v>15</v>
      </c>
      <c r="R637" s="17">
        <f t="shared" si="301"/>
        <v>0.77777777777777779</v>
      </c>
      <c r="S637" s="17">
        <f t="shared" si="302"/>
        <v>1.6666666666666667</v>
      </c>
      <c r="T637" s="18">
        <f t="shared" si="303"/>
        <v>0.46666666666666667</v>
      </c>
      <c r="U637">
        <v>12</v>
      </c>
      <c r="V637">
        <v>36</v>
      </c>
      <c r="W637" s="17">
        <f t="shared" si="304"/>
        <v>1.3333333333333333</v>
      </c>
      <c r="X637" s="17">
        <f t="shared" si="305"/>
        <v>4</v>
      </c>
      <c r="Y637" s="18">
        <f t="shared" si="306"/>
        <v>0.33333333333333331</v>
      </c>
      <c r="Z637">
        <v>15</v>
      </c>
      <c r="AA637">
        <v>19</v>
      </c>
      <c r="AB637" s="17">
        <f t="shared" si="307"/>
        <v>1.6666666666666667</v>
      </c>
      <c r="AC637" s="17">
        <f t="shared" si="308"/>
        <v>2.1111111111111112</v>
      </c>
      <c r="AD637" s="18">
        <f t="shared" si="309"/>
        <v>0.78947368421052633</v>
      </c>
      <c r="AE637">
        <v>13</v>
      </c>
      <c r="AF637" s="17">
        <f t="shared" si="310"/>
        <v>1.4444444444444444</v>
      </c>
      <c r="AG637">
        <v>2</v>
      </c>
      <c r="AH637" s="17">
        <f t="shared" si="311"/>
        <v>0.22222222222222221</v>
      </c>
      <c r="AI637">
        <v>11</v>
      </c>
      <c r="AJ637" s="17">
        <f t="shared" si="312"/>
        <v>1.2222222222222223</v>
      </c>
      <c r="AK637">
        <v>15</v>
      </c>
      <c r="AL637" s="17">
        <f t="shared" si="313"/>
        <v>1.6666666666666667</v>
      </c>
      <c r="AM637">
        <v>10</v>
      </c>
      <c r="AN637" s="17">
        <f t="shared" si="314"/>
        <v>1.1111111111111112</v>
      </c>
      <c r="AO637">
        <v>0</v>
      </c>
      <c r="AQ637">
        <v>9</v>
      </c>
      <c r="AR637" s="17">
        <f t="shared" si="315"/>
        <v>1</v>
      </c>
      <c r="AS637">
        <v>16</v>
      </c>
      <c r="AT637" s="17">
        <f t="shared" si="316"/>
        <v>1.7777777777777777</v>
      </c>
      <c r="BD637" s="65">
        <f t="shared" si="317"/>
        <v>54.750673854447442</v>
      </c>
      <c r="BE637" s="65">
        <f t="shared" si="318"/>
        <v>49.019607843137251</v>
      </c>
      <c r="BF637" s="66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18.978705407607677</v>
      </c>
      <c r="BG637" s="38">
        <f t="shared" si="319"/>
        <v>0.70588235294117652</v>
      </c>
      <c r="BH637" s="38">
        <f t="shared" si="320"/>
        <v>0.37254901960784315</v>
      </c>
      <c r="BI637" s="67">
        <f>IFERROR(((AG637*(12000/5))/((F637*60+G637)*(SUMIFS(팀공격력!X:X,팀공격력!A:A,B637,팀공격력!B:B,D637)+SUMIFS(팀수비력!X:X,팀수비력!A:A,B637,팀수비력!B:B,D637))))*100,"")</f>
        <v>0.67159731025277247</v>
      </c>
      <c r="BJ637" s="67">
        <f>IFERROR(((AI637*(12000/5))/((F637*60+G637)*(SUMIFS(팀공격력!V:V,팀공격력!A:A,B637,팀공격력!B:B,D637)+SUMIFS(팀수비력!W:W,팀수비력!A:A,B637,팀수비력!B:B,D637))))*100,"")</f>
        <v>8.4530853761622993</v>
      </c>
      <c r="BK637" s="67">
        <f>IFERROR(((AE637*(12000/5))/((F637*60+G637)*(SUMIFS(팀공격력!X:X,팀공격력!A:A,B637,팀공격력!B:B,D637)+SUMIFS(팀수비력!X:X,팀수비력!A:A,B637,팀수비력!B:B,D637))))*100,"")</f>
        <v>4.3653825166430211</v>
      </c>
      <c r="BL637" s="67">
        <f>IFERROR(100*AK637/(((((F637*60+G637)/(12000/5))*SUMIFS(팀공격력!P:P,팀공격력!A:A,B637,팀공격력!B:B,D637))-K637)),"")</f>
        <v>12.255778088711409</v>
      </c>
      <c r="BM637" s="67">
        <f>IFERROR(100*((AM637/E637*(2400))/((F637*60+G637)*SUMIFS(팀공격력!AR:AR,팀공격력!A:A,B637,팀공격력!B:B,D637))),"")</f>
        <v>3.1895169225889273</v>
      </c>
      <c r="BN637" s="67">
        <f>IFERROR((AO637*40)/(((F637*60+G637)/60)*(SUMIFS(팀수비력!Q:Q,팀수비력!A:A,B637,팀수비력!B:B,D637)-SUMIFS(팀수비력!N:N,팀수비력!A:A,B637,팀수비력!B:B,D637)))*100,"")</f>
        <v>0</v>
      </c>
      <c r="BO637" s="67">
        <f t="shared" si="321"/>
        <v>13.165593914569923</v>
      </c>
      <c r="BT637" t="s">
        <v>89</v>
      </c>
      <c r="BV637" t="s">
        <v>90</v>
      </c>
      <c r="CF637">
        <v>6</v>
      </c>
      <c r="CG637">
        <v>3</v>
      </c>
    </row>
    <row r="638" spans="1:85" x14ac:dyDescent="0.4">
      <c r="A638" s="11" t="s">
        <v>85</v>
      </c>
      <c r="B638" t="s">
        <v>263</v>
      </c>
      <c r="C638" t="s">
        <v>272</v>
      </c>
      <c r="D638" s="46" t="s">
        <v>309</v>
      </c>
      <c r="E638">
        <v>10</v>
      </c>
      <c r="F638">
        <v>34</v>
      </c>
      <c r="G638" s="1">
        <v>8</v>
      </c>
      <c r="H638" s="16">
        <f t="shared" si="296"/>
        <v>20480</v>
      </c>
      <c r="I638">
        <v>227</v>
      </c>
      <c r="J638" s="17">
        <f t="shared" si="297"/>
        <v>22.7</v>
      </c>
      <c r="K638">
        <v>81</v>
      </c>
      <c r="L638">
        <v>170</v>
      </c>
      <c r="M638" s="17">
        <f t="shared" si="298"/>
        <v>8.1</v>
      </c>
      <c r="N638" s="17">
        <f t="shared" si="299"/>
        <v>17</v>
      </c>
      <c r="O638" s="18">
        <f t="shared" si="300"/>
        <v>0.47647058823529409</v>
      </c>
      <c r="P638">
        <v>57</v>
      </c>
      <c r="Q638">
        <v>97</v>
      </c>
      <c r="R638" s="17">
        <f t="shared" si="301"/>
        <v>5.7</v>
      </c>
      <c r="S638" s="17">
        <f t="shared" si="302"/>
        <v>9.6999999999999993</v>
      </c>
      <c r="T638" s="18">
        <f t="shared" si="303"/>
        <v>0.58762886597938147</v>
      </c>
      <c r="U638">
        <v>24</v>
      </c>
      <c r="V638">
        <v>73</v>
      </c>
      <c r="W638" s="17">
        <f t="shared" si="304"/>
        <v>2.4</v>
      </c>
      <c r="X638" s="17">
        <f t="shared" si="305"/>
        <v>7.3</v>
      </c>
      <c r="Y638" s="18">
        <f t="shared" si="306"/>
        <v>0.32876712328767121</v>
      </c>
      <c r="Z638">
        <v>41</v>
      </c>
      <c r="AA638">
        <v>53</v>
      </c>
      <c r="AB638" s="17">
        <f t="shared" si="307"/>
        <v>4.0999999999999996</v>
      </c>
      <c r="AC638" s="17">
        <f t="shared" si="308"/>
        <v>5.3</v>
      </c>
      <c r="AD638" s="18">
        <f t="shared" si="309"/>
        <v>0.77358490566037741</v>
      </c>
      <c r="AE638">
        <v>112</v>
      </c>
      <c r="AF638" s="17">
        <f t="shared" si="310"/>
        <v>11.2</v>
      </c>
      <c r="AG638">
        <v>14</v>
      </c>
      <c r="AH638" s="17">
        <f t="shared" si="311"/>
        <v>1.4</v>
      </c>
      <c r="AI638">
        <v>98</v>
      </c>
      <c r="AJ638" s="17">
        <f t="shared" si="312"/>
        <v>9.8000000000000007</v>
      </c>
      <c r="AK638">
        <v>46</v>
      </c>
      <c r="AL638" s="17">
        <f t="shared" si="313"/>
        <v>4.5999999999999996</v>
      </c>
      <c r="AM638">
        <v>12</v>
      </c>
      <c r="AN638" s="17">
        <f t="shared" si="314"/>
        <v>1.2</v>
      </c>
      <c r="AO638">
        <v>5</v>
      </c>
      <c r="AQ638">
        <v>26</v>
      </c>
      <c r="AR638" s="17">
        <f t="shared" si="315"/>
        <v>2.6</v>
      </c>
      <c r="AS638">
        <v>20</v>
      </c>
      <c r="AT638" s="17">
        <f t="shared" si="316"/>
        <v>2</v>
      </c>
      <c r="BD638" s="65">
        <f t="shared" si="317"/>
        <v>58.710945582453967</v>
      </c>
      <c r="BE638" s="65">
        <f t="shared" si="318"/>
        <v>54.705882352941181</v>
      </c>
      <c r="BF638" s="66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29.760957040296432</v>
      </c>
      <c r="BG638" s="38">
        <f t="shared" si="319"/>
        <v>0.42941176470588233</v>
      </c>
      <c r="BH638" s="38">
        <f t="shared" si="320"/>
        <v>0.31176470588235294</v>
      </c>
      <c r="BI638" s="67">
        <f>IFERROR(((AG638*(12000/5))/((F638*60+G638)*(SUMIFS(팀공격력!X:X,팀공격력!A:A,B638,팀공격력!B:B,D638)+SUMIFS(팀수비력!X:X,팀수비력!A:A,B638,팀수비력!B:B,D638))))*100,"")</f>
        <v>2.2977941176470589</v>
      </c>
      <c r="BJ638" s="67">
        <f>IFERROR(((AI638*(12000/5))/((F638*60+G638)*(SUMIFS(팀공격력!V:V,팀공격력!A:A,B638,팀공격력!B:B,D638)+SUMIFS(팀수비력!W:W,팀수비력!A:A,B638,팀수비력!B:B,D638))))*100,"")</f>
        <v>36.808894230769226</v>
      </c>
      <c r="BK638" s="67">
        <f>IFERROR(((AE638*(12000/5))/((F638*60+G638)*(SUMIFS(팀공격력!X:X,팀공격력!A:A,B638,팀공격력!B:B,D638)+SUMIFS(팀수비력!X:X,팀수비력!A:A,B638,팀수비력!B:B,D638))))*100,"")</f>
        <v>18.382352941176471</v>
      </c>
      <c r="BL638" s="67">
        <f>IFERROR(100*AK638/(((((F638*60+G638)/(12000/5))*SUMIFS(팀공격력!P:P,팀공격력!A:A,B638,팀공격력!B:B,D638))-K638)),"")</f>
        <v>22.085653927405414</v>
      </c>
      <c r="BM638" s="67">
        <f>IFERROR(100*((AM638/E638*(2400))/((F638*60+G638)*SUMIFS(팀공격력!AR:AR,팀공격력!A:A,B638,팀공격력!B:B,D638))),"")</f>
        <v>1.6836537864611509</v>
      </c>
      <c r="BN638" s="67">
        <f>IFERROR((AO638*40)/(((F638*60+G638)/60)*(SUMIFS(팀수비력!Q:Q,팀수비력!A:A,B638,팀수비력!B:B,D638)-SUMIFS(팀수비력!N:N,팀수비력!A:A,B638,팀수비력!B:B,D638)))*100,"")</f>
        <v>1.353204387990762</v>
      </c>
      <c r="BO638" s="67">
        <f t="shared" si="321"/>
        <v>11.854824001459056</v>
      </c>
      <c r="BT638" t="s">
        <v>96</v>
      </c>
      <c r="BV638" t="s">
        <v>93</v>
      </c>
      <c r="CF638">
        <v>7</v>
      </c>
      <c r="CG638">
        <v>3</v>
      </c>
    </row>
    <row r="639" spans="1:85" x14ac:dyDescent="0.4">
      <c r="A639" s="11" t="s">
        <v>85</v>
      </c>
      <c r="B639" t="s">
        <v>263</v>
      </c>
      <c r="C639" t="s">
        <v>273</v>
      </c>
      <c r="D639" s="46" t="s">
        <v>309</v>
      </c>
      <c r="E639">
        <v>6</v>
      </c>
      <c r="F639">
        <v>6</v>
      </c>
      <c r="G639" s="1">
        <v>2</v>
      </c>
      <c r="H639" s="16">
        <f t="shared" si="296"/>
        <v>2172</v>
      </c>
      <c r="I639">
        <v>9</v>
      </c>
      <c r="J639" s="17">
        <f t="shared" si="297"/>
        <v>1.5</v>
      </c>
      <c r="K639">
        <v>4</v>
      </c>
      <c r="L639">
        <v>13</v>
      </c>
      <c r="M639" s="17">
        <f t="shared" si="298"/>
        <v>0.66666666666666663</v>
      </c>
      <c r="N639" s="17">
        <f t="shared" si="299"/>
        <v>2.1666666666666665</v>
      </c>
      <c r="O639" s="18">
        <f t="shared" si="300"/>
        <v>0.30769230769230771</v>
      </c>
      <c r="P639">
        <v>3</v>
      </c>
      <c r="Q639">
        <v>9</v>
      </c>
      <c r="R639" s="17">
        <f t="shared" si="301"/>
        <v>0.5</v>
      </c>
      <c r="S639" s="17">
        <f t="shared" si="302"/>
        <v>1.5</v>
      </c>
      <c r="T639" s="18">
        <f t="shared" si="303"/>
        <v>0.33333333333333331</v>
      </c>
      <c r="U639">
        <v>1</v>
      </c>
      <c r="V639">
        <v>4</v>
      </c>
      <c r="W639" s="17">
        <f t="shared" si="304"/>
        <v>0.16666666666666666</v>
      </c>
      <c r="X639" s="17">
        <f t="shared" si="305"/>
        <v>0.66666666666666663</v>
      </c>
      <c r="Y639" s="18">
        <f t="shared" si="306"/>
        <v>0.25</v>
      </c>
      <c r="Z639">
        <v>0</v>
      </c>
      <c r="AA639">
        <v>0</v>
      </c>
      <c r="AB639" s="17">
        <f t="shared" si="307"/>
        <v>0</v>
      </c>
      <c r="AC639" s="17">
        <f t="shared" si="308"/>
        <v>0</v>
      </c>
      <c r="AD639" s="18" t="e">
        <f t="shared" si="309"/>
        <v>#DIV/0!</v>
      </c>
      <c r="AE639">
        <v>4</v>
      </c>
      <c r="AF639" s="17">
        <f t="shared" si="310"/>
        <v>0.66666666666666663</v>
      </c>
      <c r="AG639">
        <v>3</v>
      </c>
      <c r="AH639" s="17">
        <f t="shared" si="311"/>
        <v>0.5</v>
      </c>
      <c r="AI639">
        <v>1</v>
      </c>
      <c r="AJ639" s="17">
        <f t="shared" si="312"/>
        <v>0.16666666666666666</v>
      </c>
      <c r="AK639">
        <v>1</v>
      </c>
      <c r="AL639" s="17">
        <f t="shared" si="313"/>
        <v>0.16666666666666666</v>
      </c>
      <c r="AM639">
        <v>1</v>
      </c>
      <c r="AN639" s="17">
        <f t="shared" si="314"/>
        <v>0.16666666666666666</v>
      </c>
      <c r="AO639">
        <v>0</v>
      </c>
      <c r="AQ639">
        <v>3</v>
      </c>
      <c r="AR639" s="17">
        <f t="shared" si="315"/>
        <v>0.5</v>
      </c>
      <c r="AS639">
        <v>4</v>
      </c>
      <c r="AT639" s="17">
        <f t="shared" si="316"/>
        <v>0.66666666666666663</v>
      </c>
      <c r="BD639" s="65">
        <f t="shared" si="317"/>
        <v>34.615384615384613</v>
      </c>
      <c r="BE639" s="65">
        <f t="shared" si="318"/>
        <v>34.615384615384613</v>
      </c>
      <c r="BF639" s="66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12.283157487991934</v>
      </c>
      <c r="BG639" s="38">
        <f t="shared" si="319"/>
        <v>0.30769230769230771</v>
      </c>
      <c r="BH639" s="38">
        <f t="shared" si="320"/>
        <v>0</v>
      </c>
      <c r="BI639" s="67">
        <f>IFERROR(((AG639*(12000/5))/((F639*60+G639)*(SUMIFS(팀공격력!X:X,팀공격력!A:A,B639,팀공격력!B:B,D639)+SUMIFS(팀수비력!X:X,팀수비력!A:A,B639,팀수비력!B:B,D639))))*100,"")</f>
        <v>2.7856446445981708</v>
      </c>
      <c r="BJ639" s="67">
        <f>IFERROR(((AI639*(12000/5))/((F639*60+G639)*(SUMIFS(팀공격력!V:V,팀공격력!A:A,B639,팀공격력!B:B,D639)+SUMIFS(팀수비력!W:W,팀수비력!A:A,B639,팀수비력!B:B,D639))))*100,"")</f>
        <v>2.1249468763280919</v>
      </c>
      <c r="BK639" s="67">
        <f>IFERROR(((AE639*(12000/5))/((F639*60+G639)*(SUMIFS(팀공격력!X:X,팀공격력!A:A,B639,팀공격력!B:B,D639)+SUMIFS(팀수비력!X:X,팀수비력!A:A,B639,팀수비력!B:B,D639))))*100,"")</f>
        <v>3.7141928594642279</v>
      </c>
      <c r="BL639" s="67">
        <f>IFERROR(100*AK639/(((((F639*60+G639)/(12000/5))*SUMIFS(팀공격력!P:P,팀공격력!A:A,B639,팀공격력!B:B,D639))-K639)),"")</f>
        <v>2.1216782474937674</v>
      </c>
      <c r="BM639" s="67">
        <f>IFERROR(100*((AM639/E639*(2400))/((F639*60+G639)*SUMIFS(팀공격력!AR:AR,팀공격력!A:A,B639,팀공격력!B:B,D639))),"")</f>
        <v>1.322944657256153</v>
      </c>
      <c r="BN639" s="67">
        <f>IFERROR((AO639*40)/(((F639*60+G639)/60)*(SUMIFS(팀수비력!Q:Q,팀수비력!A:A,B639,팀수비력!B:B,D639)-SUMIFS(팀수비력!N:N,팀수비력!A:A,B639,팀수비력!B:B,D639)))*100,"")</f>
        <v>0</v>
      </c>
      <c r="BO639" s="67">
        <f t="shared" si="321"/>
        <v>18.75</v>
      </c>
      <c r="BT639" t="s">
        <v>89</v>
      </c>
      <c r="BV639" t="s">
        <v>90</v>
      </c>
      <c r="CF639">
        <v>6</v>
      </c>
      <c r="CG639">
        <v>0</v>
      </c>
    </row>
    <row r="640" spans="1:85" x14ac:dyDescent="0.4">
      <c r="A640" s="11" t="s">
        <v>85</v>
      </c>
      <c r="B640" t="s">
        <v>263</v>
      </c>
      <c r="C640" t="s">
        <v>274</v>
      </c>
      <c r="D640" s="46" t="s">
        <v>309</v>
      </c>
      <c r="E640">
        <v>10</v>
      </c>
      <c r="F640">
        <v>16</v>
      </c>
      <c r="G640" s="1">
        <v>23</v>
      </c>
      <c r="H640" s="16">
        <f t="shared" si="296"/>
        <v>9830</v>
      </c>
      <c r="I640">
        <v>49</v>
      </c>
      <c r="J640" s="17">
        <f t="shared" si="297"/>
        <v>4.9000000000000004</v>
      </c>
      <c r="K640">
        <v>19</v>
      </c>
      <c r="L640">
        <v>41</v>
      </c>
      <c r="M640" s="17">
        <f t="shared" si="298"/>
        <v>1.9</v>
      </c>
      <c r="N640" s="17">
        <f t="shared" si="299"/>
        <v>4.0999999999999996</v>
      </c>
      <c r="O640" s="18">
        <f t="shared" si="300"/>
        <v>0.46341463414634149</v>
      </c>
      <c r="P640">
        <v>11</v>
      </c>
      <c r="Q640">
        <v>18</v>
      </c>
      <c r="R640" s="17">
        <f t="shared" si="301"/>
        <v>1.1000000000000001</v>
      </c>
      <c r="S640" s="17">
        <f t="shared" si="302"/>
        <v>1.8</v>
      </c>
      <c r="T640" s="18">
        <f t="shared" si="303"/>
        <v>0.61111111111111116</v>
      </c>
      <c r="U640">
        <v>8</v>
      </c>
      <c r="V640">
        <v>23</v>
      </c>
      <c r="W640" s="17">
        <f t="shared" si="304"/>
        <v>0.8</v>
      </c>
      <c r="X640" s="17">
        <f t="shared" si="305"/>
        <v>2.2999999999999998</v>
      </c>
      <c r="Y640" s="18">
        <f t="shared" si="306"/>
        <v>0.34782608695652173</v>
      </c>
      <c r="Z640">
        <v>3</v>
      </c>
      <c r="AA640">
        <v>4</v>
      </c>
      <c r="AB640" s="17">
        <f t="shared" si="307"/>
        <v>0.3</v>
      </c>
      <c r="AC640" s="17">
        <f t="shared" si="308"/>
        <v>0.4</v>
      </c>
      <c r="AD640" s="18">
        <f t="shared" si="309"/>
        <v>0.75</v>
      </c>
      <c r="AE640">
        <v>16</v>
      </c>
      <c r="AF640" s="17">
        <f t="shared" si="310"/>
        <v>1.6</v>
      </c>
      <c r="AG640">
        <v>7</v>
      </c>
      <c r="AH640" s="17">
        <f t="shared" si="311"/>
        <v>0.7</v>
      </c>
      <c r="AI640">
        <v>9</v>
      </c>
      <c r="AJ640" s="17">
        <f t="shared" si="312"/>
        <v>0.9</v>
      </c>
      <c r="AK640">
        <v>8</v>
      </c>
      <c r="AL640" s="17">
        <f t="shared" si="313"/>
        <v>0.8</v>
      </c>
      <c r="AM640">
        <v>3</v>
      </c>
      <c r="AN640" s="17">
        <f t="shared" si="314"/>
        <v>0.3</v>
      </c>
      <c r="AO640">
        <v>1</v>
      </c>
      <c r="AQ640">
        <v>2</v>
      </c>
      <c r="AR640" s="17">
        <f t="shared" si="315"/>
        <v>0.2</v>
      </c>
      <c r="AS640">
        <v>22</v>
      </c>
      <c r="AT640" s="17">
        <f t="shared" si="316"/>
        <v>2.2000000000000002</v>
      </c>
      <c r="BD640" s="65">
        <f t="shared" si="317"/>
        <v>57.296538821328348</v>
      </c>
      <c r="BE640" s="65">
        <f t="shared" si="318"/>
        <v>56.09756097560976</v>
      </c>
      <c r="BF640" s="66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12.654213807021353</v>
      </c>
      <c r="BG640" s="38">
        <f t="shared" si="319"/>
        <v>0.56097560975609762</v>
      </c>
      <c r="BH640" s="38">
        <f t="shared" si="320"/>
        <v>9.7560975609756101E-2</v>
      </c>
      <c r="BI640" s="67">
        <f>IFERROR(((AG640*(12000/5))/((F640*60+G640)*(SUMIFS(팀공격력!X:X,팀공격력!A:A,B640,팀공격력!B:B,D640)+SUMIFS(팀수비력!X:X,팀수비력!A:A,B640,팀수비력!B:B,D640))))*100,"")</f>
        <v>2.3936329363892046</v>
      </c>
      <c r="BJ640" s="67">
        <f>IFERROR(((AI640*(12000/5))/((F640*60+G640)*(SUMIFS(팀공격력!V:V,팀공격력!A:A,B640,팀공격력!B:B,D640)+SUMIFS(팀수비력!W:W,팀수비력!A:A,B640,팀수비력!B:B,D640))))*100,"")</f>
        <v>7.0428046012990064</v>
      </c>
      <c r="BK640" s="67">
        <f>IFERROR(((AE640*(12000/5))/((F640*60+G640)*(SUMIFS(팀공격력!X:X,팀공격력!A:A,B640,팀공격력!B:B,D640)+SUMIFS(팀수비력!X:X,팀수비력!A:A,B640,팀수비력!B:B,D640))))*100,"")</f>
        <v>5.4711609974610393</v>
      </c>
      <c r="BL640" s="67">
        <f>IFERROR(100*AK640/(((((F640*60+G640)/(12000/5))*SUMIFS(팀공격력!P:P,팀공격력!A:A,B640,팀공격력!B:B,D640))-K640)),"")</f>
        <v>6.6750800488115232</v>
      </c>
      <c r="BM640" s="67">
        <f>IFERROR(100*((AM640/E640*(2400))/((F640*60+G640)*SUMIFS(팀공격력!AR:AR,팀공격력!A:A,B640,팀공격력!B:B,D640))),"")</f>
        <v>0.87693869650875811</v>
      </c>
      <c r="BN640" s="67">
        <f>IFERROR((AO640*40)/(((F640*60+G640)/60)*(SUMIFS(팀수비력!Q:Q,팀수비력!A:A,B640,팀수비력!B:B,D640)-SUMIFS(팀수비력!N:N,팀수비력!A:A,B640,팀수비력!B:B,D640)))*100,"")</f>
        <v>0.56385810510784962</v>
      </c>
      <c r="BO640" s="67">
        <f t="shared" si="321"/>
        <v>4.4682752457551391</v>
      </c>
      <c r="BT640" t="s">
        <v>89</v>
      </c>
      <c r="BV640" t="s">
        <v>93</v>
      </c>
      <c r="CF640">
        <v>7</v>
      </c>
      <c r="CG640">
        <v>3</v>
      </c>
    </row>
    <row r="641" spans="1:85" x14ac:dyDescent="0.4">
      <c r="A641" s="11" t="s">
        <v>85</v>
      </c>
      <c r="B641" t="s">
        <v>263</v>
      </c>
      <c r="C641" t="s">
        <v>276</v>
      </c>
      <c r="D641" s="46" t="s">
        <v>309</v>
      </c>
      <c r="E641">
        <v>8</v>
      </c>
      <c r="F641">
        <v>8</v>
      </c>
      <c r="G641" s="1">
        <v>47</v>
      </c>
      <c r="H641" s="16">
        <f t="shared" si="296"/>
        <v>4216</v>
      </c>
      <c r="I641">
        <v>18</v>
      </c>
      <c r="J641" s="17">
        <f t="shared" si="297"/>
        <v>2.25</v>
      </c>
      <c r="K641">
        <v>8</v>
      </c>
      <c r="L641">
        <v>21</v>
      </c>
      <c r="M641" s="17">
        <f t="shared" si="298"/>
        <v>1</v>
      </c>
      <c r="N641" s="17">
        <f t="shared" si="299"/>
        <v>2.625</v>
      </c>
      <c r="O641" s="18">
        <f t="shared" si="300"/>
        <v>0.38095238095238093</v>
      </c>
      <c r="P641">
        <v>6</v>
      </c>
      <c r="Q641">
        <v>9</v>
      </c>
      <c r="R641" s="17">
        <f t="shared" si="301"/>
        <v>0.75</v>
      </c>
      <c r="S641" s="17">
        <f t="shared" si="302"/>
        <v>1.125</v>
      </c>
      <c r="T641" s="18">
        <f t="shared" si="303"/>
        <v>0.66666666666666663</v>
      </c>
      <c r="U641">
        <v>2</v>
      </c>
      <c r="V641">
        <v>12</v>
      </c>
      <c r="W641" s="17">
        <f t="shared" si="304"/>
        <v>0.25</v>
      </c>
      <c r="X641" s="17">
        <f t="shared" si="305"/>
        <v>1.5</v>
      </c>
      <c r="Y641" s="18">
        <f t="shared" si="306"/>
        <v>0.16666666666666666</v>
      </c>
      <c r="Z641">
        <v>0</v>
      </c>
      <c r="AA641">
        <v>2</v>
      </c>
      <c r="AB641" s="17">
        <f t="shared" si="307"/>
        <v>0</v>
      </c>
      <c r="AC641" s="17">
        <f t="shared" si="308"/>
        <v>0.25</v>
      </c>
      <c r="AD641" s="18">
        <f t="shared" si="309"/>
        <v>0</v>
      </c>
      <c r="AE641">
        <v>5</v>
      </c>
      <c r="AF641" s="17">
        <f t="shared" si="310"/>
        <v>0.625</v>
      </c>
      <c r="AG641">
        <v>1</v>
      </c>
      <c r="AH641" s="17">
        <f t="shared" si="311"/>
        <v>0.125</v>
      </c>
      <c r="AI641">
        <v>4</v>
      </c>
      <c r="AJ641" s="17">
        <f t="shared" si="312"/>
        <v>0.5</v>
      </c>
      <c r="AK641">
        <v>3</v>
      </c>
      <c r="AL641" s="17">
        <f t="shared" si="313"/>
        <v>0.375</v>
      </c>
      <c r="AM641">
        <v>0</v>
      </c>
      <c r="AN641" s="17">
        <f t="shared" si="314"/>
        <v>0</v>
      </c>
      <c r="AO641">
        <v>1</v>
      </c>
      <c r="AQ641">
        <v>2</v>
      </c>
      <c r="AR641" s="17">
        <f t="shared" si="315"/>
        <v>0.25</v>
      </c>
      <c r="AS641">
        <v>10</v>
      </c>
      <c r="AT641" s="17">
        <f t="shared" si="316"/>
        <v>1.25</v>
      </c>
      <c r="BD641" s="65">
        <f t="shared" si="317"/>
        <v>41.133455210237663</v>
      </c>
      <c r="BE641" s="65">
        <f t="shared" si="318"/>
        <v>42.857142857142854</v>
      </c>
      <c r="BF641" s="66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12.592800272105734</v>
      </c>
      <c r="BG641" s="38">
        <f t="shared" si="319"/>
        <v>0.5714285714285714</v>
      </c>
      <c r="BH641" s="38">
        <f t="shared" si="320"/>
        <v>9.5238095238095233E-2</v>
      </c>
      <c r="BI641" s="67">
        <f>IFERROR(((AG641*(12000/5))/((F641*60+G641)*(SUMIFS(팀공격력!X:X,팀공격력!A:A,B641,팀공격력!B:B,D641)+SUMIFS(팀수비력!X:X,팀수비력!A:A,B641,팀수비력!B:B,D641))))*100,"")</f>
        <v>0.63782628801046037</v>
      </c>
      <c r="BJ641" s="67">
        <f>IFERROR(((AI641*(12000/5))/((F641*60+G641)*(SUMIFS(팀공격력!V:V,팀공격력!A:A,B641,팀공격력!B:B,D641)+SUMIFS(팀수비력!W:W,팀수비력!A:A,B641,팀수비력!B:B,D641))))*100,"")</f>
        <v>5.8385637133265211</v>
      </c>
      <c r="BK641" s="67">
        <f>IFERROR(((AE641*(12000/5))/((F641*60+G641)*(SUMIFS(팀공격력!X:X,팀공격력!A:A,B641,팀공격력!B:B,D641)+SUMIFS(팀수비력!X:X,팀수비력!A:A,B641,팀수비력!B:B,D641))))*100,"")</f>
        <v>3.1891314400523014</v>
      </c>
      <c r="BL641" s="67">
        <f>IFERROR(100*AK641/(((((F641*60+G641)/(12000/5))*SUMIFS(팀공격력!P:P,팀공격력!A:A,B641,팀공격력!B:B,D641))-K641)),"")</f>
        <v>4.5154371507591575</v>
      </c>
      <c r="BM641" s="67">
        <f>IFERROR(100*((AM641/E641*(2400))/((F641*60+G641)*SUMIFS(팀공격력!AR:AR,팀공격력!A:A,B641,팀공격력!B:B,D641))),"")</f>
        <v>0</v>
      </c>
      <c r="BN641" s="67">
        <f>IFERROR((AO641*40)/(((F641*60+G641)/60)*(SUMIFS(팀수비력!Q:Q,팀수비력!A:A,B641,팀수비력!B:B,D641)-SUMIFS(팀수비력!N:N,팀수비력!A:A,B641,팀수비력!B:B,D641)))*100,"")</f>
        <v>1.0517505072505051</v>
      </c>
      <c r="BO641" s="67">
        <f t="shared" si="321"/>
        <v>8.3752093802345069</v>
      </c>
      <c r="BT641" t="s">
        <v>89</v>
      </c>
      <c r="BV641" t="s">
        <v>93</v>
      </c>
      <c r="CF641">
        <v>7</v>
      </c>
      <c r="CG641">
        <v>1</v>
      </c>
    </row>
    <row r="642" spans="1:85" x14ac:dyDescent="0.4">
      <c r="A642" s="11" t="s">
        <v>85</v>
      </c>
      <c r="B642" t="s">
        <v>263</v>
      </c>
      <c r="C642" t="s">
        <v>277</v>
      </c>
      <c r="D642" s="46" t="s">
        <v>309</v>
      </c>
      <c r="E642">
        <v>2</v>
      </c>
      <c r="F642">
        <v>5</v>
      </c>
      <c r="G642" s="1">
        <v>20</v>
      </c>
      <c r="H642" s="16">
        <f t="shared" ref="H642:H705" si="322">(F642*60+G642)*E642</f>
        <v>640</v>
      </c>
      <c r="I642">
        <v>0</v>
      </c>
      <c r="J642" s="17">
        <f t="shared" ref="J642:J705" si="323">I642/$E642</f>
        <v>0</v>
      </c>
      <c r="K642">
        <v>0</v>
      </c>
      <c r="L642">
        <v>0</v>
      </c>
      <c r="M642" s="17">
        <f t="shared" ref="M642:M705" si="324">K642/$E642</f>
        <v>0</v>
      </c>
      <c r="N642" s="17">
        <f t="shared" ref="N642:N705" si="325">L642/$E642</f>
        <v>0</v>
      </c>
      <c r="O642" s="18" t="e">
        <f t="shared" ref="O642:O705" si="326">K642/L642</f>
        <v>#DIV/0!</v>
      </c>
      <c r="P642">
        <v>0</v>
      </c>
      <c r="Q642">
        <v>0</v>
      </c>
      <c r="R642" s="17">
        <f t="shared" ref="R642:R705" si="327">P642/$E642</f>
        <v>0</v>
      </c>
      <c r="S642" s="17">
        <f t="shared" ref="S642:S705" si="328">Q642/$E642</f>
        <v>0</v>
      </c>
      <c r="T642" s="18" t="e">
        <f t="shared" ref="T642:T705" si="329">P642/Q642</f>
        <v>#DIV/0!</v>
      </c>
      <c r="U642">
        <v>0</v>
      </c>
      <c r="V642">
        <v>0</v>
      </c>
      <c r="W642" s="17">
        <f t="shared" ref="W642:W705" si="330">U642/$E642</f>
        <v>0</v>
      </c>
      <c r="X642" s="17">
        <f t="shared" ref="X642:X705" si="331">V642/$E642</f>
        <v>0</v>
      </c>
      <c r="Y642" s="18" t="e">
        <f t="shared" ref="Y642:Y705" si="332">U642/V642</f>
        <v>#DIV/0!</v>
      </c>
      <c r="Z642">
        <v>0</v>
      </c>
      <c r="AA642">
        <v>0</v>
      </c>
      <c r="AB642" s="17">
        <f t="shared" ref="AB642:AB705" si="333">Z642/$E642</f>
        <v>0</v>
      </c>
      <c r="AC642" s="17">
        <f t="shared" ref="AC642:AC705" si="334">AA642/$E642</f>
        <v>0</v>
      </c>
      <c r="AD642" s="18" t="e">
        <f t="shared" ref="AD642:AD705" si="335">Z642/AA642</f>
        <v>#DIV/0!</v>
      </c>
      <c r="AE642">
        <v>0</v>
      </c>
      <c r="AF642" s="17">
        <f t="shared" ref="AF642:AF705" si="336">AE642/$E642</f>
        <v>0</v>
      </c>
      <c r="AG642">
        <v>0</v>
      </c>
      <c r="AH642" s="17">
        <f t="shared" ref="AH642:AH705" si="337">AG642/$E642</f>
        <v>0</v>
      </c>
      <c r="AI642">
        <v>0</v>
      </c>
      <c r="AJ642" s="17">
        <f t="shared" ref="AJ642:AJ705" si="338">AI642/$E642</f>
        <v>0</v>
      </c>
      <c r="AK642">
        <v>2</v>
      </c>
      <c r="AL642" s="17">
        <f t="shared" ref="AL642:AL705" si="339">AK642/$E642</f>
        <v>1</v>
      </c>
      <c r="AM642">
        <v>0</v>
      </c>
      <c r="AN642" s="17">
        <f t="shared" ref="AN642:AN705" si="340">AM642/$E642</f>
        <v>0</v>
      </c>
      <c r="AO642">
        <v>0</v>
      </c>
      <c r="AQ642">
        <v>0</v>
      </c>
      <c r="AR642" s="17">
        <f t="shared" ref="AR642:AR705" si="341">AQ642/$E642</f>
        <v>0</v>
      </c>
      <c r="AS642">
        <v>0</v>
      </c>
      <c r="AT642" s="17">
        <f t="shared" ref="AT642:AT705" si="342">AS642/$E642</f>
        <v>0</v>
      </c>
      <c r="BD642" s="65" t="str">
        <f t="shared" ref="BD642:BD705" si="343">IFERROR((I642/(2*(L642+(0.44*AA642))))*100,"")</f>
        <v/>
      </c>
      <c r="BE642" s="65" t="str">
        <f t="shared" ref="BE642:BE705" si="344">IFERROR(((P642+(1.5*U642))/L642)*100,"")</f>
        <v/>
      </c>
      <c r="BF642" s="66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0</v>
      </c>
      <c r="BG642" s="38" t="str">
        <f t="shared" ref="BG642:BG705" si="345">IFERROR(V642/L642,"")</f>
        <v/>
      </c>
      <c r="BH642" s="38" t="str">
        <f t="shared" ref="BH642:BH705" si="346">IFERROR(AA642/L642,"")</f>
        <v/>
      </c>
      <c r="BI642" s="67">
        <f>IFERROR(((AG642*(12000/5))/((F642*60+G642)*(SUMIFS(팀공격력!X:X,팀공격력!A:A,B642,팀공격력!B:B,D642)+SUMIFS(팀수비력!X:X,팀수비력!A:A,B642,팀수비력!B:B,D642))))*100,"")</f>
        <v>0</v>
      </c>
      <c r="BJ642" s="67">
        <f>IFERROR(((AI642*(12000/5))/((F642*60+G642)*(SUMIFS(팀공격력!V:V,팀공격력!A:A,B642,팀공격력!B:B,D642)+SUMIFS(팀수비력!W:W,팀수비력!A:A,B642,팀수비력!B:B,D642))))*100,"")</f>
        <v>0</v>
      </c>
      <c r="BK642" s="67">
        <f>IFERROR(((AE642*(12000/5))/((F642*60+G642)*(SUMIFS(팀공격력!X:X,팀공격력!A:A,B642,팀공격력!B:B,D642)+SUMIFS(팀수비력!X:X,팀수비력!A:A,B642,팀수비력!B:B,D642))))*100,"")</f>
        <v>0</v>
      </c>
      <c r="BL642" s="67">
        <f>IFERROR(100*AK642/(((((F642*60+G642)/(12000/5))*SUMIFS(팀공격력!P:P,팀공격력!A:A,B642,팀공격력!B:B,D642))-K642)),"")</f>
        <v>4.4247787610619467</v>
      </c>
      <c r="BM642" s="67">
        <f>IFERROR(100*((AM642/E642*(2400))/((F642*60+G642)*SUMIFS(팀공격력!AR:AR,팀공격력!A:A,B642,팀공격력!B:B,D642))),"")</f>
        <v>0</v>
      </c>
      <c r="BN642" s="67">
        <f>IFERROR((AO642*40)/(((F642*60+G642)/60)*(SUMIFS(팀수비력!Q:Q,팀수비력!A:A,B642,팀수비력!B:B,D642)-SUMIFS(팀수비력!N:N,팀수비력!A:A,B642,팀수비력!B:B,D642)))*100,"")</f>
        <v>0</v>
      </c>
      <c r="BO642" s="67" t="str">
        <f t="shared" ref="BO642:BO705" si="347">IFERROR(100*AQ642/(L642+0.44*AA642+AQ642),"")</f>
        <v/>
      </c>
      <c r="BT642" t="s">
        <v>89</v>
      </c>
      <c r="BV642" t="s">
        <v>90</v>
      </c>
      <c r="CF642">
        <v>0</v>
      </c>
      <c r="CG642">
        <v>2</v>
      </c>
    </row>
    <row r="643" spans="1:85" x14ac:dyDescent="0.4">
      <c r="A643" s="11" t="s">
        <v>85</v>
      </c>
      <c r="B643" t="s">
        <v>263</v>
      </c>
      <c r="C643" t="s">
        <v>278</v>
      </c>
      <c r="D643" s="46" t="s">
        <v>309</v>
      </c>
      <c r="E643">
        <v>10</v>
      </c>
      <c r="F643">
        <v>32</v>
      </c>
      <c r="G643" s="1">
        <v>27</v>
      </c>
      <c r="H643" s="16">
        <f t="shared" si="322"/>
        <v>19470</v>
      </c>
      <c r="I643">
        <v>160</v>
      </c>
      <c r="J643" s="17">
        <f t="shared" si="323"/>
        <v>16</v>
      </c>
      <c r="K643">
        <v>60</v>
      </c>
      <c r="L643">
        <v>113</v>
      </c>
      <c r="M643" s="17">
        <f t="shared" si="324"/>
        <v>6</v>
      </c>
      <c r="N643" s="17">
        <f t="shared" si="325"/>
        <v>11.3</v>
      </c>
      <c r="O643" s="18">
        <f t="shared" si="326"/>
        <v>0.53097345132743368</v>
      </c>
      <c r="P643">
        <v>41</v>
      </c>
      <c r="Q643">
        <v>78</v>
      </c>
      <c r="R643" s="17">
        <f t="shared" si="327"/>
        <v>4.0999999999999996</v>
      </c>
      <c r="S643" s="17">
        <f t="shared" si="328"/>
        <v>7.8</v>
      </c>
      <c r="T643" s="18">
        <f t="shared" si="329"/>
        <v>0.52564102564102566</v>
      </c>
      <c r="U643">
        <v>19</v>
      </c>
      <c r="V643">
        <v>35</v>
      </c>
      <c r="W643" s="17">
        <f t="shared" si="330"/>
        <v>1.9</v>
      </c>
      <c r="X643" s="17">
        <f t="shared" si="331"/>
        <v>3.5</v>
      </c>
      <c r="Y643" s="18">
        <f t="shared" si="332"/>
        <v>0.54285714285714282</v>
      </c>
      <c r="Z643">
        <v>21</v>
      </c>
      <c r="AA643">
        <v>30</v>
      </c>
      <c r="AB643" s="17">
        <f t="shared" si="333"/>
        <v>2.1</v>
      </c>
      <c r="AC643" s="17">
        <f t="shared" si="334"/>
        <v>3</v>
      </c>
      <c r="AD643" s="18">
        <f t="shared" si="335"/>
        <v>0.7</v>
      </c>
      <c r="AE643">
        <v>34</v>
      </c>
      <c r="AF643" s="17">
        <f t="shared" si="336"/>
        <v>3.4</v>
      </c>
      <c r="AG643">
        <v>7</v>
      </c>
      <c r="AH643" s="17">
        <f t="shared" si="337"/>
        <v>0.7</v>
      </c>
      <c r="AI643">
        <v>27</v>
      </c>
      <c r="AJ643" s="17">
        <f t="shared" si="338"/>
        <v>2.7</v>
      </c>
      <c r="AK643">
        <v>51</v>
      </c>
      <c r="AL643" s="17">
        <f t="shared" si="339"/>
        <v>5.0999999999999996</v>
      </c>
      <c r="AM643">
        <v>20</v>
      </c>
      <c r="AN643" s="17">
        <f t="shared" si="340"/>
        <v>2</v>
      </c>
      <c r="AO643">
        <v>0</v>
      </c>
      <c r="AQ643">
        <v>21</v>
      </c>
      <c r="AR643" s="17">
        <f t="shared" si="341"/>
        <v>2.1</v>
      </c>
      <c r="AS643">
        <v>24</v>
      </c>
      <c r="AT643" s="17">
        <f t="shared" si="342"/>
        <v>2.4</v>
      </c>
      <c r="BD643" s="65">
        <f t="shared" si="343"/>
        <v>63.391442155309029</v>
      </c>
      <c r="BE643" s="65">
        <f t="shared" si="344"/>
        <v>61.504424778761056</v>
      </c>
      <c r="BF643" s="66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21.010697328201509</v>
      </c>
      <c r="BG643" s="38">
        <f t="shared" si="345"/>
        <v>0.30973451327433627</v>
      </c>
      <c r="BH643" s="38">
        <f t="shared" si="346"/>
        <v>0.26548672566371684</v>
      </c>
      <c r="BI643" s="67">
        <f>IFERROR(((AG643*(12000/5))/((F643*60+G643)*(SUMIFS(팀공격력!X:X,팀공격력!A:A,B643,팀공격력!B:B,D643)+SUMIFS(팀수비력!X:X,팀수비력!A:A,B643,팀수비력!B:B,D643))))*100,"")</f>
        <v>1.208495724946373</v>
      </c>
      <c r="BJ643" s="67">
        <f>IFERROR(((AI643*(12000/5))/((F643*60+G643)*(SUMIFS(팀공격력!V:V,팀공격력!A:A,B643,팀공격력!B:B,D643)+SUMIFS(팀수비력!W:W,팀수비력!A:A,B643,팀수비력!B:B,D643))))*100,"")</f>
        <v>10.667298802892024</v>
      </c>
      <c r="BK643" s="67">
        <f>IFERROR(((AE643*(12000/5))/((F643*60+G643)*(SUMIFS(팀공격력!X:X,팀공격력!A:A,B643,팀공격력!B:B,D643)+SUMIFS(팀수비력!X:X,팀수비력!A:A,B643,팀수비력!B:B,D643))))*100,"")</f>
        <v>5.8698363783109544</v>
      </c>
      <c r="BL643" s="67">
        <f>IFERROR(100*AK643/(((((F643*60+G643)/(12000/5))*SUMIFS(팀공격력!P:P,팀공격력!A:A,B643,팀공격력!B:B,D643))-K643)),"")</f>
        <v>23.71941329333589</v>
      </c>
      <c r="BM643" s="67">
        <f>IFERROR(100*((AM643/E643*(2400))/((F643*60+G643)*SUMIFS(팀공격력!AR:AR,팀공격력!A:A,B643,팀공격력!B:B,D643))),"")</f>
        <v>2.9516546436161937</v>
      </c>
      <c r="BN643" s="67">
        <f>IFERROR((AO643*40)/(((F643*60+G643)/60)*(SUMIFS(팀수비력!Q:Q,팀수비력!A:A,B643,팀수비력!B:B,D643)-SUMIFS(팀수비력!N:N,팀수비력!A:A,B643,팀수비력!B:B,D643)))*100,"")</f>
        <v>0</v>
      </c>
      <c r="BO643" s="67">
        <f t="shared" si="347"/>
        <v>14.266304347826088</v>
      </c>
      <c r="BT643" t="s">
        <v>113</v>
      </c>
      <c r="BV643" t="s">
        <v>90</v>
      </c>
      <c r="CF643">
        <v>7</v>
      </c>
      <c r="CG643">
        <v>3</v>
      </c>
    </row>
    <row r="644" spans="1:85" x14ac:dyDescent="0.4">
      <c r="A644" s="11" t="s">
        <v>85</v>
      </c>
      <c r="B644" t="s">
        <v>263</v>
      </c>
      <c r="C644" t="s">
        <v>279</v>
      </c>
      <c r="D644" s="46" t="s">
        <v>309</v>
      </c>
      <c r="E644">
        <v>3</v>
      </c>
      <c r="F644">
        <v>4</v>
      </c>
      <c r="G644" s="1">
        <v>7</v>
      </c>
      <c r="H644" s="16">
        <f t="shared" si="322"/>
        <v>741</v>
      </c>
      <c r="I644">
        <v>1</v>
      </c>
      <c r="J644" s="17">
        <f t="shared" si="323"/>
        <v>0.33333333333333331</v>
      </c>
      <c r="K644">
        <v>0</v>
      </c>
      <c r="L644">
        <v>2</v>
      </c>
      <c r="M644" s="17">
        <f t="shared" si="324"/>
        <v>0</v>
      </c>
      <c r="N644" s="17">
        <f t="shared" si="325"/>
        <v>0.66666666666666663</v>
      </c>
      <c r="O644" s="18">
        <f t="shared" si="326"/>
        <v>0</v>
      </c>
      <c r="P644">
        <v>0</v>
      </c>
      <c r="Q644">
        <v>0</v>
      </c>
      <c r="R644" s="17">
        <f t="shared" si="327"/>
        <v>0</v>
      </c>
      <c r="S644" s="17">
        <f t="shared" si="328"/>
        <v>0</v>
      </c>
      <c r="T644" s="18" t="e">
        <f t="shared" si="329"/>
        <v>#DIV/0!</v>
      </c>
      <c r="U644">
        <v>0</v>
      </c>
      <c r="V644">
        <v>2</v>
      </c>
      <c r="W644" s="17">
        <f t="shared" si="330"/>
        <v>0</v>
      </c>
      <c r="X644" s="17">
        <f t="shared" si="331"/>
        <v>0.66666666666666663</v>
      </c>
      <c r="Y644" s="18">
        <f t="shared" si="332"/>
        <v>0</v>
      </c>
      <c r="Z644">
        <v>1</v>
      </c>
      <c r="AA644">
        <v>2</v>
      </c>
      <c r="AB644" s="17">
        <f t="shared" si="333"/>
        <v>0.33333333333333331</v>
      </c>
      <c r="AC644" s="17">
        <f t="shared" si="334"/>
        <v>0.66666666666666663</v>
      </c>
      <c r="AD644" s="18">
        <f t="shared" si="335"/>
        <v>0.5</v>
      </c>
      <c r="AE644">
        <v>2</v>
      </c>
      <c r="AF644" s="17">
        <f t="shared" si="336"/>
        <v>0.66666666666666663</v>
      </c>
      <c r="AG644">
        <v>2</v>
      </c>
      <c r="AH644" s="17">
        <f t="shared" si="337"/>
        <v>0.66666666666666663</v>
      </c>
      <c r="AI644">
        <v>0</v>
      </c>
      <c r="AJ644" s="17">
        <f t="shared" si="338"/>
        <v>0</v>
      </c>
      <c r="AK644">
        <v>1</v>
      </c>
      <c r="AL644" s="17">
        <f t="shared" si="339"/>
        <v>0.33333333333333331</v>
      </c>
      <c r="AM644">
        <v>0</v>
      </c>
      <c r="AN644" s="17">
        <f t="shared" si="340"/>
        <v>0</v>
      </c>
      <c r="AO644">
        <v>0</v>
      </c>
      <c r="AQ644">
        <v>1</v>
      </c>
      <c r="AR644" s="17">
        <f t="shared" si="341"/>
        <v>0.33333333333333331</v>
      </c>
      <c r="AS644">
        <v>1</v>
      </c>
      <c r="AT644" s="17">
        <f t="shared" si="342"/>
        <v>0.33333333333333331</v>
      </c>
      <c r="BD644" s="65">
        <f t="shared" si="343"/>
        <v>17.361111111111111</v>
      </c>
      <c r="BE644" s="65">
        <f t="shared" si="344"/>
        <v>0</v>
      </c>
      <c r="BF644" s="66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4.3654938464913844</v>
      </c>
      <c r="BG644" s="38">
        <f t="shared" si="345"/>
        <v>1</v>
      </c>
      <c r="BH644" s="38">
        <f t="shared" si="346"/>
        <v>1</v>
      </c>
      <c r="BI644" s="67">
        <f>IFERROR(((AG644*(12000/5))/((F644*60+G644)*(SUMIFS(팀공격력!X:X,팀공격력!A:A,B644,팀공격력!B:B,D644)+SUMIFS(팀수비력!X:X,팀수비력!A:A,B644,팀수비력!B:B,D644))))*100,"")</f>
        <v>2.7217364678664988</v>
      </c>
      <c r="BJ644" s="67">
        <f>IFERROR(((AI644*(12000/5))/((F644*60+G644)*(SUMIFS(팀공격력!V:V,팀공격력!A:A,B644,팀공격력!B:B,D644)+SUMIFS(팀수비력!W:W,팀수비력!A:A,B644,팀수비력!B:B,D644))))*100,"")</f>
        <v>0</v>
      </c>
      <c r="BK644" s="67">
        <f>IFERROR(((AE644*(12000/5))/((F644*60+G644)*(SUMIFS(팀공격력!X:X,팀공격력!A:A,B644,팀공격력!B:B,D644)+SUMIFS(팀수비력!X:X,팀수비력!A:A,B644,팀수비력!B:B,D644))))*100,"")</f>
        <v>2.7217364678664988</v>
      </c>
      <c r="BL644" s="67">
        <f>IFERROR(100*AK644/(((((F644*60+G644)/(12000/5))*SUMIFS(팀공격력!P:P,팀공격력!A:A,B644,팀공격력!B:B,D644))-K644)),"")</f>
        <v>2.8662534484611801</v>
      </c>
      <c r="BM644" s="67">
        <f>IFERROR(100*((AM644/E644*(2400))/((F644*60+G644)*SUMIFS(팀공격력!AR:AR,팀공격력!A:A,B644,팀공격력!B:B,D644))),"")</f>
        <v>0</v>
      </c>
      <c r="BN644" s="67">
        <f>IFERROR((AO644*40)/(((F644*60+G644)/60)*(SUMIFS(팀수비력!Q:Q,팀수비력!A:A,B644,팀수비력!B:B,D644)-SUMIFS(팀수비력!N:N,팀수비력!A:A,B644,팀수비력!B:B,D644)))*100,"")</f>
        <v>0</v>
      </c>
      <c r="BO644" s="67">
        <f t="shared" si="347"/>
        <v>25.773195876288661</v>
      </c>
      <c r="BT644" t="s">
        <v>89</v>
      </c>
      <c r="BV644" t="s">
        <v>90</v>
      </c>
      <c r="CF644">
        <v>3</v>
      </c>
      <c r="CG644">
        <v>0</v>
      </c>
    </row>
    <row r="645" spans="1:85" x14ac:dyDescent="0.4">
      <c r="A645" s="11" t="s">
        <v>85</v>
      </c>
      <c r="B645" t="s">
        <v>263</v>
      </c>
      <c r="C645" t="s">
        <v>282</v>
      </c>
      <c r="D645" s="46" t="s">
        <v>309</v>
      </c>
      <c r="E645">
        <v>1</v>
      </c>
      <c r="F645">
        <v>0</v>
      </c>
      <c r="G645" s="1">
        <v>35</v>
      </c>
      <c r="H645" s="16">
        <f t="shared" si="322"/>
        <v>35</v>
      </c>
      <c r="I645">
        <v>0</v>
      </c>
      <c r="J645" s="17">
        <f t="shared" si="323"/>
        <v>0</v>
      </c>
      <c r="K645">
        <v>0</v>
      </c>
      <c r="L645">
        <v>0</v>
      </c>
      <c r="M645" s="17">
        <f t="shared" si="324"/>
        <v>0</v>
      </c>
      <c r="N645" s="17">
        <f t="shared" si="325"/>
        <v>0</v>
      </c>
      <c r="O645" s="18" t="e">
        <f t="shared" si="326"/>
        <v>#DIV/0!</v>
      </c>
      <c r="P645">
        <v>0</v>
      </c>
      <c r="Q645">
        <v>0</v>
      </c>
      <c r="R645" s="17">
        <f t="shared" si="327"/>
        <v>0</v>
      </c>
      <c r="S645" s="17">
        <f t="shared" si="328"/>
        <v>0</v>
      </c>
      <c r="T645" s="18" t="e">
        <f t="shared" si="329"/>
        <v>#DIV/0!</v>
      </c>
      <c r="U645">
        <v>0</v>
      </c>
      <c r="V645">
        <v>0</v>
      </c>
      <c r="W645" s="17">
        <f t="shared" si="330"/>
        <v>0</v>
      </c>
      <c r="X645" s="17">
        <f t="shared" si="331"/>
        <v>0</v>
      </c>
      <c r="Y645" s="18" t="e">
        <f t="shared" si="332"/>
        <v>#DIV/0!</v>
      </c>
      <c r="Z645">
        <v>0</v>
      </c>
      <c r="AA645">
        <v>0</v>
      </c>
      <c r="AB645" s="17">
        <f t="shared" si="333"/>
        <v>0</v>
      </c>
      <c r="AC645" s="17">
        <f t="shared" si="334"/>
        <v>0</v>
      </c>
      <c r="AD645" s="18" t="e">
        <f t="shared" si="335"/>
        <v>#DIV/0!</v>
      </c>
      <c r="AE645">
        <v>0</v>
      </c>
      <c r="AF645" s="17">
        <f t="shared" si="336"/>
        <v>0</v>
      </c>
      <c r="AG645">
        <v>0</v>
      </c>
      <c r="AH645" s="17">
        <f t="shared" si="337"/>
        <v>0</v>
      </c>
      <c r="AI645">
        <v>0</v>
      </c>
      <c r="AJ645" s="17">
        <f t="shared" si="338"/>
        <v>0</v>
      </c>
      <c r="AK645">
        <v>0</v>
      </c>
      <c r="AL645" s="17">
        <f t="shared" si="339"/>
        <v>0</v>
      </c>
      <c r="AM645">
        <v>0</v>
      </c>
      <c r="AN645" s="17">
        <f t="shared" si="340"/>
        <v>0</v>
      </c>
      <c r="AO645">
        <v>0</v>
      </c>
      <c r="AQ645">
        <v>0</v>
      </c>
      <c r="AR645" s="17">
        <f t="shared" si="341"/>
        <v>0</v>
      </c>
      <c r="AS645">
        <v>0</v>
      </c>
      <c r="AT645" s="17">
        <f t="shared" si="342"/>
        <v>0</v>
      </c>
      <c r="BD645" s="65" t="str">
        <f t="shared" si="343"/>
        <v/>
      </c>
      <c r="BE645" s="65" t="str">
        <f t="shared" si="344"/>
        <v/>
      </c>
      <c r="BF645" s="66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0</v>
      </c>
      <c r="BG645" s="38" t="str">
        <f t="shared" si="345"/>
        <v/>
      </c>
      <c r="BH645" s="38" t="str">
        <f t="shared" si="346"/>
        <v/>
      </c>
      <c r="BI645" s="67">
        <f>IFERROR(((AG645*(12000/5))/((F645*60+G645)*(SUMIFS(팀공격력!X:X,팀공격력!A:A,B645,팀공격력!B:B,D645)+SUMIFS(팀수비력!X:X,팀수비력!A:A,B645,팀수비력!B:B,D645))))*100,"")</f>
        <v>0</v>
      </c>
      <c r="BJ645" s="67">
        <f>IFERROR(((AI645*(12000/5))/((F645*60+G645)*(SUMIFS(팀공격력!V:V,팀공격력!A:A,B645,팀공격력!B:B,D645)+SUMIFS(팀수비력!W:W,팀수비력!A:A,B645,팀수비력!B:B,D645))))*100,"")</f>
        <v>0</v>
      </c>
      <c r="BK645" s="67">
        <f>IFERROR(((AE645*(12000/5))/((F645*60+G645)*(SUMIFS(팀공격력!X:X,팀공격력!A:A,B645,팀공격력!B:B,D645)+SUMIFS(팀수비력!X:X,팀수비력!A:A,B645,팀수비력!B:B,D645))))*100,"")</f>
        <v>0</v>
      </c>
      <c r="BL645" s="67">
        <f>IFERROR(100*AK645/(((((F645*60+G645)/(12000/5))*SUMIFS(팀공격력!P:P,팀공격력!A:A,B645,팀공격력!B:B,D645))-K645)),"")</f>
        <v>0</v>
      </c>
      <c r="BM645" s="67">
        <f>IFERROR(100*((AM645/E645*(2400))/((F645*60+G645)*SUMIFS(팀공격력!AR:AR,팀공격력!A:A,B645,팀공격력!B:B,D645))),"")</f>
        <v>0</v>
      </c>
      <c r="BN645" s="67">
        <f>IFERROR((AO645*40)/(((F645*60+G645)/60)*(SUMIFS(팀수비력!Q:Q,팀수비력!A:A,B645,팀수비력!B:B,D645)-SUMIFS(팀수비력!N:N,팀수비력!A:A,B645,팀수비력!B:B,D645)))*100,"")</f>
        <v>0</v>
      </c>
      <c r="BO645" s="67" t="str">
        <f t="shared" si="347"/>
        <v/>
      </c>
      <c r="BT645" t="s">
        <v>89</v>
      </c>
      <c r="BV645" t="s">
        <v>93</v>
      </c>
      <c r="CF645">
        <v>1</v>
      </c>
      <c r="CG645">
        <v>0</v>
      </c>
    </row>
    <row r="646" spans="1:85" x14ac:dyDescent="0.4">
      <c r="A646" s="11" t="s">
        <v>85</v>
      </c>
      <c r="B646" t="s">
        <v>263</v>
      </c>
      <c r="C646" t="s">
        <v>283</v>
      </c>
      <c r="D646" s="46" t="s">
        <v>309</v>
      </c>
      <c r="E646">
        <v>8</v>
      </c>
      <c r="F646">
        <v>6</v>
      </c>
      <c r="G646" s="1">
        <v>34</v>
      </c>
      <c r="H646" s="16">
        <f t="shared" si="322"/>
        <v>3152</v>
      </c>
      <c r="I646">
        <v>36</v>
      </c>
      <c r="J646" s="17">
        <f t="shared" si="323"/>
        <v>4.5</v>
      </c>
      <c r="K646">
        <v>15</v>
      </c>
      <c r="L646">
        <v>33</v>
      </c>
      <c r="M646" s="17">
        <f t="shared" si="324"/>
        <v>1.875</v>
      </c>
      <c r="N646" s="17">
        <f t="shared" si="325"/>
        <v>4.125</v>
      </c>
      <c r="O646" s="18">
        <f t="shared" si="326"/>
        <v>0.45454545454545453</v>
      </c>
      <c r="P646">
        <v>14</v>
      </c>
      <c r="Q646">
        <v>27</v>
      </c>
      <c r="R646" s="17">
        <f t="shared" si="327"/>
        <v>1.75</v>
      </c>
      <c r="S646" s="17">
        <f t="shared" si="328"/>
        <v>3.375</v>
      </c>
      <c r="T646" s="18">
        <f t="shared" si="329"/>
        <v>0.51851851851851849</v>
      </c>
      <c r="U646">
        <v>1</v>
      </c>
      <c r="V646">
        <v>6</v>
      </c>
      <c r="W646" s="17">
        <f t="shared" si="330"/>
        <v>0.125</v>
      </c>
      <c r="X646" s="17">
        <f t="shared" si="331"/>
        <v>0.75</v>
      </c>
      <c r="Y646" s="18">
        <f t="shared" si="332"/>
        <v>0.16666666666666666</v>
      </c>
      <c r="Z646">
        <v>5</v>
      </c>
      <c r="AA646">
        <v>5</v>
      </c>
      <c r="AB646" s="17">
        <f t="shared" si="333"/>
        <v>0.625</v>
      </c>
      <c r="AC646" s="17">
        <f t="shared" si="334"/>
        <v>0.625</v>
      </c>
      <c r="AD646" s="18">
        <f t="shared" si="335"/>
        <v>1</v>
      </c>
      <c r="AE646">
        <v>26</v>
      </c>
      <c r="AF646" s="17">
        <f t="shared" si="336"/>
        <v>3.25</v>
      </c>
      <c r="AG646">
        <v>8</v>
      </c>
      <c r="AH646" s="17">
        <f t="shared" si="337"/>
        <v>1</v>
      </c>
      <c r="AI646">
        <v>18</v>
      </c>
      <c r="AJ646" s="17">
        <f t="shared" si="338"/>
        <v>2.25</v>
      </c>
      <c r="AK646">
        <v>1</v>
      </c>
      <c r="AL646" s="17">
        <f t="shared" si="339"/>
        <v>0.125</v>
      </c>
      <c r="AM646">
        <v>2</v>
      </c>
      <c r="AN646" s="17">
        <f t="shared" si="340"/>
        <v>0.25</v>
      </c>
      <c r="AO646">
        <v>6</v>
      </c>
      <c r="AQ646">
        <v>6</v>
      </c>
      <c r="AR646" s="17">
        <f t="shared" si="341"/>
        <v>0.75</v>
      </c>
      <c r="AS646">
        <v>5</v>
      </c>
      <c r="AT646" s="17">
        <f t="shared" si="342"/>
        <v>0.625</v>
      </c>
      <c r="BD646" s="65">
        <f t="shared" si="343"/>
        <v>51.136363636363633</v>
      </c>
      <c r="BE646" s="65">
        <f t="shared" si="344"/>
        <v>46.969696969696969</v>
      </c>
      <c r="BF646" s="66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29.060267138151474</v>
      </c>
      <c r="BG646" s="38">
        <f t="shared" si="345"/>
        <v>0.18181818181818182</v>
      </c>
      <c r="BH646" s="38">
        <f t="shared" si="346"/>
        <v>0.15151515151515152</v>
      </c>
      <c r="BI646" s="67">
        <f>IFERROR(((AG646*(12000/5))/((F646*60+G646)*(SUMIFS(팀공격력!X:X,팀공격력!A:A,B646,팀공격력!B:B,D646)+SUMIFS(팀수비력!X:X,팀수비력!A:A,B646,팀수비력!B:B,D646))))*100,"")</f>
        <v>6.8250650514012721</v>
      </c>
      <c r="BJ646" s="67">
        <f>IFERROR(((AI646*(12000/5))/((F646*60+G646)*(SUMIFS(팀공격력!V:V,팀공격력!A:A,B646,팀공격력!B:B,D646)+SUMIFS(팀수비력!W:W,팀수비력!A:A,B646,팀수비력!B:B,D646))))*100,"")</f>
        <v>35.142522452167121</v>
      </c>
      <c r="BK646" s="67">
        <f>IFERROR(((AE646*(12000/5))/((F646*60+G646)*(SUMIFS(팀공격력!X:X,팀공격력!A:A,B646,팀공격력!B:B,D646)+SUMIFS(팀수비력!X:X,팀수비력!A:A,B646,팀수비력!B:B,D646))))*100,"")</f>
        <v>22.181461417054134</v>
      </c>
      <c r="BL646" s="67">
        <f>IFERROR(100*AK646/(((((F646*60+G646)/(12000/5))*SUMIFS(팀공격력!P:P,팀공격력!A:A,B646,팀공격력!B:B,D646))-K646)),"")</f>
        <v>2.4598733165241993</v>
      </c>
      <c r="BM646" s="67">
        <f>IFERROR(100*((AM646/E646*(2400))/((F646*60+G646)*SUMIFS(팀공격력!AR:AR,팀공격력!A:A,B646,팀공격력!B:B,D646))),"")</f>
        <v>1.82324606317282</v>
      </c>
      <c r="BN646" s="67">
        <f>IFERROR((AO646*40)/(((F646*60+G646)/60)*(SUMIFS(팀수비력!Q:Q,팀수비력!A:A,B646,팀수비력!B:B,D646)-SUMIFS(팀수비력!N:N,팀수비력!A:A,B646,팀수비력!B:B,D646)))*100,"")</f>
        <v>8.4406982333149667</v>
      </c>
      <c r="BO646" s="67">
        <f t="shared" si="347"/>
        <v>14.563106796116504</v>
      </c>
      <c r="BT646" t="s">
        <v>96</v>
      </c>
      <c r="BV646" t="s">
        <v>102</v>
      </c>
      <c r="CF646">
        <v>5</v>
      </c>
      <c r="CG646">
        <v>3</v>
      </c>
    </row>
    <row r="647" spans="1:85" x14ac:dyDescent="0.4">
      <c r="A647" s="11" t="s">
        <v>85</v>
      </c>
      <c r="B647" t="s">
        <v>263</v>
      </c>
      <c r="C647" t="s">
        <v>284</v>
      </c>
      <c r="D647" s="46" t="s">
        <v>309</v>
      </c>
      <c r="E647">
        <v>1</v>
      </c>
      <c r="F647">
        <v>0</v>
      </c>
      <c r="G647" s="1">
        <v>53</v>
      </c>
      <c r="H647" s="16">
        <f t="shared" si="322"/>
        <v>53</v>
      </c>
      <c r="I647">
        <v>0</v>
      </c>
      <c r="J647" s="17">
        <f t="shared" si="323"/>
        <v>0</v>
      </c>
      <c r="K647">
        <v>0</v>
      </c>
      <c r="L647">
        <v>0</v>
      </c>
      <c r="M647" s="17">
        <f t="shared" si="324"/>
        <v>0</v>
      </c>
      <c r="N647" s="17">
        <f t="shared" si="325"/>
        <v>0</v>
      </c>
      <c r="O647" s="18" t="e">
        <f t="shared" si="326"/>
        <v>#DIV/0!</v>
      </c>
      <c r="P647">
        <v>0</v>
      </c>
      <c r="Q647">
        <v>0</v>
      </c>
      <c r="R647" s="17">
        <f t="shared" si="327"/>
        <v>0</v>
      </c>
      <c r="S647" s="17">
        <f t="shared" si="328"/>
        <v>0</v>
      </c>
      <c r="T647" s="18" t="e">
        <f t="shared" si="329"/>
        <v>#DIV/0!</v>
      </c>
      <c r="U647">
        <v>0</v>
      </c>
      <c r="V647">
        <v>0</v>
      </c>
      <c r="W647" s="17">
        <f t="shared" si="330"/>
        <v>0</v>
      </c>
      <c r="X647" s="17">
        <f t="shared" si="331"/>
        <v>0</v>
      </c>
      <c r="Y647" s="18" t="e">
        <f t="shared" si="332"/>
        <v>#DIV/0!</v>
      </c>
      <c r="Z647">
        <v>0</v>
      </c>
      <c r="AA647">
        <v>0</v>
      </c>
      <c r="AB647" s="17">
        <f t="shared" si="333"/>
        <v>0</v>
      </c>
      <c r="AC647" s="17">
        <f t="shared" si="334"/>
        <v>0</v>
      </c>
      <c r="AD647" s="18" t="e">
        <f t="shared" si="335"/>
        <v>#DIV/0!</v>
      </c>
      <c r="AE647">
        <v>0</v>
      </c>
      <c r="AF647" s="17">
        <f t="shared" si="336"/>
        <v>0</v>
      </c>
      <c r="AG647">
        <v>0</v>
      </c>
      <c r="AH647" s="17">
        <f t="shared" si="337"/>
        <v>0</v>
      </c>
      <c r="AI647">
        <v>0</v>
      </c>
      <c r="AJ647" s="17">
        <f t="shared" si="338"/>
        <v>0</v>
      </c>
      <c r="AK647">
        <v>0</v>
      </c>
      <c r="AL647" s="17">
        <f t="shared" si="339"/>
        <v>0</v>
      </c>
      <c r="AM647">
        <v>0</v>
      </c>
      <c r="AN647" s="17">
        <f t="shared" si="340"/>
        <v>0</v>
      </c>
      <c r="AO647">
        <v>0</v>
      </c>
      <c r="AQ647">
        <v>0</v>
      </c>
      <c r="AR647" s="17">
        <f t="shared" si="341"/>
        <v>0</v>
      </c>
      <c r="AS647">
        <v>0</v>
      </c>
      <c r="AT647" s="17">
        <f t="shared" si="342"/>
        <v>0</v>
      </c>
      <c r="BD647" s="65" t="str">
        <f t="shared" si="343"/>
        <v/>
      </c>
      <c r="BE647" s="65" t="str">
        <f t="shared" si="344"/>
        <v/>
      </c>
      <c r="BF647" s="66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0</v>
      </c>
      <c r="BG647" s="38" t="str">
        <f t="shared" si="345"/>
        <v/>
      </c>
      <c r="BH647" s="38" t="str">
        <f t="shared" si="346"/>
        <v/>
      </c>
      <c r="BI647" s="67">
        <f>IFERROR(((AG647*(12000/5))/((F647*60+G647)*(SUMIFS(팀공격력!X:X,팀공격력!A:A,B647,팀공격력!B:B,D647)+SUMIFS(팀수비력!X:X,팀수비력!A:A,B647,팀수비력!B:B,D647))))*100,"")</f>
        <v>0</v>
      </c>
      <c r="BJ647" s="67">
        <f>IFERROR(((AI647*(12000/5))/((F647*60+G647)*(SUMIFS(팀공격력!V:V,팀공격력!A:A,B647,팀공격력!B:B,D647)+SUMIFS(팀수비력!W:W,팀수비력!A:A,B647,팀수비력!B:B,D647))))*100,"")</f>
        <v>0</v>
      </c>
      <c r="BK647" s="67">
        <f>IFERROR(((AE647*(12000/5))/((F647*60+G647)*(SUMIFS(팀공격력!X:X,팀공격력!A:A,B647,팀공격력!B:B,D647)+SUMIFS(팀수비력!X:X,팀수비력!A:A,B647,팀수비력!B:B,D647))))*100,"")</f>
        <v>0</v>
      </c>
      <c r="BL647" s="67">
        <f>IFERROR(100*AK647/(((((F647*60+G647)/(12000/5))*SUMIFS(팀공격력!P:P,팀공격력!A:A,B647,팀공격력!B:B,D647))-K647)),"")</f>
        <v>0</v>
      </c>
      <c r="BM647" s="67">
        <f>IFERROR(100*((AM647/E647*(2400))/((F647*60+G647)*SUMIFS(팀공격력!AR:AR,팀공격력!A:A,B647,팀공격력!B:B,D647))),"")</f>
        <v>0</v>
      </c>
      <c r="BN647" s="67">
        <f>IFERROR((AO647*40)/(((F647*60+G647)/60)*(SUMIFS(팀수비력!Q:Q,팀수비력!A:A,B647,팀수비력!B:B,D647)-SUMIFS(팀수비력!N:N,팀수비력!A:A,B647,팀수비력!B:B,D647)))*100,"")</f>
        <v>0</v>
      </c>
      <c r="BO647" s="67" t="str">
        <f t="shared" si="347"/>
        <v/>
      </c>
      <c r="BT647" t="s">
        <v>89</v>
      </c>
      <c r="BV647" t="s">
        <v>93</v>
      </c>
      <c r="CF647">
        <v>1</v>
      </c>
      <c r="CG647">
        <v>0</v>
      </c>
    </row>
    <row r="648" spans="1:85" x14ac:dyDescent="0.4">
      <c r="A648" s="11" t="s">
        <v>85</v>
      </c>
      <c r="B648" t="s">
        <v>263</v>
      </c>
      <c r="C648" t="s">
        <v>285</v>
      </c>
      <c r="D648" s="46" t="s">
        <v>309</v>
      </c>
      <c r="E648">
        <v>8</v>
      </c>
      <c r="F648">
        <v>18</v>
      </c>
      <c r="G648" s="1">
        <v>8</v>
      </c>
      <c r="H648" s="16">
        <f t="shared" si="322"/>
        <v>8704</v>
      </c>
      <c r="I648">
        <v>35</v>
      </c>
      <c r="J648" s="17">
        <f t="shared" si="323"/>
        <v>4.375</v>
      </c>
      <c r="K648">
        <v>13</v>
      </c>
      <c r="L648">
        <v>31</v>
      </c>
      <c r="M648" s="17">
        <f t="shared" si="324"/>
        <v>1.625</v>
      </c>
      <c r="N648" s="17">
        <f t="shared" si="325"/>
        <v>3.875</v>
      </c>
      <c r="O648" s="18">
        <f t="shared" si="326"/>
        <v>0.41935483870967744</v>
      </c>
      <c r="P648">
        <v>8</v>
      </c>
      <c r="Q648">
        <v>14</v>
      </c>
      <c r="R648" s="17">
        <f t="shared" si="327"/>
        <v>1</v>
      </c>
      <c r="S648" s="17">
        <f t="shared" si="328"/>
        <v>1.75</v>
      </c>
      <c r="T648" s="18">
        <f t="shared" si="329"/>
        <v>0.5714285714285714</v>
      </c>
      <c r="U648">
        <v>5</v>
      </c>
      <c r="V648">
        <v>17</v>
      </c>
      <c r="W648" s="17">
        <f t="shared" si="330"/>
        <v>0.625</v>
      </c>
      <c r="X648" s="17">
        <f t="shared" si="331"/>
        <v>2.125</v>
      </c>
      <c r="Y648" s="18">
        <f t="shared" si="332"/>
        <v>0.29411764705882354</v>
      </c>
      <c r="Z648">
        <v>4</v>
      </c>
      <c r="AA648">
        <v>6</v>
      </c>
      <c r="AB648" s="17">
        <f t="shared" si="333"/>
        <v>0.5</v>
      </c>
      <c r="AC648" s="17">
        <f t="shared" si="334"/>
        <v>0.75</v>
      </c>
      <c r="AD648" s="18">
        <f t="shared" si="335"/>
        <v>0.66666666666666663</v>
      </c>
      <c r="AE648">
        <v>10</v>
      </c>
      <c r="AF648" s="17">
        <f t="shared" si="336"/>
        <v>1.25</v>
      </c>
      <c r="AG648">
        <v>4</v>
      </c>
      <c r="AH648" s="17">
        <f t="shared" si="337"/>
        <v>0.5</v>
      </c>
      <c r="AI648">
        <v>6</v>
      </c>
      <c r="AJ648" s="17">
        <f t="shared" si="338"/>
        <v>0.75</v>
      </c>
      <c r="AK648">
        <v>6</v>
      </c>
      <c r="AL648" s="17">
        <f t="shared" si="339"/>
        <v>0.75</v>
      </c>
      <c r="AM648">
        <v>6</v>
      </c>
      <c r="AN648" s="17">
        <f t="shared" si="340"/>
        <v>0.75</v>
      </c>
      <c r="AO648">
        <v>1</v>
      </c>
      <c r="AQ648">
        <v>4</v>
      </c>
      <c r="AR648" s="17">
        <f t="shared" si="341"/>
        <v>0.5</v>
      </c>
      <c r="AS648">
        <v>11</v>
      </c>
      <c r="AT648" s="17">
        <f t="shared" si="342"/>
        <v>1.375</v>
      </c>
      <c r="BD648" s="65">
        <f t="shared" si="343"/>
        <v>52.021403091557673</v>
      </c>
      <c r="BE648" s="65">
        <f t="shared" si="344"/>
        <v>50</v>
      </c>
      <c r="BF648" s="66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9.6143367027218485</v>
      </c>
      <c r="BG648" s="38">
        <f t="shared" si="345"/>
        <v>0.54838709677419351</v>
      </c>
      <c r="BH648" s="38">
        <f t="shared" si="346"/>
        <v>0.19354838709677419</v>
      </c>
      <c r="BI648" s="67">
        <f>IFERROR(((AG648*(12000/5))/((F648*60+G648)*(SUMIFS(팀공격력!X:X,팀공격력!A:A,B648,팀공격력!B:B,D648)+SUMIFS(팀수비력!X:X,팀수비력!A:A,B648,팀수비력!B:B,D648))))*100,"")</f>
        <v>1.2357884330202669</v>
      </c>
      <c r="BJ648" s="67">
        <f>IFERROR(((AI648*(12000/5))/((F648*60+G648)*(SUMIFS(팀공격력!V:V,팀공격력!A:A,B648,팀공격력!B:B,D648)+SUMIFS(팀수비력!W:W,팀수비력!A:A,B648,팀수비력!B:B,D648))))*100,"")</f>
        <v>4.2420814479638009</v>
      </c>
      <c r="BK648" s="67">
        <f>IFERROR(((AE648*(12000/5))/((F648*60+G648)*(SUMIFS(팀공격력!X:X,팀공격력!A:A,B648,팀공격력!B:B,D648)+SUMIFS(팀수비력!X:X,팀수비력!A:A,B648,팀수비력!B:B,D648))))*100,"")</f>
        <v>3.0894710825506673</v>
      </c>
      <c r="BL648" s="67">
        <f>IFERROR(100*AK648/(((((F648*60+G648)/(12000/5))*SUMIFS(팀공격력!P:P,팀공격력!A:A,B648,팀공격력!B:B,D648))-K648)),"")</f>
        <v>4.2649985783338078</v>
      </c>
      <c r="BM648" s="67">
        <f>IFERROR(100*((AM648/E648*(2400))/((F648*60+G648)*SUMIFS(팀공격력!AR:AR,팀공격력!A:A,B648,팀공격력!B:B,D648))),"")</f>
        <v>1.9807691605425306</v>
      </c>
      <c r="BN648" s="67">
        <f>IFERROR((AO648*40)/(((F648*60+G648)/60)*(SUMIFS(팀수비력!Q:Q,팀수비력!A:A,B648,팀수비력!B:B,D648)-SUMIFS(팀수비력!N:N,팀수비력!A:A,B648,팀수비력!B:B,D648)))*100,"")</f>
        <v>0.50944165194946345</v>
      </c>
      <c r="BO648" s="67">
        <f t="shared" si="347"/>
        <v>10.626992561105206</v>
      </c>
      <c r="BT648" t="s">
        <v>89</v>
      </c>
      <c r="BV648" t="s">
        <v>93</v>
      </c>
      <c r="CF648">
        <v>5</v>
      </c>
      <c r="CG648">
        <v>3</v>
      </c>
    </row>
    <row r="649" spans="1:85" x14ac:dyDescent="0.4">
      <c r="A649" s="11" t="s">
        <v>85</v>
      </c>
      <c r="B649" t="s">
        <v>286</v>
      </c>
      <c r="C649" t="s">
        <v>290</v>
      </c>
      <c r="D649" s="46" t="s">
        <v>309</v>
      </c>
      <c r="E649">
        <v>5</v>
      </c>
      <c r="F649">
        <v>4</v>
      </c>
      <c r="G649" s="1">
        <v>6</v>
      </c>
      <c r="H649" s="16">
        <f t="shared" si="322"/>
        <v>1230</v>
      </c>
      <c r="I649">
        <v>10</v>
      </c>
      <c r="J649" s="17">
        <f t="shared" si="323"/>
        <v>2</v>
      </c>
      <c r="K649">
        <v>5</v>
      </c>
      <c r="L649">
        <v>12</v>
      </c>
      <c r="M649" s="17">
        <f t="shared" si="324"/>
        <v>1</v>
      </c>
      <c r="N649" s="17">
        <f t="shared" si="325"/>
        <v>2.4</v>
      </c>
      <c r="O649" s="18">
        <f t="shared" si="326"/>
        <v>0.41666666666666669</v>
      </c>
      <c r="P649">
        <v>5</v>
      </c>
      <c r="Q649">
        <v>12</v>
      </c>
      <c r="R649" s="17">
        <f t="shared" si="327"/>
        <v>1</v>
      </c>
      <c r="S649" s="17">
        <f t="shared" si="328"/>
        <v>2.4</v>
      </c>
      <c r="T649" s="18">
        <f t="shared" si="329"/>
        <v>0.41666666666666669</v>
      </c>
      <c r="U649">
        <v>0</v>
      </c>
      <c r="V649">
        <v>0</v>
      </c>
      <c r="W649" s="17">
        <f t="shared" si="330"/>
        <v>0</v>
      </c>
      <c r="X649" s="17">
        <f t="shared" si="331"/>
        <v>0</v>
      </c>
      <c r="Y649" s="18" t="e">
        <f t="shared" si="332"/>
        <v>#DIV/0!</v>
      </c>
      <c r="Z649">
        <v>0</v>
      </c>
      <c r="AA649">
        <v>0</v>
      </c>
      <c r="AB649" s="17">
        <f t="shared" si="333"/>
        <v>0</v>
      </c>
      <c r="AC649" s="17">
        <f t="shared" si="334"/>
        <v>0</v>
      </c>
      <c r="AD649" s="18" t="e">
        <f t="shared" si="335"/>
        <v>#DIV/0!</v>
      </c>
      <c r="AE649">
        <v>4</v>
      </c>
      <c r="AF649" s="17">
        <f t="shared" si="336"/>
        <v>0.8</v>
      </c>
      <c r="AG649">
        <v>2</v>
      </c>
      <c r="AH649" s="17">
        <f t="shared" si="337"/>
        <v>0.4</v>
      </c>
      <c r="AI649">
        <v>2</v>
      </c>
      <c r="AJ649" s="17">
        <f t="shared" si="338"/>
        <v>0.4</v>
      </c>
      <c r="AK649">
        <v>0</v>
      </c>
      <c r="AL649" s="17">
        <f t="shared" si="339"/>
        <v>0</v>
      </c>
      <c r="AM649">
        <v>1</v>
      </c>
      <c r="AN649" s="17">
        <f t="shared" si="340"/>
        <v>0.2</v>
      </c>
      <c r="AO649">
        <v>0</v>
      </c>
      <c r="AQ649">
        <v>2</v>
      </c>
      <c r="AR649" s="17">
        <f t="shared" si="341"/>
        <v>0.4</v>
      </c>
      <c r="AS649">
        <v>5</v>
      </c>
      <c r="AT649" s="17">
        <f t="shared" si="342"/>
        <v>1</v>
      </c>
      <c r="BD649" s="65">
        <f t="shared" si="343"/>
        <v>41.666666666666671</v>
      </c>
      <c r="BE649" s="65">
        <f t="shared" si="344"/>
        <v>41.666666666666671</v>
      </c>
      <c r="BF649" s="66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19.808760565851397</v>
      </c>
      <c r="BG649" s="38">
        <f t="shared" si="345"/>
        <v>0</v>
      </c>
      <c r="BH649" s="38">
        <f t="shared" si="346"/>
        <v>0</v>
      </c>
      <c r="BI649" s="67">
        <f>IFERROR(((AG649*(12000/5))/((F649*60+G649)*(SUMIFS(팀공격력!X:X,팀공격력!A:A,B649,팀공격력!B:B,D649)+SUMIFS(팀수비력!X:X,팀수비력!A:A,B649,팀수비력!B:B,D649))))*100,"")</f>
        <v>3.3127665741852663</v>
      </c>
      <c r="BJ649" s="67">
        <f>IFERROR(((AI649*(12000/5))/((F649*60+G649)*(SUMIFS(팀공격력!V:V,팀공격력!A:A,B649,팀공격력!B:B,D649)+SUMIFS(팀수비력!W:W,팀수비력!A:A,B649,팀수비력!B:B,D649))))*100,"")</f>
        <v>6.2740177241000703</v>
      </c>
      <c r="BK649" s="67">
        <f>IFERROR(((AE649*(12000/5))/((F649*60+G649)*(SUMIFS(팀공격력!X:X,팀공격력!A:A,B649,팀공격력!B:B,D649)+SUMIFS(팀수비력!X:X,팀수비력!A:A,B649,팀수비력!B:B,D649))))*100,"")</f>
        <v>6.6255331483705326</v>
      </c>
      <c r="BL649" s="67">
        <f>IFERROR(100*AK649/(((((F649*60+G649)/(12000/5))*SUMIFS(팀공격력!P:P,팀공격력!A:A,B649,팀공격력!B:B,D649))-K649)),"")</f>
        <v>0</v>
      </c>
      <c r="BM649" s="67">
        <f>IFERROR(100*((AM649/E649*(2400))/((F649*60+G649)*SUMIFS(팀공격력!AR:AR,팀공격력!A:A,B649,팀공격력!B:B,D649))),"")</f>
        <v>3.0254888458787526</v>
      </c>
      <c r="BN649" s="67">
        <f>IFERROR((AO649*40)/(((F649*60+G649)/60)*(SUMIFS(팀수비력!Q:Q,팀수비력!A:A,B649,팀수비력!B:B,D649)-SUMIFS(팀수비력!N:N,팀수비력!A:A,B649,팀수비력!B:B,D649)))*100,"")</f>
        <v>0</v>
      </c>
      <c r="BO649" s="67">
        <f t="shared" si="347"/>
        <v>14.285714285714286</v>
      </c>
      <c r="BT649" t="s">
        <v>89</v>
      </c>
      <c r="BV649" t="s">
        <v>102</v>
      </c>
      <c r="CF649">
        <v>3</v>
      </c>
      <c r="CG649">
        <v>2</v>
      </c>
    </row>
    <row r="650" spans="1:85" x14ac:dyDescent="0.4">
      <c r="A650" s="11" t="s">
        <v>85</v>
      </c>
      <c r="B650" t="s">
        <v>286</v>
      </c>
      <c r="C650" t="s">
        <v>291</v>
      </c>
      <c r="D650" s="46" t="s">
        <v>309</v>
      </c>
      <c r="E650">
        <v>7</v>
      </c>
      <c r="F650">
        <v>32</v>
      </c>
      <c r="G650" s="1">
        <v>38</v>
      </c>
      <c r="H650" s="16">
        <f t="shared" si="322"/>
        <v>13706</v>
      </c>
      <c r="I650">
        <v>118</v>
      </c>
      <c r="J650" s="17">
        <f t="shared" si="323"/>
        <v>16.857142857142858</v>
      </c>
      <c r="K650">
        <v>43</v>
      </c>
      <c r="L650">
        <v>78</v>
      </c>
      <c r="M650" s="17">
        <f t="shared" si="324"/>
        <v>6.1428571428571432</v>
      </c>
      <c r="N650" s="17">
        <f t="shared" si="325"/>
        <v>11.142857142857142</v>
      </c>
      <c r="O650" s="18">
        <f t="shared" si="326"/>
        <v>0.55128205128205132</v>
      </c>
      <c r="P650">
        <v>42</v>
      </c>
      <c r="Q650">
        <v>77</v>
      </c>
      <c r="R650" s="17">
        <f t="shared" si="327"/>
        <v>6</v>
      </c>
      <c r="S650" s="17">
        <f t="shared" si="328"/>
        <v>11</v>
      </c>
      <c r="T650" s="18">
        <f t="shared" si="329"/>
        <v>0.54545454545454541</v>
      </c>
      <c r="U650">
        <v>1</v>
      </c>
      <c r="V650">
        <v>1</v>
      </c>
      <c r="W650" s="17">
        <f t="shared" si="330"/>
        <v>0.14285714285714285</v>
      </c>
      <c r="X650" s="17">
        <f t="shared" si="331"/>
        <v>0.14285714285714285</v>
      </c>
      <c r="Y650" s="18">
        <f t="shared" si="332"/>
        <v>1</v>
      </c>
      <c r="Z650">
        <v>31</v>
      </c>
      <c r="AA650">
        <v>44</v>
      </c>
      <c r="AB650" s="17">
        <f t="shared" si="333"/>
        <v>4.4285714285714288</v>
      </c>
      <c r="AC650" s="17">
        <f t="shared" si="334"/>
        <v>6.2857142857142856</v>
      </c>
      <c r="AD650" s="18">
        <f t="shared" si="335"/>
        <v>0.70454545454545459</v>
      </c>
      <c r="AE650">
        <v>103</v>
      </c>
      <c r="AF650" s="17">
        <f t="shared" si="336"/>
        <v>14.714285714285714</v>
      </c>
      <c r="AG650">
        <v>45</v>
      </c>
      <c r="AH650" s="17">
        <f t="shared" si="337"/>
        <v>6.4285714285714288</v>
      </c>
      <c r="AI650">
        <v>58</v>
      </c>
      <c r="AJ650" s="17">
        <f t="shared" si="338"/>
        <v>8.2857142857142865</v>
      </c>
      <c r="AK650">
        <v>24</v>
      </c>
      <c r="AL650" s="17">
        <f t="shared" si="339"/>
        <v>3.4285714285714284</v>
      </c>
      <c r="AM650">
        <v>13</v>
      </c>
      <c r="AN650" s="17">
        <f t="shared" si="340"/>
        <v>1.8571428571428572</v>
      </c>
      <c r="AO650">
        <v>4</v>
      </c>
      <c r="AQ650">
        <v>13</v>
      </c>
      <c r="AR650" s="17">
        <f t="shared" si="341"/>
        <v>1.8571428571428572</v>
      </c>
      <c r="AS650">
        <v>20</v>
      </c>
      <c r="AT650" s="17">
        <f t="shared" si="342"/>
        <v>2.8571428571428572</v>
      </c>
      <c r="BD650" s="65">
        <f t="shared" si="343"/>
        <v>60.599835661462606</v>
      </c>
      <c r="BE650" s="65">
        <f t="shared" si="344"/>
        <v>55.769230769230774</v>
      </c>
      <c r="BF650" s="66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19.618390659114642</v>
      </c>
      <c r="BG650" s="38">
        <f t="shared" si="345"/>
        <v>1.282051282051282E-2</v>
      </c>
      <c r="BH650" s="38">
        <f t="shared" si="346"/>
        <v>0.5641025641025641</v>
      </c>
      <c r="BI650" s="67">
        <f>IFERROR(((AG650*(12000/5))/((F650*60+G650)*(SUMIFS(팀공격력!X:X,팀공격력!A:A,B650,팀공격력!B:B,D650)+SUMIFS(팀수비력!X:X,팀수비력!A:A,B650,팀수비력!B:B,D650))))*100,"")</f>
        <v>9.3647410562387385</v>
      </c>
      <c r="BJ650" s="67">
        <f>IFERROR(((AI650*(12000/5))/((F650*60+G650)*(SUMIFS(팀공격력!V:V,팀공격력!A:A,B650,팀공격력!B:B,D650)+SUMIFS(팀수비력!W:W,팀수비력!A:A,B650,팀수비력!B:B,D650))))*100,"")</f>
        <v>22.859470093835498</v>
      </c>
      <c r="BK650" s="67">
        <f>IFERROR(((AE650*(12000/5))/((F650*60+G650)*(SUMIFS(팀공격력!X:X,팀공격력!A:A,B650,팀공격력!B:B,D650)+SUMIFS(팀수비력!X:X,팀수비력!A:A,B650,팀수비력!B:B,D650))))*100,"")</f>
        <v>21.434851750946446</v>
      </c>
      <c r="BL650" s="67">
        <f>IFERROR(100*AK650/(((((F650*60+G650)/(12000/5))*SUMIFS(팀공격력!P:P,팀공격력!A:A,B650,팀공격력!B:B,D650))-K650)),"")</f>
        <v>15.962488152840825</v>
      </c>
      <c r="BM650" s="67">
        <f>IFERROR(100*((AM650/E650*(2400))/((F650*60+G650)*SUMIFS(팀공격력!AR:AR,팀공격력!A:A,B650,팀공격력!B:B,D650))),"")</f>
        <v>3.5296634062163461</v>
      </c>
      <c r="BN650" s="67">
        <f>IFERROR((AO650*40)/(((F650*60+G650)/60)*(SUMIFS(팀수비력!Q:Q,팀수비력!A:A,B650,팀수비력!B:B,D650)-SUMIFS(팀수비력!N:N,팀수비력!A:A,B650,팀수비력!B:B,D650)))*100,"")</f>
        <v>1.3772365748126383</v>
      </c>
      <c r="BO650" s="67">
        <f t="shared" si="347"/>
        <v>11.779630300833636</v>
      </c>
      <c r="BT650" t="s">
        <v>96</v>
      </c>
      <c r="BV650" t="s">
        <v>102</v>
      </c>
      <c r="CF650">
        <v>3</v>
      </c>
      <c r="CG650">
        <v>4</v>
      </c>
    </row>
    <row r="651" spans="1:85" x14ac:dyDescent="0.4">
      <c r="A651" s="11" t="s">
        <v>85</v>
      </c>
      <c r="B651" t="s">
        <v>286</v>
      </c>
      <c r="C651" t="s">
        <v>292</v>
      </c>
      <c r="D651" s="46" t="s">
        <v>309</v>
      </c>
      <c r="E651">
        <v>8</v>
      </c>
      <c r="F651">
        <v>13</v>
      </c>
      <c r="G651" s="1">
        <v>36</v>
      </c>
      <c r="H651" s="16">
        <f t="shared" si="322"/>
        <v>6528</v>
      </c>
      <c r="I651">
        <v>30</v>
      </c>
      <c r="J651" s="17">
        <f t="shared" si="323"/>
        <v>3.75</v>
      </c>
      <c r="K651">
        <v>12</v>
      </c>
      <c r="L651">
        <v>33</v>
      </c>
      <c r="M651" s="17">
        <f t="shared" si="324"/>
        <v>1.5</v>
      </c>
      <c r="N651" s="17">
        <f t="shared" si="325"/>
        <v>4.125</v>
      </c>
      <c r="O651" s="18">
        <f t="shared" si="326"/>
        <v>0.36363636363636365</v>
      </c>
      <c r="P651">
        <v>10</v>
      </c>
      <c r="Q651">
        <v>25</v>
      </c>
      <c r="R651" s="17">
        <f t="shared" si="327"/>
        <v>1.25</v>
      </c>
      <c r="S651" s="17">
        <f t="shared" si="328"/>
        <v>3.125</v>
      </c>
      <c r="T651" s="18">
        <f t="shared" si="329"/>
        <v>0.4</v>
      </c>
      <c r="U651">
        <v>2</v>
      </c>
      <c r="V651">
        <v>8</v>
      </c>
      <c r="W651" s="17">
        <f t="shared" si="330"/>
        <v>0.25</v>
      </c>
      <c r="X651" s="17">
        <f t="shared" si="331"/>
        <v>1</v>
      </c>
      <c r="Y651" s="18">
        <f t="shared" si="332"/>
        <v>0.25</v>
      </c>
      <c r="Z651">
        <v>4</v>
      </c>
      <c r="AA651">
        <v>6</v>
      </c>
      <c r="AB651" s="17">
        <f t="shared" si="333"/>
        <v>0.5</v>
      </c>
      <c r="AC651" s="17">
        <f t="shared" si="334"/>
        <v>0.75</v>
      </c>
      <c r="AD651" s="18">
        <f t="shared" si="335"/>
        <v>0.66666666666666663</v>
      </c>
      <c r="AE651">
        <v>12</v>
      </c>
      <c r="AF651" s="17">
        <f t="shared" si="336"/>
        <v>1.5</v>
      </c>
      <c r="AG651">
        <v>4</v>
      </c>
      <c r="AH651" s="17">
        <f t="shared" si="337"/>
        <v>0.5</v>
      </c>
      <c r="AI651">
        <v>8</v>
      </c>
      <c r="AJ651" s="17">
        <f t="shared" si="338"/>
        <v>1</v>
      </c>
      <c r="AK651">
        <v>15</v>
      </c>
      <c r="AL651" s="17">
        <f t="shared" si="339"/>
        <v>1.875</v>
      </c>
      <c r="AM651">
        <v>1</v>
      </c>
      <c r="AN651" s="17">
        <f t="shared" si="340"/>
        <v>0.125</v>
      </c>
      <c r="AO651">
        <v>1</v>
      </c>
      <c r="AQ651">
        <v>4</v>
      </c>
      <c r="AR651" s="17">
        <f t="shared" si="341"/>
        <v>0.5</v>
      </c>
      <c r="AS651">
        <v>11</v>
      </c>
      <c r="AT651" s="17">
        <f t="shared" si="342"/>
        <v>1.375</v>
      </c>
      <c r="BD651" s="65">
        <f t="shared" si="343"/>
        <v>42.087542087542083</v>
      </c>
      <c r="BE651" s="65">
        <f t="shared" si="344"/>
        <v>39.393939393939391</v>
      </c>
      <c r="BF651" s="66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16.908608204855213</v>
      </c>
      <c r="BG651" s="38">
        <f t="shared" si="345"/>
        <v>0.24242424242424243</v>
      </c>
      <c r="BH651" s="38">
        <f t="shared" si="346"/>
        <v>0.18181818181818182</v>
      </c>
      <c r="BI651" s="67">
        <f>IFERROR(((AG651*(12000/5))/((F651*60+G651)*(SUMIFS(팀공격력!X:X,팀공격력!A:A,B651,팀공격력!B:B,D651)+SUMIFS(팀수비력!X:X,팀수비력!A:A,B651,팀수비력!B:B,D651))))*100,"")</f>
        <v>1.9974033756117047</v>
      </c>
      <c r="BJ651" s="67">
        <f>IFERROR(((AI651*(12000/5))/((F651*60+G651)*(SUMIFS(팀공격력!V:V,팀공격력!A:A,B651,팀공격력!B:B,D651)+SUMIFS(팀수비력!W:W,팀수비력!A:A,B651,팀수비력!B:B,D651))))*100,"")</f>
        <v>7.5657272555324377</v>
      </c>
      <c r="BK651" s="67">
        <f>IFERROR(((AE651*(12000/5))/((F651*60+G651)*(SUMIFS(팀공격력!X:X,팀공격력!A:A,B651,팀공격력!B:B,D651)+SUMIFS(팀수비력!X:X,팀수비력!A:A,B651,팀수비력!B:B,D651))))*100,"")</f>
        <v>5.9922101268351149</v>
      </c>
      <c r="BL651" s="67">
        <f>IFERROR(100*AK651/(((((F651*60+G651)/(12000/5))*SUMIFS(팀공격력!P:P,팀공격력!A:A,B651,팀공격력!B:B,D651))-K651)),"")</f>
        <v>21.872265966754153</v>
      </c>
      <c r="BM651" s="67">
        <f>IFERROR(100*((AM651/E651*(2400))/((F651*60+G651)*SUMIFS(팀공격력!AR:AR,팀공격력!A:A,B651,팀공격력!B:B,D651))),"")</f>
        <v>0.57005993879149286</v>
      </c>
      <c r="BN651" s="67">
        <f>IFERROR((AO651*40)/(((F651*60+G651)/60)*(SUMIFS(팀수비력!Q:Q,팀수비력!A:A,B651,팀수비력!B:B,D651)-SUMIFS(팀수비력!N:N,팀수비력!A:A,B651,팀수비력!B:B,D651)))*100,"")</f>
        <v>0.82617316589557177</v>
      </c>
      <c r="BO651" s="67">
        <f t="shared" si="347"/>
        <v>10.090817356205852</v>
      </c>
      <c r="BT651" t="s">
        <v>89</v>
      </c>
      <c r="BV651" t="s">
        <v>90</v>
      </c>
      <c r="CF651">
        <v>4</v>
      </c>
      <c r="CG651">
        <v>4</v>
      </c>
    </row>
    <row r="652" spans="1:85" x14ac:dyDescent="0.4">
      <c r="A652" s="11" t="s">
        <v>85</v>
      </c>
      <c r="B652" t="s">
        <v>286</v>
      </c>
      <c r="C652" t="s">
        <v>293</v>
      </c>
      <c r="D652" s="46" t="s">
        <v>309</v>
      </c>
      <c r="E652">
        <v>8</v>
      </c>
      <c r="F652">
        <v>28</v>
      </c>
      <c r="G652" s="1">
        <v>20</v>
      </c>
      <c r="H652" s="16">
        <f t="shared" si="322"/>
        <v>13600</v>
      </c>
      <c r="I652">
        <v>108</v>
      </c>
      <c r="J652" s="17">
        <f t="shared" si="323"/>
        <v>13.5</v>
      </c>
      <c r="K652">
        <v>41</v>
      </c>
      <c r="L652">
        <v>99</v>
      </c>
      <c r="M652" s="17">
        <f t="shared" si="324"/>
        <v>5.125</v>
      </c>
      <c r="N652" s="17">
        <f t="shared" si="325"/>
        <v>12.375</v>
      </c>
      <c r="O652" s="18">
        <f t="shared" si="326"/>
        <v>0.41414141414141414</v>
      </c>
      <c r="P652">
        <v>29</v>
      </c>
      <c r="Q652">
        <v>55</v>
      </c>
      <c r="R652" s="17">
        <f t="shared" si="327"/>
        <v>3.625</v>
      </c>
      <c r="S652" s="17">
        <f t="shared" si="328"/>
        <v>6.875</v>
      </c>
      <c r="T652" s="18">
        <f t="shared" si="329"/>
        <v>0.52727272727272723</v>
      </c>
      <c r="U652">
        <v>12</v>
      </c>
      <c r="V652">
        <v>44</v>
      </c>
      <c r="W652" s="17">
        <f t="shared" si="330"/>
        <v>1.5</v>
      </c>
      <c r="X652" s="17">
        <f t="shared" si="331"/>
        <v>5.5</v>
      </c>
      <c r="Y652" s="18">
        <f t="shared" si="332"/>
        <v>0.27272727272727271</v>
      </c>
      <c r="Z652">
        <v>14</v>
      </c>
      <c r="AA652">
        <v>18</v>
      </c>
      <c r="AB652" s="17">
        <f t="shared" si="333"/>
        <v>1.75</v>
      </c>
      <c r="AC652" s="17">
        <f t="shared" si="334"/>
        <v>2.25</v>
      </c>
      <c r="AD652" s="18">
        <f t="shared" si="335"/>
        <v>0.77777777777777779</v>
      </c>
      <c r="AE652">
        <v>61</v>
      </c>
      <c r="AF652" s="17">
        <f t="shared" si="336"/>
        <v>7.625</v>
      </c>
      <c r="AG652">
        <v>16</v>
      </c>
      <c r="AH652" s="17">
        <f t="shared" si="337"/>
        <v>2</v>
      </c>
      <c r="AI652">
        <v>45</v>
      </c>
      <c r="AJ652" s="17">
        <f t="shared" si="338"/>
        <v>5.625</v>
      </c>
      <c r="AK652">
        <v>24</v>
      </c>
      <c r="AL652" s="17">
        <f t="shared" si="339"/>
        <v>3</v>
      </c>
      <c r="AM652">
        <v>7</v>
      </c>
      <c r="AN652" s="17">
        <f t="shared" si="340"/>
        <v>0.875</v>
      </c>
      <c r="AO652">
        <v>1</v>
      </c>
      <c r="AQ652">
        <v>11</v>
      </c>
      <c r="AR652" s="17">
        <f t="shared" si="341"/>
        <v>1.375</v>
      </c>
      <c r="AS652">
        <v>18</v>
      </c>
      <c r="AT652" s="17">
        <f t="shared" si="342"/>
        <v>2.25</v>
      </c>
      <c r="BD652" s="65">
        <f t="shared" si="343"/>
        <v>50.505050505050505</v>
      </c>
      <c r="BE652" s="65">
        <f t="shared" si="344"/>
        <v>47.474747474747474</v>
      </c>
      <c r="BF652" s="66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24.143649802420097</v>
      </c>
      <c r="BG652" s="38">
        <f t="shared" si="345"/>
        <v>0.44444444444444442</v>
      </c>
      <c r="BH652" s="38">
        <f t="shared" si="346"/>
        <v>0.18181818181818182</v>
      </c>
      <c r="BI652" s="67">
        <f>IFERROR(((AG652*(12000/5))/((F652*60+G652)*(SUMIFS(팀공격력!X:X,팀공격력!A:A,B652,팀공격력!B:B,D652)+SUMIFS(팀수비력!X:X,팀수비력!A:A,B652,팀수비력!B:B,D652))))*100,"")</f>
        <v>3.8350144811744729</v>
      </c>
      <c r="BJ652" s="67">
        <f>IFERROR(((AI652*(12000/5))/((F652*60+G652)*(SUMIFS(팀공격력!V:V,팀공격력!A:A,B652,팀공격력!B:B,D652)+SUMIFS(팀수비력!W:W,팀수비력!A:A,B652,팀수비력!B:B,D652))))*100,"")</f>
        <v>20.427463589937584</v>
      </c>
      <c r="BK652" s="67">
        <f>IFERROR(((AE652*(12000/5))/((F652*60+G652)*(SUMIFS(팀공격력!X:X,팀공격력!A:A,B652,팀공격력!B:B,D652)+SUMIFS(팀수비력!X:X,팀수비력!A:A,B652,팀수비력!B:B,D652))))*100,"")</f>
        <v>14.620992709477679</v>
      </c>
      <c r="BL652" s="67">
        <f>IFERROR(100*AK652/(((((F652*60+G652)/(12000/5))*SUMIFS(팀공격력!P:P,팀공격력!A:A,B652,팀공격력!B:B,D652))-K652)),"")</f>
        <v>18.91625615763547</v>
      </c>
      <c r="BM652" s="67">
        <f>IFERROR(100*((AM652/E652*(2400))/((F652*60+G652)*SUMIFS(팀공격력!AR:AR,팀공격력!A:A,B652,팀공격력!B:B,D652))),"")</f>
        <v>1.9154013943394159</v>
      </c>
      <c r="BN652" s="67">
        <f>IFERROR((AO652*40)/(((F652*60+G652)/60)*(SUMIFS(팀수비력!Q:Q,팀수비력!A:A,B652,팀수비력!B:B,D652)-SUMIFS(팀수비력!N:N,팀수비력!A:A,B652,팀수비력!B:B,D652)))*100,"")</f>
        <v>0.39656311962987445</v>
      </c>
      <c r="BO652" s="67">
        <f t="shared" si="347"/>
        <v>9.3283582089552244</v>
      </c>
      <c r="BT652" t="s">
        <v>89</v>
      </c>
      <c r="BV652" t="s">
        <v>93</v>
      </c>
      <c r="CF652">
        <v>4</v>
      </c>
      <c r="CG652">
        <v>4</v>
      </c>
    </row>
    <row r="653" spans="1:85" x14ac:dyDescent="0.4">
      <c r="A653" s="11" t="s">
        <v>85</v>
      </c>
      <c r="B653" t="s">
        <v>286</v>
      </c>
      <c r="C653" t="s">
        <v>294</v>
      </c>
      <c r="D653" s="46" t="s">
        <v>309</v>
      </c>
      <c r="E653">
        <v>8</v>
      </c>
      <c r="F653">
        <v>22</v>
      </c>
      <c r="G653" s="1">
        <v>57</v>
      </c>
      <c r="H653" s="16">
        <f t="shared" si="322"/>
        <v>11016</v>
      </c>
      <c r="I653">
        <v>48</v>
      </c>
      <c r="J653" s="17">
        <f t="shared" si="323"/>
        <v>6</v>
      </c>
      <c r="K653">
        <v>14</v>
      </c>
      <c r="L653">
        <v>50</v>
      </c>
      <c r="M653" s="17">
        <f t="shared" si="324"/>
        <v>1.75</v>
      </c>
      <c r="N653" s="17">
        <f t="shared" si="325"/>
        <v>6.25</v>
      </c>
      <c r="O653" s="18">
        <f t="shared" si="326"/>
        <v>0.28000000000000003</v>
      </c>
      <c r="P653">
        <v>2</v>
      </c>
      <c r="Q653">
        <v>12</v>
      </c>
      <c r="R653" s="17">
        <f t="shared" si="327"/>
        <v>0.25</v>
      </c>
      <c r="S653" s="17">
        <f t="shared" si="328"/>
        <v>1.5</v>
      </c>
      <c r="T653" s="18">
        <f t="shared" si="329"/>
        <v>0.16666666666666666</v>
      </c>
      <c r="U653">
        <v>12</v>
      </c>
      <c r="V653">
        <v>38</v>
      </c>
      <c r="W653" s="17">
        <f t="shared" si="330"/>
        <v>1.5</v>
      </c>
      <c r="X653" s="17">
        <f t="shared" si="331"/>
        <v>4.75</v>
      </c>
      <c r="Y653" s="18">
        <f t="shared" si="332"/>
        <v>0.31578947368421051</v>
      </c>
      <c r="Z653">
        <v>8</v>
      </c>
      <c r="AA653">
        <v>12</v>
      </c>
      <c r="AB653" s="17">
        <f t="shared" si="333"/>
        <v>1</v>
      </c>
      <c r="AC653" s="17">
        <f t="shared" si="334"/>
        <v>1.5</v>
      </c>
      <c r="AD653" s="18">
        <f t="shared" si="335"/>
        <v>0.66666666666666663</v>
      </c>
      <c r="AE653">
        <v>14</v>
      </c>
      <c r="AF653" s="17">
        <f t="shared" si="336"/>
        <v>1.75</v>
      </c>
      <c r="AG653">
        <v>4</v>
      </c>
      <c r="AH653" s="17">
        <f t="shared" si="337"/>
        <v>0.5</v>
      </c>
      <c r="AI653">
        <v>10</v>
      </c>
      <c r="AJ653" s="17">
        <f t="shared" si="338"/>
        <v>1.25</v>
      </c>
      <c r="AK653">
        <v>3</v>
      </c>
      <c r="AL653" s="17">
        <f t="shared" si="339"/>
        <v>0.375</v>
      </c>
      <c r="AM653">
        <v>3</v>
      </c>
      <c r="AN653" s="17">
        <f t="shared" si="340"/>
        <v>0.375</v>
      </c>
      <c r="AO653">
        <v>6</v>
      </c>
      <c r="AQ653">
        <v>4</v>
      </c>
      <c r="AR653" s="17">
        <f t="shared" si="341"/>
        <v>0.5</v>
      </c>
      <c r="AS653">
        <v>14</v>
      </c>
      <c r="AT653" s="17">
        <f t="shared" si="342"/>
        <v>1.75</v>
      </c>
      <c r="BD653" s="65">
        <f t="shared" si="343"/>
        <v>43.415340086830682</v>
      </c>
      <c r="BE653" s="65">
        <f t="shared" si="344"/>
        <v>40</v>
      </c>
      <c r="BF653" s="66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14.984374845966542</v>
      </c>
      <c r="BG653" s="38">
        <f t="shared" si="345"/>
        <v>0.76</v>
      </c>
      <c r="BH653" s="38">
        <f t="shared" si="346"/>
        <v>0.24</v>
      </c>
      <c r="BI653" s="67">
        <f>IFERROR(((AG653*(12000/5))/((F653*60+G653)*(SUMIFS(팀공격력!X:X,팀공격력!A:A,B653,팀공격력!B:B,D653)+SUMIFS(팀수비력!X:X,팀수비력!A:A,B653,팀수비력!B:B,D653))))*100,"")</f>
        <v>1.1836464448069361</v>
      </c>
      <c r="BJ653" s="67">
        <f>IFERROR(((AI653*(12000/5))/((F653*60+G653)*(SUMIFS(팀공격력!V:V,팀공격력!A:A,B653,팀공격력!B:B,D653)+SUMIFS(팀수비력!W:W,팀수비력!A:A,B653,팀수비력!B:B,D653))))*100,"")</f>
        <v>5.6042424115055098</v>
      </c>
      <c r="BK653" s="67">
        <f>IFERROR(((AE653*(12000/5))/((F653*60+G653)*(SUMIFS(팀공격력!X:X,팀공격력!A:A,B653,팀공격력!B:B,D653)+SUMIFS(팀수비력!X:X,팀수비력!A:A,B653,팀수비력!B:B,D653))))*100,"")</f>
        <v>4.1427625568242767</v>
      </c>
      <c r="BL653" s="67">
        <f>IFERROR(100*AK653/(((((F653*60+G653)/(12000/5))*SUMIFS(팀공격력!P:P,팀공격력!A:A,B653,팀공격력!B:B,D653))-K653)),"")</f>
        <v>2.4594447803408381</v>
      </c>
      <c r="BM653" s="67">
        <f>IFERROR(100*((AM653/E653*(2400))/((F653*60+G653)*SUMIFS(팀공격력!AR:AR,팀공격력!A:A,B653,팀공격력!B:B,D653))),"")</f>
        <v>1.0134398911848763</v>
      </c>
      <c r="BN653" s="67">
        <f>IFERROR((AO653*40)/(((F653*60+G653)/60)*(SUMIFS(팀수비력!Q:Q,팀수비력!A:A,B653,팀수비력!B:B,D653)-SUMIFS(팀수비력!N:N,팀수비력!A:A,B653,팀수비력!B:B,D653)))*100,"")</f>
        <v>2.9375045898509216</v>
      </c>
      <c r="BO653" s="67">
        <f t="shared" si="347"/>
        <v>6.7476383265856947</v>
      </c>
      <c r="BT653" t="s">
        <v>89</v>
      </c>
      <c r="BV653" t="s">
        <v>90</v>
      </c>
      <c r="CF653">
        <v>4</v>
      </c>
      <c r="CG653">
        <v>4</v>
      </c>
    </row>
    <row r="654" spans="1:85" x14ac:dyDescent="0.4">
      <c r="A654" s="11" t="s">
        <v>85</v>
      </c>
      <c r="B654" t="s">
        <v>286</v>
      </c>
      <c r="C654" t="s">
        <v>295</v>
      </c>
      <c r="D654" s="46" t="s">
        <v>309</v>
      </c>
      <c r="E654">
        <v>1</v>
      </c>
      <c r="F654">
        <v>0</v>
      </c>
      <c r="G654" s="1">
        <v>48</v>
      </c>
      <c r="H654" s="16">
        <f t="shared" si="322"/>
        <v>48</v>
      </c>
      <c r="I654">
        <v>0</v>
      </c>
      <c r="J654" s="17">
        <f t="shared" si="323"/>
        <v>0</v>
      </c>
      <c r="K654">
        <v>0</v>
      </c>
      <c r="L654">
        <v>1</v>
      </c>
      <c r="M654" s="17">
        <f t="shared" si="324"/>
        <v>0</v>
      </c>
      <c r="N654" s="17">
        <f t="shared" si="325"/>
        <v>1</v>
      </c>
      <c r="O654" s="18">
        <f t="shared" si="326"/>
        <v>0</v>
      </c>
      <c r="P654">
        <v>0</v>
      </c>
      <c r="Q654">
        <v>0</v>
      </c>
      <c r="R654" s="17">
        <f t="shared" si="327"/>
        <v>0</v>
      </c>
      <c r="S654" s="17">
        <f t="shared" si="328"/>
        <v>0</v>
      </c>
      <c r="T654" s="18" t="e">
        <f t="shared" si="329"/>
        <v>#DIV/0!</v>
      </c>
      <c r="U654">
        <v>0</v>
      </c>
      <c r="V654">
        <v>1</v>
      </c>
      <c r="W654" s="17">
        <f t="shared" si="330"/>
        <v>0</v>
      </c>
      <c r="X654" s="17">
        <f t="shared" si="331"/>
        <v>1</v>
      </c>
      <c r="Y654" s="18">
        <f t="shared" si="332"/>
        <v>0</v>
      </c>
      <c r="Z654">
        <v>0</v>
      </c>
      <c r="AA654">
        <v>0</v>
      </c>
      <c r="AB654" s="17">
        <f t="shared" si="333"/>
        <v>0</v>
      </c>
      <c r="AC654" s="17">
        <f t="shared" si="334"/>
        <v>0</v>
      </c>
      <c r="AD654" s="18" t="e">
        <f t="shared" si="335"/>
        <v>#DIV/0!</v>
      </c>
      <c r="AE654">
        <v>0</v>
      </c>
      <c r="AF654" s="17">
        <f t="shared" si="336"/>
        <v>0</v>
      </c>
      <c r="AG654">
        <v>0</v>
      </c>
      <c r="AH654" s="17">
        <f t="shared" si="337"/>
        <v>0</v>
      </c>
      <c r="AI654">
        <v>0</v>
      </c>
      <c r="AJ654" s="17">
        <f t="shared" si="338"/>
        <v>0</v>
      </c>
      <c r="AK654">
        <v>0</v>
      </c>
      <c r="AL654" s="17">
        <f t="shared" si="339"/>
        <v>0</v>
      </c>
      <c r="AM654">
        <v>0</v>
      </c>
      <c r="AN654" s="17">
        <f t="shared" si="340"/>
        <v>0</v>
      </c>
      <c r="AO654">
        <v>0</v>
      </c>
      <c r="AQ654">
        <v>0</v>
      </c>
      <c r="AR654" s="17">
        <f t="shared" si="341"/>
        <v>0</v>
      </c>
      <c r="AS654">
        <v>0</v>
      </c>
      <c r="AT654" s="17">
        <f t="shared" si="342"/>
        <v>0</v>
      </c>
      <c r="BD654" s="65">
        <f t="shared" si="343"/>
        <v>0</v>
      </c>
      <c r="BE654" s="65">
        <f t="shared" si="344"/>
        <v>0</v>
      </c>
      <c r="BF654" s="66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7.2514212785706</v>
      </c>
      <c r="BG654" s="38">
        <f t="shared" si="345"/>
        <v>1</v>
      </c>
      <c r="BH654" s="38">
        <f t="shared" si="346"/>
        <v>0</v>
      </c>
      <c r="BI654" s="67">
        <f>IFERROR(((AG654*(12000/5))/((F654*60+G654)*(SUMIFS(팀공격력!X:X,팀공격력!A:A,B654,팀공격력!B:B,D654)+SUMIFS(팀수비력!X:X,팀수비력!A:A,B654,팀수비력!B:B,D654))))*100,"")</f>
        <v>0</v>
      </c>
      <c r="BJ654" s="67">
        <f>IFERROR(((AI654*(12000/5))/((F654*60+G654)*(SUMIFS(팀공격력!V:V,팀공격력!A:A,B654,팀공격력!B:B,D654)+SUMIFS(팀수비력!W:W,팀수비력!A:A,B654,팀수비력!B:B,D654))))*100,"")</f>
        <v>0</v>
      </c>
      <c r="BK654" s="67">
        <f>IFERROR(((AE654*(12000/5))/((F654*60+G654)*(SUMIFS(팀공격력!X:X,팀공격력!A:A,B654,팀공격력!B:B,D654)+SUMIFS(팀수비력!X:X,팀수비력!A:A,B654,팀수비력!B:B,D654))))*100,"")</f>
        <v>0</v>
      </c>
      <c r="BL654" s="67">
        <f>IFERROR(100*AK654/(((((F654*60+G654)/(12000/5))*SUMIFS(팀공격력!P:P,팀공격력!A:A,B654,팀공격력!B:B,D654))-K654)),"")</f>
        <v>0</v>
      </c>
      <c r="BM654" s="67">
        <f>IFERROR(100*((AM654/E654*(2400))/((F654*60+G654)*SUMIFS(팀공격력!AR:AR,팀공격력!A:A,B654,팀공격력!B:B,D654))),"")</f>
        <v>0</v>
      </c>
      <c r="BN654" s="67">
        <f>IFERROR((AO654*40)/(((F654*60+G654)/60)*(SUMIFS(팀수비력!Q:Q,팀수비력!A:A,B654,팀수비력!B:B,D654)-SUMIFS(팀수비력!N:N,팀수비력!A:A,B654,팀수비력!B:B,D654)))*100,"")</f>
        <v>0</v>
      </c>
      <c r="BO654" s="67">
        <f t="shared" si="347"/>
        <v>0</v>
      </c>
      <c r="BT654" t="s">
        <v>89</v>
      </c>
      <c r="BV654" t="s">
        <v>90</v>
      </c>
      <c r="CF654">
        <v>1</v>
      </c>
      <c r="CG654">
        <v>0</v>
      </c>
    </row>
    <row r="655" spans="1:85" x14ac:dyDescent="0.4">
      <c r="A655" s="11" t="s">
        <v>85</v>
      </c>
      <c r="B655" t="s">
        <v>286</v>
      </c>
      <c r="C655" t="s">
        <v>296</v>
      </c>
      <c r="D655" s="46" t="s">
        <v>309</v>
      </c>
      <c r="E655">
        <v>8</v>
      </c>
      <c r="F655">
        <v>21</v>
      </c>
      <c r="G655" s="1">
        <v>36</v>
      </c>
      <c r="H655" s="16">
        <f t="shared" si="322"/>
        <v>10368</v>
      </c>
      <c r="I655">
        <v>75</v>
      </c>
      <c r="J655" s="17">
        <f t="shared" si="323"/>
        <v>9.375</v>
      </c>
      <c r="K655">
        <v>27</v>
      </c>
      <c r="L655">
        <v>73</v>
      </c>
      <c r="M655" s="17">
        <f t="shared" si="324"/>
        <v>3.375</v>
      </c>
      <c r="N655" s="17">
        <f t="shared" si="325"/>
        <v>9.125</v>
      </c>
      <c r="O655" s="18">
        <f t="shared" si="326"/>
        <v>0.36986301369863012</v>
      </c>
      <c r="P655">
        <v>15</v>
      </c>
      <c r="Q655">
        <v>40</v>
      </c>
      <c r="R655" s="17">
        <f t="shared" si="327"/>
        <v>1.875</v>
      </c>
      <c r="S655" s="17">
        <f t="shared" si="328"/>
        <v>5</v>
      </c>
      <c r="T655" s="18">
        <f t="shared" si="329"/>
        <v>0.375</v>
      </c>
      <c r="U655">
        <v>12</v>
      </c>
      <c r="V655">
        <v>33</v>
      </c>
      <c r="W655" s="17">
        <f t="shared" si="330"/>
        <v>1.5</v>
      </c>
      <c r="X655" s="17">
        <f t="shared" si="331"/>
        <v>4.125</v>
      </c>
      <c r="Y655" s="18">
        <f t="shared" si="332"/>
        <v>0.36363636363636365</v>
      </c>
      <c r="Z655">
        <v>9</v>
      </c>
      <c r="AA655">
        <v>9</v>
      </c>
      <c r="AB655" s="17">
        <f t="shared" si="333"/>
        <v>1.125</v>
      </c>
      <c r="AC655" s="17">
        <f t="shared" si="334"/>
        <v>1.125</v>
      </c>
      <c r="AD655" s="18">
        <f t="shared" si="335"/>
        <v>1</v>
      </c>
      <c r="AE655">
        <v>16</v>
      </c>
      <c r="AF655" s="17">
        <f t="shared" si="336"/>
        <v>2</v>
      </c>
      <c r="AG655">
        <v>3</v>
      </c>
      <c r="AH655" s="17">
        <f t="shared" si="337"/>
        <v>0.375</v>
      </c>
      <c r="AI655">
        <v>13</v>
      </c>
      <c r="AJ655" s="17">
        <f t="shared" si="338"/>
        <v>1.625</v>
      </c>
      <c r="AK655">
        <v>8</v>
      </c>
      <c r="AL655" s="17">
        <f t="shared" si="339"/>
        <v>1</v>
      </c>
      <c r="AM655">
        <v>5</v>
      </c>
      <c r="AN655" s="17">
        <f t="shared" si="340"/>
        <v>0.625</v>
      </c>
      <c r="AO655">
        <v>0</v>
      </c>
      <c r="AQ655">
        <v>6</v>
      </c>
      <c r="AR655" s="17">
        <f t="shared" si="341"/>
        <v>0.75</v>
      </c>
      <c r="AS655">
        <v>9</v>
      </c>
      <c r="AT655" s="17">
        <f t="shared" si="342"/>
        <v>1.125</v>
      </c>
      <c r="BD655" s="65">
        <f t="shared" si="343"/>
        <v>48.726611226611233</v>
      </c>
      <c r="BE655" s="65">
        <f t="shared" si="344"/>
        <v>45.205479452054789</v>
      </c>
      <c r="BF655" s="66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22.28066330630433</v>
      </c>
      <c r="BG655" s="38">
        <f t="shared" si="345"/>
        <v>0.45205479452054792</v>
      </c>
      <c r="BH655" s="38">
        <f t="shared" si="346"/>
        <v>0.12328767123287671</v>
      </c>
      <c r="BI655" s="67">
        <f>IFERROR(((AG655*(12000/5))/((F655*60+G655)*(SUMIFS(팀공격력!X:X,팀공격력!A:A,B655,팀공격력!B:B,D655)+SUMIFS(팀수비력!X:X,팀수비력!A:A,B655,팀수비력!B:B,D655))))*100,"")</f>
        <v>0.94321826070552728</v>
      </c>
      <c r="BJ655" s="67">
        <f>IFERROR(((AI655*(12000/5))/((F655*60+G655)*(SUMIFS(팀공격력!V:V,팀공격력!A:A,B655,팀공격력!B:B,D655)+SUMIFS(팀수비력!W:W,팀수비력!A:A,B655,팀수비력!B:B,D655))))*100,"")</f>
        <v>7.7408598308919858</v>
      </c>
      <c r="BK655" s="67">
        <f>IFERROR(((AE655*(12000/5))/((F655*60+G655)*(SUMIFS(팀공격력!X:X,팀공격력!A:A,B655,팀공격력!B:B,D655)+SUMIFS(팀수비력!X:X,팀수비력!A:A,B655,팀수비력!B:B,D655))))*100,"")</f>
        <v>5.0304973904294785</v>
      </c>
      <c r="BL655" s="67">
        <f>IFERROR(100*AK655/(((((F655*60+G655)/(12000/5))*SUMIFS(팀공격력!P:P,팀공격력!A:A,B655,팀공격력!B:B,D655))-K655)),"")</f>
        <v>7.9223608635373335</v>
      </c>
      <c r="BM655" s="67">
        <f>IFERROR(100*((AM655/E655*(2400))/((F655*60+G655)*SUMIFS(팀공격력!AR:AR,팀공격력!A:A,B655,팀공격력!B:B,D655))),"")</f>
        <v>1.7946331406398852</v>
      </c>
      <c r="BN655" s="67">
        <f>IFERROR((AO655*40)/(((F655*60+G655)/60)*(SUMIFS(팀수비력!Q:Q,팀수비력!A:A,B655,팀수비력!B:B,D655)-SUMIFS(팀수비력!N:N,팀수비력!A:A,B655,팀수비력!B:B,D655)))*100,"")</f>
        <v>0</v>
      </c>
      <c r="BO655" s="67">
        <f t="shared" si="347"/>
        <v>7.232401157184186</v>
      </c>
      <c r="BT655" t="s">
        <v>89</v>
      </c>
      <c r="BV655" t="s">
        <v>90</v>
      </c>
      <c r="CF655">
        <v>4</v>
      </c>
      <c r="CG655">
        <v>4</v>
      </c>
    </row>
    <row r="656" spans="1:85" x14ac:dyDescent="0.4">
      <c r="A656" s="11" t="s">
        <v>85</v>
      </c>
      <c r="B656" t="s">
        <v>286</v>
      </c>
      <c r="C656" t="s">
        <v>298</v>
      </c>
      <c r="D656" s="46" t="s">
        <v>309</v>
      </c>
      <c r="E656">
        <v>8</v>
      </c>
      <c r="F656">
        <v>26</v>
      </c>
      <c r="G656" s="1">
        <v>23</v>
      </c>
      <c r="H656" s="16">
        <f t="shared" si="322"/>
        <v>12664</v>
      </c>
      <c r="I656">
        <v>90</v>
      </c>
      <c r="J656" s="17">
        <f t="shared" si="323"/>
        <v>11.25</v>
      </c>
      <c r="K656">
        <v>34</v>
      </c>
      <c r="L656">
        <v>78</v>
      </c>
      <c r="M656" s="17">
        <f t="shared" si="324"/>
        <v>4.25</v>
      </c>
      <c r="N656" s="17">
        <f t="shared" si="325"/>
        <v>9.75</v>
      </c>
      <c r="O656" s="18">
        <f t="shared" si="326"/>
        <v>0.4358974358974359</v>
      </c>
      <c r="P656">
        <v>25</v>
      </c>
      <c r="Q656">
        <v>45</v>
      </c>
      <c r="R656" s="17">
        <f t="shared" si="327"/>
        <v>3.125</v>
      </c>
      <c r="S656" s="17">
        <f t="shared" si="328"/>
        <v>5.625</v>
      </c>
      <c r="T656" s="18">
        <f t="shared" si="329"/>
        <v>0.55555555555555558</v>
      </c>
      <c r="U656">
        <v>9</v>
      </c>
      <c r="V656">
        <v>33</v>
      </c>
      <c r="W656" s="17">
        <f t="shared" si="330"/>
        <v>1.125</v>
      </c>
      <c r="X656" s="17">
        <f t="shared" si="331"/>
        <v>4.125</v>
      </c>
      <c r="Y656" s="18">
        <f t="shared" si="332"/>
        <v>0.27272727272727271</v>
      </c>
      <c r="Z656">
        <v>13</v>
      </c>
      <c r="AA656">
        <v>16</v>
      </c>
      <c r="AB656" s="17">
        <f t="shared" si="333"/>
        <v>1.625</v>
      </c>
      <c r="AC656" s="17">
        <f t="shared" si="334"/>
        <v>2</v>
      </c>
      <c r="AD656" s="18">
        <f t="shared" si="335"/>
        <v>0.8125</v>
      </c>
      <c r="AE656">
        <v>19</v>
      </c>
      <c r="AF656" s="17">
        <f t="shared" si="336"/>
        <v>2.375</v>
      </c>
      <c r="AG656">
        <v>5</v>
      </c>
      <c r="AH656" s="17">
        <f t="shared" si="337"/>
        <v>0.625</v>
      </c>
      <c r="AI656">
        <v>14</v>
      </c>
      <c r="AJ656" s="17">
        <f t="shared" si="338"/>
        <v>1.75</v>
      </c>
      <c r="AK656">
        <v>24</v>
      </c>
      <c r="AL656" s="17">
        <f t="shared" si="339"/>
        <v>3</v>
      </c>
      <c r="AM656">
        <v>4</v>
      </c>
      <c r="AN656" s="17">
        <f t="shared" si="340"/>
        <v>0.5</v>
      </c>
      <c r="AO656">
        <v>0</v>
      </c>
      <c r="AQ656">
        <v>13</v>
      </c>
      <c r="AR656" s="17">
        <f t="shared" si="341"/>
        <v>1.625</v>
      </c>
      <c r="AS656">
        <v>16</v>
      </c>
      <c r="AT656" s="17">
        <f t="shared" si="342"/>
        <v>2</v>
      </c>
      <c r="BD656" s="65">
        <f t="shared" si="343"/>
        <v>52.916274694261524</v>
      </c>
      <c r="BE656" s="65">
        <f t="shared" si="344"/>
        <v>49.358974358974365</v>
      </c>
      <c r="BF656" s="66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21.556922566804147</v>
      </c>
      <c r="BG656" s="38">
        <f t="shared" si="345"/>
        <v>0.42307692307692307</v>
      </c>
      <c r="BH656" s="38">
        <f t="shared" si="346"/>
        <v>0.20512820512820512</v>
      </c>
      <c r="BI656" s="67">
        <f>IFERROR(((AG656*(12000/5))/((F656*60+G656)*(SUMIFS(팀공격력!X:X,팀공격력!A:A,B656,팀공격력!B:B,D656)+SUMIFS(팀수비력!X:X,팀수비력!A:A,B656,팀수비력!B:B,D656))))*100,"")</f>
        <v>1.2870192312848634</v>
      </c>
      <c r="BJ656" s="67">
        <f>IFERROR(((AI656*(12000/5))/((F656*60+G656)*(SUMIFS(팀공격력!V:V,팀공격력!A:A,B656,팀공격력!B:B,D656)+SUMIFS(팀수비력!W:W,팀수비력!A:A,B656,팀수비력!B:B,D656))))*100,"")</f>
        <v>6.8249264187620478</v>
      </c>
      <c r="BK656" s="67">
        <f>IFERROR(((AE656*(12000/5))/((F656*60+G656)*(SUMIFS(팀공격력!X:X,팀공격력!A:A,B656,팀공격력!B:B,D656)+SUMIFS(팀수비력!X:X,팀수비력!A:A,B656,팀수비력!B:B,D656))))*100,"")</f>
        <v>4.8906730788824815</v>
      </c>
      <c r="BL656" s="67">
        <f>IFERROR(100*AK656/(((((F656*60+G656)/(12000/5))*SUMIFS(팀공격력!P:P,팀공격력!A:A,B656,팀공격력!B:B,D656))-K656)),"")</f>
        <v>19.620466599221313</v>
      </c>
      <c r="BM656" s="67">
        <f>IFERROR(100*((AM656/E656*(2400))/((F656*60+G656)*SUMIFS(팀공격력!AR:AR,팀공격력!A:A,B656,팀공격력!B:B,D656))),"")</f>
        <v>1.1754110171923138</v>
      </c>
      <c r="BN656" s="67">
        <f>IFERROR((AO656*40)/(((F656*60+G656)/60)*(SUMIFS(팀수비력!Q:Q,팀수비력!A:A,B656,팀수비력!B:B,D656)-SUMIFS(팀수비력!N:N,팀수비력!A:A,B656,팀수비력!B:B,D656)))*100,"")</f>
        <v>0</v>
      </c>
      <c r="BO656" s="67">
        <f t="shared" si="347"/>
        <v>13.259893920848633</v>
      </c>
      <c r="BT656" t="s">
        <v>89</v>
      </c>
      <c r="BV656" t="s">
        <v>90</v>
      </c>
      <c r="CF656">
        <v>4</v>
      </c>
      <c r="CG656">
        <v>4</v>
      </c>
    </row>
    <row r="657" spans="1:85" x14ac:dyDescent="0.4">
      <c r="A657" s="11" t="s">
        <v>85</v>
      </c>
      <c r="B657" t="s">
        <v>286</v>
      </c>
      <c r="C657" t="s">
        <v>299</v>
      </c>
      <c r="D657" s="46" t="s">
        <v>309</v>
      </c>
      <c r="E657">
        <v>5</v>
      </c>
      <c r="F657">
        <v>7</v>
      </c>
      <c r="G657" s="1">
        <v>5</v>
      </c>
      <c r="H657" s="16">
        <f t="shared" si="322"/>
        <v>2125</v>
      </c>
      <c r="I657">
        <v>13</v>
      </c>
      <c r="J657" s="17">
        <f t="shared" si="323"/>
        <v>2.6</v>
      </c>
      <c r="K657">
        <v>4</v>
      </c>
      <c r="L657">
        <v>8</v>
      </c>
      <c r="M657" s="17">
        <f t="shared" si="324"/>
        <v>0.8</v>
      </c>
      <c r="N657" s="17">
        <f t="shared" si="325"/>
        <v>1.6</v>
      </c>
      <c r="O657" s="18">
        <f t="shared" si="326"/>
        <v>0.5</v>
      </c>
      <c r="P657">
        <v>0</v>
      </c>
      <c r="Q657">
        <v>0</v>
      </c>
      <c r="R657" s="17">
        <f t="shared" si="327"/>
        <v>0</v>
      </c>
      <c r="S657" s="17">
        <f t="shared" si="328"/>
        <v>0</v>
      </c>
      <c r="T657" s="18" t="e">
        <f t="shared" si="329"/>
        <v>#DIV/0!</v>
      </c>
      <c r="U657">
        <v>4</v>
      </c>
      <c r="V657">
        <v>8</v>
      </c>
      <c r="W657" s="17">
        <f t="shared" si="330"/>
        <v>0.8</v>
      </c>
      <c r="X657" s="17">
        <f t="shared" si="331"/>
        <v>1.6</v>
      </c>
      <c r="Y657" s="18">
        <f t="shared" si="332"/>
        <v>0.5</v>
      </c>
      <c r="Z657">
        <v>1</v>
      </c>
      <c r="AA657">
        <v>2</v>
      </c>
      <c r="AB657" s="17">
        <f t="shared" si="333"/>
        <v>0.2</v>
      </c>
      <c r="AC657" s="17">
        <f t="shared" si="334"/>
        <v>0.4</v>
      </c>
      <c r="AD657" s="18">
        <f t="shared" si="335"/>
        <v>0.5</v>
      </c>
      <c r="AE657">
        <v>2</v>
      </c>
      <c r="AF657" s="17">
        <f t="shared" si="336"/>
        <v>0.4</v>
      </c>
      <c r="AG657">
        <v>2</v>
      </c>
      <c r="AH657" s="17">
        <f t="shared" si="337"/>
        <v>0.4</v>
      </c>
      <c r="AI657">
        <v>0</v>
      </c>
      <c r="AJ657" s="17">
        <f t="shared" si="338"/>
        <v>0</v>
      </c>
      <c r="AK657">
        <v>1</v>
      </c>
      <c r="AL657" s="17">
        <f t="shared" si="339"/>
        <v>0.2</v>
      </c>
      <c r="AM657">
        <v>2</v>
      </c>
      <c r="AN657" s="17">
        <f t="shared" si="340"/>
        <v>0.4</v>
      </c>
      <c r="AO657">
        <v>1</v>
      </c>
      <c r="AQ657">
        <v>1</v>
      </c>
      <c r="AR657" s="17">
        <f t="shared" si="341"/>
        <v>0.2</v>
      </c>
      <c r="AS657">
        <v>6</v>
      </c>
      <c r="AT657" s="17">
        <f t="shared" si="342"/>
        <v>1.2</v>
      </c>
      <c r="BD657" s="65">
        <f t="shared" si="343"/>
        <v>73.198198198198199</v>
      </c>
      <c r="BE657" s="65">
        <f t="shared" si="344"/>
        <v>75</v>
      </c>
      <c r="BF657" s="66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8.0915624168219331</v>
      </c>
      <c r="BG657" s="38">
        <f t="shared" si="345"/>
        <v>1</v>
      </c>
      <c r="BH657" s="38">
        <f t="shared" si="346"/>
        <v>0.25</v>
      </c>
      <c r="BI657" s="67">
        <f>IFERROR(((AG657*(12000/5))/((F657*60+G657)*(SUMIFS(팀공격력!X:X,팀공격력!A:A,B657,팀공격력!B:B,D657)+SUMIFS(팀수비력!X:X,팀수비력!A:A,B657,팀수비력!B:B,D657))))*100,"")</f>
        <v>1.9175072405872364</v>
      </c>
      <c r="BJ657" s="67">
        <f>IFERROR(((AI657*(12000/5))/((F657*60+G657)*(SUMIFS(팀공격력!V:V,팀공격력!A:A,B657,팀공격력!B:B,D657)+SUMIFS(팀수비력!W:W,팀수비력!A:A,B657,팀수비력!B:B,D657))))*100,"")</f>
        <v>0</v>
      </c>
      <c r="BK657" s="67">
        <f>IFERROR(((AE657*(12000/5))/((F657*60+G657)*(SUMIFS(팀공격력!X:X,팀공격력!A:A,B657,팀공격력!B:B,D657)+SUMIFS(팀수비력!X:X,팀수비력!A:A,B657,팀수비력!B:B,D657))))*100,"")</f>
        <v>1.9175072405872364</v>
      </c>
      <c r="BL657" s="67">
        <f>IFERROR(100*AK657/(((((F657*60+G657)/(12000/5))*SUMIFS(팀공격력!P:P,팀공격력!A:A,B657,팀공격력!B:B,D657))-K657)),"")</f>
        <v>2.6337448559670782</v>
      </c>
      <c r="BM657" s="67">
        <f>IFERROR(100*((AM657/E657*(2400))/((F657*60+G657)*SUMIFS(팀공격력!AR:AR,팀공격력!A:A,B657,팀공격력!B:B,D657))),"")</f>
        <v>3.5024482639349319</v>
      </c>
      <c r="BN657" s="67">
        <f>IFERROR((AO657*40)/(((F657*60+G657)/60)*(SUMIFS(팀수비력!Q:Q,팀수비력!A:A,B657,팀수비력!B:B,D657)-SUMIFS(팀수비력!N:N,팀수비력!A:A,B657,팀수비력!B:B,D657)))*100,"")</f>
        <v>1.5862524785194978</v>
      </c>
      <c r="BO657" s="67">
        <f t="shared" si="347"/>
        <v>10.121457489878543</v>
      </c>
      <c r="BT657" t="s">
        <v>89</v>
      </c>
      <c r="BV657" t="s">
        <v>93</v>
      </c>
      <c r="CF657">
        <v>2</v>
      </c>
      <c r="CG657">
        <v>3</v>
      </c>
    </row>
    <row r="658" spans="1:85" x14ac:dyDescent="0.4">
      <c r="A658" s="11" t="s">
        <v>85</v>
      </c>
      <c r="B658" t="s">
        <v>286</v>
      </c>
      <c r="C658" t="s">
        <v>300</v>
      </c>
      <c r="D658" s="46" t="s">
        <v>309</v>
      </c>
      <c r="E658">
        <v>8</v>
      </c>
      <c r="F658">
        <v>16</v>
      </c>
      <c r="G658" s="1">
        <v>40</v>
      </c>
      <c r="H658" s="16">
        <f t="shared" si="322"/>
        <v>8000</v>
      </c>
      <c r="I658">
        <v>62</v>
      </c>
      <c r="J658" s="17">
        <f t="shared" si="323"/>
        <v>7.75</v>
      </c>
      <c r="K658">
        <v>24</v>
      </c>
      <c r="L658">
        <v>45</v>
      </c>
      <c r="M658" s="17">
        <f t="shared" si="324"/>
        <v>3</v>
      </c>
      <c r="N658" s="17">
        <f t="shared" si="325"/>
        <v>5.625</v>
      </c>
      <c r="O658" s="18">
        <f t="shared" si="326"/>
        <v>0.53333333333333333</v>
      </c>
      <c r="P658">
        <v>15</v>
      </c>
      <c r="Q658">
        <v>30</v>
      </c>
      <c r="R658" s="17">
        <f t="shared" si="327"/>
        <v>1.875</v>
      </c>
      <c r="S658" s="17">
        <f t="shared" si="328"/>
        <v>3.75</v>
      </c>
      <c r="T658" s="18">
        <f t="shared" si="329"/>
        <v>0.5</v>
      </c>
      <c r="U658">
        <v>9</v>
      </c>
      <c r="V658">
        <v>15</v>
      </c>
      <c r="W658" s="17">
        <f t="shared" si="330"/>
        <v>1.125</v>
      </c>
      <c r="X658" s="17">
        <f t="shared" si="331"/>
        <v>1.875</v>
      </c>
      <c r="Y658" s="18">
        <f t="shared" si="332"/>
        <v>0.6</v>
      </c>
      <c r="Z658">
        <v>5</v>
      </c>
      <c r="AA658">
        <v>6</v>
      </c>
      <c r="AB658" s="17">
        <f t="shared" si="333"/>
        <v>0.625</v>
      </c>
      <c r="AC658" s="17">
        <f t="shared" si="334"/>
        <v>0.75</v>
      </c>
      <c r="AD658" s="18">
        <f t="shared" si="335"/>
        <v>0.83333333333333337</v>
      </c>
      <c r="AE658">
        <v>20</v>
      </c>
      <c r="AF658" s="17">
        <f t="shared" si="336"/>
        <v>2.5</v>
      </c>
      <c r="AG658">
        <v>5</v>
      </c>
      <c r="AH658" s="17">
        <f t="shared" si="337"/>
        <v>0.625</v>
      </c>
      <c r="AI658">
        <v>15</v>
      </c>
      <c r="AJ658" s="17">
        <f t="shared" si="338"/>
        <v>1.875</v>
      </c>
      <c r="AK658">
        <v>24</v>
      </c>
      <c r="AL658" s="17">
        <f t="shared" si="339"/>
        <v>3</v>
      </c>
      <c r="AM658">
        <v>5</v>
      </c>
      <c r="AN658" s="17">
        <f t="shared" si="340"/>
        <v>0.625</v>
      </c>
      <c r="AO658">
        <v>1</v>
      </c>
      <c r="AQ658">
        <v>8</v>
      </c>
      <c r="AR658" s="17">
        <f t="shared" si="341"/>
        <v>1</v>
      </c>
      <c r="AS658">
        <v>17</v>
      </c>
      <c r="AT658" s="17">
        <f t="shared" si="342"/>
        <v>2.125</v>
      </c>
      <c r="BD658" s="65">
        <f t="shared" si="343"/>
        <v>65.071368597816956</v>
      </c>
      <c r="BE658" s="65">
        <f t="shared" si="344"/>
        <v>63.333333333333329</v>
      </c>
      <c r="BF658" s="66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19.366515837104071</v>
      </c>
      <c r="BG658" s="38">
        <f t="shared" si="345"/>
        <v>0.33333333333333331</v>
      </c>
      <c r="BH658" s="38">
        <f t="shared" si="346"/>
        <v>0.13333333333333333</v>
      </c>
      <c r="BI658" s="67">
        <f>IFERROR(((AG658*(12000/5))/((F658*60+G658)*(SUMIFS(팀공격력!X:X,팀공격력!A:A,B658,팀공격력!B:B,D658)+SUMIFS(팀수비력!X:X,팀수비력!A:A,B658,팀수비력!B:B,D658))))*100,"")</f>
        <v>2.037351443123939</v>
      </c>
      <c r="BJ658" s="67">
        <f>IFERROR(((AI658*(12000/5))/((F658*60+G658)*(SUMIFS(팀공격력!V:V,팀공격력!A:A,B658,팀공격력!B:B,D658)+SUMIFS(팀수비력!W:W,팀수비력!A:A,B658,팀수비력!B:B,D658))))*100,"")</f>
        <v>11.57556270096463</v>
      </c>
      <c r="BK658" s="67">
        <f>IFERROR(((AE658*(12000/5))/((F658*60+G658)*(SUMIFS(팀공격력!X:X,팀공격력!A:A,B658,팀공격력!B:B,D658)+SUMIFS(팀수비력!X:X,팀수비력!A:A,B658,팀수비력!B:B,D658))))*100,"")</f>
        <v>8.149405772495756</v>
      </c>
      <c r="BL658" s="67">
        <f>IFERROR(100*AK658/(((((F658*60+G658)/(12000/5))*SUMIFS(팀공격력!P:P,팀공격력!A:A,B658,팀공격력!B:B,D658))-K658)),"")</f>
        <v>32.107023411371237</v>
      </c>
      <c r="BM658" s="67">
        <f>IFERROR(100*((AM658/E658*(2400))/((F658*60+G658)*SUMIFS(팀공격력!AR:AR,팀공격력!A:A,B658,팀공격력!B:B,D658))),"")</f>
        <v>2.325844550269291</v>
      </c>
      <c r="BN658" s="67">
        <f>IFERROR((AO658*40)/(((F658*60+G658)/60)*(SUMIFS(팀수비력!Q:Q,팀수비력!A:A,B658,팀수비력!B:B,D658)-SUMIFS(팀수비력!N:N,팀수비력!A:A,B658,팀수비력!B:B,D658)))*100,"")</f>
        <v>0.6741573033707865</v>
      </c>
      <c r="BO658" s="67">
        <f t="shared" si="347"/>
        <v>14.378145219266715</v>
      </c>
      <c r="BT658" t="s">
        <v>113</v>
      </c>
      <c r="BV658" t="s">
        <v>93</v>
      </c>
      <c r="CF658">
        <v>4</v>
      </c>
      <c r="CG658">
        <v>4</v>
      </c>
    </row>
    <row r="659" spans="1:85" x14ac:dyDescent="0.4">
      <c r="A659" s="11" t="s">
        <v>85</v>
      </c>
      <c r="B659" t="s">
        <v>286</v>
      </c>
      <c r="C659" t="s">
        <v>301</v>
      </c>
      <c r="D659" s="46" t="s">
        <v>309</v>
      </c>
      <c r="E659">
        <v>7</v>
      </c>
      <c r="F659">
        <v>8</v>
      </c>
      <c r="G659" s="1">
        <v>9</v>
      </c>
      <c r="H659" s="16">
        <f t="shared" si="322"/>
        <v>3423</v>
      </c>
      <c r="I659">
        <v>14</v>
      </c>
      <c r="J659" s="17">
        <f t="shared" si="323"/>
        <v>2</v>
      </c>
      <c r="K659">
        <v>5</v>
      </c>
      <c r="L659">
        <v>12</v>
      </c>
      <c r="M659" s="17">
        <f t="shared" si="324"/>
        <v>0.7142857142857143</v>
      </c>
      <c r="N659" s="17">
        <f t="shared" si="325"/>
        <v>1.7142857142857142</v>
      </c>
      <c r="O659" s="18">
        <f t="shared" si="326"/>
        <v>0.41666666666666669</v>
      </c>
      <c r="P659">
        <v>1</v>
      </c>
      <c r="Q659">
        <v>5</v>
      </c>
      <c r="R659" s="17">
        <f t="shared" si="327"/>
        <v>0.14285714285714285</v>
      </c>
      <c r="S659" s="17">
        <f t="shared" si="328"/>
        <v>0.7142857142857143</v>
      </c>
      <c r="T659" s="18">
        <f t="shared" si="329"/>
        <v>0.2</v>
      </c>
      <c r="U659">
        <v>4</v>
      </c>
      <c r="V659">
        <v>7</v>
      </c>
      <c r="W659" s="17">
        <f t="shared" si="330"/>
        <v>0.5714285714285714</v>
      </c>
      <c r="X659" s="17">
        <f t="shared" si="331"/>
        <v>1</v>
      </c>
      <c r="Y659" s="18">
        <f t="shared" si="332"/>
        <v>0.5714285714285714</v>
      </c>
      <c r="Z659">
        <v>0</v>
      </c>
      <c r="AA659">
        <v>0</v>
      </c>
      <c r="AB659" s="17">
        <f t="shared" si="333"/>
        <v>0</v>
      </c>
      <c r="AC659" s="17">
        <f t="shared" si="334"/>
        <v>0</v>
      </c>
      <c r="AD659" s="18" t="e">
        <f t="shared" si="335"/>
        <v>#DIV/0!</v>
      </c>
      <c r="AE659">
        <v>9</v>
      </c>
      <c r="AF659" s="17">
        <f t="shared" si="336"/>
        <v>1.2857142857142858</v>
      </c>
      <c r="AG659">
        <v>2</v>
      </c>
      <c r="AH659" s="17">
        <f t="shared" si="337"/>
        <v>0.2857142857142857</v>
      </c>
      <c r="AI659">
        <v>7</v>
      </c>
      <c r="AJ659" s="17">
        <f t="shared" si="338"/>
        <v>1</v>
      </c>
      <c r="AK659">
        <v>2</v>
      </c>
      <c r="AL659" s="17">
        <f t="shared" si="339"/>
        <v>0.2857142857142857</v>
      </c>
      <c r="AM659">
        <v>0</v>
      </c>
      <c r="AN659" s="17">
        <f t="shared" si="340"/>
        <v>0</v>
      </c>
      <c r="AO659">
        <v>1</v>
      </c>
      <c r="AQ659">
        <v>1</v>
      </c>
      <c r="AR659" s="17">
        <f t="shared" si="341"/>
        <v>0.14285714285714285</v>
      </c>
      <c r="AS659">
        <v>7</v>
      </c>
      <c r="AT659" s="17">
        <f t="shared" si="342"/>
        <v>1</v>
      </c>
      <c r="BD659" s="65">
        <f t="shared" si="343"/>
        <v>58.333333333333336</v>
      </c>
      <c r="BE659" s="65">
        <f t="shared" si="344"/>
        <v>58.333333333333336</v>
      </c>
      <c r="BF659" s="66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9.2533473984213792</v>
      </c>
      <c r="BG659" s="38">
        <f t="shared" si="345"/>
        <v>0.58333333333333337</v>
      </c>
      <c r="BH659" s="38">
        <f t="shared" si="346"/>
        <v>0</v>
      </c>
      <c r="BI659" s="67">
        <f>IFERROR(((AG659*(12000/5))/((F659*60+G659)*(SUMIFS(팀공격력!X:X,팀공격력!A:A,B659,팀공격력!B:B,D659)+SUMIFS(팀수비력!X:X,팀수비력!A:A,B659,팀수비력!B:B,D659))))*100,"")</f>
        <v>1.6665451477496434</v>
      </c>
      <c r="BJ659" s="67">
        <f>IFERROR(((AI659*(12000/5))/((F659*60+G659)*(SUMIFS(팀공격력!V:V,팀공격력!A:A,B659,팀공격력!B:B,D659)+SUMIFS(팀수비력!W:W,팀수비력!A:A,B659,팀수비력!B:B,D659))))*100,"")</f>
        <v>11.046890103170062</v>
      </c>
      <c r="BK659" s="67">
        <f>IFERROR(((AE659*(12000/5))/((F659*60+G659)*(SUMIFS(팀공격력!X:X,팀공격력!A:A,B659,팀공격력!B:B,D659)+SUMIFS(팀수비력!X:X,팀수비력!A:A,B659,팀수비력!B:B,D659))))*100,"")</f>
        <v>7.4994531648733949</v>
      </c>
      <c r="BL659" s="67">
        <f>IFERROR(100*AK659/(((((F659*60+G659)/(12000/5))*SUMIFS(팀공격력!P:P,팀공격력!A:A,B659,팀공격력!B:B,D659))-K659)),"")</f>
        <v>4.620138026623545</v>
      </c>
      <c r="BM659" s="67">
        <f>IFERROR(100*((AM659/E659*(2400))/((F659*60+G659)*SUMIFS(팀공격력!AR:AR,팀공격력!A:A,B659,팀공격력!B:B,D659))),"")</f>
        <v>0</v>
      </c>
      <c r="BN659" s="67">
        <f>IFERROR((AO659*40)/(((F659*60+G659)/60)*(SUMIFS(팀수비력!Q:Q,팀수비력!A:A,B659,팀수비력!B:B,D659)-SUMIFS(팀수비력!N:N,팀수비력!A:A,B659,팀수비력!B:B,D659)))*100,"")</f>
        <v>1.3786447921692975</v>
      </c>
      <c r="BO659" s="67">
        <f t="shared" si="347"/>
        <v>7.6923076923076925</v>
      </c>
      <c r="BT659" t="s">
        <v>89</v>
      </c>
      <c r="BV659" t="s">
        <v>93</v>
      </c>
      <c r="CF659">
        <v>3</v>
      </c>
      <c r="CG659">
        <v>4</v>
      </c>
    </row>
    <row r="660" spans="1:85" x14ac:dyDescent="0.4">
      <c r="A660" s="11" t="s">
        <v>85</v>
      </c>
      <c r="B660" t="s">
        <v>286</v>
      </c>
      <c r="C660" t="s">
        <v>302</v>
      </c>
      <c r="D660" s="46" t="s">
        <v>309</v>
      </c>
      <c r="E660">
        <v>8</v>
      </c>
      <c r="F660">
        <v>18</v>
      </c>
      <c r="G660" s="1">
        <v>4</v>
      </c>
      <c r="H660" s="16">
        <f t="shared" si="322"/>
        <v>8672</v>
      </c>
      <c r="I660">
        <v>50</v>
      </c>
      <c r="J660" s="17">
        <f t="shared" si="323"/>
        <v>6.25</v>
      </c>
      <c r="K660">
        <v>15</v>
      </c>
      <c r="L660">
        <v>33</v>
      </c>
      <c r="M660" s="17">
        <f t="shared" si="324"/>
        <v>1.875</v>
      </c>
      <c r="N660" s="17">
        <f t="shared" si="325"/>
        <v>4.125</v>
      </c>
      <c r="O660" s="18">
        <f t="shared" si="326"/>
        <v>0.45454545454545453</v>
      </c>
      <c r="P660">
        <v>6</v>
      </c>
      <c r="Q660">
        <v>11</v>
      </c>
      <c r="R660" s="17">
        <f t="shared" si="327"/>
        <v>0.75</v>
      </c>
      <c r="S660" s="17">
        <f t="shared" si="328"/>
        <v>1.375</v>
      </c>
      <c r="T660" s="18">
        <f t="shared" si="329"/>
        <v>0.54545454545454541</v>
      </c>
      <c r="U660">
        <v>9</v>
      </c>
      <c r="V660">
        <v>22</v>
      </c>
      <c r="W660" s="17">
        <f t="shared" si="330"/>
        <v>1.125</v>
      </c>
      <c r="X660" s="17">
        <f t="shared" si="331"/>
        <v>2.75</v>
      </c>
      <c r="Y660" s="18">
        <f t="shared" si="332"/>
        <v>0.40909090909090912</v>
      </c>
      <c r="Z660">
        <v>11</v>
      </c>
      <c r="AA660">
        <v>13</v>
      </c>
      <c r="AB660" s="17">
        <f t="shared" si="333"/>
        <v>1.375</v>
      </c>
      <c r="AC660" s="17">
        <f t="shared" si="334"/>
        <v>1.625</v>
      </c>
      <c r="AD660" s="18">
        <f t="shared" si="335"/>
        <v>0.84615384615384615</v>
      </c>
      <c r="AE660">
        <v>18</v>
      </c>
      <c r="AF660" s="17">
        <f t="shared" si="336"/>
        <v>2.25</v>
      </c>
      <c r="AG660">
        <v>6</v>
      </c>
      <c r="AH660" s="17">
        <f t="shared" si="337"/>
        <v>0.75</v>
      </c>
      <c r="AI660">
        <v>12</v>
      </c>
      <c r="AJ660" s="17">
        <f t="shared" si="338"/>
        <v>1.5</v>
      </c>
      <c r="AK660">
        <v>5</v>
      </c>
      <c r="AL660" s="17">
        <f t="shared" si="339"/>
        <v>0.625</v>
      </c>
      <c r="AM660">
        <v>4</v>
      </c>
      <c r="AN660" s="17">
        <f t="shared" si="340"/>
        <v>0.5</v>
      </c>
      <c r="AO660">
        <v>2</v>
      </c>
      <c r="AQ660">
        <v>3</v>
      </c>
      <c r="AR660" s="17">
        <f t="shared" si="341"/>
        <v>0.375</v>
      </c>
      <c r="AS660">
        <v>22</v>
      </c>
      <c r="AT660" s="17">
        <f t="shared" si="342"/>
        <v>2.75</v>
      </c>
      <c r="BD660" s="65">
        <f t="shared" si="343"/>
        <v>64.566115702479337</v>
      </c>
      <c r="BE660" s="65">
        <f t="shared" si="344"/>
        <v>59.090909090909093</v>
      </c>
      <c r="BF660" s="66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13.396131176765998</v>
      </c>
      <c r="BG660" s="38">
        <f t="shared" si="345"/>
        <v>0.66666666666666663</v>
      </c>
      <c r="BH660" s="38">
        <f t="shared" si="346"/>
        <v>0.39393939393939392</v>
      </c>
      <c r="BI660" s="67">
        <f>IFERROR(((AG660*(12000/5))/((F660*60+G660)*(SUMIFS(팀공격력!X:X,팀공격력!A:A,B660,팀공격력!B:B,D660)+SUMIFS(팀수비력!X:X,팀수비력!A:A,B660,팀수비력!B:B,D660))))*100,"")</f>
        <v>2.2553706012442127</v>
      </c>
      <c r="BJ660" s="67">
        <f>IFERROR(((AI660*(12000/5))/((F660*60+G660)*(SUMIFS(팀공격력!V:V,팀공격력!A:A,B660,팀공격력!B:B,D660)+SUMIFS(팀수비력!W:W,팀수비력!A:A,B660,팀수비력!B:B,D660))))*100,"")</f>
        <v>8.5428507018189155</v>
      </c>
      <c r="BK660" s="67">
        <f>IFERROR(((AE660*(12000/5))/((F660*60+G660)*(SUMIFS(팀공격력!X:X,팀공격력!A:A,B660,팀공격력!B:B,D660)+SUMIFS(팀수비력!X:X,팀수비력!A:A,B660,팀수비력!B:B,D660))))*100,"")</f>
        <v>6.7661118037326382</v>
      </c>
      <c r="BL660" s="67">
        <f>IFERROR(100*AK660/(((((F660*60+G660)/(12000/5))*SUMIFS(팀공격력!P:P,팀공격력!A:A,B660,팀공격력!B:B,D660))-K660)),"")</f>
        <v>5.4321255907436576</v>
      </c>
      <c r="BM660" s="67">
        <f>IFERROR(100*((AM660/E660*(2400))/((F660*60+G660)*SUMIFS(팀공격력!AR:AR,팀공격력!A:A,B660,팀공격력!B:B,D660))),"")</f>
        <v>1.7164904430031669</v>
      </c>
      <c r="BN660" s="67">
        <f>IFERROR((AO660*40)/(((F660*60+G660)/60)*(SUMIFS(팀수비력!Q:Q,팀수비력!A:A,B660,팀수비력!B:B,D660)-SUMIFS(팀수비력!N:N,팀수비력!A:A,B660,팀수비력!B:B,D660)))*100,"")</f>
        <v>1.2438326630457317</v>
      </c>
      <c r="BO660" s="67">
        <f t="shared" si="347"/>
        <v>7.1907957813998085</v>
      </c>
      <c r="BT660" t="s">
        <v>89</v>
      </c>
      <c r="BV660" t="s">
        <v>93</v>
      </c>
      <c r="CF660">
        <v>4</v>
      </c>
      <c r="CG660">
        <v>4</v>
      </c>
    </row>
    <row r="661" spans="1:85" x14ac:dyDescent="0.4">
      <c r="A661" s="11" t="s">
        <v>85</v>
      </c>
      <c r="B661" t="s">
        <v>286</v>
      </c>
      <c r="C661" t="s">
        <v>305</v>
      </c>
      <c r="D661" s="46" t="s">
        <v>309</v>
      </c>
      <c r="E661">
        <v>7</v>
      </c>
      <c r="F661">
        <v>11</v>
      </c>
      <c r="G661" s="1">
        <v>0</v>
      </c>
      <c r="H661" s="16">
        <f t="shared" si="322"/>
        <v>4620</v>
      </c>
      <c r="I661">
        <v>33</v>
      </c>
      <c r="J661" s="17">
        <f t="shared" si="323"/>
        <v>4.7142857142857144</v>
      </c>
      <c r="K661">
        <v>13</v>
      </c>
      <c r="L661">
        <v>38</v>
      </c>
      <c r="M661" s="17">
        <f t="shared" si="324"/>
        <v>1.8571428571428572</v>
      </c>
      <c r="N661" s="17">
        <f t="shared" si="325"/>
        <v>5.4285714285714288</v>
      </c>
      <c r="O661" s="18">
        <f t="shared" si="326"/>
        <v>0.34210526315789475</v>
      </c>
      <c r="P661">
        <v>11</v>
      </c>
      <c r="Q661">
        <v>32</v>
      </c>
      <c r="R661" s="17">
        <f t="shared" si="327"/>
        <v>1.5714285714285714</v>
      </c>
      <c r="S661" s="17">
        <f t="shared" si="328"/>
        <v>4.5714285714285712</v>
      </c>
      <c r="T661" s="18">
        <f t="shared" si="329"/>
        <v>0.34375</v>
      </c>
      <c r="U661">
        <v>2</v>
      </c>
      <c r="V661">
        <v>6</v>
      </c>
      <c r="W661" s="17">
        <f t="shared" si="330"/>
        <v>0.2857142857142857</v>
      </c>
      <c r="X661" s="17">
        <f t="shared" si="331"/>
        <v>0.8571428571428571</v>
      </c>
      <c r="Y661" s="18">
        <f t="shared" si="332"/>
        <v>0.33333333333333331</v>
      </c>
      <c r="Z661">
        <v>5</v>
      </c>
      <c r="AA661">
        <v>7</v>
      </c>
      <c r="AB661" s="17">
        <f t="shared" si="333"/>
        <v>0.7142857142857143</v>
      </c>
      <c r="AC661" s="17">
        <f t="shared" si="334"/>
        <v>1</v>
      </c>
      <c r="AD661" s="18">
        <f t="shared" si="335"/>
        <v>0.7142857142857143</v>
      </c>
      <c r="AE661">
        <v>24</v>
      </c>
      <c r="AF661" s="17">
        <f t="shared" si="336"/>
        <v>3.4285714285714284</v>
      </c>
      <c r="AG661">
        <v>5</v>
      </c>
      <c r="AH661" s="17">
        <f t="shared" si="337"/>
        <v>0.7142857142857143</v>
      </c>
      <c r="AI661">
        <v>19</v>
      </c>
      <c r="AJ661" s="17">
        <f t="shared" si="338"/>
        <v>2.7142857142857144</v>
      </c>
      <c r="AK661">
        <v>7</v>
      </c>
      <c r="AL661" s="17">
        <f t="shared" si="339"/>
        <v>1</v>
      </c>
      <c r="AM661">
        <v>6</v>
      </c>
      <c r="AN661" s="17">
        <f t="shared" si="340"/>
        <v>0.8571428571428571</v>
      </c>
      <c r="AO661">
        <v>0</v>
      </c>
      <c r="AQ661">
        <v>5</v>
      </c>
      <c r="AR661" s="17">
        <f t="shared" si="341"/>
        <v>0.7142857142857143</v>
      </c>
      <c r="AS661">
        <v>9</v>
      </c>
      <c r="AT661" s="17">
        <f t="shared" si="342"/>
        <v>1.2857142857142858</v>
      </c>
      <c r="BD661" s="65">
        <f t="shared" si="343"/>
        <v>40.165530671859791</v>
      </c>
      <c r="BE661" s="65">
        <f t="shared" si="344"/>
        <v>36.84210526315789</v>
      </c>
      <c r="BF661" s="66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24.301490364838781</v>
      </c>
      <c r="BG661" s="38">
        <f t="shared" si="345"/>
        <v>0.15789473684210525</v>
      </c>
      <c r="BH661" s="38">
        <f t="shared" si="346"/>
        <v>0.18421052631578946</v>
      </c>
      <c r="BI661" s="67">
        <f>IFERROR(((AG661*(12000/5))/((F661*60+G661)*(SUMIFS(팀공격력!X:X,팀공격력!A:A,B661,팀공격력!B:B,D661)+SUMIFS(팀수비력!X:X,팀수비력!A:A,B661,팀수비력!B:B,D661))))*100,"")</f>
        <v>3.086896125945362</v>
      </c>
      <c r="BJ661" s="67">
        <f>IFERROR(((AI661*(12000/5))/((F661*60+G661)*(SUMIFS(팀공격력!V:V,팀공격력!A:A,B661,팀공격력!B:B,D661)+SUMIFS(팀수비력!W:W,팀수비력!A:A,B661,팀수비력!B:B,D661))))*100,"")</f>
        <v>22.215726395790707</v>
      </c>
      <c r="BK661" s="67">
        <f>IFERROR(((AE661*(12000/5))/((F661*60+G661)*(SUMIFS(팀공격력!X:X,팀공격력!A:A,B661,팀공격력!B:B,D661)+SUMIFS(팀수비력!X:X,팀수비력!A:A,B661,팀수비력!B:B,D661))))*100,"")</f>
        <v>14.817101404537739</v>
      </c>
      <c r="BL661" s="67">
        <f>IFERROR(100*AK661/(((((F661*60+G661)/(12000/5))*SUMIFS(팀공격력!P:P,팀공격력!A:A,B661,팀공격력!B:B,D661))-K661)),"")</f>
        <v>13.416387158600859</v>
      </c>
      <c r="BM661" s="67">
        <f>IFERROR(100*((AM661/E661*(2400))/((F661*60+G661)*SUMIFS(팀공격력!AR:AR,팀공격력!A:A,B661,팀공격력!B:B,D661))),"")</f>
        <v>4.8329237408193055</v>
      </c>
      <c r="BN661" s="67">
        <f>IFERROR((AO661*40)/(((F661*60+G661)/60)*(SUMIFS(팀수비력!Q:Q,팀수비력!A:A,B661,팀수비력!B:B,D661)-SUMIFS(팀수비력!N:N,팀수비력!A:A,B661,팀수비력!B:B,D661)))*100,"")</f>
        <v>0</v>
      </c>
      <c r="BO661" s="67">
        <f t="shared" si="347"/>
        <v>10.850694444444445</v>
      </c>
      <c r="BT661" t="s">
        <v>96</v>
      </c>
      <c r="BV661" t="s">
        <v>102</v>
      </c>
      <c r="CF661">
        <v>3</v>
      </c>
      <c r="CG661">
        <v>4</v>
      </c>
    </row>
    <row r="662" spans="1:85" x14ac:dyDescent="0.4">
      <c r="A662" s="11" t="s">
        <v>85</v>
      </c>
      <c r="B662" t="s">
        <v>99</v>
      </c>
      <c r="C662" t="s">
        <v>100</v>
      </c>
      <c r="D662" s="46" t="s">
        <v>311</v>
      </c>
      <c r="E662">
        <v>7</v>
      </c>
      <c r="F662">
        <v>15</v>
      </c>
      <c r="G662" s="1">
        <v>52</v>
      </c>
      <c r="H662" s="16">
        <f t="shared" si="322"/>
        <v>6664</v>
      </c>
      <c r="I662">
        <v>17</v>
      </c>
      <c r="J662" s="17">
        <f t="shared" si="323"/>
        <v>2.4285714285714284</v>
      </c>
      <c r="K662">
        <v>5</v>
      </c>
      <c r="L662">
        <v>16</v>
      </c>
      <c r="M662" s="17">
        <f t="shared" si="324"/>
        <v>0.7142857142857143</v>
      </c>
      <c r="N662" s="17">
        <f t="shared" si="325"/>
        <v>2.2857142857142856</v>
      </c>
      <c r="O662" s="18">
        <f t="shared" si="326"/>
        <v>0.3125</v>
      </c>
      <c r="P662">
        <v>3</v>
      </c>
      <c r="Q662">
        <v>3</v>
      </c>
      <c r="R662" s="17">
        <f t="shared" si="327"/>
        <v>0.42857142857142855</v>
      </c>
      <c r="S662" s="17">
        <f t="shared" si="328"/>
        <v>0.42857142857142855</v>
      </c>
      <c r="T662" s="18">
        <f t="shared" si="329"/>
        <v>1</v>
      </c>
      <c r="U662">
        <v>2</v>
      </c>
      <c r="V662">
        <v>13</v>
      </c>
      <c r="W662" s="17">
        <f t="shared" si="330"/>
        <v>0.2857142857142857</v>
      </c>
      <c r="X662" s="17">
        <f t="shared" si="331"/>
        <v>1.8571428571428572</v>
      </c>
      <c r="Y662" s="18">
        <f t="shared" si="332"/>
        <v>0.15384615384615385</v>
      </c>
      <c r="Z662">
        <v>5</v>
      </c>
      <c r="AA662">
        <v>5</v>
      </c>
      <c r="AB662" s="17">
        <f t="shared" si="333"/>
        <v>0.7142857142857143</v>
      </c>
      <c r="AC662" s="17">
        <f t="shared" si="334"/>
        <v>0.7142857142857143</v>
      </c>
      <c r="AD662" s="18">
        <f t="shared" si="335"/>
        <v>1</v>
      </c>
      <c r="AE662">
        <v>7</v>
      </c>
      <c r="AF662" s="17">
        <f t="shared" si="336"/>
        <v>1</v>
      </c>
      <c r="AG662">
        <v>3</v>
      </c>
      <c r="AH662" s="17">
        <f t="shared" si="337"/>
        <v>0.42857142857142855</v>
      </c>
      <c r="AI662">
        <v>4</v>
      </c>
      <c r="AJ662" s="17">
        <f t="shared" si="338"/>
        <v>0.5714285714285714</v>
      </c>
      <c r="AK662">
        <v>7</v>
      </c>
      <c r="AL662" s="17">
        <f t="shared" si="339"/>
        <v>1</v>
      </c>
      <c r="AM662">
        <v>4</v>
      </c>
      <c r="AN662" s="17">
        <f t="shared" si="340"/>
        <v>0.5714285714285714</v>
      </c>
      <c r="AO662">
        <v>0</v>
      </c>
      <c r="AQ662">
        <v>4</v>
      </c>
      <c r="AR662" s="17">
        <f t="shared" si="341"/>
        <v>0.5714285714285714</v>
      </c>
      <c r="AS662">
        <v>11</v>
      </c>
      <c r="AT662" s="17">
        <f t="shared" si="342"/>
        <v>1.5714285714285714</v>
      </c>
      <c r="BD662" s="65">
        <f t="shared" si="343"/>
        <v>46.703296703296701</v>
      </c>
      <c r="BE662" s="65">
        <f t="shared" si="344"/>
        <v>37.5</v>
      </c>
      <c r="BF662" s="66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8.3566843687842454</v>
      </c>
      <c r="BG662" s="38">
        <f t="shared" si="345"/>
        <v>0.8125</v>
      </c>
      <c r="BH662" s="38">
        <f t="shared" si="346"/>
        <v>0.3125</v>
      </c>
      <c r="BI662" s="67">
        <f>IFERROR(((AG662*(12000/5))/((F662*60+G662)*(SUMIFS(팀공격력!X:X,팀공격력!A:A,B662,팀공격력!B:B,D662)+SUMIFS(팀수비력!X:X,팀수비력!A:A,B662,팀수비력!B:B,D662))))*100,"")</f>
        <v>1.4162968558209801</v>
      </c>
      <c r="BJ662" s="67">
        <f>IFERROR(((AI662*(12000/5))/((F662*60+G662)*(SUMIFS(팀공격력!V:V,팀공격력!A:A,B662,팀공격력!B:B,D662)+SUMIFS(팀수비력!W:W,팀수비력!A:A,B662,팀수비력!B:B,D662))))*100,"")</f>
        <v>3.5382574082264489</v>
      </c>
      <c r="BK662" s="67">
        <f>IFERROR(((AE662*(12000/5))/((F662*60+G662)*(SUMIFS(팀공격력!X:X,팀공격력!A:A,B662,팀공격력!B:B,D662)+SUMIFS(팀수비력!X:X,팀수비력!A:A,B662,팀수비력!B:B,D662))))*100,"")</f>
        <v>3.3046926635822871</v>
      </c>
      <c r="BL662" s="67">
        <f>IFERROR(100*AK662/(((((F662*60+G662)/(12000/5))*SUMIFS(팀공격력!P:P,팀공격력!A:A,B662,팀공격력!B:B,D662))-K662)),"")</f>
        <v>8.1175106300734434</v>
      </c>
      <c r="BM662" s="67">
        <f>IFERROR(100*((AM662/E662*(2400))/((F662*60+G662)*SUMIFS(팀공격력!AR:AR,팀공격력!A:A,B662,팀공격력!B:B,D662))),"")</f>
        <v>2.2715888972721689</v>
      </c>
      <c r="BN662" s="67">
        <f>IFERROR((AO662*40)/(((F662*60+G662)/60)*(SUMIFS(팀수비력!Q:Q,팀수비력!A:A,B662,팀수비력!B:B,D662)-SUMIFS(팀수비력!N:N,팀수비력!A:A,B662,팀수비력!B:B,D662)))*100,"")</f>
        <v>0</v>
      </c>
      <c r="BO662" s="67">
        <f t="shared" si="347"/>
        <v>18.018018018018019</v>
      </c>
      <c r="BT662" t="s">
        <v>89</v>
      </c>
      <c r="BV662" t="s">
        <v>90</v>
      </c>
      <c r="CF662">
        <v>2</v>
      </c>
      <c r="CG662">
        <v>5</v>
      </c>
    </row>
    <row r="663" spans="1:85" x14ac:dyDescent="0.4">
      <c r="A663" s="11" t="s">
        <v>85</v>
      </c>
      <c r="B663" t="s">
        <v>99</v>
      </c>
      <c r="C663" t="s">
        <v>101</v>
      </c>
      <c r="D663" s="46" t="s">
        <v>311</v>
      </c>
      <c r="E663">
        <v>8</v>
      </c>
      <c r="F663">
        <v>34</v>
      </c>
      <c r="G663" s="1">
        <v>54</v>
      </c>
      <c r="H663" s="16">
        <f t="shared" si="322"/>
        <v>16752</v>
      </c>
      <c r="I663">
        <v>118</v>
      </c>
      <c r="J663" s="17">
        <f t="shared" si="323"/>
        <v>14.75</v>
      </c>
      <c r="K663">
        <v>45</v>
      </c>
      <c r="L663">
        <v>93</v>
      </c>
      <c r="M663" s="17">
        <f t="shared" si="324"/>
        <v>5.625</v>
      </c>
      <c r="N663" s="17">
        <f t="shared" si="325"/>
        <v>11.625</v>
      </c>
      <c r="O663" s="18">
        <f t="shared" si="326"/>
        <v>0.4838709677419355</v>
      </c>
      <c r="P663">
        <v>23</v>
      </c>
      <c r="Q663">
        <v>38</v>
      </c>
      <c r="R663" s="17">
        <f t="shared" si="327"/>
        <v>2.875</v>
      </c>
      <c r="S663" s="17">
        <f t="shared" si="328"/>
        <v>4.75</v>
      </c>
      <c r="T663" s="18">
        <f t="shared" si="329"/>
        <v>0.60526315789473684</v>
      </c>
      <c r="U663">
        <v>22</v>
      </c>
      <c r="V663">
        <v>55</v>
      </c>
      <c r="W663" s="17">
        <f t="shared" si="330"/>
        <v>2.75</v>
      </c>
      <c r="X663" s="17">
        <f t="shared" si="331"/>
        <v>6.875</v>
      </c>
      <c r="Y663" s="18">
        <f t="shared" si="332"/>
        <v>0.4</v>
      </c>
      <c r="Z663">
        <v>6</v>
      </c>
      <c r="AA663">
        <v>10</v>
      </c>
      <c r="AB663" s="17">
        <f t="shared" si="333"/>
        <v>0.75</v>
      </c>
      <c r="AC663" s="17">
        <f t="shared" si="334"/>
        <v>1.25</v>
      </c>
      <c r="AD663" s="18">
        <f t="shared" si="335"/>
        <v>0.6</v>
      </c>
      <c r="AE663">
        <v>31</v>
      </c>
      <c r="AF663" s="17">
        <f t="shared" si="336"/>
        <v>3.875</v>
      </c>
      <c r="AG663">
        <v>13</v>
      </c>
      <c r="AH663" s="17">
        <f t="shared" si="337"/>
        <v>1.625</v>
      </c>
      <c r="AI663">
        <v>18</v>
      </c>
      <c r="AJ663" s="17">
        <f t="shared" si="338"/>
        <v>2.25</v>
      </c>
      <c r="AK663">
        <v>11</v>
      </c>
      <c r="AL663" s="17">
        <f t="shared" si="339"/>
        <v>1.375</v>
      </c>
      <c r="AM663">
        <v>7</v>
      </c>
      <c r="AN663" s="17">
        <f t="shared" si="340"/>
        <v>0.875</v>
      </c>
      <c r="AO663">
        <v>4</v>
      </c>
      <c r="AQ663">
        <v>7</v>
      </c>
      <c r="AR663" s="17">
        <f t="shared" si="341"/>
        <v>0.875</v>
      </c>
      <c r="AS663">
        <v>27</v>
      </c>
      <c r="AT663" s="17">
        <f t="shared" si="342"/>
        <v>3.375</v>
      </c>
      <c r="BD663" s="65">
        <f t="shared" si="343"/>
        <v>60.574948665297732</v>
      </c>
      <c r="BE663" s="65">
        <f t="shared" si="344"/>
        <v>60.215053763440864</v>
      </c>
      <c r="BF663" s="66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17.866595063377638</v>
      </c>
      <c r="BG663" s="38">
        <f t="shared" si="345"/>
        <v>0.59139784946236562</v>
      </c>
      <c r="BH663" s="38">
        <f t="shared" si="346"/>
        <v>0.10752688172043011</v>
      </c>
      <c r="BI663" s="67">
        <f>IFERROR(((AG663*(12000/5))/((F663*60+G663)*(SUMIFS(팀공격력!X:X,팀공격력!A:A,B663,팀공격력!B:B,D663)+SUMIFS(팀수비력!X:X,팀수비력!A:A,B663,팀수비력!B:B,D663))))*100,"")</f>
        <v>2.7902085144285977</v>
      </c>
      <c r="BJ663" s="67">
        <f>IFERROR(((AI663*(12000/5))/((F663*60+G663)*(SUMIFS(팀공격력!V:V,팀공격력!A:A,B663,팀공격력!B:B,D663)+SUMIFS(팀수비력!W:W,팀수비력!A:A,B663,팀수비력!B:B,D663))))*100,"")</f>
        <v>7.2387271904690094</v>
      </c>
      <c r="BK663" s="67">
        <f>IFERROR(((AE663*(12000/5))/((F663*60+G663)*(SUMIFS(팀공격력!X:X,팀공격력!A:A,B663,팀공격력!B:B,D663)+SUMIFS(팀수비력!X:X,팀수비력!A:A,B663,팀수비력!B:B,D663))))*100,"")</f>
        <v>6.6535741497912708</v>
      </c>
      <c r="BL663" s="67">
        <f>IFERROR(100*AK663/(((((F663*60+G663)/(12000/5))*SUMIFS(팀공격력!P:P,팀공격력!A:A,B663,팀공격력!B:B,D663))-K663)),"")</f>
        <v>7.0660028906375461</v>
      </c>
      <c r="BM663" s="67">
        <f>IFERROR(100*((AM663/E663*(2400))/((F663*60+G663)*SUMIFS(팀공격력!AR:AR,팀공격력!A:A,B663,팀공격력!B:B,D663))),"")</f>
        <v>1.5813795200565923</v>
      </c>
      <c r="BN663" s="67">
        <f>IFERROR((AO663*40)/(((F663*60+G663)/60)*(SUMIFS(팀수비력!Q:Q,팀수비력!A:A,B663,팀수비력!B:B,D663)-SUMIFS(팀수비력!N:N,팀수비력!A:A,B663,팀수비력!B:B,D663)))*100,"")</f>
        <v>1.503123678895204</v>
      </c>
      <c r="BO663" s="67">
        <f t="shared" si="347"/>
        <v>6.7049808429118771</v>
      </c>
      <c r="BT663" t="s">
        <v>89</v>
      </c>
      <c r="BV663" t="s">
        <v>102</v>
      </c>
      <c r="CF663">
        <v>3</v>
      </c>
      <c r="CG663">
        <v>5</v>
      </c>
    </row>
    <row r="664" spans="1:85" x14ac:dyDescent="0.4">
      <c r="A664" s="11" t="s">
        <v>85</v>
      </c>
      <c r="B664" t="s">
        <v>99</v>
      </c>
      <c r="C664" t="s">
        <v>103</v>
      </c>
      <c r="D664" s="46" t="s">
        <v>311</v>
      </c>
      <c r="E664">
        <v>4</v>
      </c>
      <c r="F664">
        <v>2</v>
      </c>
      <c r="G664" s="1">
        <v>48</v>
      </c>
      <c r="H664" s="16">
        <f t="shared" si="322"/>
        <v>672</v>
      </c>
      <c r="I664">
        <v>0</v>
      </c>
      <c r="J664" s="17">
        <f t="shared" si="323"/>
        <v>0</v>
      </c>
      <c r="K664">
        <v>0</v>
      </c>
      <c r="L664">
        <v>2</v>
      </c>
      <c r="M664" s="17">
        <f t="shared" si="324"/>
        <v>0</v>
      </c>
      <c r="N664" s="17">
        <f t="shared" si="325"/>
        <v>0.5</v>
      </c>
      <c r="O664" s="18">
        <f t="shared" si="326"/>
        <v>0</v>
      </c>
      <c r="P664">
        <v>0</v>
      </c>
      <c r="Q664">
        <v>2</v>
      </c>
      <c r="R664" s="17">
        <f t="shared" si="327"/>
        <v>0</v>
      </c>
      <c r="S664" s="17">
        <f t="shared" si="328"/>
        <v>0.5</v>
      </c>
      <c r="T664" s="18">
        <f t="shared" si="329"/>
        <v>0</v>
      </c>
      <c r="U664">
        <v>0</v>
      </c>
      <c r="V664">
        <v>0</v>
      </c>
      <c r="W664" s="17">
        <f t="shared" si="330"/>
        <v>0</v>
      </c>
      <c r="X664" s="17">
        <f t="shared" si="331"/>
        <v>0</v>
      </c>
      <c r="Y664" s="18" t="e">
        <f t="shared" si="332"/>
        <v>#DIV/0!</v>
      </c>
      <c r="Z664">
        <v>0</v>
      </c>
      <c r="AA664">
        <v>0</v>
      </c>
      <c r="AB664" s="17">
        <f t="shared" si="333"/>
        <v>0</v>
      </c>
      <c r="AC664" s="17">
        <f t="shared" si="334"/>
        <v>0</v>
      </c>
      <c r="AD664" s="18" t="e">
        <f t="shared" si="335"/>
        <v>#DIV/0!</v>
      </c>
      <c r="AE664">
        <v>0</v>
      </c>
      <c r="AF664" s="17">
        <f t="shared" si="336"/>
        <v>0</v>
      </c>
      <c r="AG664">
        <v>0</v>
      </c>
      <c r="AH664" s="17">
        <f t="shared" si="337"/>
        <v>0</v>
      </c>
      <c r="AI664">
        <v>0</v>
      </c>
      <c r="AJ664" s="17">
        <f t="shared" si="338"/>
        <v>0</v>
      </c>
      <c r="AK664">
        <v>0</v>
      </c>
      <c r="AL664" s="17">
        <f t="shared" si="339"/>
        <v>0</v>
      </c>
      <c r="AM664">
        <v>1</v>
      </c>
      <c r="AN664" s="17">
        <f t="shared" si="340"/>
        <v>0.25</v>
      </c>
      <c r="AO664">
        <v>0</v>
      </c>
      <c r="AQ664">
        <v>1</v>
      </c>
      <c r="AR664" s="17">
        <f t="shared" si="341"/>
        <v>0.25</v>
      </c>
      <c r="AS664">
        <v>2</v>
      </c>
      <c r="AT664" s="17">
        <f t="shared" si="342"/>
        <v>0.5</v>
      </c>
      <c r="BD664" s="65">
        <f t="shared" si="343"/>
        <v>0</v>
      </c>
      <c r="BE664" s="65">
        <f t="shared" si="344"/>
        <v>0</v>
      </c>
      <c r="BF664" s="66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6.3992628049248719</v>
      </c>
      <c r="BG664" s="38">
        <f t="shared" si="345"/>
        <v>0</v>
      </c>
      <c r="BH664" s="38">
        <f t="shared" si="346"/>
        <v>0</v>
      </c>
      <c r="BI664" s="67">
        <f>IFERROR(((AG664*(12000/5))/((F664*60+G664)*(SUMIFS(팀공격력!X:X,팀공격력!A:A,B664,팀공격력!B:B,D664)+SUMIFS(팀수비력!X:X,팀수비력!A:A,B664,팀수비력!B:B,D664))))*100,"")</f>
        <v>0</v>
      </c>
      <c r="BJ664" s="67">
        <f>IFERROR(((AI664*(12000/5))/((F664*60+G664)*(SUMIFS(팀공격력!V:V,팀공격력!A:A,B664,팀공격력!B:B,D664)+SUMIFS(팀수비력!W:W,팀수비력!A:A,B664,팀수비력!B:B,D664))))*100,"")</f>
        <v>0</v>
      </c>
      <c r="BK664" s="67">
        <f>IFERROR(((AE664*(12000/5))/((F664*60+G664)*(SUMIFS(팀공격력!X:X,팀공격력!A:A,B664,팀공격력!B:B,D664)+SUMIFS(팀수비력!X:X,팀수비력!A:A,B664,팀수비력!B:B,D664))))*100,"")</f>
        <v>0</v>
      </c>
      <c r="BL664" s="67">
        <f>IFERROR(100*AK664/(((((F664*60+G664)/(12000/5))*SUMIFS(팀공격력!P:P,팀공격력!A:A,B664,팀공격력!B:B,D664))-K664)),"")</f>
        <v>0</v>
      </c>
      <c r="BM664" s="67">
        <f>IFERROR(100*((AM664/E664*(2400))/((F664*60+G664)*SUMIFS(팀공격력!AR:AR,팀공격력!A:A,B664,팀공격력!B:B,D664))),"")</f>
        <v>5.6316474744872513</v>
      </c>
      <c r="BN664" s="67">
        <f>IFERROR((AO664*40)/(((F664*60+G664)/60)*(SUMIFS(팀수비력!Q:Q,팀수비력!A:A,B664,팀수비력!B:B,D664)-SUMIFS(팀수비력!N:N,팀수비력!A:A,B664,팀수비력!B:B,D664)))*100,"")</f>
        <v>0</v>
      </c>
      <c r="BO664" s="67">
        <f t="shared" si="347"/>
        <v>33.333333333333336</v>
      </c>
      <c r="BT664" t="s">
        <v>89</v>
      </c>
      <c r="BV664" t="s">
        <v>90</v>
      </c>
      <c r="CF664">
        <v>1</v>
      </c>
      <c r="CG664">
        <v>3</v>
      </c>
    </row>
    <row r="665" spans="1:85" x14ac:dyDescent="0.4">
      <c r="A665" s="11" t="s">
        <v>85</v>
      </c>
      <c r="B665" t="s">
        <v>99</v>
      </c>
      <c r="C665" t="s">
        <v>105</v>
      </c>
      <c r="D665" s="46" t="s">
        <v>311</v>
      </c>
      <c r="E665">
        <v>6</v>
      </c>
      <c r="F665">
        <v>12</v>
      </c>
      <c r="G665" s="1">
        <v>38</v>
      </c>
      <c r="H665" s="16">
        <f t="shared" si="322"/>
        <v>4548</v>
      </c>
      <c r="I665">
        <v>10</v>
      </c>
      <c r="J665" s="17">
        <f t="shared" si="323"/>
        <v>1.6666666666666667</v>
      </c>
      <c r="K665">
        <v>4</v>
      </c>
      <c r="L665">
        <v>9</v>
      </c>
      <c r="M665" s="17">
        <f t="shared" si="324"/>
        <v>0.66666666666666663</v>
      </c>
      <c r="N665" s="17">
        <f t="shared" si="325"/>
        <v>1.5</v>
      </c>
      <c r="O665" s="18">
        <f t="shared" si="326"/>
        <v>0.44444444444444442</v>
      </c>
      <c r="P665">
        <v>3</v>
      </c>
      <c r="Q665">
        <v>5</v>
      </c>
      <c r="R665" s="17">
        <f t="shared" si="327"/>
        <v>0.5</v>
      </c>
      <c r="S665" s="17">
        <f t="shared" si="328"/>
        <v>0.83333333333333337</v>
      </c>
      <c r="T665" s="18">
        <f t="shared" si="329"/>
        <v>0.6</v>
      </c>
      <c r="U665">
        <v>1</v>
      </c>
      <c r="V665">
        <v>4</v>
      </c>
      <c r="W665" s="17">
        <f t="shared" si="330"/>
        <v>0.16666666666666666</v>
      </c>
      <c r="X665" s="17">
        <f t="shared" si="331"/>
        <v>0.66666666666666663</v>
      </c>
      <c r="Y665" s="18">
        <f t="shared" si="332"/>
        <v>0.25</v>
      </c>
      <c r="Z665">
        <v>1</v>
      </c>
      <c r="AA665">
        <v>2</v>
      </c>
      <c r="AB665" s="17">
        <f t="shared" si="333"/>
        <v>0.16666666666666666</v>
      </c>
      <c r="AC665" s="17">
        <f t="shared" si="334"/>
        <v>0.33333333333333331</v>
      </c>
      <c r="AD665" s="18">
        <f t="shared" si="335"/>
        <v>0.5</v>
      </c>
      <c r="AE665">
        <v>25</v>
      </c>
      <c r="AF665" s="17">
        <f t="shared" si="336"/>
        <v>4.166666666666667</v>
      </c>
      <c r="AG665">
        <v>9</v>
      </c>
      <c r="AH665" s="17">
        <f t="shared" si="337"/>
        <v>1.5</v>
      </c>
      <c r="AI665">
        <v>16</v>
      </c>
      <c r="AJ665" s="17">
        <f t="shared" si="338"/>
        <v>2.6666666666666665</v>
      </c>
      <c r="AK665">
        <v>4</v>
      </c>
      <c r="AL665" s="17">
        <f t="shared" si="339"/>
        <v>0.66666666666666663</v>
      </c>
      <c r="AM665">
        <v>1</v>
      </c>
      <c r="AN665" s="17">
        <f t="shared" si="340"/>
        <v>0.16666666666666666</v>
      </c>
      <c r="AO665">
        <v>1</v>
      </c>
      <c r="AQ665">
        <v>3</v>
      </c>
      <c r="AR665" s="17">
        <f t="shared" si="341"/>
        <v>0.5</v>
      </c>
      <c r="AS665">
        <v>12</v>
      </c>
      <c r="AT665" s="17">
        <f t="shared" si="342"/>
        <v>2</v>
      </c>
      <c r="BD665" s="65">
        <f t="shared" si="343"/>
        <v>50.607287449392715</v>
      </c>
      <c r="BE665" s="65">
        <f t="shared" si="344"/>
        <v>50</v>
      </c>
      <c r="BF665" s="66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6.0892615777522598</v>
      </c>
      <c r="BG665" s="38">
        <f t="shared" si="345"/>
        <v>0.44444444444444442</v>
      </c>
      <c r="BH665" s="38">
        <f t="shared" si="346"/>
        <v>0.22222222222222221</v>
      </c>
      <c r="BI665" s="67">
        <f>IFERROR(((AG665*(12000/5))/((F665*60+G665)*(SUMIFS(팀공격력!X:X,팀공격력!A:A,B665,팀공격력!B:B,D665)+SUMIFS(팀수비력!X:X,팀수비력!A:A,B665,팀수비력!B:B,D665))))*100,"")</f>
        <v>5.3363374937001575</v>
      </c>
      <c r="BJ665" s="67">
        <f>IFERROR(((AI665*(12000/5))/((F665*60+G665)*(SUMIFS(팀공격력!V:V,팀공격력!A:A,B665,팀공격력!B:B,D665)+SUMIFS(팀수비력!W:W,팀수비력!A:A,B665,팀수비력!B:B,D665))))*100,"")</f>
        <v>17.775308984863216</v>
      </c>
      <c r="BK665" s="67">
        <f>IFERROR(((AE665*(12000/5))/((F665*60+G665)*(SUMIFS(팀공격력!X:X,팀공격력!A:A,B665,팀공격력!B:B,D665)+SUMIFS(팀수비력!X:X,팀수비력!A:A,B665,팀수비력!B:B,D665))))*100,"")</f>
        <v>14.823159704722658</v>
      </c>
      <c r="BL665" s="67">
        <f>IFERROR(100*AK665/(((((F665*60+G665)/(12000/5))*SUMIFS(팀공격력!P:P,팀공격력!A:A,B665,팀공격력!B:B,D665))-K665)),"")</f>
        <v>5.8273643316741532</v>
      </c>
      <c r="BM665" s="67">
        <f>IFERROR(100*((AM665/E665*(2400))/((F665*60+G665)*SUMIFS(팀공격력!AR:AR,팀공격력!A:A,B665,팀공격력!B:B,D665))),"")</f>
        <v>0.83211677723294497</v>
      </c>
      <c r="BN665" s="67">
        <f>IFERROR((AO665*40)/(((F665*60+G665)/60)*(SUMIFS(팀수비력!Q:Q,팀수비력!A:A,B665,팀수비력!B:B,D665)-SUMIFS(팀수비력!N:N,팀수비력!A:A,B665,팀수비력!B:B,D665)))*100,"")</f>
        <v>1.0381071845668066</v>
      </c>
      <c r="BO665" s="67">
        <f t="shared" si="347"/>
        <v>23.291925465838506</v>
      </c>
      <c r="BT665" t="s">
        <v>89</v>
      </c>
      <c r="BV665" t="s">
        <v>90</v>
      </c>
      <c r="CF665">
        <v>2</v>
      </c>
      <c r="CG665">
        <v>4</v>
      </c>
    </row>
    <row r="666" spans="1:85" x14ac:dyDescent="0.4">
      <c r="A666" s="11" t="s">
        <v>85</v>
      </c>
      <c r="B666" t="s">
        <v>99</v>
      </c>
      <c r="C666" t="s">
        <v>106</v>
      </c>
      <c r="D666" s="46" t="s">
        <v>311</v>
      </c>
      <c r="E666">
        <v>8</v>
      </c>
      <c r="F666">
        <v>11</v>
      </c>
      <c r="G666" s="1">
        <v>28</v>
      </c>
      <c r="H666" s="16">
        <f t="shared" si="322"/>
        <v>5504</v>
      </c>
      <c r="I666">
        <v>53</v>
      </c>
      <c r="J666" s="17">
        <f t="shared" si="323"/>
        <v>6.625</v>
      </c>
      <c r="K666">
        <v>21</v>
      </c>
      <c r="L666">
        <v>56</v>
      </c>
      <c r="M666" s="17">
        <f t="shared" si="324"/>
        <v>2.625</v>
      </c>
      <c r="N666" s="17">
        <f t="shared" si="325"/>
        <v>7</v>
      </c>
      <c r="O666" s="18">
        <f t="shared" si="326"/>
        <v>0.375</v>
      </c>
      <c r="P666">
        <v>14</v>
      </c>
      <c r="Q666">
        <v>30</v>
      </c>
      <c r="R666" s="17">
        <f t="shared" si="327"/>
        <v>1.75</v>
      </c>
      <c r="S666" s="17">
        <f t="shared" si="328"/>
        <v>3.75</v>
      </c>
      <c r="T666" s="18">
        <f t="shared" si="329"/>
        <v>0.46666666666666667</v>
      </c>
      <c r="U666">
        <v>7</v>
      </c>
      <c r="V666">
        <v>26</v>
      </c>
      <c r="W666" s="17">
        <f t="shared" si="330"/>
        <v>0.875</v>
      </c>
      <c r="X666" s="17">
        <f t="shared" si="331"/>
        <v>3.25</v>
      </c>
      <c r="Y666" s="18">
        <f t="shared" si="332"/>
        <v>0.26923076923076922</v>
      </c>
      <c r="Z666">
        <v>4</v>
      </c>
      <c r="AA666">
        <v>8</v>
      </c>
      <c r="AB666" s="17">
        <f t="shared" si="333"/>
        <v>0.5</v>
      </c>
      <c r="AC666" s="17">
        <f t="shared" si="334"/>
        <v>1</v>
      </c>
      <c r="AD666" s="18">
        <f t="shared" si="335"/>
        <v>0.5</v>
      </c>
      <c r="AE666">
        <v>18</v>
      </c>
      <c r="AF666" s="17">
        <f t="shared" si="336"/>
        <v>2.25</v>
      </c>
      <c r="AG666">
        <v>2</v>
      </c>
      <c r="AH666" s="17">
        <f t="shared" si="337"/>
        <v>0.25</v>
      </c>
      <c r="AI666">
        <v>16</v>
      </c>
      <c r="AJ666" s="17">
        <f t="shared" si="338"/>
        <v>2</v>
      </c>
      <c r="AK666">
        <v>2</v>
      </c>
      <c r="AL666" s="17">
        <f t="shared" si="339"/>
        <v>0.25</v>
      </c>
      <c r="AM666">
        <v>2</v>
      </c>
      <c r="AN666" s="17">
        <f t="shared" si="340"/>
        <v>0.25</v>
      </c>
      <c r="AO666">
        <v>1</v>
      </c>
      <c r="AQ666">
        <v>8</v>
      </c>
      <c r="AR666" s="17">
        <f t="shared" si="341"/>
        <v>1</v>
      </c>
      <c r="AS666">
        <v>8</v>
      </c>
      <c r="AT666" s="17">
        <f t="shared" si="342"/>
        <v>1</v>
      </c>
      <c r="BD666" s="65">
        <f t="shared" si="343"/>
        <v>44.522849462365585</v>
      </c>
      <c r="BE666" s="65">
        <f t="shared" si="344"/>
        <v>43.75</v>
      </c>
      <c r="BF666" s="66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35.169157815345258</v>
      </c>
      <c r="BG666" s="38">
        <f t="shared" si="345"/>
        <v>0.4642857142857143</v>
      </c>
      <c r="BH666" s="38">
        <f t="shared" si="346"/>
        <v>0.14285714285714285</v>
      </c>
      <c r="BI666" s="67">
        <f>IFERROR(((AG666*(12000/5))/((F666*60+G666)*(SUMIFS(팀공격력!X:X,팀공격력!A:A,B666,팀공격력!B:B,D666)+SUMIFS(팀수비력!X:X,팀수비력!A:A,B666,팀수비력!B:B,D666))))*100,"")</f>
        <v>1.3065064018813692</v>
      </c>
      <c r="BJ666" s="67">
        <f>IFERROR(((AI666*(12000/5))/((F666*60+G666)*(SUMIFS(팀공격력!V:V,팀공격력!A:A,B666,팀공격력!B:B,D666)+SUMIFS(팀수비력!W:W,팀수비력!A:A,B666,팀수비력!B:B,D666))))*100,"")</f>
        <v>19.583843329253366</v>
      </c>
      <c r="BK666" s="67">
        <f>IFERROR(((AE666*(12000/5))/((F666*60+G666)*(SUMIFS(팀공격력!X:X,팀공격력!A:A,B666,팀공격력!B:B,D666)+SUMIFS(팀수비력!X:X,팀수비력!A:A,B666,팀수비력!B:B,D666))))*100,"")</f>
        <v>11.758557616932324</v>
      </c>
      <c r="BL666" s="67">
        <f>IFERROR(100*AK666/(((((F666*60+G666)/(12000/5))*SUMIFS(팀공격력!P:P,팀공격력!A:A,B666,팀공격력!B:B,D666))-K666)),"")</f>
        <v>4.4510385756676554</v>
      </c>
      <c r="BM666" s="67">
        <f>IFERROR(100*((AM666/E666*(2400))/((F666*60+G666)*SUMIFS(팀공격력!AR:AR,팀공격력!A:A,B666,팀공격력!B:B,D666))),"")</f>
        <v>1.375169732142236</v>
      </c>
      <c r="BN666" s="67">
        <f>IFERROR((AO666*40)/(((F666*60+G666)/60)*(SUMIFS(팀수비력!Q:Q,팀수비력!A:A,B666,팀수비력!B:B,D666)-SUMIFS(팀수비력!N:N,팀수비력!A:A,B666,팀수비력!B:B,D666)))*100,"")</f>
        <v>1.1437285550895921</v>
      </c>
      <c r="BO666" s="67">
        <f t="shared" si="347"/>
        <v>11.848341232227487</v>
      </c>
      <c r="BT666" t="s">
        <v>96</v>
      </c>
      <c r="BV666" t="s">
        <v>93</v>
      </c>
      <c r="CF666">
        <v>3</v>
      </c>
      <c r="CG666">
        <v>5</v>
      </c>
    </row>
    <row r="667" spans="1:85" x14ac:dyDescent="0.4">
      <c r="A667" s="11" t="s">
        <v>85</v>
      </c>
      <c r="B667" t="s">
        <v>99</v>
      </c>
      <c r="C667" t="s">
        <v>108</v>
      </c>
      <c r="D667" s="46" t="s">
        <v>311</v>
      </c>
      <c r="E667">
        <v>2</v>
      </c>
      <c r="F667">
        <v>3</v>
      </c>
      <c r="G667" s="1">
        <v>58</v>
      </c>
      <c r="H667" s="16">
        <f t="shared" si="322"/>
        <v>476</v>
      </c>
      <c r="I667">
        <v>3</v>
      </c>
      <c r="J667" s="17">
        <f t="shared" si="323"/>
        <v>1.5</v>
      </c>
      <c r="K667">
        <v>1</v>
      </c>
      <c r="L667">
        <v>4</v>
      </c>
      <c r="M667" s="17">
        <f t="shared" si="324"/>
        <v>0.5</v>
      </c>
      <c r="N667" s="17">
        <f t="shared" si="325"/>
        <v>2</v>
      </c>
      <c r="O667" s="18">
        <f t="shared" si="326"/>
        <v>0.25</v>
      </c>
      <c r="P667">
        <v>0</v>
      </c>
      <c r="Q667">
        <v>1</v>
      </c>
      <c r="R667" s="17">
        <f t="shared" si="327"/>
        <v>0</v>
      </c>
      <c r="S667" s="17">
        <f t="shared" si="328"/>
        <v>0.5</v>
      </c>
      <c r="T667" s="18">
        <f t="shared" si="329"/>
        <v>0</v>
      </c>
      <c r="U667">
        <v>1</v>
      </c>
      <c r="V667">
        <v>3</v>
      </c>
      <c r="W667" s="17">
        <f t="shared" si="330"/>
        <v>0.5</v>
      </c>
      <c r="X667" s="17">
        <f t="shared" si="331"/>
        <v>1.5</v>
      </c>
      <c r="Y667" s="18">
        <f t="shared" si="332"/>
        <v>0.33333333333333331</v>
      </c>
      <c r="Z667">
        <v>0</v>
      </c>
      <c r="AA667">
        <v>0</v>
      </c>
      <c r="AB667" s="17">
        <f t="shared" si="333"/>
        <v>0</v>
      </c>
      <c r="AC667" s="17">
        <f t="shared" si="334"/>
        <v>0</v>
      </c>
      <c r="AD667" s="18" t="e">
        <f t="shared" si="335"/>
        <v>#DIV/0!</v>
      </c>
      <c r="AE667">
        <v>0</v>
      </c>
      <c r="AF667" s="17">
        <f t="shared" si="336"/>
        <v>0</v>
      </c>
      <c r="AG667">
        <v>0</v>
      </c>
      <c r="AH667" s="17">
        <f t="shared" si="337"/>
        <v>0</v>
      </c>
      <c r="AI667">
        <v>0</v>
      </c>
      <c r="AJ667" s="17">
        <f t="shared" si="338"/>
        <v>0</v>
      </c>
      <c r="AK667">
        <v>1</v>
      </c>
      <c r="AL667" s="17">
        <f t="shared" si="339"/>
        <v>0.5</v>
      </c>
      <c r="AM667">
        <v>0</v>
      </c>
      <c r="AN667" s="17">
        <f t="shared" si="340"/>
        <v>0</v>
      </c>
      <c r="AO667">
        <v>0</v>
      </c>
      <c r="AQ667">
        <v>0</v>
      </c>
      <c r="AR667" s="17">
        <f t="shared" si="341"/>
        <v>0</v>
      </c>
      <c r="AS667">
        <v>1</v>
      </c>
      <c r="AT667" s="17">
        <f t="shared" si="342"/>
        <v>0.5</v>
      </c>
      <c r="BD667" s="65">
        <f t="shared" si="343"/>
        <v>37.5</v>
      </c>
      <c r="BE667" s="65">
        <f t="shared" si="344"/>
        <v>37.5</v>
      </c>
      <c r="BF667" s="66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6.0228355811057623</v>
      </c>
      <c r="BG667" s="38">
        <f t="shared" si="345"/>
        <v>0.75</v>
      </c>
      <c r="BH667" s="38">
        <f t="shared" si="346"/>
        <v>0</v>
      </c>
      <c r="BI667" s="67">
        <f>IFERROR(((AG667*(12000/5))/((F667*60+G667)*(SUMIFS(팀공격력!X:X,팀공격력!A:A,B667,팀공격력!B:B,D667)+SUMIFS(팀수비력!X:X,팀수비력!A:A,B667,팀수비력!B:B,D667))))*100,"")</f>
        <v>0</v>
      </c>
      <c r="BJ667" s="67">
        <f>IFERROR(((AI667*(12000/5))/((F667*60+G667)*(SUMIFS(팀공격력!V:V,팀공격력!A:A,B667,팀공격력!B:B,D667)+SUMIFS(팀수비력!W:W,팀수비력!A:A,B667,팀수비력!B:B,D667))))*100,"")</f>
        <v>0</v>
      </c>
      <c r="BK667" s="67">
        <f>IFERROR(((AE667*(12000/5))/((F667*60+G667)*(SUMIFS(팀공격력!X:X,팀공격력!A:A,B667,팀공격력!B:B,D667)+SUMIFS(팀수비력!X:X,팀수비력!A:A,B667,팀수비력!B:B,D667))))*100,"")</f>
        <v>0</v>
      </c>
      <c r="BL667" s="67">
        <f>IFERROR(100*AK667/(((((F667*60+G667)/(12000/5))*SUMIFS(팀공격력!P:P,팀공격력!A:A,B667,팀공격력!B:B,D667))-K667)),"")</f>
        <v>4.5854031333588079</v>
      </c>
      <c r="BM667" s="67">
        <f>IFERROR(100*((AM667/E667*(2400))/((F667*60+G667)*SUMIFS(팀공격력!AR:AR,팀공격력!A:A,B667,팀공격력!B:B,D667))),"")</f>
        <v>0</v>
      </c>
      <c r="BN667" s="67">
        <f>IFERROR((AO667*40)/(((F667*60+G667)/60)*(SUMIFS(팀수비력!Q:Q,팀수비력!A:A,B667,팀수비력!B:B,D667)-SUMIFS(팀수비력!N:N,팀수비력!A:A,B667,팀수비력!B:B,D667)))*100,"")</f>
        <v>0</v>
      </c>
      <c r="BO667" s="67">
        <f t="shared" si="347"/>
        <v>0</v>
      </c>
      <c r="BT667" t="s">
        <v>89</v>
      </c>
      <c r="BV667" t="s">
        <v>90</v>
      </c>
      <c r="CF667">
        <v>1</v>
      </c>
      <c r="CG667">
        <v>1</v>
      </c>
    </row>
    <row r="668" spans="1:85" x14ac:dyDescent="0.4">
      <c r="A668" s="11" t="s">
        <v>85</v>
      </c>
      <c r="B668" t="s">
        <v>99</v>
      </c>
      <c r="C668" t="s">
        <v>109</v>
      </c>
      <c r="D668" s="46" t="s">
        <v>311</v>
      </c>
      <c r="E668">
        <v>8</v>
      </c>
      <c r="F668">
        <v>23</v>
      </c>
      <c r="G668" s="1">
        <v>46</v>
      </c>
      <c r="H668" s="16">
        <f t="shared" si="322"/>
        <v>11408</v>
      </c>
      <c r="I668">
        <v>58</v>
      </c>
      <c r="J668" s="17">
        <f t="shared" si="323"/>
        <v>7.25</v>
      </c>
      <c r="K668">
        <v>21</v>
      </c>
      <c r="L668">
        <v>55</v>
      </c>
      <c r="M668" s="17">
        <f t="shared" si="324"/>
        <v>2.625</v>
      </c>
      <c r="N668" s="17">
        <f t="shared" si="325"/>
        <v>6.875</v>
      </c>
      <c r="O668" s="18">
        <f t="shared" si="326"/>
        <v>0.38181818181818183</v>
      </c>
      <c r="P668">
        <v>10</v>
      </c>
      <c r="Q668">
        <v>18</v>
      </c>
      <c r="R668" s="17">
        <f t="shared" si="327"/>
        <v>1.25</v>
      </c>
      <c r="S668" s="17">
        <f t="shared" si="328"/>
        <v>2.25</v>
      </c>
      <c r="T668" s="18">
        <f t="shared" si="329"/>
        <v>0.55555555555555558</v>
      </c>
      <c r="U668">
        <v>11</v>
      </c>
      <c r="V668">
        <v>37</v>
      </c>
      <c r="W668" s="17">
        <f t="shared" si="330"/>
        <v>1.375</v>
      </c>
      <c r="X668" s="17">
        <f t="shared" si="331"/>
        <v>4.625</v>
      </c>
      <c r="Y668" s="18">
        <f t="shared" si="332"/>
        <v>0.29729729729729731</v>
      </c>
      <c r="Z668">
        <v>5</v>
      </c>
      <c r="AA668">
        <v>7</v>
      </c>
      <c r="AB668" s="17">
        <f t="shared" si="333"/>
        <v>0.625</v>
      </c>
      <c r="AC668" s="17">
        <f t="shared" si="334"/>
        <v>0.875</v>
      </c>
      <c r="AD668" s="18">
        <f t="shared" si="335"/>
        <v>0.7142857142857143</v>
      </c>
      <c r="AE668">
        <v>7</v>
      </c>
      <c r="AF668" s="17">
        <f t="shared" si="336"/>
        <v>0.875</v>
      </c>
      <c r="AG668">
        <v>4</v>
      </c>
      <c r="AH668" s="17">
        <f t="shared" si="337"/>
        <v>0.5</v>
      </c>
      <c r="AI668">
        <v>3</v>
      </c>
      <c r="AJ668" s="17">
        <f t="shared" si="338"/>
        <v>0.375</v>
      </c>
      <c r="AK668">
        <v>12</v>
      </c>
      <c r="AL668" s="17">
        <f t="shared" si="339"/>
        <v>1.5</v>
      </c>
      <c r="AM668">
        <v>9</v>
      </c>
      <c r="AN668" s="17">
        <f t="shared" si="340"/>
        <v>1.125</v>
      </c>
      <c r="AO668">
        <v>0</v>
      </c>
      <c r="AQ668">
        <v>5</v>
      </c>
      <c r="AR668" s="17">
        <f t="shared" si="341"/>
        <v>0.625</v>
      </c>
      <c r="AS668">
        <v>20</v>
      </c>
      <c r="AT668" s="17">
        <f t="shared" si="342"/>
        <v>2.5</v>
      </c>
      <c r="BD668" s="65">
        <f t="shared" si="343"/>
        <v>49.931129476584026</v>
      </c>
      <c r="BE668" s="65">
        <f t="shared" si="344"/>
        <v>48.18181818181818</v>
      </c>
      <c r="BF668" s="66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15.852221509916559</v>
      </c>
      <c r="BG668" s="38">
        <f t="shared" si="345"/>
        <v>0.67272727272727273</v>
      </c>
      <c r="BH668" s="38">
        <f t="shared" si="346"/>
        <v>0.12727272727272726</v>
      </c>
      <c r="BI668" s="67">
        <f>IFERROR(((AG668*(12000/5))/((F668*60+G668)*(SUMIFS(팀공격력!X:X,팀공격력!A:A,B668,팀공격력!B:B,D668)+SUMIFS(팀수비력!X:X,팀수비력!A:A,B668,팀수비력!B:B,D668))))*100,"")</f>
        <v>1.2606962194872118</v>
      </c>
      <c r="BJ668" s="67">
        <f>IFERROR(((AI668*(12000/5))/((F668*60+G668)*(SUMIFS(팀공격력!V:V,팀공격력!A:A,B668,팀공격력!B:B,D668)+SUMIFS(팀수비력!W:W,팀수비력!A:A,B668,팀수비력!B:B,D668))))*100,"")</f>
        <v>1.7716099505425555</v>
      </c>
      <c r="BK668" s="67">
        <f>IFERROR(((AE668*(12000/5))/((F668*60+G668)*(SUMIFS(팀공격력!X:X,팀공격력!A:A,B668,팀공격력!B:B,D668)+SUMIFS(팀수비력!X:X,팀수비력!A:A,B668,팀수비력!B:B,D668))))*100,"")</f>
        <v>2.2062183841026206</v>
      </c>
      <c r="BL668" s="67">
        <f>IFERROR(100*AK668/(((((F668*60+G668)/(12000/5))*SUMIFS(팀공격력!P:P,팀공격력!A:A,B668,팀공격력!B:B,D668))-K668)),"")</f>
        <v>10.375387275740326</v>
      </c>
      <c r="BM668" s="67">
        <f>IFERROR(100*((AM668/E668*(2400))/((F668*60+G668)*SUMIFS(팀공격력!AR:AR,팀공격력!A:A,B668,팀공격력!B:B,D668))),"")</f>
        <v>2.9856419990970284</v>
      </c>
      <c r="BN668" s="67">
        <f>IFERROR((AO668*40)/(((F668*60+G668)/60)*(SUMIFS(팀수비력!Q:Q,팀수비력!A:A,B668,팀수비력!B:B,D668)-SUMIFS(팀수비력!N:N,팀수비력!A:A,B668,팀수비력!B:B,D668)))*100,"")</f>
        <v>0</v>
      </c>
      <c r="BO668" s="67">
        <f t="shared" si="347"/>
        <v>7.9264426125554852</v>
      </c>
      <c r="BT668" t="s">
        <v>89</v>
      </c>
      <c r="BV668" t="s">
        <v>90</v>
      </c>
      <c r="CF668">
        <v>3</v>
      </c>
      <c r="CG668">
        <v>5</v>
      </c>
    </row>
    <row r="669" spans="1:85" x14ac:dyDescent="0.4">
      <c r="A669" s="11" t="s">
        <v>85</v>
      </c>
      <c r="B669" t="s">
        <v>99</v>
      </c>
      <c r="C669" t="s">
        <v>110</v>
      </c>
      <c r="D669" s="46" t="s">
        <v>311</v>
      </c>
      <c r="E669">
        <v>3</v>
      </c>
      <c r="F669">
        <v>7</v>
      </c>
      <c r="G669" s="1">
        <v>12</v>
      </c>
      <c r="H669" s="16">
        <f t="shared" si="322"/>
        <v>1296</v>
      </c>
      <c r="I669">
        <v>9</v>
      </c>
      <c r="J669" s="17">
        <f t="shared" si="323"/>
        <v>3</v>
      </c>
      <c r="K669">
        <v>3</v>
      </c>
      <c r="L669">
        <v>9</v>
      </c>
      <c r="M669" s="17">
        <f t="shared" si="324"/>
        <v>1</v>
      </c>
      <c r="N669" s="17">
        <f t="shared" si="325"/>
        <v>3</v>
      </c>
      <c r="O669" s="18">
        <f t="shared" si="326"/>
        <v>0.33333333333333331</v>
      </c>
      <c r="P669">
        <v>0</v>
      </c>
      <c r="Q669">
        <v>0</v>
      </c>
      <c r="R669" s="17">
        <f t="shared" si="327"/>
        <v>0</v>
      </c>
      <c r="S669" s="17">
        <f t="shared" si="328"/>
        <v>0</v>
      </c>
      <c r="T669" s="18" t="e">
        <f t="shared" si="329"/>
        <v>#DIV/0!</v>
      </c>
      <c r="U669">
        <v>3</v>
      </c>
      <c r="V669">
        <v>9</v>
      </c>
      <c r="W669" s="17">
        <f t="shared" si="330"/>
        <v>1</v>
      </c>
      <c r="X669" s="17">
        <f t="shared" si="331"/>
        <v>3</v>
      </c>
      <c r="Y669" s="18">
        <f t="shared" si="332"/>
        <v>0.33333333333333331</v>
      </c>
      <c r="Z669">
        <v>0</v>
      </c>
      <c r="AA669">
        <v>2</v>
      </c>
      <c r="AB669" s="17">
        <f t="shared" si="333"/>
        <v>0</v>
      </c>
      <c r="AC669" s="17">
        <f t="shared" si="334"/>
        <v>0.66666666666666663</v>
      </c>
      <c r="AD669" s="18">
        <f t="shared" si="335"/>
        <v>0</v>
      </c>
      <c r="AE669">
        <v>2</v>
      </c>
      <c r="AF669" s="17">
        <f t="shared" si="336"/>
        <v>0.66666666666666663</v>
      </c>
      <c r="AG669">
        <v>1</v>
      </c>
      <c r="AH669" s="17">
        <f t="shared" si="337"/>
        <v>0.33333333333333331</v>
      </c>
      <c r="AI669">
        <v>1</v>
      </c>
      <c r="AJ669" s="17">
        <f t="shared" si="338"/>
        <v>0.33333333333333331</v>
      </c>
      <c r="AK669">
        <v>0</v>
      </c>
      <c r="AL669" s="17">
        <f t="shared" si="339"/>
        <v>0</v>
      </c>
      <c r="AM669">
        <v>0</v>
      </c>
      <c r="AN669" s="17">
        <f t="shared" si="340"/>
        <v>0</v>
      </c>
      <c r="AO669">
        <v>0</v>
      </c>
      <c r="AQ669">
        <v>0</v>
      </c>
      <c r="AR669" s="17">
        <f t="shared" si="341"/>
        <v>0</v>
      </c>
      <c r="AS669">
        <v>3</v>
      </c>
      <c r="AT669" s="17">
        <f t="shared" si="342"/>
        <v>1</v>
      </c>
      <c r="BD669" s="65">
        <f t="shared" si="343"/>
        <v>45.546558704453439</v>
      </c>
      <c r="BE669" s="65">
        <f t="shared" si="344"/>
        <v>50</v>
      </c>
      <c r="BF669" s="66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8.1957965849741523</v>
      </c>
      <c r="BG669" s="38">
        <f t="shared" si="345"/>
        <v>1</v>
      </c>
      <c r="BH669" s="38">
        <f t="shared" si="346"/>
        <v>0.22222222222222221</v>
      </c>
      <c r="BI669" s="67">
        <f>IFERROR(((AG669*(12000/5))/((F669*60+G669)*(SUMIFS(팀공격력!X:X,팀공격력!A:A,B669,팀공격력!B:B,D669)+SUMIFS(팀수비력!X:X,팀수비력!A:A,B669,팀수비력!B:B,D669))))*100,"")</f>
        <v>1.0403662089055348</v>
      </c>
      <c r="BJ669" s="67">
        <f>IFERROR(((AI669*(12000/5))/((F669*60+G669)*(SUMIFS(팀공격력!V:V,팀공격력!A:A,B669,팀공격력!B:B,D669)+SUMIFS(팀수비력!W:W,팀수비력!A:A,B669,팀수비력!B:B,D669))))*100,"")</f>
        <v>1.9493177387914229</v>
      </c>
      <c r="BK669" s="67">
        <f>IFERROR(((AE669*(12000/5))/((F669*60+G669)*(SUMIFS(팀공격력!X:X,팀공격력!A:A,B669,팀공격력!B:B,D669)+SUMIFS(팀수비력!X:X,팀수비력!A:A,B669,팀수비력!B:B,D669))))*100,"")</f>
        <v>2.0807324178110695</v>
      </c>
      <c r="BL669" s="67">
        <f>IFERROR(100*AK669/(((((F669*60+G669)/(12000/5))*SUMIFS(팀공격력!P:P,팀공격력!A:A,B669,팀공격력!B:B,D669))-K669)),"")</f>
        <v>0</v>
      </c>
      <c r="BM669" s="67">
        <f>IFERROR(100*((AM669/E669*(2400))/((F669*60+G669)*SUMIFS(팀공격력!AR:AR,팀공격력!A:A,B669,팀공격력!B:B,D669))),"")</f>
        <v>0</v>
      </c>
      <c r="BN669" s="67">
        <f>IFERROR((AO669*40)/(((F669*60+G669)/60)*(SUMIFS(팀수비력!Q:Q,팀수비력!A:A,B669,팀수비력!B:B,D669)-SUMIFS(팀수비력!N:N,팀수비력!A:A,B669,팀수비력!B:B,D669)))*100,"")</f>
        <v>0</v>
      </c>
      <c r="BO669" s="67">
        <f t="shared" si="347"/>
        <v>0</v>
      </c>
      <c r="BT669" t="s">
        <v>89</v>
      </c>
      <c r="BV669" t="s">
        <v>90</v>
      </c>
      <c r="CF669">
        <v>1</v>
      </c>
      <c r="CG669">
        <v>2</v>
      </c>
    </row>
    <row r="670" spans="1:85" x14ac:dyDescent="0.4">
      <c r="A670" s="11" t="s">
        <v>85</v>
      </c>
      <c r="B670" t="s">
        <v>99</v>
      </c>
      <c r="C670" t="s">
        <v>111</v>
      </c>
      <c r="D670" s="46" t="s">
        <v>311</v>
      </c>
      <c r="E670">
        <v>3</v>
      </c>
      <c r="F670">
        <v>2</v>
      </c>
      <c r="G670" s="1">
        <v>52</v>
      </c>
      <c r="H670" s="16">
        <f t="shared" si="322"/>
        <v>516</v>
      </c>
      <c r="I670">
        <v>3</v>
      </c>
      <c r="J670" s="17">
        <f t="shared" si="323"/>
        <v>1</v>
      </c>
      <c r="K670">
        <v>1</v>
      </c>
      <c r="L670">
        <v>3</v>
      </c>
      <c r="M670" s="17">
        <f t="shared" si="324"/>
        <v>0.33333333333333331</v>
      </c>
      <c r="N670" s="17">
        <f t="shared" si="325"/>
        <v>1</v>
      </c>
      <c r="O670" s="18">
        <f t="shared" si="326"/>
        <v>0.33333333333333331</v>
      </c>
      <c r="P670">
        <v>0</v>
      </c>
      <c r="Q670">
        <v>0</v>
      </c>
      <c r="R670" s="17">
        <f t="shared" si="327"/>
        <v>0</v>
      </c>
      <c r="S670" s="17">
        <f t="shared" si="328"/>
        <v>0</v>
      </c>
      <c r="T670" s="18" t="e">
        <f t="shared" si="329"/>
        <v>#DIV/0!</v>
      </c>
      <c r="U670">
        <v>1</v>
      </c>
      <c r="V670">
        <v>3</v>
      </c>
      <c r="W670" s="17">
        <f t="shared" si="330"/>
        <v>0.33333333333333331</v>
      </c>
      <c r="X670" s="17">
        <f t="shared" si="331"/>
        <v>1</v>
      </c>
      <c r="Y670" s="18">
        <f t="shared" si="332"/>
        <v>0.33333333333333331</v>
      </c>
      <c r="Z670">
        <v>0</v>
      </c>
      <c r="AA670">
        <v>0</v>
      </c>
      <c r="AB670" s="17">
        <f t="shared" si="333"/>
        <v>0</v>
      </c>
      <c r="AC670" s="17">
        <f t="shared" si="334"/>
        <v>0</v>
      </c>
      <c r="AD670" s="18" t="e">
        <f t="shared" si="335"/>
        <v>#DIV/0!</v>
      </c>
      <c r="AE670">
        <v>0</v>
      </c>
      <c r="AF670" s="17">
        <f t="shared" si="336"/>
        <v>0</v>
      </c>
      <c r="AG670">
        <v>0</v>
      </c>
      <c r="AH670" s="17">
        <f t="shared" si="337"/>
        <v>0</v>
      </c>
      <c r="AI670">
        <v>0</v>
      </c>
      <c r="AJ670" s="17">
        <f t="shared" si="338"/>
        <v>0</v>
      </c>
      <c r="AK670">
        <v>0</v>
      </c>
      <c r="AL670" s="17">
        <f t="shared" si="339"/>
        <v>0</v>
      </c>
      <c r="AM670">
        <v>0</v>
      </c>
      <c r="AN670" s="17">
        <f t="shared" si="340"/>
        <v>0</v>
      </c>
      <c r="AO670">
        <v>0</v>
      </c>
      <c r="AQ670">
        <v>1</v>
      </c>
      <c r="AR670" s="17">
        <f t="shared" si="341"/>
        <v>0.33333333333333331</v>
      </c>
      <c r="AS670">
        <v>4</v>
      </c>
      <c r="AT670" s="17">
        <f t="shared" si="342"/>
        <v>1.3333333333333333</v>
      </c>
      <c r="BD670" s="65">
        <f t="shared" si="343"/>
        <v>50</v>
      </c>
      <c r="BE670" s="65">
        <f t="shared" si="344"/>
        <v>50</v>
      </c>
      <c r="BF670" s="66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8.3339236529254155</v>
      </c>
      <c r="BG670" s="38">
        <f t="shared" si="345"/>
        <v>1</v>
      </c>
      <c r="BH670" s="38">
        <f t="shared" si="346"/>
        <v>0</v>
      </c>
      <c r="BI670" s="67">
        <f>IFERROR(((AG670*(12000/5))/((F670*60+G670)*(SUMIFS(팀공격력!X:X,팀공격력!A:A,B670,팀공격력!B:B,D670)+SUMIFS(팀수비력!X:X,팀수비력!A:A,B670,팀수비력!B:B,D670))))*100,"")</f>
        <v>0</v>
      </c>
      <c r="BJ670" s="67">
        <f>IFERROR(((AI670*(12000/5))/((F670*60+G670)*(SUMIFS(팀공격력!V:V,팀공격력!A:A,B670,팀공격력!B:B,D670)+SUMIFS(팀수비력!W:W,팀수비력!A:A,B670,팀수비력!B:B,D670))))*100,"")</f>
        <v>0</v>
      </c>
      <c r="BK670" s="67">
        <f>IFERROR(((AE670*(12000/5))/((F670*60+G670)*(SUMIFS(팀공격력!X:X,팀공격력!A:A,B670,팀공격력!B:B,D670)+SUMIFS(팀수비력!X:X,팀수비력!A:A,B670,팀수비력!B:B,D670))))*100,"")</f>
        <v>0</v>
      </c>
      <c r="BL670" s="67">
        <f>IFERROR(100*AK670/(((((F670*60+G670)/(12000/5))*SUMIFS(팀공격력!P:P,팀공격력!A:A,B670,팀공격력!B:B,D670))-K670)),"")</f>
        <v>0</v>
      </c>
      <c r="BM670" s="67">
        <f>IFERROR(100*((AM670/E670*(2400))/((F670*60+G670)*SUMIFS(팀공격력!AR:AR,팀공격력!A:A,B670,팀공격력!B:B,D670))),"")</f>
        <v>0</v>
      </c>
      <c r="BN670" s="67">
        <f>IFERROR((AO670*40)/(((F670*60+G670)/60)*(SUMIFS(팀수비력!Q:Q,팀수비력!A:A,B670,팀수비력!B:B,D670)-SUMIFS(팀수비력!N:N,팀수비력!A:A,B670,팀수비력!B:B,D670)))*100,"")</f>
        <v>0</v>
      </c>
      <c r="BO670" s="67">
        <f t="shared" si="347"/>
        <v>25</v>
      </c>
      <c r="BT670" t="s">
        <v>89</v>
      </c>
      <c r="BV670" t="s">
        <v>93</v>
      </c>
      <c r="CF670">
        <v>1</v>
      </c>
      <c r="CG670">
        <v>2</v>
      </c>
    </row>
    <row r="671" spans="1:85" x14ac:dyDescent="0.4">
      <c r="A671" s="11" t="s">
        <v>85</v>
      </c>
      <c r="B671" t="s">
        <v>99</v>
      </c>
      <c r="C671" t="s">
        <v>112</v>
      </c>
      <c r="D671" s="46" t="s">
        <v>311</v>
      </c>
      <c r="E671">
        <v>3</v>
      </c>
      <c r="F671">
        <v>3</v>
      </c>
      <c r="G671" s="1">
        <v>38</v>
      </c>
      <c r="H671" s="16">
        <f t="shared" si="322"/>
        <v>654</v>
      </c>
      <c r="I671">
        <v>2</v>
      </c>
      <c r="J671" s="17">
        <f t="shared" si="323"/>
        <v>0.66666666666666663</v>
      </c>
      <c r="K671">
        <v>0</v>
      </c>
      <c r="L671">
        <v>3</v>
      </c>
      <c r="M671" s="17">
        <f t="shared" si="324"/>
        <v>0</v>
      </c>
      <c r="N671" s="17">
        <f t="shared" si="325"/>
        <v>1</v>
      </c>
      <c r="O671" s="18">
        <f t="shared" si="326"/>
        <v>0</v>
      </c>
      <c r="P671">
        <v>0</v>
      </c>
      <c r="Q671">
        <v>1</v>
      </c>
      <c r="R671" s="17">
        <f t="shared" si="327"/>
        <v>0</v>
      </c>
      <c r="S671" s="17">
        <f t="shared" si="328"/>
        <v>0.33333333333333331</v>
      </c>
      <c r="T671" s="18">
        <f t="shared" si="329"/>
        <v>0</v>
      </c>
      <c r="U671">
        <v>0</v>
      </c>
      <c r="V671">
        <v>2</v>
      </c>
      <c r="W671" s="17">
        <f t="shared" si="330"/>
        <v>0</v>
      </c>
      <c r="X671" s="17">
        <f t="shared" si="331"/>
        <v>0.66666666666666663</v>
      </c>
      <c r="Y671" s="18">
        <f t="shared" si="332"/>
        <v>0</v>
      </c>
      <c r="Z671">
        <v>2</v>
      </c>
      <c r="AA671">
        <v>2</v>
      </c>
      <c r="AB671" s="17">
        <f t="shared" si="333"/>
        <v>0.66666666666666663</v>
      </c>
      <c r="AC671" s="17">
        <f t="shared" si="334"/>
        <v>0.66666666666666663</v>
      </c>
      <c r="AD671" s="18">
        <f t="shared" si="335"/>
        <v>1</v>
      </c>
      <c r="AE671">
        <v>1</v>
      </c>
      <c r="AF671" s="17">
        <f t="shared" si="336"/>
        <v>0.33333333333333331</v>
      </c>
      <c r="AG671">
        <v>0</v>
      </c>
      <c r="AH671" s="17">
        <f t="shared" si="337"/>
        <v>0</v>
      </c>
      <c r="AI671">
        <v>1</v>
      </c>
      <c r="AJ671" s="17">
        <f t="shared" si="338"/>
        <v>0.33333333333333331</v>
      </c>
      <c r="AK671">
        <v>0</v>
      </c>
      <c r="AL671" s="17">
        <f t="shared" si="339"/>
        <v>0</v>
      </c>
      <c r="AM671">
        <v>0</v>
      </c>
      <c r="AN671" s="17">
        <f t="shared" si="340"/>
        <v>0</v>
      </c>
      <c r="AO671">
        <v>0</v>
      </c>
      <c r="AQ671">
        <v>1</v>
      </c>
      <c r="AR671" s="17">
        <f t="shared" si="341"/>
        <v>0.33333333333333331</v>
      </c>
      <c r="AS671">
        <v>0</v>
      </c>
      <c r="AT671" s="17">
        <f t="shared" si="342"/>
        <v>0</v>
      </c>
      <c r="BD671" s="65">
        <f t="shared" si="343"/>
        <v>25.773195876288664</v>
      </c>
      <c r="BE671" s="65">
        <f t="shared" si="344"/>
        <v>0</v>
      </c>
      <c r="BF671" s="66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8.021974951054446</v>
      </c>
      <c r="BG671" s="38">
        <f t="shared" si="345"/>
        <v>0.66666666666666663</v>
      </c>
      <c r="BH671" s="38">
        <f t="shared" si="346"/>
        <v>0.66666666666666663</v>
      </c>
      <c r="BI671" s="67">
        <f>IFERROR(((AG671*(12000/5))/((F671*60+G671)*(SUMIFS(팀공격력!X:X,팀공격력!A:A,B671,팀공격력!B:B,D671)+SUMIFS(팀수비력!X:X,팀수비력!A:A,B671,팀수비력!B:B,D671))))*100,"")</f>
        <v>0</v>
      </c>
      <c r="BJ671" s="67">
        <f>IFERROR(((AI671*(12000/5))/((F671*60+G671)*(SUMIFS(팀공격력!V:V,팀공격력!A:A,B671,팀공격력!B:B,D671)+SUMIFS(팀수비력!W:W,팀수비력!A:A,B671,팀수비력!B:B,D671))))*100,"")</f>
        <v>3.8628681796233701</v>
      </c>
      <c r="BK671" s="67">
        <f>IFERROR(((AE671*(12000/5))/((F671*60+G671)*(SUMIFS(팀공격력!X:X,팀공격력!A:A,B671,팀공격력!B:B,D671)+SUMIFS(팀수비력!X:X,팀수비력!A:A,B671,팀수비력!B:B,D671))))*100,"")</f>
        <v>2.0616431295742705</v>
      </c>
      <c r="BL671" s="67">
        <f>IFERROR(100*AK671/(((((F671*60+G671)/(12000/5))*SUMIFS(팀공격력!P:P,팀공격력!A:A,B671,팀공격력!B:B,D671))-K671)),"")</f>
        <v>0</v>
      </c>
      <c r="BM671" s="67">
        <f>IFERROR(100*((AM671/E671*(2400))/((F671*60+G671)*SUMIFS(팀공격력!AR:AR,팀공격력!A:A,B671,팀공격력!B:B,D671))),"")</f>
        <v>0</v>
      </c>
      <c r="BN671" s="67">
        <f>IFERROR((AO671*40)/(((F671*60+G671)/60)*(SUMIFS(팀수비력!Q:Q,팀수비력!A:A,B671,팀수비력!B:B,D671)-SUMIFS(팀수비력!N:N,팀수비력!A:A,B671,팀수비력!B:B,D671)))*100,"")</f>
        <v>0</v>
      </c>
      <c r="BO671" s="67">
        <f t="shared" si="347"/>
        <v>20.491803278688526</v>
      </c>
      <c r="BT671" t="s">
        <v>113</v>
      </c>
      <c r="BV671" t="s">
        <v>90</v>
      </c>
      <c r="CF671">
        <v>0</v>
      </c>
      <c r="CG671">
        <v>3</v>
      </c>
    </row>
    <row r="672" spans="1:85" x14ac:dyDescent="0.4">
      <c r="A672" s="11" t="s">
        <v>85</v>
      </c>
      <c r="B672" t="s">
        <v>99</v>
      </c>
      <c r="C672" s="11" t="s">
        <v>114</v>
      </c>
      <c r="D672" s="46" t="s">
        <v>311</v>
      </c>
      <c r="E672">
        <v>8</v>
      </c>
      <c r="F672">
        <v>36</v>
      </c>
      <c r="G672" s="1">
        <v>14</v>
      </c>
      <c r="H672" s="16">
        <f t="shared" si="322"/>
        <v>17392</v>
      </c>
      <c r="I672">
        <v>149</v>
      </c>
      <c r="J672" s="17">
        <f t="shared" si="323"/>
        <v>18.625</v>
      </c>
      <c r="K672">
        <v>52</v>
      </c>
      <c r="L672">
        <v>138</v>
      </c>
      <c r="M672" s="17">
        <f t="shared" si="324"/>
        <v>6.5</v>
      </c>
      <c r="N672" s="17">
        <f t="shared" si="325"/>
        <v>17.25</v>
      </c>
      <c r="O672" s="18">
        <f t="shared" si="326"/>
        <v>0.37681159420289856</v>
      </c>
      <c r="P672">
        <v>35</v>
      </c>
      <c r="Q672">
        <v>70</v>
      </c>
      <c r="R672" s="17">
        <f t="shared" si="327"/>
        <v>4.375</v>
      </c>
      <c r="S672" s="17">
        <f t="shared" si="328"/>
        <v>8.75</v>
      </c>
      <c r="T672" s="18">
        <f t="shared" si="329"/>
        <v>0.5</v>
      </c>
      <c r="U672">
        <v>17</v>
      </c>
      <c r="V672">
        <v>68</v>
      </c>
      <c r="W672" s="17">
        <f t="shared" si="330"/>
        <v>2.125</v>
      </c>
      <c r="X672" s="17">
        <f t="shared" si="331"/>
        <v>8.5</v>
      </c>
      <c r="Y672" s="18">
        <f t="shared" si="332"/>
        <v>0.25</v>
      </c>
      <c r="Z672">
        <v>28</v>
      </c>
      <c r="AA672">
        <v>35</v>
      </c>
      <c r="AB672" s="17">
        <f t="shared" si="333"/>
        <v>3.5</v>
      </c>
      <c r="AC672" s="17">
        <f t="shared" si="334"/>
        <v>4.375</v>
      </c>
      <c r="AD672" s="18">
        <f t="shared" si="335"/>
        <v>0.8</v>
      </c>
      <c r="AE672">
        <v>23</v>
      </c>
      <c r="AF672" s="17">
        <f t="shared" si="336"/>
        <v>2.875</v>
      </c>
      <c r="AG672">
        <v>5</v>
      </c>
      <c r="AH672" s="17">
        <f t="shared" si="337"/>
        <v>0.625</v>
      </c>
      <c r="AI672">
        <v>18</v>
      </c>
      <c r="AJ672" s="17">
        <f t="shared" si="338"/>
        <v>2.25</v>
      </c>
      <c r="AK672">
        <v>62</v>
      </c>
      <c r="AL672" s="17">
        <f t="shared" si="339"/>
        <v>7.75</v>
      </c>
      <c r="AM672">
        <v>12</v>
      </c>
      <c r="AN672" s="17">
        <f t="shared" si="340"/>
        <v>1.5</v>
      </c>
      <c r="AO672">
        <v>1</v>
      </c>
      <c r="AQ672">
        <v>21</v>
      </c>
      <c r="AR672" s="17">
        <f t="shared" si="341"/>
        <v>2.625</v>
      </c>
      <c r="AS672">
        <v>23</v>
      </c>
      <c r="AT672" s="17">
        <f t="shared" si="342"/>
        <v>2.875</v>
      </c>
      <c r="BD672" s="65">
        <f t="shared" si="343"/>
        <v>48.565840938722296</v>
      </c>
      <c r="BE672" s="65">
        <f t="shared" si="344"/>
        <v>43.840579710144929</v>
      </c>
      <c r="BF672" s="66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28.747819805896171</v>
      </c>
      <c r="BG672" s="38">
        <f t="shared" si="345"/>
        <v>0.49275362318840582</v>
      </c>
      <c r="BH672" s="38">
        <f t="shared" si="346"/>
        <v>0.25362318840579712</v>
      </c>
      <c r="BI672" s="67">
        <f>IFERROR(((AG672*(12000/5))/((F672*60+G672)*(SUMIFS(팀공격력!X:X,팀공격력!A:A,B672,팀공격력!B:B,D672)+SUMIFS(팀수비력!X:X,팀수비력!A:A,B672,팀수비력!B:B,D672))))*100,"")</f>
        <v>1.0336665185077989</v>
      </c>
      <c r="BJ672" s="67">
        <f>IFERROR(((AI672*(12000/5))/((F672*60+G672)*(SUMIFS(팀공격력!V:V,팀공격력!A:A,B672,팀공격력!B:B,D672)+SUMIFS(팀수비력!W:W,팀수비력!A:A,B672,팀수비력!B:B,D672))))*100,"")</f>
        <v>6.9723526848399748</v>
      </c>
      <c r="BK672" s="67">
        <f>IFERROR(((AE672*(12000/5))/((F672*60+G672)*(SUMIFS(팀공격력!X:X,팀공격력!A:A,B672,팀공격력!B:B,D672)+SUMIFS(팀수비력!X:X,팀수비력!A:A,B672,팀수비력!B:B,D672))))*100,"")</f>
        <v>4.7548659851358757</v>
      </c>
      <c r="BL672" s="67">
        <f>IFERROR(100*AK672/(((((F672*60+G672)/(12000/5))*SUMIFS(팀공격력!P:P,팀공격력!A:A,B672,팀공격력!B:B,D672))-K672)),"")</f>
        <v>39.656734715633498</v>
      </c>
      <c r="BM672" s="67">
        <f>IFERROR(100*((AM672/E672*(2400))/((F672*60+G672)*SUMIFS(팀공격력!AR:AR,팀공격력!A:A,B672,팀공격력!B:B,D672))),"")</f>
        <v>2.6111778538560948</v>
      </c>
      <c r="BN672" s="67">
        <f>IFERROR((AO672*40)/(((F672*60+G672)/60)*(SUMIFS(팀수비력!Q:Q,팀수비력!A:A,B672,팀수비력!B:B,D672)-SUMIFS(팀수비력!N:N,팀수비력!A:A,B672,팀수비력!B:B,D672)))*100,"")</f>
        <v>0.36195273500535391</v>
      </c>
      <c r="BO672" s="67">
        <f t="shared" si="347"/>
        <v>12.041284403669724</v>
      </c>
      <c r="BT672" t="s">
        <v>89</v>
      </c>
      <c r="BV672" t="s">
        <v>90</v>
      </c>
      <c r="CF672">
        <v>3</v>
      </c>
      <c r="CG672">
        <v>5</v>
      </c>
    </row>
    <row r="673" spans="1:85" x14ac:dyDescent="0.4">
      <c r="A673" s="11" t="s">
        <v>85</v>
      </c>
      <c r="B673" t="s">
        <v>99</v>
      </c>
      <c r="C673" t="s">
        <v>98</v>
      </c>
      <c r="D673" s="46" t="s">
        <v>311</v>
      </c>
      <c r="E673">
        <v>1</v>
      </c>
      <c r="F673">
        <v>2</v>
      </c>
      <c r="G673" s="1">
        <v>0</v>
      </c>
      <c r="H673" s="16">
        <f t="shared" si="322"/>
        <v>120</v>
      </c>
      <c r="I673">
        <v>0</v>
      </c>
      <c r="J673" s="17">
        <f t="shared" si="323"/>
        <v>0</v>
      </c>
      <c r="K673">
        <v>0</v>
      </c>
      <c r="L673">
        <v>1</v>
      </c>
      <c r="M673" s="17">
        <f t="shared" si="324"/>
        <v>0</v>
      </c>
      <c r="N673" s="17">
        <f t="shared" si="325"/>
        <v>1</v>
      </c>
      <c r="O673" s="18">
        <f t="shared" si="326"/>
        <v>0</v>
      </c>
      <c r="P673">
        <v>0</v>
      </c>
      <c r="Q673">
        <v>0</v>
      </c>
      <c r="R673" s="17">
        <f t="shared" si="327"/>
        <v>0</v>
      </c>
      <c r="S673" s="17">
        <f t="shared" si="328"/>
        <v>0</v>
      </c>
      <c r="T673" s="18" t="e">
        <f t="shared" si="329"/>
        <v>#DIV/0!</v>
      </c>
      <c r="U673">
        <v>0</v>
      </c>
      <c r="V673">
        <v>1</v>
      </c>
      <c r="W673" s="17">
        <f t="shared" si="330"/>
        <v>0</v>
      </c>
      <c r="X673" s="17">
        <f t="shared" si="331"/>
        <v>1</v>
      </c>
      <c r="Y673" s="18">
        <f t="shared" si="332"/>
        <v>0</v>
      </c>
      <c r="Z673">
        <v>0</v>
      </c>
      <c r="AA673">
        <v>0</v>
      </c>
      <c r="AB673" s="17">
        <f t="shared" si="333"/>
        <v>0</v>
      </c>
      <c r="AC673" s="17">
        <f t="shared" si="334"/>
        <v>0</v>
      </c>
      <c r="AD673" s="18" t="e">
        <f t="shared" si="335"/>
        <v>#DIV/0!</v>
      </c>
      <c r="AE673">
        <v>0</v>
      </c>
      <c r="AF673" s="17">
        <f t="shared" si="336"/>
        <v>0</v>
      </c>
      <c r="AG673">
        <v>0</v>
      </c>
      <c r="AH673" s="17">
        <f t="shared" si="337"/>
        <v>0</v>
      </c>
      <c r="AI673">
        <v>0</v>
      </c>
      <c r="AJ673" s="17">
        <f t="shared" si="338"/>
        <v>0</v>
      </c>
      <c r="AK673">
        <v>0</v>
      </c>
      <c r="AL673" s="17">
        <f t="shared" si="339"/>
        <v>0</v>
      </c>
      <c r="AM673">
        <v>0</v>
      </c>
      <c r="AN673" s="17">
        <f t="shared" si="340"/>
        <v>0</v>
      </c>
      <c r="AO673">
        <v>0</v>
      </c>
      <c r="AQ673">
        <v>1</v>
      </c>
      <c r="AR673" s="17">
        <f t="shared" si="341"/>
        <v>1</v>
      </c>
      <c r="AS673">
        <v>2</v>
      </c>
      <c r="AT673" s="17">
        <f t="shared" si="342"/>
        <v>2</v>
      </c>
      <c r="BD673" s="65">
        <f t="shared" si="343"/>
        <v>0</v>
      </c>
      <c r="BE673" s="65">
        <f t="shared" si="344"/>
        <v>0</v>
      </c>
      <c r="BF673" s="66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5.9726452845965472</v>
      </c>
      <c r="BG673" s="38">
        <f t="shared" si="345"/>
        <v>1</v>
      </c>
      <c r="BH673" s="38">
        <f t="shared" si="346"/>
        <v>0</v>
      </c>
      <c r="BI673" s="67">
        <f>IFERROR(((AG673*(12000/5))/((F673*60+G673)*(SUMIFS(팀공격력!X:X,팀공격력!A:A,B673,팀공격력!B:B,D673)+SUMIFS(팀수비력!X:X,팀수비력!A:A,B673,팀수비력!B:B,D673))))*100,"")</f>
        <v>0</v>
      </c>
      <c r="BJ673" s="67">
        <f>IFERROR(((AI673*(12000/5))/((F673*60+G673)*(SUMIFS(팀공격력!V:V,팀공격력!A:A,B673,팀공격력!B:B,D673)+SUMIFS(팀수비력!W:W,팀수비력!A:A,B673,팀수비력!B:B,D673))))*100,"")</f>
        <v>0</v>
      </c>
      <c r="BK673" s="67">
        <f>IFERROR(((AE673*(12000/5))/((F673*60+G673)*(SUMIFS(팀공격력!X:X,팀공격력!A:A,B673,팀공격력!B:B,D673)+SUMIFS(팀수비력!X:X,팀수비력!A:A,B673,팀수비력!B:B,D673))))*100,"")</f>
        <v>0</v>
      </c>
      <c r="BL673" s="67">
        <f>IFERROR(100*AK673/(((((F673*60+G673)/(12000/5))*SUMIFS(팀공격력!P:P,팀공격력!A:A,B673,팀공격력!B:B,D673))-K673)),"")</f>
        <v>0</v>
      </c>
      <c r="BM673" s="67">
        <f>IFERROR(100*((AM673/E673*(2400))/((F673*60+G673)*SUMIFS(팀공격력!AR:AR,팀공격력!A:A,B673,팀공격력!B:B,D673))),"")</f>
        <v>0</v>
      </c>
      <c r="BN673" s="67">
        <f>IFERROR((AO673*40)/(((F673*60+G673)/60)*(SUMIFS(팀수비력!Q:Q,팀수비력!A:A,B673,팀수비력!B:B,D673)-SUMIFS(팀수비력!N:N,팀수비력!A:A,B673,팀수비력!B:B,D673)))*100,"")</f>
        <v>0</v>
      </c>
      <c r="BO673" s="67">
        <f t="shared" si="347"/>
        <v>50</v>
      </c>
      <c r="BT673" t="s">
        <v>89</v>
      </c>
      <c r="BV673" t="s">
        <v>90</v>
      </c>
      <c r="CF673">
        <v>1</v>
      </c>
      <c r="CG673">
        <v>0</v>
      </c>
    </row>
    <row r="674" spans="1:85" x14ac:dyDescent="0.4">
      <c r="A674" s="11" t="s">
        <v>85</v>
      </c>
      <c r="B674" t="s">
        <v>99</v>
      </c>
      <c r="C674" t="s">
        <v>308</v>
      </c>
      <c r="D674" s="46" t="s">
        <v>311</v>
      </c>
      <c r="E674">
        <v>3</v>
      </c>
      <c r="F674">
        <v>2</v>
      </c>
      <c r="G674" s="1">
        <v>56</v>
      </c>
      <c r="H674" s="16">
        <f t="shared" si="322"/>
        <v>528</v>
      </c>
      <c r="I674">
        <v>2</v>
      </c>
      <c r="J674" s="17">
        <f t="shared" si="323"/>
        <v>0.66666666666666663</v>
      </c>
      <c r="K674">
        <v>1</v>
      </c>
      <c r="L674">
        <v>2</v>
      </c>
      <c r="M674" s="17">
        <f t="shared" si="324"/>
        <v>0.33333333333333331</v>
      </c>
      <c r="N674" s="17">
        <f t="shared" si="325"/>
        <v>0.66666666666666663</v>
      </c>
      <c r="O674" s="18">
        <f t="shared" si="326"/>
        <v>0.5</v>
      </c>
      <c r="P674">
        <v>1</v>
      </c>
      <c r="Q674">
        <v>2</v>
      </c>
      <c r="R674" s="17">
        <f t="shared" si="327"/>
        <v>0.33333333333333331</v>
      </c>
      <c r="S674" s="17">
        <f t="shared" si="328"/>
        <v>0.66666666666666663</v>
      </c>
      <c r="T674" s="18">
        <f t="shared" si="329"/>
        <v>0.5</v>
      </c>
      <c r="U674">
        <v>0</v>
      </c>
      <c r="V674">
        <v>0</v>
      </c>
      <c r="W674" s="17">
        <f t="shared" si="330"/>
        <v>0</v>
      </c>
      <c r="X674" s="17">
        <f t="shared" si="331"/>
        <v>0</v>
      </c>
      <c r="Y674" s="18" t="e">
        <f t="shared" si="332"/>
        <v>#DIV/0!</v>
      </c>
      <c r="Z674">
        <v>0</v>
      </c>
      <c r="AA674">
        <v>2</v>
      </c>
      <c r="AB674" s="17">
        <f t="shared" si="333"/>
        <v>0</v>
      </c>
      <c r="AC674" s="17">
        <f t="shared" si="334"/>
        <v>0.66666666666666663</v>
      </c>
      <c r="AD674" s="18">
        <f t="shared" si="335"/>
        <v>0</v>
      </c>
      <c r="AE674">
        <v>1</v>
      </c>
      <c r="AF674" s="17">
        <f t="shared" si="336"/>
        <v>0.33333333333333331</v>
      </c>
      <c r="AG674">
        <v>1</v>
      </c>
      <c r="AH674" s="17">
        <f t="shared" si="337"/>
        <v>0.33333333333333331</v>
      </c>
      <c r="AI674">
        <v>0</v>
      </c>
      <c r="AJ674" s="17">
        <f t="shared" si="338"/>
        <v>0</v>
      </c>
      <c r="AK674">
        <v>0</v>
      </c>
      <c r="AL674" s="17">
        <f t="shared" si="339"/>
        <v>0</v>
      </c>
      <c r="AM674">
        <v>0</v>
      </c>
      <c r="AN674" s="17">
        <f t="shared" si="340"/>
        <v>0</v>
      </c>
      <c r="AO674">
        <v>0</v>
      </c>
      <c r="AQ674">
        <v>0</v>
      </c>
      <c r="AR674" s="17">
        <f t="shared" si="341"/>
        <v>0</v>
      </c>
      <c r="AS674">
        <v>5</v>
      </c>
      <c r="AT674" s="17">
        <f t="shared" si="342"/>
        <v>1.6666666666666667</v>
      </c>
      <c r="BD674" s="65">
        <f t="shared" si="343"/>
        <v>34.722222222222221</v>
      </c>
      <c r="BE674" s="65">
        <f t="shared" si="344"/>
        <v>50</v>
      </c>
      <c r="BF674" s="66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5.8640517339675196</v>
      </c>
      <c r="BG674" s="38">
        <f t="shared" si="345"/>
        <v>0</v>
      </c>
      <c r="BH674" s="38">
        <f t="shared" si="346"/>
        <v>1</v>
      </c>
      <c r="BI674" s="67">
        <f>IFERROR(((AG674*(12000/5))/((F674*60+G674)*(SUMIFS(팀공격력!X:X,팀공격력!A:A,B674,팀공격력!B:B,D674)+SUMIFS(팀수비력!X:X,팀수비력!A:A,B674,팀수비력!B:B,D674))))*100,"")</f>
        <v>2.5536261491317673</v>
      </c>
      <c r="BJ674" s="67">
        <f>IFERROR(((AI674*(12000/5))/((F674*60+G674)*(SUMIFS(팀공격력!V:V,팀공격력!A:A,B674,팀공격력!B:B,D674)+SUMIFS(팀수비력!W:W,팀수비력!A:A,B674,팀수비력!B:B,D674))))*100,"")</f>
        <v>0</v>
      </c>
      <c r="BK674" s="67">
        <f>IFERROR(((AE674*(12000/5))/((F674*60+G674)*(SUMIFS(팀공격력!X:X,팀공격력!A:A,B674,팀공격력!B:B,D674)+SUMIFS(팀수비력!X:X,팀수비력!A:A,B674,팀수비력!B:B,D674))))*100,"")</f>
        <v>2.5536261491317673</v>
      </c>
      <c r="BL674" s="67">
        <f>IFERROR(100*AK674/(((((F674*60+G674)/(12000/5))*SUMIFS(팀공격력!P:P,팀공격력!A:A,B674,팀공격력!B:B,D674))-K674)),"")</f>
        <v>0</v>
      </c>
      <c r="BM674" s="67">
        <f>IFERROR(100*((AM674/E674*(2400))/((F674*60+G674)*SUMIFS(팀공격력!AR:AR,팀공격력!A:A,B674,팀공격력!B:B,D674))),"")</f>
        <v>0</v>
      </c>
      <c r="BN674" s="67">
        <f>IFERROR((AO674*40)/(((F674*60+G674)/60)*(SUMIFS(팀수비력!Q:Q,팀수비력!A:A,B674,팀수비력!B:B,D674)-SUMIFS(팀수비력!N:N,팀수비력!A:A,B674,팀수비력!B:B,D674)))*100,"")</f>
        <v>0</v>
      </c>
      <c r="BO674" s="67">
        <f t="shared" si="347"/>
        <v>0</v>
      </c>
      <c r="BT674" t="s">
        <v>89</v>
      </c>
      <c r="BV674" t="s">
        <v>102</v>
      </c>
      <c r="CF674">
        <v>1</v>
      </c>
      <c r="CG674">
        <v>2</v>
      </c>
    </row>
    <row r="675" spans="1:85" x14ac:dyDescent="0.4">
      <c r="A675" s="11" t="s">
        <v>85</v>
      </c>
      <c r="B675" t="s">
        <v>99</v>
      </c>
      <c r="C675" t="s">
        <v>119</v>
      </c>
      <c r="D675" s="46" t="s">
        <v>311</v>
      </c>
      <c r="E675">
        <v>6</v>
      </c>
      <c r="F675">
        <v>15</v>
      </c>
      <c r="G675" s="1">
        <v>11</v>
      </c>
      <c r="H675" s="16">
        <f t="shared" si="322"/>
        <v>5466</v>
      </c>
      <c r="I675">
        <v>29</v>
      </c>
      <c r="J675" s="17">
        <f t="shared" si="323"/>
        <v>4.833333333333333</v>
      </c>
      <c r="K675">
        <v>8</v>
      </c>
      <c r="L675">
        <v>22</v>
      </c>
      <c r="M675" s="17">
        <f t="shared" si="324"/>
        <v>1.3333333333333333</v>
      </c>
      <c r="N675" s="17">
        <f t="shared" si="325"/>
        <v>3.6666666666666665</v>
      </c>
      <c r="O675" s="18">
        <f t="shared" si="326"/>
        <v>0.36363636363636365</v>
      </c>
      <c r="P675">
        <v>1</v>
      </c>
      <c r="Q675">
        <v>5</v>
      </c>
      <c r="R675" s="17">
        <f t="shared" si="327"/>
        <v>0.16666666666666666</v>
      </c>
      <c r="S675" s="17">
        <f t="shared" si="328"/>
        <v>0.83333333333333337</v>
      </c>
      <c r="T675" s="18">
        <f t="shared" si="329"/>
        <v>0.2</v>
      </c>
      <c r="U675">
        <v>7</v>
      </c>
      <c r="V675">
        <v>17</v>
      </c>
      <c r="W675" s="17">
        <f t="shared" si="330"/>
        <v>1.1666666666666667</v>
      </c>
      <c r="X675" s="17">
        <f t="shared" si="331"/>
        <v>2.8333333333333335</v>
      </c>
      <c r="Y675" s="18">
        <f t="shared" si="332"/>
        <v>0.41176470588235292</v>
      </c>
      <c r="Z675">
        <v>6</v>
      </c>
      <c r="AA675">
        <v>6</v>
      </c>
      <c r="AB675" s="17">
        <f t="shared" si="333"/>
        <v>1</v>
      </c>
      <c r="AC675" s="17">
        <f t="shared" si="334"/>
        <v>1</v>
      </c>
      <c r="AD675" s="18">
        <f t="shared" si="335"/>
        <v>1</v>
      </c>
      <c r="AE675">
        <v>13</v>
      </c>
      <c r="AF675" s="17">
        <f t="shared" si="336"/>
        <v>2.1666666666666665</v>
      </c>
      <c r="AG675">
        <v>6</v>
      </c>
      <c r="AH675" s="17">
        <f t="shared" si="337"/>
        <v>1</v>
      </c>
      <c r="AI675">
        <v>7</v>
      </c>
      <c r="AJ675" s="17">
        <f t="shared" si="338"/>
        <v>1.1666666666666667</v>
      </c>
      <c r="AK675">
        <v>3</v>
      </c>
      <c r="AL675" s="17">
        <f t="shared" si="339"/>
        <v>0.5</v>
      </c>
      <c r="AM675">
        <v>2</v>
      </c>
      <c r="AN675" s="17">
        <f t="shared" si="340"/>
        <v>0.33333333333333331</v>
      </c>
      <c r="AO675">
        <v>1</v>
      </c>
      <c r="AQ675">
        <v>3</v>
      </c>
      <c r="AR675" s="17">
        <f t="shared" si="341"/>
        <v>0.5</v>
      </c>
      <c r="AS675">
        <v>8</v>
      </c>
      <c r="AT675" s="17">
        <f t="shared" si="342"/>
        <v>1.3333333333333333</v>
      </c>
      <c r="BD675" s="65">
        <f t="shared" si="343"/>
        <v>58.847402597402599</v>
      </c>
      <c r="BE675" s="65">
        <f t="shared" si="344"/>
        <v>52.272727272727273</v>
      </c>
      <c r="BF675" s="66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10.872705751893429</v>
      </c>
      <c r="BG675" s="38">
        <f t="shared" si="345"/>
        <v>0.77272727272727271</v>
      </c>
      <c r="BH675" s="38">
        <f t="shared" si="346"/>
        <v>0.27272727272727271</v>
      </c>
      <c r="BI675" s="67">
        <f>IFERROR(((AG675*(12000/5))/((F675*60+G675)*(SUMIFS(팀공격력!X:X,팀공격력!A:A,B675,팀공격력!B:B,D675)+SUMIFS(팀수비력!X:X,팀수비력!A:A,B675,팀수비력!B:B,D675))))*100,"")</f>
        <v>2.9600759752833659</v>
      </c>
      <c r="BJ675" s="67">
        <f>IFERROR(((AI675*(12000/5))/((F675*60+G675)*(SUMIFS(팀공격력!V:V,팀공격력!A:A,B675,팀공격력!B:B,D675)+SUMIFS(팀수비력!W:W,팀수비력!A:A,B675,팀수비력!B:B,D675))))*100,"")</f>
        <v>6.4706222196545147</v>
      </c>
      <c r="BK675" s="67">
        <f>IFERROR(((AE675*(12000/5))/((F675*60+G675)*(SUMIFS(팀공격력!X:X,팀공격력!A:A,B675,팀공격력!B:B,D675)+SUMIFS(팀수비력!X:X,팀수비력!A:A,B675,팀수비력!B:B,D675))))*100,"")</f>
        <v>6.4134979464472925</v>
      </c>
      <c r="BL675" s="67">
        <f>IFERROR(100*AK675/(((((F675*60+G675)/(12000/5))*SUMIFS(팀공격력!P:P,팀공격력!A:A,B675,팀공격력!B:B,D675))-K675)),"")</f>
        <v>3.7829033783428785</v>
      </c>
      <c r="BM675" s="67">
        <f>IFERROR(100*((AM675/E675*(2400))/((F675*60+G675)*SUMIFS(팀공격력!AR:AR,팀공격력!A:A,B675,팀공격력!B:B,D675))),"")</f>
        <v>1.3847300047037809</v>
      </c>
      <c r="BN675" s="67">
        <f>IFERROR((AO675*40)/(((F675*60+G675)/60)*(SUMIFS(팀수비력!Q:Q,팀수비력!A:A,B675,팀수비력!B:B,D675)-SUMIFS(팀수비력!N:N,팀수비력!A:A,B675,팀수비력!B:B,D675)))*100,"")</f>
        <v>0.86375987475481808</v>
      </c>
      <c r="BO675" s="67">
        <f t="shared" si="347"/>
        <v>10.85383502170767</v>
      </c>
      <c r="BT675" t="s">
        <v>89</v>
      </c>
      <c r="BV675" t="s">
        <v>93</v>
      </c>
      <c r="CF675">
        <v>2</v>
      </c>
      <c r="CG675">
        <v>4</v>
      </c>
    </row>
    <row r="676" spans="1:85" x14ac:dyDescent="0.4">
      <c r="A676" s="11" t="s">
        <v>85</v>
      </c>
      <c r="B676" t="s">
        <v>99</v>
      </c>
      <c r="C676" t="s">
        <v>120</v>
      </c>
      <c r="D676" s="46" t="s">
        <v>311</v>
      </c>
      <c r="E676">
        <v>8</v>
      </c>
      <c r="F676">
        <v>28</v>
      </c>
      <c r="G676" s="1">
        <v>33</v>
      </c>
      <c r="H676" s="16">
        <f t="shared" si="322"/>
        <v>13704</v>
      </c>
      <c r="I676">
        <v>138</v>
      </c>
      <c r="J676" s="17">
        <f t="shared" si="323"/>
        <v>17.25</v>
      </c>
      <c r="K676">
        <v>58</v>
      </c>
      <c r="L676">
        <v>93</v>
      </c>
      <c r="M676" s="17">
        <f t="shared" si="324"/>
        <v>7.25</v>
      </c>
      <c r="N676" s="17">
        <f t="shared" si="325"/>
        <v>11.625</v>
      </c>
      <c r="O676" s="18">
        <f t="shared" si="326"/>
        <v>0.62365591397849462</v>
      </c>
      <c r="P676">
        <v>54</v>
      </c>
      <c r="Q676">
        <v>84</v>
      </c>
      <c r="R676" s="17">
        <f t="shared" si="327"/>
        <v>6.75</v>
      </c>
      <c r="S676" s="17">
        <f t="shared" si="328"/>
        <v>10.5</v>
      </c>
      <c r="T676" s="18">
        <f t="shared" si="329"/>
        <v>0.6428571428571429</v>
      </c>
      <c r="U676">
        <v>4</v>
      </c>
      <c r="V676">
        <v>9</v>
      </c>
      <c r="W676" s="17">
        <f t="shared" si="330"/>
        <v>0.5</v>
      </c>
      <c r="X676" s="17">
        <f t="shared" si="331"/>
        <v>1.125</v>
      </c>
      <c r="Y676" s="18">
        <f t="shared" si="332"/>
        <v>0.44444444444444442</v>
      </c>
      <c r="Z676">
        <v>18</v>
      </c>
      <c r="AA676">
        <v>28</v>
      </c>
      <c r="AB676" s="17">
        <f t="shared" si="333"/>
        <v>2.25</v>
      </c>
      <c r="AC676" s="17">
        <f t="shared" si="334"/>
        <v>3.5</v>
      </c>
      <c r="AD676" s="18">
        <f t="shared" si="335"/>
        <v>0.6428571428571429</v>
      </c>
      <c r="AE676">
        <v>89</v>
      </c>
      <c r="AF676" s="17">
        <f t="shared" si="336"/>
        <v>11.125</v>
      </c>
      <c r="AG676">
        <v>24</v>
      </c>
      <c r="AH676" s="17">
        <f t="shared" si="337"/>
        <v>3</v>
      </c>
      <c r="AI676">
        <v>65</v>
      </c>
      <c r="AJ676" s="17">
        <f t="shared" si="338"/>
        <v>8.125</v>
      </c>
      <c r="AK676">
        <v>29</v>
      </c>
      <c r="AL676" s="17">
        <f t="shared" si="339"/>
        <v>3.625</v>
      </c>
      <c r="AM676">
        <v>14</v>
      </c>
      <c r="AN676" s="17">
        <f t="shared" si="340"/>
        <v>1.75</v>
      </c>
      <c r="AO676">
        <v>9</v>
      </c>
      <c r="AQ676">
        <v>21</v>
      </c>
      <c r="AR676" s="17">
        <f t="shared" si="341"/>
        <v>2.625</v>
      </c>
      <c r="AS676">
        <v>24</v>
      </c>
      <c r="AT676" s="17">
        <f t="shared" si="342"/>
        <v>3</v>
      </c>
      <c r="BD676" s="65">
        <f t="shared" si="343"/>
        <v>65.514622104063818</v>
      </c>
      <c r="BE676" s="65">
        <f t="shared" si="344"/>
        <v>64.516129032258064</v>
      </c>
      <c r="BF676" s="66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26.426078891426826</v>
      </c>
      <c r="BG676" s="38">
        <f t="shared" si="345"/>
        <v>9.6774193548387094E-2</v>
      </c>
      <c r="BH676" s="38">
        <f t="shared" si="346"/>
        <v>0.30107526881720431</v>
      </c>
      <c r="BI676" s="67">
        <f>IFERROR(((AG676*(12000/5))/((F676*60+G676)*(SUMIFS(팀공격력!X:X,팀공격력!A:A,B676,팀공격력!B:B,D676)+SUMIFS(팀수비력!X:X,팀수비력!A:A,B676,팀수비력!B:B,D676))))*100,"")</f>
        <v>6.2968574745665986</v>
      </c>
      <c r="BJ676" s="67">
        <f>IFERROR(((AI676*(12000/5))/((F676*60+G676)*(SUMIFS(팀공격력!V:V,팀공격력!A:A,B676,팀공격력!B:B,D676)+SUMIFS(팀수비력!W:W,팀수비력!A:A,B676,팀수비력!B:B,D676))))*100,"")</f>
        <v>31.953789903831382</v>
      </c>
      <c r="BK676" s="67">
        <f>IFERROR(((AE676*(12000/5))/((F676*60+G676)*(SUMIFS(팀공격력!X:X,팀공격력!A:A,B676,팀공격력!B:B,D676)+SUMIFS(팀수비력!X:X,팀수비력!A:A,B676,팀수비력!B:B,D676))))*100,"")</f>
        <v>23.350846468184471</v>
      </c>
      <c r="BL676" s="67">
        <f>IFERROR(100*AK676/(((((F676*60+G676)/(12000/5))*SUMIFS(팀공격력!P:P,팀공격력!A:A,B676,팀공격력!B:B,D676))-K676)),"")</f>
        <v>27.316613681855646</v>
      </c>
      <c r="BM676" s="67">
        <f>IFERROR(100*((AM676/E676*(2400))/((F676*60+G676)*SUMIFS(팀공격력!AR:AR,팀공격력!A:A,B676,팀공격력!B:B,D676))),"")</f>
        <v>3.866209824866905</v>
      </c>
      <c r="BN676" s="67">
        <f>IFERROR((AO676*40)/(((F676*60+G676)/60)*(SUMIFS(팀수비력!Q:Q,팀수비력!A:A,B676,팀수비력!B:B,D676)-SUMIFS(팀수비력!N:N,팀수비력!A:A,B676,팀수비력!B:B,D676)))*100,"")</f>
        <v>4.1342482271539724</v>
      </c>
      <c r="BO676" s="67">
        <f t="shared" si="347"/>
        <v>16.624445851804939</v>
      </c>
      <c r="BT676" t="s">
        <v>96</v>
      </c>
      <c r="BV676" t="s">
        <v>102</v>
      </c>
      <c r="CF676">
        <v>3</v>
      </c>
      <c r="CG676">
        <v>5</v>
      </c>
    </row>
    <row r="677" spans="1:85" x14ac:dyDescent="0.4">
      <c r="A677" s="11" t="s">
        <v>85</v>
      </c>
      <c r="B677" t="s">
        <v>99</v>
      </c>
      <c r="C677" t="s">
        <v>121</v>
      </c>
      <c r="D677" s="46" t="s">
        <v>311</v>
      </c>
      <c r="E677">
        <v>5</v>
      </c>
      <c r="F677">
        <v>18</v>
      </c>
      <c r="G677" s="1">
        <v>50</v>
      </c>
      <c r="H677" s="16">
        <f t="shared" si="322"/>
        <v>5650</v>
      </c>
      <c r="I677">
        <v>17</v>
      </c>
      <c r="J677" s="17">
        <f t="shared" si="323"/>
        <v>3.4</v>
      </c>
      <c r="K677">
        <v>6</v>
      </c>
      <c r="L677">
        <v>21</v>
      </c>
      <c r="M677" s="17">
        <f t="shared" si="324"/>
        <v>1.2</v>
      </c>
      <c r="N677" s="17">
        <f t="shared" si="325"/>
        <v>4.2</v>
      </c>
      <c r="O677" s="18">
        <f t="shared" si="326"/>
        <v>0.2857142857142857</v>
      </c>
      <c r="P677">
        <v>2</v>
      </c>
      <c r="Q677">
        <v>4</v>
      </c>
      <c r="R677" s="17">
        <f t="shared" si="327"/>
        <v>0.4</v>
      </c>
      <c r="S677" s="17">
        <f t="shared" si="328"/>
        <v>0.8</v>
      </c>
      <c r="T677" s="18">
        <f t="shared" si="329"/>
        <v>0.5</v>
      </c>
      <c r="U677">
        <v>4</v>
      </c>
      <c r="V677">
        <v>17</v>
      </c>
      <c r="W677" s="17">
        <f t="shared" si="330"/>
        <v>0.8</v>
      </c>
      <c r="X677" s="17">
        <f t="shared" si="331"/>
        <v>3.4</v>
      </c>
      <c r="Y677" s="18">
        <f t="shared" si="332"/>
        <v>0.23529411764705882</v>
      </c>
      <c r="Z677">
        <v>1</v>
      </c>
      <c r="AA677">
        <v>2</v>
      </c>
      <c r="AB677" s="17">
        <f t="shared" si="333"/>
        <v>0.2</v>
      </c>
      <c r="AC677" s="17">
        <f t="shared" si="334"/>
        <v>0.4</v>
      </c>
      <c r="AD677" s="18">
        <f t="shared" si="335"/>
        <v>0.5</v>
      </c>
      <c r="AE677">
        <v>4</v>
      </c>
      <c r="AF677" s="17">
        <f t="shared" si="336"/>
        <v>0.8</v>
      </c>
      <c r="AG677">
        <v>0</v>
      </c>
      <c r="AH677" s="17">
        <f t="shared" si="337"/>
        <v>0</v>
      </c>
      <c r="AI677">
        <v>4</v>
      </c>
      <c r="AJ677" s="17">
        <f t="shared" si="338"/>
        <v>0.8</v>
      </c>
      <c r="AK677">
        <v>9</v>
      </c>
      <c r="AL677" s="17">
        <f t="shared" si="339"/>
        <v>1.8</v>
      </c>
      <c r="AM677">
        <v>4</v>
      </c>
      <c r="AN677" s="17">
        <f t="shared" si="340"/>
        <v>0.8</v>
      </c>
      <c r="AO677">
        <v>0</v>
      </c>
      <c r="AQ677">
        <v>3</v>
      </c>
      <c r="AR677" s="17">
        <f t="shared" si="341"/>
        <v>0.6</v>
      </c>
      <c r="AS677">
        <v>5</v>
      </c>
      <c r="AT677" s="17">
        <f t="shared" si="342"/>
        <v>1</v>
      </c>
      <c r="BD677" s="65">
        <f t="shared" si="343"/>
        <v>38.848263254113348</v>
      </c>
      <c r="BE677" s="65">
        <f t="shared" si="344"/>
        <v>38.095238095238095</v>
      </c>
      <c r="BF677" s="66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7.8902344078280766</v>
      </c>
      <c r="BG677" s="38">
        <f t="shared" si="345"/>
        <v>0.80952380952380953</v>
      </c>
      <c r="BH677" s="38">
        <f t="shared" si="346"/>
        <v>9.5238095238095233E-2</v>
      </c>
      <c r="BI677" s="67">
        <f>IFERROR(((AG677*(12000/5))/((F677*60+G677)*(SUMIFS(팀공격력!X:X,팀공격력!A:A,B677,팀공격력!B:B,D677)+SUMIFS(팀수비력!X:X,팀수비력!A:A,B677,팀수비력!B:B,D677))))*100,"")</f>
        <v>0</v>
      </c>
      <c r="BJ677" s="67">
        <f>IFERROR(((AI677*(12000/5))/((F677*60+G677)*(SUMIFS(팀공격력!V:V,팀공격력!A:A,B677,팀공격력!B:B,D677)+SUMIFS(팀수비력!W:W,팀수비력!A:A,B677,팀수비력!B:B,D677))))*100,"")</f>
        <v>2.9809035863996276</v>
      </c>
      <c r="BK677" s="67">
        <f>IFERROR(((AE677*(12000/5))/((F677*60+G677)*(SUMIFS(팀공격력!X:X,팀공격력!A:A,B677,팀공격력!B:B,D677)+SUMIFS(팀수비력!X:X,팀수비력!A:A,B677,팀수비력!B:B,D677))))*100,"")</f>
        <v>1.5909316893705876</v>
      </c>
      <c r="BL677" s="67">
        <f>IFERROR(100*AK677/(((((F677*60+G677)/(12000/5))*SUMIFS(팀공격력!P:P,팀공격력!A:A,B677,팀공격력!B:B,D677))-K677)),"")</f>
        <v>8.798370672097759</v>
      </c>
      <c r="BM677" s="67">
        <f>IFERROR(100*((AM677/E677*(2400))/((F677*60+G677)*SUMIFS(팀공격력!AR:AR,팀공격력!A:A,B677,팀공격력!B:B,D677))),"")</f>
        <v>2.6792687453843773</v>
      </c>
      <c r="BN677" s="67">
        <f>IFERROR((AO677*40)/(((F677*60+G677)/60)*(SUMIFS(팀수비력!Q:Q,팀수비력!A:A,B677,팀수비력!B:B,D677)-SUMIFS(팀수비력!N:N,팀수비력!A:A,B677,팀수비력!B:B,D677)))*100,"")</f>
        <v>0</v>
      </c>
      <c r="BO677" s="67">
        <f t="shared" si="347"/>
        <v>12.057877813504824</v>
      </c>
      <c r="BT677" t="s">
        <v>89</v>
      </c>
      <c r="BV677" t="s">
        <v>90</v>
      </c>
      <c r="CF677">
        <v>2</v>
      </c>
      <c r="CG677">
        <v>3</v>
      </c>
    </row>
    <row r="678" spans="1:85" x14ac:dyDescent="0.4">
      <c r="A678" s="11" t="s">
        <v>85</v>
      </c>
      <c r="B678" t="s">
        <v>99</v>
      </c>
      <c r="C678" t="s">
        <v>122</v>
      </c>
      <c r="D678" s="46" t="s">
        <v>311</v>
      </c>
      <c r="E678">
        <v>8</v>
      </c>
      <c r="F678">
        <v>9</v>
      </c>
      <c r="G678" s="1">
        <v>43</v>
      </c>
      <c r="H678" s="16">
        <f t="shared" si="322"/>
        <v>4664</v>
      </c>
      <c r="I678">
        <v>12</v>
      </c>
      <c r="J678" s="17">
        <f t="shared" si="323"/>
        <v>1.5</v>
      </c>
      <c r="K678">
        <v>4</v>
      </c>
      <c r="L678">
        <v>10</v>
      </c>
      <c r="M678" s="17">
        <f t="shared" si="324"/>
        <v>0.5</v>
      </c>
      <c r="N678" s="17">
        <f t="shared" si="325"/>
        <v>1.25</v>
      </c>
      <c r="O678" s="18">
        <f t="shared" si="326"/>
        <v>0.4</v>
      </c>
      <c r="P678">
        <v>3</v>
      </c>
      <c r="Q678">
        <v>5</v>
      </c>
      <c r="R678" s="17">
        <f t="shared" si="327"/>
        <v>0.375</v>
      </c>
      <c r="S678" s="17">
        <f t="shared" si="328"/>
        <v>0.625</v>
      </c>
      <c r="T678" s="18">
        <f t="shared" si="329"/>
        <v>0.6</v>
      </c>
      <c r="U678">
        <v>1</v>
      </c>
      <c r="V678">
        <v>5</v>
      </c>
      <c r="W678" s="17">
        <f t="shared" si="330"/>
        <v>0.125</v>
      </c>
      <c r="X678" s="17">
        <f t="shared" si="331"/>
        <v>0.625</v>
      </c>
      <c r="Y678" s="18">
        <f t="shared" si="332"/>
        <v>0.2</v>
      </c>
      <c r="Z678">
        <v>3</v>
      </c>
      <c r="AA678">
        <v>4</v>
      </c>
      <c r="AB678" s="17">
        <f t="shared" si="333"/>
        <v>0.375</v>
      </c>
      <c r="AC678" s="17">
        <f t="shared" si="334"/>
        <v>0.5</v>
      </c>
      <c r="AD678" s="18">
        <f t="shared" si="335"/>
        <v>0.75</v>
      </c>
      <c r="AE678">
        <v>11</v>
      </c>
      <c r="AF678" s="17">
        <f t="shared" si="336"/>
        <v>1.375</v>
      </c>
      <c r="AG678">
        <v>3</v>
      </c>
      <c r="AH678" s="17">
        <f t="shared" si="337"/>
        <v>0.375</v>
      </c>
      <c r="AI678">
        <v>8</v>
      </c>
      <c r="AJ678" s="17">
        <f t="shared" si="338"/>
        <v>1</v>
      </c>
      <c r="AK678">
        <v>3</v>
      </c>
      <c r="AL678" s="17">
        <f t="shared" si="339"/>
        <v>0.375</v>
      </c>
      <c r="AM678">
        <v>1</v>
      </c>
      <c r="AN678" s="17">
        <f t="shared" si="340"/>
        <v>0.125</v>
      </c>
      <c r="AO678">
        <v>0</v>
      </c>
      <c r="AQ678">
        <v>4</v>
      </c>
      <c r="AR678" s="17">
        <f t="shared" si="341"/>
        <v>0.5</v>
      </c>
      <c r="AS678">
        <v>7</v>
      </c>
      <c r="AT678" s="17">
        <f t="shared" si="342"/>
        <v>0.875</v>
      </c>
      <c r="BD678" s="65">
        <f t="shared" si="343"/>
        <v>51.020408163265309</v>
      </c>
      <c r="BE678" s="65">
        <f t="shared" si="344"/>
        <v>45</v>
      </c>
      <c r="BF678" s="66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9.6873642900763208</v>
      </c>
      <c r="BG678" s="38">
        <f t="shared" si="345"/>
        <v>0.5</v>
      </c>
      <c r="BH678" s="38">
        <f t="shared" si="346"/>
        <v>0.4</v>
      </c>
      <c r="BI678" s="67">
        <f>IFERROR(((AG678*(12000/5))/((F678*60+G678)*(SUMIFS(팀공격력!X:X,팀공격력!A:A,B678,팀공격력!B:B,D678)+SUMIFS(팀수비력!X:X,팀수비력!A:A,B678,팀수비력!B:B,D678))))*100,"")</f>
        <v>2.3127180218551855</v>
      </c>
      <c r="BJ678" s="67">
        <f>IFERROR(((AI678*(12000/5))/((F678*60+G678)*(SUMIFS(팀공격력!V:V,팀공격력!A:A,B678,팀공격력!B:B,D678)+SUMIFS(팀수비력!W:W,팀수비력!A:A,B678,팀수비력!B:B,D678))))*100,"")</f>
        <v>11.555475309199242</v>
      </c>
      <c r="BK678" s="67">
        <f>IFERROR(((AE678*(12000/5))/((F678*60+G678)*(SUMIFS(팀공격력!X:X,팀공격력!A:A,B678,팀공격력!B:B,D678)+SUMIFS(팀수비력!X:X,팀수비력!A:A,B678,팀수비력!B:B,D678))))*100,"")</f>
        <v>8.4799660801356804</v>
      </c>
      <c r="BL678" s="67">
        <f>IFERROR(100*AK678/(((((F678*60+G678)/(12000/5))*SUMIFS(팀공격력!P:P,팀공격력!A:A,B678,팀공격력!B:B,D678))-K678)),"")</f>
        <v>5.7835970760703663</v>
      </c>
      <c r="BM678" s="67">
        <f>IFERROR(100*((AM678/E678*(2400))/((F678*60+G678)*SUMIFS(팀공격력!AR:AR,팀공격력!A:A,B678,팀공격력!B:B,D678))),"")</f>
        <v>0.81142090541497269</v>
      </c>
      <c r="BN678" s="67">
        <f>IFERROR((AO678*40)/(((F678*60+G678)/60)*(SUMIFS(팀수비력!Q:Q,팀수비력!A:A,B678,팀수비력!B:B,D678)-SUMIFS(팀수비력!N:N,팀수비력!A:A,B678,팀수비력!B:B,D678)))*100,"")</f>
        <v>0</v>
      </c>
      <c r="BO678" s="67">
        <f t="shared" si="347"/>
        <v>25.380710659898476</v>
      </c>
      <c r="BT678" t="s">
        <v>89</v>
      </c>
      <c r="BV678" t="s">
        <v>93</v>
      </c>
      <c r="CF678">
        <v>3</v>
      </c>
      <c r="CG678">
        <v>5</v>
      </c>
    </row>
    <row r="679" spans="1:85" x14ac:dyDescent="0.4">
      <c r="A679" s="11" t="s">
        <v>85</v>
      </c>
      <c r="B679" t="s">
        <v>123</v>
      </c>
      <c r="C679" t="s">
        <v>124</v>
      </c>
      <c r="D679" s="46" t="s">
        <v>311</v>
      </c>
      <c r="E679">
        <v>6</v>
      </c>
      <c r="F679">
        <v>23</v>
      </c>
      <c r="G679" s="1">
        <v>27</v>
      </c>
      <c r="H679" s="16">
        <f t="shared" si="322"/>
        <v>8442</v>
      </c>
      <c r="I679">
        <v>79</v>
      </c>
      <c r="J679" s="17">
        <f t="shared" si="323"/>
        <v>13.166666666666666</v>
      </c>
      <c r="K679">
        <v>28</v>
      </c>
      <c r="L679">
        <v>62</v>
      </c>
      <c r="M679" s="17">
        <f t="shared" si="324"/>
        <v>4.666666666666667</v>
      </c>
      <c r="N679" s="17">
        <f t="shared" si="325"/>
        <v>10.333333333333334</v>
      </c>
      <c r="O679" s="18">
        <f t="shared" si="326"/>
        <v>0.45161290322580644</v>
      </c>
      <c r="P679">
        <v>15</v>
      </c>
      <c r="Q679">
        <v>29</v>
      </c>
      <c r="R679" s="17">
        <f t="shared" si="327"/>
        <v>2.5</v>
      </c>
      <c r="S679" s="17">
        <f t="shared" si="328"/>
        <v>4.833333333333333</v>
      </c>
      <c r="T679" s="18">
        <f t="shared" si="329"/>
        <v>0.51724137931034486</v>
      </c>
      <c r="U679">
        <v>13</v>
      </c>
      <c r="V679">
        <v>33</v>
      </c>
      <c r="W679" s="17">
        <f t="shared" si="330"/>
        <v>2.1666666666666665</v>
      </c>
      <c r="X679" s="17">
        <f t="shared" si="331"/>
        <v>5.5</v>
      </c>
      <c r="Y679" s="18">
        <f t="shared" si="332"/>
        <v>0.39393939393939392</v>
      </c>
      <c r="Z679">
        <v>10</v>
      </c>
      <c r="AA679">
        <v>14</v>
      </c>
      <c r="AB679" s="17">
        <f t="shared" si="333"/>
        <v>1.6666666666666667</v>
      </c>
      <c r="AC679" s="17">
        <f t="shared" si="334"/>
        <v>2.3333333333333335</v>
      </c>
      <c r="AD679" s="18">
        <f t="shared" si="335"/>
        <v>0.7142857142857143</v>
      </c>
      <c r="AE679">
        <v>13</v>
      </c>
      <c r="AF679" s="17">
        <f t="shared" si="336"/>
        <v>2.1666666666666665</v>
      </c>
      <c r="AG679">
        <v>6</v>
      </c>
      <c r="AH679" s="17">
        <f t="shared" si="337"/>
        <v>1</v>
      </c>
      <c r="AI679">
        <v>7</v>
      </c>
      <c r="AJ679" s="17">
        <f t="shared" si="338"/>
        <v>1.1666666666666667</v>
      </c>
      <c r="AK679">
        <v>21</v>
      </c>
      <c r="AL679" s="17">
        <f t="shared" si="339"/>
        <v>3.5</v>
      </c>
      <c r="AM679">
        <v>4</v>
      </c>
      <c r="AN679" s="17">
        <f t="shared" si="340"/>
        <v>0.66666666666666663</v>
      </c>
      <c r="AO679">
        <v>0</v>
      </c>
      <c r="AQ679">
        <v>7</v>
      </c>
      <c r="AR679" s="17">
        <f t="shared" si="341"/>
        <v>1.1666666666666667</v>
      </c>
      <c r="AS679">
        <v>15</v>
      </c>
      <c r="AT679" s="17">
        <f t="shared" si="342"/>
        <v>2.5</v>
      </c>
      <c r="BD679" s="65">
        <f t="shared" si="343"/>
        <v>57.951877934272304</v>
      </c>
      <c r="BE679" s="65">
        <f t="shared" si="344"/>
        <v>55.645161290322577</v>
      </c>
      <c r="BF679" s="66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15.537702495583249</v>
      </c>
      <c r="BG679" s="38">
        <f t="shared" si="345"/>
        <v>0.532258064516129</v>
      </c>
      <c r="BH679" s="38">
        <f t="shared" si="346"/>
        <v>0.22580645161290322</v>
      </c>
      <c r="BI679" s="67">
        <f>IFERROR(((AG679*(12000/5))/((F679*60+G679)*(SUMIFS(팀공격력!X:X,팀공격력!A:A,B679,팀공격력!B:B,D679)+SUMIFS(팀수비력!X:X,팀수비력!A:A,B679,팀수비력!B:B,D679))))*100,"")</f>
        <v>1.5072962559389043</v>
      </c>
      <c r="BJ679" s="67">
        <f>IFERROR(((AI679*(12000/5))/((F679*60+G679)*(SUMIFS(팀공격력!V:V,팀공격력!A:A,B679,팀공격력!B:B,D679)+SUMIFS(팀수비력!W:W,팀수비력!A:A,B679,팀수비력!B:B,D679))))*100,"")</f>
        <v>3.7081672383424489</v>
      </c>
      <c r="BK679" s="67">
        <f>IFERROR(((AE679*(12000/5))/((F679*60+G679)*(SUMIFS(팀공격력!X:X,팀공격력!A:A,B679,팀공격력!B:B,D679)+SUMIFS(팀수비력!X:X,팀수비력!A:A,B679,팀수비력!B:B,D679))))*100,"")</f>
        <v>3.2658085545342925</v>
      </c>
      <c r="BL679" s="67">
        <f>IFERROR(100*AK679/(((((F679*60+G679)/(12000/5))*SUMIFS(팀공격력!P:P,팀공격력!A:A,B679,팀공격력!B:B,D679))-K679)),"")</f>
        <v>13.454423141607803</v>
      </c>
      <c r="BM679" s="67">
        <f>IFERROR(100*((AM679/E679*(2400))/((F679*60+G679)*SUMIFS(팀공격력!AR:AR,팀공격력!A:A,B679,팀공격력!B:B,D679))),"")</f>
        <v>1.4329181507776108</v>
      </c>
      <c r="BN679" s="67">
        <f>IFERROR((AO679*40)/(((F679*60+G679)/60)*(SUMIFS(팀수비력!Q:Q,팀수비력!A:A,B679,팀수비력!B:B,D679)-SUMIFS(팀수비력!N:N,팀수비력!A:A,B679,팀수비력!B:B,D679)))*100,"")</f>
        <v>0</v>
      </c>
      <c r="BO679" s="67">
        <f t="shared" si="347"/>
        <v>9.3134646088344866</v>
      </c>
      <c r="BT679" t="s">
        <v>89</v>
      </c>
      <c r="BV679" t="s">
        <v>90</v>
      </c>
      <c r="CF679">
        <v>4</v>
      </c>
      <c r="CG679">
        <v>2</v>
      </c>
    </row>
    <row r="680" spans="1:85" x14ac:dyDescent="0.4">
      <c r="A680" s="11" t="s">
        <v>85</v>
      </c>
      <c r="B680" t="s">
        <v>123</v>
      </c>
      <c r="C680" t="s">
        <v>125</v>
      </c>
      <c r="D680" s="46" t="s">
        <v>311</v>
      </c>
      <c r="E680">
        <v>8</v>
      </c>
      <c r="F680">
        <v>10</v>
      </c>
      <c r="G680" s="1">
        <v>3</v>
      </c>
      <c r="H680" s="16">
        <f t="shared" si="322"/>
        <v>4824</v>
      </c>
      <c r="I680">
        <v>15</v>
      </c>
      <c r="J680" s="17">
        <f t="shared" si="323"/>
        <v>1.875</v>
      </c>
      <c r="K680">
        <v>5</v>
      </c>
      <c r="L680">
        <v>11</v>
      </c>
      <c r="M680" s="17">
        <f t="shared" si="324"/>
        <v>0.625</v>
      </c>
      <c r="N680" s="17">
        <f t="shared" si="325"/>
        <v>1.375</v>
      </c>
      <c r="O680" s="18">
        <f t="shared" si="326"/>
        <v>0.45454545454545453</v>
      </c>
      <c r="P680">
        <v>3</v>
      </c>
      <c r="Q680">
        <v>7</v>
      </c>
      <c r="R680" s="17">
        <f t="shared" si="327"/>
        <v>0.375</v>
      </c>
      <c r="S680" s="17">
        <f t="shared" si="328"/>
        <v>0.875</v>
      </c>
      <c r="T680" s="18">
        <f t="shared" si="329"/>
        <v>0.42857142857142855</v>
      </c>
      <c r="U680">
        <v>2</v>
      </c>
      <c r="V680">
        <v>4</v>
      </c>
      <c r="W680" s="17">
        <f t="shared" si="330"/>
        <v>0.25</v>
      </c>
      <c r="X680" s="17">
        <f t="shared" si="331"/>
        <v>0.5</v>
      </c>
      <c r="Y680" s="18">
        <f t="shared" si="332"/>
        <v>0.5</v>
      </c>
      <c r="Z680">
        <v>3</v>
      </c>
      <c r="AA680">
        <v>3</v>
      </c>
      <c r="AB680" s="17">
        <f t="shared" si="333"/>
        <v>0.375</v>
      </c>
      <c r="AC680" s="17">
        <f t="shared" si="334"/>
        <v>0.375</v>
      </c>
      <c r="AD680" s="18">
        <f t="shared" si="335"/>
        <v>1</v>
      </c>
      <c r="AE680">
        <v>11</v>
      </c>
      <c r="AF680" s="17">
        <f t="shared" si="336"/>
        <v>1.375</v>
      </c>
      <c r="AG680">
        <v>3</v>
      </c>
      <c r="AH680" s="17">
        <f t="shared" si="337"/>
        <v>0.375</v>
      </c>
      <c r="AI680">
        <v>8</v>
      </c>
      <c r="AJ680" s="17">
        <f t="shared" si="338"/>
        <v>1</v>
      </c>
      <c r="AK680">
        <v>6</v>
      </c>
      <c r="AL680" s="17">
        <f t="shared" si="339"/>
        <v>0.75</v>
      </c>
      <c r="AM680">
        <v>1</v>
      </c>
      <c r="AN680" s="17">
        <f t="shared" si="340"/>
        <v>0.125</v>
      </c>
      <c r="AO680">
        <v>1</v>
      </c>
      <c r="AQ680">
        <v>3</v>
      </c>
      <c r="AR680" s="17">
        <f t="shared" si="341"/>
        <v>0.375</v>
      </c>
      <c r="AS680">
        <v>13</v>
      </c>
      <c r="AT680" s="17">
        <f t="shared" si="342"/>
        <v>1.625</v>
      </c>
      <c r="BD680" s="65">
        <f t="shared" si="343"/>
        <v>60.876623376623371</v>
      </c>
      <c r="BE680" s="65">
        <f t="shared" si="344"/>
        <v>54.54545454545454</v>
      </c>
      <c r="BF680" s="66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7.3898492798755884</v>
      </c>
      <c r="BG680" s="38">
        <f t="shared" si="345"/>
        <v>0.36363636363636365</v>
      </c>
      <c r="BH680" s="38">
        <f t="shared" si="346"/>
        <v>0.27272727272727271</v>
      </c>
      <c r="BI680" s="67">
        <f>IFERROR(((AG680*(12000/5))/((F680*60+G680)*(SUMIFS(팀공격력!X:X,팀공격력!A:A,B680,팀공격력!B:B,D680)+SUMIFS(팀수비력!X:X,팀수비력!A:A,B680,팀수비력!B:B,D680))))*100,"")</f>
        <v>1.7585122985953883</v>
      </c>
      <c r="BJ680" s="67">
        <f>IFERROR(((AI680*(12000/5))/((F680*60+G680)*(SUMIFS(팀공격력!V:V,팀공격력!A:A,B680,팀공격력!B:B,D680)+SUMIFS(팀수비력!W:W,팀수비력!A:A,B680,팀수비력!B:B,D680))))*100,"")</f>
        <v>9.8884459689131976</v>
      </c>
      <c r="BK680" s="67">
        <f>IFERROR(((AE680*(12000/5))/((F680*60+G680)*(SUMIFS(팀공격력!X:X,팀공격력!A:A,B680,팀공격력!B:B,D680)+SUMIFS(팀수비력!X:X,팀수비력!A:A,B680,팀수비력!B:B,D680))))*100,"")</f>
        <v>6.4478784281830901</v>
      </c>
      <c r="BL680" s="67">
        <f>IFERROR(100*AK680/(((((F680*60+G680)/(12000/5))*SUMIFS(팀공격력!P:P,팀공격력!A:A,B680,팀공격력!B:B,D680))-K680)),"")</f>
        <v>8.1199039144703455</v>
      </c>
      <c r="BM680" s="67">
        <f>IFERROR(100*((AM680/E680*(2400))/((F680*60+G680)*SUMIFS(팀공격력!AR:AR,팀공격력!A:A,B680,팀공격력!B:B,D680))),"")</f>
        <v>0.62690169096520476</v>
      </c>
      <c r="BN680" s="67">
        <f>IFERROR((AO680*40)/(((F680*60+G680)/60)*(SUMIFS(팀수비력!Q:Q,팀수비력!A:A,B680,팀수비력!B:B,D680)-SUMIFS(팀수비력!N:N,팀수비력!A:A,B680,팀수비력!B:B,D680)))*100,"")</f>
        <v>0.95217691447070862</v>
      </c>
      <c r="BO680" s="67">
        <f t="shared" si="347"/>
        <v>19.582245430809397</v>
      </c>
      <c r="BT680" t="s">
        <v>89</v>
      </c>
      <c r="BV680" t="s">
        <v>102</v>
      </c>
      <c r="CF680">
        <v>6</v>
      </c>
      <c r="CG680">
        <v>2</v>
      </c>
    </row>
    <row r="681" spans="1:85" x14ac:dyDescent="0.4">
      <c r="A681" s="11" t="s">
        <v>85</v>
      </c>
      <c r="B681" t="s">
        <v>123</v>
      </c>
      <c r="C681" t="s">
        <v>126</v>
      </c>
      <c r="D681" s="46" t="s">
        <v>311</v>
      </c>
      <c r="E681">
        <v>3</v>
      </c>
      <c r="F681">
        <v>2</v>
      </c>
      <c r="G681" s="1">
        <v>10</v>
      </c>
      <c r="H681" s="16">
        <f t="shared" si="322"/>
        <v>390</v>
      </c>
      <c r="I681">
        <v>3</v>
      </c>
      <c r="J681" s="17">
        <f t="shared" si="323"/>
        <v>1</v>
      </c>
      <c r="K681">
        <v>1</v>
      </c>
      <c r="L681">
        <v>2</v>
      </c>
      <c r="M681" s="17">
        <f t="shared" si="324"/>
        <v>0.33333333333333331</v>
      </c>
      <c r="N681" s="17">
        <f t="shared" si="325"/>
        <v>0.66666666666666663</v>
      </c>
      <c r="O681" s="18">
        <f t="shared" si="326"/>
        <v>0.5</v>
      </c>
      <c r="P681">
        <v>0</v>
      </c>
      <c r="Q681">
        <v>0</v>
      </c>
      <c r="R681" s="17">
        <f t="shared" si="327"/>
        <v>0</v>
      </c>
      <c r="S681" s="17">
        <f t="shared" si="328"/>
        <v>0</v>
      </c>
      <c r="T681" s="18" t="e">
        <f t="shared" si="329"/>
        <v>#DIV/0!</v>
      </c>
      <c r="U681">
        <v>1</v>
      </c>
      <c r="V681">
        <v>2</v>
      </c>
      <c r="W681" s="17">
        <f t="shared" si="330"/>
        <v>0.33333333333333331</v>
      </c>
      <c r="X681" s="17">
        <f t="shared" si="331"/>
        <v>0.66666666666666663</v>
      </c>
      <c r="Y681" s="18">
        <f t="shared" si="332"/>
        <v>0.5</v>
      </c>
      <c r="Z681">
        <v>0</v>
      </c>
      <c r="AA681">
        <v>0</v>
      </c>
      <c r="AB681" s="17">
        <f t="shared" si="333"/>
        <v>0</v>
      </c>
      <c r="AC681" s="17">
        <f t="shared" si="334"/>
        <v>0</v>
      </c>
      <c r="AD681" s="18" t="e">
        <f t="shared" si="335"/>
        <v>#DIV/0!</v>
      </c>
      <c r="AE681">
        <v>0</v>
      </c>
      <c r="AF681" s="17">
        <f t="shared" si="336"/>
        <v>0</v>
      </c>
      <c r="AG681">
        <v>0</v>
      </c>
      <c r="AH681" s="17">
        <f t="shared" si="337"/>
        <v>0</v>
      </c>
      <c r="AI681">
        <v>0</v>
      </c>
      <c r="AJ681" s="17">
        <f t="shared" si="338"/>
        <v>0</v>
      </c>
      <c r="AK681">
        <v>0</v>
      </c>
      <c r="AL681" s="17">
        <f t="shared" si="339"/>
        <v>0</v>
      </c>
      <c r="AM681">
        <v>0</v>
      </c>
      <c r="AN681" s="17">
        <f t="shared" si="340"/>
        <v>0</v>
      </c>
      <c r="AO681">
        <v>0</v>
      </c>
      <c r="AQ681">
        <v>0</v>
      </c>
      <c r="AR681" s="17">
        <f t="shared" si="341"/>
        <v>0</v>
      </c>
      <c r="AS681">
        <v>1</v>
      </c>
      <c r="AT681" s="17">
        <f t="shared" si="342"/>
        <v>0.33333333333333331</v>
      </c>
      <c r="BD681" s="65">
        <f t="shared" si="343"/>
        <v>75</v>
      </c>
      <c r="BE681" s="65">
        <f t="shared" si="344"/>
        <v>75</v>
      </c>
      <c r="BF681" s="66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4.4748735848212284</v>
      </c>
      <c r="BG681" s="38">
        <f t="shared" si="345"/>
        <v>1</v>
      </c>
      <c r="BH681" s="38">
        <f t="shared" si="346"/>
        <v>0</v>
      </c>
      <c r="BI681" s="67">
        <f>IFERROR(((AG681*(12000/5))/((F681*60+G681)*(SUMIFS(팀공격력!X:X,팀공격력!A:A,B681,팀공격력!B:B,D681)+SUMIFS(팀수비력!X:X,팀수비력!A:A,B681,팀수비력!B:B,D681))))*100,"")</f>
        <v>0</v>
      </c>
      <c r="BJ681" s="67">
        <f>IFERROR(((AI681*(12000/5))/((F681*60+G681)*(SUMIFS(팀공격력!V:V,팀공격력!A:A,B681,팀공격력!B:B,D681)+SUMIFS(팀수비력!W:W,팀수비력!A:A,B681,팀수비력!B:B,D681))))*100,"")</f>
        <v>0</v>
      </c>
      <c r="BK681" s="67">
        <f>IFERROR(((AE681*(12000/5))/((F681*60+G681)*(SUMIFS(팀공격력!X:X,팀공격력!A:A,B681,팀공격력!B:B,D681)+SUMIFS(팀수비력!X:X,팀수비력!A:A,B681,팀수비력!B:B,D681))))*100,"")</f>
        <v>0</v>
      </c>
      <c r="BL681" s="67">
        <f>IFERROR(100*AK681/(((((F681*60+G681)/(12000/5))*SUMIFS(팀공격력!P:P,팀공격력!A:A,B681,팀공격력!B:B,D681))-K681)),"")</f>
        <v>0</v>
      </c>
      <c r="BM681" s="67">
        <f>IFERROR(100*((AM681/E681*(2400))/((F681*60+G681)*SUMIFS(팀공격력!AR:AR,팀공격력!A:A,B681,팀공격력!B:B,D681))),"")</f>
        <v>0</v>
      </c>
      <c r="BN681" s="67">
        <f>IFERROR((AO681*40)/(((F681*60+G681)/60)*(SUMIFS(팀수비력!Q:Q,팀수비력!A:A,B681,팀수비력!B:B,D681)-SUMIFS(팀수비력!N:N,팀수비력!A:A,B681,팀수비력!B:B,D681)))*100,"")</f>
        <v>0</v>
      </c>
      <c r="BO681" s="67">
        <f t="shared" si="347"/>
        <v>0</v>
      </c>
      <c r="BT681" t="s">
        <v>89</v>
      </c>
      <c r="BV681" t="s">
        <v>93</v>
      </c>
      <c r="CF681">
        <v>1</v>
      </c>
      <c r="CG681">
        <v>2</v>
      </c>
    </row>
    <row r="682" spans="1:85" x14ac:dyDescent="0.4">
      <c r="A682" s="11" t="s">
        <v>85</v>
      </c>
      <c r="B682" t="s">
        <v>123</v>
      </c>
      <c r="C682" t="s">
        <v>95</v>
      </c>
      <c r="D682" s="46" t="s">
        <v>311</v>
      </c>
      <c r="E682">
        <v>10</v>
      </c>
      <c r="F682">
        <v>10</v>
      </c>
      <c r="G682" s="1">
        <v>23</v>
      </c>
      <c r="H682" s="16">
        <f t="shared" si="322"/>
        <v>6230</v>
      </c>
      <c r="I682">
        <v>49</v>
      </c>
      <c r="J682" s="17">
        <f t="shared" si="323"/>
        <v>4.9000000000000004</v>
      </c>
      <c r="K682">
        <v>22</v>
      </c>
      <c r="L682">
        <v>41</v>
      </c>
      <c r="M682" s="17">
        <f t="shared" si="324"/>
        <v>2.2000000000000002</v>
      </c>
      <c r="N682" s="17">
        <f t="shared" si="325"/>
        <v>4.0999999999999996</v>
      </c>
      <c r="O682" s="18">
        <f t="shared" si="326"/>
        <v>0.53658536585365857</v>
      </c>
      <c r="P682">
        <v>22</v>
      </c>
      <c r="Q682">
        <v>40</v>
      </c>
      <c r="R682" s="17">
        <f t="shared" si="327"/>
        <v>2.2000000000000002</v>
      </c>
      <c r="S682" s="17">
        <f t="shared" si="328"/>
        <v>4</v>
      </c>
      <c r="T682" s="18">
        <f t="shared" si="329"/>
        <v>0.55000000000000004</v>
      </c>
      <c r="U682">
        <v>0</v>
      </c>
      <c r="V682">
        <v>1</v>
      </c>
      <c r="W682" s="17">
        <f t="shared" si="330"/>
        <v>0</v>
      </c>
      <c r="X682" s="17">
        <f t="shared" si="331"/>
        <v>0.1</v>
      </c>
      <c r="Y682" s="18">
        <f t="shared" si="332"/>
        <v>0</v>
      </c>
      <c r="Z682">
        <v>5</v>
      </c>
      <c r="AA682">
        <v>10</v>
      </c>
      <c r="AB682" s="17">
        <f t="shared" si="333"/>
        <v>0.5</v>
      </c>
      <c r="AC682" s="17">
        <f t="shared" si="334"/>
        <v>1</v>
      </c>
      <c r="AD682" s="18">
        <f t="shared" si="335"/>
        <v>0.5</v>
      </c>
      <c r="AE682">
        <v>24</v>
      </c>
      <c r="AF682" s="17">
        <f t="shared" si="336"/>
        <v>2.4</v>
      </c>
      <c r="AG682">
        <v>8</v>
      </c>
      <c r="AH682" s="17">
        <f t="shared" si="337"/>
        <v>0.8</v>
      </c>
      <c r="AI682">
        <v>16</v>
      </c>
      <c r="AJ682" s="17">
        <f t="shared" si="338"/>
        <v>1.6</v>
      </c>
      <c r="AK682">
        <v>9</v>
      </c>
      <c r="AL682" s="17">
        <f t="shared" si="339"/>
        <v>0.9</v>
      </c>
      <c r="AM682">
        <v>4</v>
      </c>
      <c r="AN682" s="17">
        <f t="shared" si="340"/>
        <v>0.4</v>
      </c>
      <c r="AO682">
        <v>5</v>
      </c>
      <c r="AQ682">
        <v>9</v>
      </c>
      <c r="AR682" s="17">
        <f t="shared" si="341"/>
        <v>0.9</v>
      </c>
      <c r="AS682">
        <v>11</v>
      </c>
      <c r="AT682" s="17">
        <f t="shared" si="342"/>
        <v>1.1000000000000001</v>
      </c>
      <c r="BD682" s="65">
        <f t="shared" si="343"/>
        <v>53.964757709251096</v>
      </c>
      <c r="BE682" s="65">
        <f t="shared" si="344"/>
        <v>53.658536585365859</v>
      </c>
      <c r="BF682" s="66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25.398319415614552</v>
      </c>
      <c r="BG682" s="38">
        <f t="shared" si="345"/>
        <v>2.4390243902439025E-2</v>
      </c>
      <c r="BH682" s="38">
        <f t="shared" si="346"/>
        <v>0.24390243902439024</v>
      </c>
      <c r="BI682" s="67">
        <f>IFERROR(((AG682*(12000/5))/((F682*60+G682)*(SUMIFS(팀공격력!X:X,팀공격력!A:A,B682,팀공격력!B:B,D682)+SUMIFS(팀수비력!X:X,팀수비력!A:A,B682,팀수비력!B:B,D682))))*100,"")</f>
        <v>4.5388246808047903</v>
      </c>
      <c r="BJ682" s="67">
        <f>IFERROR(((AI682*(12000/5))/((F682*60+G682)*(SUMIFS(팀공격력!V:V,팀공격력!A:A,B682,팀공격력!B:B,D682)+SUMIFS(팀수비력!W:W,팀수비력!A:A,B682,팀수비력!B:B,D682))))*100,"")</f>
        <v>19.141999740785419</v>
      </c>
      <c r="BK682" s="67">
        <f>IFERROR(((AE682*(12000/5))/((F682*60+G682)*(SUMIFS(팀공격력!X:X,팀공격력!A:A,B682,팀공격력!B:B,D682)+SUMIFS(팀수비력!X:X,팀수비력!A:A,B682,팀수비력!B:B,D682))))*100,"")</f>
        <v>13.616474042414369</v>
      </c>
      <c r="BL682" s="67">
        <f>IFERROR(100*AK682/(((((F682*60+G682)/(12000/5))*SUMIFS(팀공격력!P:P,팀공격력!A:A,B682,팀공격력!B:B,D682))-K682)),"")</f>
        <v>15.123720435227064</v>
      </c>
      <c r="BM682" s="67">
        <f>IFERROR(100*((AM682/E682*(2400))/((F682*60+G682)*SUMIFS(팀공격력!AR:AR,팀공격력!A:A,B682,팀공격력!B:B,D682))),"")</f>
        <v>1.9416845953233692</v>
      </c>
      <c r="BN682" s="67">
        <f>IFERROR((AO682*40)/(((F682*60+G682)/60)*(SUMIFS(팀수비력!Q:Q,팀수비력!A:A,B682,팀수비력!B:B,D682)-SUMIFS(팀수비력!N:N,팀수비력!A:A,B682,팀수비력!B:B,D682)))*100,"")</f>
        <v>4.6080471864031889</v>
      </c>
      <c r="BO682" s="67">
        <f t="shared" si="347"/>
        <v>16.544117647058822</v>
      </c>
      <c r="BT682" t="s">
        <v>96</v>
      </c>
      <c r="BV682" t="s">
        <v>93</v>
      </c>
      <c r="CF682">
        <v>7</v>
      </c>
      <c r="CG682">
        <v>3</v>
      </c>
    </row>
    <row r="683" spans="1:85" x14ac:dyDescent="0.4">
      <c r="A683" s="11" t="s">
        <v>85</v>
      </c>
      <c r="B683" t="s">
        <v>123</v>
      </c>
      <c r="C683" t="s">
        <v>128</v>
      </c>
      <c r="D683" s="46" t="s">
        <v>311</v>
      </c>
      <c r="E683">
        <v>7</v>
      </c>
      <c r="F683">
        <v>11</v>
      </c>
      <c r="G683" s="1">
        <v>41</v>
      </c>
      <c r="H683" s="16">
        <f t="shared" si="322"/>
        <v>4907</v>
      </c>
      <c r="I683">
        <v>12</v>
      </c>
      <c r="J683" s="17">
        <f t="shared" si="323"/>
        <v>1.7142857142857142</v>
      </c>
      <c r="K683">
        <v>4</v>
      </c>
      <c r="L683">
        <v>13</v>
      </c>
      <c r="M683" s="17">
        <f t="shared" si="324"/>
        <v>0.5714285714285714</v>
      </c>
      <c r="N683" s="17">
        <f t="shared" si="325"/>
        <v>1.8571428571428572</v>
      </c>
      <c r="O683" s="18">
        <f t="shared" si="326"/>
        <v>0.30769230769230771</v>
      </c>
      <c r="P683">
        <v>0</v>
      </c>
      <c r="Q683">
        <v>0</v>
      </c>
      <c r="R683" s="17">
        <f t="shared" si="327"/>
        <v>0</v>
      </c>
      <c r="S683" s="17">
        <f t="shared" si="328"/>
        <v>0</v>
      </c>
      <c r="T683" s="18" t="e">
        <f t="shared" si="329"/>
        <v>#DIV/0!</v>
      </c>
      <c r="U683">
        <v>4</v>
      </c>
      <c r="V683">
        <v>13</v>
      </c>
      <c r="W683" s="17">
        <f t="shared" si="330"/>
        <v>0.5714285714285714</v>
      </c>
      <c r="X683" s="17">
        <f t="shared" si="331"/>
        <v>1.8571428571428572</v>
      </c>
      <c r="Y683" s="18">
        <f t="shared" si="332"/>
        <v>0.30769230769230771</v>
      </c>
      <c r="Z683">
        <v>0</v>
      </c>
      <c r="AA683">
        <v>0</v>
      </c>
      <c r="AB683" s="17">
        <f t="shared" si="333"/>
        <v>0</v>
      </c>
      <c r="AC683" s="17">
        <f t="shared" si="334"/>
        <v>0</v>
      </c>
      <c r="AD683" s="18" t="e">
        <f t="shared" si="335"/>
        <v>#DIV/0!</v>
      </c>
      <c r="AE683">
        <v>13</v>
      </c>
      <c r="AF683" s="17">
        <f t="shared" si="336"/>
        <v>1.8571428571428572</v>
      </c>
      <c r="AG683">
        <v>3</v>
      </c>
      <c r="AH683" s="17">
        <f t="shared" si="337"/>
        <v>0.42857142857142855</v>
      </c>
      <c r="AI683">
        <v>10</v>
      </c>
      <c r="AJ683" s="17">
        <f t="shared" si="338"/>
        <v>1.4285714285714286</v>
      </c>
      <c r="AK683">
        <v>2</v>
      </c>
      <c r="AL683" s="17">
        <f t="shared" si="339"/>
        <v>0.2857142857142857</v>
      </c>
      <c r="AM683">
        <v>4</v>
      </c>
      <c r="AN683" s="17">
        <f t="shared" si="340"/>
        <v>0.5714285714285714</v>
      </c>
      <c r="AO683">
        <v>0</v>
      </c>
      <c r="AQ683">
        <v>2</v>
      </c>
      <c r="AR683" s="17">
        <f t="shared" si="341"/>
        <v>0.2857142857142857</v>
      </c>
      <c r="AS683">
        <v>14</v>
      </c>
      <c r="AT683" s="17">
        <f t="shared" si="342"/>
        <v>2</v>
      </c>
      <c r="BD683" s="65">
        <f t="shared" si="343"/>
        <v>46.153846153846153</v>
      </c>
      <c r="BE683" s="65">
        <f t="shared" si="344"/>
        <v>46.153846153846153</v>
      </c>
      <c r="BF683" s="66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6.2239682527827362</v>
      </c>
      <c r="BG683" s="38">
        <f t="shared" si="345"/>
        <v>1</v>
      </c>
      <c r="BH683" s="38">
        <f t="shared" si="346"/>
        <v>0</v>
      </c>
      <c r="BI683" s="67">
        <f>IFERROR(((AG683*(12000/5))/((F683*60+G683)*(SUMIFS(팀공격력!X:X,팀공격력!A:A,B683,팀공격력!B:B,D683)+SUMIFS(팀수비력!X:X,팀수비력!A:A,B683,팀수비력!B:B,D683))))*100,"")</f>
        <v>1.512671777536404</v>
      </c>
      <c r="BJ683" s="67">
        <f>IFERROR(((AI683*(12000/5))/((F683*60+G683)*(SUMIFS(팀공격력!V:V,팀공격력!A:A,B683,팀공격력!B:B,D683)+SUMIFS(팀수비력!W:W,팀수비력!A:A,B683,팀수비력!B:B,D683))))*100,"")</f>
        <v>10.632548001523999</v>
      </c>
      <c r="BK683" s="67">
        <f>IFERROR(((AE683*(12000/5))/((F683*60+G683)*(SUMIFS(팀공격력!X:X,팀공격력!A:A,B683,팀공격력!B:B,D683)+SUMIFS(팀수비력!X:X,팀수비력!A:A,B683,팀수비력!B:B,D683))))*100,"")</f>
        <v>6.5549110359910827</v>
      </c>
      <c r="BL683" s="67">
        <f>IFERROR(100*AK683/(((((F683*60+G683)/(12000/5))*SUMIFS(팀공격력!P:P,팀공격력!A:A,B683,팀공격력!B:B,D683))-K683)),"")</f>
        <v>2.2801333878031866</v>
      </c>
      <c r="BM683" s="67">
        <f>IFERROR(100*((AM683/E683*(2400))/((F683*60+G683)*SUMIFS(팀공격력!AR:AR,팀공격력!A:A,B683,팀공격력!B:B,D683))),"")</f>
        <v>2.4651915689554902</v>
      </c>
      <c r="BN683" s="67">
        <f>IFERROR((AO683*40)/(((F683*60+G683)/60)*(SUMIFS(팀수비력!Q:Q,팀수비력!A:A,B683,팀수비력!B:B,D683)-SUMIFS(팀수비력!N:N,팀수비력!A:A,B683,팀수비력!B:B,D683)))*100,"")</f>
        <v>0</v>
      </c>
      <c r="BO683" s="67">
        <f t="shared" si="347"/>
        <v>13.333333333333334</v>
      </c>
      <c r="BT683" t="s">
        <v>89</v>
      </c>
      <c r="BV683" t="s">
        <v>93</v>
      </c>
      <c r="CF683">
        <v>4</v>
      </c>
      <c r="CG683">
        <v>3</v>
      </c>
    </row>
    <row r="684" spans="1:85" x14ac:dyDescent="0.4">
      <c r="A684" s="11" t="s">
        <v>85</v>
      </c>
      <c r="B684" t="s">
        <v>123</v>
      </c>
      <c r="C684" t="s">
        <v>129</v>
      </c>
      <c r="D684" s="46" t="s">
        <v>311</v>
      </c>
      <c r="E684">
        <v>8</v>
      </c>
      <c r="F684">
        <v>17</v>
      </c>
      <c r="G684" s="1">
        <v>8</v>
      </c>
      <c r="H684" s="16">
        <f t="shared" si="322"/>
        <v>8224</v>
      </c>
      <c r="I684">
        <v>31</v>
      </c>
      <c r="J684" s="17">
        <f t="shared" si="323"/>
        <v>3.875</v>
      </c>
      <c r="K684">
        <v>12</v>
      </c>
      <c r="L684">
        <v>28</v>
      </c>
      <c r="M684" s="17">
        <f t="shared" si="324"/>
        <v>1.5</v>
      </c>
      <c r="N684" s="17">
        <f t="shared" si="325"/>
        <v>3.5</v>
      </c>
      <c r="O684" s="18">
        <f t="shared" si="326"/>
        <v>0.42857142857142855</v>
      </c>
      <c r="P684">
        <v>5</v>
      </c>
      <c r="Q684">
        <v>13</v>
      </c>
      <c r="R684" s="17">
        <f t="shared" si="327"/>
        <v>0.625</v>
      </c>
      <c r="S684" s="17">
        <f t="shared" si="328"/>
        <v>1.625</v>
      </c>
      <c r="T684" s="18">
        <f t="shared" si="329"/>
        <v>0.38461538461538464</v>
      </c>
      <c r="U684">
        <v>7</v>
      </c>
      <c r="V684">
        <v>15</v>
      </c>
      <c r="W684" s="17">
        <f t="shared" si="330"/>
        <v>0.875</v>
      </c>
      <c r="X684" s="17">
        <f t="shared" si="331"/>
        <v>1.875</v>
      </c>
      <c r="Y684" s="18">
        <f t="shared" si="332"/>
        <v>0.46666666666666667</v>
      </c>
      <c r="Z684">
        <v>0</v>
      </c>
      <c r="AA684">
        <v>1</v>
      </c>
      <c r="AB684" s="17">
        <f t="shared" si="333"/>
        <v>0</v>
      </c>
      <c r="AC684" s="17">
        <f t="shared" si="334"/>
        <v>0.125</v>
      </c>
      <c r="AD684" s="18">
        <f t="shared" si="335"/>
        <v>0</v>
      </c>
      <c r="AE684">
        <v>15</v>
      </c>
      <c r="AF684" s="17">
        <f t="shared" si="336"/>
        <v>1.875</v>
      </c>
      <c r="AG684">
        <v>5</v>
      </c>
      <c r="AH684" s="17">
        <f t="shared" si="337"/>
        <v>0.625</v>
      </c>
      <c r="AI684">
        <v>10</v>
      </c>
      <c r="AJ684" s="17">
        <f t="shared" si="338"/>
        <v>1.25</v>
      </c>
      <c r="AK684">
        <v>3</v>
      </c>
      <c r="AL684" s="17">
        <f t="shared" si="339"/>
        <v>0.375</v>
      </c>
      <c r="AM684">
        <v>5</v>
      </c>
      <c r="AN684" s="17">
        <f t="shared" si="340"/>
        <v>0.625</v>
      </c>
      <c r="AO684">
        <v>1</v>
      </c>
      <c r="AQ684">
        <v>6</v>
      </c>
      <c r="AR684" s="17">
        <f t="shared" si="341"/>
        <v>0.75</v>
      </c>
      <c r="AS684">
        <v>20</v>
      </c>
      <c r="AT684" s="17">
        <f t="shared" si="342"/>
        <v>2.5</v>
      </c>
      <c r="BD684" s="65">
        <f t="shared" si="343"/>
        <v>54.50070323488044</v>
      </c>
      <c r="BE684" s="65">
        <f t="shared" si="344"/>
        <v>55.357142857142861</v>
      </c>
      <c r="BF684" s="66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9.7446031196311313</v>
      </c>
      <c r="BG684" s="38">
        <f t="shared" si="345"/>
        <v>0.5357142857142857</v>
      </c>
      <c r="BH684" s="38">
        <f t="shared" si="346"/>
        <v>3.5714285714285712E-2</v>
      </c>
      <c r="BI684" s="67">
        <f>IFERROR(((AG684*(12000/5))/((F684*60+G684)*(SUMIFS(팀공격력!X:X,팀공격력!A:A,B684,팀공격력!B:B,D684)+SUMIFS(팀수비력!X:X,팀수비력!A:A,B684,팀수비력!B:B,D684))))*100,"")</f>
        <v>1.7191681518369313</v>
      </c>
      <c r="BJ684" s="67">
        <f>IFERROR(((AI684*(12000/5))/((F684*60+G684)*(SUMIFS(팀공격력!V:V,팀공격력!A:A,B684,팀공격력!B:B,D684)+SUMIFS(팀수비력!W:W,팀수비력!A:A,B684,팀수비력!B:B,D684))))*100,"")</f>
        <v>7.250404814268796</v>
      </c>
      <c r="BK684" s="67">
        <f>IFERROR(((AE684*(12000/5))/((F684*60+G684)*(SUMIFS(팀공격력!X:X,팀공격력!A:A,B684,팀공격력!B:B,D684)+SUMIFS(팀수비력!X:X,팀수비력!A:A,B684,팀수비력!B:B,D684))))*100,"")</f>
        <v>5.157504455510793</v>
      </c>
      <c r="BL684" s="67">
        <f>IFERROR(100*AK684/(((((F684*60+G684)/(12000/5))*SUMIFS(팀공격력!P:P,팀공격력!A:A,B684,팀공격력!B:B,D684))-K684)),"")</f>
        <v>2.4490462325505455</v>
      </c>
      <c r="BM684" s="67">
        <f>IFERROR(100*((AM684/E684*(2400))/((F684*60+G684)*SUMIFS(팀공격력!AR:AR,팀공격력!A:A,B684,팀공격력!B:B,D684))),"")</f>
        <v>1.8386270411090391</v>
      </c>
      <c r="BN684" s="67">
        <f>IFERROR((AO684*40)/(((F684*60+G684)/60)*(SUMIFS(팀수비력!Q:Q,팀수비력!A:A,B684,팀수비력!B:B,D684)-SUMIFS(팀수비력!N:N,팀수비력!A:A,B684,팀수비력!B:B,D684)))*100,"")</f>
        <v>0.55852400722357709</v>
      </c>
      <c r="BO684" s="67">
        <f t="shared" si="347"/>
        <v>17.421602787456447</v>
      </c>
      <c r="BT684" t="s">
        <v>89</v>
      </c>
      <c r="BV684" t="s">
        <v>93</v>
      </c>
      <c r="CF684">
        <v>7</v>
      </c>
      <c r="CG684">
        <v>1</v>
      </c>
    </row>
    <row r="685" spans="1:85" x14ac:dyDescent="0.4">
      <c r="A685" s="11" t="s">
        <v>85</v>
      </c>
      <c r="B685" t="s">
        <v>123</v>
      </c>
      <c r="C685" t="s">
        <v>130</v>
      </c>
      <c r="D685" s="46" t="s">
        <v>311</v>
      </c>
      <c r="E685">
        <v>10</v>
      </c>
      <c r="F685">
        <v>30</v>
      </c>
      <c r="G685" s="1">
        <v>28</v>
      </c>
      <c r="H685" s="16">
        <f t="shared" si="322"/>
        <v>18280</v>
      </c>
      <c r="I685">
        <v>141</v>
      </c>
      <c r="J685" s="17">
        <f t="shared" si="323"/>
        <v>14.1</v>
      </c>
      <c r="K685">
        <v>52</v>
      </c>
      <c r="L685">
        <v>111</v>
      </c>
      <c r="M685" s="17">
        <f t="shared" si="324"/>
        <v>5.2</v>
      </c>
      <c r="N685" s="17">
        <f t="shared" si="325"/>
        <v>11.1</v>
      </c>
      <c r="O685" s="18">
        <f t="shared" si="326"/>
        <v>0.46846846846846846</v>
      </c>
      <c r="P685">
        <v>35</v>
      </c>
      <c r="Q685">
        <v>65</v>
      </c>
      <c r="R685" s="17">
        <f t="shared" si="327"/>
        <v>3.5</v>
      </c>
      <c r="S685" s="17">
        <f t="shared" si="328"/>
        <v>6.5</v>
      </c>
      <c r="T685" s="18">
        <f t="shared" si="329"/>
        <v>0.53846153846153844</v>
      </c>
      <c r="U685">
        <v>17</v>
      </c>
      <c r="V685">
        <v>46</v>
      </c>
      <c r="W685" s="17">
        <f t="shared" si="330"/>
        <v>1.7</v>
      </c>
      <c r="X685" s="17">
        <f t="shared" si="331"/>
        <v>4.5999999999999996</v>
      </c>
      <c r="Y685" s="18">
        <f t="shared" si="332"/>
        <v>0.36956521739130432</v>
      </c>
      <c r="Z685">
        <v>20</v>
      </c>
      <c r="AA685">
        <v>24</v>
      </c>
      <c r="AB685" s="17">
        <f t="shared" si="333"/>
        <v>2</v>
      </c>
      <c r="AC685" s="17">
        <f t="shared" si="334"/>
        <v>2.4</v>
      </c>
      <c r="AD685" s="18">
        <f t="shared" si="335"/>
        <v>0.83333333333333337</v>
      </c>
      <c r="AE685">
        <v>26</v>
      </c>
      <c r="AF685" s="17">
        <f t="shared" si="336"/>
        <v>2.6</v>
      </c>
      <c r="AG685">
        <v>6</v>
      </c>
      <c r="AH685" s="17">
        <f t="shared" si="337"/>
        <v>0.6</v>
      </c>
      <c r="AI685">
        <v>20</v>
      </c>
      <c r="AJ685" s="17">
        <f t="shared" si="338"/>
        <v>2</v>
      </c>
      <c r="AK685">
        <v>39</v>
      </c>
      <c r="AL685" s="17">
        <f t="shared" si="339"/>
        <v>3.9</v>
      </c>
      <c r="AM685">
        <v>9</v>
      </c>
      <c r="AN685" s="17">
        <f t="shared" si="340"/>
        <v>0.9</v>
      </c>
      <c r="AO685">
        <v>0</v>
      </c>
      <c r="AQ685">
        <v>15</v>
      </c>
      <c r="AR685" s="17">
        <f t="shared" si="341"/>
        <v>1.5</v>
      </c>
      <c r="AS685">
        <v>26</v>
      </c>
      <c r="AT685" s="17">
        <f t="shared" si="342"/>
        <v>2.6</v>
      </c>
      <c r="BD685" s="65">
        <f t="shared" si="343"/>
        <v>57.996051332675222</v>
      </c>
      <c r="BE685" s="65">
        <f t="shared" si="344"/>
        <v>54.504504504504503</v>
      </c>
      <c r="BF685" s="66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21.72908527806737</v>
      </c>
      <c r="BG685" s="38">
        <f t="shared" si="345"/>
        <v>0.4144144144144144</v>
      </c>
      <c r="BH685" s="38">
        <f t="shared" si="346"/>
        <v>0.21621621621621623</v>
      </c>
      <c r="BI685" s="67">
        <f>IFERROR(((AG685*(12000/5))/((F685*60+G685)*(SUMIFS(팀공격력!X:X,팀공격력!A:A,B685,팀공격력!B:B,D685)+SUMIFS(팀수비력!X:X,팀수비력!A:A,B685,팀수비력!B:B,D685))))*100,"")</f>
        <v>1.1601563632965197</v>
      </c>
      <c r="BJ685" s="67">
        <f>IFERROR(((AI685*(12000/5))/((F685*60+G685)*(SUMIFS(팀공격력!V:V,팀공격력!A:A,B685,팀공격력!B:B,D685)+SUMIFS(팀수비력!W:W,팀수비력!A:A,B685,팀수비력!B:B,D685))))*100,"")</f>
        <v>8.1547222637508998</v>
      </c>
      <c r="BK685" s="67">
        <f>IFERROR(((AE685*(12000/5))/((F685*60+G685)*(SUMIFS(팀공격력!X:X,팀공격력!A:A,B685,팀공격력!B:B,D685)+SUMIFS(팀수비력!X:X,팀수비력!A:A,B685,팀수비력!B:B,D685))))*100,"")</f>
        <v>5.0273442409515861</v>
      </c>
      <c r="BL685" s="67">
        <f>IFERROR(100*AK685/(((((F685*60+G685)/(12000/5))*SUMIFS(팀공격력!P:P,팀공격력!A:A,B685,팀공격력!B:B,D685))-K685)),"")</f>
        <v>20.837414735792265</v>
      </c>
      <c r="BM685" s="67">
        <f>IFERROR(100*((AM685/E685*(2400))/((F685*60+G685)*SUMIFS(팀공격력!AR:AR,팀공격력!A:A,B685,팀공격력!B:B,D685))),"")</f>
        <v>1.4889258104455869</v>
      </c>
      <c r="BN685" s="67">
        <f>IFERROR((AO685*40)/(((F685*60+G685)/60)*(SUMIFS(팀수비력!Q:Q,팀수비력!A:A,B685,팀수비력!B:B,D685)-SUMIFS(팀수비력!N:N,팀수비력!A:A,B685,팀수비력!B:B,D685)))*100,"")</f>
        <v>0</v>
      </c>
      <c r="BO685" s="67">
        <f t="shared" si="347"/>
        <v>10.984182776801406</v>
      </c>
      <c r="BT685" t="s">
        <v>113</v>
      </c>
      <c r="BV685" t="s">
        <v>90</v>
      </c>
      <c r="CF685">
        <v>7</v>
      </c>
      <c r="CG685">
        <v>3</v>
      </c>
    </row>
    <row r="686" spans="1:85" x14ac:dyDescent="0.4">
      <c r="A686" s="11" t="s">
        <v>85</v>
      </c>
      <c r="B686" t="s">
        <v>123</v>
      </c>
      <c r="C686" t="s">
        <v>131</v>
      </c>
      <c r="D686" s="46" t="s">
        <v>311</v>
      </c>
      <c r="E686">
        <v>10</v>
      </c>
      <c r="F686">
        <v>29</v>
      </c>
      <c r="G686" s="1">
        <v>45</v>
      </c>
      <c r="H686" s="16">
        <f t="shared" si="322"/>
        <v>17850</v>
      </c>
      <c r="I686">
        <v>105</v>
      </c>
      <c r="J686" s="17">
        <f t="shared" si="323"/>
        <v>10.5</v>
      </c>
      <c r="K686">
        <v>36</v>
      </c>
      <c r="L686">
        <v>62</v>
      </c>
      <c r="M686" s="17">
        <f t="shared" si="324"/>
        <v>3.6</v>
      </c>
      <c r="N686" s="17">
        <f t="shared" si="325"/>
        <v>6.2</v>
      </c>
      <c r="O686" s="18">
        <f t="shared" si="326"/>
        <v>0.58064516129032262</v>
      </c>
      <c r="P686">
        <v>21</v>
      </c>
      <c r="Q686">
        <v>34</v>
      </c>
      <c r="R686" s="17">
        <f t="shared" si="327"/>
        <v>2.1</v>
      </c>
      <c r="S686" s="17">
        <f t="shared" si="328"/>
        <v>3.4</v>
      </c>
      <c r="T686" s="18">
        <f t="shared" si="329"/>
        <v>0.61764705882352944</v>
      </c>
      <c r="U686">
        <v>15</v>
      </c>
      <c r="V686">
        <v>28</v>
      </c>
      <c r="W686" s="17">
        <f t="shared" si="330"/>
        <v>1.5</v>
      </c>
      <c r="X686" s="17">
        <f t="shared" si="331"/>
        <v>2.8</v>
      </c>
      <c r="Y686" s="18">
        <f t="shared" si="332"/>
        <v>0.5357142857142857</v>
      </c>
      <c r="Z686">
        <v>18</v>
      </c>
      <c r="AA686">
        <v>27</v>
      </c>
      <c r="AB686" s="17">
        <f t="shared" si="333"/>
        <v>1.8</v>
      </c>
      <c r="AC686" s="17">
        <f t="shared" si="334"/>
        <v>2.7</v>
      </c>
      <c r="AD686" s="18">
        <f t="shared" si="335"/>
        <v>0.66666666666666663</v>
      </c>
      <c r="AE686">
        <v>47</v>
      </c>
      <c r="AF686" s="17">
        <f t="shared" si="336"/>
        <v>4.7</v>
      </c>
      <c r="AG686">
        <v>9</v>
      </c>
      <c r="AH686" s="17">
        <f t="shared" si="337"/>
        <v>0.9</v>
      </c>
      <c r="AI686">
        <v>38</v>
      </c>
      <c r="AJ686" s="17">
        <f t="shared" si="338"/>
        <v>3.8</v>
      </c>
      <c r="AK686">
        <v>13</v>
      </c>
      <c r="AL686" s="17">
        <f t="shared" si="339"/>
        <v>1.3</v>
      </c>
      <c r="AM686">
        <v>3</v>
      </c>
      <c r="AN686" s="17">
        <f t="shared" si="340"/>
        <v>0.3</v>
      </c>
      <c r="AO686">
        <v>1</v>
      </c>
      <c r="AQ686">
        <v>8</v>
      </c>
      <c r="AR686" s="17">
        <f t="shared" si="341"/>
        <v>0.8</v>
      </c>
      <c r="AS686">
        <v>35</v>
      </c>
      <c r="AT686" s="17">
        <f t="shared" si="342"/>
        <v>3.5</v>
      </c>
      <c r="BD686" s="65">
        <f t="shared" si="343"/>
        <v>71.061180292366004</v>
      </c>
      <c r="BE686" s="65">
        <f t="shared" si="344"/>
        <v>70.161290322580655</v>
      </c>
      <c r="BF686" s="66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13.342393385510109</v>
      </c>
      <c r="BG686" s="38">
        <f t="shared" si="345"/>
        <v>0.45161290322580644</v>
      </c>
      <c r="BH686" s="38">
        <f t="shared" si="346"/>
        <v>0.43548387096774194</v>
      </c>
      <c r="BI686" s="67">
        <f>IFERROR(((AG686*(12000/5))/((F686*60+G686)*(SUMIFS(팀공격력!X:X,팀공격력!A:A,B686,팀공격력!B:B,D686)+SUMIFS(팀수비력!X:X,팀수비력!A:A,B686,팀수비력!B:B,D686))))*100,"")</f>
        <v>1.7821561614336456</v>
      </c>
      <c r="BJ686" s="67">
        <f>IFERROR(((AI686*(12000/5))/((F686*60+G686)*(SUMIFS(팀공격력!V:V,팀공격력!A:A,B686,팀공격력!B:B,D686)+SUMIFS(팀수비력!W:W,팀수비력!A:A,B686,팀수비력!B:B,D686))))*100,"")</f>
        <v>15.867216451798111</v>
      </c>
      <c r="BK686" s="67">
        <f>IFERROR(((AE686*(12000/5))/((F686*60+G686)*(SUMIFS(팀공격력!X:X,팀공격력!A:A,B686,팀공격력!B:B,D686)+SUMIFS(팀수비력!X:X,팀수비력!A:A,B686,팀수비력!B:B,D686))))*100,"")</f>
        <v>9.3068155097090379</v>
      </c>
      <c r="BL686" s="67">
        <f>IFERROR(100*AK686/(((((F686*60+G686)/(12000/5))*SUMIFS(팀공격력!P:P,팀공격력!A:A,B686,팀공격력!B:B,D686))-K686)),"")</f>
        <v>6.5810289185597677</v>
      </c>
      <c r="BM686" s="67">
        <f>IFERROR(100*((AM686/E686*(2400))/((F686*60+G686)*SUMIFS(팀공격력!AR:AR,팀공격력!A:A,B686,팀공격력!B:B,D686))),"")</f>
        <v>0.50826449701111731</v>
      </c>
      <c r="BN686" s="67">
        <f>IFERROR((AO686*40)/(((F686*60+G686)/60)*(SUMIFS(팀수비력!Q:Q,팀수비력!A:A,B686,팀수비력!B:B,D686)-SUMIFS(팀수비력!N:N,팀수비력!A:A,B686,팀수비력!B:B,D686)))*100,"")</f>
        <v>0.32165976438422261</v>
      </c>
      <c r="BO686" s="67">
        <f t="shared" si="347"/>
        <v>9.7703957010258922</v>
      </c>
      <c r="BT686" t="s">
        <v>89</v>
      </c>
      <c r="BV686" t="s">
        <v>93</v>
      </c>
      <c r="CF686">
        <v>7</v>
      </c>
      <c r="CG686">
        <v>3</v>
      </c>
    </row>
    <row r="687" spans="1:85" x14ac:dyDescent="0.4">
      <c r="A687" s="11" t="s">
        <v>85</v>
      </c>
      <c r="B687" t="s">
        <v>123</v>
      </c>
      <c r="C687" t="s">
        <v>132</v>
      </c>
      <c r="D687" s="46" t="s">
        <v>311</v>
      </c>
      <c r="E687">
        <v>4</v>
      </c>
      <c r="F687">
        <v>16</v>
      </c>
      <c r="G687" s="1">
        <v>50</v>
      </c>
      <c r="H687" s="16">
        <f t="shared" si="322"/>
        <v>4040</v>
      </c>
      <c r="I687">
        <v>16</v>
      </c>
      <c r="J687" s="17">
        <f t="shared" si="323"/>
        <v>4</v>
      </c>
      <c r="K687">
        <v>6</v>
      </c>
      <c r="L687">
        <v>15</v>
      </c>
      <c r="M687" s="17">
        <f t="shared" si="324"/>
        <v>1.5</v>
      </c>
      <c r="N687" s="17">
        <f t="shared" si="325"/>
        <v>3.75</v>
      </c>
      <c r="O687" s="18">
        <f t="shared" si="326"/>
        <v>0.4</v>
      </c>
      <c r="P687">
        <v>5</v>
      </c>
      <c r="Q687">
        <v>10</v>
      </c>
      <c r="R687" s="17">
        <f t="shared" si="327"/>
        <v>1.25</v>
      </c>
      <c r="S687" s="17">
        <f t="shared" si="328"/>
        <v>2.5</v>
      </c>
      <c r="T687" s="18">
        <f t="shared" si="329"/>
        <v>0.5</v>
      </c>
      <c r="U687">
        <v>1</v>
      </c>
      <c r="V687">
        <v>5</v>
      </c>
      <c r="W687" s="17">
        <f t="shared" si="330"/>
        <v>0.25</v>
      </c>
      <c r="X687" s="17">
        <f t="shared" si="331"/>
        <v>1.25</v>
      </c>
      <c r="Y687" s="18">
        <f t="shared" si="332"/>
        <v>0.2</v>
      </c>
      <c r="Z687">
        <v>3</v>
      </c>
      <c r="AA687">
        <v>4</v>
      </c>
      <c r="AB687" s="17">
        <f t="shared" si="333"/>
        <v>0.75</v>
      </c>
      <c r="AC687" s="17">
        <f t="shared" si="334"/>
        <v>1</v>
      </c>
      <c r="AD687" s="18">
        <f t="shared" si="335"/>
        <v>0.75</v>
      </c>
      <c r="AE687">
        <v>13</v>
      </c>
      <c r="AF687" s="17">
        <f t="shared" si="336"/>
        <v>3.25</v>
      </c>
      <c r="AG687">
        <v>6</v>
      </c>
      <c r="AH687" s="17">
        <f t="shared" si="337"/>
        <v>1.5</v>
      </c>
      <c r="AI687">
        <v>7</v>
      </c>
      <c r="AJ687" s="17">
        <f t="shared" si="338"/>
        <v>1.75</v>
      </c>
      <c r="AK687">
        <v>5</v>
      </c>
      <c r="AL687" s="17">
        <f t="shared" si="339"/>
        <v>1.25</v>
      </c>
      <c r="AM687">
        <v>2</v>
      </c>
      <c r="AN687" s="17">
        <f t="shared" si="340"/>
        <v>0.5</v>
      </c>
      <c r="AO687">
        <v>2</v>
      </c>
      <c r="AQ687">
        <v>1</v>
      </c>
      <c r="AR687" s="17">
        <f t="shared" si="341"/>
        <v>0.25</v>
      </c>
      <c r="AS687">
        <v>9</v>
      </c>
      <c r="AT687" s="17">
        <f t="shared" si="342"/>
        <v>2.25</v>
      </c>
      <c r="BD687" s="65">
        <f t="shared" si="343"/>
        <v>47.732696897374701</v>
      </c>
      <c r="BE687" s="65">
        <f t="shared" si="344"/>
        <v>43.333333333333336</v>
      </c>
      <c r="BF687" s="66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5.1146475904134929</v>
      </c>
      <c r="BG687" s="38">
        <f t="shared" si="345"/>
        <v>0.33333333333333331</v>
      </c>
      <c r="BH687" s="38">
        <f t="shared" si="346"/>
        <v>0.26666666666666666</v>
      </c>
      <c r="BI687" s="67">
        <f>IFERROR(((AG687*(12000/5))/((F687*60+G687)*(SUMIFS(팀공격력!X:X,팀공격력!A:A,B687,팀공격력!B:B,D687)+SUMIFS(팀수비력!X:X,팀수비력!A:A,B687,팀수비력!B:B,D687))))*100,"")</f>
        <v>2.0997681506000379</v>
      </c>
      <c r="BJ687" s="67">
        <f>IFERROR(((AI687*(12000/5))/((F687*60+G687)*(SUMIFS(팀공격력!V:V,팀공격력!A:A,B687,팀공격력!B:B,D687)+SUMIFS(팀수비력!W:W,팀수비력!A:A,B687,팀수비력!B:B,D687))))*100,"")</f>
        <v>5.1657339647008182</v>
      </c>
      <c r="BK687" s="67">
        <f>IFERROR(((AE687*(12000/5))/((F687*60+G687)*(SUMIFS(팀공격력!X:X,팀공격력!A:A,B687,팀공격력!B:B,D687)+SUMIFS(팀수비력!X:X,팀수비력!A:A,B687,팀수비력!B:B,D687))))*100,"")</f>
        <v>4.5494976596334151</v>
      </c>
      <c r="BL687" s="67">
        <f>IFERROR(100*AK687/(((((F687*60+G687)/(12000/5))*SUMIFS(팀공격력!P:P,팀공격력!A:A,B687,팀공격력!B:B,D687))-K687)),"")</f>
        <v>3.9637973178304811</v>
      </c>
      <c r="BM687" s="67">
        <f>IFERROR(100*((AM687/E687*(2400))/((F687*60+G687)*SUMIFS(팀공격력!AR:AR,팀공격력!A:A,B687,팀공격력!B:B,D687))),"")</f>
        <v>1.4971157213941326</v>
      </c>
      <c r="BN687" s="67">
        <f>IFERROR((AO687*40)/(((F687*60+G687)/60)*(SUMIFS(팀수비력!Q:Q,팀수비력!A:A,B687,팀수비력!B:B,D687)-SUMIFS(팀수비력!N:N,팀수비력!A:A,B687,팀수비력!B:B,D687)))*100,"")</f>
        <v>1.1369558008432423</v>
      </c>
      <c r="BO687" s="67">
        <f t="shared" si="347"/>
        <v>5.6306306306306304</v>
      </c>
      <c r="BT687" t="s">
        <v>89</v>
      </c>
      <c r="BV687" t="s">
        <v>102</v>
      </c>
      <c r="CF687">
        <v>3</v>
      </c>
      <c r="CG687">
        <v>1</v>
      </c>
    </row>
    <row r="688" spans="1:85" x14ac:dyDescent="0.4">
      <c r="A688" s="11" t="s">
        <v>85</v>
      </c>
      <c r="B688" t="s">
        <v>123</v>
      </c>
      <c r="C688" t="s">
        <v>133</v>
      </c>
      <c r="D688" s="46" t="s">
        <v>311</v>
      </c>
      <c r="E688">
        <v>4</v>
      </c>
      <c r="F688">
        <v>17</v>
      </c>
      <c r="G688" s="1">
        <v>1</v>
      </c>
      <c r="H688" s="16">
        <f t="shared" si="322"/>
        <v>4084</v>
      </c>
      <c r="I688">
        <v>12</v>
      </c>
      <c r="J688" s="17">
        <f t="shared" si="323"/>
        <v>3</v>
      </c>
      <c r="K688">
        <v>5</v>
      </c>
      <c r="L688">
        <v>9</v>
      </c>
      <c r="M688" s="17">
        <f t="shared" si="324"/>
        <v>1.25</v>
      </c>
      <c r="N688" s="17">
        <f t="shared" si="325"/>
        <v>2.25</v>
      </c>
      <c r="O688" s="18">
        <f t="shared" si="326"/>
        <v>0.55555555555555558</v>
      </c>
      <c r="P688">
        <v>3</v>
      </c>
      <c r="Q688">
        <v>4</v>
      </c>
      <c r="R688" s="17">
        <f t="shared" si="327"/>
        <v>0.75</v>
      </c>
      <c r="S688" s="17">
        <f t="shared" si="328"/>
        <v>1</v>
      </c>
      <c r="T688" s="18">
        <f t="shared" si="329"/>
        <v>0.75</v>
      </c>
      <c r="U688">
        <v>2</v>
      </c>
      <c r="V688">
        <v>5</v>
      </c>
      <c r="W688" s="17">
        <f t="shared" si="330"/>
        <v>0.5</v>
      </c>
      <c r="X688" s="17">
        <f t="shared" si="331"/>
        <v>1.25</v>
      </c>
      <c r="Y688" s="18">
        <f t="shared" si="332"/>
        <v>0.4</v>
      </c>
      <c r="Z688">
        <v>0</v>
      </c>
      <c r="AA688">
        <v>0</v>
      </c>
      <c r="AB688" s="17">
        <f t="shared" si="333"/>
        <v>0</v>
      </c>
      <c r="AC688" s="17">
        <f t="shared" si="334"/>
        <v>0</v>
      </c>
      <c r="AD688" s="18" t="e">
        <f t="shared" si="335"/>
        <v>#DIV/0!</v>
      </c>
      <c r="AE688">
        <v>9</v>
      </c>
      <c r="AF688" s="17">
        <f t="shared" si="336"/>
        <v>2.25</v>
      </c>
      <c r="AG688">
        <v>2</v>
      </c>
      <c r="AH688" s="17">
        <f t="shared" si="337"/>
        <v>0.5</v>
      </c>
      <c r="AI688">
        <v>7</v>
      </c>
      <c r="AJ688" s="17">
        <f t="shared" si="338"/>
        <v>1.75</v>
      </c>
      <c r="AK688">
        <v>8</v>
      </c>
      <c r="AL688" s="17">
        <f t="shared" si="339"/>
        <v>2</v>
      </c>
      <c r="AM688">
        <v>1</v>
      </c>
      <c r="AN688" s="17">
        <f t="shared" si="340"/>
        <v>0.25</v>
      </c>
      <c r="AO688">
        <v>1</v>
      </c>
      <c r="AQ688">
        <v>0</v>
      </c>
      <c r="AR688" s="17">
        <f t="shared" si="341"/>
        <v>0</v>
      </c>
      <c r="AS688">
        <v>11</v>
      </c>
      <c r="AT688" s="17">
        <f t="shared" si="342"/>
        <v>2.75</v>
      </c>
      <c r="BD688" s="65">
        <f t="shared" si="343"/>
        <v>66.666666666666657</v>
      </c>
      <c r="BE688" s="65">
        <f t="shared" si="344"/>
        <v>66.666666666666657</v>
      </c>
      <c r="BF688" s="66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2.5639579305782751</v>
      </c>
      <c r="BG688" s="38">
        <f t="shared" si="345"/>
        <v>0.55555555555555558</v>
      </c>
      <c r="BH688" s="38">
        <f t="shared" si="346"/>
        <v>0</v>
      </c>
      <c r="BI688" s="67">
        <f>IFERROR(((AG688*(12000/5))/((F688*60+G688)*(SUMIFS(팀공격력!X:X,팀공격력!A:A,B688,팀공격력!B:B,D688)+SUMIFS(팀수비력!X:X,팀수비력!A:A,B688,팀수비력!B:B,D688))))*100,"")</f>
        <v>0.69238192363892859</v>
      </c>
      <c r="BJ688" s="67">
        <f>IFERROR(((AI688*(12000/5))/((F688*60+G688)*(SUMIFS(팀공격력!V:V,팀공격력!A:A,B688,팀공격력!B:B,D688)+SUMIFS(팀수비력!W:W,팀수비력!A:A,B688,팀수비력!B:B,D688))))*100,"")</f>
        <v>5.1100796320742665</v>
      </c>
      <c r="BK688" s="67">
        <f>IFERROR(((AE688*(12000/5))/((F688*60+G688)*(SUMIFS(팀공격력!X:X,팀공격력!A:A,B688,팀공격력!B:B,D688)+SUMIFS(팀수비력!X:X,팀수비력!A:A,B688,팀수비력!B:B,D688))))*100,"")</f>
        <v>3.1157186563751789</v>
      </c>
      <c r="BL688" s="67">
        <f>IFERROR(100*AK688/(((((F688*60+G688)/(12000/5))*SUMIFS(팀공격력!P:P,팀공격력!A:A,B688,팀공격력!B:B,D688))-K688)),"")</f>
        <v>6.2217671114798074</v>
      </c>
      <c r="BM688" s="67">
        <f>IFERROR(100*((AM688/E688*(2400))/((F688*60+G688)*SUMIFS(팀공격력!AR:AR,팀공격력!A:A,B688,팀공격력!B:B,D688))),"")</f>
        <v>0.74049308452892937</v>
      </c>
      <c r="BN688" s="67">
        <f>IFERROR((AO688*40)/(((F688*60+G688)/60)*(SUMIFS(팀수비력!Q:Q,팀수비력!A:A,B688,팀수비력!B:B,D688)-SUMIFS(팀수비력!N:N,팀수비력!A:A,B688,팀수비력!B:B,D688)))*100,"")</f>
        <v>0.56235326094597193</v>
      </c>
      <c r="BO688" s="67">
        <f t="shared" si="347"/>
        <v>0</v>
      </c>
      <c r="BT688" t="s">
        <v>89</v>
      </c>
      <c r="BV688" t="s">
        <v>90</v>
      </c>
      <c r="CF688">
        <v>2</v>
      </c>
      <c r="CG688">
        <v>2</v>
      </c>
    </row>
    <row r="689" spans="1:85" x14ac:dyDescent="0.4">
      <c r="A689" s="11" t="s">
        <v>85</v>
      </c>
      <c r="B689" t="s">
        <v>123</v>
      </c>
      <c r="C689" t="s">
        <v>134</v>
      </c>
      <c r="D689" s="46" t="s">
        <v>311</v>
      </c>
      <c r="E689">
        <v>10</v>
      </c>
      <c r="F689">
        <v>30</v>
      </c>
      <c r="G689" s="1">
        <v>7</v>
      </c>
      <c r="H689" s="16">
        <f t="shared" si="322"/>
        <v>18070</v>
      </c>
      <c r="I689">
        <v>296</v>
      </c>
      <c r="J689" s="17">
        <f t="shared" si="323"/>
        <v>29.6</v>
      </c>
      <c r="K689">
        <v>112</v>
      </c>
      <c r="L689">
        <v>207</v>
      </c>
      <c r="M689" s="17">
        <f t="shared" si="324"/>
        <v>11.2</v>
      </c>
      <c r="N689" s="17">
        <f t="shared" si="325"/>
        <v>20.7</v>
      </c>
      <c r="O689" s="18">
        <f t="shared" si="326"/>
        <v>0.54106280193236711</v>
      </c>
      <c r="P689">
        <v>85</v>
      </c>
      <c r="Q689">
        <v>144</v>
      </c>
      <c r="R689" s="17">
        <f t="shared" si="327"/>
        <v>8.5</v>
      </c>
      <c r="S689" s="17">
        <f t="shared" si="328"/>
        <v>14.4</v>
      </c>
      <c r="T689" s="18">
        <f t="shared" si="329"/>
        <v>0.59027777777777779</v>
      </c>
      <c r="U689">
        <v>27</v>
      </c>
      <c r="V689">
        <v>63</v>
      </c>
      <c r="W689" s="17">
        <f t="shared" si="330"/>
        <v>2.7</v>
      </c>
      <c r="X689" s="17">
        <f t="shared" si="331"/>
        <v>6.3</v>
      </c>
      <c r="Y689" s="18">
        <f t="shared" si="332"/>
        <v>0.42857142857142855</v>
      </c>
      <c r="Z689">
        <v>45</v>
      </c>
      <c r="AA689">
        <v>54</v>
      </c>
      <c r="AB689" s="17">
        <f t="shared" si="333"/>
        <v>4.5</v>
      </c>
      <c r="AC689" s="17">
        <f t="shared" si="334"/>
        <v>5.4</v>
      </c>
      <c r="AD689" s="18">
        <f t="shared" si="335"/>
        <v>0.83333333333333337</v>
      </c>
      <c r="AE689">
        <v>104</v>
      </c>
      <c r="AF689" s="17">
        <f t="shared" si="336"/>
        <v>10.4</v>
      </c>
      <c r="AG689">
        <v>23</v>
      </c>
      <c r="AH689" s="17">
        <f t="shared" si="337"/>
        <v>2.2999999999999998</v>
      </c>
      <c r="AI689">
        <v>81</v>
      </c>
      <c r="AJ689" s="17">
        <f t="shared" si="338"/>
        <v>8.1</v>
      </c>
      <c r="AK689">
        <v>15</v>
      </c>
      <c r="AL689" s="17">
        <f t="shared" si="339"/>
        <v>1.5</v>
      </c>
      <c r="AM689">
        <v>4</v>
      </c>
      <c r="AN689" s="17">
        <f t="shared" si="340"/>
        <v>0.4</v>
      </c>
      <c r="AO689">
        <v>5</v>
      </c>
      <c r="AQ689">
        <v>24</v>
      </c>
      <c r="AR689" s="17">
        <f t="shared" si="341"/>
        <v>2.4</v>
      </c>
      <c r="AS689">
        <v>18</v>
      </c>
      <c r="AT689" s="17">
        <f t="shared" si="342"/>
        <v>1.8</v>
      </c>
      <c r="BD689" s="65">
        <f t="shared" si="343"/>
        <v>64.135898769284111</v>
      </c>
      <c r="BE689" s="65">
        <f t="shared" si="344"/>
        <v>60.628019323671502</v>
      </c>
      <c r="BF689" s="66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41.00787030464231</v>
      </c>
      <c r="BG689" s="38">
        <f t="shared" si="345"/>
        <v>0.30434782608695654</v>
      </c>
      <c r="BH689" s="38">
        <f t="shared" si="346"/>
        <v>0.2608695652173913</v>
      </c>
      <c r="BI689" s="67">
        <f>IFERROR(((AG689*(12000/5))/((F689*60+G689)*(SUMIFS(팀공격력!X:X,팀공격력!A:A,B689,팀공격력!B:B,D689)+SUMIFS(팀수비력!X:X,팀수비력!A:A,B689,팀수비력!B:B,D689))))*100,"")</f>
        <v>4.4989498375243384</v>
      </c>
      <c r="BJ689" s="67">
        <f>IFERROR(((AI689*(12000/5))/((F689*60+G689)*(SUMIFS(팀공격력!V:V,팀공격력!A:A,B689,팀공격력!B:B,D689)+SUMIFS(팀수비력!W:W,팀수비력!A:A,B689,팀수비력!B:B,D689))))*100,"")</f>
        <v>33.410443169592376</v>
      </c>
      <c r="BK689" s="67">
        <f>IFERROR(((AE689*(12000/5))/((F689*60+G689)*(SUMIFS(팀공격력!X:X,팀공격력!A:A,B689,팀공격력!B:B,D689)+SUMIFS(팀수비력!X:X,팀수비력!A:A,B689,팀수비력!B:B,D689))))*100,"")</f>
        <v>20.34307752619701</v>
      </c>
      <c r="BL689" s="67">
        <f>IFERROR(100*AK689/(((((F689*60+G689)/(12000/5))*SUMIFS(팀공격력!P:P,팀공격력!A:A,B689,팀공격력!B:B,D689))-K689)),"")</f>
        <v>12.056343311073752</v>
      </c>
      <c r="BM689" s="67">
        <f>IFERROR(100*((AM689/E689*(2400))/((F689*60+G689)*SUMIFS(팀공격력!AR:AR,팀공격력!A:A,B689,팀공격력!B:B,D689))),"")</f>
        <v>0.66943525339593746</v>
      </c>
      <c r="BN689" s="67">
        <f>IFERROR((AO689*40)/(((F689*60+G689)/60)*(SUMIFS(팀수비력!Q:Q,팀수비력!A:A,B689,팀수비력!B:B,D689)-SUMIFS(팀수비력!N:N,팀수비력!A:A,B689,팀수비력!B:B,D689)))*100,"")</f>
        <v>1.5887179840227927</v>
      </c>
      <c r="BO689" s="67">
        <f t="shared" si="347"/>
        <v>9.4206311822892133</v>
      </c>
      <c r="BT689" t="s">
        <v>96</v>
      </c>
      <c r="BV689" t="s">
        <v>93</v>
      </c>
      <c r="CF689">
        <v>7</v>
      </c>
      <c r="CG689">
        <v>3</v>
      </c>
    </row>
    <row r="690" spans="1:85" x14ac:dyDescent="0.4">
      <c r="A690" s="11" t="s">
        <v>85</v>
      </c>
      <c r="B690" t="s">
        <v>123</v>
      </c>
      <c r="C690" t="s">
        <v>136</v>
      </c>
      <c r="D690" s="46" t="s">
        <v>311</v>
      </c>
      <c r="E690">
        <v>1</v>
      </c>
      <c r="F690">
        <v>5</v>
      </c>
      <c r="G690" s="1">
        <v>28</v>
      </c>
      <c r="H690" s="16">
        <f t="shared" si="322"/>
        <v>328</v>
      </c>
      <c r="I690">
        <v>0</v>
      </c>
      <c r="J690" s="17">
        <f t="shared" si="323"/>
        <v>0</v>
      </c>
      <c r="K690">
        <v>0</v>
      </c>
      <c r="L690">
        <v>2</v>
      </c>
      <c r="M690" s="17">
        <f t="shared" si="324"/>
        <v>0</v>
      </c>
      <c r="N690" s="17">
        <f t="shared" si="325"/>
        <v>2</v>
      </c>
      <c r="O690" s="18">
        <f t="shared" si="326"/>
        <v>0</v>
      </c>
      <c r="P690">
        <v>0</v>
      </c>
      <c r="Q690">
        <v>0</v>
      </c>
      <c r="R690" s="17">
        <f t="shared" si="327"/>
        <v>0</v>
      </c>
      <c r="S690" s="17">
        <f t="shared" si="328"/>
        <v>0</v>
      </c>
      <c r="T690" s="18" t="e">
        <f t="shared" si="329"/>
        <v>#DIV/0!</v>
      </c>
      <c r="U690">
        <v>0</v>
      </c>
      <c r="V690">
        <v>2</v>
      </c>
      <c r="W690" s="17">
        <f t="shared" si="330"/>
        <v>0</v>
      </c>
      <c r="X690" s="17">
        <f t="shared" si="331"/>
        <v>2</v>
      </c>
      <c r="Y690" s="18">
        <f t="shared" si="332"/>
        <v>0</v>
      </c>
      <c r="Z690">
        <v>0</v>
      </c>
      <c r="AA690">
        <v>0</v>
      </c>
      <c r="AB690" s="17">
        <f t="shared" si="333"/>
        <v>0</v>
      </c>
      <c r="AC690" s="17">
        <f t="shared" si="334"/>
        <v>0</v>
      </c>
      <c r="AD690" s="18" t="e">
        <f t="shared" si="335"/>
        <v>#DIV/0!</v>
      </c>
      <c r="AE690">
        <v>0</v>
      </c>
      <c r="AF690" s="17">
        <f t="shared" si="336"/>
        <v>0</v>
      </c>
      <c r="AG690">
        <v>0</v>
      </c>
      <c r="AH690" s="17">
        <f t="shared" si="337"/>
        <v>0</v>
      </c>
      <c r="AI690">
        <v>0</v>
      </c>
      <c r="AJ690" s="17">
        <f t="shared" si="338"/>
        <v>0</v>
      </c>
      <c r="AK690">
        <v>0</v>
      </c>
      <c r="AL690" s="17">
        <f t="shared" si="339"/>
        <v>0</v>
      </c>
      <c r="AM690">
        <v>0</v>
      </c>
      <c r="AN690" s="17">
        <f t="shared" si="340"/>
        <v>0</v>
      </c>
      <c r="AO690">
        <v>0</v>
      </c>
      <c r="AQ690">
        <v>0</v>
      </c>
      <c r="AR690" s="17">
        <f t="shared" si="341"/>
        <v>0</v>
      </c>
      <c r="AS690">
        <v>1</v>
      </c>
      <c r="AT690" s="17">
        <f t="shared" si="342"/>
        <v>1</v>
      </c>
      <c r="BD690" s="65">
        <f t="shared" si="343"/>
        <v>0</v>
      </c>
      <c r="BE690" s="65">
        <f t="shared" si="344"/>
        <v>0</v>
      </c>
      <c r="BF690" s="66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1.7735779452035358</v>
      </c>
      <c r="BG690" s="38">
        <f t="shared" si="345"/>
        <v>1</v>
      </c>
      <c r="BH690" s="38">
        <f t="shared" si="346"/>
        <v>0</v>
      </c>
      <c r="BI690" s="67">
        <f>IFERROR(((AG690*(12000/5))/((F690*60+G690)*(SUMIFS(팀공격력!X:X,팀공격력!A:A,B690,팀공격력!B:B,D690)+SUMIFS(팀수비력!X:X,팀수비력!A:A,B690,팀수비력!B:B,D690))))*100,"")</f>
        <v>0</v>
      </c>
      <c r="BJ690" s="67">
        <f>IFERROR(((AI690*(12000/5))/((F690*60+G690)*(SUMIFS(팀공격력!V:V,팀공격력!A:A,B690,팀공격력!B:B,D690)+SUMIFS(팀수비력!W:W,팀수비력!A:A,B690,팀수비력!B:B,D690))))*100,"")</f>
        <v>0</v>
      </c>
      <c r="BK690" s="67">
        <f>IFERROR(((AE690*(12000/5))/((F690*60+G690)*(SUMIFS(팀공격력!X:X,팀공격력!A:A,B690,팀공격력!B:B,D690)+SUMIFS(팀수비력!X:X,팀수비력!A:A,B690,팀수비력!B:B,D690))))*100,"")</f>
        <v>0</v>
      </c>
      <c r="BL690" s="67">
        <f>IFERROR(100*AK690/(((((F690*60+G690)/(12000/5))*SUMIFS(팀공격력!P:P,팀공격력!A:A,B690,팀공격력!B:B,D690))-K690)),"")</f>
        <v>0</v>
      </c>
      <c r="BM690" s="67">
        <f>IFERROR(100*((AM690/E690*(2400))/((F690*60+G690)*SUMIFS(팀공격력!AR:AR,팀공격력!A:A,B690,팀공격력!B:B,D690))),"")</f>
        <v>0</v>
      </c>
      <c r="BN690" s="67">
        <f>IFERROR((AO690*40)/(((F690*60+G690)/60)*(SUMIFS(팀수비력!Q:Q,팀수비력!A:A,B690,팀수비력!B:B,D690)-SUMIFS(팀수비력!N:N,팀수비력!A:A,B690,팀수비력!B:B,D690)))*100,"")</f>
        <v>0</v>
      </c>
      <c r="BO690" s="67">
        <f t="shared" si="347"/>
        <v>0</v>
      </c>
      <c r="BT690" t="s">
        <v>89</v>
      </c>
      <c r="BV690" t="s">
        <v>93</v>
      </c>
      <c r="CF690">
        <v>1</v>
      </c>
      <c r="CG690">
        <v>0</v>
      </c>
    </row>
    <row r="691" spans="1:85" x14ac:dyDescent="0.4">
      <c r="A691" s="11" t="s">
        <v>85</v>
      </c>
      <c r="B691" t="s">
        <v>123</v>
      </c>
      <c r="C691" t="s">
        <v>137</v>
      </c>
      <c r="D691" s="46" t="s">
        <v>311</v>
      </c>
      <c r="E691">
        <v>9</v>
      </c>
      <c r="F691">
        <v>4</v>
      </c>
      <c r="G691" s="1">
        <v>12</v>
      </c>
      <c r="H691" s="16">
        <f t="shared" si="322"/>
        <v>2268</v>
      </c>
      <c r="I691">
        <v>4</v>
      </c>
      <c r="J691" s="17">
        <f t="shared" si="323"/>
        <v>0.44444444444444442</v>
      </c>
      <c r="K691">
        <v>1</v>
      </c>
      <c r="L691">
        <v>6</v>
      </c>
      <c r="M691" s="17">
        <f t="shared" si="324"/>
        <v>0.1111111111111111</v>
      </c>
      <c r="N691" s="17">
        <f t="shared" si="325"/>
        <v>0.66666666666666663</v>
      </c>
      <c r="O691" s="18">
        <f t="shared" si="326"/>
        <v>0.16666666666666666</v>
      </c>
      <c r="P691">
        <v>1</v>
      </c>
      <c r="Q691">
        <v>4</v>
      </c>
      <c r="R691" s="17">
        <f t="shared" si="327"/>
        <v>0.1111111111111111</v>
      </c>
      <c r="S691" s="17">
        <f t="shared" si="328"/>
        <v>0.44444444444444442</v>
      </c>
      <c r="T691" s="18">
        <f t="shared" si="329"/>
        <v>0.25</v>
      </c>
      <c r="U691">
        <v>0</v>
      </c>
      <c r="V691">
        <v>2</v>
      </c>
      <c r="W691" s="17">
        <f t="shared" si="330"/>
        <v>0</v>
      </c>
      <c r="X691" s="17">
        <f t="shared" si="331"/>
        <v>0.22222222222222221</v>
      </c>
      <c r="Y691" s="18">
        <f t="shared" si="332"/>
        <v>0</v>
      </c>
      <c r="Z691">
        <v>2</v>
      </c>
      <c r="AA691">
        <v>4</v>
      </c>
      <c r="AB691" s="17">
        <f t="shared" si="333"/>
        <v>0.22222222222222221</v>
      </c>
      <c r="AC691" s="17">
        <f t="shared" si="334"/>
        <v>0.44444444444444442</v>
      </c>
      <c r="AD691" s="18">
        <f t="shared" si="335"/>
        <v>0.5</v>
      </c>
      <c r="AE691">
        <v>5</v>
      </c>
      <c r="AF691" s="17">
        <f t="shared" si="336"/>
        <v>0.55555555555555558</v>
      </c>
      <c r="AG691">
        <v>1</v>
      </c>
      <c r="AH691" s="17">
        <f t="shared" si="337"/>
        <v>0.1111111111111111</v>
      </c>
      <c r="AI691">
        <v>4</v>
      </c>
      <c r="AJ691" s="17">
        <f t="shared" si="338"/>
        <v>0.44444444444444442</v>
      </c>
      <c r="AK691">
        <v>3</v>
      </c>
      <c r="AL691" s="17">
        <f t="shared" si="339"/>
        <v>0.33333333333333331</v>
      </c>
      <c r="AM691">
        <v>1</v>
      </c>
      <c r="AN691" s="17">
        <f t="shared" si="340"/>
        <v>0.1111111111111111</v>
      </c>
      <c r="AO691">
        <v>0</v>
      </c>
      <c r="AQ691">
        <v>4</v>
      </c>
      <c r="AR691" s="17">
        <f t="shared" si="341"/>
        <v>0.44444444444444442</v>
      </c>
      <c r="AS691">
        <v>4</v>
      </c>
      <c r="AT691" s="17">
        <f t="shared" si="342"/>
        <v>0.44444444444444442</v>
      </c>
      <c r="BD691" s="65">
        <f t="shared" si="343"/>
        <v>25.773195876288664</v>
      </c>
      <c r="BE691" s="65">
        <f t="shared" si="344"/>
        <v>16.666666666666664</v>
      </c>
      <c r="BF691" s="66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13.573783207291061</v>
      </c>
      <c r="BG691" s="38">
        <f t="shared" si="345"/>
        <v>0.33333333333333331</v>
      </c>
      <c r="BH691" s="38">
        <f t="shared" si="346"/>
        <v>0.66666666666666663</v>
      </c>
      <c r="BI691" s="67">
        <f>IFERROR(((AG691*(12000/5))/((F691*60+G691)*(SUMIFS(팀공격력!X:X,팀공격력!A:A,B691,팀공격력!B:B,D691)+SUMIFS(팀수비력!X:X,팀수비력!A:A,B691,팀수비력!B:B,D691))))*100,"")</f>
        <v>1.402622904832036</v>
      </c>
      <c r="BJ691" s="67">
        <f>IFERROR(((AI691*(12000/5))/((F691*60+G691)*(SUMIFS(팀공격력!V:V,팀공격력!A:A,B691,팀공격력!B:B,D691)+SUMIFS(팀수비력!W:W,팀수비력!A:A,B691,팀수비력!B:B,D691))))*100,"")</f>
        <v>11.830819284235433</v>
      </c>
      <c r="BK691" s="67">
        <f>IFERROR(((AE691*(12000/5))/((F691*60+G691)*(SUMIFS(팀공격력!X:X,팀공격력!A:A,B691,팀공격력!B:B,D691)+SUMIFS(팀수비력!X:X,팀수비력!A:A,B691,팀수비력!B:B,D691))))*100,"")</f>
        <v>7.01311452416018</v>
      </c>
      <c r="BL691" s="67">
        <f>IFERROR(100*AK691/(((((F691*60+G691)/(12000/5))*SUMIFS(팀공격력!P:P,팀공격력!A:A,B691,팀공격력!B:B,D691))-K691)),"")</f>
        <v>9.3837973099781049</v>
      </c>
      <c r="BM691" s="67">
        <f>IFERROR(100*((AM691/E691*(2400))/((F691*60+G691)*SUMIFS(팀공격력!AR:AR,팀공격력!A:A,B691,팀공격력!B:B,D691))),"")</f>
        <v>1.3334099458624986</v>
      </c>
      <c r="BN691" s="67">
        <f>IFERROR((AO691*40)/(((F691*60+G691)/60)*(SUMIFS(팀수비력!Q:Q,팀수비력!A:A,B691,팀수비력!B:B,D691)-SUMIFS(팀수비력!N:N,팀수비력!A:A,B691,팀수비력!B:B,D691)))*100,"")</f>
        <v>0</v>
      </c>
      <c r="BO691" s="67">
        <f t="shared" si="347"/>
        <v>34.013605442176875</v>
      </c>
      <c r="BT691" t="s">
        <v>89</v>
      </c>
      <c r="BV691" t="s">
        <v>90</v>
      </c>
      <c r="CF691">
        <v>6</v>
      </c>
      <c r="CG691">
        <v>3</v>
      </c>
    </row>
    <row r="692" spans="1:85" x14ac:dyDescent="0.4">
      <c r="A692" s="11" t="s">
        <v>85</v>
      </c>
      <c r="B692" t="s">
        <v>123</v>
      </c>
      <c r="C692" t="s">
        <v>139</v>
      </c>
      <c r="D692" s="46" t="s">
        <v>311</v>
      </c>
      <c r="E692">
        <v>5</v>
      </c>
      <c r="F692">
        <v>26</v>
      </c>
      <c r="G692" s="1">
        <v>38</v>
      </c>
      <c r="H692" s="16">
        <f t="shared" si="322"/>
        <v>7990</v>
      </c>
      <c r="I692">
        <v>28</v>
      </c>
      <c r="J692" s="17">
        <f t="shared" si="323"/>
        <v>5.6</v>
      </c>
      <c r="K692">
        <v>12</v>
      </c>
      <c r="L692">
        <v>30</v>
      </c>
      <c r="M692" s="17">
        <f t="shared" si="324"/>
        <v>2.4</v>
      </c>
      <c r="N692" s="17">
        <f t="shared" si="325"/>
        <v>6</v>
      </c>
      <c r="O692" s="18">
        <f t="shared" si="326"/>
        <v>0.4</v>
      </c>
      <c r="P692">
        <v>12</v>
      </c>
      <c r="Q692">
        <v>27</v>
      </c>
      <c r="R692" s="17">
        <f t="shared" si="327"/>
        <v>2.4</v>
      </c>
      <c r="S692" s="17">
        <f t="shared" si="328"/>
        <v>5.4</v>
      </c>
      <c r="T692" s="18">
        <f t="shared" si="329"/>
        <v>0.44444444444444442</v>
      </c>
      <c r="U692">
        <v>0</v>
      </c>
      <c r="V692">
        <v>3</v>
      </c>
      <c r="W692" s="17">
        <f t="shared" si="330"/>
        <v>0</v>
      </c>
      <c r="X692" s="17">
        <f t="shared" si="331"/>
        <v>0.6</v>
      </c>
      <c r="Y692" s="18">
        <f t="shared" si="332"/>
        <v>0</v>
      </c>
      <c r="Z692">
        <v>4</v>
      </c>
      <c r="AA692">
        <v>10</v>
      </c>
      <c r="AB692" s="17">
        <f t="shared" si="333"/>
        <v>0.8</v>
      </c>
      <c r="AC692" s="17">
        <f t="shared" si="334"/>
        <v>2</v>
      </c>
      <c r="AD692" s="18">
        <f t="shared" si="335"/>
        <v>0.4</v>
      </c>
      <c r="AE692">
        <v>31</v>
      </c>
      <c r="AF692" s="17">
        <f t="shared" si="336"/>
        <v>6.2</v>
      </c>
      <c r="AG692">
        <v>11</v>
      </c>
      <c r="AH692" s="17">
        <f t="shared" si="337"/>
        <v>2.2000000000000002</v>
      </c>
      <c r="AI692">
        <v>20</v>
      </c>
      <c r="AJ692" s="17">
        <f t="shared" si="338"/>
        <v>4</v>
      </c>
      <c r="AK692">
        <v>8</v>
      </c>
      <c r="AL692" s="17">
        <f t="shared" si="339"/>
        <v>1.6</v>
      </c>
      <c r="AM692">
        <v>2</v>
      </c>
      <c r="AN692" s="17">
        <f t="shared" si="340"/>
        <v>0.4</v>
      </c>
      <c r="AO692">
        <v>0</v>
      </c>
      <c r="AQ692">
        <v>10</v>
      </c>
      <c r="AR692" s="17">
        <f t="shared" si="341"/>
        <v>2</v>
      </c>
      <c r="AS692">
        <v>10</v>
      </c>
      <c r="AT692" s="17">
        <f t="shared" si="342"/>
        <v>2</v>
      </c>
      <c r="BD692" s="65">
        <f t="shared" si="343"/>
        <v>40.697674418604649</v>
      </c>
      <c r="BE692" s="65">
        <f t="shared" si="344"/>
        <v>40</v>
      </c>
      <c r="BF692" s="66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8.0816552977434704</v>
      </c>
      <c r="BG692" s="38">
        <f t="shared" si="345"/>
        <v>0.1</v>
      </c>
      <c r="BH692" s="38">
        <f t="shared" si="346"/>
        <v>0.33333333333333331</v>
      </c>
      <c r="BI692" s="67">
        <f>IFERROR(((AG692*(12000/5))/((F692*60+G692)*(SUMIFS(팀공격력!X:X,팀공격력!A:A,B692,팀공격력!B:B,D692)+SUMIFS(팀수비력!X:X,팀수비력!A:A,B692,팀수비력!B:B,D692))))*100,"")</f>
        <v>2.4330855395459348</v>
      </c>
      <c r="BJ692" s="67">
        <f>IFERROR(((AI692*(12000/5))/((F692*60+G692)*(SUMIFS(팀공격력!V:V,팀공격력!A:A,B692,팀공격력!B:B,D692)+SUMIFS(팀수비력!W:W,팀수비력!A:A,B692,팀수비력!B:B,D692))))*100,"")</f>
        <v>9.3284307247413309</v>
      </c>
      <c r="BK692" s="67">
        <f>IFERROR(((AE692*(12000/5))/((F692*60+G692)*(SUMIFS(팀공격력!X:X,팀공격력!A:A,B692,팀공격력!B:B,D692)+SUMIFS(팀수비력!X:X,팀수비력!A:A,B692,팀수비력!B:B,D692))))*100,"")</f>
        <v>6.8568774296294519</v>
      </c>
      <c r="BL692" s="67">
        <f>IFERROR(100*AK692/(((((F692*60+G692)/(12000/5))*SUMIFS(팀공격력!P:P,팀공격력!A:A,B692,팀공격력!B:B,D692))-K692)),"")</f>
        <v>4.0594369222702396</v>
      </c>
      <c r="BM692" s="67">
        <f>IFERROR(100*((AM692/E692*(2400))/((F692*60+G692)*SUMIFS(팀공격력!AR:AR,팀공격력!A:A,B692,팀공격력!B:B,D692))),"")</f>
        <v>0.75698967639953629</v>
      </c>
      <c r="BN692" s="67">
        <f>IFERROR((AO692*40)/(((F692*60+G692)/60)*(SUMIFS(팀수비력!Q:Q,팀수비력!A:A,B692,팀수비력!B:B,D692)-SUMIFS(팀수비력!N:N,팀수비력!A:A,B692,팀수비력!B:B,D692)))*100,"")</f>
        <v>0</v>
      </c>
      <c r="BO692" s="67">
        <f t="shared" si="347"/>
        <v>22.522522522522522</v>
      </c>
      <c r="BT692" t="s">
        <v>89</v>
      </c>
      <c r="BV692" t="s">
        <v>93</v>
      </c>
      <c r="CF692">
        <v>4</v>
      </c>
      <c r="CG692">
        <v>1</v>
      </c>
    </row>
    <row r="693" spans="1:85" x14ac:dyDescent="0.4">
      <c r="A693" s="11" t="s">
        <v>85</v>
      </c>
      <c r="B693" t="s">
        <v>123</v>
      </c>
      <c r="C693" t="s">
        <v>140</v>
      </c>
      <c r="D693" s="46" t="s">
        <v>311</v>
      </c>
      <c r="E693">
        <v>2</v>
      </c>
      <c r="F693">
        <v>4</v>
      </c>
      <c r="G693" s="1">
        <v>42</v>
      </c>
      <c r="H693" s="16">
        <f t="shared" si="322"/>
        <v>564</v>
      </c>
      <c r="I693">
        <v>5</v>
      </c>
      <c r="J693" s="17">
        <f t="shared" si="323"/>
        <v>2.5</v>
      </c>
      <c r="K693">
        <v>2</v>
      </c>
      <c r="L693">
        <v>4</v>
      </c>
      <c r="M693" s="17">
        <f t="shared" si="324"/>
        <v>1</v>
      </c>
      <c r="N693" s="17">
        <f t="shared" si="325"/>
        <v>2</v>
      </c>
      <c r="O693" s="18">
        <f t="shared" si="326"/>
        <v>0.5</v>
      </c>
      <c r="P693">
        <v>1</v>
      </c>
      <c r="Q693">
        <v>2</v>
      </c>
      <c r="R693" s="17">
        <f t="shared" si="327"/>
        <v>0.5</v>
      </c>
      <c r="S693" s="17">
        <f t="shared" si="328"/>
        <v>1</v>
      </c>
      <c r="T693" s="18">
        <f t="shared" si="329"/>
        <v>0.5</v>
      </c>
      <c r="U693">
        <v>1</v>
      </c>
      <c r="V693">
        <v>2</v>
      </c>
      <c r="W693" s="17">
        <f t="shared" si="330"/>
        <v>0.5</v>
      </c>
      <c r="X693" s="17">
        <f t="shared" si="331"/>
        <v>1</v>
      </c>
      <c r="Y693" s="18">
        <f t="shared" si="332"/>
        <v>0.5</v>
      </c>
      <c r="Z693">
        <v>0</v>
      </c>
      <c r="AA693">
        <v>0</v>
      </c>
      <c r="AB693" s="17">
        <f t="shared" si="333"/>
        <v>0</v>
      </c>
      <c r="AC693" s="17">
        <f t="shared" si="334"/>
        <v>0</v>
      </c>
      <c r="AD693" s="18" t="e">
        <f t="shared" si="335"/>
        <v>#DIV/0!</v>
      </c>
      <c r="AE693">
        <v>1</v>
      </c>
      <c r="AF693" s="17">
        <f t="shared" si="336"/>
        <v>0.5</v>
      </c>
      <c r="AG693">
        <v>1</v>
      </c>
      <c r="AH693" s="17">
        <f t="shared" si="337"/>
        <v>0.5</v>
      </c>
      <c r="AI693">
        <v>0</v>
      </c>
      <c r="AJ693" s="17">
        <f t="shared" si="338"/>
        <v>0</v>
      </c>
      <c r="AK693">
        <v>0</v>
      </c>
      <c r="AL693" s="17">
        <f t="shared" si="339"/>
        <v>0</v>
      </c>
      <c r="AM693">
        <v>1</v>
      </c>
      <c r="AN693" s="17">
        <f t="shared" si="340"/>
        <v>0.5</v>
      </c>
      <c r="AO693">
        <v>0</v>
      </c>
      <c r="AQ693">
        <v>1</v>
      </c>
      <c r="AR693" s="17">
        <f t="shared" si="341"/>
        <v>0.5</v>
      </c>
      <c r="AS693">
        <v>2</v>
      </c>
      <c r="AT693" s="17">
        <f t="shared" si="342"/>
        <v>1</v>
      </c>
      <c r="BD693" s="65">
        <f t="shared" si="343"/>
        <v>62.5</v>
      </c>
      <c r="BE693" s="65">
        <f t="shared" si="344"/>
        <v>62.5</v>
      </c>
      <c r="BF693" s="66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5.1572124647762392</v>
      </c>
      <c r="BG693" s="38">
        <f t="shared" si="345"/>
        <v>0.5</v>
      </c>
      <c r="BH693" s="38">
        <f t="shared" si="346"/>
        <v>0</v>
      </c>
      <c r="BI693" s="67">
        <f>IFERROR(((AG693*(12000/5))/((F693*60+G693)*(SUMIFS(팀공격력!X:X,팀공격력!A:A,B693,팀공격력!B:B,D693)+SUMIFS(팀수비력!X:X,팀수비력!A:A,B693,팀수비력!B:B,D693))))*100,"")</f>
        <v>1.25340770219033</v>
      </c>
      <c r="BJ693" s="67">
        <f>IFERROR(((AI693*(12000/5))/((F693*60+G693)*(SUMIFS(팀공격력!V:V,팀공격력!A:A,B693,팀공격력!B:B,D693)+SUMIFS(팀수비력!W:W,팀수비력!A:A,B693,팀수비력!B:B,D693))))*100,"")</f>
        <v>0</v>
      </c>
      <c r="BK693" s="67">
        <f>IFERROR(((AE693*(12000/5))/((F693*60+G693)*(SUMIFS(팀공격력!X:X,팀공격력!A:A,B693,팀공격력!B:B,D693)+SUMIFS(팀수비력!X:X,팀수비력!A:A,B693,팀수비력!B:B,D693))))*100,"")</f>
        <v>1.25340770219033</v>
      </c>
      <c r="BL693" s="67">
        <f>IFERROR(100*AK693/(((((F693*60+G693)/(12000/5))*SUMIFS(팀공격력!P:P,팀공격력!A:A,B693,팀공격력!B:B,D693))-K693)),"")</f>
        <v>0</v>
      </c>
      <c r="BM693" s="67">
        <f>IFERROR(100*((AM693/E693*(2400))/((F693*60+G693)*SUMIFS(팀공격력!AR:AR,팀공격력!A:A,B693,팀공격력!B:B,D693))),"")</f>
        <v>5.3620102078300489</v>
      </c>
      <c r="BN693" s="67">
        <f>IFERROR((AO693*40)/(((F693*60+G693)/60)*(SUMIFS(팀수비력!Q:Q,팀수비력!A:A,B693,팀수비력!B:B,D693)-SUMIFS(팀수비력!N:N,팀수비력!A:A,B693,팀수비력!B:B,D693)))*100,"")</f>
        <v>0</v>
      </c>
      <c r="BO693" s="67">
        <f t="shared" si="347"/>
        <v>20</v>
      </c>
      <c r="BT693" t="s">
        <v>89</v>
      </c>
      <c r="BV693" t="s">
        <v>90</v>
      </c>
      <c r="CF693">
        <v>1</v>
      </c>
      <c r="CG693">
        <v>1</v>
      </c>
    </row>
    <row r="694" spans="1:85" x14ac:dyDescent="0.4">
      <c r="A694" s="11" t="s">
        <v>85</v>
      </c>
      <c r="B694" t="s">
        <v>123</v>
      </c>
      <c r="C694" t="s">
        <v>142</v>
      </c>
      <c r="D694" s="46" t="s">
        <v>311</v>
      </c>
      <c r="E694">
        <v>7</v>
      </c>
      <c r="F694">
        <v>7</v>
      </c>
      <c r="G694" s="1">
        <v>1</v>
      </c>
      <c r="H694" s="16">
        <f t="shared" si="322"/>
        <v>2947</v>
      </c>
      <c r="I694">
        <v>10</v>
      </c>
      <c r="J694" s="17">
        <f t="shared" si="323"/>
        <v>1.4285714285714286</v>
      </c>
      <c r="K694">
        <v>2</v>
      </c>
      <c r="L694">
        <v>13</v>
      </c>
      <c r="M694" s="17">
        <f t="shared" si="324"/>
        <v>0.2857142857142857</v>
      </c>
      <c r="N694" s="17">
        <f t="shared" si="325"/>
        <v>1.8571428571428572</v>
      </c>
      <c r="O694" s="18">
        <f t="shared" si="326"/>
        <v>0.15384615384615385</v>
      </c>
      <c r="P694">
        <v>0</v>
      </c>
      <c r="Q694">
        <v>0</v>
      </c>
      <c r="R694" s="17">
        <f t="shared" si="327"/>
        <v>0</v>
      </c>
      <c r="S694" s="17">
        <f t="shared" si="328"/>
        <v>0</v>
      </c>
      <c r="T694" s="18" t="e">
        <f t="shared" si="329"/>
        <v>#DIV/0!</v>
      </c>
      <c r="U694">
        <v>2</v>
      </c>
      <c r="V694">
        <v>13</v>
      </c>
      <c r="W694" s="17">
        <f t="shared" si="330"/>
        <v>0.2857142857142857</v>
      </c>
      <c r="X694" s="17">
        <f t="shared" si="331"/>
        <v>1.8571428571428572</v>
      </c>
      <c r="Y694" s="18">
        <f t="shared" si="332"/>
        <v>0.15384615384615385</v>
      </c>
      <c r="Z694">
        <v>4</v>
      </c>
      <c r="AA694">
        <v>6</v>
      </c>
      <c r="AB694" s="17">
        <f t="shared" si="333"/>
        <v>0.5714285714285714</v>
      </c>
      <c r="AC694" s="17">
        <f t="shared" si="334"/>
        <v>0.8571428571428571</v>
      </c>
      <c r="AD694" s="18">
        <f t="shared" si="335"/>
        <v>0.66666666666666663</v>
      </c>
      <c r="AE694">
        <v>2</v>
      </c>
      <c r="AF694" s="17">
        <f t="shared" si="336"/>
        <v>0.2857142857142857</v>
      </c>
      <c r="AG694">
        <v>1</v>
      </c>
      <c r="AH694" s="17">
        <f t="shared" si="337"/>
        <v>0.14285714285714285</v>
      </c>
      <c r="AI694">
        <v>1</v>
      </c>
      <c r="AJ694" s="17">
        <f t="shared" si="338"/>
        <v>0.14285714285714285</v>
      </c>
      <c r="AK694">
        <v>4</v>
      </c>
      <c r="AL694" s="17">
        <f t="shared" si="339"/>
        <v>0.5714285714285714</v>
      </c>
      <c r="AM694">
        <v>1</v>
      </c>
      <c r="AN694" s="17">
        <f t="shared" si="340"/>
        <v>0.14285714285714285</v>
      </c>
      <c r="AO694">
        <v>0</v>
      </c>
      <c r="AQ694">
        <v>3</v>
      </c>
      <c r="AR694" s="17">
        <f t="shared" si="341"/>
        <v>0.42857142857142855</v>
      </c>
      <c r="AS694">
        <v>6</v>
      </c>
      <c r="AT694" s="17">
        <f t="shared" si="342"/>
        <v>0.8571428571428571</v>
      </c>
      <c r="BD694" s="65">
        <f t="shared" si="343"/>
        <v>31.9693094629156</v>
      </c>
      <c r="BE694" s="65">
        <f t="shared" si="344"/>
        <v>23.076923076923077</v>
      </c>
      <c r="BF694" s="66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12.878282269285988</v>
      </c>
      <c r="BG694" s="38">
        <f t="shared" si="345"/>
        <v>1</v>
      </c>
      <c r="BH694" s="38">
        <f t="shared" si="346"/>
        <v>0.46153846153846156</v>
      </c>
      <c r="BI694" s="67">
        <f>IFERROR(((AG694*(12000/5))/((F694*60+G694)*(SUMIFS(팀공격력!X:X,팀공격력!A:A,B694,팀공격력!B:B,D694)+SUMIFS(팀수비력!X:X,팀수비력!A:A,B694,팀수비력!B:B,D694))))*100,"")</f>
        <v>0.8395747553863967</v>
      </c>
      <c r="BJ694" s="67">
        <f>IFERROR(((AI694*(12000/5))/((F694*60+G694)*(SUMIFS(팀공격력!V:V,팀공격력!A:A,B694,팀공격력!B:B,D694)+SUMIFS(팀수비력!W:W,팀수비력!A:A,B694,팀수비력!B:B,D694))))*100,"")</f>
        <v>1.7704076363582715</v>
      </c>
      <c r="BK694" s="67">
        <f>IFERROR(((AE694*(12000/5))/((F694*60+G694)*(SUMIFS(팀공격력!X:X,팀공격력!A:A,B694,팀공격력!B:B,D694)+SUMIFS(팀수비력!X:X,팀수비력!A:A,B694,팀수비력!B:B,D694))))*100,"")</f>
        <v>1.6791495107727934</v>
      </c>
      <c r="BL694" s="67">
        <f>IFERROR(100*AK694/(((((F694*60+G694)/(12000/5))*SUMIFS(팀공격력!P:P,팀공격력!A:A,B694,팀공격력!B:B,D694))-K694)),"")</f>
        <v>7.5356767194687349</v>
      </c>
      <c r="BM694" s="67">
        <f>IFERROR(100*((AM694/E694*(2400))/((F694*60+G694)*SUMIFS(팀공격력!AR:AR,팀공격력!A:A,B694,팀공격력!B:B,D694))),"")</f>
        <v>1.026187226744536</v>
      </c>
      <c r="BN694" s="67">
        <f>IFERROR((AO694*40)/(((F694*60+G694)/60)*(SUMIFS(팀수비력!Q:Q,팀수비력!A:A,B694,팀수비력!B:B,D694)-SUMIFS(팀수비력!N:N,팀수비력!A:A,B694,팀수비력!B:B,D694)))*100,"")</f>
        <v>0</v>
      </c>
      <c r="BO694" s="67">
        <f t="shared" si="347"/>
        <v>16.094420600858367</v>
      </c>
      <c r="BT694" t="s">
        <v>89</v>
      </c>
      <c r="BV694" t="s">
        <v>90</v>
      </c>
      <c r="CF694">
        <v>5</v>
      </c>
      <c r="CG694">
        <v>2</v>
      </c>
    </row>
    <row r="695" spans="1:85" x14ac:dyDescent="0.4">
      <c r="A695" s="11" t="s">
        <v>85</v>
      </c>
      <c r="B695" t="s">
        <v>123</v>
      </c>
      <c r="C695" t="s">
        <v>143</v>
      </c>
      <c r="D695" s="46" t="s">
        <v>311</v>
      </c>
      <c r="E695">
        <v>7</v>
      </c>
      <c r="F695">
        <v>28</v>
      </c>
      <c r="G695" s="1">
        <v>44</v>
      </c>
      <c r="H695" s="16">
        <f t="shared" si="322"/>
        <v>12068</v>
      </c>
      <c r="I695">
        <v>51</v>
      </c>
      <c r="J695" s="17">
        <f t="shared" si="323"/>
        <v>7.2857142857142856</v>
      </c>
      <c r="K695">
        <v>14</v>
      </c>
      <c r="L695">
        <v>32</v>
      </c>
      <c r="M695" s="17">
        <f t="shared" si="324"/>
        <v>2</v>
      </c>
      <c r="N695" s="17">
        <f t="shared" si="325"/>
        <v>4.5714285714285712</v>
      </c>
      <c r="O695" s="18">
        <f t="shared" si="326"/>
        <v>0.4375</v>
      </c>
      <c r="P695">
        <v>4</v>
      </c>
      <c r="Q695">
        <v>10</v>
      </c>
      <c r="R695" s="17">
        <f t="shared" si="327"/>
        <v>0.5714285714285714</v>
      </c>
      <c r="S695" s="17">
        <f t="shared" si="328"/>
        <v>1.4285714285714286</v>
      </c>
      <c r="T695" s="18">
        <f t="shared" si="329"/>
        <v>0.4</v>
      </c>
      <c r="U695">
        <v>10</v>
      </c>
      <c r="V695">
        <v>22</v>
      </c>
      <c r="W695" s="17">
        <f t="shared" si="330"/>
        <v>1.4285714285714286</v>
      </c>
      <c r="X695" s="17">
        <f t="shared" si="331"/>
        <v>3.1428571428571428</v>
      </c>
      <c r="Y695" s="18">
        <f t="shared" si="332"/>
        <v>0.45454545454545453</v>
      </c>
      <c r="Z695">
        <v>13</v>
      </c>
      <c r="AA695">
        <v>16</v>
      </c>
      <c r="AB695" s="17">
        <f t="shared" si="333"/>
        <v>1.8571428571428572</v>
      </c>
      <c r="AC695" s="17">
        <f t="shared" si="334"/>
        <v>2.2857142857142856</v>
      </c>
      <c r="AD695" s="18">
        <f t="shared" si="335"/>
        <v>0.8125</v>
      </c>
      <c r="AE695">
        <v>33</v>
      </c>
      <c r="AF695" s="17">
        <f t="shared" si="336"/>
        <v>4.7142857142857144</v>
      </c>
      <c r="AG695">
        <v>11</v>
      </c>
      <c r="AH695" s="17">
        <f t="shared" si="337"/>
        <v>1.5714285714285714</v>
      </c>
      <c r="AI695">
        <v>22</v>
      </c>
      <c r="AJ695" s="17">
        <f t="shared" si="338"/>
        <v>3.1428571428571428</v>
      </c>
      <c r="AK695">
        <v>18</v>
      </c>
      <c r="AL695" s="17">
        <f t="shared" si="339"/>
        <v>2.5714285714285716</v>
      </c>
      <c r="AM695">
        <v>5</v>
      </c>
      <c r="AN695" s="17">
        <f t="shared" si="340"/>
        <v>0.7142857142857143</v>
      </c>
      <c r="AO695">
        <v>1</v>
      </c>
      <c r="AQ695">
        <v>8</v>
      </c>
      <c r="AR695" s="17">
        <f t="shared" si="341"/>
        <v>1.1428571428571428</v>
      </c>
      <c r="AS695">
        <v>19</v>
      </c>
      <c r="AT695" s="17">
        <f t="shared" si="342"/>
        <v>2.7142857142857144</v>
      </c>
      <c r="BD695" s="65">
        <f t="shared" si="343"/>
        <v>65.317622950819683</v>
      </c>
      <c r="BE695" s="65">
        <f t="shared" si="344"/>
        <v>59.375</v>
      </c>
      <c r="BF695" s="66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7.9364115272328233</v>
      </c>
      <c r="BG695" s="38">
        <f t="shared" si="345"/>
        <v>0.6875</v>
      </c>
      <c r="BH695" s="38">
        <f t="shared" si="346"/>
        <v>0.5</v>
      </c>
      <c r="BI695" s="67">
        <f>IFERROR(((AG695*(12000/5))/((F695*60+G695)*(SUMIFS(팀공격력!X:X,팀공격력!A:A,B695,팀공격력!B:B,D695)+SUMIFS(팀수비력!X:X,팀수비력!A:A,B695,팀수비력!B:B,D695))))*100,"")</f>
        <v>2.2552614223865448</v>
      </c>
      <c r="BJ695" s="67">
        <f>IFERROR(((AI695*(12000/5))/((F695*60+G695)*(SUMIFS(팀공격력!V:V,팀공격력!A:A,B695,팀공격력!B:B,D695)+SUMIFS(팀수비력!W:W,팀수비력!A:A,B695,팀수비력!B:B,D695))))*100,"")</f>
        <v>9.5113199118041241</v>
      </c>
      <c r="BK695" s="67">
        <f>IFERROR(((AE695*(12000/5))/((F695*60+G695)*(SUMIFS(팀공격력!X:X,팀공격력!A:A,B695,팀공격력!B:B,D695)+SUMIFS(팀수비력!X:X,팀수비력!A:A,B695,팀수비력!B:B,D695))))*100,"")</f>
        <v>6.765784267159634</v>
      </c>
      <c r="BL695" s="67">
        <f>IFERROR(100*AK695/(((((F695*60+G695)/(12000/5))*SUMIFS(팀공격력!P:P,팀공격력!A:A,B695,팀공격력!B:B,D695))-K695)),"")</f>
        <v>8.508358674586793</v>
      </c>
      <c r="BM695" s="67">
        <f>IFERROR(100*((AM695/E695*(2400))/((F695*60+G695)*SUMIFS(팀공격력!AR:AR,팀공격력!A:A,B695,팀공격력!B:B,D695))),"")</f>
        <v>1.2529722229102367</v>
      </c>
      <c r="BN695" s="67">
        <f>IFERROR((AO695*40)/(((F695*60+G695)/60)*(SUMIFS(팀수비력!Q:Q,팀수비력!A:A,B695,팀수비력!B:B,D695)-SUMIFS(팀수비력!N:N,팀수비력!A:A,B695,팀수비력!B:B,D695)))*100,"")</f>
        <v>0.33304099734677339</v>
      </c>
      <c r="BO695" s="67">
        <f t="shared" si="347"/>
        <v>17.006802721088437</v>
      </c>
      <c r="BT695" t="s">
        <v>89</v>
      </c>
      <c r="BV695" t="s">
        <v>93</v>
      </c>
      <c r="CF695">
        <v>6</v>
      </c>
      <c r="CG695">
        <v>1</v>
      </c>
    </row>
    <row r="696" spans="1:85" x14ac:dyDescent="0.4">
      <c r="A696" s="11" t="s">
        <v>85</v>
      </c>
      <c r="B696" t="s">
        <v>123</v>
      </c>
      <c r="C696" t="s">
        <v>144</v>
      </c>
      <c r="D696" s="46" t="s">
        <v>311</v>
      </c>
      <c r="E696">
        <v>1</v>
      </c>
      <c r="F696">
        <v>0</v>
      </c>
      <c r="G696" s="1">
        <v>2</v>
      </c>
      <c r="H696" s="16">
        <f t="shared" si="322"/>
        <v>2</v>
      </c>
      <c r="I696">
        <v>0</v>
      </c>
      <c r="J696" s="17">
        <f t="shared" si="323"/>
        <v>0</v>
      </c>
      <c r="K696">
        <v>0</v>
      </c>
      <c r="L696">
        <v>0</v>
      </c>
      <c r="M696" s="17">
        <f t="shared" si="324"/>
        <v>0</v>
      </c>
      <c r="N696" s="17">
        <f t="shared" si="325"/>
        <v>0</v>
      </c>
      <c r="O696" s="18" t="e">
        <f t="shared" si="326"/>
        <v>#DIV/0!</v>
      </c>
      <c r="P696">
        <v>0</v>
      </c>
      <c r="Q696">
        <v>0</v>
      </c>
      <c r="R696" s="17">
        <f t="shared" si="327"/>
        <v>0</v>
      </c>
      <c r="S696" s="17">
        <f t="shared" si="328"/>
        <v>0</v>
      </c>
      <c r="T696" s="18" t="e">
        <f t="shared" si="329"/>
        <v>#DIV/0!</v>
      </c>
      <c r="U696">
        <v>0</v>
      </c>
      <c r="V696">
        <v>0</v>
      </c>
      <c r="W696" s="17">
        <f t="shared" si="330"/>
        <v>0</v>
      </c>
      <c r="X696" s="17">
        <f t="shared" si="331"/>
        <v>0</v>
      </c>
      <c r="Y696" s="18" t="e">
        <f t="shared" si="332"/>
        <v>#DIV/0!</v>
      </c>
      <c r="Z696">
        <v>0</v>
      </c>
      <c r="AA696">
        <v>0</v>
      </c>
      <c r="AB696" s="17">
        <f t="shared" si="333"/>
        <v>0</v>
      </c>
      <c r="AC696" s="17">
        <f t="shared" si="334"/>
        <v>0</v>
      </c>
      <c r="AD696" s="18" t="e">
        <f t="shared" si="335"/>
        <v>#DIV/0!</v>
      </c>
      <c r="AE696">
        <v>0</v>
      </c>
      <c r="AF696" s="17">
        <f t="shared" si="336"/>
        <v>0</v>
      </c>
      <c r="AG696">
        <v>0</v>
      </c>
      <c r="AH696" s="17">
        <f t="shared" si="337"/>
        <v>0</v>
      </c>
      <c r="AI696">
        <v>0</v>
      </c>
      <c r="AJ696" s="17">
        <f t="shared" si="338"/>
        <v>0</v>
      </c>
      <c r="AK696">
        <v>0</v>
      </c>
      <c r="AL696" s="17">
        <f t="shared" si="339"/>
        <v>0</v>
      </c>
      <c r="AM696">
        <v>0</v>
      </c>
      <c r="AN696" s="17">
        <f t="shared" si="340"/>
        <v>0</v>
      </c>
      <c r="AO696">
        <v>0</v>
      </c>
      <c r="AQ696">
        <v>0</v>
      </c>
      <c r="AR696" s="17">
        <f t="shared" si="341"/>
        <v>0</v>
      </c>
      <c r="AS696">
        <v>0</v>
      </c>
      <c r="AT696" s="17">
        <f t="shared" si="342"/>
        <v>0</v>
      </c>
      <c r="BD696" s="65" t="str">
        <f t="shared" si="343"/>
        <v/>
      </c>
      <c r="BE696" s="65" t="str">
        <f t="shared" si="344"/>
        <v/>
      </c>
      <c r="BF696" s="66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0</v>
      </c>
      <c r="BG696" s="38" t="str">
        <f t="shared" si="345"/>
        <v/>
      </c>
      <c r="BH696" s="38" t="str">
        <f t="shared" si="346"/>
        <v/>
      </c>
      <c r="BI696" s="67">
        <f>IFERROR(((AG696*(12000/5))/((F696*60+G696)*(SUMIFS(팀공격력!X:X,팀공격력!A:A,B696,팀공격력!B:B,D696)+SUMIFS(팀수비력!X:X,팀수비력!A:A,B696,팀수비력!B:B,D696))))*100,"")</f>
        <v>0</v>
      </c>
      <c r="BJ696" s="67">
        <f>IFERROR(((AI696*(12000/5))/((F696*60+G696)*(SUMIFS(팀공격력!V:V,팀공격력!A:A,B696,팀공격력!B:B,D696)+SUMIFS(팀수비력!W:W,팀수비력!A:A,B696,팀수비력!B:B,D696))))*100,"")</f>
        <v>0</v>
      </c>
      <c r="BK696" s="67">
        <f>IFERROR(((AE696*(12000/5))/((F696*60+G696)*(SUMIFS(팀공격력!X:X,팀공격력!A:A,B696,팀공격력!B:B,D696)+SUMIFS(팀수비력!X:X,팀수비력!A:A,B696,팀수비력!B:B,D696))))*100,"")</f>
        <v>0</v>
      </c>
      <c r="BL696" s="67">
        <f>IFERROR(100*AK696/(((((F696*60+G696)/(12000/5))*SUMIFS(팀공격력!P:P,팀공격력!A:A,B696,팀공격력!B:B,D696))-K696)),"")</f>
        <v>0</v>
      </c>
      <c r="BM696" s="67">
        <f>IFERROR(100*((AM696/E696*(2400))/((F696*60+G696)*SUMIFS(팀공격력!AR:AR,팀공격력!A:A,B696,팀공격력!B:B,D696))),"")</f>
        <v>0</v>
      </c>
      <c r="BN696" s="67">
        <f>IFERROR((AO696*40)/(((F696*60+G696)/60)*(SUMIFS(팀수비력!Q:Q,팀수비력!A:A,B696,팀수비력!B:B,D696)-SUMIFS(팀수비력!N:N,팀수비력!A:A,B696,팀수비력!B:B,D696)))*100,"")</f>
        <v>0</v>
      </c>
      <c r="BO696" s="67" t="str">
        <f t="shared" si="347"/>
        <v/>
      </c>
      <c r="BT696" t="s">
        <v>89</v>
      </c>
      <c r="BV696" t="s">
        <v>102</v>
      </c>
      <c r="CF696">
        <v>0</v>
      </c>
      <c r="CG696">
        <v>1</v>
      </c>
    </row>
    <row r="697" spans="1:85" x14ac:dyDescent="0.4">
      <c r="A697" s="11" t="s">
        <v>85</v>
      </c>
      <c r="B697" t="s">
        <v>145</v>
      </c>
      <c r="C697" t="s">
        <v>146</v>
      </c>
      <c r="D697" s="46" t="s">
        <v>311</v>
      </c>
      <c r="E697">
        <v>3</v>
      </c>
      <c r="F697">
        <v>5</v>
      </c>
      <c r="G697" s="1">
        <v>48</v>
      </c>
      <c r="H697" s="16">
        <f t="shared" si="322"/>
        <v>1044</v>
      </c>
      <c r="I697">
        <v>7</v>
      </c>
      <c r="J697" s="17">
        <f t="shared" si="323"/>
        <v>2.3333333333333335</v>
      </c>
      <c r="K697">
        <v>3</v>
      </c>
      <c r="L697">
        <v>5</v>
      </c>
      <c r="M697" s="17">
        <f t="shared" si="324"/>
        <v>1</v>
      </c>
      <c r="N697" s="17">
        <f t="shared" si="325"/>
        <v>1.6666666666666667</v>
      </c>
      <c r="O697" s="18">
        <f t="shared" si="326"/>
        <v>0.6</v>
      </c>
      <c r="P697">
        <v>2</v>
      </c>
      <c r="Q697">
        <v>3</v>
      </c>
      <c r="R697" s="17">
        <f t="shared" si="327"/>
        <v>0.66666666666666663</v>
      </c>
      <c r="S697" s="17">
        <f t="shared" si="328"/>
        <v>1</v>
      </c>
      <c r="T697" s="18">
        <f t="shared" si="329"/>
        <v>0.66666666666666663</v>
      </c>
      <c r="U697">
        <v>1</v>
      </c>
      <c r="V697">
        <v>2</v>
      </c>
      <c r="W697" s="17">
        <f t="shared" si="330"/>
        <v>0.33333333333333331</v>
      </c>
      <c r="X697" s="17">
        <f t="shared" si="331"/>
        <v>0.66666666666666663</v>
      </c>
      <c r="Y697" s="18">
        <f t="shared" si="332"/>
        <v>0.5</v>
      </c>
      <c r="Z697">
        <v>0</v>
      </c>
      <c r="AA697">
        <v>0</v>
      </c>
      <c r="AB697" s="17">
        <f t="shared" si="333"/>
        <v>0</v>
      </c>
      <c r="AC697" s="17">
        <f t="shared" si="334"/>
        <v>0</v>
      </c>
      <c r="AD697" s="18" t="e">
        <f t="shared" si="335"/>
        <v>#DIV/0!</v>
      </c>
      <c r="AE697">
        <v>5</v>
      </c>
      <c r="AF697" s="17">
        <f t="shared" si="336"/>
        <v>1.6666666666666667</v>
      </c>
      <c r="AG697">
        <v>1</v>
      </c>
      <c r="AH697" s="17">
        <f t="shared" si="337"/>
        <v>0.33333333333333331</v>
      </c>
      <c r="AI697">
        <v>4</v>
      </c>
      <c r="AJ697" s="17">
        <f t="shared" si="338"/>
        <v>1.3333333333333333</v>
      </c>
      <c r="AK697">
        <v>0</v>
      </c>
      <c r="AL697" s="17">
        <f t="shared" si="339"/>
        <v>0</v>
      </c>
      <c r="AM697">
        <v>0</v>
      </c>
      <c r="AN697" s="17">
        <f t="shared" si="340"/>
        <v>0</v>
      </c>
      <c r="AO697">
        <v>0</v>
      </c>
      <c r="AQ697">
        <v>2</v>
      </c>
      <c r="AR697" s="17">
        <f t="shared" si="341"/>
        <v>0.66666666666666663</v>
      </c>
      <c r="AS697">
        <v>4</v>
      </c>
      <c r="AT697" s="17">
        <f t="shared" si="342"/>
        <v>1.3333333333333333</v>
      </c>
      <c r="BD697" s="65">
        <f t="shared" si="343"/>
        <v>70</v>
      </c>
      <c r="BE697" s="65">
        <f t="shared" si="344"/>
        <v>70</v>
      </c>
      <c r="BF697" s="66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5.6904924877369885</v>
      </c>
      <c r="BG697" s="38">
        <f t="shared" si="345"/>
        <v>0.4</v>
      </c>
      <c r="BH697" s="38">
        <f t="shared" si="346"/>
        <v>0</v>
      </c>
      <c r="BI697" s="67">
        <f>IFERROR(((AG697*(12000/5))/((F697*60+G697)*(SUMIFS(팀공격력!X:X,팀공격력!A:A,B697,팀공격력!B:B,D697)+SUMIFS(팀수비력!X:X,팀수비력!A:A,B697,팀수비력!B:B,D697))))*100,"")</f>
        <v>0.97823428711176319</v>
      </c>
      <c r="BJ697" s="67">
        <f>IFERROR(((AI697*(12000/5))/((F697*60+G697)*(SUMIFS(팀공격력!V:V,팀공격력!A:A,B697,팀공격력!B:B,D697)+SUMIFS(팀수비력!W:W,팀수비력!A:A,B697,팀수비력!B:B,D697))))*100,"")</f>
        <v>8.5938339241594157</v>
      </c>
      <c r="BK697" s="67">
        <f>IFERROR(((AE697*(12000/5))/((F697*60+G697)*(SUMIFS(팀공격력!X:X,팀공격력!A:A,B697,팀공격력!B:B,D697)+SUMIFS(팀수비력!X:X,팀수비력!A:A,B697,팀수비력!B:B,D697))))*100,"")</f>
        <v>4.8911714355588165</v>
      </c>
      <c r="BL697" s="67">
        <f>IFERROR(100*AK697/(((((F697*60+G697)/(12000/5))*SUMIFS(팀공격력!P:P,팀공격력!A:A,B697,팀공격력!B:B,D697))-K697)),"")</f>
        <v>0</v>
      </c>
      <c r="BM697" s="67">
        <f>IFERROR(100*((AM697/E697*(2400))/((F697*60+G697)*SUMIFS(팀공격력!AR:AR,팀공격력!A:A,B697,팀공격력!B:B,D697))),"")</f>
        <v>0</v>
      </c>
      <c r="BN697" s="67">
        <f>IFERROR((AO697*40)/(((F697*60+G697)/60)*(SUMIFS(팀수비력!Q:Q,팀수비력!A:A,B697,팀수비력!B:B,D697)-SUMIFS(팀수비력!N:N,팀수비력!A:A,B697,팀수비력!B:B,D697)))*100,"")</f>
        <v>0</v>
      </c>
      <c r="BO697" s="67">
        <f t="shared" si="347"/>
        <v>28.571428571428573</v>
      </c>
      <c r="BT697" t="s">
        <v>89</v>
      </c>
      <c r="BV697" t="s">
        <v>93</v>
      </c>
      <c r="CF697">
        <v>2</v>
      </c>
      <c r="CG697">
        <v>1</v>
      </c>
    </row>
    <row r="698" spans="1:85" x14ac:dyDescent="0.4">
      <c r="A698" s="11" t="s">
        <v>85</v>
      </c>
      <c r="B698" t="s">
        <v>145</v>
      </c>
      <c r="C698" t="s">
        <v>147</v>
      </c>
      <c r="D698" s="46" t="s">
        <v>311</v>
      </c>
      <c r="E698">
        <v>2</v>
      </c>
      <c r="F698">
        <v>5</v>
      </c>
      <c r="G698" s="1">
        <v>41</v>
      </c>
      <c r="H698" s="16">
        <f t="shared" si="322"/>
        <v>682</v>
      </c>
      <c r="I698">
        <v>3</v>
      </c>
      <c r="J698" s="17">
        <f t="shared" si="323"/>
        <v>1.5</v>
      </c>
      <c r="K698">
        <v>1</v>
      </c>
      <c r="L698">
        <v>3</v>
      </c>
      <c r="M698" s="17">
        <f t="shared" si="324"/>
        <v>0.5</v>
      </c>
      <c r="N698" s="17">
        <f t="shared" si="325"/>
        <v>1.5</v>
      </c>
      <c r="O698" s="18">
        <f t="shared" si="326"/>
        <v>0.33333333333333331</v>
      </c>
      <c r="P698">
        <v>0</v>
      </c>
      <c r="Q698">
        <v>0</v>
      </c>
      <c r="R698" s="17">
        <f t="shared" si="327"/>
        <v>0</v>
      </c>
      <c r="S698" s="17">
        <f t="shared" si="328"/>
        <v>0</v>
      </c>
      <c r="T698" s="18" t="e">
        <f t="shared" si="329"/>
        <v>#DIV/0!</v>
      </c>
      <c r="U698">
        <v>1</v>
      </c>
      <c r="V698">
        <v>3</v>
      </c>
      <c r="W698" s="17">
        <f t="shared" si="330"/>
        <v>0.5</v>
      </c>
      <c r="X698" s="17">
        <f t="shared" si="331"/>
        <v>1.5</v>
      </c>
      <c r="Y698" s="18">
        <f t="shared" si="332"/>
        <v>0.33333333333333331</v>
      </c>
      <c r="Z698">
        <v>0</v>
      </c>
      <c r="AA698">
        <v>0</v>
      </c>
      <c r="AB698" s="17">
        <f t="shared" si="333"/>
        <v>0</v>
      </c>
      <c r="AC698" s="17">
        <f t="shared" si="334"/>
        <v>0</v>
      </c>
      <c r="AD698" s="18" t="e">
        <f t="shared" si="335"/>
        <v>#DIV/0!</v>
      </c>
      <c r="AE698">
        <v>2</v>
      </c>
      <c r="AF698" s="17">
        <f t="shared" si="336"/>
        <v>1</v>
      </c>
      <c r="AG698">
        <v>0</v>
      </c>
      <c r="AH698" s="17">
        <f t="shared" si="337"/>
        <v>0</v>
      </c>
      <c r="AI698">
        <v>2</v>
      </c>
      <c r="AJ698" s="17">
        <f t="shared" si="338"/>
        <v>1</v>
      </c>
      <c r="AK698">
        <v>0</v>
      </c>
      <c r="AL698" s="17">
        <f t="shared" si="339"/>
        <v>0</v>
      </c>
      <c r="AM698">
        <v>1</v>
      </c>
      <c r="AN698" s="17">
        <f t="shared" si="340"/>
        <v>0.5</v>
      </c>
      <c r="AO698">
        <v>0</v>
      </c>
      <c r="AQ698">
        <v>1</v>
      </c>
      <c r="AR698" s="17">
        <f t="shared" si="341"/>
        <v>0.5</v>
      </c>
      <c r="AS698">
        <v>4</v>
      </c>
      <c r="AT698" s="17">
        <f t="shared" si="342"/>
        <v>2</v>
      </c>
      <c r="BD698" s="65">
        <f t="shared" si="343"/>
        <v>50</v>
      </c>
      <c r="BE698" s="65">
        <f t="shared" si="344"/>
        <v>50</v>
      </c>
      <c r="BF698" s="66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3.3184606380100075</v>
      </c>
      <c r="BG698" s="38">
        <f t="shared" si="345"/>
        <v>1</v>
      </c>
      <c r="BH698" s="38">
        <f t="shared" si="346"/>
        <v>0</v>
      </c>
      <c r="BI698" s="67">
        <f>IFERROR(((AG698*(12000/5))/((F698*60+G698)*(SUMIFS(팀공격력!X:X,팀공격력!A:A,B698,팀공격력!B:B,D698)+SUMIFS(팀수비력!X:X,팀수비력!A:A,B698,팀수비력!B:B,D698))))*100,"")</f>
        <v>0</v>
      </c>
      <c r="BJ698" s="67">
        <f>IFERROR(((AI698*(12000/5))/((F698*60+G698)*(SUMIFS(팀공격력!V:V,팀공격력!A:A,B698,팀공격력!B:B,D698)+SUMIFS(팀수비력!W:W,팀수비력!A:A,B698,팀수비력!B:B,D698))))*100,"")</f>
        <v>4.3851234686326634</v>
      </c>
      <c r="BK698" s="67">
        <f>IFERROR(((AE698*(12000/5))/((F698*60+G698)*(SUMIFS(팀공격력!X:X,팀공격력!A:A,B698,팀공격력!B:B,D698)+SUMIFS(팀수비력!X:X,팀수비력!A:A,B698,팀수비력!B:B,D698))))*100,"")</f>
        <v>1.9966306857178511</v>
      </c>
      <c r="BL698" s="67">
        <f>IFERROR(100*AK698/(((((F698*60+G698)/(12000/5))*SUMIFS(팀공격력!P:P,팀공격력!A:A,B698,팀공격력!B:B,D698))-K698)),"")</f>
        <v>0</v>
      </c>
      <c r="BM698" s="67">
        <f>IFERROR(100*((AM698/E698*(2400))/((F698*60+G698)*SUMIFS(팀공격력!AR:AR,팀공격력!A:A,B698,팀공격력!B:B,D698))),"")</f>
        <v>4.2585767430629096</v>
      </c>
      <c r="BN698" s="67">
        <f>IFERROR((AO698*40)/(((F698*60+G698)/60)*(SUMIFS(팀수비력!Q:Q,팀수비력!A:A,B698,팀수비력!B:B,D698)-SUMIFS(팀수비력!N:N,팀수비력!A:A,B698,팀수비력!B:B,D698)))*100,"")</f>
        <v>0</v>
      </c>
      <c r="BO698" s="67">
        <f t="shared" si="347"/>
        <v>25</v>
      </c>
      <c r="BT698" t="s">
        <v>89</v>
      </c>
      <c r="BV698" t="s">
        <v>90</v>
      </c>
      <c r="CF698">
        <v>1</v>
      </c>
      <c r="CG698">
        <v>1</v>
      </c>
    </row>
    <row r="699" spans="1:85" x14ac:dyDescent="0.4">
      <c r="A699" s="11" t="s">
        <v>85</v>
      </c>
      <c r="B699" t="s">
        <v>145</v>
      </c>
      <c r="C699" t="s">
        <v>148</v>
      </c>
      <c r="D699" s="46" t="s">
        <v>311</v>
      </c>
      <c r="E699">
        <v>10</v>
      </c>
      <c r="F699">
        <v>26</v>
      </c>
      <c r="G699" s="1">
        <v>57</v>
      </c>
      <c r="H699" s="16">
        <f t="shared" si="322"/>
        <v>16170</v>
      </c>
      <c r="I699">
        <v>180</v>
      </c>
      <c r="J699" s="17">
        <f t="shared" si="323"/>
        <v>18</v>
      </c>
      <c r="K699">
        <v>73</v>
      </c>
      <c r="L699">
        <v>125</v>
      </c>
      <c r="M699" s="17">
        <f t="shared" si="324"/>
        <v>7.3</v>
      </c>
      <c r="N699" s="17">
        <f t="shared" si="325"/>
        <v>12.5</v>
      </c>
      <c r="O699" s="18">
        <f t="shared" si="326"/>
        <v>0.58399999999999996</v>
      </c>
      <c r="P699">
        <v>67</v>
      </c>
      <c r="Q699">
        <v>108</v>
      </c>
      <c r="R699" s="17">
        <f t="shared" si="327"/>
        <v>6.7</v>
      </c>
      <c r="S699" s="17">
        <f t="shared" si="328"/>
        <v>10.8</v>
      </c>
      <c r="T699" s="18">
        <f t="shared" si="329"/>
        <v>0.62037037037037035</v>
      </c>
      <c r="U699">
        <v>6</v>
      </c>
      <c r="V699">
        <v>17</v>
      </c>
      <c r="W699" s="17">
        <f t="shared" si="330"/>
        <v>0.6</v>
      </c>
      <c r="X699" s="17">
        <f t="shared" si="331"/>
        <v>1.7</v>
      </c>
      <c r="Y699" s="18">
        <f t="shared" si="332"/>
        <v>0.35294117647058826</v>
      </c>
      <c r="Z699">
        <v>28</v>
      </c>
      <c r="AA699">
        <v>37</v>
      </c>
      <c r="AB699" s="17">
        <f t="shared" si="333"/>
        <v>2.8</v>
      </c>
      <c r="AC699" s="17">
        <f t="shared" si="334"/>
        <v>3.7</v>
      </c>
      <c r="AD699" s="18">
        <f t="shared" si="335"/>
        <v>0.7567567567567568</v>
      </c>
      <c r="AE699">
        <v>91</v>
      </c>
      <c r="AF699" s="17">
        <f t="shared" si="336"/>
        <v>9.1</v>
      </c>
      <c r="AG699">
        <v>33</v>
      </c>
      <c r="AH699" s="17">
        <f t="shared" si="337"/>
        <v>3.3</v>
      </c>
      <c r="AI699">
        <v>58</v>
      </c>
      <c r="AJ699" s="17">
        <f t="shared" si="338"/>
        <v>5.8</v>
      </c>
      <c r="AK699">
        <v>23</v>
      </c>
      <c r="AL699" s="17">
        <f t="shared" si="339"/>
        <v>2.2999999999999998</v>
      </c>
      <c r="AM699">
        <v>4</v>
      </c>
      <c r="AN699" s="17">
        <f t="shared" si="340"/>
        <v>0.4</v>
      </c>
      <c r="AO699">
        <v>6</v>
      </c>
      <c r="AQ699">
        <v>16</v>
      </c>
      <c r="AR699" s="17">
        <f t="shared" si="341"/>
        <v>1.6</v>
      </c>
      <c r="AS699">
        <v>15</v>
      </c>
      <c r="AT699" s="17">
        <f t="shared" si="342"/>
        <v>1.5</v>
      </c>
      <c r="BD699" s="65">
        <f t="shared" si="343"/>
        <v>63.703284258210644</v>
      </c>
      <c r="BE699" s="65">
        <f t="shared" si="344"/>
        <v>60.8</v>
      </c>
      <c r="BF699" s="66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27.516585312130328</v>
      </c>
      <c r="BG699" s="38">
        <f t="shared" si="345"/>
        <v>0.13600000000000001</v>
      </c>
      <c r="BH699" s="38">
        <f t="shared" si="346"/>
        <v>0.29599999999999999</v>
      </c>
      <c r="BI699" s="67">
        <f>IFERROR(((AG699*(12000/5))/((F699*60+G699)*(SUMIFS(팀공격력!X:X,팀공격력!A:A,B699,팀공격력!B:B,D699)+SUMIFS(팀수비력!X:X,팀수비력!A:A,B699,팀수비력!B:B,D699))))*100,"")</f>
        <v>6.9474598349978294</v>
      </c>
      <c r="BJ699" s="67">
        <f>IFERROR(((AI699*(12000/5))/((F699*60+G699)*(SUMIFS(팀공격력!V:V,팀공격력!A:A,B699,팀공격력!B:B,D699)+SUMIFS(팀수비력!W:W,팀수비력!A:A,B699,팀수비력!B:B,D699))))*100,"")</f>
        <v>26.81786393401881</v>
      </c>
      <c r="BK699" s="67">
        <f>IFERROR(((AE699*(12000/5))/((F699*60+G699)*(SUMIFS(팀공격력!X:X,팀공격력!A:A,B699,팀공격력!B:B,D699)+SUMIFS(팀수비력!X:X,팀수비력!A:A,B699,팀수비력!B:B,D699))))*100,"")</f>
        <v>19.158146817721285</v>
      </c>
      <c r="BL699" s="67">
        <f>IFERROR(100*AK699/(((((F699*60+G699)/(12000/5))*SUMIFS(팀공격력!P:P,팀공격력!A:A,B699,팀공격력!B:B,D699))-K699)),"")</f>
        <v>15.684402543600935</v>
      </c>
      <c r="BM699" s="67">
        <f>IFERROR(100*((AM699/E699*(2400))/((F699*60+G699)*SUMIFS(팀공격력!AR:AR,팀공격력!A:A,B699,팀공격력!B:B,D699))),"")</f>
        <v>0.71845376345551115</v>
      </c>
      <c r="BN699" s="67">
        <f>IFERROR((AO699*40)/(((F699*60+G699)/60)*(SUMIFS(팀수비력!Q:Q,팀수비력!A:A,B699,팀수비력!B:B,D699)-SUMIFS(팀수비력!N:N,팀수비력!A:A,B699,팀수비력!B:B,D699)))*100,"")</f>
        <v>1.8100366532422283</v>
      </c>
      <c r="BO699" s="67">
        <f t="shared" si="347"/>
        <v>10.172939979654119</v>
      </c>
      <c r="BT699" t="s">
        <v>96</v>
      </c>
      <c r="BV699" t="s">
        <v>102</v>
      </c>
      <c r="CF699">
        <v>6</v>
      </c>
      <c r="CG699">
        <v>4</v>
      </c>
    </row>
    <row r="700" spans="1:85" x14ac:dyDescent="0.4">
      <c r="A700" s="11" t="s">
        <v>85</v>
      </c>
      <c r="B700" t="s">
        <v>145</v>
      </c>
      <c r="C700" t="s">
        <v>150</v>
      </c>
      <c r="D700" s="46" t="s">
        <v>311</v>
      </c>
      <c r="E700">
        <v>4</v>
      </c>
      <c r="F700">
        <v>30</v>
      </c>
      <c r="G700" s="1">
        <v>58</v>
      </c>
      <c r="H700" s="16">
        <f t="shared" si="322"/>
        <v>7432</v>
      </c>
      <c r="I700">
        <v>43</v>
      </c>
      <c r="J700" s="17">
        <f t="shared" si="323"/>
        <v>10.75</v>
      </c>
      <c r="K700">
        <v>16</v>
      </c>
      <c r="L700">
        <v>40</v>
      </c>
      <c r="M700" s="17">
        <f t="shared" si="324"/>
        <v>4</v>
      </c>
      <c r="N700" s="17">
        <f t="shared" si="325"/>
        <v>10</v>
      </c>
      <c r="O700" s="18">
        <f t="shared" si="326"/>
        <v>0.4</v>
      </c>
      <c r="P700">
        <v>11</v>
      </c>
      <c r="Q700">
        <v>19</v>
      </c>
      <c r="R700" s="17">
        <f t="shared" si="327"/>
        <v>2.75</v>
      </c>
      <c r="S700" s="17">
        <f t="shared" si="328"/>
        <v>4.75</v>
      </c>
      <c r="T700" s="18">
        <f t="shared" si="329"/>
        <v>0.57894736842105265</v>
      </c>
      <c r="U700">
        <v>5</v>
      </c>
      <c r="V700">
        <v>21</v>
      </c>
      <c r="W700" s="17">
        <f t="shared" si="330"/>
        <v>1.25</v>
      </c>
      <c r="X700" s="17">
        <f t="shared" si="331"/>
        <v>5.25</v>
      </c>
      <c r="Y700" s="18">
        <f t="shared" si="332"/>
        <v>0.23809523809523808</v>
      </c>
      <c r="Z700">
        <v>6</v>
      </c>
      <c r="AA700">
        <v>11</v>
      </c>
      <c r="AB700" s="17">
        <f t="shared" si="333"/>
        <v>1.5</v>
      </c>
      <c r="AC700" s="17">
        <f t="shared" si="334"/>
        <v>2.75</v>
      </c>
      <c r="AD700" s="18">
        <f t="shared" si="335"/>
        <v>0.54545454545454541</v>
      </c>
      <c r="AE700">
        <v>15</v>
      </c>
      <c r="AF700" s="17">
        <f t="shared" si="336"/>
        <v>3.75</v>
      </c>
      <c r="AG700">
        <v>1</v>
      </c>
      <c r="AH700" s="17">
        <f t="shared" si="337"/>
        <v>0.25</v>
      </c>
      <c r="AI700">
        <v>14</v>
      </c>
      <c r="AJ700" s="17">
        <f t="shared" si="338"/>
        <v>3.5</v>
      </c>
      <c r="AK700">
        <v>15</v>
      </c>
      <c r="AL700" s="17">
        <f t="shared" si="339"/>
        <v>3.75</v>
      </c>
      <c r="AM700">
        <v>4</v>
      </c>
      <c r="AN700" s="17">
        <f t="shared" si="340"/>
        <v>1</v>
      </c>
      <c r="AO700">
        <v>3</v>
      </c>
      <c r="AQ700">
        <v>7</v>
      </c>
      <c r="AR700" s="17">
        <f t="shared" si="341"/>
        <v>1.75</v>
      </c>
      <c r="AS700">
        <v>7</v>
      </c>
      <c r="AT700" s="17">
        <f t="shared" si="342"/>
        <v>1.75</v>
      </c>
      <c r="BD700" s="65">
        <f t="shared" si="343"/>
        <v>47.948260481712751</v>
      </c>
      <c r="BE700" s="65">
        <f t="shared" si="344"/>
        <v>46.25</v>
      </c>
      <c r="BF700" s="66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7.8931497336899401</v>
      </c>
      <c r="BG700" s="38">
        <f t="shared" si="345"/>
        <v>0.52500000000000002</v>
      </c>
      <c r="BH700" s="38">
        <f t="shared" si="346"/>
        <v>0.27500000000000002</v>
      </c>
      <c r="BI700" s="67">
        <f>IFERROR(((AG700*(12000/5))/((F700*60+G700)*(SUMIFS(팀공격력!X:X,팀공격력!A:A,B700,팀공격력!B:B,D700)+SUMIFS(팀수비력!X:X,팀수비력!A:A,B700,팀수비력!B:B,D700))))*100,"")</f>
        <v>0.18322149188099765</v>
      </c>
      <c r="BJ700" s="67">
        <f>IFERROR(((AI700*(12000/5))/((F700*60+G700)*(SUMIFS(팀공격력!V:V,팀공격력!A:A,B700,팀공격력!B:B,D700)+SUMIFS(팀수비력!W:W,팀수비력!A:A,B700,팀수비력!B:B,D700))))*100,"")</f>
        <v>5.6336327877428243</v>
      </c>
      <c r="BK700" s="67">
        <f>IFERROR(((AE700*(12000/5))/((F700*60+G700)*(SUMIFS(팀공격력!X:X,팀공격력!A:A,B700,팀공격력!B:B,D700)+SUMIFS(팀수비력!X:X,팀수비력!A:A,B700,팀수비력!B:B,D700))))*100,"")</f>
        <v>2.7483223782149646</v>
      </c>
      <c r="BL700" s="67">
        <f>IFERROR(100*AK700/(((((F700*60+G700)/(12000/5))*SUMIFS(팀공격력!P:P,팀공격력!A:A,B700,팀공격력!B:B,D700))-K700)),"")</f>
        <v>6.345759270096667</v>
      </c>
      <c r="BM700" s="67">
        <f>IFERROR(100*((AM700/E700*(2400))/((F700*60+G700)*SUMIFS(팀공격력!AR:AR,팀공격력!A:A,B700,팀공격력!B:B,D700))),"")</f>
        <v>1.5631589552039311</v>
      </c>
      <c r="BN700" s="67">
        <f>IFERROR((AO700*40)/(((F700*60+G700)/60)*(SUMIFS(팀수비력!Q:Q,팀수비력!A:A,B700,팀수비력!B:B,D700)-SUMIFS(팀수비력!N:N,팀수비력!A:A,B700,팀수비력!B:B,D700)))*100,"")</f>
        <v>0.7876289742445326</v>
      </c>
      <c r="BO700" s="67">
        <f t="shared" si="347"/>
        <v>13.503086419753085</v>
      </c>
      <c r="BT700" t="s">
        <v>89</v>
      </c>
      <c r="BV700" t="s">
        <v>93</v>
      </c>
      <c r="CF700">
        <v>3</v>
      </c>
      <c r="CG700">
        <v>1</v>
      </c>
    </row>
    <row r="701" spans="1:85" x14ac:dyDescent="0.4">
      <c r="A701" s="11" t="s">
        <v>85</v>
      </c>
      <c r="B701" t="s">
        <v>145</v>
      </c>
      <c r="C701" t="s">
        <v>152</v>
      </c>
      <c r="D701" s="46" t="s">
        <v>311</v>
      </c>
      <c r="E701">
        <v>9</v>
      </c>
      <c r="F701">
        <v>15</v>
      </c>
      <c r="G701" s="1">
        <v>3</v>
      </c>
      <c r="H701" s="16">
        <f t="shared" si="322"/>
        <v>8127</v>
      </c>
      <c r="I701">
        <v>103</v>
      </c>
      <c r="J701" s="17">
        <f t="shared" si="323"/>
        <v>11.444444444444445</v>
      </c>
      <c r="K701">
        <v>39</v>
      </c>
      <c r="L701">
        <v>73</v>
      </c>
      <c r="M701" s="17">
        <f t="shared" si="324"/>
        <v>4.333333333333333</v>
      </c>
      <c r="N701" s="17">
        <f t="shared" si="325"/>
        <v>8.1111111111111107</v>
      </c>
      <c r="O701" s="18">
        <f t="shared" si="326"/>
        <v>0.53424657534246578</v>
      </c>
      <c r="P701">
        <v>34</v>
      </c>
      <c r="Q701">
        <v>56</v>
      </c>
      <c r="R701" s="17">
        <f t="shared" si="327"/>
        <v>3.7777777777777777</v>
      </c>
      <c r="S701" s="17">
        <f t="shared" si="328"/>
        <v>6.2222222222222223</v>
      </c>
      <c r="T701" s="18">
        <f t="shared" si="329"/>
        <v>0.6071428571428571</v>
      </c>
      <c r="U701">
        <v>5</v>
      </c>
      <c r="V701">
        <v>17</v>
      </c>
      <c r="W701" s="17">
        <f t="shared" si="330"/>
        <v>0.55555555555555558</v>
      </c>
      <c r="X701" s="17">
        <f t="shared" si="331"/>
        <v>1.8888888888888888</v>
      </c>
      <c r="Y701" s="18">
        <f t="shared" si="332"/>
        <v>0.29411764705882354</v>
      </c>
      <c r="Z701">
        <v>20</v>
      </c>
      <c r="AA701">
        <v>23</v>
      </c>
      <c r="AB701" s="17">
        <f t="shared" si="333"/>
        <v>2.2222222222222223</v>
      </c>
      <c r="AC701" s="17">
        <f t="shared" si="334"/>
        <v>2.5555555555555554</v>
      </c>
      <c r="AD701" s="18">
        <f t="shared" si="335"/>
        <v>0.86956521739130432</v>
      </c>
      <c r="AE701">
        <v>55</v>
      </c>
      <c r="AF701" s="17">
        <f t="shared" si="336"/>
        <v>6.1111111111111107</v>
      </c>
      <c r="AG701">
        <v>22</v>
      </c>
      <c r="AH701" s="17">
        <f t="shared" si="337"/>
        <v>2.4444444444444446</v>
      </c>
      <c r="AI701">
        <v>33</v>
      </c>
      <c r="AJ701" s="17">
        <f t="shared" si="338"/>
        <v>3.6666666666666665</v>
      </c>
      <c r="AK701">
        <v>15</v>
      </c>
      <c r="AL701" s="17">
        <f t="shared" si="339"/>
        <v>1.6666666666666667</v>
      </c>
      <c r="AM701">
        <v>4</v>
      </c>
      <c r="AN701" s="17">
        <f t="shared" si="340"/>
        <v>0.44444444444444442</v>
      </c>
      <c r="AO701">
        <v>1</v>
      </c>
      <c r="AQ701">
        <v>3</v>
      </c>
      <c r="AR701" s="17">
        <f t="shared" si="341"/>
        <v>0.33333333333333331</v>
      </c>
      <c r="AS701">
        <v>16</v>
      </c>
      <c r="AT701" s="17">
        <f t="shared" si="342"/>
        <v>1.7777777777777777</v>
      </c>
      <c r="BD701" s="65">
        <f t="shared" si="343"/>
        <v>61.958614051973051</v>
      </c>
      <c r="BE701" s="65">
        <f t="shared" si="344"/>
        <v>56.849315068493155</v>
      </c>
      <c r="BF701" s="66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26.980334462787614</v>
      </c>
      <c r="BG701" s="38">
        <f t="shared" si="345"/>
        <v>0.23287671232876711</v>
      </c>
      <c r="BH701" s="38">
        <f t="shared" si="346"/>
        <v>0.31506849315068491</v>
      </c>
      <c r="BI701" s="67">
        <f>IFERROR(((AG701*(12000/5))/((F701*60+G701)*(SUMIFS(팀공격력!X:X,팀공격력!A:A,B701,팀공격력!B:B,D701)+SUMIFS(팀수비력!X:X,팀수비력!A:A,B701,팀수비력!B:B,D701))))*100,"")</f>
        <v>8.2938667797648495</v>
      </c>
      <c r="BJ701" s="67">
        <f>IFERROR(((AI701*(12000/5))/((F701*60+G701)*(SUMIFS(팀공격력!V:V,팀공격력!A:A,B701,팀공격력!B:B,D701)+SUMIFS(팀수비력!W:W,팀수비력!A:A,B701,팀수비력!B:B,D701))))*100,"")</f>
        <v>27.32325270903841</v>
      </c>
      <c r="BK701" s="67">
        <f>IFERROR(((AE701*(12000/5))/((F701*60+G701)*(SUMIFS(팀공격력!X:X,팀공격력!A:A,B701,팀공격력!B:B,D701)+SUMIFS(팀수비력!X:X,팀수비력!A:A,B701,팀수비력!B:B,D701))))*100,"")</f>
        <v>20.734666949412127</v>
      </c>
      <c r="BL701" s="67">
        <f>IFERROR(100*AK701/(((((F701*60+G701)/(12000/5))*SUMIFS(팀공격력!P:P,팀공격력!A:A,B701,팀공격력!B:B,D701))-K701)),"")</f>
        <v>17.930251322356039</v>
      </c>
      <c r="BM701" s="67">
        <f>IFERROR(100*((AM701/E701*(2400))/((F701*60+G701)*SUMIFS(팀공격력!AR:AR,팀공격력!A:A,B701,팀공격력!B:B,D701))),"")</f>
        <v>1.4294816482189756</v>
      </c>
      <c r="BN701" s="67">
        <f>IFERROR((AO701*40)/(((F701*60+G701)/60)*(SUMIFS(팀수비력!Q:Q,팀수비력!A:A,B701,팀수비력!B:B,D701)-SUMIFS(팀수비력!N:N,팀수비력!A:A,B701,팀수비력!B:B,D701)))*100,"")</f>
        <v>0.54020473759554866</v>
      </c>
      <c r="BO701" s="67">
        <f t="shared" si="347"/>
        <v>3.4835113794705062</v>
      </c>
      <c r="BT701" t="s">
        <v>96</v>
      </c>
      <c r="BV701" t="s">
        <v>102</v>
      </c>
      <c r="CF701">
        <v>5</v>
      </c>
      <c r="CG701">
        <v>4</v>
      </c>
    </row>
    <row r="702" spans="1:85" x14ac:dyDescent="0.4">
      <c r="A702" s="11" t="s">
        <v>85</v>
      </c>
      <c r="B702" t="s">
        <v>145</v>
      </c>
      <c r="C702" t="s">
        <v>153</v>
      </c>
      <c r="D702" s="46" t="s">
        <v>311</v>
      </c>
      <c r="E702">
        <v>4</v>
      </c>
      <c r="F702">
        <v>2</v>
      </c>
      <c r="G702" s="1">
        <v>41</v>
      </c>
      <c r="H702" s="16">
        <f t="shared" si="322"/>
        <v>644</v>
      </c>
      <c r="I702">
        <v>0</v>
      </c>
      <c r="J702" s="17">
        <f t="shared" si="323"/>
        <v>0</v>
      </c>
      <c r="K702">
        <v>0</v>
      </c>
      <c r="L702">
        <v>1</v>
      </c>
      <c r="M702" s="17">
        <f t="shared" si="324"/>
        <v>0</v>
      </c>
      <c r="N702" s="17">
        <f t="shared" si="325"/>
        <v>0.25</v>
      </c>
      <c r="O702" s="18">
        <f t="shared" si="326"/>
        <v>0</v>
      </c>
      <c r="P702">
        <v>0</v>
      </c>
      <c r="Q702">
        <v>1</v>
      </c>
      <c r="R702" s="17">
        <f t="shared" si="327"/>
        <v>0</v>
      </c>
      <c r="S702" s="17">
        <f t="shared" si="328"/>
        <v>0.25</v>
      </c>
      <c r="T702" s="18">
        <f t="shared" si="329"/>
        <v>0</v>
      </c>
      <c r="U702">
        <v>0</v>
      </c>
      <c r="V702">
        <v>0</v>
      </c>
      <c r="W702" s="17">
        <f t="shared" si="330"/>
        <v>0</v>
      </c>
      <c r="X702" s="17">
        <f t="shared" si="331"/>
        <v>0</v>
      </c>
      <c r="Y702" s="18" t="e">
        <f t="shared" si="332"/>
        <v>#DIV/0!</v>
      </c>
      <c r="Z702">
        <v>0</v>
      </c>
      <c r="AA702">
        <v>0</v>
      </c>
      <c r="AB702" s="17">
        <f t="shared" si="333"/>
        <v>0</v>
      </c>
      <c r="AC702" s="17">
        <f t="shared" si="334"/>
        <v>0</v>
      </c>
      <c r="AD702" s="18" t="e">
        <f t="shared" si="335"/>
        <v>#DIV/0!</v>
      </c>
      <c r="AE702">
        <v>1</v>
      </c>
      <c r="AF702" s="17">
        <f t="shared" si="336"/>
        <v>0.25</v>
      </c>
      <c r="AG702">
        <v>1</v>
      </c>
      <c r="AH702" s="17">
        <f t="shared" si="337"/>
        <v>0.25</v>
      </c>
      <c r="AI702">
        <v>0</v>
      </c>
      <c r="AJ702" s="17">
        <f t="shared" si="338"/>
        <v>0</v>
      </c>
      <c r="AK702">
        <v>0</v>
      </c>
      <c r="AL702" s="17">
        <f t="shared" si="339"/>
        <v>0</v>
      </c>
      <c r="AM702">
        <v>0</v>
      </c>
      <c r="AN702" s="17">
        <f t="shared" si="340"/>
        <v>0</v>
      </c>
      <c r="AO702">
        <v>0</v>
      </c>
      <c r="AQ702">
        <v>0</v>
      </c>
      <c r="AR702" s="17">
        <f t="shared" si="341"/>
        <v>0</v>
      </c>
      <c r="AS702">
        <v>1</v>
      </c>
      <c r="AT702" s="17">
        <f t="shared" si="342"/>
        <v>0.25</v>
      </c>
      <c r="BD702" s="65">
        <f t="shared" si="343"/>
        <v>0</v>
      </c>
      <c r="BE702" s="65">
        <f t="shared" si="344"/>
        <v>0</v>
      </c>
      <c r="BF702" s="66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1.7571352136046781</v>
      </c>
      <c r="BG702" s="38">
        <f t="shared" si="345"/>
        <v>0</v>
      </c>
      <c r="BH702" s="38">
        <f t="shared" si="346"/>
        <v>0</v>
      </c>
      <c r="BI702" s="67">
        <f>IFERROR(((AG702*(12000/5))/((F702*60+G702)*(SUMIFS(팀공격력!X:X,팀공격력!A:A,B702,팀공격력!B:B,D702)+SUMIFS(팀수비력!X:X,팀수비력!A:A,B702,팀수비력!B:B,D702))))*100,"")</f>
        <v>2.1144442976080349</v>
      </c>
      <c r="BJ702" s="67">
        <f>IFERROR(((AI702*(12000/5))/((F702*60+G702)*(SUMIFS(팀공격력!V:V,팀공격력!A:A,B702,팀공격력!B:B,D702)+SUMIFS(팀수비력!W:W,팀수비력!A:A,B702,팀수비력!B:B,D702))))*100,"")</f>
        <v>0</v>
      </c>
      <c r="BK702" s="67">
        <f>IFERROR(((AE702*(12000/5))/((F702*60+G702)*(SUMIFS(팀공격력!X:X,팀공격력!A:A,B702,팀공격력!B:B,D702)+SUMIFS(팀수비력!X:X,팀수비력!A:A,B702,팀수비력!B:B,D702))))*100,"")</f>
        <v>2.1144442976080349</v>
      </c>
      <c r="BL702" s="67">
        <f>IFERROR(100*AK702/(((((F702*60+G702)/(12000/5))*SUMIFS(팀공격력!P:P,팀공격력!A:A,B702,팀공격력!B:B,D702))-K702)),"")</f>
        <v>0</v>
      </c>
      <c r="BM702" s="67">
        <f>IFERROR(100*((AM702/E702*(2400))/((F702*60+G702)*SUMIFS(팀공격력!AR:AR,팀공격력!A:A,B702,팀공격력!B:B,D702))),"")</f>
        <v>0</v>
      </c>
      <c r="BN702" s="67">
        <f>IFERROR((AO702*40)/(((F702*60+G702)/60)*(SUMIFS(팀수비력!Q:Q,팀수비력!A:A,B702,팀수비력!B:B,D702)-SUMIFS(팀수비력!N:N,팀수비력!A:A,B702,팀수비력!B:B,D702)))*100,"")</f>
        <v>0</v>
      </c>
      <c r="BO702" s="67">
        <f t="shared" si="347"/>
        <v>0</v>
      </c>
      <c r="BT702" t="s">
        <v>89</v>
      </c>
      <c r="BV702" t="s">
        <v>93</v>
      </c>
      <c r="CF702">
        <v>3</v>
      </c>
      <c r="CG702">
        <v>1</v>
      </c>
    </row>
    <row r="703" spans="1:85" x14ac:dyDescent="0.4">
      <c r="A703" s="11" t="s">
        <v>85</v>
      </c>
      <c r="B703" t="s">
        <v>145</v>
      </c>
      <c r="C703" t="s">
        <v>154</v>
      </c>
      <c r="D703" s="46" t="s">
        <v>311</v>
      </c>
      <c r="E703">
        <v>10</v>
      </c>
      <c r="F703">
        <v>12</v>
      </c>
      <c r="G703" s="1">
        <v>35</v>
      </c>
      <c r="H703" s="16">
        <f t="shared" si="322"/>
        <v>7550</v>
      </c>
      <c r="I703">
        <v>35</v>
      </c>
      <c r="J703" s="17">
        <f t="shared" si="323"/>
        <v>3.5</v>
      </c>
      <c r="K703">
        <v>11</v>
      </c>
      <c r="L703">
        <v>30</v>
      </c>
      <c r="M703" s="17">
        <f t="shared" si="324"/>
        <v>1.1000000000000001</v>
      </c>
      <c r="N703" s="17">
        <f t="shared" si="325"/>
        <v>3</v>
      </c>
      <c r="O703" s="18">
        <f t="shared" si="326"/>
        <v>0.36666666666666664</v>
      </c>
      <c r="P703">
        <v>4</v>
      </c>
      <c r="Q703">
        <v>10</v>
      </c>
      <c r="R703" s="17">
        <f t="shared" si="327"/>
        <v>0.4</v>
      </c>
      <c r="S703" s="17">
        <f t="shared" si="328"/>
        <v>1</v>
      </c>
      <c r="T703" s="18">
        <f t="shared" si="329"/>
        <v>0.4</v>
      </c>
      <c r="U703">
        <v>7</v>
      </c>
      <c r="V703">
        <v>20</v>
      </c>
      <c r="W703" s="17">
        <f t="shared" si="330"/>
        <v>0.7</v>
      </c>
      <c r="X703" s="17">
        <f t="shared" si="331"/>
        <v>2</v>
      </c>
      <c r="Y703" s="18">
        <f t="shared" si="332"/>
        <v>0.35</v>
      </c>
      <c r="Z703">
        <v>6</v>
      </c>
      <c r="AA703">
        <v>6</v>
      </c>
      <c r="AB703" s="17">
        <f t="shared" si="333"/>
        <v>0.6</v>
      </c>
      <c r="AC703" s="17">
        <f t="shared" si="334"/>
        <v>0.6</v>
      </c>
      <c r="AD703" s="18">
        <f t="shared" si="335"/>
        <v>1</v>
      </c>
      <c r="AE703">
        <v>15</v>
      </c>
      <c r="AF703" s="17">
        <f t="shared" si="336"/>
        <v>1.5</v>
      </c>
      <c r="AG703">
        <v>5</v>
      </c>
      <c r="AH703" s="17">
        <f t="shared" si="337"/>
        <v>0.5</v>
      </c>
      <c r="AI703">
        <v>10</v>
      </c>
      <c r="AJ703" s="17">
        <f t="shared" si="338"/>
        <v>1</v>
      </c>
      <c r="AK703">
        <v>2</v>
      </c>
      <c r="AL703" s="17">
        <f t="shared" si="339"/>
        <v>0.2</v>
      </c>
      <c r="AM703">
        <v>5</v>
      </c>
      <c r="AN703" s="17">
        <f t="shared" si="340"/>
        <v>0.5</v>
      </c>
      <c r="AO703">
        <v>0</v>
      </c>
      <c r="AQ703">
        <v>1</v>
      </c>
      <c r="AR703" s="17">
        <f t="shared" si="341"/>
        <v>0.1</v>
      </c>
      <c r="AS703">
        <v>14</v>
      </c>
      <c r="AT703" s="17">
        <f t="shared" si="342"/>
        <v>1.4</v>
      </c>
      <c r="BD703" s="65">
        <f t="shared" si="343"/>
        <v>53.615196078431367</v>
      </c>
      <c r="BE703" s="65">
        <f t="shared" si="344"/>
        <v>48.333333333333336</v>
      </c>
      <c r="BF703" s="66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12.604920003035073</v>
      </c>
      <c r="BG703" s="38">
        <f t="shared" si="345"/>
        <v>0.66666666666666663</v>
      </c>
      <c r="BH703" s="38">
        <f t="shared" si="346"/>
        <v>0.2</v>
      </c>
      <c r="BI703" s="67">
        <f>IFERROR(((AG703*(12000/5))/((F703*60+G703)*(SUMIFS(팀공격력!X:X,팀공격력!A:A,B703,팀공격력!B:B,D703)+SUMIFS(팀수비력!X:X,팀수비력!A:A,B703,팀수비력!B:B,D703))))*100,"")</f>
        <v>2.2544737212906862</v>
      </c>
      <c r="BJ703" s="67">
        <f>IFERROR(((AI703*(12000/5))/((F703*60+G703)*(SUMIFS(팀공격력!V:V,팀공격력!A:A,B703,팀공격력!B:B,D703)+SUMIFS(팀수비력!W:W,팀수비력!A:A,B703,팀수비력!B:B,D703))))*100,"")</f>
        <v>9.9028284953889969</v>
      </c>
      <c r="BK703" s="67">
        <f>IFERROR(((AE703*(12000/5))/((F703*60+G703)*(SUMIFS(팀공격력!X:X,팀공격력!A:A,B703,팀공격력!B:B,D703)+SUMIFS(팀수비력!X:X,팀수비력!A:A,B703,팀수비력!B:B,D703))))*100,"")</f>
        <v>6.7634211638720592</v>
      </c>
      <c r="BL703" s="67">
        <f>IFERROR(100*AK703/(((((F703*60+G703)/(12000/5))*SUMIFS(팀공격력!P:P,팀공격력!A:A,B703,팀공격력!B:B,D703))-K703)),"")</f>
        <v>2.1844991580576165</v>
      </c>
      <c r="BM703" s="67">
        <f>IFERROR(100*((AM703/E703*(2400))/((F703*60+G703)*SUMIFS(팀공격력!AR:AR,팀공격력!A:A,B703,팀공격력!B:B,D703))),"")</f>
        <v>1.9234101581251024</v>
      </c>
      <c r="BN703" s="67">
        <f>IFERROR((AO703*40)/(((F703*60+G703)/60)*(SUMIFS(팀수비력!Q:Q,팀수비력!A:A,B703,팀수비력!B:B,D703)-SUMIFS(팀수비력!N:N,팀수비력!A:A,B703,팀수비력!B:B,D703)))*100,"")</f>
        <v>0</v>
      </c>
      <c r="BO703" s="67">
        <f t="shared" si="347"/>
        <v>2.9726516052318668</v>
      </c>
      <c r="BT703" t="s">
        <v>89</v>
      </c>
      <c r="BV703" t="s">
        <v>93</v>
      </c>
      <c r="CF703">
        <v>6</v>
      </c>
      <c r="CG703">
        <v>4</v>
      </c>
    </row>
    <row r="704" spans="1:85" x14ac:dyDescent="0.4">
      <c r="A704" s="11" t="s">
        <v>85</v>
      </c>
      <c r="B704" t="s">
        <v>145</v>
      </c>
      <c r="C704" t="s">
        <v>155</v>
      </c>
      <c r="D704" s="46" t="s">
        <v>311</v>
      </c>
      <c r="E704">
        <v>10</v>
      </c>
      <c r="F704">
        <v>19</v>
      </c>
      <c r="G704" s="1">
        <v>38</v>
      </c>
      <c r="H704" s="16">
        <f t="shared" si="322"/>
        <v>11780</v>
      </c>
      <c r="I704">
        <v>44</v>
      </c>
      <c r="J704" s="17">
        <f t="shared" si="323"/>
        <v>4.4000000000000004</v>
      </c>
      <c r="K704">
        <v>16</v>
      </c>
      <c r="L704">
        <v>40</v>
      </c>
      <c r="M704" s="17">
        <f t="shared" si="324"/>
        <v>1.6</v>
      </c>
      <c r="N704" s="17">
        <f t="shared" si="325"/>
        <v>4</v>
      </c>
      <c r="O704" s="18">
        <f t="shared" si="326"/>
        <v>0.4</v>
      </c>
      <c r="P704">
        <v>13</v>
      </c>
      <c r="Q704">
        <v>31</v>
      </c>
      <c r="R704" s="17">
        <f t="shared" si="327"/>
        <v>1.3</v>
      </c>
      <c r="S704" s="17">
        <f t="shared" si="328"/>
        <v>3.1</v>
      </c>
      <c r="T704" s="18">
        <f t="shared" si="329"/>
        <v>0.41935483870967744</v>
      </c>
      <c r="U704">
        <v>3</v>
      </c>
      <c r="V704">
        <v>9</v>
      </c>
      <c r="W704" s="17">
        <f t="shared" si="330"/>
        <v>0.3</v>
      </c>
      <c r="X704" s="17">
        <f t="shared" si="331"/>
        <v>0.9</v>
      </c>
      <c r="Y704" s="18">
        <f t="shared" si="332"/>
        <v>0.33333333333333331</v>
      </c>
      <c r="Z704">
        <v>9</v>
      </c>
      <c r="AA704">
        <v>9</v>
      </c>
      <c r="AB704" s="17">
        <f t="shared" si="333"/>
        <v>0.9</v>
      </c>
      <c r="AC704" s="17">
        <f t="shared" si="334"/>
        <v>0.9</v>
      </c>
      <c r="AD704" s="18">
        <f t="shared" si="335"/>
        <v>1</v>
      </c>
      <c r="AE704">
        <v>36</v>
      </c>
      <c r="AF704" s="17">
        <f t="shared" si="336"/>
        <v>3.6</v>
      </c>
      <c r="AG704">
        <v>10</v>
      </c>
      <c r="AH704" s="17">
        <f t="shared" si="337"/>
        <v>1</v>
      </c>
      <c r="AI704">
        <v>26</v>
      </c>
      <c r="AJ704" s="17">
        <f t="shared" si="338"/>
        <v>2.6</v>
      </c>
      <c r="AK704">
        <v>9</v>
      </c>
      <c r="AL704" s="17">
        <f t="shared" si="339"/>
        <v>0.9</v>
      </c>
      <c r="AM704">
        <v>4</v>
      </c>
      <c r="AN704" s="17">
        <f t="shared" si="340"/>
        <v>0.4</v>
      </c>
      <c r="AO704">
        <v>7</v>
      </c>
      <c r="AQ704">
        <v>6</v>
      </c>
      <c r="AR704" s="17">
        <f t="shared" si="341"/>
        <v>0.6</v>
      </c>
      <c r="AS704">
        <v>12</v>
      </c>
      <c r="AT704" s="17">
        <f t="shared" si="342"/>
        <v>1.2</v>
      </c>
      <c r="BD704" s="65">
        <f t="shared" si="343"/>
        <v>50.045495905368519</v>
      </c>
      <c r="BE704" s="65">
        <f t="shared" si="344"/>
        <v>43.75</v>
      </c>
      <c r="BF704" s="66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11.997981764636709</v>
      </c>
      <c r="BG704" s="38">
        <f t="shared" si="345"/>
        <v>0.22500000000000001</v>
      </c>
      <c r="BH704" s="38">
        <f t="shared" si="346"/>
        <v>0.22500000000000001</v>
      </c>
      <c r="BI704" s="67">
        <f>IFERROR(((AG704*(12000/5))/((F704*60+G704)*(SUMIFS(팀공격력!X:X,팀공격력!A:A,B704,팀공격력!B:B,D704)+SUMIFS(팀수비력!X:X,팀수비력!A:A,B704,팀수비력!B:B,D704))))*100,"")</f>
        <v>2.8898602030126792</v>
      </c>
      <c r="BJ704" s="67">
        <f>IFERROR(((AI704*(12000/5))/((F704*60+G704)*(SUMIFS(팀공격력!V:V,팀공격력!A:A,B704,팀공격력!B:B,D704)+SUMIFS(팀수비력!W:W,팀수비력!A:A,B704,팀수비력!B:B,D704))))*100,"")</f>
        <v>16.501912000380813</v>
      </c>
      <c r="BK704" s="67">
        <f>IFERROR(((AE704*(12000/5))/((F704*60+G704)*(SUMIFS(팀공격력!X:X,팀공격력!A:A,B704,팀공격력!B:B,D704)+SUMIFS(팀수비력!X:X,팀수비력!A:A,B704,팀수비력!B:B,D704))))*100,"")</f>
        <v>10.403496730845644</v>
      </c>
      <c r="BL704" s="67">
        <f>IFERROR(100*AK704/(((((F704*60+G704)/(12000/5))*SUMIFS(팀공격력!P:P,팀공격력!A:A,B704,팀공격력!B:B,D704))-K704)),"")</f>
        <v>6.249493675280938</v>
      </c>
      <c r="BM704" s="67">
        <f>IFERROR(100*((AM704/E704*(2400))/((F704*60+G704)*SUMIFS(팀공격력!AR:AR,팀공격력!A:A,B704,팀공격력!B:B,D704))),"")</f>
        <v>0.98619671944614762</v>
      </c>
      <c r="BN704" s="67">
        <f>IFERROR((AO704*40)/(((F704*60+G704)/60)*(SUMIFS(팀수비력!Q:Q,팀수비력!A:A,B704,팀수비력!B:B,D704)-SUMIFS(팀수비력!N:N,팀수비력!A:A,B704,팀수비력!B:B,D704)))*100,"")</f>
        <v>2.8986707524121078</v>
      </c>
      <c r="BO704" s="67">
        <f t="shared" si="347"/>
        <v>12.009607686148918</v>
      </c>
      <c r="BT704" t="s">
        <v>89</v>
      </c>
      <c r="BV704" t="s">
        <v>93</v>
      </c>
      <c r="CF704">
        <v>6</v>
      </c>
      <c r="CG704">
        <v>4</v>
      </c>
    </row>
    <row r="705" spans="1:85" x14ac:dyDescent="0.4">
      <c r="A705" s="11" t="s">
        <v>85</v>
      </c>
      <c r="B705" t="s">
        <v>145</v>
      </c>
      <c r="C705" t="s">
        <v>158</v>
      </c>
      <c r="D705" s="46" t="s">
        <v>311</v>
      </c>
      <c r="E705">
        <v>7</v>
      </c>
      <c r="F705">
        <v>26</v>
      </c>
      <c r="G705" s="1">
        <v>14</v>
      </c>
      <c r="H705" s="16">
        <f t="shared" si="322"/>
        <v>11018</v>
      </c>
      <c r="I705">
        <v>54</v>
      </c>
      <c r="J705" s="17">
        <f t="shared" si="323"/>
        <v>7.7142857142857144</v>
      </c>
      <c r="K705">
        <v>19</v>
      </c>
      <c r="L705">
        <v>39</v>
      </c>
      <c r="M705" s="17">
        <f t="shared" si="324"/>
        <v>2.7142857142857144</v>
      </c>
      <c r="N705" s="17">
        <f t="shared" si="325"/>
        <v>5.5714285714285712</v>
      </c>
      <c r="O705" s="18">
        <f t="shared" si="326"/>
        <v>0.48717948717948717</v>
      </c>
      <c r="P705">
        <v>12</v>
      </c>
      <c r="Q705">
        <v>25</v>
      </c>
      <c r="R705" s="17">
        <f t="shared" si="327"/>
        <v>1.7142857142857142</v>
      </c>
      <c r="S705" s="17">
        <f t="shared" si="328"/>
        <v>3.5714285714285716</v>
      </c>
      <c r="T705" s="18">
        <f t="shared" si="329"/>
        <v>0.48</v>
      </c>
      <c r="U705">
        <v>7</v>
      </c>
      <c r="V705">
        <v>14</v>
      </c>
      <c r="W705" s="17">
        <f t="shared" si="330"/>
        <v>1</v>
      </c>
      <c r="X705" s="17">
        <f t="shared" si="331"/>
        <v>2</v>
      </c>
      <c r="Y705" s="18">
        <f t="shared" si="332"/>
        <v>0.5</v>
      </c>
      <c r="Z705">
        <v>9</v>
      </c>
      <c r="AA705">
        <v>9</v>
      </c>
      <c r="AB705" s="17">
        <f t="shared" si="333"/>
        <v>1.2857142857142858</v>
      </c>
      <c r="AC705" s="17">
        <f t="shared" si="334"/>
        <v>1.2857142857142858</v>
      </c>
      <c r="AD705" s="18">
        <f t="shared" si="335"/>
        <v>1</v>
      </c>
      <c r="AE705">
        <v>16</v>
      </c>
      <c r="AF705" s="17">
        <f t="shared" si="336"/>
        <v>2.2857142857142856</v>
      </c>
      <c r="AG705">
        <v>4</v>
      </c>
      <c r="AH705" s="17">
        <f t="shared" si="337"/>
        <v>0.5714285714285714</v>
      </c>
      <c r="AI705">
        <v>12</v>
      </c>
      <c r="AJ705" s="17">
        <f t="shared" si="338"/>
        <v>1.7142857142857142</v>
      </c>
      <c r="AK705">
        <v>16</v>
      </c>
      <c r="AL705" s="17">
        <f t="shared" si="339"/>
        <v>2.2857142857142856</v>
      </c>
      <c r="AM705">
        <v>3</v>
      </c>
      <c r="AN705" s="17">
        <f t="shared" si="340"/>
        <v>0.42857142857142855</v>
      </c>
      <c r="AO705">
        <v>1</v>
      </c>
      <c r="AQ705">
        <v>5</v>
      </c>
      <c r="AR705" s="17">
        <f t="shared" si="341"/>
        <v>0.7142857142857143</v>
      </c>
      <c r="AS705">
        <v>15</v>
      </c>
      <c r="AT705" s="17">
        <f t="shared" si="342"/>
        <v>2.1428571428571428</v>
      </c>
      <c r="BD705" s="65">
        <f t="shared" si="343"/>
        <v>62.849162011173185</v>
      </c>
      <c r="BE705" s="65">
        <f t="shared" si="344"/>
        <v>57.692307692307686</v>
      </c>
      <c r="BF705" s="66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8.6199650444481168</v>
      </c>
      <c r="BG705" s="38">
        <f t="shared" si="345"/>
        <v>0.35897435897435898</v>
      </c>
      <c r="BH705" s="38">
        <f t="shared" si="346"/>
        <v>0.23076923076923078</v>
      </c>
      <c r="BI705" s="67">
        <f>IFERROR(((AG705*(12000/5))/((F705*60+G705)*(SUMIFS(팀공격력!X:X,팀공격력!A:A,B705,팀공격력!B:B,D705)+SUMIFS(팀수비력!X:X,팀수비력!A:A,B705,팀수비력!B:B,D705))))*100,"")</f>
        <v>0.86512206331612107</v>
      </c>
      <c r="BJ705" s="67">
        <f>IFERROR(((AI705*(12000/5))/((F705*60+G705)*(SUMIFS(팀공격력!V:V,팀공격력!A:A,B705,팀공격력!B:B,D705)+SUMIFS(팀수비력!W:W,팀수비력!A:A,B705,팀수비력!B:B,D705))))*100,"")</f>
        <v>5.7001033143725728</v>
      </c>
      <c r="BK705" s="67">
        <f>IFERROR(((AE705*(12000/5))/((F705*60+G705)*(SUMIFS(팀공격력!X:X,팀공격력!A:A,B705,팀공격력!B:B,D705)+SUMIFS(팀수비력!X:X,팀수비력!A:A,B705,팀수비력!B:B,D705))))*100,"")</f>
        <v>3.4604882532644843</v>
      </c>
      <c r="BL705" s="67">
        <f>IFERROR(100*AK705/(((((F705*60+G705)/(12000/5))*SUMIFS(팀공격력!P:P,팀공격력!A:A,B705,팀공격력!B:B,D705))-K705)),"")</f>
        <v>8.213482088620049</v>
      </c>
      <c r="BM705" s="67">
        <f>IFERROR(100*((AM705/E705*(2400))/((F705*60+G705)*SUMIFS(팀공격력!AR:AR,팀공격력!A:A,B705,팀공격력!B:B,D705))),"")</f>
        <v>0.79080123582380757</v>
      </c>
      <c r="BN705" s="67">
        <f>IFERROR((AO705*40)/(((F705*60+G705)/60)*(SUMIFS(팀수비력!Q:Q,팀수비력!A:A,B705,팀수비력!B:B,D705)-SUMIFS(팀수비력!N:N,팀수비력!A:A,B705,팀수비력!B:B,D705)))*100,"")</f>
        <v>0.30991415377940307</v>
      </c>
      <c r="BO705" s="67">
        <f t="shared" si="347"/>
        <v>10.425354462051709</v>
      </c>
      <c r="BT705" t="s">
        <v>89</v>
      </c>
      <c r="BV705" t="s">
        <v>90</v>
      </c>
      <c r="CF705">
        <v>4</v>
      </c>
      <c r="CG705">
        <v>3</v>
      </c>
    </row>
    <row r="706" spans="1:85" x14ac:dyDescent="0.4">
      <c r="A706" s="11" t="s">
        <v>85</v>
      </c>
      <c r="B706" t="s">
        <v>145</v>
      </c>
      <c r="C706" t="s">
        <v>159</v>
      </c>
      <c r="D706" s="46" t="s">
        <v>311</v>
      </c>
      <c r="E706">
        <v>9</v>
      </c>
      <c r="F706">
        <v>6</v>
      </c>
      <c r="G706" s="1">
        <v>9</v>
      </c>
      <c r="H706" s="16">
        <f t="shared" ref="H706:H769" si="348">(F706*60+G706)*E706</f>
        <v>3321</v>
      </c>
      <c r="I706">
        <v>14</v>
      </c>
      <c r="J706" s="17">
        <f t="shared" ref="J706:J769" si="349">I706/$E706</f>
        <v>1.5555555555555556</v>
      </c>
      <c r="K706">
        <v>5</v>
      </c>
      <c r="L706">
        <v>9</v>
      </c>
      <c r="M706" s="17">
        <f t="shared" ref="M706:M769" si="350">K706/$E706</f>
        <v>0.55555555555555558</v>
      </c>
      <c r="N706" s="17">
        <f t="shared" ref="N706:N769" si="351">L706/$E706</f>
        <v>1</v>
      </c>
      <c r="O706" s="18">
        <f t="shared" ref="O706:O769" si="352">K706/L706</f>
        <v>0.55555555555555558</v>
      </c>
      <c r="P706">
        <v>1</v>
      </c>
      <c r="Q706">
        <v>1</v>
      </c>
      <c r="R706" s="17">
        <f t="shared" ref="R706:R769" si="353">P706/$E706</f>
        <v>0.1111111111111111</v>
      </c>
      <c r="S706" s="17">
        <f t="shared" ref="S706:S769" si="354">Q706/$E706</f>
        <v>0.1111111111111111</v>
      </c>
      <c r="T706" s="18">
        <f t="shared" ref="T706:T769" si="355">P706/Q706</f>
        <v>1</v>
      </c>
      <c r="U706">
        <v>4</v>
      </c>
      <c r="V706">
        <v>8</v>
      </c>
      <c r="W706" s="17">
        <f t="shared" ref="W706:W769" si="356">U706/$E706</f>
        <v>0.44444444444444442</v>
      </c>
      <c r="X706" s="17">
        <f t="shared" ref="X706:X769" si="357">V706/$E706</f>
        <v>0.88888888888888884</v>
      </c>
      <c r="Y706" s="18">
        <f t="shared" ref="Y706:Y769" si="358">U706/V706</f>
        <v>0.5</v>
      </c>
      <c r="Z706">
        <v>0</v>
      </c>
      <c r="AA706">
        <v>0</v>
      </c>
      <c r="AB706" s="17">
        <f t="shared" ref="AB706:AB769" si="359">Z706/$E706</f>
        <v>0</v>
      </c>
      <c r="AC706" s="17">
        <f t="shared" ref="AC706:AC769" si="360">AA706/$E706</f>
        <v>0</v>
      </c>
      <c r="AD706" s="18" t="e">
        <f t="shared" ref="AD706:AD769" si="361">Z706/AA706</f>
        <v>#DIV/0!</v>
      </c>
      <c r="AE706">
        <v>1</v>
      </c>
      <c r="AF706" s="17">
        <f t="shared" ref="AF706:AF769" si="362">AE706/$E706</f>
        <v>0.1111111111111111</v>
      </c>
      <c r="AG706">
        <v>0</v>
      </c>
      <c r="AH706" s="17">
        <f t="shared" ref="AH706:AH769" si="363">AG706/$E706</f>
        <v>0</v>
      </c>
      <c r="AI706">
        <v>1</v>
      </c>
      <c r="AJ706" s="17">
        <f t="shared" ref="AJ706:AJ769" si="364">AI706/$E706</f>
        <v>0.1111111111111111</v>
      </c>
      <c r="AK706">
        <v>0</v>
      </c>
      <c r="AL706" s="17">
        <f t="shared" ref="AL706:AL769" si="365">AK706/$E706</f>
        <v>0</v>
      </c>
      <c r="AM706">
        <v>0</v>
      </c>
      <c r="AN706" s="17">
        <f t="shared" ref="AN706:AN769" si="366">AM706/$E706</f>
        <v>0</v>
      </c>
      <c r="AO706">
        <v>0</v>
      </c>
      <c r="AQ706">
        <v>0</v>
      </c>
      <c r="AR706" s="17">
        <f t="shared" ref="AR706:AR769" si="367">AQ706/$E706</f>
        <v>0</v>
      </c>
      <c r="AS706">
        <v>7</v>
      </c>
      <c r="AT706" s="17">
        <f t="shared" ref="AT706:AT769" si="368">AS706/$E706</f>
        <v>0.77777777777777779</v>
      </c>
      <c r="BD706" s="65">
        <f t="shared" ref="BD706:BD769" si="369">IFERROR((I706/(2*(L706+(0.44*AA706))))*100,"")</f>
        <v>77.777777777777786</v>
      </c>
      <c r="BE706" s="65">
        <f t="shared" ref="BE706:BE769" si="370">IFERROR(((P706+(1.5*U706))/L706)*100,"")</f>
        <v>77.777777777777786</v>
      </c>
      <c r="BF706" s="66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6.8999699851305643</v>
      </c>
      <c r="BG706" s="38">
        <f t="shared" ref="BG706:BG769" si="371">IFERROR(V706/L706,"")</f>
        <v>0.88888888888888884</v>
      </c>
      <c r="BH706" s="38">
        <f t="shared" ref="BH706:BH769" si="372">IFERROR(AA706/L706,"")</f>
        <v>0</v>
      </c>
      <c r="BI706" s="67">
        <f>IFERROR(((AG706*(12000/5))/((F706*60+G706)*(SUMIFS(팀공격력!X:X,팀공격력!A:A,B706,팀공격력!B:B,D706)+SUMIFS(팀수비력!X:X,팀수비력!A:A,B706,팀수비력!B:B,D706))))*100,"")</f>
        <v>0</v>
      </c>
      <c r="BJ706" s="67">
        <f>IFERROR(((AI706*(12000/5))/((F706*60+G706)*(SUMIFS(팀공격력!V:V,팀공격력!A:A,B706,팀공격력!B:B,D706)+SUMIFS(팀수비력!W:W,팀수비력!A:A,B706,팀수비력!B:B,D706))))*100,"")</f>
        <v>2.0261884861839272</v>
      </c>
      <c r="BK706" s="67">
        <f>IFERROR(((AE706*(12000/5))/((F706*60+G706)*(SUMIFS(팀공격력!X:X,팀공격력!A:A,B706,팀공격력!B:B,D706)+SUMIFS(팀수비력!X:X,팀수비력!A:A,B706,팀수비력!B:B,D706))))*100,"")</f>
        <v>0.92256241711353282</v>
      </c>
      <c r="BL706" s="67">
        <f>IFERROR(100*AK706/(((((F706*60+G706)/(12000/5))*SUMIFS(팀공격력!P:P,팀공격력!A:A,B706,팀공격력!B:B,D706))-K706)),"")</f>
        <v>0</v>
      </c>
      <c r="BM706" s="67">
        <f>IFERROR(100*((AM706/E706*(2400))/((F706*60+G706)*SUMIFS(팀공격력!AR:AR,팀공격력!A:A,B706,팀공격력!B:B,D706))),"")</f>
        <v>0</v>
      </c>
      <c r="BN706" s="67">
        <f>IFERROR((AO706*40)/(((F706*60+G706)/60)*(SUMIFS(팀수비력!Q:Q,팀수비력!A:A,B706,팀수비력!B:B,D706)-SUMIFS(팀수비력!N:N,팀수비력!A:A,B706,팀수비력!B:B,D706)))*100,"")</f>
        <v>0</v>
      </c>
      <c r="BO706" s="67">
        <f t="shared" ref="BO706:BO769" si="373">IFERROR(100*AQ706/(L706+0.44*AA706+AQ706),"")</f>
        <v>0</v>
      </c>
      <c r="BT706" t="s">
        <v>89</v>
      </c>
      <c r="BV706" t="s">
        <v>93</v>
      </c>
      <c r="CF706">
        <v>6</v>
      </c>
      <c r="CG706">
        <v>3</v>
      </c>
    </row>
    <row r="707" spans="1:85" x14ac:dyDescent="0.4">
      <c r="A707" s="11" t="s">
        <v>85</v>
      </c>
      <c r="B707" t="s">
        <v>145</v>
      </c>
      <c r="C707" t="s">
        <v>160</v>
      </c>
      <c r="D707" s="46" t="s">
        <v>311</v>
      </c>
      <c r="E707">
        <v>7</v>
      </c>
      <c r="F707">
        <v>20</v>
      </c>
      <c r="G707" s="1">
        <v>42</v>
      </c>
      <c r="H707" s="16">
        <f t="shared" si="348"/>
        <v>8694</v>
      </c>
      <c r="I707">
        <v>30</v>
      </c>
      <c r="J707" s="17">
        <f t="shared" si="349"/>
        <v>4.2857142857142856</v>
      </c>
      <c r="K707">
        <v>10</v>
      </c>
      <c r="L707">
        <v>19</v>
      </c>
      <c r="M707" s="17">
        <f t="shared" si="350"/>
        <v>1.4285714285714286</v>
      </c>
      <c r="N707" s="17">
        <f t="shared" si="351"/>
        <v>2.7142857142857144</v>
      </c>
      <c r="O707" s="18">
        <f t="shared" si="352"/>
        <v>0.52631578947368418</v>
      </c>
      <c r="P707">
        <v>5</v>
      </c>
      <c r="Q707">
        <v>11</v>
      </c>
      <c r="R707" s="17">
        <f t="shared" si="353"/>
        <v>0.7142857142857143</v>
      </c>
      <c r="S707" s="17">
        <f t="shared" si="354"/>
        <v>1.5714285714285714</v>
      </c>
      <c r="T707" s="18">
        <f t="shared" si="355"/>
        <v>0.45454545454545453</v>
      </c>
      <c r="U707">
        <v>5</v>
      </c>
      <c r="V707">
        <v>8</v>
      </c>
      <c r="W707" s="17">
        <f t="shared" si="356"/>
        <v>0.7142857142857143</v>
      </c>
      <c r="X707" s="17">
        <f t="shared" si="357"/>
        <v>1.1428571428571428</v>
      </c>
      <c r="Y707" s="18">
        <f t="shared" si="358"/>
        <v>0.625</v>
      </c>
      <c r="Z707">
        <v>5</v>
      </c>
      <c r="AA707">
        <v>6</v>
      </c>
      <c r="AB707" s="17">
        <f t="shared" si="359"/>
        <v>0.7142857142857143</v>
      </c>
      <c r="AC707" s="17">
        <f t="shared" si="360"/>
        <v>0.8571428571428571</v>
      </c>
      <c r="AD707" s="18">
        <f t="shared" si="361"/>
        <v>0.83333333333333337</v>
      </c>
      <c r="AE707">
        <v>9</v>
      </c>
      <c r="AF707" s="17">
        <f t="shared" si="362"/>
        <v>1.2857142857142858</v>
      </c>
      <c r="AG707">
        <v>2</v>
      </c>
      <c r="AH707" s="17">
        <f t="shared" si="363"/>
        <v>0.2857142857142857</v>
      </c>
      <c r="AI707">
        <v>7</v>
      </c>
      <c r="AJ707" s="17">
        <f t="shared" si="364"/>
        <v>1</v>
      </c>
      <c r="AK707">
        <v>13</v>
      </c>
      <c r="AL707" s="17">
        <f t="shared" si="365"/>
        <v>1.8571428571428572</v>
      </c>
      <c r="AM707">
        <v>0</v>
      </c>
      <c r="AN707" s="17">
        <f t="shared" si="366"/>
        <v>0</v>
      </c>
      <c r="AO707">
        <v>0</v>
      </c>
      <c r="AQ707">
        <v>5</v>
      </c>
      <c r="AR707" s="17">
        <f t="shared" si="367"/>
        <v>0.7142857142857143</v>
      </c>
      <c r="AS707">
        <v>15</v>
      </c>
      <c r="AT707" s="17">
        <f t="shared" si="368"/>
        <v>2.1428571428571428</v>
      </c>
      <c r="BD707" s="65">
        <f t="shared" si="369"/>
        <v>69.316081330868755</v>
      </c>
      <c r="BE707" s="65">
        <f t="shared" si="370"/>
        <v>65.789473684210535</v>
      </c>
      <c r="BF707" s="66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6.0679736043148207</v>
      </c>
      <c r="BG707" s="38">
        <f t="shared" si="371"/>
        <v>0.42105263157894735</v>
      </c>
      <c r="BH707" s="38">
        <f t="shared" si="372"/>
        <v>0.31578947368421051</v>
      </c>
      <c r="BI707" s="67">
        <f>IFERROR(((AG707*(12000/5))/((F707*60+G707)*(SUMIFS(팀공격력!X:X,팀공격력!A:A,B707,팀공격력!B:B,D707)+SUMIFS(팀수비력!X:X,팀수비력!A:A,B707,팀수비력!B:B,D707))))*100,"")</f>
        <v>0.54818926234282384</v>
      </c>
      <c r="BJ707" s="67">
        <f>IFERROR(((AI707*(12000/5))/((F707*60+G707)*(SUMIFS(팀공격력!V:V,팀공격력!A:A,B707,팀공격력!B:B,D707)+SUMIFS(팀수비력!W:W,팀수비력!A:A,B707,팀수비력!B:B,D707))))*100,"")</f>
        <v>4.2138847502520802</v>
      </c>
      <c r="BK707" s="67">
        <f>IFERROR(((AE707*(12000/5))/((F707*60+G707)*(SUMIFS(팀공격력!X:X,팀공격력!A:A,B707,팀공격력!B:B,D707)+SUMIFS(팀수비력!X:X,팀수비력!A:A,B707,팀수비력!B:B,D707))))*100,"")</f>
        <v>2.4668516805427072</v>
      </c>
      <c r="BL707" s="67">
        <f>IFERROR(100*AK707/(((((F707*60+G707)/(12000/5))*SUMIFS(팀공격력!P:P,팀공격력!A:A,B707,팀공격력!B:B,D707))-K707)),"")</f>
        <v>8.1912983207838455</v>
      </c>
      <c r="BM707" s="67">
        <f>IFERROR(100*((AM707/E707*(2400))/((F707*60+G707)*SUMIFS(팀공격력!AR:AR,팀공격력!A:A,B707,팀공격력!B:B,D707))),"")</f>
        <v>0</v>
      </c>
      <c r="BN707" s="67">
        <f>IFERROR((AO707*40)/(((F707*60+G707)/60)*(SUMIFS(팀수비력!Q:Q,팀수비력!A:A,B707,팀수비력!B:B,D707)-SUMIFS(팀수비력!N:N,팀수비력!A:A,B707,팀수비력!B:B,D707)))*100,"")</f>
        <v>0</v>
      </c>
      <c r="BO707" s="67">
        <f t="shared" si="373"/>
        <v>18.768768768768769</v>
      </c>
      <c r="BT707" t="s">
        <v>89</v>
      </c>
      <c r="BV707" t="s">
        <v>90</v>
      </c>
      <c r="CF707">
        <v>4</v>
      </c>
      <c r="CG707">
        <v>3</v>
      </c>
    </row>
    <row r="708" spans="1:85" x14ac:dyDescent="0.4">
      <c r="A708" s="11" t="s">
        <v>85</v>
      </c>
      <c r="B708" t="s">
        <v>145</v>
      </c>
      <c r="C708" t="s">
        <v>161</v>
      </c>
      <c r="D708" s="46" t="s">
        <v>311</v>
      </c>
      <c r="E708">
        <v>10</v>
      </c>
      <c r="F708">
        <v>33</v>
      </c>
      <c r="G708" s="1">
        <v>18</v>
      </c>
      <c r="H708" s="16">
        <f t="shared" si="348"/>
        <v>19980</v>
      </c>
      <c r="I708">
        <v>165</v>
      </c>
      <c r="J708" s="17">
        <f t="shared" si="349"/>
        <v>16.5</v>
      </c>
      <c r="K708">
        <v>60</v>
      </c>
      <c r="L708">
        <v>144</v>
      </c>
      <c r="M708" s="17">
        <f t="shared" si="350"/>
        <v>6</v>
      </c>
      <c r="N708" s="17">
        <f t="shared" si="351"/>
        <v>14.4</v>
      </c>
      <c r="O708" s="18">
        <f t="shared" si="352"/>
        <v>0.41666666666666669</v>
      </c>
      <c r="P708">
        <v>44</v>
      </c>
      <c r="Q708">
        <v>97</v>
      </c>
      <c r="R708" s="17">
        <f t="shared" si="353"/>
        <v>4.4000000000000004</v>
      </c>
      <c r="S708" s="17">
        <f t="shared" si="354"/>
        <v>9.6999999999999993</v>
      </c>
      <c r="T708" s="18">
        <f t="shared" si="355"/>
        <v>0.45360824742268041</v>
      </c>
      <c r="U708">
        <v>16</v>
      </c>
      <c r="V708">
        <v>47</v>
      </c>
      <c r="W708" s="17">
        <f t="shared" si="356"/>
        <v>1.6</v>
      </c>
      <c r="X708" s="17">
        <f t="shared" si="357"/>
        <v>4.7</v>
      </c>
      <c r="Y708" s="18">
        <f t="shared" si="358"/>
        <v>0.34042553191489361</v>
      </c>
      <c r="Z708">
        <v>29</v>
      </c>
      <c r="AA708">
        <v>45</v>
      </c>
      <c r="AB708" s="17">
        <f t="shared" si="359"/>
        <v>2.9</v>
      </c>
      <c r="AC708" s="17">
        <f t="shared" si="360"/>
        <v>4.5</v>
      </c>
      <c r="AD708" s="18">
        <f t="shared" si="361"/>
        <v>0.64444444444444449</v>
      </c>
      <c r="AE708">
        <v>75</v>
      </c>
      <c r="AF708" s="17">
        <f t="shared" si="362"/>
        <v>7.5</v>
      </c>
      <c r="AG708">
        <v>7</v>
      </c>
      <c r="AH708" s="17">
        <f t="shared" si="363"/>
        <v>0.7</v>
      </c>
      <c r="AI708">
        <v>68</v>
      </c>
      <c r="AJ708" s="17">
        <f t="shared" si="364"/>
        <v>6.8</v>
      </c>
      <c r="AK708">
        <v>58</v>
      </c>
      <c r="AL708" s="17">
        <f t="shared" si="365"/>
        <v>5.8</v>
      </c>
      <c r="AM708">
        <v>8</v>
      </c>
      <c r="AN708" s="17">
        <f t="shared" si="366"/>
        <v>0.8</v>
      </c>
      <c r="AO708">
        <v>11</v>
      </c>
      <c r="AQ708">
        <v>21</v>
      </c>
      <c r="AR708" s="17">
        <f t="shared" si="367"/>
        <v>2.1</v>
      </c>
      <c r="AS708">
        <v>22</v>
      </c>
      <c r="AT708" s="17">
        <f t="shared" si="368"/>
        <v>2.2000000000000002</v>
      </c>
      <c r="BD708" s="65">
        <f t="shared" si="369"/>
        <v>50.366300366300365</v>
      </c>
      <c r="BE708" s="65">
        <f t="shared" si="370"/>
        <v>47.222222222222221</v>
      </c>
      <c r="BF708" s="66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26.166012303972604</v>
      </c>
      <c r="BG708" s="38">
        <f t="shared" si="371"/>
        <v>0.3263888888888889</v>
      </c>
      <c r="BH708" s="38">
        <f t="shared" si="372"/>
        <v>0.3125</v>
      </c>
      <c r="BI708" s="67">
        <f>IFERROR(((AG708*(12000/5))/((F708*60+G708)*(SUMIFS(팀공격력!X:X,팀공격력!A:A,B708,팀공격력!B:B,D708)+SUMIFS(팀수비력!X:X,팀수비력!A:A,B708,팀수비력!B:B,D708))))*100,"")</f>
        <v>1.1926820437458736</v>
      </c>
      <c r="BJ708" s="67">
        <f>IFERROR(((AI708*(12000/5))/((F708*60+G708)*(SUMIFS(팀공격력!V:V,팀공격력!A:A,B708,팀공격력!B:B,D708)+SUMIFS(팀수비력!W:W,팀수비력!A:A,B708,팀수비력!B:B,D708))))*100,"")</f>
        <v>25.446006754417972</v>
      </c>
      <c r="BK708" s="67">
        <f>IFERROR(((AE708*(12000/5))/((F708*60+G708)*(SUMIFS(팀공격력!X:X,팀공격력!A:A,B708,팀공격력!B:B,D708)+SUMIFS(팀수비력!X:X,팀수비력!A:A,B708,팀수비력!B:B,D708))))*100,"")</f>
        <v>12.778736182991501</v>
      </c>
      <c r="BL708" s="67">
        <f>IFERROR(100*AK708/(((((F708*60+G708)/(12000/5))*SUMIFS(팀공격력!P:P,팀공격력!A:A,B708,팀공격력!B:B,D708))-K708)),"")</f>
        <v>27.436788949596728</v>
      </c>
      <c r="BM708" s="67">
        <f>IFERROR(100*((AM708/E708*(2400))/((F708*60+G708)*SUMIFS(팀공격력!AR:AR,팀공격력!A:A,B708,팀공격력!B:B,D708))),"")</f>
        <v>1.1629026381457075</v>
      </c>
      <c r="BN708" s="67">
        <f>IFERROR((AO708*40)/(((F708*60+G708)/60)*(SUMIFS(팀수비력!Q:Q,팀수비력!A:A,B708,팀수비력!B:B,D708)-SUMIFS(팀수비력!N:N,팀수비력!A:A,B708,팀수비력!B:B,D708)))*100,"")</f>
        <v>2.6856124417100031</v>
      </c>
      <c r="BO708" s="67">
        <f t="shared" si="373"/>
        <v>11.363636363636363</v>
      </c>
      <c r="BT708" t="s">
        <v>89</v>
      </c>
      <c r="BV708" t="s">
        <v>93</v>
      </c>
      <c r="CF708">
        <v>6</v>
      </c>
      <c r="CG708">
        <v>4</v>
      </c>
    </row>
    <row r="709" spans="1:85" x14ac:dyDescent="0.4">
      <c r="A709" s="11" t="s">
        <v>85</v>
      </c>
      <c r="B709" t="s">
        <v>145</v>
      </c>
      <c r="C709" t="s">
        <v>162</v>
      </c>
      <c r="D709" s="46" t="s">
        <v>311</v>
      </c>
      <c r="E709">
        <v>4</v>
      </c>
      <c r="F709">
        <v>21</v>
      </c>
      <c r="G709" s="1">
        <v>10</v>
      </c>
      <c r="H709" s="16">
        <f t="shared" si="348"/>
        <v>5080</v>
      </c>
      <c r="I709">
        <v>28</v>
      </c>
      <c r="J709" s="17">
        <f t="shared" si="349"/>
        <v>7</v>
      </c>
      <c r="K709">
        <v>10</v>
      </c>
      <c r="L709">
        <v>15</v>
      </c>
      <c r="M709" s="17">
        <f t="shared" si="350"/>
        <v>2.5</v>
      </c>
      <c r="N709" s="17">
        <f t="shared" si="351"/>
        <v>3.75</v>
      </c>
      <c r="O709" s="18">
        <f t="shared" si="352"/>
        <v>0.66666666666666663</v>
      </c>
      <c r="P709">
        <v>7</v>
      </c>
      <c r="Q709">
        <v>8</v>
      </c>
      <c r="R709" s="17">
        <f t="shared" si="353"/>
        <v>1.75</v>
      </c>
      <c r="S709" s="17">
        <f t="shared" si="354"/>
        <v>2</v>
      </c>
      <c r="T709" s="18">
        <f t="shared" si="355"/>
        <v>0.875</v>
      </c>
      <c r="U709">
        <v>3</v>
      </c>
      <c r="V709">
        <v>7</v>
      </c>
      <c r="W709" s="17">
        <f t="shared" si="356"/>
        <v>0.75</v>
      </c>
      <c r="X709" s="17">
        <f t="shared" si="357"/>
        <v>1.75</v>
      </c>
      <c r="Y709" s="18">
        <f t="shared" si="358"/>
        <v>0.42857142857142855</v>
      </c>
      <c r="Z709">
        <v>5</v>
      </c>
      <c r="AA709">
        <v>5</v>
      </c>
      <c r="AB709" s="17">
        <f t="shared" si="359"/>
        <v>1.25</v>
      </c>
      <c r="AC709" s="17">
        <f t="shared" si="360"/>
        <v>1.25</v>
      </c>
      <c r="AD709" s="18">
        <f t="shared" si="361"/>
        <v>1</v>
      </c>
      <c r="AE709">
        <v>7</v>
      </c>
      <c r="AF709" s="17">
        <f t="shared" si="362"/>
        <v>1.75</v>
      </c>
      <c r="AG709">
        <v>0</v>
      </c>
      <c r="AH709" s="17">
        <f t="shared" si="363"/>
        <v>0</v>
      </c>
      <c r="AI709">
        <v>7</v>
      </c>
      <c r="AJ709" s="17">
        <f t="shared" si="364"/>
        <v>1.75</v>
      </c>
      <c r="AK709">
        <v>5</v>
      </c>
      <c r="AL709" s="17">
        <f t="shared" si="365"/>
        <v>1.25</v>
      </c>
      <c r="AM709">
        <v>4</v>
      </c>
      <c r="AN709" s="17">
        <f t="shared" si="366"/>
        <v>1</v>
      </c>
      <c r="AO709">
        <v>0</v>
      </c>
      <c r="AQ709">
        <v>2</v>
      </c>
      <c r="AR709" s="17">
        <f t="shared" si="367"/>
        <v>0.5</v>
      </c>
      <c r="AS709">
        <v>11</v>
      </c>
      <c r="AT709" s="17">
        <f t="shared" si="368"/>
        <v>2.75</v>
      </c>
      <c r="BD709" s="65">
        <f t="shared" si="369"/>
        <v>81.395348837209298</v>
      </c>
      <c r="BE709" s="65">
        <f t="shared" si="370"/>
        <v>76.666666666666671</v>
      </c>
      <c r="BF709" s="66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4.2768947813344731</v>
      </c>
      <c r="BG709" s="38">
        <f t="shared" si="371"/>
        <v>0.46666666666666667</v>
      </c>
      <c r="BH709" s="38">
        <f t="shared" si="372"/>
        <v>0.33333333333333331</v>
      </c>
      <c r="BI709" s="67">
        <f>IFERROR(((AG709*(12000/5))/((F709*60+G709)*(SUMIFS(팀공격력!X:X,팀공격력!A:A,B709,팀공격력!B:B,D709)+SUMIFS(팀수비력!X:X,팀수비력!A:A,B709,팀수비력!B:B,D709))))*100,"")</f>
        <v>0</v>
      </c>
      <c r="BJ709" s="67">
        <f>IFERROR(((AI709*(12000/5))/((F709*60+G709)*(SUMIFS(팀공격력!V:V,팀공격력!A:A,B709,팀공격력!B:B,D709)+SUMIFS(팀수비력!W:W,팀수비력!A:A,B709,팀수비력!B:B,D709))))*100,"")</f>
        <v>4.120980204577231</v>
      </c>
      <c r="BK709" s="67">
        <f>IFERROR(((AE709*(12000/5))/((F709*60+G709)*(SUMIFS(팀공격력!X:X,팀공격력!A:A,B709,팀공격력!B:B,D709)+SUMIFS(팀수비력!X:X,팀수비력!A:A,B709,팀수비력!B:B,D709))))*100,"")</f>
        <v>1.8763611995309097</v>
      </c>
      <c r="BL709" s="67">
        <f>IFERROR(100*AK709/(((((F709*60+G709)/(12000/5))*SUMIFS(팀공격력!P:P,팀공격력!A:A,B709,팀공격력!B:B,D709))-K709)),"")</f>
        <v>3.0767652940874828</v>
      </c>
      <c r="BM709" s="67">
        <f>IFERROR(100*((AM709/E709*(2400))/((F709*60+G709)*SUMIFS(팀공격력!AR:AR,팀공격력!A:A,B709,팀공격력!B:B,D709))),"")</f>
        <v>2.2868892431251218</v>
      </c>
      <c r="BN709" s="67">
        <f>IFERROR((AO709*40)/(((F709*60+G709)/60)*(SUMIFS(팀수비력!Q:Q,팀수비력!A:A,B709,팀수비력!B:B,D709)-SUMIFS(팀수비력!N:N,팀수비력!A:A,B709,팀수비력!B:B,D709)))*100,"")</f>
        <v>0</v>
      </c>
      <c r="BO709" s="67">
        <f t="shared" si="373"/>
        <v>10.416666666666668</v>
      </c>
      <c r="BT709" t="s">
        <v>113</v>
      </c>
      <c r="BV709" t="s">
        <v>90</v>
      </c>
      <c r="CF709">
        <v>3</v>
      </c>
      <c r="CG709">
        <v>1</v>
      </c>
    </row>
    <row r="710" spans="1:85" x14ac:dyDescent="0.4">
      <c r="A710" s="11" t="s">
        <v>85</v>
      </c>
      <c r="B710" t="s">
        <v>145</v>
      </c>
      <c r="C710" t="s">
        <v>163</v>
      </c>
      <c r="D710" s="46" t="s">
        <v>311</v>
      </c>
      <c r="E710">
        <v>10</v>
      </c>
      <c r="F710">
        <v>33</v>
      </c>
      <c r="G710" s="1">
        <v>17</v>
      </c>
      <c r="H710" s="16">
        <f t="shared" si="348"/>
        <v>19970</v>
      </c>
      <c r="I710">
        <v>199</v>
      </c>
      <c r="J710" s="17">
        <f t="shared" si="349"/>
        <v>19.899999999999999</v>
      </c>
      <c r="K710">
        <v>63</v>
      </c>
      <c r="L710">
        <v>132</v>
      </c>
      <c r="M710" s="17">
        <f t="shared" si="350"/>
        <v>6.3</v>
      </c>
      <c r="N710" s="17">
        <f t="shared" si="351"/>
        <v>13.2</v>
      </c>
      <c r="O710" s="18">
        <f t="shared" si="352"/>
        <v>0.47727272727272729</v>
      </c>
      <c r="P710">
        <v>29</v>
      </c>
      <c r="Q710">
        <v>51</v>
      </c>
      <c r="R710" s="17">
        <f t="shared" si="353"/>
        <v>2.9</v>
      </c>
      <c r="S710" s="17">
        <f t="shared" si="354"/>
        <v>5.0999999999999996</v>
      </c>
      <c r="T710" s="18">
        <f t="shared" si="355"/>
        <v>0.56862745098039214</v>
      </c>
      <c r="U710">
        <v>34</v>
      </c>
      <c r="V710">
        <v>81</v>
      </c>
      <c r="W710" s="17">
        <f t="shared" si="356"/>
        <v>3.4</v>
      </c>
      <c r="X710" s="17">
        <f t="shared" si="357"/>
        <v>8.1</v>
      </c>
      <c r="Y710" s="18">
        <f t="shared" si="358"/>
        <v>0.41975308641975306</v>
      </c>
      <c r="Z710">
        <v>39</v>
      </c>
      <c r="AA710">
        <v>43</v>
      </c>
      <c r="AB710" s="17">
        <f t="shared" si="359"/>
        <v>3.9</v>
      </c>
      <c r="AC710" s="17">
        <f t="shared" si="360"/>
        <v>4.3</v>
      </c>
      <c r="AD710" s="18">
        <f t="shared" si="361"/>
        <v>0.90697674418604646</v>
      </c>
      <c r="AE710">
        <v>23</v>
      </c>
      <c r="AF710" s="17">
        <f t="shared" si="362"/>
        <v>2.2999999999999998</v>
      </c>
      <c r="AG710">
        <v>1</v>
      </c>
      <c r="AH710" s="17">
        <f t="shared" si="363"/>
        <v>0.1</v>
      </c>
      <c r="AI710">
        <v>22</v>
      </c>
      <c r="AJ710" s="17">
        <f t="shared" si="364"/>
        <v>2.2000000000000002</v>
      </c>
      <c r="AK710">
        <v>38</v>
      </c>
      <c r="AL710" s="17">
        <f t="shared" si="365"/>
        <v>3.8</v>
      </c>
      <c r="AM710">
        <v>7</v>
      </c>
      <c r="AN710" s="17">
        <f t="shared" si="366"/>
        <v>0.7</v>
      </c>
      <c r="AO710">
        <v>0</v>
      </c>
      <c r="AQ710">
        <v>19</v>
      </c>
      <c r="AR710" s="17">
        <f t="shared" si="367"/>
        <v>1.9</v>
      </c>
      <c r="AS710">
        <v>28</v>
      </c>
      <c r="AT710" s="17">
        <f t="shared" si="368"/>
        <v>2.8</v>
      </c>
      <c r="BD710" s="65">
        <f t="shared" si="369"/>
        <v>65.928968990193468</v>
      </c>
      <c r="BE710" s="65">
        <f t="shared" si="370"/>
        <v>60.606060606060609</v>
      </c>
      <c r="BF710" s="66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24.071186226744526</v>
      </c>
      <c r="BG710" s="38">
        <f t="shared" si="371"/>
        <v>0.61363636363636365</v>
      </c>
      <c r="BH710" s="38">
        <f t="shared" si="372"/>
        <v>0.32575757575757575</v>
      </c>
      <c r="BI710" s="67">
        <f>IFERROR(((AG710*(12000/5))/((F710*60+G710)*(SUMIFS(팀공격력!X:X,팀공격력!A:A,B710,팀공격력!B:B,D710)+SUMIFS(팀수비력!X:X,팀수비력!A:A,B710,팀수비력!B:B,D710))))*100,"")</f>
        <v>0.17046846866043747</v>
      </c>
      <c r="BJ710" s="67">
        <f>IFERROR(((AI710*(12000/5))/((F710*60+G710)*(SUMIFS(팀공격력!V:V,팀공격력!A:A,B710,팀공격력!B:B,D710)+SUMIFS(팀수비력!W:W,팀수비력!A:A,B710,팀수비력!B:B,D710))))*100,"")</f>
        <v>8.2366540464902958</v>
      </c>
      <c r="BK710" s="67">
        <f>IFERROR(((AE710*(12000/5))/((F710*60+G710)*(SUMIFS(팀공격력!X:X,팀공격력!A:A,B710,팀공격력!B:B,D710)+SUMIFS(팀수비력!X:X,팀수비력!A:A,B710,팀수비력!B:B,D710))))*100,"")</f>
        <v>3.9207747791900616</v>
      </c>
      <c r="BL710" s="67">
        <f>IFERROR(100*AK710/(((((F710*60+G710)/(12000/5))*SUMIFS(팀공격력!P:P,팀공격력!A:A,B710,팀공격력!B:B,D710))-K710)),"")</f>
        <v>18.246495752487885</v>
      </c>
      <c r="BM710" s="67">
        <f>IFERROR(100*((AM710/E710*(2400))/((F710*60+G710)*SUMIFS(팀공격력!AR:AR,팀공격력!A:A,B710,팀공격력!B:B,D710))),"")</f>
        <v>1.0180493425829911</v>
      </c>
      <c r="BN710" s="67">
        <f>IFERROR((AO710*40)/(((F710*60+G710)/60)*(SUMIFS(팀수비력!Q:Q,팀수비력!A:A,B710,팀수비력!B:B,D710)-SUMIFS(팀수비력!N:N,팀수비력!A:A,B710,팀수비력!B:B,D710)))*100,"")</f>
        <v>0</v>
      </c>
      <c r="BO710" s="67">
        <f t="shared" si="373"/>
        <v>11.181732580037664</v>
      </c>
      <c r="BT710" t="s">
        <v>89</v>
      </c>
      <c r="BV710" t="s">
        <v>90</v>
      </c>
      <c r="CF710">
        <v>6</v>
      </c>
      <c r="CG710">
        <v>4</v>
      </c>
    </row>
    <row r="711" spans="1:85" x14ac:dyDescent="0.4">
      <c r="A711" s="11" t="s">
        <v>85</v>
      </c>
      <c r="B711" t="s">
        <v>164</v>
      </c>
      <c r="C711" t="s">
        <v>165</v>
      </c>
      <c r="D711" s="46" t="s">
        <v>311</v>
      </c>
      <c r="E711">
        <v>5</v>
      </c>
      <c r="F711">
        <v>9</v>
      </c>
      <c r="G711" s="1">
        <v>55</v>
      </c>
      <c r="H711" s="16">
        <f t="shared" si="348"/>
        <v>2975</v>
      </c>
      <c r="I711">
        <v>14</v>
      </c>
      <c r="J711" s="17">
        <f t="shared" si="349"/>
        <v>2.8</v>
      </c>
      <c r="K711">
        <v>7</v>
      </c>
      <c r="L711">
        <v>15</v>
      </c>
      <c r="M711" s="17">
        <f t="shared" si="350"/>
        <v>1.4</v>
      </c>
      <c r="N711" s="17">
        <f t="shared" si="351"/>
        <v>3</v>
      </c>
      <c r="O711" s="18">
        <f t="shared" si="352"/>
        <v>0.46666666666666667</v>
      </c>
      <c r="P711">
        <v>7</v>
      </c>
      <c r="Q711">
        <v>11</v>
      </c>
      <c r="R711" s="17">
        <f t="shared" si="353"/>
        <v>1.4</v>
      </c>
      <c r="S711" s="17">
        <f t="shared" si="354"/>
        <v>2.2000000000000002</v>
      </c>
      <c r="T711" s="18">
        <f t="shared" si="355"/>
        <v>0.63636363636363635</v>
      </c>
      <c r="U711">
        <v>0</v>
      </c>
      <c r="V711">
        <v>4</v>
      </c>
      <c r="W711" s="17">
        <f t="shared" si="356"/>
        <v>0</v>
      </c>
      <c r="X711" s="17">
        <f t="shared" si="357"/>
        <v>0.8</v>
      </c>
      <c r="Y711" s="18">
        <f t="shared" si="358"/>
        <v>0</v>
      </c>
      <c r="Z711">
        <v>0</v>
      </c>
      <c r="AA711">
        <v>0</v>
      </c>
      <c r="AB711" s="17">
        <f t="shared" si="359"/>
        <v>0</v>
      </c>
      <c r="AC711" s="17">
        <f t="shared" si="360"/>
        <v>0</v>
      </c>
      <c r="AD711" s="18" t="e">
        <f t="shared" si="361"/>
        <v>#DIV/0!</v>
      </c>
      <c r="AE711">
        <v>11</v>
      </c>
      <c r="AF711" s="17">
        <f t="shared" si="362"/>
        <v>2.2000000000000002</v>
      </c>
      <c r="AG711">
        <v>4</v>
      </c>
      <c r="AH711" s="17">
        <f t="shared" si="363"/>
        <v>0.8</v>
      </c>
      <c r="AI711">
        <v>7</v>
      </c>
      <c r="AJ711" s="17">
        <f t="shared" si="364"/>
        <v>1.4</v>
      </c>
      <c r="AK711">
        <v>6</v>
      </c>
      <c r="AL711" s="17">
        <f t="shared" si="365"/>
        <v>1.2</v>
      </c>
      <c r="AM711">
        <v>0</v>
      </c>
      <c r="AN711" s="17">
        <f t="shared" si="366"/>
        <v>0</v>
      </c>
      <c r="AO711">
        <v>1</v>
      </c>
      <c r="AQ711">
        <v>3</v>
      </c>
      <c r="AR711" s="17">
        <f t="shared" si="367"/>
        <v>0.6</v>
      </c>
      <c r="AS711">
        <v>9</v>
      </c>
      <c r="AT711" s="17">
        <f t="shared" si="368"/>
        <v>1.8</v>
      </c>
      <c r="BD711" s="65">
        <f t="shared" si="369"/>
        <v>46.666666666666664</v>
      </c>
      <c r="BE711" s="65">
        <f t="shared" si="370"/>
        <v>46.666666666666664</v>
      </c>
      <c r="BF711" s="66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8.5639351281914031</v>
      </c>
      <c r="BG711" s="38">
        <f t="shared" si="371"/>
        <v>0.26666666666666666</v>
      </c>
      <c r="BH711" s="38">
        <f t="shared" si="372"/>
        <v>0</v>
      </c>
      <c r="BI711" s="67">
        <f>IFERROR(((AG711*(12000/5))/((F711*60+G711)*(SUMIFS(팀공격력!X:X,팀공격력!A:A,B711,팀공격력!B:B,D711)+SUMIFS(팀수비력!X:X,팀수비력!A:A,B711,팀수비력!B:B,D711))))*100,"")</f>
        <v>2.2285157156785367</v>
      </c>
      <c r="BJ711" s="67">
        <f>IFERROR(((AI711*(12000/5))/((F711*60+G711)*(SUMIFS(팀공격력!V:V,팀공격력!A:A,B711,팀공격력!B:B,D711)+SUMIFS(팀수비력!W:W,팀수비력!A:A,B711,팀수비력!B:B,D711))))*100,"")</f>
        <v>7.7356970185334415</v>
      </c>
      <c r="BK711" s="67">
        <f>IFERROR(((AE711*(12000/5))/((F711*60+G711)*(SUMIFS(팀공격력!X:X,팀공격력!A:A,B711,팀공격력!B:B,D711)+SUMIFS(팀수비력!X:X,팀수비력!A:A,B711,팀수비력!B:B,D711))))*100,"")</f>
        <v>6.128418218115975</v>
      </c>
      <c r="BL711" s="67">
        <f>IFERROR(100*AK711/(((((F711*60+G711)/(12000/5))*SUMIFS(팀공격력!P:P,팀공격력!A:A,B711,팀공격력!B:B,D711))-K711)),"")</f>
        <v>8.7130150662552186</v>
      </c>
      <c r="BM711" s="67">
        <f>IFERROR(100*((AM711/E711*(2400))/((F711*60+G711)*SUMIFS(팀공격력!AR:AR,팀공격력!A:A,B711,팀공격력!B:B,D711))),"")</f>
        <v>0</v>
      </c>
      <c r="BN711" s="67">
        <f>IFERROR((AO711*40)/(((F711*60+G711)/60)*(SUMIFS(팀수비력!Q:Q,팀수비력!A:A,B711,팀수비력!B:B,D711)-SUMIFS(팀수비력!N:N,팀수비력!A:A,B711,팀수비력!B:B,D711)))*100,"")</f>
        <v>1.047691803994325</v>
      </c>
      <c r="BO711" s="67">
        <f t="shared" si="373"/>
        <v>16.666666666666668</v>
      </c>
      <c r="BT711" t="s">
        <v>113</v>
      </c>
      <c r="BV711" t="s">
        <v>90</v>
      </c>
      <c r="CF711">
        <v>2</v>
      </c>
      <c r="CG711">
        <v>3</v>
      </c>
    </row>
    <row r="712" spans="1:85" x14ac:dyDescent="0.4">
      <c r="A712" s="11" t="s">
        <v>85</v>
      </c>
      <c r="B712" t="s">
        <v>164</v>
      </c>
      <c r="C712" t="s">
        <v>310</v>
      </c>
      <c r="D712" s="46" t="s">
        <v>311</v>
      </c>
      <c r="E712">
        <v>2</v>
      </c>
      <c r="F712">
        <v>1</v>
      </c>
      <c r="G712" s="1">
        <v>54</v>
      </c>
      <c r="H712" s="16">
        <f t="shared" si="348"/>
        <v>228</v>
      </c>
      <c r="I712">
        <v>2</v>
      </c>
      <c r="J712" s="17">
        <f t="shared" si="349"/>
        <v>1</v>
      </c>
      <c r="K712">
        <v>1</v>
      </c>
      <c r="L712">
        <v>3</v>
      </c>
      <c r="M712" s="17">
        <f t="shared" si="350"/>
        <v>0.5</v>
      </c>
      <c r="N712" s="17">
        <f t="shared" si="351"/>
        <v>1.5</v>
      </c>
      <c r="O712" s="18">
        <f t="shared" si="352"/>
        <v>0.33333333333333331</v>
      </c>
      <c r="P712">
        <v>1</v>
      </c>
      <c r="Q712">
        <v>3</v>
      </c>
      <c r="R712" s="17">
        <f t="shared" si="353"/>
        <v>0.5</v>
      </c>
      <c r="S712" s="17">
        <f t="shared" si="354"/>
        <v>1.5</v>
      </c>
      <c r="T712" s="18">
        <f t="shared" si="355"/>
        <v>0.33333333333333331</v>
      </c>
      <c r="U712">
        <v>0</v>
      </c>
      <c r="V712">
        <v>0</v>
      </c>
      <c r="W712" s="17">
        <f t="shared" si="356"/>
        <v>0</v>
      </c>
      <c r="X712" s="17">
        <f t="shared" si="357"/>
        <v>0</v>
      </c>
      <c r="Y712" s="18" t="e">
        <f t="shared" si="358"/>
        <v>#DIV/0!</v>
      </c>
      <c r="Z712">
        <v>0</v>
      </c>
      <c r="AA712">
        <v>0</v>
      </c>
      <c r="AB712" s="17">
        <f t="shared" si="359"/>
        <v>0</v>
      </c>
      <c r="AC712" s="17">
        <f t="shared" si="360"/>
        <v>0</v>
      </c>
      <c r="AD712" s="18" t="e">
        <f t="shared" si="361"/>
        <v>#DIV/0!</v>
      </c>
      <c r="AE712">
        <v>0</v>
      </c>
      <c r="AF712" s="17">
        <f t="shared" si="362"/>
        <v>0</v>
      </c>
      <c r="AG712">
        <v>0</v>
      </c>
      <c r="AH712" s="17">
        <f t="shared" si="363"/>
        <v>0</v>
      </c>
      <c r="AI712">
        <v>0</v>
      </c>
      <c r="AJ712" s="17">
        <f t="shared" si="364"/>
        <v>0</v>
      </c>
      <c r="AK712">
        <v>0</v>
      </c>
      <c r="AL712" s="17">
        <f t="shared" si="365"/>
        <v>0</v>
      </c>
      <c r="AM712">
        <v>0</v>
      </c>
      <c r="AN712" s="17">
        <f t="shared" si="366"/>
        <v>0</v>
      </c>
      <c r="AO712">
        <v>1</v>
      </c>
      <c r="AQ712">
        <v>0</v>
      </c>
      <c r="AR712" s="17">
        <f t="shared" si="367"/>
        <v>0</v>
      </c>
      <c r="AS712">
        <v>0</v>
      </c>
      <c r="AT712" s="17">
        <f t="shared" si="368"/>
        <v>0</v>
      </c>
      <c r="BD712" s="65">
        <f t="shared" si="369"/>
        <v>33.333333333333329</v>
      </c>
      <c r="BE712" s="65">
        <f t="shared" si="370"/>
        <v>33.333333333333329</v>
      </c>
      <c r="BF712" s="66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7.4496219316869672</v>
      </c>
      <c r="BG712" s="38">
        <f t="shared" si="371"/>
        <v>0</v>
      </c>
      <c r="BH712" s="38">
        <f t="shared" si="372"/>
        <v>0</v>
      </c>
      <c r="BI712" s="67">
        <f>IFERROR(((AG712*(12000/5))/((F712*60+G712)*(SUMIFS(팀공격력!X:X,팀공격력!A:A,B712,팀공격력!B:B,D712)+SUMIFS(팀수비력!X:X,팀수비력!A:A,B712,팀수비력!B:B,D712))))*100,"")</f>
        <v>0</v>
      </c>
      <c r="BJ712" s="67">
        <f>IFERROR(((AI712*(12000/5))/((F712*60+G712)*(SUMIFS(팀공격력!V:V,팀공격력!A:A,B712,팀공격력!B:B,D712)+SUMIFS(팀수비력!W:W,팀수비력!A:A,B712,팀수비력!B:B,D712))))*100,"")</f>
        <v>0</v>
      </c>
      <c r="BK712" s="67">
        <f>IFERROR(((AE712*(12000/5))/((F712*60+G712)*(SUMIFS(팀공격력!X:X,팀공격력!A:A,B712,팀공격력!B:B,D712)+SUMIFS(팀수비력!X:X,팀수비력!A:A,B712,팀수비력!B:B,D712))))*100,"")</f>
        <v>0</v>
      </c>
      <c r="BL712" s="67">
        <f>IFERROR(100*AK712/(((((F712*60+G712)/(12000/5))*SUMIFS(팀공격력!P:P,팀공격력!A:A,B712,팀공격력!B:B,D712))-K712)),"")</f>
        <v>0</v>
      </c>
      <c r="BM712" s="67">
        <f>IFERROR(100*((AM712/E712*(2400))/((F712*60+G712)*SUMIFS(팀공격력!AR:AR,팀공격력!A:A,B712,팀공격력!B:B,D712))),"")</f>
        <v>0</v>
      </c>
      <c r="BN712" s="67">
        <f>IFERROR((AO712*40)/(((F712*60+G712)/60)*(SUMIFS(팀수비력!Q:Q,팀수비력!A:A,B712,팀수비력!B:B,D712)-SUMIFS(팀수비력!N:N,팀수비력!A:A,B712,팀수비력!B:B,D712)))*100,"")</f>
        <v>5.4682159945317839</v>
      </c>
      <c r="BO712" s="67">
        <f t="shared" si="373"/>
        <v>0</v>
      </c>
      <c r="BT712" t="s">
        <v>89</v>
      </c>
      <c r="BV712" t="s">
        <v>93</v>
      </c>
      <c r="CF712">
        <v>2</v>
      </c>
      <c r="CG712">
        <v>0</v>
      </c>
    </row>
    <row r="713" spans="1:85" x14ac:dyDescent="0.4">
      <c r="A713" s="11" t="s">
        <v>85</v>
      </c>
      <c r="B713" t="s">
        <v>164</v>
      </c>
      <c r="C713" t="s">
        <v>167</v>
      </c>
      <c r="D713" s="46" t="s">
        <v>311</v>
      </c>
      <c r="E713">
        <v>2</v>
      </c>
      <c r="F713">
        <v>14</v>
      </c>
      <c r="G713" s="1">
        <v>45</v>
      </c>
      <c r="H713" s="16">
        <f t="shared" si="348"/>
        <v>1770</v>
      </c>
      <c r="I713">
        <v>7</v>
      </c>
      <c r="J713" s="17">
        <f t="shared" si="349"/>
        <v>3.5</v>
      </c>
      <c r="K713">
        <v>3</v>
      </c>
      <c r="L713">
        <v>13</v>
      </c>
      <c r="M713" s="17">
        <f t="shared" si="350"/>
        <v>1.5</v>
      </c>
      <c r="N713" s="17">
        <f t="shared" si="351"/>
        <v>6.5</v>
      </c>
      <c r="O713" s="18">
        <f t="shared" si="352"/>
        <v>0.23076923076923078</v>
      </c>
      <c r="P713">
        <v>3</v>
      </c>
      <c r="Q713">
        <v>9</v>
      </c>
      <c r="R713" s="17">
        <f t="shared" si="353"/>
        <v>1.5</v>
      </c>
      <c r="S713" s="17">
        <f t="shared" si="354"/>
        <v>4.5</v>
      </c>
      <c r="T713" s="18">
        <f t="shared" si="355"/>
        <v>0.33333333333333331</v>
      </c>
      <c r="U713">
        <v>0</v>
      </c>
      <c r="V713">
        <v>4</v>
      </c>
      <c r="W713" s="17">
        <f t="shared" si="356"/>
        <v>0</v>
      </c>
      <c r="X713" s="17">
        <f t="shared" si="357"/>
        <v>2</v>
      </c>
      <c r="Y713" s="18">
        <f t="shared" si="358"/>
        <v>0</v>
      </c>
      <c r="Z713">
        <v>1</v>
      </c>
      <c r="AA713">
        <v>3</v>
      </c>
      <c r="AB713" s="17">
        <f t="shared" si="359"/>
        <v>0.5</v>
      </c>
      <c r="AC713" s="17">
        <f t="shared" si="360"/>
        <v>1.5</v>
      </c>
      <c r="AD713" s="18">
        <f t="shared" si="361"/>
        <v>0.33333333333333331</v>
      </c>
      <c r="AE713">
        <v>4</v>
      </c>
      <c r="AF713" s="17">
        <f t="shared" si="362"/>
        <v>2</v>
      </c>
      <c r="AG713">
        <v>0</v>
      </c>
      <c r="AH713" s="17">
        <f t="shared" si="363"/>
        <v>0</v>
      </c>
      <c r="AI713">
        <v>4</v>
      </c>
      <c r="AJ713" s="17">
        <f t="shared" si="364"/>
        <v>2</v>
      </c>
      <c r="AK713">
        <v>4</v>
      </c>
      <c r="AL713" s="17">
        <f t="shared" si="365"/>
        <v>2</v>
      </c>
      <c r="AM713">
        <v>3</v>
      </c>
      <c r="AN713" s="17">
        <f t="shared" si="366"/>
        <v>1.5</v>
      </c>
      <c r="AO713">
        <v>0</v>
      </c>
      <c r="AQ713">
        <v>4</v>
      </c>
      <c r="AR713" s="17">
        <f t="shared" si="367"/>
        <v>2</v>
      </c>
      <c r="AS713">
        <v>2</v>
      </c>
      <c r="AT713" s="17">
        <f t="shared" si="368"/>
        <v>1</v>
      </c>
      <c r="BD713" s="65">
        <f t="shared" si="369"/>
        <v>24.441340782122907</v>
      </c>
      <c r="BE713" s="65">
        <f t="shared" si="370"/>
        <v>23.076923076923077</v>
      </c>
      <c r="BF713" s="66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5.8600325468510723</v>
      </c>
      <c r="BG713" s="38">
        <f t="shared" si="371"/>
        <v>0.30769230769230771</v>
      </c>
      <c r="BH713" s="38">
        <f t="shared" si="372"/>
        <v>0.23076923076923078</v>
      </c>
      <c r="BI713" s="67">
        <f>IFERROR(((AG713*(12000/5))/((F713*60+G713)*(SUMIFS(팀공격력!X:X,팀공격력!A:A,B713,팀공격력!B:B,D713)+SUMIFS(팀수비력!X:X,팀수비력!A:A,B713,팀수비력!B:B,D713))))*100,"")</f>
        <v>0</v>
      </c>
      <c r="BJ713" s="67">
        <f>IFERROR(((AI713*(12000/5))/((F713*60+G713)*(SUMIFS(팀공격력!V:V,팀공격력!A:A,B713,팀공격력!B:B,D713)+SUMIFS(팀수비력!W:W,팀수비력!A:A,B713,팀수비력!B:B,D713))))*100,"")</f>
        <v>2.9719061992105873</v>
      </c>
      <c r="BK713" s="67">
        <f>IFERROR(((AE713*(12000/5))/((F713*60+G713)*(SUMIFS(팀공격력!X:X,팀공격력!A:A,B713,팀공격력!B:B,D713)+SUMIFS(팀수비력!X:X,팀수비력!A:A,B713,팀수비력!B:B,D713))))*100,"")</f>
        <v>1.4982676280550613</v>
      </c>
      <c r="BL713" s="67">
        <f>IFERROR(100*AK713/(((((F713*60+G713)/(12000/5))*SUMIFS(팀공격력!P:P,팀공격력!A:A,B713,팀공격력!B:B,D713))-K713)),"")</f>
        <v>3.6417434846932966</v>
      </c>
      <c r="BM713" s="67">
        <f>IFERROR(100*((AM713/E713*(2400))/((F713*60+G713)*SUMIFS(팀공격력!AR:AR,팀공격력!A:A,B713,팀공격력!B:B,D713))),"")</f>
        <v>5.1807985996970736</v>
      </c>
      <c r="BN713" s="67">
        <f>IFERROR((AO713*40)/(((F713*60+G713)/60)*(SUMIFS(팀수비력!Q:Q,팀수비력!A:A,B713,팀수비력!B:B,D713)-SUMIFS(팀수비력!N:N,팀수비력!A:A,B713,팀수비력!B:B,D713)))*100,"")</f>
        <v>0</v>
      </c>
      <c r="BO713" s="67">
        <f t="shared" si="373"/>
        <v>21.834061135371179</v>
      </c>
      <c r="BT713" t="s">
        <v>89</v>
      </c>
      <c r="BV713" t="s">
        <v>90</v>
      </c>
      <c r="CF713">
        <v>2</v>
      </c>
      <c r="CG713">
        <v>0</v>
      </c>
    </row>
    <row r="714" spans="1:85" x14ac:dyDescent="0.4">
      <c r="A714" s="11" t="s">
        <v>85</v>
      </c>
      <c r="B714" t="s">
        <v>164</v>
      </c>
      <c r="C714" t="s">
        <v>168</v>
      </c>
      <c r="D714" s="46" t="s">
        <v>311</v>
      </c>
      <c r="E714">
        <v>3</v>
      </c>
      <c r="F714">
        <v>8</v>
      </c>
      <c r="G714" s="1">
        <v>12</v>
      </c>
      <c r="H714" s="16">
        <f t="shared" si="348"/>
        <v>1476</v>
      </c>
      <c r="I714">
        <v>8</v>
      </c>
      <c r="J714" s="17">
        <f t="shared" si="349"/>
        <v>2.6666666666666665</v>
      </c>
      <c r="K714">
        <v>3</v>
      </c>
      <c r="L714">
        <v>6</v>
      </c>
      <c r="M714" s="17">
        <f t="shared" si="350"/>
        <v>1</v>
      </c>
      <c r="N714" s="17">
        <f t="shared" si="351"/>
        <v>2</v>
      </c>
      <c r="O714" s="18">
        <f t="shared" si="352"/>
        <v>0.5</v>
      </c>
      <c r="P714">
        <v>1</v>
      </c>
      <c r="Q714">
        <v>2</v>
      </c>
      <c r="R714" s="17">
        <f t="shared" si="353"/>
        <v>0.33333333333333331</v>
      </c>
      <c r="S714" s="17">
        <f t="shared" si="354"/>
        <v>0.66666666666666663</v>
      </c>
      <c r="T714" s="18">
        <f t="shared" si="355"/>
        <v>0.5</v>
      </c>
      <c r="U714">
        <v>2</v>
      </c>
      <c r="V714">
        <v>4</v>
      </c>
      <c r="W714" s="17">
        <f t="shared" si="356"/>
        <v>0.66666666666666663</v>
      </c>
      <c r="X714" s="17">
        <f t="shared" si="357"/>
        <v>1.3333333333333333</v>
      </c>
      <c r="Y714" s="18">
        <f t="shared" si="358"/>
        <v>0.5</v>
      </c>
      <c r="Z714">
        <v>0</v>
      </c>
      <c r="AA714">
        <v>0</v>
      </c>
      <c r="AB714" s="17">
        <f t="shared" si="359"/>
        <v>0</v>
      </c>
      <c r="AC714" s="17">
        <f t="shared" si="360"/>
        <v>0</v>
      </c>
      <c r="AD714" s="18" t="e">
        <f t="shared" si="361"/>
        <v>#DIV/0!</v>
      </c>
      <c r="AE714">
        <v>2</v>
      </c>
      <c r="AF714" s="17">
        <f t="shared" si="362"/>
        <v>0.66666666666666663</v>
      </c>
      <c r="AG714">
        <v>0</v>
      </c>
      <c r="AH714" s="17">
        <f t="shared" si="363"/>
        <v>0</v>
      </c>
      <c r="AI714">
        <v>2</v>
      </c>
      <c r="AJ714" s="17">
        <f t="shared" si="364"/>
        <v>0.66666666666666663</v>
      </c>
      <c r="AK714">
        <v>0</v>
      </c>
      <c r="AL714" s="17">
        <f t="shared" si="365"/>
        <v>0</v>
      </c>
      <c r="AM714">
        <v>0</v>
      </c>
      <c r="AN714" s="17">
        <f t="shared" si="366"/>
        <v>0</v>
      </c>
      <c r="AO714">
        <v>0</v>
      </c>
      <c r="AQ714">
        <v>0</v>
      </c>
      <c r="AR714" s="17">
        <f t="shared" si="367"/>
        <v>0</v>
      </c>
      <c r="AS714">
        <v>3</v>
      </c>
      <c r="AT714" s="17">
        <f t="shared" si="368"/>
        <v>1</v>
      </c>
      <c r="BD714" s="65">
        <f t="shared" si="369"/>
        <v>66.666666666666657</v>
      </c>
      <c r="BE714" s="65">
        <f t="shared" si="370"/>
        <v>66.666666666666657</v>
      </c>
      <c r="BF714" s="66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3.4522638220012776</v>
      </c>
      <c r="BG714" s="38">
        <f t="shared" si="371"/>
        <v>0.66666666666666663</v>
      </c>
      <c r="BH714" s="38">
        <f t="shared" si="372"/>
        <v>0</v>
      </c>
      <c r="BI714" s="67">
        <f>IFERROR(((AG714*(12000/5))/((F714*60+G714)*(SUMIFS(팀공격력!X:X,팀공격력!A:A,B714,팀공격력!B:B,D714)+SUMIFS(팀수비력!X:X,팀수비력!A:A,B714,팀수비력!B:B,D714))))*100,"")</f>
        <v>0</v>
      </c>
      <c r="BJ714" s="67">
        <f>IFERROR(((AI714*(12000/5))/((F714*60+G714)*(SUMIFS(팀공격력!V:V,팀공격력!A:A,B714,팀공격력!B:B,D714)+SUMIFS(팀수비력!W:W,팀수비력!A:A,B714,팀수비력!B:B,D714))))*100,"")</f>
        <v>2.6729034413631809</v>
      </c>
      <c r="BK714" s="67">
        <f>IFERROR(((AE714*(12000/5))/((F714*60+G714)*(SUMIFS(팀공격력!X:X,팀공격력!A:A,B714,팀공격력!B:B,D714)+SUMIFS(팀수비력!X:X,팀수비력!A:A,B714,팀수비력!B:B,D714))))*100,"")</f>
        <v>1.3475272874275703</v>
      </c>
      <c r="BL714" s="67">
        <f>IFERROR(100*AK714/(((((F714*60+G714)/(12000/5))*SUMIFS(팀공격력!P:P,팀공격력!A:A,B714,팀공격력!B:B,D714))-K714)),"")</f>
        <v>0</v>
      </c>
      <c r="BM714" s="67">
        <f>IFERROR(100*((AM714/E714*(2400))/((F714*60+G714)*SUMIFS(팀공격력!AR:AR,팀공격력!A:A,B714,팀공격력!B:B,D714))),"")</f>
        <v>0</v>
      </c>
      <c r="BN714" s="67">
        <f>IFERROR((AO714*40)/(((F714*60+G714)/60)*(SUMIFS(팀수비력!Q:Q,팀수비력!A:A,B714,팀수비력!B:B,D714)-SUMIFS(팀수비력!N:N,팀수비력!A:A,B714,팀수비력!B:B,D714)))*100,"")</f>
        <v>0</v>
      </c>
      <c r="BO714" s="67">
        <f t="shared" si="373"/>
        <v>0</v>
      </c>
      <c r="BT714" t="s">
        <v>89</v>
      </c>
      <c r="BV714" t="s">
        <v>93</v>
      </c>
      <c r="CF714">
        <v>0</v>
      </c>
      <c r="CG714">
        <v>3</v>
      </c>
    </row>
    <row r="715" spans="1:85" x14ac:dyDescent="0.4">
      <c r="A715" s="11" t="s">
        <v>85</v>
      </c>
      <c r="B715" t="s">
        <v>164</v>
      </c>
      <c r="C715" t="s">
        <v>169</v>
      </c>
      <c r="D715" s="46" t="s">
        <v>311</v>
      </c>
      <c r="E715">
        <v>5</v>
      </c>
      <c r="F715">
        <v>6</v>
      </c>
      <c r="G715" s="1">
        <v>36</v>
      </c>
      <c r="H715" s="16">
        <f t="shared" si="348"/>
        <v>1980</v>
      </c>
      <c r="I715">
        <v>9</v>
      </c>
      <c r="J715" s="17">
        <f t="shared" si="349"/>
        <v>1.8</v>
      </c>
      <c r="K715">
        <v>2</v>
      </c>
      <c r="L715">
        <v>12</v>
      </c>
      <c r="M715" s="17">
        <f t="shared" si="350"/>
        <v>0.4</v>
      </c>
      <c r="N715" s="17">
        <f t="shared" si="351"/>
        <v>2.4</v>
      </c>
      <c r="O715" s="18">
        <f t="shared" si="352"/>
        <v>0.16666666666666666</v>
      </c>
      <c r="P715">
        <v>2</v>
      </c>
      <c r="Q715">
        <v>7</v>
      </c>
      <c r="R715" s="17">
        <f t="shared" si="353"/>
        <v>0.4</v>
      </c>
      <c r="S715" s="17">
        <f t="shared" si="354"/>
        <v>1.4</v>
      </c>
      <c r="T715" s="18">
        <f t="shared" si="355"/>
        <v>0.2857142857142857</v>
      </c>
      <c r="U715">
        <v>0</v>
      </c>
      <c r="V715">
        <v>5</v>
      </c>
      <c r="W715" s="17">
        <f t="shared" si="356"/>
        <v>0</v>
      </c>
      <c r="X715" s="17">
        <f t="shared" si="357"/>
        <v>1</v>
      </c>
      <c r="Y715" s="18">
        <f t="shared" si="358"/>
        <v>0</v>
      </c>
      <c r="Z715">
        <v>5</v>
      </c>
      <c r="AA715">
        <v>6</v>
      </c>
      <c r="AB715" s="17">
        <f t="shared" si="359"/>
        <v>1</v>
      </c>
      <c r="AC715" s="17">
        <f t="shared" si="360"/>
        <v>1.2</v>
      </c>
      <c r="AD715" s="18">
        <f t="shared" si="361"/>
        <v>0.83333333333333337</v>
      </c>
      <c r="AE715">
        <v>9</v>
      </c>
      <c r="AF715" s="17">
        <f t="shared" si="362"/>
        <v>1.8</v>
      </c>
      <c r="AG715">
        <v>3</v>
      </c>
      <c r="AH715" s="17">
        <f t="shared" si="363"/>
        <v>0.6</v>
      </c>
      <c r="AI715">
        <v>6</v>
      </c>
      <c r="AJ715" s="17">
        <f t="shared" si="364"/>
        <v>1.2</v>
      </c>
      <c r="AK715">
        <v>1</v>
      </c>
      <c r="AL715" s="17">
        <f t="shared" si="365"/>
        <v>0.2</v>
      </c>
      <c r="AM715">
        <v>2</v>
      </c>
      <c r="AN715" s="17">
        <f t="shared" si="366"/>
        <v>0.4</v>
      </c>
      <c r="AO715">
        <v>0</v>
      </c>
      <c r="AQ715">
        <v>3</v>
      </c>
      <c r="AR715" s="17">
        <f t="shared" si="367"/>
        <v>0.6</v>
      </c>
      <c r="AS715">
        <v>8</v>
      </c>
      <c r="AT715" s="17">
        <f t="shared" si="368"/>
        <v>1.6</v>
      </c>
      <c r="BD715" s="65">
        <f t="shared" si="369"/>
        <v>30.737704918032787</v>
      </c>
      <c r="BE715" s="65">
        <f t="shared" si="370"/>
        <v>16.666666666666664</v>
      </c>
      <c r="BF715" s="66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12.610178215273757</v>
      </c>
      <c r="BG715" s="38">
        <f t="shared" si="371"/>
        <v>0.41666666666666669</v>
      </c>
      <c r="BH715" s="38">
        <f t="shared" si="372"/>
        <v>0.5</v>
      </c>
      <c r="BI715" s="67">
        <f>IFERROR(((AG715*(12000/5))/((F715*60+G715)*(SUMIFS(팀공격력!X:X,팀공격력!A:A,B715,팀공격력!B:B,D715)+SUMIFS(팀수비력!X:X,팀수비력!A:A,B715,팀수비력!B:B,D715))))*100,"")</f>
        <v>2.5113008538422901</v>
      </c>
      <c r="BJ715" s="67">
        <f>IFERROR(((AI715*(12000/5))/((F715*60+G715)*(SUMIFS(팀공격력!V:V,팀공격력!A:A,B715,팀공격력!B:B,D715)+SUMIFS(팀수비력!W:W,팀수비력!A:A,B715,팀수비력!B:B,D715))))*100,"")</f>
        <v>9.9626400996264</v>
      </c>
      <c r="BK715" s="67">
        <f>IFERROR(((AE715*(12000/5))/((F715*60+G715)*(SUMIFS(팀공격력!X:X,팀공격력!A:A,B715,팀공격력!B:B,D715)+SUMIFS(팀수비력!X:X,팀수비력!A:A,B715,팀수비력!B:B,D715))))*100,"")</f>
        <v>7.5339025615268715</v>
      </c>
      <c r="BL715" s="67">
        <f>IFERROR(100*AK715/(((((F715*60+G715)/(12000/5))*SUMIFS(팀공격력!P:P,팀공격력!A:A,B715,팀공격력!B:B,D715))-K715)),"")</f>
        <v>2.0622808826562178</v>
      </c>
      <c r="BM715" s="67">
        <f>IFERROR(100*((AM715/E715*(2400))/((F715*60+G715)*SUMIFS(팀공격력!AR:AR,팀공격력!A:A,B715,팀공격력!B:B,D715))),"")</f>
        <v>3.0875466402235086</v>
      </c>
      <c r="BN715" s="67">
        <f>IFERROR((AO715*40)/(((F715*60+G715)/60)*(SUMIFS(팀수비력!Q:Q,팀수비력!A:A,B715,팀수비력!B:B,D715)-SUMIFS(팀수비력!N:N,팀수비력!A:A,B715,팀수비력!B:B,D715)))*100,"")</f>
        <v>0</v>
      </c>
      <c r="BO715" s="67">
        <f t="shared" si="373"/>
        <v>17.006802721088434</v>
      </c>
      <c r="BT715" t="s">
        <v>96</v>
      </c>
      <c r="BV715" t="s">
        <v>102</v>
      </c>
      <c r="CF715">
        <v>3</v>
      </c>
      <c r="CG715">
        <v>2</v>
      </c>
    </row>
    <row r="716" spans="1:85" x14ac:dyDescent="0.4">
      <c r="A716" s="11" t="s">
        <v>85</v>
      </c>
      <c r="B716" t="s">
        <v>164</v>
      </c>
      <c r="C716" t="s">
        <v>92</v>
      </c>
      <c r="D716" s="46" t="s">
        <v>311</v>
      </c>
      <c r="E716">
        <v>2</v>
      </c>
      <c r="F716">
        <v>2</v>
      </c>
      <c r="G716" s="1">
        <v>39</v>
      </c>
      <c r="H716" s="16">
        <f t="shared" si="348"/>
        <v>318</v>
      </c>
      <c r="I716">
        <v>0</v>
      </c>
      <c r="J716" s="17">
        <f t="shared" si="349"/>
        <v>0</v>
      </c>
      <c r="K716">
        <v>0</v>
      </c>
      <c r="L716">
        <v>2</v>
      </c>
      <c r="M716" s="17">
        <f t="shared" si="350"/>
        <v>0</v>
      </c>
      <c r="N716" s="17">
        <f t="shared" si="351"/>
        <v>1</v>
      </c>
      <c r="O716" s="18">
        <f t="shared" si="352"/>
        <v>0</v>
      </c>
      <c r="P716">
        <v>0</v>
      </c>
      <c r="Q716">
        <v>0</v>
      </c>
      <c r="R716" s="17">
        <f t="shared" si="353"/>
        <v>0</v>
      </c>
      <c r="S716" s="17">
        <f t="shared" si="354"/>
        <v>0</v>
      </c>
      <c r="T716" s="18" t="e">
        <f t="shared" si="355"/>
        <v>#DIV/0!</v>
      </c>
      <c r="U716">
        <v>0</v>
      </c>
      <c r="V716">
        <v>2</v>
      </c>
      <c r="W716" s="17">
        <f t="shared" si="356"/>
        <v>0</v>
      </c>
      <c r="X716" s="17">
        <f t="shared" si="357"/>
        <v>1</v>
      </c>
      <c r="Y716" s="18">
        <f t="shared" si="358"/>
        <v>0</v>
      </c>
      <c r="Z716">
        <v>0</v>
      </c>
      <c r="AA716">
        <v>0</v>
      </c>
      <c r="AB716" s="17">
        <f t="shared" si="359"/>
        <v>0</v>
      </c>
      <c r="AC716" s="17">
        <f t="shared" si="360"/>
        <v>0</v>
      </c>
      <c r="AD716" s="18" t="e">
        <f t="shared" si="361"/>
        <v>#DIV/0!</v>
      </c>
      <c r="AE716">
        <v>1</v>
      </c>
      <c r="AF716" s="17">
        <f t="shared" si="362"/>
        <v>0.5</v>
      </c>
      <c r="AG716">
        <v>0</v>
      </c>
      <c r="AH716" s="17">
        <f t="shared" si="363"/>
        <v>0</v>
      </c>
      <c r="AI716">
        <v>1</v>
      </c>
      <c r="AJ716" s="17">
        <f t="shared" si="364"/>
        <v>0.5</v>
      </c>
      <c r="AK716">
        <v>0</v>
      </c>
      <c r="AL716" s="17">
        <f t="shared" si="365"/>
        <v>0</v>
      </c>
      <c r="AM716">
        <v>0</v>
      </c>
      <c r="AN716" s="17">
        <f t="shared" si="366"/>
        <v>0</v>
      </c>
      <c r="AO716">
        <v>0</v>
      </c>
      <c r="AQ716">
        <v>0</v>
      </c>
      <c r="AR716" s="17">
        <f t="shared" si="367"/>
        <v>0</v>
      </c>
      <c r="AS716">
        <v>0</v>
      </c>
      <c r="AT716" s="17">
        <f t="shared" si="368"/>
        <v>0</v>
      </c>
      <c r="BD716" s="65">
        <f t="shared" si="369"/>
        <v>0</v>
      </c>
      <c r="BE716" s="65">
        <f t="shared" si="370"/>
        <v>0</v>
      </c>
      <c r="BF716" s="66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3.5608255774101232</v>
      </c>
      <c r="BG716" s="38">
        <f t="shared" si="371"/>
        <v>1</v>
      </c>
      <c r="BH716" s="38">
        <f t="shared" si="372"/>
        <v>0</v>
      </c>
      <c r="BI716" s="67">
        <f>IFERROR(((AG716*(12000/5))/((F716*60+G716)*(SUMIFS(팀공격력!X:X,팀공격력!A:A,B716,팀공격력!B:B,D716)+SUMIFS(팀수비력!X:X,팀수비력!A:A,B716,팀수비력!B:B,D716))))*100,"")</f>
        <v>0</v>
      </c>
      <c r="BJ716" s="67">
        <f>IFERROR(((AI716*(12000/5))/((F716*60+G716)*(SUMIFS(팀공격력!V:V,팀공격력!A:A,B716,팀공격력!B:B,D716)+SUMIFS(팀수비력!W:W,팀수비력!A:A,B716,팀수비력!B:B,D716))))*100,"")</f>
        <v>4.1354355130524683</v>
      </c>
      <c r="BK716" s="67">
        <f>IFERROR(((AE716*(12000/5))/((F716*60+G716)*(SUMIFS(팀공격력!X:X,팀공격력!A:A,B716,팀공격력!B:B,D716)+SUMIFS(팀수비력!X:X,팀수비력!A:A,B716,팀수비력!B:B,D716))))*100,"")</f>
        <v>2.0848535390388827</v>
      </c>
      <c r="BL716" s="67">
        <f>IFERROR(100*AK716/(((((F716*60+G716)/(12000/5))*SUMIFS(팀공격력!P:P,팀공격력!A:A,B716,팀공격력!B:B,D716))-K716)),"")</f>
        <v>0</v>
      </c>
      <c r="BM716" s="67">
        <f>IFERROR(100*((AM716/E716*(2400))/((F716*60+G716)*SUMIFS(팀공격력!AR:AR,팀공격력!A:A,B716,팀공격력!B:B,D716))),"")</f>
        <v>0</v>
      </c>
      <c r="BN716" s="67">
        <f>IFERROR((AO716*40)/(((F716*60+G716)/60)*(SUMIFS(팀수비력!Q:Q,팀수비력!A:A,B716,팀수비력!B:B,D716)-SUMIFS(팀수비력!N:N,팀수비력!A:A,B716,팀수비력!B:B,D716)))*100,"")</f>
        <v>0</v>
      </c>
      <c r="BO716" s="67">
        <f t="shared" si="373"/>
        <v>0</v>
      </c>
      <c r="BT716" t="s">
        <v>89</v>
      </c>
      <c r="BV716" t="s">
        <v>93</v>
      </c>
      <c r="CF716">
        <v>1</v>
      </c>
      <c r="CG716">
        <v>1</v>
      </c>
    </row>
    <row r="717" spans="1:85" x14ac:dyDescent="0.4">
      <c r="A717" s="11" t="s">
        <v>85</v>
      </c>
      <c r="B717" t="s">
        <v>164</v>
      </c>
      <c r="C717" t="s">
        <v>172</v>
      </c>
      <c r="D717" s="46" t="s">
        <v>311</v>
      </c>
      <c r="E717">
        <v>10</v>
      </c>
      <c r="F717">
        <v>19</v>
      </c>
      <c r="G717" s="1">
        <v>7</v>
      </c>
      <c r="H717" s="16">
        <f t="shared" si="348"/>
        <v>11470</v>
      </c>
      <c r="I717">
        <v>57</v>
      </c>
      <c r="J717" s="17">
        <f t="shared" si="349"/>
        <v>5.7</v>
      </c>
      <c r="K717">
        <v>20</v>
      </c>
      <c r="L717">
        <v>44</v>
      </c>
      <c r="M717" s="17">
        <f t="shared" si="350"/>
        <v>2</v>
      </c>
      <c r="N717" s="17">
        <f t="shared" si="351"/>
        <v>4.4000000000000004</v>
      </c>
      <c r="O717" s="18">
        <f t="shared" si="352"/>
        <v>0.45454545454545453</v>
      </c>
      <c r="P717">
        <v>9</v>
      </c>
      <c r="Q717">
        <v>21</v>
      </c>
      <c r="R717" s="17">
        <f t="shared" si="353"/>
        <v>0.9</v>
      </c>
      <c r="S717" s="17">
        <f t="shared" si="354"/>
        <v>2.1</v>
      </c>
      <c r="T717" s="18">
        <f t="shared" si="355"/>
        <v>0.42857142857142855</v>
      </c>
      <c r="U717">
        <v>11</v>
      </c>
      <c r="V717">
        <v>23</v>
      </c>
      <c r="W717" s="17">
        <f t="shared" si="356"/>
        <v>1.1000000000000001</v>
      </c>
      <c r="X717" s="17">
        <f t="shared" si="357"/>
        <v>2.2999999999999998</v>
      </c>
      <c r="Y717" s="18">
        <f t="shared" si="358"/>
        <v>0.47826086956521741</v>
      </c>
      <c r="Z717">
        <v>6</v>
      </c>
      <c r="AA717">
        <v>10</v>
      </c>
      <c r="AB717" s="17">
        <f t="shared" si="359"/>
        <v>0.6</v>
      </c>
      <c r="AC717" s="17">
        <f t="shared" si="360"/>
        <v>1</v>
      </c>
      <c r="AD717" s="18">
        <f t="shared" si="361"/>
        <v>0.6</v>
      </c>
      <c r="AE717">
        <v>22</v>
      </c>
      <c r="AF717" s="17">
        <f t="shared" si="362"/>
        <v>2.2000000000000002</v>
      </c>
      <c r="AG717">
        <v>5</v>
      </c>
      <c r="AH717" s="17">
        <f t="shared" si="363"/>
        <v>0.5</v>
      </c>
      <c r="AI717">
        <v>17</v>
      </c>
      <c r="AJ717" s="17">
        <f t="shared" si="364"/>
        <v>1.7</v>
      </c>
      <c r="AK717">
        <v>6</v>
      </c>
      <c r="AL717" s="17">
        <f t="shared" si="365"/>
        <v>0.6</v>
      </c>
      <c r="AM717">
        <v>4</v>
      </c>
      <c r="AN717" s="17">
        <f t="shared" si="366"/>
        <v>0.4</v>
      </c>
      <c r="AO717">
        <v>1</v>
      </c>
      <c r="AQ717">
        <v>4</v>
      </c>
      <c r="AR717" s="17">
        <f t="shared" si="367"/>
        <v>0.4</v>
      </c>
      <c r="AS717">
        <v>26</v>
      </c>
      <c r="AT717" s="17">
        <f t="shared" si="368"/>
        <v>2.6</v>
      </c>
      <c r="BD717" s="65">
        <f t="shared" si="369"/>
        <v>58.884297520661157</v>
      </c>
      <c r="BE717" s="65">
        <f t="shared" si="370"/>
        <v>57.95454545454546</v>
      </c>
      <c r="BF717" s="66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12.932595632410713</v>
      </c>
      <c r="BG717" s="38">
        <f t="shared" si="371"/>
        <v>0.52272727272727271</v>
      </c>
      <c r="BH717" s="38">
        <f t="shared" si="372"/>
        <v>0.22727272727272727</v>
      </c>
      <c r="BI717" s="67">
        <f>IFERROR(((AG717*(12000/5))/((F717*60+G717)*(SUMIFS(팀공격력!X:X,팀공격력!A:A,B717,팀공격력!B:B,D717)+SUMIFS(팀수비력!X:X,팀수비력!A:A,B717,팀수비력!B:B,D717))))*100,"")</f>
        <v>1.4450379804149185</v>
      </c>
      <c r="BJ717" s="67">
        <f>IFERROR(((AI717*(12000/5))/((F717*60+G717)*(SUMIFS(팀공격력!V:V,팀공격력!A:A,B717,팀공격력!B:B,D717)+SUMIFS(팀수비력!W:W,팀수비력!A:A,B717,팀수비력!B:B,D717))))*100,"")</f>
        <v>9.7454945002448312</v>
      </c>
      <c r="BK717" s="67">
        <f>IFERROR(((AE717*(12000/5))/((F717*60+G717)*(SUMIFS(팀공격력!X:X,팀공격력!A:A,B717,팀공격력!B:B,D717)+SUMIFS(팀수비력!X:X,팀수비력!A:A,B717,팀수비력!B:B,D717))))*100,"")</f>
        <v>6.3581671138256413</v>
      </c>
      <c r="BL717" s="67">
        <f>IFERROR(100*AK717/(((((F717*60+G717)/(12000/5))*SUMIFS(팀공격력!P:P,팀공격력!A:A,B717,팀공격력!B:B,D717))-K717)),"")</f>
        <v>4.752757589559776</v>
      </c>
      <c r="BM717" s="67">
        <f>IFERROR(100*((AM717/E717*(2400))/((F717*60+G717)*SUMIFS(팀공격력!AR:AR,팀공격력!A:A,B717,팀공격력!B:B,D717))),"")</f>
        <v>1.0659707668077676</v>
      </c>
      <c r="BN717" s="67">
        <f>IFERROR((AO717*40)/(((F717*60+G717)/60)*(SUMIFS(팀수비력!Q:Q,팀수비력!A:A,B717,팀수비력!B:B,D717)-SUMIFS(팀수비력!N:N,팀수비력!A:A,B717,팀수비력!B:B,D717)))*100,"")</f>
        <v>0.54348441445215634</v>
      </c>
      <c r="BO717" s="67">
        <f t="shared" si="373"/>
        <v>7.6335877862595423</v>
      </c>
      <c r="BT717" t="s">
        <v>89</v>
      </c>
      <c r="BV717" t="s">
        <v>93</v>
      </c>
      <c r="CF717">
        <v>5</v>
      </c>
      <c r="CG717">
        <v>5</v>
      </c>
    </row>
    <row r="718" spans="1:85" x14ac:dyDescent="0.4">
      <c r="A718" s="11" t="s">
        <v>85</v>
      </c>
      <c r="B718" t="s">
        <v>164</v>
      </c>
      <c r="C718" t="s">
        <v>173</v>
      </c>
      <c r="D718" s="46" t="s">
        <v>311</v>
      </c>
      <c r="E718">
        <v>6</v>
      </c>
      <c r="F718">
        <v>30</v>
      </c>
      <c r="G718" s="1">
        <v>14</v>
      </c>
      <c r="H718" s="16">
        <f t="shared" si="348"/>
        <v>10884</v>
      </c>
      <c r="I718">
        <v>66</v>
      </c>
      <c r="J718" s="17">
        <f t="shared" si="349"/>
        <v>11</v>
      </c>
      <c r="K718">
        <v>23</v>
      </c>
      <c r="L718">
        <v>58</v>
      </c>
      <c r="M718" s="17">
        <f t="shared" si="350"/>
        <v>3.8333333333333335</v>
      </c>
      <c r="N718" s="17">
        <f t="shared" si="351"/>
        <v>9.6666666666666661</v>
      </c>
      <c r="O718" s="18">
        <f t="shared" si="352"/>
        <v>0.39655172413793105</v>
      </c>
      <c r="P718">
        <v>14</v>
      </c>
      <c r="Q718">
        <v>30</v>
      </c>
      <c r="R718" s="17">
        <f t="shared" si="353"/>
        <v>2.3333333333333335</v>
      </c>
      <c r="S718" s="17">
        <f t="shared" si="354"/>
        <v>5</v>
      </c>
      <c r="T718" s="18">
        <f t="shared" si="355"/>
        <v>0.46666666666666667</v>
      </c>
      <c r="U718">
        <v>9</v>
      </c>
      <c r="V718">
        <v>28</v>
      </c>
      <c r="W718" s="17">
        <f t="shared" si="356"/>
        <v>1.5</v>
      </c>
      <c r="X718" s="17">
        <f t="shared" si="357"/>
        <v>4.666666666666667</v>
      </c>
      <c r="Y718" s="18">
        <f t="shared" si="358"/>
        <v>0.32142857142857145</v>
      </c>
      <c r="Z718">
        <v>11</v>
      </c>
      <c r="AA718">
        <v>17</v>
      </c>
      <c r="AB718" s="17">
        <f t="shared" si="359"/>
        <v>1.8333333333333333</v>
      </c>
      <c r="AC718" s="17">
        <f t="shared" si="360"/>
        <v>2.8333333333333335</v>
      </c>
      <c r="AD718" s="18">
        <f t="shared" si="361"/>
        <v>0.6470588235294118</v>
      </c>
      <c r="AE718">
        <v>27</v>
      </c>
      <c r="AF718" s="17">
        <f t="shared" si="362"/>
        <v>4.5</v>
      </c>
      <c r="AG718">
        <v>4</v>
      </c>
      <c r="AH718" s="17">
        <f t="shared" si="363"/>
        <v>0.66666666666666663</v>
      </c>
      <c r="AI718">
        <v>23</v>
      </c>
      <c r="AJ718" s="17">
        <f t="shared" si="364"/>
        <v>3.8333333333333335</v>
      </c>
      <c r="AK718">
        <v>9</v>
      </c>
      <c r="AL718" s="17">
        <f t="shared" si="365"/>
        <v>1.5</v>
      </c>
      <c r="AM718">
        <v>3</v>
      </c>
      <c r="AN718" s="17">
        <f t="shared" si="366"/>
        <v>0.5</v>
      </c>
      <c r="AO718">
        <v>3</v>
      </c>
      <c r="AQ718">
        <v>8</v>
      </c>
      <c r="AR718" s="17">
        <f t="shared" si="367"/>
        <v>1.3333333333333333</v>
      </c>
      <c r="AS718">
        <v>15</v>
      </c>
      <c r="AT718" s="17">
        <f t="shared" si="368"/>
        <v>2.5</v>
      </c>
      <c r="BD718" s="65">
        <f t="shared" si="369"/>
        <v>50.39706780696396</v>
      </c>
      <c r="BE718" s="65">
        <f t="shared" si="370"/>
        <v>47.413793103448278</v>
      </c>
      <c r="BF718" s="66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11.466996881220297</v>
      </c>
      <c r="BG718" s="38">
        <f t="shared" si="371"/>
        <v>0.48275862068965519</v>
      </c>
      <c r="BH718" s="38">
        <f t="shared" si="372"/>
        <v>0.29310344827586204</v>
      </c>
      <c r="BI718" s="67">
        <f>IFERROR(((AG718*(12000/5))/((F718*60+G718)*(SUMIFS(팀공격력!X:X,팀공격력!A:A,B718,팀공격력!B:B,D718)+SUMIFS(팀수비력!X:X,팀수비력!A:A,B718,팀수비력!B:B,D718))))*100,"")</f>
        <v>0.73096298281627858</v>
      </c>
      <c r="BJ718" s="67">
        <f>IFERROR(((AI718*(12000/5))/((F718*60+G718)*(SUMIFS(팀공격력!V:V,팀공격력!A:A,B718,팀공격력!B:B,D718)+SUMIFS(팀수비력!W:W,팀수비력!A:A,B718,팀수비력!B:B,D718))))*100,"")</f>
        <v>8.3369832807237465</v>
      </c>
      <c r="BK718" s="67">
        <f>IFERROR(((AE718*(12000/5))/((F718*60+G718)*(SUMIFS(팀공격력!X:X,팀공격력!A:A,B718,팀공격력!B:B,D718)+SUMIFS(팀수비력!X:X,팀수비력!A:A,B718,팀수비력!B:B,D718))))*100,"")</f>
        <v>4.9340001340098807</v>
      </c>
      <c r="BL718" s="67">
        <f>IFERROR(100*AK718/(((((F718*60+G718)/(12000/5))*SUMIFS(팀공격력!P:P,팀공격력!A:A,B718,팀공격력!B:B,D718))-K718)),"")</f>
        <v>4.3210024725736371</v>
      </c>
      <c r="BM718" s="67">
        <f>IFERROR(100*((AM718/E718*(2400))/((F718*60+G718)*SUMIFS(팀공격력!AR:AR,팀공격력!A:A,B718,팀공격력!B:B,D718))),"")</f>
        <v>0.84252237426165189</v>
      </c>
      <c r="BN718" s="67">
        <f>IFERROR((AO718*40)/(((F718*60+G718)/60)*(SUMIFS(팀수비력!Q:Q,팀수비력!A:A,B718,팀수비력!B:B,D718)-SUMIFS(팀수비력!N:N,팀수비력!A:A,B718,팀수비력!B:B,D718)))*100,"")</f>
        <v>1.0309425965434784</v>
      </c>
      <c r="BO718" s="67">
        <f t="shared" si="373"/>
        <v>10.887316276537833</v>
      </c>
      <c r="BT718" t="s">
        <v>89</v>
      </c>
      <c r="BV718" t="s">
        <v>93</v>
      </c>
      <c r="CF718">
        <v>4</v>
      </c>
      <c r="CG718">
        <v>2</v>
      </c>
    </row>
    <row r="719" spans="1:85" x14ac:dyDescent="0.4">
      <c r="A719" s="11" t="s">
        <v>85</v>
      </c>
      <c r="B719" t="s">
        <v>164</v>
      </c>
      <c r="C719" t="s">
        <v>174</v>
      </c>
      <c r="D719" s="46" t="s">
        <v>311</v>
      </c>
      <c r="E719">
        <v>9</v>
      </c>
      <c r="F719">
        <v>14</v>
      </c>
      <c r="G719" s="1">
        <v>14</v>
      </c>
      <c r="H719" s="16">
        <f t="shared" si="348"/>
        <v>7686</v>
      </c>
      <c r="I719">
        <v>42</v>
      </c>
      <c r="J719" s="17">
        <f t="shared" si="349"/>
        <v>4.666666666666667</v>
      </c>
      <c r="K719">
        <v>15</v>
      </c>
      <c r="L719">
        <v>30</v>
      </c>
      <c r="M719" s="17">
        <f t="shared" si="350"/>
        <v>1.6666666666666667</v>
      </c>
      <c r="N719" s="17">
        <f t="shared" si="351"/>
        <v>3.3333333333333335</v>
      </c>
      <c r="O719" s="18">
        <f t="shared" si="352"/>
        <v>0.5</v>
      </c>
      <c r="P719">
        <v>5</v>
      </c>
      <c r="Q719">
        <v>10</v>
      </c>
      <c r="R719" s="17">
        <f t="shared" si="353"/>
        <v>0.55555555555555558</v>
      </c>
      <c r="S719" s="17">
        <f t="shared" si="354"/>
        <v>1.1111111111111112</v>
      </c>
      <c r="T719" s="18">
        <f t="shared" si="355"/>
        <v>0.5</v>
      </c>
      <c r="U719">
        <v>10</v>
      </c>
      <c r="V719">
        <v>20</v>
      </c>
      <c r="W719" s="17">
        <f t="shared" si="356"/>
        <v>1.1111111111111112</v>
      </c>
      <c r="X719" s="17">
        <f t="shared" si="357"/>
        <v>2.2222222222222223</v>
      </c>
      <c r="Y719" s="18">
        <f t="shared" si="358"/>
        <v>0.5</v>
      </c>
      <c r="Z719">
        <v>2</v>
      </c>
      <c r="AA719">
        <v>2</v>
      </c>
      <c r="AB719" s="17">
        <f t="shared" si="359"/>
        <v>0.22222222222222221</v>
      </c>
      <c r="AC719" s="17">
        <f t="shared" si="360"/>
        <v>0.22222222222222221</v>
      </c>
      <c r="AD719" s="18">
        <f t="shared" si="361"/>
        <v>1</v>
      </c>
      <c r="AE719">
        <v>15</v>
      </c>
      <c r="AF719" s="17">
        <f t="shared" si="362"/>
        <v>1.6666666666666667</v>
      </c>
      <c r="AG719">
        <v>7</v>
      </c>
      <c r="AH719" s="17">
        <f t="shared" si="363"/>
        <v>0.77777777777777779</v>
      </c>
      <c r="AI719">
        <v>8</v>
      </c>
      <c r="AJ719" s="17">
        <f t="shared" si="364"/>
        <v>0.88888888888888884</v>
      </c>
      <c r="AK719">
        <v>14</v>
      </c>
      <c r="AL719" s="17">
        <f t="shared" si="365"/>
        <v>1.5555555555555556</v>
      </c>
      <c r="AM719">
        <v>6</v>
      </c>
      <c r="AN719" s="17">
        <f t="shared" si="366"/>
        <v>0.66666666666666663</v>
      </c>
      <c r="AO719">
        <v>1</v>
      </c>
      <c r="AQ719">
        <v>9</v>
      </c>
      <c r="AR719" s="17">
        <f t="shared" si="367"/>
        <v>1</v>
      </c>
      <c r="AS719">
        <v>15</v>
      </c>
      <c r="AT719" s="17">
        <f t="shared" si="368"/>
        <v>1.6666666666666667</v>
      </c>
      <c r="BD719" s="65">
        <f t="shared" si="369"/>
        <v>68.005181347150256</v>
      </c>
      <c r="BE719" s="65">
        <f t="shared" si="370"/>
        <v>66.666666666666657</v>
      </c>
      <c r="BF719" s="66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13.219502412360299</v>
      </c>
      <c r="BG719" s="38">
        <f t="shared" si="371"/>
        <v>0.66666666666666663</v>
      </c>
      <c r="BH719" s="38">
        <f t="shared" si="372"/>
        <v>6.6666666666666666E-2</v>
      </c>
      <c r="BI719" s="67">
        <f>IFERROR(((AG719*(12000/5))/((F719*60+G719)*(SUMIFS(팀공격력!X:X,팀공격력!A:A,B719,팀공격력!B:B,D719)+SUMIFS(팀수비력!X:X,팀수비력!A:A,B719,팀수비력!B:B,D719))))*100,"")</f>
        <v>2.7171451861244456</v>
      </c>
      <c r="BJ719" s="67">
        <f>IFERROR(((AI719*(12000/5))/((F719*60+G719)*(SUMIFS(팀공격력!V:V,팀공격력!A:A,B719,팀공격력!B:B,D719)+SUMIFS(팀수비력!W:W,팀수비력!A:A,B719,팀수비력!B:B,D719))))*100,"")</f>
        <v>6.1595713964903283</v>
      </c>
      <c r="BK719" s="67">
        <f>IFERROR(((AE719*(12000/5))/((F719*60+G719)*(SUMIFS(팀공격력!X:X,팀공격력!A:A,B719,팀공격력!B:B,D719)+SUMIFS(팀수비력!X:X,팀수비력!A:A,B719,팀수비력!B:B,D719))))*100,"")</f>
        <v>5.8224539702666682</v>
      </c>
      <c r="BL719" s="67">
        <f>IFERROR(100*AK719/(((((F719*60+G719)/(12000/5))*SUMIFS(팀공격력!P:P,팀공격력!A:A,B719,팀공격력!B:B,D719))-K719)),"")</f>
        <v>14.911860254566756</v>
      </c>
      <c r="BM719" s="67">
        <f>IFERROR(100*((AM719/E719*(2400))/((F719*60+G719)*SUMIFS(팀공격력!AR:AR,팀공격력!A:A,B719,팀공격력!B:B,D719))),"")</f>
        <v>2.3861601669174655</v>
      </c>
      <c r="BN719" s="67">
        <f>IFERROR((AO719*40)/(((F719*60+G719)/60)*(SUMIFS(팀수비력!Q:Q,팀수비력!A:A,B719,팀수비력!B:B,D719)-SUMIFS(팀수비력!N:N,팀수비력!A:A,B719,팀수비력!B:B,D719)))*100,"")</f>
        <v>0.72994920770096416</v>
      </c>
      <c r="BO719" s="67">
        <f t="shared" si="373"/>
        <v>22.567703109327987</v>
      </c>
      <c r="BT719" t="s">
        <v>89</v>
      </c>
      <c r="BV719" t="s">
        <v>90</v>
      </c>
      <c r="CF719">
        <v>4</v>
      </c>
      <c r="CG719">
        <v>5</v>
      </c>
    </row>
    <row r="720" spans="1:85" x14ac:dyDescent="0.4">
      <c r="A720" s="11" t="s">
        <v>85</v>
      </c>
      <c r="B720" t="s">
        <v>164</v>
      </c>
      <c r="C720" t="s">
        <v>175</v>
      </c>
      <c r="D720" s="46" t="s">
        <v>311</v>
      </c>
      <c r="E720">
        <v>10</v>
      </c>
      <c r="F720">
        <v>22</v>
      </c>
      <c r="G720" s="1">
        <v>22</v>
      </c>
      <c r="H720" s="16">
        <f t="shared" si="348"/>
        <v>13420</v>
      </c>
      <c r="I720">
        <v>94</v>
      </c>
      <c r="J720" s="17">
        <f t="shared" si="349"/>
        <v>9.4</v>
      </c>
      <c r="K720">
        <v>39</v>
      </c>
      <c r="L720">
        <v>87</v>
      </c>
      <c r="M720" s="17">
        <f t="shared" si="350"/>
        <v>3.9</v>
      </c>
      <c r="N720" s="17">
        <f t="shared" si="351"/>
        <v>8.6999999999999993</v>
      </c>
      <c r="O720" s="18">
        <f t="shared" si="352"/>
        <v>0.44827586206896552</v>
      </c>
      <c r="P720">
        <v>35</v>
      </c>
      <c r="Q720">
        <v>65</v>
      </c>
      <c r="R720" s="17">
        <f t="shared" si="353"/>
        <v>3.5</v>
      </c>
      <c r="S720" s="17">
        <f t="shared" si="354"/>
        <v>6.5</v>
      </c>
      <c r="T720" s="18">
        <f t="shared" si="355"/>
        <v>0.53846153846153844</v>
      </c>
      <c r="U720">
        <v>4</v>
      </c>
      <c r="V720">
        <v>22</v>
      </c>
      <c r="W720" s="17">
        <f t="shared" si="356"/>
        <v>0.4</v>
      </c>
      <c r="X720" s="17">
        <f t="shared" si="357"/>
        <v>2.2000000000000002</v>
      </c>
      <c r="Y720" s="18">
        <f t="shared" si="358"/>
        <v>0.18181818181818182</v>
      </c>
      <c r="Z720">
        <v>12</v>
      </c>
      <c r="AA720">
        <v>13</v>
      </c>
      <c r="AB720" s="17">
        <f t="shared" si="359"/>
        <v>1.2</v>
      </c>
      <c r="AC720" s="17">
        <f t="shared" si="360"/>
        <v>1.3</v>
      </c>
      <c r="AD720" s="18">
        <f t="shared" si="361"/>
        <v>0.92307692307692313</v>
      </c>
      <c r="AE720">
        <v>54</v>
      </c>
      <c r="AF720" s="17">
        <f t="shared" si="362"/>
        <v>5.4</v>
      </c>
      <c r="AG720">
        <v>16</v>
      </c>
      <c r="AH720" s="17">
        <f t="shared" si="363"/>
        <v>1.6</v>
      </c>
      <c r="AI720">
        <v>38</v>
      </c>
      <c r="AJ720" s="17">
        <f t="shared" si="364"/>
        <v>3.8</v>
      </c>
      <c r="AK720">
        <v>13</v>
      </c>
      <c r="AL720" s="17">
        <f t="shared" si="365"/>
        <v>1.3</v>
      </c>
      <c r="AM720">
        <v>2</v>
      </c>
      <c r="AN720" s="17">
        <f t="shared" si="366"/>
        <v>0.2</v>
      </c>
      <c r="AO720">
        <v>4</v>
      </c>
      <c r="AQ720">
        <v>9</v>
      </c>
      <c r="AR720" s="17">
        <f t="shared" si="367"/>
        <v>0.9</v>
      </c>
      <c r="AS720">
        <v>21</v>
      </c>
      <c r="AT720" s="17">
        <f t="shared" si="368"/>
        <v>2.1</v>
      </c>
      <c r="BD720" s="65">
        <f t="shared" si="369"/>
        <v>50.690250215703195</v>
      </c>
      <c r="BE720" s="65">
        <f t="shared" si="370"/>
        <v>47.126436781609193</v>
      </c>
      <c r="BF720" s="66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21.457131616889374</v>
      </c>
      <c r="BG720" s="38">
        <f t="shared" si="371"/>
        <v>0.25287356321839083</v>
      </c>
      <c r="BH720" s="38">
        <f t="shared" si="372"/>
        <v>0.14942528735632185</v>
      </c>
      <c r="BI720" s="67">
        <f>IFERROR(((AG720*(12000/5))/((F720*60+G720)*(SUMIFS(팀공격력!X:X,팀공격력!A:A,B720,팀공격력!B:B,D720)+SUMIFS(팀수비력!X:X,팀수비력!A:A,B720,팀수비력!B:B,D720))))*100,"")</f>
        <v>3.9522111798173749</v>
      </c>
      <c r="BJ720" s="67">
        <f>IFERROR(((AI720*(12000/5))/((F720*60+G720)*(SUMIFS(팀공격력!V:V,팀공격력!A:A,B720,팀공격력!B:B,D720)+SUMIFS(팀수비력!W:W,팀수비력!A:A,B720,팀수비력!B:B,D720))))*100,"")</f>
        <v>18.618704448482127</v>
      </c>
      <c r="BK720" s="67">
        <f>IFERROR(((AE720*(12000/5))/((F720*60+G720)*(SUMIFS(팀공격력!X:X,팀공격력!A:A,B720,팀공격력!B:B,D720)+SUMIFS(팀수비력!X:X,팀수비력!A:A,B720,팀수비력!B:B,D720))))*100,"")</f>
        <v>13.338712731883639</v>
      </c>
      <c r="BL720" s="67">
        <f>IFERROR(100*AK720/(((((F720*60+G720)/(12000/5))*SUMIFS(팀공격력!P:P,팀공격력!A:A,B720,팀공격력!B:B,D720))-K720)),"")</f>
        <v>9.8406570531016975</v>
      </c>
      <c r="BM720" s="67">
        <f>IFERROR(100*((AM720/E720*(2400))/((F720*60+G720)*SUMIFS(팀공격력!AR:AR,팀공격력!A:A,B720,팀공격력!B:B,D720))),"")</f>
        <v>0.45553966822969799</v>
      </c>
      <c r="BN720" s="67">
        <f>IFERROR((AO720*40)/(((F720*60+G720)/60)*(SUMIFS(팀수비력!Q:Q,팀수비력!A:A,B720,팀수비력!B:B,D720)-SUMIFS(팀수비력!N:N,팀수비력!A:A,B720,팀수비력!B:B,D720)))*100,"")</f>
        <v>1.8580525286933633</v>
      </c>
      <c r="BO720" s="67">
        <f t="shared" si="373"/>
        <v>8.8478175383405429</v>
      </c>
      <c r="BT720" t="s">
        <v>89</v>
      </c>
      <c r="BV720" t="s">
        <v>102</v>
      </c>
      <c r="CF720">
        <v>5</v>
      </c>
      <c r="CG720">
        <v>5</v>
      </c>
    </row>
    <row r="721" spans="1:85" x14ac:dyDescent="0.4">
      <c r="A721" s="11" t="s">
        <v>85</v>
      </c>
      <c r="B721" t="s">
        <v>164</v>
      </c>
      <c r="C721" t="s">
        <v>176</v>
      </c>
      <c r="D721" s="46" t="s">
        <v>311</v>
      </c>
      <c r="E721">
        <v>10</v>
      </c>
      <c r="F721">
        <v>28</v>
      </c>
      <c r="G721" s="1">
        <v>46</v>
      </c>
      <c r="H721" s="16">
        <f t="shared" si="348"/>
        <v>17260</v>
      </c>
      <c r="I721">
        <v>145</v>
      </c>
      <c r="J721" s="17">
        <f t="shared" si="349"/>
        <v>14.5</v>
      </c>
      <c r="K721">
        <v>50</v>
      </c>
      <c r="L721">
        <v>115</v>
      </c>
      <c r="M721" s="17">
        <f t="shared" si="350"/>
        <v>5</v>
      </c>
      <c r="N721" s="17">
        <f t="shared" si="351"/>
        <v>11.5</v>
      </c>
      <c r="O721" s="18">
        <f t="shared" si="352"/>
        <v>0.43478260869565216</v>
      </c>
      <c r="P721">
        <v>34</v>
      </c>
      <c r="Q721">
        <v>72</v>
      </c>
      <c r="R721" s="17">
        <f t="shared" si="353"/>
        <v>3.4</v>
      </c>
      <c r="S721" s="17">
        <f t="shared" si="354"/>
        <v>7.2</v>
      </c>
      <c r="T721" s="18">
        <f t="shared" si="355"/>
        <v>0.47222222222222221</v>
      </c>
      <c r="U721">
        <v>16</v>
      </c>
      <c r="V721">
        <v>43</v>
      </c>
      <c r="W721" s="17">
        <f t="shared" si="356"/>
        <v>1.6</v>
      </c>
      <c r="X721" s="17">
        <f t="shared" si="357"/>
        <v>4.3</v>
      </c>
      <c r="Y721" s="18">
        <f t="shared" si="358"/>
        <v>0.37209302325581395</v>
      </c>
      <c r="Z721">
        <v>29</v>
      </c>
      <c r="AA721">
        <v>34</v>
      </c>
      <c r="AB721" s="17">
        <f t="shared" si="359"/>
        <v>2.9</v>
      </c>
      <c r="AC721" s="17">
        <f t="shared" si="360"/>
        <v>3.4</v>
      </c>
      <c r="AD721" s="18">
        <f t="shared" si="361"/>
        <v>0.8529411764705882</v>
      </c>
      <c r="AE721">
        <v>30</v>
      </c>
      <c r="AF721" s="17">
        <f t="shared" si="362"/>
        <v>3</v>
      </c>
      <c r="AG721">
        <v>7</v>
      </c>
      <c r="AH721" s="17">
        <f t="shared" si="363"/>
        <v>0.7</v>
      </c>
      <c r="AI721">
        <v>23</v>
      </c>
      <c r="AJ721" s="17">
        <f t="shared" si="364"/>
        <v>2.2999999999999998</v>
      </c>
      <c r="AK721">
        <v>29</v>
      </c>
      <c r="AL721" s="17">
        <f t="shared" si="365"/>
        <v>2.9</v>
      </c>
      <c r="AM721">
        <v>10</v>
      </c>
      <c r="AN721" s="17">
        <f t="shared" si="366"/>
        <v>1</v>
      </c>
      <c r="AO721">
        <v>0</v>
      </c>
      <c r="AQ721">
        <v>13</v>
      </c>
      <c r="AR721" s="17">
        <f t="shared" si="367"/>
        <v>1.3</v>
      </c>
      <c r="AS721">
        <v>32</v>
      </c>
      <c r="AT721" s="17">
        <f t="shared" si="368"/>
        <v>3.2</v>
      </c>
      <c r="BD721" s="65">
        <f t="shared" si="369"/>
        <v>55.786395814096643</v>
      </c>
      <c r="BE721" s="65">
        <f t="shared" si="370"/>
        <v>50.434782608695649</v>
      </c>
      <c r="BF721" s="66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23.447231837457021</v>
      </c>
      <c r="BG721" s="38">
        <f t="shared" si="371"/>
        <v>0.37391304347826088</v>
      </c>
      <c r="BH721" s="38">
        <f t="shared" si="372"/>
        <v>0.29565217391304349</v>
      </c>
      <c r="BI721" s="67">
        <f>IFERROR(((AG721*(12000/5))/((F721*60+G721)*(SUMIFS(팀공격력!X:X,팀공격력!A:A,B721,팀공격력!B:B,D721)+SUMIFS(팀수비력!X:X,팀수비력!A:A,B721,팀수비력!B:B,D721))))*100,"")</f>
        <v>1.3444043968425701</v>
      </c>
      <c r="BJ721" s="67">
        <f>IFERROR(((AI721*(12000/5))/((F721*60+G721)*(SUMIFS(팀공격력!V:V,팀공격력!A:A,B721,팀공격력!B:B,D721)+SUMIFS(팀수비력!W:W,팀수비력!A:A,B721,팀수비력!B:B,D721))))*100,"")</f>
        <v>8.7620438419657454</v>
      </c>
      <c r="BK721" s="67">
        <f>IFERROR(((AE721*(12000/5))/((F721*60+G721)*(SUMIFS(팀공격력!X:X,팀공격력!A:A,B721,팀공격력!B:B,D721)+SUMIFS(팀수비력!X:X,팀수비력!A:A,B721,팀수비력!B:B,D721))))*100,"")</f>
        <v>5.7617331293253011</v>
      </c>
      <c r="BL721" s="67">
        <f>IFERROR(100*AK721/(((((F721*60+G721)/(12000/5))*SUMIFS(팀공격력!P:P,팀공격력!A:A,B721,팀공격력!B:B,D721))-K721)),"")</f>
        <v>17.052303531002853</v>
      </c>
      <c r="BM721" s="67">
        <f>IFERROR(100*((AM721/E721*(2400))/((F721*60+G721)*SUMIFS(팀공격력!AR:AR,팀공격력!A:A,B721,팀공격력!B:B,D721))),"")</f>
        <v>1.770956647636891</v>
      </c>
      <c r="BN721" s="67">
        <f>IFERROR((AO721*40)/(((F721*60+G721)/60)*(SUMIFS(팀수비력!Q:Q,팀수비력!A:A,B721,팀수비력!B:B,D721)-SUMIFS(팀수비력!N:N,팀수비력!A:A,B721,팀수비력!B:B,D721)))*100,"")</f>
        <v>0</v>
      </c>
      <c r="BO721" s="67">
        <f t="shared" si="373"/>
        <v>9.0934527140458865</v>
      </c>
      <c r="BT721" t="s">
        <v>89</v>
      </c>
      <c r="BV721" t="s">
        <v>90</v>
      </c>
      <c r="CF721">
        <v>5</v>
      </c>
      <c r="CG721">
        <v>5</v>
      </c>
    </row>
    <row r="722" spans="1:85" x14ac:dyDescent="0.4">
      <c r="A722" s="11" t="s">
        <v>85</v>
      </c>
      <c r="B722" t="s">
        <v>164</v>
      </c>
      <c r="C722" t="s">
        <v>178</v>
      </c>
      <c r="D722" s="46" t="s">
        <v>311</v>
      </c>
      <c r="E722">
        <v>10</v>
      </c>
      <c r="F722">
        <v>36</v>
      </c>
      <c r="G722" s="1">
        <v>19</v>
      </c>
      <c r="H722" s="16">
        <f t="shared" si="348"/>
        <v>21790</v>
      </c>
      <c r="I722">
        <v>245</v>
      </c>
      <c r="J722" s="17">
        <f t="shared" si="349"/>
        <v>24.5</v>
      </c>
      <c r="K722">
        <v>107</v>
      </c>
      <c r="L722">
        <v>220</v>
      </c>
      <c r="M722" s="17">
        <f t="shared" si="350"/>
        <v>10.7</v>
      </c>
      <c r="N722" s="17">
        <f t="shared" si="351"/>
        <v>22</v>
      </c>
      <c r="O722" s="18">
        <f t="shared" si="352"/>
        <v>0.48636363636363639</v>
      </c>
      <c r="P722">
        <v>97</v>
      </c>
      <c r="Q722">
        <v>183</v>
      </c>
      <c r="R722" s="17">
        <f t="shared" si="353"/>
        <v>9.6999999999999993</v>
      </c>
      <c r="S722" s="17">
        <f t="shared" si="354"/>
        <v>18.3</v>
      </c>
      <c r="T722" s="18">
        <f t="shared" si="355"/>
        <v>0.5300546448087432</v>
      </c>
      <c r="U722">
        <v>10</v>
      </c>
      <c r="V722">
        <v>37</v>
      </c>
      <c r="W722" s="17">
        <f t="shared" si="356"/>
        <v>1</v>
      </c>
      <c r="X722" s="17">
        <f t="shared" si="357"/>
        <v>3.7</v>
      </c>
      <c r="Y722" s="18">
        <f t="shared" si="358"/>
        <v>0.27027027027027029</v>
      </c>
      <c r="Z722">
        <v>21</v>
      </c>
      <c r="AA722">
        <v>43</v>
      </c>
      <c r="AB722" s="17">
        <f t="shared" si="359"/>
        <v>2.1</v>
      </c>
      <c r="AC722" s="17">
        <f t="shared" si="360"/>
        <v>4.3</v>
      </c>
      <c r="AD722" s="18">
        <f t="shared" si="361"/>
        <v>0.48837209302325579</v>
      </c>
      <c r="AE722">
        <v>122</v>
      </c>
      <c r="AF722" s="17">
        <f t="shared" si="362"/>
        <v>12.2</v>
      </c>
      <c r="AG722">
        <v>33</v>
      </c>
      <c r="AH722" s="17">
        <f t="shared" si="363"/>
        <v>3.3</v>
      </c>
      <c r="AI722">
        <v>89</v>
      </c>
      <c r="AJ722" s="17">
        <f t="shared" si="364"/>
        <v>8.9</v>
      </c>
      <c r="AK722">
        <v>55</v>
      </c>
      <c r="AL722" s="17">
        <f t="shared" si="365"/>
        <v>5.5</v>
      </c>
      <c r="AM722">
        <v>11</v>
      </c>
      <c r="AN722" s="17">
        <f t="shared" si="366"/>
        <v>1.1000000000000001</v>
      </c>
      <c r="AO722">
        <v>14</v>
      </c>
      <c r="AQ722">
        <v>15</v>
      </c>
      <c r="AR722" s="17">
        <f t="shared" si="367"/>
        <v>1.5</v>
      </c>
      <c r="AS722">
        <v>13</v>
      </c>
      <c r="AT722" s="17">
        <f t="shared" si="368"/>
        <v>1.3</v>
      </c>
      <c r="BD722" s="65">
        <f t="shared" si="369"/>
        <v>51.272392432613422</v>
      </c>
      <c r="BE722" s="65">
        <f t="shared" si="370"/>
        <v>50.909090909090907</v>
      </c>
      <c r="BF722" s="66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32.988115664970294</v>
      </c>
      <c r="BG722" s="38">
        <f t="shared" si="371"/>
        <v>0.16818181818181818</v>
      </c>
      <c r="BH722" s="38">
        <f t="shared" si="372"/>
        <v>0.19545454545454546</v>
      </c>
      <c r="BI722" s="67">
        <f>IFERROR(((AG722*(12000/5))/((F722*60+G722)*(SUMIFS(팀공격력!X:X,팀공격력!A:A,B722,팀공격력!B:B,D722)+SUMIFS(팀수비력!X:X,팀수비력!A:A,B722,팀수비력!B:B,D722))))*100,"")</f>
        <v>5.020296704606249</v>
      </c>
      <c r="BJ722" s="67">
        <f>IFERROR(((AI722*(12000/5))/((F722*60+G722)*(SUMIFS(팀공격력!V:V,팀공격력!A:A,B722,팀공격력!B:B,D722)+SUMIFS(팀수비력!W:W,팀수비력!A:A,B722,팀수비력!B:B,D722))))*100,"")</f>
        <v>26.856607593026837</v>
      </c>
      <c r="BK722" s="67">
        <f>IFERROR(((AE722*(12000/5))/((F722*60+G722)*(SUMIFS(팀공격력!X:X,팀공격력!A:A,B722,팀공격력!B:B,D722)+SUMIFS(팀수비력!X:X,팀수비력!A:A,B722,팀수비력!B:B,D722))))*100,"")</f>
        <v>18.559884786726133</v>
      </c>
      <c r="BL722" s="67">
        <f>IFERROR(100*AK722/(((((F722*60+G722)/(12000/5))*SUMIFS(팀공격력!P:P,팀공격력!A:A,B722,팀공격력!B:B,D722))-K722)),"")</f>
        <v>32.197163722577528</v>
      </c>
      <c r="BM722" s="67">
        <f>IFERROR(100*((AM722/E722*(2400))/((F722*60+G722)*SUMIFS(팀공격력!AR:AR,팀공격력!A:A,B722,팀공격력!B:B,D722))),"")</f>
        <v>1.5430648422227633</v>
      </c>
      <c r="BN722" s="67">
        <f>IFERROR((AO722*40)/(((F722*60+G722)/60)*(SUMIFS(팀수비력!Q:Q,팀수비력!A:A,B722,팀수비력!B:B,D722)-SUMIFS(팀수비력!N:N,팀수비력!A:A,B722,팀수비력!B:B,D722)))*100,"")</f>
        <v>4.0051733489090076</v>
      </c>
      <c r="BO722" s="67">
        <f t="shared" si="373"/>
        <v>5.9073724007561434</v>
      </c>
      <c r="BT722" t="s">
        <v>96</v>
      </c>
      <c r="BV722" t="s">
        <v>102</v>
      </c>
      <c r="CF722">
        <v>5</v>
      </c>
      <c r="CG722">
        <v>5</v>
      </c>
    </row>
    <row r="723" spans="1:85" x14ac:dyDescent="0.4">
      <c r="A723" s="11" t="s">
        <v>85</v>
      </c>
      <c r="B723" t="s">
        <v>164</v>
      </c>
      <c r="C723" t="s">
        <v>180</v>
      </c>
      <c r="D723" s="46" t="s">
        <v>311</v>
      </c>
      <c r="E723">
        <v>10</v>
      </c>
      <c r="F723">
        <v>23</v>
      </c>
      <c r="G723" s="1">
        <v>13</v>
      </c>
      <c r="H723" s="16">
        <f t="shared" si="348"/>
        <v>13930</v>
      </c>
      <c r="I723">
        <v>66</v>
      </c>
      <c r="J723" s="17">
        <f t="shared" si="349"/>
        <v>6.6</v>
      </c>
      <c r="K723">
        <v>26</v>
      </c>
      <c r="L723">
        <v>60</v>
      </c>
      <c r="M723" s="17">
        <f t="shared" si="350"/>
        <v>2.6</v>
      </c>
      <c r="N723" s="17">
        <f t="shared" si="351"/>
        <v>6</v>
      </c>
      <c r="O723" s="18">
        <f t="shared" si="352"/>
        <v>0.43333333333333335</v>
      </c>
      <c r="P723">
        <v>26</v>
      </c>
      <c r="Q723">
        <v>59</v>
      </c>
      <c r="R723" s="17">
        <f t="shared" si="353"/>
        <v>2.6</v>
      </c>
      <c r="S723" s="17">
        <f t="shared" si="354"/>
        <v>5.9</v>
      </c>
      <c r="T723" s="18">
        <f t="shared" si="355"/>
        <v>0.44067796610169491</v>
      </c>
      <c r="U723">
        <v>0</v>
      </c>
      <c r="V723">
        <v>1</v>
      </c>
      <c r="W723" s="17">
        <f t="shared" si="356"/>
        <v>0</v>
      </c>
      <c r="X723" s="17">
        <f t="shared" si="357"/>
        <v>0.1</v>
      </c>
      <c r="Y723" s="18">
        <f t="shared" si="358"/>
        <v>0</v>
      </c>
      <c r="Z723">
        <v>14</v>
      </c>
      <c r="AA723">
        <v>15</v>
      </c>
      <c r="AB723" s="17">
        <f t="shared" si="359"/>
        <v>1.4</v>
      </c>
      <c r="AC723" s="17">
        <f t="shared" si="360"/>
        <v>1.5</v>
      </c>
      <c r="AD723" s="18">
        <f t="shared" si="361"/>
        <v>0.93333333333333335</v>
      </c>
      <c r="AE723">
        <v>54</v>
      </c>
      <c r="AF723" s="17">
        <f t="shared" si="362"/>
        <v>5.4</v>
      </c>
      <c r="AG723">
        <v>25</v>
      </c>
      <c r="AH723" s="17">
        <f t="shared" si="363"/>
        <v>2.5</v>
      </c>
      <c r="AI723">
        <v>29</v>
      </c>
      <c r="AJ723" s="17">
        <f t="shared" si="364"/>
        <v>2.9</v>
      </c>
      <c r="AK723">
        <v>7</v>
      </c>
      <c r="AL723" s="17">
        <f t="shared" si="365"/>
        <v>0.7</v>
      </c>
      <c r="AM723">
        <v>7</v>
      </c>
      <c r="AN723" s="17">
        <f t="shared" si="366"/>
        <v>0.7</v>
      </c>
      <c r="AO723">
        <v>2</v>
      </c>
      <c r="AQ723">
        <v>10</v>
      </c>
      <c r="AR723" s="17">
        <f t="shared" si="367"/>
        <v>1</v>
      </c>
      <c r="AS723">
        <v>27</v>
      </c>
      <c r="AT723" s="17">
        <f t="shared" si="368"/>
        <v>2.7</v>
      </c>
      <c r="BD723" s="65">
        <f t="shared" si="369"/>
        <v>49.549549549549553</v>
      </c>
      <c r="BE723" s="65">
        <f t="shared" si="370"/>
        <v>43.333333333333336</v>
      </c>
      <c r="BF723" s="66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15.566661535358525</v>
      </c>
      <c r="BG723" s="38">
        <f t="shared" si="371"/>
        <v>1.6666666666666666E-2</v>
      </c>
      <c r="BH723" s="38">
        <f t="shared" si="372"/>
        <v>0.25</v>
      </c>
      <c r="BI723" s="67">
        <f>IFERROR(((AG723*(12000/5))/((F723*60+G723)*(SUMIFS(팀공격력!X:X,팀공격력!A:A,B723,팀공격력!B:B,D723)+SUMIFS(팀수비력!X:X,팀수비력!A:A,B723,팀수비력!B:B,D723))))*100,"")</f>
        <v>5.9492410751468476</v>
      </c>
      <c r="BJ723" s="67">
        <f>IFERROR(((AI723*(12000/5))/((F723*60+G723)*(SUMIFS(팀공격력!V:V,팀공격력!A:A,B723,팀공격력!B:B,D723)+SUMIFS(팀수비력!W:W,팀수비력!A:A,B723,팀수비력!B:B,D723))))*100,"")</f>
        <v>13.688796231647474</v>
      </c>
      <c r="BK723" s="67">
        <f>IFERROR(((AE723*(12000/5))/((F723*60+G723)*(SUMIFS(팀공격력!X:X,팀공격력!A:A,B723,팀공격력!B:B,D723)+SUMIFS(팀수비력!X:X,팀수비력!A:A,B723,팀수비력!B:B,D723))))*100,"")</f>
        <v>12.850360722317189</v>
      </c>
      <c r="BL723" s="67">
        <f>IFERROR(100*AK723/(((((F723*60+G723)/(12000/5))*SUMIFS(팀공격력!P:P,팀공격력!A:A,B723,팀공격력!B:B,D723))-K723)),"")</f>
        <v>4.6171858252395159</v>
      </c>
      <c r="BM723" s="67">
        <f>IFERROR(100*((AM723/E723*(2400))/((F723*60+G723)*SUMIFS(팀공격력!AR:AR,팀공격력!A:A,B723,팀공격력!B:B,D723))),"")</f>
        <v>1.5360156652368209</v>
      </c>
      <c r="BN723" s="67">
        <f>IFERROR((AO723*40)/(((F723*60+G723)/60)*(SUMIFS(팀수비력!Q:Q,팀수비력!A:A,B723,팀수비력!B:B,D723)-SUMIFS(팀수비력!N:N,팀수비력!A:A,B723,팀수비력!B:B,D723)))*100,"")</f>
        <v>0.89501309888962455</v>
      </c>
      <c r="BO723" s="67">
        <f t="shared" si="373"/>
        <v>13.054830287206267</v>
      </c>
      <c r="BT723" t="s">
        <v>89</v>
      </c>
      <c r="BV723" t="s">
        <v>93</v>
      </c>
      <c r="CF723">
        <v>5</v>
      </c>
      <c r="CG723">
        <v>5</v>
      </c>
    </row>
    <row r="724" spans="1:85" x14ac:dyDescent="0.4">
      <c r="A724" s="11" t="s">
        <v>85</v>
      </c>
      <c r="B724" t="s">
        <v>164</v>
      </c>
      <c r="C724" t="s">
        <v>181</v>
      </c>
      <c r="D724" s="46" t="s">
        <v>311</v>
      </c>
      <c r="E724">
        <v>10</v>
      </c>
      <c r="F724">
        <v>24</v>
      </c>
      <c r="G724" s="1">
        <v>42</v>
      </c>
      <c r="H724" s="16">
        <f t="shared" si="348"/>
        <v>14820</v>
      </c>
      <c r="I724">
        <v>28</v>
      </c>
      <c r="J724" s="17">
        <f t="shared" si="349"/>
        <v>2.8</v>
      </c>
      <c r="K724">
        <v>10</v>
      </c>
      <c r="L724">
        <v>33</v>
      </c>
      <c r="M724" s="17">
        <f t="shared" si="350"/>
        <v>1</v>
      </c>
      <c r="N724" s="17">
        <f t="shared" si="351"/>
        <v>3.3</v>
      </c>
      <c r="O724" s="18">
        <f t="shared" si="352"/>
        <v>0.30303030303030304</v>
      </c>
      <c r="P724">
        <v>4</v>
      </c>
      <c r="Q724">
        <v>15</v>
      </c>
      <c r="R724" s="17">
        <f t="shared" si="353"/>
        <v>0.4</v>
      </c>
      <c r="S724" s="17">
        <f t="shared" si="354"/>
        <v>1.5</v>
      </c>
      <c r="T724" s="18">
        <f t="shared" si="355"/>
        <v>0.26666666666666666</v>
      </c>
      <c r="U724">
        <v>6</v>
      </c>
      <c r="V724">
        <v>18</v>
      </c>
      <c r="W724" s="17">
        <f t="shared" si="356"/>
        <v>0.6</v>
      </c>
      <c r="X724" s="17">
        <f t="shared" si="357"/>
        <v>1.8</v>
      </c>
      <c r="Y724" s="18">
        <f t="shared" si="358"/>
        <v>0.33333333333333331</v>
      </c>
      <c r="Z724">
        <v>2</v>
      </c>
      <c r="AA724">
        <v>2</v>
      </c>
      <c r="AB724" s="17">
        <f t="shared" si="359"/>
        <v>0.2</v>
      </c>
      <c r="AC724" s="17">
        <f t="shared" si="360"/>
        <v>0.2</v>
      </c>
      <c r="AD724" s="18">
        <f t="shared" si="361"/>
        <v>1</v>
      </c>
      <c r="AE724">
        <v>30</v>
      </c>
      <c r="AF724" s="17">
        <f t="shared" si="362"/>
        <v>3</v>
      </c>
      <c r="AG724">
        <v>14</v>
      </c>
      <c r="AH724" s="17">
        <f t="shared" si="363"/>
        <v>1.4</v>
      </c>
      <c r="AI724">
        <v>16</v>
      </c>
      <c r="AJ724" s="17">
        <f t="shared" si="364"/>
        <v>1.6</v>
      </c>
      <c r="AK724">
        <v>28</v>
      </c>
      <c r="AL724" s="17">
        <f t="shared" si="365"/>
        <v>2.8</v>
      </c>
      <c r="AM724">
        <v>7</v>
      </c>
      <c r="AN724" s="17">
        <f t="shared" si="366"/>
        <v>0.7</v>
      </c>
      <c r="AO724">
        <v>0</v>
      </c>
      <c r="AQ724">
        <v>8</v>
      </c>
      <c r="AR724" s="17">
        <f t="shared" si="367"/>
        <v>0.8</v>
      </c>
      <c r="AS724">
        <v>29</v>
      </c>
      <c r="AT724" s="17">
        <f t="shared" si="368"/>
        <v>2.9</v>
      </c>
      <c r="BD724" s="65">
        <f t="shared" si="369"/>
        <v>41.322314049586772</v>
      </c>
      <c r="BE724" s="65">
        <f t="shared" si="370"/>
        <v>39.393939393939391</v>
      </c>
      <c r="BF724" s="66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7.9997478589500055</v>
      </c>
      <c r="BG724" s="38">
        <f t="shared" si="371"/>
        <v>0.54545454545454541</v>
      </c>
      <c r="BH724" s="38">
        <f t="shared" si="372"/>
        <v>6.0606060606060608E-2</v>
      </c>
      <c r="BI724" s="67">
        <f>IFERROR(((AG724*(12000/5))/((F724*60+G724)*(SUMIFS(팀공격력!X:X,팀공격력!A:A,B724,팀공격력!B:B,D724)+SUMIFS(팀수비력!X:X,팀수비력!A:A,B724,팀수비력!B:B,D724))))*100,"")</f>
        <v>3.1315006598519246</v>
      </c>
      <c r="BJ724" s="67">
        <f>IFERROR(((AI724*(12000/5))/((F724*60+G724)*(SUMIFS(팀공격력!V:V,팀공격력!A:A,B724,팀공격력!B:B,D724)+SUMIFS(팀수비력!W:W,팀수비력!A:A,B724,팀수비력!B:B,D724))))*100,"")</f>
        <v>7.0988852531750872</v>
      </c>
      <c r="BK724" s="67">
        <f>IFERROR(((AE724*(12000/5))/((F724*60+G724)*(SUMIFS(팀공격력!X:X,팀공격력!A:A,B724,팀공격력!B:B,D724)+SUMIFS(팀수비력!X:X,팀수비력!A:A,B724,팀수비력!B:B,D724))))*100,"")</f>
        <v>6.710358556825553</v>
      </c>
      <c r="BL724" s="67">
        <f>IFERROR(100*AK724/(((((F724*60+G724)/(12000/5))*SUMIFS(팀공격력!P:P,팀공격력!A:A,B724,팀공격력!B:B,D724))-K724)),"")</f>
        <v>15.646391550948561</v>
      </c>
      <c r="BM724" s="67">
        <f>IFERROR(100*((AM724/E724*(2400))/((F724*60+G724)*SUMIFS(팀공격력!AR:AR,팀공격력!A:A,B724,팀공격력!B:B,D724))),"")</f>
        <v>1.4437718094972276</v>
      </c>
      <c r="BN724" s="67">
        <f>IFERROR((AO724*40)/(((F724*60+G724)/60)*(SUMIFS(팀수비력!Q:Q,팀수비력!A:A,B724,팀수비력!B:B,D724)-SUMIFS(팀수비력!N:N,팀수비력!A:A,B724,팀수비력!B:B,D724)))*100,"")</f>
        <v>0</v>
      </c>
      <c r="BO724" s="67">
        <f t="shared" si="373"/>
        <v>19.102196752626551</v>
      </c>
      <c r="BT724" t="s">
        <v>89</v>
      </c>
      <c r="BV724" t="s">
        <v>90</v>
      </c>
      <c r="CF724">
        <v>5</v>
      </c>
      <c r="CG724">
        <v>5</v>
      </c>
    </row>
    <row r="725" spans="1:85" x14ac:dyDescent="0.4">
      <c r="A725" s="11" t="s">
        <v>85</v>
      </c>
      <c r="B725" t="s">
        <v>183</v>
      </c>
      <c r="C725" t="s">
        <v>187</v>
      </c>
      <c r="D725" s="46" t="s">
        <v>311</v>
      </c>
      <c r="E725">
        <v>2</v>
      </c>
      <c r="F725">
        <v>2</v>
      </c>
      <c r="G725" s="1">
        <v>16</v>
      </c>
      <c r="H725" s="16">
        <f t="shared" si="348"/>
        <v>272</v>
      </c>
      <c r="I725">
        <v>0</v>
      </c>
      <c r="J725" s="17">
        <f t="shared" si="349"/>
        <v>0</v>
      </c>
      <c r="K725">
        <v>0</v>
      </c>
      <c r="L725">
        <v>1</v>
      </c>
      <c r="M725" s="17">
        <f t="shared" si="350"/>
        <v>0</v>
      </c>
      <c r="N725" s="17">
        <f t="shared" si="351"/>
        <v>0.5</v>
      </c>
      <c r="O725" s="18">
        <f t="shared" si="352"/>
        <v>0</v>
      </c>
      <c r="P725">
        <v>0</v>
      </c>
      <c r="Q725">
        <v>1</v>
      </c>
      <c r="R725" s="17">
        <f t="shared" si="353"/>
        <v>0</v>
      </c>
      <c r="S725" s="17">
        <f t="shared" si="354"/>
        <v>0.5</v>
      </c>
      <c r="T725" s="18">
        <f t="shared" si="355"/>
        <v>0</v>
      </c>
      <c r="U725">
        <v>0</v>
      </c>
      <c r="V725">
        <v>0</v>
      </c>
      <c r="W725" s="17">
        <f t="shared" si="356"/>
        <v>0</v>
      </c>
      <c r="X725" s="17">
        <f t="shared" si="357"/>
        <v>0</v>
      </c>
      <c r="Y725" s="18" t="e">
        <f t="shared" si="358"/>
        <v>#DIV/0!</v>
      </c>
      <c r="Z725">
        <v>0</v>
      </c>
      <c r="AA725">
        <v>0</v>
      </c>
      <c r="AB725" s="17">
        <f t="shared" si="359"/>
        <v>0</v>
      </c>
      <c r="AC725" s="17">
        <f t="shared" si="360"/>
        <v>0</v>
      </c>
      <c r="AD725" s="18" t="e">
        <f t="shared" si="361"/>
        <v>#DIV/0!</v>
      </c>
      <c r="AE725">
        <v>1</v>
      </c>
      <c r="AF725" s="17">
        <f t="shared" si="362"/>
        <v>0.5</v>
      </c>
      <c r="AG725">
        <v>1</v>
      </c>
      <c r="AH725" s="17">
        <f t="shared" si="363"/>
        <v>0.5</v>
      </c>
      <c r="AI725">
        <v>0</v>
      </c>
      <c r="AJ725" s="17">
        <f t="shared" si="364"/>
        <v>0</v>
      </c>
      <c r="AK725">
        <v>0</v>
      </c>
      <c r="AL725" s="17">
        <f t="shared" si="365"/>
        <v>0</v>
      </c>
      <c r="AM725">
        <v>0</v>
      </c>
      <c r="AN725" s="17">
        <f t="shared" si="366"/>
        <v>0</v>
      </c>
      <c r="AO725">
        <v>0</v>
      </c>
      <c r="AQ725">
        <v>0</v>
      </c>
      <c r="AR725" s="17">
        <f t="shared" si="367"/>
        <v>0</v>
      </c>
      <c r="AS725">
        <v>0</v>
      </c>
      <c r="AT725" s="17">
        <f t="shared" si="368"/>
        <v>0</v>
      </c>
      <c r="BD725" s="65">
        <f t="shared" si="369"/>
        <v>0</v>
      </c>
      <c r="BE725" s="65">
        <f t="shared" si="370"/>
        <v>0</v>
      </c>
      <c r="BF725" s="66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2.2422060916255098</v>
      </c>
      <c r="BG725" s="38">
        <f t="shared" si="371"/>
        <v>0</v>
      </c>
      <c r="BH725" s="38">
        <f t="shared" si="372"/>
        <v>0</v>
      </c>
      <c r="BI725" s="67">
        <f>IFERROR(((AG725*(12000/5))/((F725*60+G725)*(SUMIFS(팀공격력!X:X,팀공격력!A:A,B725,팀공격력!B:B,D725)+SUMIFS(팀수비력!X:X,팀수비력!A:A,B725,팀수비력!B:B,D725))))*100,"")</f>
        <v>2.7444881529594731</v>
      </c>
      <c r="BJ725" s="67">
        <f>IFERROR(((AI725*(12000/5))/((F725*60+G725)*(SUMIFS(팀공격력!V:V,팀공격력!A:A,B725,팀공격력!B:B,D725)+SUMIFS(팀수비력!W:W,팀수비력!A:A,B725,팀수비력!B:B,D725))))*100,"")</f>
        <v>0</v>
      </c>
      <c r="BK725" s="67">
        <f>IFERROR(((AE725*(12000/5))/((F725*60+G725)*(SUMIFS(팀공격력!X:X,팀공격력!A:A,B725,팀공격력!B:B,D725)+SUMIFS(팀수비력!X:X,팀수비력!A:A,B725,팀수비력!B:B,D725))))*100,"")</f>
        <v>2.7444881529594731</v>
      </c>
      <c r="BL725" s="67">
        <f>IFERROR(100*AK725/(((((F725*60+G725)/(12000/5))*SUMIFS(팀공격력!P:P,팀공격력!A:A,B725,팀공격력!B:B,D725))-K725)),"")</f>
        <v>0</v>
      </c>
      <c r="BM725" s="67" t="str">
        <f>IFERROR(100*((AM725/E725*(2400))/((F725*60+G725)*SUMIFS(팀공격력!AR:AR,팀공격력!A:A,B725,팀공격력!B:B,D725))),"")</f>
        <v/>
      </c>
      <c r="BN725" s="67">
        <f>IFERROR((AO725*40)/(((F725*60+G725)/60)*(SUMIFS(팀수비력!Q:Q,팀수비력!A:A,B725,팀수비력!B:B,D725)-SUMIFS(팀수비력!N:N,팀수비력!A:A,B725,팀수비력!B:B,D725)))*100,"")</f>
        <v>0</v>
      </c>
      <c r="BO725" s="67">
        <f t="shared" si="373"/>
        <v>0</v>
      </c>
      <c r="BT725" t="s">
        <v>89</v>
      </c>
      <c r="BV725" t="s">
        <v>102</v>
      </c>
      <c r="CF725">
        <v>0</v>
      </c>
      <c r="CG725">
        <v>2</v>
      </c>
    </row>
    <row r="726" spans="1:85" x14ac:dyDescent="0.4">
      <c r="A726" s="11" t="s">
        <v>85</v>
      </c>
      <c r="B726" t="s">
        <v>183</v>
      </c>
      <c r="C726" t="s">
        <v>188</v>
      </c>
      <c r="D726" s="46" t="s">
        <v>311</v>
      </c>
      <c r="E726">
        <v>9</v>
      </c>
      <c r="F726">
        <v>19</v>
      </c>
      <c r="G726" s="1">
        <v>50</v>
      </c>
      <c r="H726" s="16">
        <f t="shared" si="348"/>
        <v>10710</v>
      </c>
      <c r="I726">
        <v>46</v>
      </c>
      <c r="J726" s="17">
        <f t="shared" si="349"/>
        <v>5.1111111111111107</v>
      </c>
      <c r="K726">
        <v>16</v>
      </c>
      <c r="L726">
        <v>60</v>
      </c>
      <c r="M726" s="17">
        <f t="shared" si="350"/>
        <v>1.7777777777777777</v>
      </c>
      <c r="N726" s="17">
        <f t="shared" si="351"/>
        <v>6.666666666666667</v>
      </c>
      <c r="O726" s="18">
        <f t="shared" si="352"/>
        <v>0.26666666666666666</v>
      </c>
      <c r="P726">
        <v>10</v>
      </c>
      <c r="Q726">
        <v>27</v>
      </c>
      <c r="R726" s="17">
        <f t="shared" si="353"/>
        <v>1.1111111111111112</v>
      </c>
      <c r="S726" s="17">
        <f t="shared" si="354"/>
        <v>3</v>
      </c>
      <c r="T726" s="18">
        <f t="shared" si="355"/>
        <v>0.37037037037037035</v>
      </c>
      <c r="U726">
        <v>6</v>
      </c>
      <c r="V726">
        <v>33</v>
      </c>
      <c r="W726" s="17">
        <f t="shared" si="356"/>
        <v>0.66666666666666663</v>
      </c>
      <c r="X726" s="17">
        <f t="shared" si="357"/>
        <v>3.6666666666666665</v>
      </c>
      <c r="Y726" s="18">
        <f t="shared" si="358"/>
        <v>0.18181818181818182</v>
      </c>
      <c r="Z726">
        <v>8</v>
      </c>
      <c r="AA726">
        <v>9</v>
      </c>
      <c r="AB726" s="17">
        <f t="shared" si="359"/>
        <v>0.88888888888888884</v>
      </c>
      <c r="AC726" s="17">
        <f t="shared" si="360"/>
        <v>1</v>
      </c>
      <c r="AD726" s="18">
        <f t="shared" si="361"/>
        <v>0.88888888888888884</v>
      </c>
      <c r="AE726">
        <v>23</v>
      </c>
      <c r="AF726" s="17">
        <f t="shared" si="362"/>
        <v>2.5555555555555554</v>
      </c>
      <c r="AG726">
        <v>3</v>
      </c>
      <c r="AH726" s="17">
        <f t="shared" si="363"/>
        <v>0.33333333333333331</v>
      </c>
      <c r="AI726">
        <v>20</v>
      </c>
      <c r="AJ726" s="17">
        <f t="shared" si="364"/>
        <v>2.2222222222222223</v>
      </c>
      <c r="AK726">
        <v>22</v>
      </c>
      <c r="AL726" s="17">
        <f t="shared" si="365"/>
        <v>2.4444444444444446</v>
      </c>
      <c r="AM726">
        <v>4</v>
      </c>
      <c r="AN726" s="17">
        <f t="shared" si="366"/>
        <v>0.44444444444444442</v>
      </c>
      <c r="AO726">
        <v>0</v>
      </c>
      <c r="AQ726">
        <v>12</v>
      </c>
      <c r="AR726" s="17">
        <f t="shared" si="367"/>
        <v>1.3333333333333333</v>
      </c>
      <c r="AS726">
        <v>20</v>
      </c>
      <c r="AT726" s="17">
        <f t="shared" si="368"/>
        <v>2.2222222222222223</v>
      </c>
      <c r="BD726" s="65">
        <f t="shared" si="369"/>
        <v>35.959974984365232</v>
      </c>
      <c r="BE726" s="65">
        <f t="shared" si="370"/>
        <v>31.666666666666664</v>
      </c>
      <c r="BF726" s="66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19.464911396557</v>
      </c>
      <c r="BG726" s="38">
        <f t="shared" si="371"/>
        <v>0.55000000000000004</v>
      </c>
      <c r="BH726" s="38">
        <f t="shared" si="372"/>
        <v>0.15</v>
      </c>
      <c r="BI726" s="67">
        <f>IFERROR(((AG726*(12000/5))/((F726*60+G726)*(SUMIFS(팀공격력!X:X,팀공격력!A:A,B726,팀공격력!B:B,D726)+SUMIFS(팀수비력!X:X,팀수비력!A:A,B726,팀수비력!B:B,D726))))*100,"")</f>
        <v>0.9409673667289622</v>
      </c>
      <c r="BJ726" s="67">
        <f>IFERROR(((AI726*(12000/5))/((F726*60+G726)*(SUMIFS(팀공격력!V:V,팀공격력!A:A,B726,팀공격력!B:B,D726)+SUMIFS(팀수비력!W:W,팀수비력!A:A,B726,팀수비력!B:B,D726))))*100,"")</f>
        <v>11.298637101899583</v>
      </c>
      <c r="BK726" s="67">
        <f>IFERROR(((AE726*(12000/5))/((F726*60+G726)*(SUMIFS(팀공격력!X:X,팀공격력!A:A,B726,팀공격력!B:B,D726)+SUMIFS(팀수비력!X:X,팀수비력!A:A,B726,팀수비력!B:B,D726))))*100,"")</f>
        <v>7.2140831449220437</v>
      </c>
      <c r="BL726" s="67">
        <f>IFERROR(100*AK726/(((((F726*60+G726)/(12000/5))*SUMIFS(팀공격력!P:P,팀공격력!A:A,B726,팀공격력!B:B,D726))-K726)),"")</f>
        <v>19.83173076923077</v>
      </c>
      <c r="BM726" s="67" t="str">
        <f>IFERROR(100*((AM726/E726*(2400))/((F726*60+G726)*SUMIFS(팀공격력!AR:AR,팀공격력!A:A,B726,팀공격력!B:B,D726))),"")</f>
        <v/>
      </c>
      <c r="BN726" s="67">
        <f>IFERROR((AO726*40)/(((F726*60+G726)/60)*(SUMIFS(팀수비력!Q:Q,팀수비력!A:A,B726,팀수비력!B:B,D726)-SUMIFS(팀수비력!N:N,팀수비력!A:A,B726,팀수비력!B:B,D726)))*100,"")</f>
        <v>0</v>
      </c>
      <c r="BO726" s="67">
        <f t="shared" si="373"/>
        <v>15.797788309636649</v>
      </c>
      <c r="BT726" t="s">
        <v>89</v>
      </c>
      <c r="BV726" t="s">
        <v>90</v>
      </c>
      <c r="CF726">
        <v>0</v>
      </c>
      <c r="CG726">
        <v>9</v>
      </c>
    </row>
    <row r="727" spans="1:85" x14ac:dyDescent="0.4">
      <c r="A727" s="11" t="s">
        <v>85</v>
      </c>
      <c r="B727" t="s">
        <v>183</v>
      </c>
      <c r="C727" t="s">
        <v>190</v>
      </c>
      <c r="D727" s="46" t="s">
        <v>311</v>
      </c>
      <c r="E727">
        <v>2</v>
      </c>
      <c r="F727">
        <v>7</v>
      </c>
      <c r="G727" s="1">
        <v>0</v>
      </c>
      <c r="H727" s="16">
        <f t="shared" si="348"/>
        <v>840</v>
      </c>
      <c r="I727">
        <v>4</v>
      </c>
      <c r="J727" s="17">
        <f t="shared" si="349"/>
        <v>2</v>
      </c>
      <c r="K727">
        <v>2</v>
      </c>
      <c r="L727">
        <v>6</v>
      </c>
      <c r="M727" s="17">
        <f t="shared" si="350"/>
        <v>1</v>
      </c>
      <c r="N727" s="17">
        <f t="shared" si="351"/>
        <v>3</v>
      </c>
      <c r="O727" s="18">
        <f t="shared" si="352"/>
        <v>0.33333333333333331</v>
      </c>
      <c r="P727">
        <v>2</v>
      </c>
      <c r="Q727">
        <v>6</v>
      </c>
      <c r="R727" s="17">
        <f t="shared" si="353"/>
        <v>1</v>
      </c>
      <c r="S727" s="17">
        <f t="shared" si="354"/>
        <v>3</v>
      </c>
      <c r="T727" s="18">
        <f t="shared" si="355"/>
        <v>0.33333333333333331</v>
      </c>
      <c r="U727">
        <v>0</v>
      </c>
      <c r="V727">
        <v>0</v>
      </c>
      <c r="W727" s="17">
        <f t="shared" si="356"/>
        <v>0</v>
      </c>
      <c r="X727" s="17">
        <f t="shared" si="357"/>
        <v>0</v>
      </c>
      <c r="Y727" s="18" t="e">
        <f t="shared" si="358"/>
        <v>#DIV/0!</v>
      </c>
      <c r="Z727">
        <v>0</v>
      </c>
      <c r="AA727">
        <v>0</v>
      </c>
      <c r="AB727" s="17">
        <f t="shared" si="359"/>
        <v>0</v>
      </c>
      <c r="AC727" s="17">
        <f t="shared" si="360"/>
        <v>0</v>
      </c>
      <c r="AD727" s="18" t="e">
        <f t="shared" si="361"/>
        <v>#DIV/0!</v>
      </c>
      <c r="AE727">
        <v>1</v>
      </c>
      <c r="AF727" s="17">
        <f t="shared" si="362"/>
        <v>0.5</v>
      </c>
      <c r="AG727">
        <v>1</v>
      </c>
      <c r="AH727" s="17">
        <f t="shared" si="363"/>
        <v>0.5</v>
      </c>
      <c r="AI727">
        <v>0</v>
      </c>
      <c r="AJ727" s="17">
        <f t="shared" si="364"/>
        <v>0</v>
      </c>
      <c r="AK727">
        <v>0</v>
      </c>
      <c r="AL727" s="17">
        <f t="shared" si="365"/>
        <v>0</v>
      </c>
      <c r="AM727">
        <v>0</v>
      </c>
      <c r="AN727" s="17">
        <f t="shared" si="366"/>
        <v>0</v>
      </c>
      <c r="AO727">
        <v>0</v>
      </c>
      <c r="AQ727">
        <v>0</v>
      </c>
      <c r="AR727" s="17">
        <f t="shared" si="367"/>
        <v>0</v>
      </c>
      <c r="AS727">
        <v>1</v>
      </c>
      <c r="AT727" s="17">
        <f t="shared" si="368"/>
        <v>0.5</v>
      </c>
      <c r="BD727" s="65">
        <f t="shared" si="369"/>
        <v>33.333333333333329</v>
      </c>
      <c r="BE727" s="65">
        <f t="shared" si="370"/>
        <v>33.333333333333329</v>
      </c>
      <c r="BF727" s="66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4.3562861208724186</v>
      </c>
      <c r="BG727" s="38">
        <f t="shared" si="371"/>
        <v>0</v>
      </c>
      <c r="BH727" s="38">
        <f t="shared" si="372"/>
        <v>0</v>
      </c>
      <c r="BI727" s="67">
        <f>IFERROR(((AG727*(12000/5))/((F727*60+G727)*(SUMIFS(팀공격력!X:X,팀공격력!A:A,B727,팀공격력!B:B,D727)+SUMIFS(팀수비력!X:X,팀수비력!A:A,B727,팀수비력!B:B,D727))))*100,"")</f>
        <v>0.88869140191068641</v>
      </c>
      <c r="BJ727" s="67">
        <f>IFERROR(((AI727*(12000/5))/((F727*60+G727)*(SUMIFS(팀공격력!V:V,팀공격력!A:A,B727,팀공격력!B:B,D727)+SUMIFS(팀수비력!W:W,팀수비력!A:A,B727,팀수비력!B:B,D727))))*100,"")</f>
        <v>0</v>
      </c>
      <c r="BK727" s="67">
        <f>IFERROR(((AE727*(12000/5))/((F727*60+G727)*(SUMIFS(팀공격력!X:X,팀공격력!A:A,B727,팀공격력!B:B,D727)+SUMIFS(팀수비력!X:X,팀수비력!A:A,B727,팀수비력!B:B,D727))))*100,"")</f>
        <v>0.88869140191068641</v>
      </c>
      <c r="BL727" s="67">
        <f>IFERROR(100*AK727/(((((F727*60+G727)/(12000/5))*SUMIFS(팀공격력!P:P,팀공격력!A:A,B727,팀공격력!B:B,D727))-K727)),"")</f>
        <v>0</v>
      </c>
      <c r="BM727" s="67" t="str">
        <f>IFERROR(100*((AM727/E727*(2400))/((F727*60+G727)*SUMIFS(팀공격력!AR:AR,팀공격력!A:A,B727,팀공격력!B:B,D727))),"")</f>
        <v/>
      </c>
      <c r="BN727" s="67">
        <f>IFERROR((AO727*40)/(((F727*60+G727)/60)*(SUMIFS(팀수비력!Q:Q,팀수비력!A:A,B727,팀수비력!B:B,D727)-SUMIFS(팀수비력!N:N,팀수비력!A:A,B727,팀수비력!B:B,D727)))*100,"")</f>
        <v>0</v>
      </c>
      <c r="BO727" s="67">
        <f t="shared" si="373"/>
        <v>0</v>
      </c>
      <c r="BT727" t="s">
        <v>89</v>
      </c>
      <c r="BV727" t="s">
        <v>102</v>
      </c>
      <c r="CF727">
        <v>0</v>
      </c>
      <c r="CG727">
        <v>2</v>
      </c>
    </row>
    <row r="728" spans="1:85" x14ac:dyDescent="0.4">
      <c r="A728" s="11" t="s">
        <v>85</v>
      </c>
      <c r="B728" t="s">
        <v>183</v>
      </c>
      <c r="C728" t="s">
        <v>191</v>
      </c>
      <c r="D728" s="46" t="s">
        <v>311</v>
      </c>
      <c r="E728">
        <v>9</v>
      </c>
      <c r="F728">
        <v>25</v>
      </c>
      <c r="G728" s="1">
        <v>19</v>
      </c>
      <c r="H728" s="16">
        <f t="shared" si="348"/>
        <v>13671</v>
      </c>
      <c r="I728">
        <v>72</v>
      </c>
      <c r="J728" s="17">
        <f t="shared" si="349"/>
        <v>8</v>
      </c>
      <c r="K728">
        <v>28</v>
      </c>
      <c r="L728">
        <v>73</v>
      </c>
      <c r="M728" s="17">
        <f t="shared" si="350"/>
        <v>3.1111111111111112</v>
      </c>
      <c r="N728" s="17">
        <f t="shared" si="351"/>
        <v>8.1111111111111107</v>
      </c>
      <c r="O728" s="18">
        <f t="shared" si="352"/>
        <v>0.38356164383561642</v>
      </c>
      <c r="P728">
        <v>15</v>
      </c>
      <c r="Q728">
        <v>27</v>
      </c>
      <c r="R728" s="17">
        <f t="shared" si="353"/>
        <v>1.6666666666666667</v>
      </c>
      <c r="S728" s="17">
        <f t="shared" si="354"/>
        <v>3</v>
      </c>
      <c r="T728" s="18">
        <f t="shared" si="355"/>
        <v>0.55555555555555558</v>
      </c>
      <c r="U728">
        <v>13</v>
      </c>
      <c r="V728">
        <v>46</v>
      </c>
      <c r="W728" s="17">
        <f t="shared" si="356"/>
        <v>1.4444444444444444</v>
      </c>
      <c r="X728" s="17">
        <f t="shared" si="357"/>
        <v>5.1111111111111107</v>
      </c>
      <c r="Y728" s="18">
        <f t="shared" si="358"/>
        <v>0.28260869565217389</v>
      </c>
      <c r="Z728">
        <v>3</v>
      </c>
      <c r="AA728">
        <v>3</v>
      </c>
      <c r="AB728" s="17">
        <f t="shared" si="359"/>
        <v>0.33333333333333331</v>
      </c>
      <c r="AC728" s="17">
        <f t="shared" si="360"/>
        <v>0.33333333333333331</v>
      </c>
      <c r="AD728" s="18">
        <f t="shared" si="361"/>
        <v>1</v>
      </c>
      <c r="AE728">
        <v>25</v>
      </c>
      <c r="AF728" s="17">
        <f t="shared" si="362"/>
        <v>2.7777777777777777</v>
      </c>
      <c r="AG728">
        <v>4</v>
      </c>
      <c r="AH728" s="17">
        <f t="shared" si="363"/>
        <v>0.44444444444444442</v>
      </c>
      <c r="AI728">
        <v>21</v>
      </c>
      <c r="AJ728" s="17">
        <f t="shared" si="364"/>
        <v>2.3333333333333335</v>
      </c>
      <c r="AK728">
        <v>16</v>
      </c>
      <c r="AL728" s="17">
        <f t="shared" si="365"/>
        <v>1.7777777777777777</v>
      </c>
      <c r="AM728">
        <v>6</v>
      </c>
      <c r="AN728" s="17">
        <f t="shared" si="366"/>
        <v>0.66666666666666663</v>
      </c>
      <c r="AO728">
        <v>0</v>
      </c>
      <c r="AQ728">
        <v>7</v>
      </c>
      <c r="AR728" s="17">
        <f t="shared" si="367"/>
        <v>0.77777777777777779</v>
      </c>
      <c r="AS728">
        <v>19</v>
      </c>
      <c r="AT728" s="17">
        <f t="shared" si="368"/>
        <v>2.1111111111111112</v>
      </c>
      <c r="BD728" s="65">
        <f t="shared" si="369"/>
        <v>48.439181916038756</v>
      </c>
      <c r="BE728" s="65">
        <f t="shared" si="370"/>
        <v>47.260273972602739</v>
      </c>
      <c r="BF728" s="66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16.325031675085025</v>
      </c>
      <c r="BG728" s="38">
        <f t="shared" si="371"/>
        <v>0.63013698630136983</v>
      </c>
      <c r="BH728" s="38">
        <f t="shared" si="372"/>
        <v>4.1095890410958902E-2</v>
      </c>
      <c r="BI728" s="67">
        <f>IFERROR(((AG728*(12000/5))/((F728*60+G728)*(SUMIFS(팀공격력!X:X,팀공격력!A:A,B728,팀공격력!B:B,D728)+SUMIFS(팀수비력!X:X,팀수비력!A:A,B728,팀수비력!B:B,D728))))*100,"")</f>
        <v>0.98288449980905424</v>
      </c>
      <c r="BJ728" s="67">
        <f>IFERROR(((AI728*(12000/5))/((F728*60+G728)*(SUMIFS(팀공격력!V:V,팀공격력!A:A,B728,팀공격력!B:B,D728)+SUMIFS(팀수비력!W:W,팀수비력!A:A,B728,팀수비력!B:B,D728))))*100,"")</f>
        <v>9.2940401967238504</v>
      </c>
      <c r="BK728" s="67">
        <f>IFERROR(((AE728*(12000/5))/((F728*60+G728)*(SUMIFS(팀공격력!X:X,팀공격력!A:A,B728,팀공격력!B:B,D728)+SUMIFS(팀수비력!X:X,팀수비력!A:A,B728,팀수비력!B:B,D728))))*100,"")</f>
        <v>6.1430281238065891</v>
      </c>
      <c r="BL728" s="67">
        <f>IFERROR(100*AK728/(((((F728*60+G728)/(12000/5))*SUMIFS(팀공격력!P:P,팀공격력!A:A,B728,팀공격력!B:B,D728))-K728)),"")</f>
        <v>11.937922801432551</v>
      </c>
      <c r="BM728" s="67" t="str">
        <f>IFERROR(100*((AM728/E728*(2400))/((F728*60+G728)*SUMIFS(팀공격력!AR:AR,팀공격력!A:A,B728,팀공격력!B:B,D728))),"")</f>
        <v/>
      </c>
      <c r="BN728" s="67">
        <f>IFERROR((AO728*40)/(((F728*60+G728)/60)*(SUMIFS(팀수비력!Q:Q,팀수비력!A:A,B728,팀수비력!B:B,D728)-SUMIFS(팀수비력!N:N,팀수비력!A:A,B728,팀수비력!B:B,D728)))*100,"")</f>
        <v>0</v>
      </c>
      <c r="BO728" s="67">
        <f t="shared" si="373"/>
        <v>8.6079685194294147</v>
      </c>
      <c r="BT728" t="s">
        <v>89</v>
      </c>
      <c r="BV728" t="s">
        <v>93</v>
      </c>
      <c r="CF728">
        <v>0</v>
      </c>
      <c r="CG728">
        <v>9</v>
      </c>
    </row>
    <row r="729" spans="1:85" x14ac:dyDescent="0.4">
      <c r="A729" s="11" t="s">
        <v>85</v>
      </c>
      <c r="B729" t="s">
        <v>183</v>
      </c>
      <c r="C729" t="s">
        <v>192</v>
      </c>
      <c r="D729" s="46" t="s">
        <v>311</v>
      </c>
      <c r="E729">
        <v>5</v>
      </c>
      <c r="F729">
        <v>10</v>
      </c>
      <c r="G729" s="1">
        <v>6</v>
      </c>
      <c r="H729" s="16">
        <f t="shared" si="348"/>
        <v>3030</v>
      </c>
      <c r="I729">
        <v>11</v>
      </c>
      <c r="J729" s="17">
        <f t="shared" si="349"/>
        <v>2.2000000000000002</v>
      </c>
      <c r="K729">
        <v>4</v>
      </c>
      <c r="L729">
        <v>22</v>
      </c>
      <c r="M729" s="17">
        <f t="shared" si="350"/>
        <v>0.8</v>
      </c>
      <c r="N729" s="17">
        <f t="shared" si="351"/>
        <v>4.4000000000000004</v>
      </c>
      <c r="O729" s="18">
        <f t="shared" si="352"/>
        <v>0.18181818181818182</v>
      </c>
      <c r="P729">
        <v>4</v>
      </c>
      <c r="Q729">
        <v>10</v>
      </c>
      <c r="R729" s="17">
        <f t="shared" si="353"/>
        <v>0.8</v>
      </c>
      <c r="S729" s="17">
        <f t="shared" si="354"/>
        <v>2</v>
      </c>
      <c r="T729" s="18">
        <f t="shared" si="355"/>
        <v>0.4</v>
      </c>
      <c r="U729">
        <v>0</v>
      </c>
      <c r="V729">
        <v>12</v>
      </c>
      <c r="W729" s="17">
        <f t="shared" si="356"/>
        <v>0</v>
      </c>
      <c r="X729" s="17">
        <f t="shared" si="357"/>
        <v>2.4</v>
      </c>
      <c r="Y729" s="18">
        <f t="shared" si="358"/>
        <v>0</v>
      </c>
      <c r="Z729">
        <v>3</v>
      </c>
      <c r="AA729">
        <v>4</v>
      </c>
      <c r="AB729" s="17">
        <f t="shared" si="359"/>
        <v>0.6</v>
      </c>
      <c r="AC729" s="17">
        <f t="shared" si="360"/>
        <v>0.8</v>
      </c>
      <c r="AD729" s="18">
        <f t="shared" si="361"/>
        <v>0.75</v>
      </c>
      <c r="AE729">
        <v>2</v>
      </c>
      <c r="AF729" s="17">
        <f t="shared" si="362"/>
        <v>0.4</v>
      </c>
      <c r="AG729">
        <v>0</v>
      </c>
      <c r="AH729" s="17">
        <f t="shared" si="363"/>
        <v>0</v>
      </c>
      <c r="AI729">
        <v>2</v>
      </c>
      <c r="AJ729" s="17">
        <f t="shared" si="364"/>
        <v>0.4</v>
      </c>
      <c r="AK729">
        <v>10</v>
      </c>
      <c r="AL729" s="17">
        <f t="shared" si="365"/>
        <v>2</v>
      </c>
      <c r="AM729">
        <v>0</v>
      </c>
      <c r="AN729" s="17">
        <f t="shared" si="366"/>
        <v>0</v>
      </c>
      <c r="AO729">
        <v>0</v>
      </c>
      <c r="AQ729">
        <v>6</v>
      </c>
      <c r="AR729" s="17">
        <f t="shared" si="367"/>
        <v>1.2</v>
      </c>
      <c r="AS729">
        <v>1</v>
      </c>
      <c r="AT729" s="17">
        <f t="shared" si="368"/>
        <v>0.2</v>
      </c>
      <c r="BD729" s="65">
        <f t="shared" si="369"/>
        <v>23.148148148148145</v>
      </c>
      <c r="BE729" s="65">
        <f t="shared" si="370"/>
        <v>18.181818181818183</v>
      </c>
      <c r="BF729" s="66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14.97527268482083</v>
      </c>
      <c r="BG729" s="38">
        <f t="shared" si="371"/>
        <v>0.54545454545454541</v>
      </c>
      <c r="BH729" s="38">
        <f t="shared" si="372"/>
        <v>0.18181818181818182</v>
      </c>
      <c r="BI729" s="67">
        <f>IFERROR(((AG729*(12000/5))/((F729*60+G729)*(SUMIFS(팀공격력!X:X,팀공격력!A:A,B729,팀공격력!B:B,D729)+SUMIFS(팀수비력!X:X,팀수비력!A:A,B729,팀수비력!B:B,D729))))*100,"")</f>
        <v>0</v>
      </c>
      <c r="BJ729" s="67">
        <f>IFERROR(((AI729*(12000/5))/((F729*60+G729)*(SUMIFS(팀공격력!V:V,팀공격력!A:A,B729,팀공격력!B:B,D729)+SUMIFS(팀수비력!W:W,팀수비력!A:A,B729,팀수비력!B:B,D729))))*100,"")</f>
        <v>2.2187092658845717</v>
      </c>
      <c r="BK729" s="67">
        <f>IFERROR(((AE729*(12000/5))/((F729*60+G729)*(SUMIFS(팀공격력!X:X,팀공격력!A:A,B729,팀공격력!B:B,D729)+SUMIFS(팀수비력!X:X,팀수비력!A:A,B729,팀수비력!B:B,D729))))*100,"")</f>
        <v>1.2318494679950109</v>
      </c>
      <c r="BL729" s="67">
        <f>IFERROR(100*AK729/(((((F729*60+G729)/(12000/5))*SUMIFS(팀공격력!P:P,팀공격력!A:A,B729,팀공격력!B:B,D729))-K729)),"")</f>
        <v>16.490765171503959</v>
      </c>
      <c r="BM729" s="67" t="str">
        <f>IFERROR(100*((AM729/E729*(2400))/((F729*60+G729)*SUMIFS(팀공격력!AR:AR,팀공격력!A:A,B729,팀공격력!B:B,D729))),"")</f>
        <v/>
      </c>
      <c r="BN729" s="67">
        <f>IFERROR((AO729*40)/(((F729*60+G729)/60)*(SUMIFS(팀수비력!Q:Q,팀수비력!A:A,B729,팀수비력!B:B,D729)-SUMIFS(팀수비력!N:N,팀수비력!A:A,B729,팀수비력!B:B,D729)))*100,"")</f>
        <v>0</v>
      </c>
      <c r="BO729" s="67">
        <f t="shared" si="373"/>
        <v>20.161290322580644</v>
      </c>
      <c r="BT729" t="s">
        <v>113</v>
      </c>
      <c r="BV729" t="s">
        <v>90</v>
      </c>
      <c r="CF729">
        <v>0</v>
      </c>
      <c r="CG729">
        <v>5</v>
      </c>
    </row>
    <row r="730" spans="1:85" x14ac:dyDescent="0.4">
      <c r="A730" s="11" t="s">
        <v>85</v>
      </c>
      <c r="B730" t="s">
        <v>183</v>
      </c>
      <c r="C730" t="s">
        <v>193</v>
      </c>
      <c r="D730" s="46" t="s">
        <v>311</v>
      </c>
      <c r="E730">
        <v>8</v>
      </c>
      <c r="F730">
        <v>17</v>
      </c>
      <c r="G730" s="1">
        <v>43</v>
      </c>
      <c r="H730" s="16">
        <f t="shared" si="348"/>
        <v>8504</v>
      </c>
      <c r="I730">
        <v>25</v>
      </c>
      <c r="J730" s="17">
        <f t="shared" si="349"/>
        <v>3.125</v>
      </c>
      <c r="K730">
        <v>10</v>
      </c>
      <c r="L730">
        <v>28</v>
      </c>
      <c r="M730" s="17">
        <f t="shared" si="350"/>
        <v>1.25</v>
      </c>
      <c r="N730" s="17">
        <f t="shared" si="351"/>
        <v>3.5</v>
      </c>
      <c r="O730" s="18">
        <f t="shared" si="352"/>
        <v>0.35714285714285715</v>
      </c>
      <c r="P730">
        <v>7</v>
      </c>
      <c r="Q730">
        <v>13</v>
      </c>
      <c r="R730" s="17">
        <f t="shared" si="353"/>
        <v>0.875</v>
      </c>
      <c r="S730" s="17">
        <f t="shared" si="354"/>
        <v>1.625</v>
      </c>
      <c r="T730" s="18">
        <f t="shared" si="355"/>
        <v>0.53846153846153844</v>
      </c>
      <c r="U730">
        <v>3</v>
      </c>
      <c r="V730">
        <v>15</v>
      </c>
      <c r="W730" s="17">
        <f t="shared" si="356"/>
        <v>0.375</v>
      </c>
      <c r="X730" s="17">
        <f t="shared" si="357"/>
        <v>1.875</v>
      </c>
      <c r="Y730" s="18">
        <f t="shared" si="358"/>
        <v>0.2</v>
      </c>
      <c r="Z730">
        <v>2</v>
      </c>
      <c r="AA730">
        <v>2</v>
      </c>
      <c r="AB730" s="17">
        <f t="shared" si="359"/>
        <v>0.25</v>
      </c>
      <c r="AC730" s="17">
        <f t="shared" si="360"/>
        <v>0.25</v>
      </c>
      <c r="AD730" s="18">
        <f t="shared" si="361"/>
        <v>1</v>
      </c>
      <c r="AE730">
        <v>21</v>
      </c>
      <c r="AF730" s="17">
        <f t="shared" si="362"/>
        <v>2.625</v>
      </c>
      <c r="AG730">
        <v>4</v>
      </c>
      <c r="AH730" s="17">
        <f t="shared" si="363"/>
        <v>0.5</v>
      </c>
      <c r="AI730">
        <v>17</v>
      </c>
      <c r="AJ730" s="17">
        <f t="shared" si="364"/>
        <v>2.125</v>
      </c>
      <c r="AK730">
        <v>2</v>
      </c>
      <c r="AL730" s="17">
        <f t="shared" si="365"/>
        <v>0.25</v>
      </c>
      <c r="AM730">
        <v>3</v>
      </c>
      <c r="AN730" s="17">
        <f t="shared" si="366"/>
        <v>0.375</v>
      </c>
      <c r="AO730">
        <v>1</v>
      </c>
      <c r="AQ730">
        <v>4</v>
      </c>
      <c r="AR730" s="17">
        <f t="shared" si="367"/>
        <v>0.5</v>
      </c>
      <c r="AS730">
        <v>18</v>
      </c>
      <c r="AT730" s="17">
        <f t="shared" si="368"/>
        <v>2.25</v>
      </c>
      <c r="BD730" s="65">
        <f t="shared" si="369"/>
        <v>43.282548476454295</v>
      </c>
      <c r="BE730" s="65">
        <f t="shared" si="370"/>
        <v>41.071428571428569</v>
      </c>
      <c r="BF730" s="66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9.4321995633113414</v>
      </c>
      <c r="BG730" s="38">
        <f t="shared" si="371"/>
        <v>0.5357142857142857</v>
      </c>
      <c r="BH730" s="38">
        <f t="shared" si="372"/>
        <v>7.1428571428571425E-2</v>
      </c>
      <c r="BI730" s="67">
        <f>IFERROR(((AG730*(12000/5))/((F730*60+G730)*(SUMIFS(팀공격력!X:X,팀공격력!A:A,B730,팀공격력!B:B,D730)+SUMIFS(팀수비력!X:X,팀수비력!A:A,B730,팀수비력!B:B,D730))))*100,"")</f>
        <v>1.4045169851457699</v>
      </c>
      <c r="BJ730" s="67">
        <f>IFERROR(((AI730*(12000/5))/((F730*60+G730)*(SUMIFS(팀공격력!V:V,팀공격력!A:A,B730,팀공격력!B:B,D730)+SUMIFS(팀수비력!W:W,팀수비력!A:A,B730,팀수비력!B:B,D730))))*100,"")</f>
        <v>10.751243112484882</v>
      </c>
      <c r="BK730" s="67">
        <f>IFERROR(((AE730*(12000/5))/((F730*60+G730)*(SUMIFS(팀공격력!X:X,팀공격력!A:A,B730,팀공격력!B:B,D730)+SUMIFS(팀수비력!X:X,팀수비력!A:A,B730,팀수비력!B:B,D730))))*100,"")</f>
        <v>7.3737141720152914</v>
      </c>
      <c r="BL730" s="67">
        <f>IFERROR(100*AK730/(((((F730*60+G730)/(12000/5))*SUMIFS(팀공격력!P:P,팀공격력!A:A,B730,팀공격력!B:B,D730))-K730)),"")</f>
        <v>1.9344854268764509</v>
      </c>
      <c r="BM730" s="67" t="str">
        <f>IFERROR(100*((AM730/E730*(2400))/((F730*60+G730)*SUMIFS(팀공격력!AR:AR,팀공격력!A:A,B730,팀공격력!B:B,D730))),"")</f>
        <v/>
      </c>
      <c r="BN730" s="67">
        <f>IFERROR((AO730*40)/(((F730*60+G730)/60)*(SUMIFS(팀수비력!Q:Q,팀수비력!A:A,B730,팀수비력!B:B,D730)-SUMIFS(팀수비력!N:N,팀수비력!A:A,B730,팀수비력!B:B,D730)))*100,"")</f>
        <v>0.63242606544028723</v>
      </c>
      <c r="BO730" s="67">
        <f t="shared" si="373"/>
        <v>12.165450121654503</v>
      </c>
      <c r="BT730" t="s">
        <v>89</v>
      </c>
      <c r="BV730" t="s">
        <v>93</v>
      </c>
      <c r="CF730">
        <v>0</v>
      </c>
      <c r="CG730">
        <v>8</v>
      </c>
    </row>
    <row r="731" spans="1:85" x14ac:dyDescent="0.4">
      <c r="A731" s="11" t="s">
        <v>85</v>
      </c>
      <c r="B731" t="s">
        <v>183</v>
      </c>
      <c r="C731" t="s">
        <v>194</v>
      </c>
      <c r="D731" s="46" t="s">
        <v>311</v>
      </c>
      <c r="E731">
        <v>9</v>
      </c>
      <c r="F731">
        <v>19</v>
      </c>
      <c r="G731" s="1">
        <v>46</v>
      </c>
      <c r="H731" s="16">
        <f t="shared" si="348"/>
        <v>10674</v>
      </c>
      <c r="I731">
        <v>46</v>
      </c>
      <c r="J731" s="17">
        <f t="shared" si="349"/>
        <v>5.1111111111111107</v>
      </c>
      <c r="K731">
        <v>14</v>
      </c>
      <c r="L731">
        <v>50</v>
      </c>
      <c r="M731" s="17">
        <f t="shared" si="350"/>
        <v>1.5555555555555556</v>
      </c>
      <c r="N731" s="17">
        <f t="shared" si="351"/>
        <v>5.5555555555555554</v>
      </c>
      <c r="O731" s="18">
        <f t="shared" si="352"/>
        <v>0.28000000000000003</v>
      </c>
      <c r="P731">
        <v>5</v>
      </c>
      <c r="Q731">
        <v>22</v>
      </c>
      <c r="R731" s="17">
        <f t="shared" si="353"/>
        <v>0.55555555555555558</v>
      </c>
      <c r="S731" s="17">
        <f t="shared" si="354"/>
        <v>2.4444444444444446</v>
      </c>
      <c r="T731" s="18">
        <f t="shared" si="355"/>
        <v>0.22727272727272727</v>
      </c>
      <c r="U731">
        <v>9</v>
      </c>
      <c r="V731">
        <v>28</v>
      </c>
      <c r="W731" s="17">
        <f t="shared" si="356"/>
        <v>1</v>
      </c>
      <c r="X731" s="17">
        <f t="shared" si="357"/>
        <v>3.1111111111111112</v>
      </c>
      <c r="Y731" s="18">
        <f t="shared" si="358"/>
        <v>0.32142857142857145</v>
      </c>
      <c r="Z731">
        <v>9</v>
      </c>
      <c r="AA731">
        <v>10</v>
      </c>
      <c r="AB731" s="17">
        <f t="shared" si="359"/>
        <v>1</v>
      </c>
      <c r="AC731" s="17">
        <f t="shared" si="360"/>
        <v>1.1111111111111112</v>
      </c>
      <c r="AD731" s="18">
        <f t="shared" si="361"/>
        <v>0.9</v>
      </c>
      <c r="AE731">
        <v>13</v>
      </c>
      <c r="AF731" s="17">
        <f t="shared" si="362"/>
        <v>1.4444444444444444</v>
      </c>
      <c r="AG731">
        <v>6</v>
      </c>
      <c r="AH731" s="17">
        <f t="shared" si="363"/>
        <v>0.66666666666666663</v>
      </c>
      <c r="AI731">
        <v>7</v>
      </c>
      <c r="AJ731" s="17">
        <f t="shared" si="364"/>
        <v>0.77777777777777779</v>
      </c>
      <c r="AK731">
        <v>17</v>
      </c>
      <c r="AL731" s="17">
        <f t="shared" si="365"/>
        <v>1.8888888888888888</v>
      </c>
      <c r="AM731">
        <v>5</v>
      </c>
      <c r="AN731" s="17">
        <f t="shared" si="366"/>
        <v>0.55555555555555558</v>
      </c>
      <c r="AO731">
        <v>1</v>
      </c>
      <c r="AQ731">
        <v>6</v>
      </c>
      <c r="AR731" s="17">
        <f t="shared" si="367"/>
        <v>0.66666666666666663</v>
      </c>
      <c r="AS731">
        <v>20</v>
      </c>
      <c r="AT731" s="17">
        <f t="shared" si="368"/>
        <v>2.2222222222222223</v>
      </c>
      <c r="BD731" s="65">
        <f t="shared" si="369"/>
        <v>42.279411764705884</v>
      </c>
      <c r="BE731" s="65">
        <f t="shared" si="370"/>
        <v>37</v>
      </c>
      <c r="BF731" s="66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15.529829442705386</v>
      </c>
      <c r="BG731" s="38">
        <f t="shared" si="371"/>
        <v>0.56000000000000005</v>
      </c>
      <c r="BH731" s="38">
        <f t="shared" si="372"/>
        <v>0.2</v>
      </c>
      <c r="BI731" s="67">
        <f>IFERROR(((AG731*(12000/5))/((F731*60+G731)*(SUMIFS(팀공격력!X:X,팀공격력!A:A,B731,팀공격력!B:B,D731)+SUMIFS(팀수비력!X:X,팀수비력!A:A,B731,팀수비력!B:B,D731))))*100,"")</f>
        <v>1.8882818995066866</v>
      </c>
      <c r="BJ731" s="67">
        <f>IFERROR(((AI731*(12000/5))/((F731*60+G731)*(SUMIFS(팀공격력!V:V,팀공격력!A:A,B731,팀공격력!B:B,D731)+SUMIFS(팀수비력!W:W,팀수비력!A:A,B731,팀수비력!B:B,D731))))*100,"")</f>
        <v>3.9678603313163379</v>
      </c>
      <c r="BK731" s="67">
        <f>IFERROR(((AE731*(12000/5))/((F731*60+G731)*(SUMIFS(팀공격력!X:X,팀공격력!A:A,B731,팀공격력!B:B,D731)+SUMIFS(팀수비력!X:X,팀수비력!A:A,B731,팀수비력!B:B,D731))))*100,"")</f>
        <v>4.0912774489311534</v>
      </c>
      <c r="BL731" s="67">
        <f>IFERROR(100*AK731/(((((F731*60+G731)/(12000/5))*SUMIFS(팀공격력!P:P,팀공격력!A:A,B731,팀공격력!B:B,D731))-K731)),"")</f>
        <v>15.11021569092202</v>
      </c>
      <c r="BM731" s="67" t="str">
        <f>IFERROR(100*((AM731/E731*(2400))/((F731*60+G731)*SUMIFS(팀공격력!AR:AR,팀공격력!A:A,B731,팀공격력!B:B,D731))),"")</f>
        <v/>
      </c>
      <c r="BN731" s="67">
        <f>IFERROR((AO731*40)/(((F731*60+G731)/60)*(SUMIFS(팀수비력!Q:Q,팀수비력!A:A,B731,팀수비력!B:B,D731)-SUMIFS(팀수비력!N:N,팀수비력!A:A,B731,팀수비력!B:B,D731)))*100,"")</f>
        <v>0.56683719018804823</v>
      </c>
      <c r="BO731" s="67">
        <f t="shared" si="373"/>
        <v>9.9337748344370862</v>
      </c>
      <c r="BT731" t="s">
        <v>89</v>
      </c>
      <c r="BV731" t="s">
        <v>90</v>
      </c>
      <c r="CF731">
        <v>0</v>
      </c>
      <c r="CG731">
        <v>9</v>
      </c>
    </row>
    <row r="732" spans="1:85" x14ac:dyDescent="0.4">
      <c r="A732" s="11" t="s">
        <v>85</v>
      </c>
      <c r="B732" t="s">
        <v>183</v>
      </c>
      <c r="C732" t="s">
        <v>195</v>
      </c>
      <c r="D732" s="46" t="s">
        <v>311</v>
      </c>
      <c r="E732">
        <v>9</v>
      </c>
      <c r="F732">
        <v>20</v>
      </c>
      <c r="G732" s="1">
        <v>29</v>
      </c>
      <c r="H732" s="16">
        <f t="shared" si="348"/>
        <v>11061</v>
      </c>
      <c r="I732">
        <v>138</v>
      </c>
      <c r="J732" s="17">
        <f t="shared" si="349"/>
        <v>15.333333333333334</v>
      </c>
      <c r="K732">
        <v>60</v>
      </c>
      <c r="L732">
        <v>118</v>
      </c>
      <c r="M732" s="17">
        <f t="shared" si="350"/>
        <v>6.666666666666667</v>
      </c>
      <c r="N732" s="17">
        <f t="shared" si="351"/>
        <v>13.111111111111111</v>
      </c>
      <c r="O732" s="18">
        <f t="shared" si="352"/>
        <v>0.50847457627118642</v>
      </c>
      <c r="P732">
        <v>48</v>
      </c>
      <c r="Q732">
        <v>80</v>
      </c>
      <c r="R732" s="17">
        <f t="shared" si="353"/>
        <v>5.333333333333333</v>
      </c>
      <c r="S732" s="17">
        <f t="shared" si="354"/>
        <v>8.8888888888888893</v>
      </c>
      <c r="T732" s="18">
        <f t="shared" si="355"/>
        <v>0.6</v>
      </c>
      <c r="U732">
        <v>12</v>
      </c>
      <c r="V732">
        <v>38</v>
      </c>
      <c r="W732" s="17">
        <f t="shared" si="356"/>
        <v>1.3333333333333333</v>
      </c>
      <c r="X732" s="17">
        <f t="shared" si="357"/>
        <v>4.2222222222222223</v>
      </c>
      <c r="Y732" s="18">
        <f t="shared" si="358"/>
        <v>0.31578947368421051</v>
      </c>
      <c r="Z732">
        <v>6</v>
      </c>
      <c r="AA732">
        <v>11</v>
      </c>
      <c r="AB732" s="17">
        <f t="shared" si="359"/>
        <v>0.66666666666666663</v>
      </c>
      <c r="AC732" s="17">
        <f t="shared" si="360"/>
        <v>1.2222222222222223</v>
      </c>
      <c r="AD732" s="18">
        <f t="shared" si="361"/>
        <v>0.54545454545454541</v>
      </c>
      <c r="AE732">
        <v>59</v>
      </c>
      <c r="AF732" s="17">
        <f t="shared" si="362"/>
        <v>6.5555555555555554</v>
      </c>
      <c r="AG732">
        <v>18</v>
      </c>
      <c r="AH732" s="17">
        <f t="shared" si="363"/>
        <v>2</v>
      </c>
      <c r="AI732">
        <v>41</v>
      </c>
      <c r="AJ732" s="17">
        <f t="shared" si="364"/>
        <v>4.5555555555555554</v>
      </c>
      <c r="AK732">
        <v>8</v>
      </c>
      <c r="AL732" s="17">
        <f t="shared" si="365"/>
        <v>0.88888888888888884</v>
      </c>
      <c r="AM732">
        <v>6</v>
      </c>
      <c r="AN732" s="17">
        <f t="shared" si="366"/>
        <v>0.66666666666666663</v>
      </c>
      <c r="AO732">
        <v>6</v>
      </c>
      <c r="AQ732">
        <v>17</v>
      </c>
      <c r="AR732" s="17">
        <f t="shared" si="367"/>
        <v>1.8888888888888888</v>
      </c>
      <c r="AS732">
        <v>14</v>
      </c>
      <c r="AT732" s="17">
        <f t="shared" si="368"/>
        <v>1.5555555555555556</v>
      </c>
      <c r="BD732" s="65">
        <f t="shared" si="369"/>
        <v>56.170628459785085</v>
      </c>
      <c r="BE732" s="65">
        <f t="shared" si="370"/>
        <v>55.932203389830505</v>
      </c>
      <c r="BF732" s="66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34.697163205855119</v>
      </c>
      <c r="BG732" s="38">
        <f t="shared" si="371"/>
        <v>0.32203389830508472</v>
      </c>
      <c r="BH732" s="38">
        <f t="shared" si="372"/>
        <v>9.3220338983050849E-2</v>
      </c>
      <c r="BI732" s="67">
        <f>IFERROR(((AG732*(12000/5))/((F732*60+G732)*(SUMIFS(팀공격력!X:X,팀공격력!A:A,B732,팀공격력!B:B,D732)+SUMIFS(팀수비력!X:X,팀수비력!A:A,B732,팀수비력!B:B,D732))))*100,"")</f>
        <v>5.4666452387671196</v>
      </c>
      <c r="BJ732" s="67">
        <f>IFERROR(((AI732*(12000/5))/((F732*60+G732)*(SUMIFS(팀공격력!V:V,팀공격력!A:A,B732,팀공격력!B:B,D732)+SUMIFS(팀수비력!W:W,팀수비력!A:A,B732,팀수비력!B:B,D732))))*100,"")</f>
        <v>22.427197078994332</v>
      </c>
      <c r="BK732" s="67">
        <f>IFERROR(((AE732*(12000/5))/((F732*60+G732)*(SUMIFS(팀공격력!X:X,팀공격력!A:A,B732,팀공격력!B:B,D732)+SUMIFS(팀수비력!X:X,팀수비력!A:A,B732,팀수비력!B:B,D732))))*100,"")</f>
        <v>17.918448282625558</v>
      </c>
      <c r="BL732" s="67">
        <f>IFERROR(100*AK732/(((((F732*60+G732)/(12000/5))*SUMIFS(팀공격력!P:P,팀공격력!A:A,B732,팀공격력!B:B,D732))-K732)),"")</f>
        <v>11.252813203300825</v>
      </c>
      <c r="BM732" s="67" t="str">
        <f>IFERROR(100*((AM732/E732*(2400))/((F732*60+G732)*SUMIFS(팀공격력!AR:AR,팀공격력!A:A,B732,팀공격력!B:B,D732))),"")</f>
        <v/>
      </c>
      <c r="BN732" s="67">
        <f>IFERROR((AO732*40)/(((F732*60+G732)/60)*(SUMIFS(팀수비력!Q:Q,팀수비력!A:A,B732,팀수비력!B:B,D732)-SUMIFS(팀수비력!N:N,팀수비력!A:A,B732,팀수비력!B:B,D732)))*100,"")</f>
        <v>3.2820288408284388</v>
      </c>
      <c r="BO732" s="67">
        <f t="shared" si="373"/>
        <v>12.15675057208238</v>
      </c>
      <c r="BT732" t="s">
        <v>96</v>
      </c>
      <c r="BV732" t="s">
        <v>93</v>
      </c>
      <c r="CF732">
        <v>0</v>
      </c>
      <c r="CG732">
        <v>9</v>
      </c>
    </row>
    <row r="733" spans="1:85" x14ac:dyDescent="0.4">
      <c r="A733" s="11" t="s">
        <v>85</v>
      </c>
      <c r="B733" t="s">
        <v>183</v>
      </c>
      <c r="C733" t="s">
        <v>196</v>
      </c>
      <c r="D733" s="46" t="s">
        <v>311</v>
      </c>
      <c r="E733">
        <v>7</v>
      </c>
      <c r="F733">
        <v>16</v>
      </c>
      <c r="G733" s="1">
        <v>54</v>
      </c>
      <c r="H733" s="16">
        <f t="shared" si="348"/>
        <v>7098</v>
      </c>
      <c r="I733">
        <v>29</v>
      </c>
      <c r="J733" s="17">
        <f t="shared" si="349"/>
        <v>4.1428571428571432</v>
      </c>
      <c r="K733">
        <v>12</v>
      </c>
      <c r="L733">
        <v>34</v>
      </c>
      <c r="M733" s="17">
        <f t="shared" si="350"/>
        <v>1.7142857142857142</v>
      </c>
      <c r="N733" s="17">
        <f t="shared" si="351"/>
        <v>4.8571428571428568</v>
      </c>
      <c r="O733" s="18">
        <f t="shared" si="352"/>
        <v>0.35294117647058826</v>
      </c>
      <c r="P733">
        <v>11</v>
      </c>
      <c r="Q733">
        <v>30</v>
      </c>
      <c r="R733" s="17">
        <f t="shared" si="353"/>
        <v>1.5714285714285714</v>
      </c>
      <c r="S733" s="17">
        <f t="shared" si="354"/>
        <v>4.2857142857142856</v>
      </c>
      <c r="T733" s="18">
        <f t="shared" si="355"/>
        <v>0.36666666666666664</v>
      </c>
      <c r="U733">
        <v>1</v>
      </c>
      <c r="V733">
        <v>4</v>
      </c>
      <c r="W733" s="17">
        <f t="shared" si="356"/>
        <v>0.14285714285714285</v>
      </c>
      <c r="X733" s="17">
        <f t="shared" si="357"/>
        <v>0.5714285714285714</v>
      </c>
      <c r="Y733" s="18">
        <f t="shared" si="358"/>
        <v>0.25</v>
      </c>
      <c r="Z733">
        <v>4</v>
      </c>
      <c r="AA733">
        <v>8</v>
      </c>
      <c r="AB733" s="17">
        <f t="shared" si="359"/>
        <v>0.5714285714285714</v>
      </c>
      <c r="AC733" s="17">
        <f t="shared" si="360"/>
        <v>1.1428571428571428</v>
      </c>
      <c r="AD733" s="18">
        <f t="shared" si="361"/>
        <v>0.5</v>
      </c>
      <c r="AE733">
        <v>30</v>
      </c>
      <c r="AF733" s="17">
        <f t="shared" si="362"/>
        <v>4.2857142857142856</v>
      </c>
      <c r="AG733">
        <v>15</v>
      </c>
      <c r="AH733" s="17">
        <f t="shared" si="363"/>
        <v>2.1428571428571428</v>
      </c>
      <c r="AI733">
        <v>15</v>
      </c>
      <c r="AJ733" s="17">
        <f t="shared" si="364"/>
        <v>2.1428571428571428</v>
      </c>
      <c r="AK733">
        <v>1</v>
      </c>
      <c r="AL733" s="17">
        <f t="shared" si="365"/>
        <v>0.14285714285714285</v>
      </c>
      <c r="AM733">
        <v>6</v>
      </c>
      <c r="AN733" s="17">
        <f t="shared" si="366"/>
        <v>0.8571428571428571</v>
      </c>
      <c r="AO733">
        <v>1</v>
      </c>
      <c r="AQ733">
        <v>3</v>
      </c>
      <c r="AR733" s="17">
        <f t="shared" si="367"/>
        <v>0.42857142857142855</v>
      </c>
      <c r="AS733">
        <v>16</v>
      </c>
      <c r="AT733" s="17">
        <f t="shared" si="368"/>
        <v>2.2857142857142856</v>
      </c>
      <c r="BD733" s="65">
        <f t="shared" si="369"/>
        <v>38.646055437100209</v>
      </c>
      <c r="BE733" s="65">
        <f t="shared" si="370"/>
        <v>36.764705882352942</v>
      </c>
      <c r="BF733" s="66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12.185571945998552</v>
      </c>
      <c r="BG733" s="38">
        <f t="shared" si="371"/>
        <v>0.11764705882352941</v>
      </c>
      <c r="BH733" s="38">
        <f t="shared" si="372"/>
        <v>0.23529411764705882</v>
      </c>
      <c r="BI733" s="67">
        <f>IFERROR(((AG733*(12000/5))/((F733*60+G733)*(SUMIFS(팀공격력!X:X,팀공격력!A:A,B733,팀공격력!B:B,D733)+SUMIFS(팀수비력!X:X,팀수비력!A:A,B733,팀수비력!B:B,D733))))*100,"")</f>
        <v>5.5214554556581117</v>
      </c>
      <c r="BJ733" s="67">
        <f>IFERROR(((AI733*(12000/5))/((F733*60+G733)*(SUMIFS(팀공격력!V:V,팀공격력!A:A,B733,팀공격력!B:B,D733)+SUMIFS(팀수비력!W:W,팀수비력!A:A,B733,팀수비력!B:B,D733))))*100,"")</f>
        <v>9.9448063248968221</v>
      </c>
      <c r="BK733" s="67">
        <f>IFERROR(((AE733*(12000/5))/((F733*60+G733)*(SUMIFS(팀공격력!X:X,팀공격력!A:A,B733,팀공격력!B:B,D733)+SUMIFS(팀수비력!X:X,팀수비력!A:A,B733,팀수비력!B:B,D733))))*100,"")</f>
        <v>11.042910911316223</v>
      </c>
      <c r="BL733" s="67">
        <f>IFERROR(100*AK733/(((((F733*60+G733)/(12000/5))*SUMIFS(팀공격력!P:P,팀공격력!A:A,B733,팀공격력!B:B,D733))-K733)),"")</f>
        <v>1.0399334442595674</v>
      </c>
      <c r="BM733" s="67" t="str">
        <f>IFERROR(100*((AM733/E733*(2400))/((F733*60+G733)*SUMIFS(팀공격력!AR:AR,팀공격력!A:A,B733,팀공격력!B:B,D733))),"")</f>
        <v/>
      </c>
      <c r="BN733" s="67">
        <f>IFERROR((AO733*40)/(((F733*60+G733)/60)*(SUMIFS(팀수비력!Q:Q,팀수비력!A:A,B733,팀수비력!B:B,D733)-SUMIFS(팀수비력!N:N,팀수비력!A:A,B733,팀수비력!B:B,D733)))*100,"")</f>
        <v>0.66298708832645492</v>
      </c>
      <c r="BO733" s="67">
        <f t="shared" si="373"/>
        <v>7.4037512339585385</v>
      </c>
      <c r="BT733" t="s">
        <v>89</v>
      </c>
      <c r="BV733" t="s">
        <v>102</v>
      </c>
      <c r="CF733">
        <v>0</v>
      </c>
      <c r="CG733">
        <v>7</v>
      </c>
    </row>
    <row r="734" spans="1:85" x14ac:dyDescent="0.4">
      <c r="A734" s="11" t="s">
        <v>85</v>
      </c>
      <c r="B734" t="s">
        <v>183</v>
      </c>
      <c r="C734" t="s">
        <v>197</v>
      </c>
      <c r="D734" s="46" t="s">
        <v>311</v>
      </c>
      <c r="E734">
        <v>9</v>
      </c>
      <c r="F734">
        <v>22</v>
      </c>
      <c r="G734" s="1">
        <v>21</v>
      </c>
      <c r="H734" s="16">
        <f t="shared" si="348"/>
        <v>12069</v>
      </c>
      <c r="I734">
        <v>67</v>
      </c>
      <c r="J734" s="17">
        <f t="shared" si="349"/>
        <v>7.4444444444444446</v>
      </c>
      <c r="K734">
        <v>23</v>
      </c>
      <c r="L734">
        <v>79</v>
      </c>
      <c r="M734" s="17">
        <f t="shared" si="350"/>
        <v>2.5555555555555554</v>
      </c>
      <c r="N734" s="17">
        <f t="shared" si="351"/>
        <v>8.7777777777777786</v>
      </c>
      <c r="O734" s="18">
        <f t="shared" si="352"/>
        <v>0.29113924050632911</v>
      </c>
      <c r="P734">
        <v>15</v>
      </c>
      <c r="Q734">
        <v>36</v>
      </c>
      <c r="R734" s="17">
        <f t="shared" si="353"/>
        <v>1.6666666666666667</v>
      </c>
      <c r="S734" s="17">
        <f t="shared" si="354"/>
        <v>4</v>
      </c>
      <c r="T734" s="18">
        <f t="shared" si="355"/>
        <v>0.41666666666666669</v>
      </c>
      <c r="U734">
        <v>8</v>
      </c>
      <c r="V734">
        <v>43</v>
      </c>
      <c r="W734" s="17">
        <f t="shared" si="356"/>
        <v>0.88888888888888884</v>
      </c>
      <c r="X734" s="17">
        <f t="shared" si="357"/>
        <v>4.7777777777777777</v>
      </c>
      <c r="Y734" s="18">
        <f t="shared" si="358"/>
        <v>0.18604651162790697</v>
      </c>
      <c r="Z734">
        <v>13</v>
      </c>
      <c r="AA734">
        <v>15</v>
      </c>
      <c r="AB734" s="17">
        <f t="shared" si="359"/>
        <v>1.4444444444444444</v>
      </c>
      <c r="AC734" s="17">
        <f t="shared" si="360"/>
        <v>1.6666666666666667</v>
      </c>
      <c r="AD734" s="18">
        <f t="shared" si="361"/>
        <v>0.8666666666666667</v>
      </c>
      <c r="AE734">
        <v>20</v>
      </c>
      <c r="AF734" s="17">
        <f t="shared" si="362"/>
        <v>2.2222222222222223</v>
      </c>
      <c r="AG734">
        <v>3</v>
      </c>
      <c r="AH734" s="17">
        <f t="shared" si="363"/>
        <v>0.33333333333333331</v>
      </c>
      <c r="AI734">
        <v>17</v>
      </c>
      <c r="AJ734" s="17">
        <f t="shared" si="364"/>
        <v>1.8888888888888888</v>
      </c>
      <c r="AK734">
        <v>38</v>
      </c>
      <c r="AL734" s="17">
        <f t="shared" si="365"/>
        <v>4.2222222222222223</v>
      </c>
      <c r="AM734">
        <v>4</v>
      </c>
      <c r="AN734" s="17">
        <f t="shared" si="366"/>
        <v>0.44444444444444442</v>
      </c>
      <c r="AO734">
        <v>0</v>
      </c>
      <c r="AQ734">
        <v>11</v>
      </c>
      <c r="AR734" s="17">
        <f t="shared" si="367"/>
        <v>1.2222222222222223</v>
      </c>
      <c r="AS734">
        <v>18</v>
      </c>
      <c r="AT734" s="17">
        <f t="shared" si="368"/>
        <v>2</v>
      </c>
      <c r="BD734" s="65">
        <f t="shared" si="369"/>
        <v>39.135514018691595</v>
      </c>
      <c r="BE734" s="65">
        <f t="shared" si="370"/>
        <v>34.177215189873415</v>
      </c>
      <c r="BF734" s="66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21.966597128515509</v>
      </c>
      <c r="BG734" s="38">
        <f t="shared" si="371"/>
        <v>0.54430379746835444</v>
      </c>
      <c r="BH734" s="38">
        <f t="shared" si="372"/>
        <v>0.189873417721519</v>
      </c>
      <c r="BI734" s="67">
        <f>IFERROR(((AG734*(12000/5))/((F734*60+G734)*(SUMIFS(팀공격력!X:X,팀공격력!A:A,B734,팀공격력!B:B,D734)+SUMIFS(팀수비력!X:X,팀수비력!A:A,B734,팀수비력!B:B,D734))))*100,"")</f>
        <v>0.835012055486551</v>
      </c>
      <c r="BJ734" s="67">
        <f>IFERROR(((AI734*(12000/5))/((F734*60+G734)*(SUMIFS(팀공격력!V:V,팀공격력!A:A,B734,팀공격력!B:B,D734)+SUMIFS(팀수비력!W:W,팀수비력!A:A,B734,팀수비력!B:B,D734))))*100,"")</f>
        <v>8.5224246298071815</v>
      </c>
      <c r="BK734" s="67">
        <f>IFERROR(((AE734*(12000/5))/((F734*60+G734)*(SUMIFS(팀공격력!X:X,팀공격력!A:A,B734,팀공격력!B:B,D734)+SUMIFS(팀수비력!X:X,팀수비력!A:A,B734,팀수비력!B:B,D734))))*100,"")</f>
        <v>5.5667470365770066</v>
      </c>
      <c r="BL734" s="67">
        <f>IFERROR(100*AK734/(((((F734*60+G734)/(12000/5))*SUMIFS(팀공격력!P:P,팀공격력!A:A,B734,팀공격력!B:B,D734))-K734)),"")</f>
        <v>31.656114628457182</v>
      </c>
      <c r="BM734" s="67" t="str">
        <f>IFERROR(100*((AM734/E734*(2400))/((F734*60+G734)*SUMIFS(팀공격력!AR:AR,팀공격력!A:A,B734,팀공격력!B:B,D734))),"")</f>
        <v/>
      </c>
      <c r="BN734" s="67">
        <f>IFERROR((AO734*40)/(((F734*60+G734)/60)*(SUMIFS(팀수비력!Q:Q,팀수비력!A:A,B734,팀수비력!B:B,D734)-SUMIFS(팀수비력!N:N,팀수비력!A:A,B734,팀수비력!B:B,D734)))*100,"")</f>
        <v>0</v>
      </c>
      <c r="BO734" s="67">
        <f t="shared" si="373"/>
        <v>11.387163561076605</v>
      </c>
      <c r="BT734" t="s">
        <v>89</v>
      </c>
      <c r="BV734" t="s">
        <v>90</v>
      </c>
      <c r="CF734">
        <v>0</v>
      </c>
      <c r="CG734">
        <v>9</v>
      </c>
    </row>
    <row r="735" spans="1:85" x14ac:dyDescent="0.4">
      <c r="A735" s="11" t="s">
        <v>85</v>
      </c>
      <c r="B735" t="s">
        <v>183</v>
      </c>
      <c r="C735" t="s">
        <v>198</v>
      </c>
      <c r="D735" s="46" t="s">
        <v>311</v>
      </c>
      <c r="E735">
        <v>4</v>
      </c>
      <c r="F735">
        <v>8</v>
      </c>
      <c r="G735" s="1">
        <v>47</v>
      </c>
      <c r="H735" s="16">
        <f t="shared" si="348"/>
        <v>2108</v>
      </c>
      <c r="I735">
        <v>11</v>
      </c>
      <c r="J735" s="17">
        <f t="shared" si="349"/>
        <v>2.75</v>
      </c>
      <c r="K735">
        <v>5</v>
      </c>
      <c r="L735">
        <v>10</v>
      </c>
      <c r="M735" s="17">
        <f t="shared" si="350"/>
        <v>1.25</v>
      </c>
      <c r="N735" s="17">
        <f t="shared" si="351"/>
        <v>2.5</v>
      </c>
      <c r="O735" s="18">
        <f t="shared" si="352"/>
        <v>0.5</v>
      </c>
      <c r="P735">
        <v>5</v>
      </c>
      <c r="Q735">
        <v>10</v>
      </c>
      <c r="R735" s="17">
        <f t="shared" si="353"/>
        <v>1.25</v>
      </c>
      <c r="S735" s="17">
        <f t="shared" si="354"/>
        <v>2.5</v>
      </c>
      <c r="T735" s="18">
        <f t="shared" si="355"/>
        <v>0.5</v>
      </c>
      <c r="U735">
        <v>0</v>
      </c>
      <c r="V735">
        <v>0</v>
      </c>
      <c r="W735" s="17">
        <f t="shared" si="356"/>
        <v>0</v>
      </c>
      <c r="X735" s="17">
        <f t="shared" si="357"/>
        <v>0</v>
      </c>
      <c r="Y735" s="18" t="e">
        <f t="shared" si="358"/>
        <v>#DIV/0!</v>
      </c>
      <c r="Z735">
        <v>1</v>
      </c>
      <c r="AA735">
        <v>2</v>
      </c>
      <c r="AB735" s="17">
        <f t="shared" si="359"/>
        <v>0.25</v>
      </c>
      <c r="AC735" s="17">
        <f t="shared" si="360"/>
        <v>0.5</v>
      </c>
      <c r="AD735" s="18">
        <f t="shared" si="361"/>
        <v>0.5</v>
      </c>
      <c r="AE735">
        <v>7</v>
      </c>
      <c r="AF735" s="17">
        <f t="shared" si="362"/>
        <v>1.75</v>
      </c>
      <c r="AG735">
        <v>4</v>
      </c>
      <c r="AH735" s="17">
        <f t="shared" si="363"/>
        <v>1</v>
      </c>
      <c r="AI735">
        <v>3</v>
      </c>
      <c r="AJ735" s="17">
        <f t="shared" si="364"/>
        <v>0.75</v>
      </c>
      <c r="AK735">
        <v>2</v>
      </c>
      <c r="AL735" s="17">
        <f t="shared" si="365"/>
        <v>0.5</v>
      </c>
      <c r="AM735">
        <v>0</v>
      </c>
      <c r="AN735" s="17">
        <f t="shared" si="366"/>
        <v>0</v>
      </c>
      <c r="AO735">
        <v>0</v>
      </c>
      <c r="AQ735">
        <v>2</v>
      </c>
      <c r="AR735" s="17">
        <f t="shared" si="367"/>
        <v>0.5</v>
      </c>
      <c r="AS735">
        <v>5</v>
      </c>
      <c r="AT735" s="17">
        <f t="shared" si="368"/>
        <v>1.25</v>
      </c>
      <c r="BD735" s="65">
        <f t="shared" si="369"/>
        <v>50.55147058823529</v>
      </c>
      <c r="BE735" s="65">
        <f t="shared" si="370"/>
        <v>50</v>
      </c>
      <c r="BF735" s="66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7.4528037316481477</v>
      </c>
      <c r="BG735" s="38">
        <f t="shared" si="371"/>
        <v>0</v>
      </c>
      <c r="BH735" s="38">
        <f t="shared" si="372"/>
        <v>0.2</v>
      </c>
      <c r="BI735" s="67">
        <f>IFERROR(((AG735*(12000/5))/((F735*60+G735)*(SUMIFS(팀공격력!X:X,팀공격력!A:A,B735,팀공격력!B:B,D735)+SUMIFS(팀수비력!X:X,팀수비력!A:A,B735,팀수비력!B:B,D735))))*100,"")</f>
        <v>2.8330200288613914</v>
      </c>
      <c r="BJ735" s="67">
        <f>IFERROR(((AI735*(12000/5))/((F735*60+G735)*(SUMIFS(팀공격력!V:V,팀공격력!A:A,B735,팀공격력!B:B,D735)+SUMIFS(팀수비력!W:W,팀수비력!A:A,B735,팀수비력!B:B,D735))))*100,"")</f>
        <v>3.8269577280627622</v>
      </c>
      <c r="BK735" s="67">
        <f>IFERROR(((AE735*(12000/5))/((F735*60+G735)*(SUMIFS(팀공격력!X:X,팀공격력!A:A,B735,팀공격력!B:B,D735)+SUMIFS(팀수비력!X:X,팀수비력!A:A,B735,팀수비력!B:B,D735))))*100,"")</f>
        <v>4.957785050507435</v>
      </c>
      <c r="BL735" s="67">
        <f>IFERROR(100*AK735/(((((F735*60+G735)/(12000/5))*SUMIFS(팀공격력!P:P,팀공격력!A:A,B735,팀공격력!B:B,D735))-K735)),"")</f>
        <v>3.9052330122363967</v>
      </c>
      <c r="BM735" s="67" t="str">
        <f>IFERROR(100*((AM735/E735*(2400))/((F735*60+G735)*SUMIFS(팀공격력!AR:AR,팀공격력!A:A,B735,팀공격력!B:B,D735))),"")</f>
        <v/>
      </c>
      <c r="BN735" s="67">
        <f>IFERROR((AO735*40)/(((F735*60+G735)/60)*(SUMIFS(팀수비력!Q:Q,팀수비력!A:A,B735,팀수비력!B:B,D735)-SUMIFS(팀수비력!N:N,팀수비력!A:A,B735,팀수비력!B:B,D735)))*100,"")</f>
        <v>0</v>
      </c>
      <c r="BO735" s="67">
        <f t="shared" si="373"/>
        <v>15.527950310559005</v>
      </c>
      <c r="BT735" t="s">
        <v>89</v>
      </c>
      <c r="BV735" t="s">
        <v>102</v>
      </c>
      <c r="CF735">
        <v>0</v>
      </c>
      <c r="CG735">
        <v>4</v>
      </c>
    </row>
    <row r="736" spans="1:85" x14ac:dyDescent="0.4">
      <c r="A736" s="11" t="s">
        <v>85</v>
      </c>
      <c r="B736" t="s">
        <v>183</v>
      </c>
      <c r="C736" t="s">
        <v>199</v>
      </c>
      <c r="D736" s="46" t="s">
        <v>311</v>
      </c>
      <c r="E736">
        <v>5</v>
      </c>
      <c r="F736">
        <v>8</v>
      </c>
      <c r="G736" s="1">
        <v>36</v>
      </c>
      <c r="H736" s="16">
        <f t="shared" si="348"/>
        <v>2580</v>
      </c>
      <c r="I736">
        <v>5</v>
      </c>
      <c r="J736" s="17">
        <f t="shared" si="349"/>
        <v>1</v>
      </c>
      <c r="K736">
        <v>2</v>
      </c>
      <c r="L736">
        <v>16</v>
      </c>
      <c r="M736" s="17">
        <f t="shared" si="350"/>
        <v>0.4</v>
      </c>
      <c r="N736" s="17">
        <f t="shared" si="351"/>
        <v>3.2</v>
      </c>
      <c r="O736" s="18">
        <f t="shared" si="352"/>
        <v>0.125</v>
      </c>
      <c r="P736">
        <v>2</v>
      </c>
      <c r="Q736">
        <v>8</v>
      </c>
      <c r="R736" s="17">
        <f t="shared" si="353"/>
        <v>0.4</v>
      </c>
      <c r="S736" s="17">
        <f t="shared" si="354"/>
        <v>1.6</v>
      </c>
      <c r="T736" s="18">
        <f t="shared" si="355"/>
        <v>0.25</v>
      </c>
      <c r="U736">
        <v>0</v>
      </c>
      <c r="V736">
        <v>8</v>
      </c>
      <c r="W736" s="17">
        <f t="shared" si="356"/>
        <v>0</v>
      </c>
      <c r="X736" s="17">
        <f t="shared" si="357"/>
        <v>1.6</v>
      </c>
      <c r="Y736" s="18">
        <f t="shared" si="358"/>
        <v>0</v>
      </c>
      <c r="Z736">
        <v>1</v>
      </c>
      <c r="AA736">
        <v>2</v>
      </c>
      <c r="AB736" s="17">
        <f t="shared" si="359"/>
        <v>0.2</v>
      </c>
      <c r="AC736" s="17">
        <f t="shared" si="360"/>
        <v>0.4</v>
      </c>
      <c r="AD736" s="18">
        <f t="shared" si="361"/>
        <v>0.5</v>
      </c>
      <c r="AE736">
        <v>7</v>
      </c>
      <c r="AF736" s="17">
        <f t="shared" si="362"/>
        <v>1.4</v>
      </c>
      <c r="AG736">
        <v>4</v>
      </c>
      <c r="AH736" s="17">
        <f t="shared" si="363"/>
        <v>0.8</v>
      </c>
      <c r="AI736">
        <v>3</v>
      </c>
      <c r="AJ736" s="17">
        <f t="shared" si="364"/>
        <v>0.6</v>
      </c>
      <c r="AK736">
        <v>3</v>
      </c>
      <c r="AL736" s="17">
        <f t="shared" si="365"/>
        <v>0.6</v>
      </c>
      <c r="AM736">
        <v>3</v>
      </c>
      <c r="AN736" s="17">
        <f t="shared" si="366"/>
        <v>0.6</v>
      </c>
      <c r="AO736">
        <v>0</v>
      </c>
      <c r="AQ736">
        <v>1</v>
      </c>
      <c r="AR736" s="17">
        <f t="shared" si="367"/>
        <v>0.2</v>
      </c>
      <c r="AS736">
        <v>7</v>
      </c>
      <c r="AT736" s="17">
        <f t="shared" si="368"/>
        <v>1.4</v>
      </c>
      <c r="BD736" s="65">
        <f t="shared" si="369"/>
        <v>14.810426540284361</v>
      </c>
      <c r="BE736" s="65">
        <f t="shared" si="370"/>
        <v>12.5</v>
      </c>
      <c r="BF736" s="66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10.566526567604496</v>
      </c>
      <c r="BG736" s="38">
        <f t="shared" si="371"/>
        <v>0.5</v>
      </c>
      <c r="BH736" s="38">
        <f t="shared" si="372"/>
        <v>0.125</v>
      </c>
      <c r="BI736" s="67">
        <f>IFERROR(((AG736*(12000/5))/((F736*60+G736)*(SUMIFS(팀공격력!X:X,팀공격력!A:A,B736,팀공격력!B:B,D736)+SUMIFS(팀수비력!X:X,팀수비력!A:A,B736,팀수비력!B:B,D736))))*100,"")</f>
        <v>2.8934138666859561</v>
      </c>
      <c r="BJ736" s="67">
        <f>IFERROR(((AI736*(12000/5))/((F736*60+G736)*(SUMIFS(팀공격력!V:V,팀공격력!A:A,B736,팀공격력!B:B,D736)+SUMIFS(팀수비력!W:W,팀수비력!A:A,B736,팀수비력!B:B,D736))))*100,"")</f>
        <v>3.9085401602501464</v>
      </c>
      <c r="BK736" s="67">
        <f>IFERROR(((AE736*(12000/5))/((F736*60+G736)*(SUMIFS(팀공격력!X:X,팀공격력!A:A,B736,팀공격력!B:B,D736)+SUMIFS(팀수비력!X:X,팀수비력!A:A,B736,팀수비력!B:B,D736))))*100,"")</f>
        <v>5.0634742667004229</v>
      </c>
      <c r="BL736" s="67">
        <f>IFERROR(100*AK736/(((((F736*60+G736)/(12000/5))*SUMIFS(팀공격력!P:P,팀공격력!A:A,B736,팀공격력!B:B,D736))-K736)),"")</f>
        <v>5.6561085972850682</v>
      </c>
      <c r="BM736" s="67" t="str">
        <f>IFERROR(100*((AM736/E736*(2400))/((F736*60+G736)*SUMIFS(팀공격력!AR:AR,팀공격력!A:A,B736,팀공격력!B:B,D736))),"")</f>
        <v/>
      </c>
      <c r="BN736" s="67">
        <f>IFERROR((AO736*40)/(((F736*60+G736)/60)*(SUMIFS(팀수비력!Q:Q,팀수비력!A:A,B736,팀수비력!B:B,D736)-SUMIFS(팀수비력!N:N,팀수비력!A:A,B736,팀수비력!B:B,D736)))*100,"")</f>
        <v>0</v>
      </c>
      <c r="BO736" s="67">
        <f t="shared" si="373"/>
        <v>5.592841163310962</v>
      </c>
      <c r="BT736" t="s">
        <v>89</v>
      </c>
      <c r="BV736" t="s">
        <v>90</v>
      </c>
      <c r="CF736">
        <v>0</v>
      </c>
      <c r="CG736">
        <v>5</v>
      </c>
    </row>
    <row r="737" spans="1:85" x14ac:dyDescent="0.4">
      <c r="A737" s="11" t="s">
        <v>85</v>
      </c>
      <c r="B737" t="s">
        <v>183</v>
      </c>
      <c r="C737" t="s">
        <v>200</v>
      </c>
      <c r="D737" s="46" t="s">
        <v>311</v>
      </c>
      <c r="E737">
        <v>4</v>
      </c>
      <c r="F737">
        <v>18</v>
      </c>
      <c r="G737" s="1">
        <v>27</v>
      </c>
      <c r="H737" s="16">
        <f t="shared" si="348"/>
        <v>4428</v>
      </c>
      <c r="I737">
        <v>32</v>
      </c>
      <c r="J737" s="17">
        <f t="shared" si="349"/>
        <v>8</v>
      </c>
      <c r="K737">
        <v>11</v>
      </c>
      <c r="L737">
        <v>24</v>
      </c>
      <c r="M737" s="17">
        <f t="shared" si="350"/>
        <v>2.75</v>
      </c>
      <c r="N737" s="17">
        <f t="shared" si="351"/>
        <v>6</v>
      </c>
      <c r="O737" s="18">
        <f t="shared" si="352"/>
        <v>0.45833333333333331</v>
      </c>
      <c r="P737">
        <v>10</v>
      </c>
      <c r="Q737">
        <v>21</v>
      </c>
      <c r="R737" s="17">
        <f t="shared" si="353"/>
        <v>2.5</v>
      </c>
      <c r="S737" s="17">
        <f t="shared" si="354"/>
        <v>5.25</v>
      </c>
      <c r="T737" s="18">
        <f t="shared" si="355"/>
        <v>0.47619047619047616</v>
      </c>
      <c r="U737">
        <v>1</v>
      </c>
      <c r="V737">
        <v>3</v>
      </c>
      <c r="W737" s="17">
        <f t="shared" si="356"/>
        <v>0.25</v>
      </c>
      <c r="X737" s="17">
        <f t="shared" si="357"/>
        <v>0.75</v>
      </c>
      <c r="Y737" s="18">
        <f t="shared" si="358"/>
        <v>0.33333333333333331</v>
      </c>
      <c r="Z737">
        <v>9</v>
      </c>
      <c r="AA737">
        <v>11</v>
      </c>
      <c r="AB737" s="17">
        <f t="shared" si="359"/>
        <v>2.25</v>
      </c>
      <c r="AC737" s="17">
        <f t="shared" si="360"/>
        <v>2.75</v>
      </c>
      <c r="AD737" s="18">
        <f t="shared" si="361"/>
        <v>0.81818181818181823</v>
      </c>
      <c r="AE737">
        <v>20</v>
      </c>
      <c r="AF737" s="17">
        <f t="shared" si="362"/>
        <v>5</v>
      </c>
      <c r="AG737">
        <v>8</v>
      </c>
      <c r="AH737" s="17">
        <f t="shared" si="363"/>
        <v>2</v>
      </c>
      <c r="AI737">
        <v>12</v>
      </c>
      <c r="AJ737" s="17">
        <f t="shared" si="364"/>
        <v>3</v>
      </c>
      <c r="AK737">
        <v>0</v>
      </c>
      <c r="AL737" s="17">
        <f t="shared" si="365"/>
        <v>0</v>
      </c>
      <c r="AM737">
        <v>1</v>
      </c>
      <c r="AN737" s="17">
        <f t="shared" si="366"/>
        <v>0.25</v>
      </c>
      <c r="AO737">
        <v>1</v>
      </c>
      <c r="AQ737">
        <v>1</v>
      </c>
      <c r="AR737" s="17">
        <f t="shared" si="367"/>
        <v>0.25</v>
      </c>
      <c r="AS737">
        <v>15</v>
      </c>
      <c r="AT737" s="17">
        <f t="shared" si="368"/>
        <v>3.75</v>
      </c>
      <c r="BD737" s="65">
        <f t="shared" si="369"/>
        <v>55.478502080443825</v>
      </c>
      <c r="BE737" s="65">
        <f t="shared" si="370"/>
        <v>47.916666666666671</v>
      </c>
      <c r="BF737" s="66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8.2198829713444539</v>
      </c>
      <c r="BG737" s="38">
        <f t="shared" si="371"/>
        <v>0.125</v>
      </c>
      <c r="BH737" s="38">
        <f t="shared" si="372"/>
        <v>0.45833333333333331</v>
      </c>
      <c r="BI737" s="67">
        <f>IFERROR(((AG737*(12000/5))/((F737*60+G737)*(SUMIFS(팀공격력!X:X,팀공격력!A:A,B737,팀공격력!B:B,D737)+SUMIFS(팀수비력!X:X,팀수비력!A:A,B737,팀수비력!B:B,D737))))*100,"")</f>
        <v>2.6973831169104847</v>
      </c>
      <c r="BJ737" s="67">
        <f>IFERROR(((AI737*(12000/5))/((F737*60+G737)*(SUMIFS(팀공격력!V:V,팀공격력!A:A,B737,팀공격력!B:B,D737)+SUMIFS(팀수비력!W:W,팀수비력!A:A,B737,팀수비력!B:B,D737))))*100,"")</f>
        <v>7.2874678326615205</v>
      </c>
      <c r="BK737" s="67">
        <f>IFERROR(((AE737*(12000/5))/((F737*60+G737)*(SUMIFS(팀공격력!X:X,팀공격력!A:A,B737,팀공격력!B:B,D737)+SUMIFS(팀수비력!X:X,팀수비력!A:A,B737,팀수비력!B:B,D737))))*100,"")</f>
        <v>6.7434577922762129</v>
      </c>
      <c r="BL737" s="67">
        <f>IFERROR(100*AK737/(((((F737*60+G737)/(12000/5))*SUMIFS(팀공격력!P:P,팀공격력!A:A,B737,팀공격력!B:B,D737))-K737)),"")</f>
        <v>0</v>
      </c>
      <c r="BM737" s="67" t="str">
        <f>IFERROR(100*((AM737/E737*(2400))/((F737*60+G737)*SUMIFS(팀공격력!AR:AR,팀공격력!A:A,B737,팀공격력!B:B,D737))),"")</f>
        <v/>
      </c>
      <c r="BN737" s="67">
        <f>IFERROR((AO737*40)/(((F737*60+G737)/60)*(SUMIFS(팀수비력!Q:Q,팀수비력!A:A,B737,팀수비력!B:B,D737)-SUMIFS(팀수비력!N:N,팀수비력!A:A,B737,팀수비력!B:B,D737)))*100,"")</f>
        <v>0.60728898605512671</v>
      </c>
      <c r="BO737" s="67">
        <f t="shared" si="373"/>
        <v>3.3512064343163539</v>
      </c>
      <c r="BT737" t="s">
        <v>89</v>
      </c>
      <c r="BV737" t="s">
        <v>93</v>
      </c>
      <c r="CF737">
        <v>0</v>
      </c>
      <c r="CG737">
        <v>4</v>
      </c>
    </row>
    <row r="738" spans="1:85" x14ac:dyDescent="0.4">
      <c r="A738" s="11" t="s">
        <v>85</v>
      </c>
      <c r="B738" t="s">
        <v>183</v>
      </c>
      <c r="C738" t="s">
        <v>285</v>
      </c>
      <c r="D738" s="46" t="s">
        <v>311</v>
      </c>
      <c r="E738">
        <v>9</v>
      </c>
      <c r="F738">
        <v>20</v>
      </c>
      <c r="G738" s="1">
        <v>0</v>
      </c>
      <c r="H738" s="16">
        <f t="shared" si="348"/>
        <v>10800</v>
      </c>
      <c r="I738">
        <v>52</v>
      </c>
      <c r="J738" s="17">
        <f t="shared" si="349"/>
        <v>5.7777777777777777</v>
      </c>
      <c r="K738">
        <v>21</v>
      </c>
      <c r="L738">
        <v>42</v>
      </c>
      <c r="M738" s="17">
        <f t="shared" si="350"/>
        <v>2.3333333333333335</v>
      </c>
      <c r="N738" s="17">
        <f t="shared" si="351"/>
        <v>4.666666666666667</v>
      </c>
      <c r="O738" s="18">
        <f t="shared" si="352"/>
        <v>0.5</v>
      </c>
      <c r="P738">
        <v>19</v>
      </c>
      <c r="Q738">
        <v>34</v>
      </c>
      <c r="R738" s="17">
        <f t="shared" si="353"/>
        <v>2.1111111111111112</v>
      </c>
      <c r="S738" s="17">
        <f t="shared" si="354"/>
        <v>3.7777777777777777</v>
      </c>
      <c r="T738" s="18">
        <f t="shared" si="355"/>
        <v>0.55882352941176472</v>
      </c>
      <c r="U738">
        <v>2</v>
      </c>
      <c r="V738">
        <v>8</v>
      </c>
      <c r="W738" s="17">
        <f t="shared" si="356"/>
        <v>0.22222222222222221</v>
      </c>
      <c r="X738" s="17">
        <f t="shared" si="357"/>
        <v>0.88888888888888884</v>
      </c>
      <c r="Y738" s="18">
        <f t="shared" si="358"/>
        <v>0.25</v>
      </c>
      <c r="Z738">
        <v>8</v>
      </c>
      <c r="AA738">
        <v>11</v>
      </c>
      <c r="AB738" s="17">
        <f t="shared" si="359"/>
        <v>0.88888888888888884</v>
      </c>
      <c r="AC738" s="17">
        <f t="shared" si="360"/>
        <v>1.2222222222222223</v>
      </c>
      <c r="AD738" s="18">
        <f t="shared" si="361"/>
        <v>0.72727272727272729</v>
      </c>
      <c r="AE738">
        <v>22</v>
      </c>
      <c r="AF738" s="17">
        <f t="shared" si="362"/>
        <v>2.4444444444444446</v>
      </c>
      <c r="AG738">
        <v>9</v>
      </c>
      <c r="AH738" s="17">
        <f t="shared" si="363"/>
        <v>1</v>
      </c>
      <c r="AI738">
        <v>13</v>
      </c>
      <c r="AJ738" s="17">
        <f t="shared" si="364"/>
        <v>1.4444444444444444</v>
      </c>
      <c r="AK738">
        <v>3</v>
      </c>
      <c r="AL738" s="17">
        <f t="shared" si="365"/>
        <v>0.33333333333333331</v>
      </c>
      <c r="AM738">
        <v>10</v>
      </c>
      <c r="AN738" s="17">
        <f t="shared" si="366"/>
        <v>1.1111111111111112</v>
      </c>
      <c r="AO738">
        <v>2</v>
      </c>
      <c r="AQ738">
        <v>3</v>
      </c>
      <c r="AR738" s="17">
        <f t="shared" si="367"/>
        <v>0.33333333333333331</v>
      </c>
      <c r="AS738">
        <v>15</v>
      </c>
      <c r="AT738" s="17">
        <f t="shared" si="368"/>
        <v>1.6666666666666667</v>
      </c>
      <c r="BD738" s="65">
        <f t="shared" si="369"/>
        <v>55.508112724167368</v>
      </c>
      <c r="BE738" s="65">
        <f t="shared" si="370"/>
        <v>52.380952380952387</v>
      </c>
      <c r="BF738" s="66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12.665175848749747</v>
      </c>
      <c r="BG738" s="38">
        <f t="shared" si="371"/>
        <v>0.19047619047619047</v>
      </c>
      <c r="BH738" s="38">
        <f t="shared" si="372"/>
        <v>0.26190476190476192</v>
      </c>
      <c r="BI738" s="67">
        <f>IFERROR(((AG738*(12000/5))/((F738*60+G738)*(SUMIFS(팀공격력!X:X,팀공격력!A:A,B738,팀공격력!B:B,D738)+SUMIFS(팀수비력!X:X,팀수비력!A:A,B738,팀수비력!B:B,D738))))*100,"")</f>
        <v>2.7993779160186625</v>
      </c>
      <c r="BJ738" s="67">
        <f>IFERROR(((AI738*(12000/5))/((F738*60+G738)*(SUMIFS(팀공격력!V:V,팀공격력!A:A,B738,팀공격력!B:B,D738)+SUMIFS(팀수비력!W:W,팀수비력!A:A,B738,팀수비력!B:B,D738))))*100,"")</f>
        <v>7.2829131652661072</v>
      </c>
      <c r="BK738" s="67">
        <f>IFERROR(((AE738*(12000/5))/((F738*60+G738)*(SUMIFS(팀공격력!X:X,팀공격력!A:A,B738,팀공격력!B:B,D738)+SUMIFS(팀수비력!X:X,팀수비력!A:A,B738,팀수비력!B:B,D738))))*100,"")</f>
        <v>6.8429237947122861</v>
      </c>
      <c r="BL738" s="67">
        <f>IFERROR(100*AK738/(((((F738*60+G738)/(12000/5))*SUMIFS(팀공격력!P:P,팀공격력!A:A,B738,팀공격력!B:B,D738))-K738)),"")</f>
        <v>2.8037383177570092</v>
      </c>
      <c r="BM738" s="67" t="str">
        <f>IFERROR(100*((AM738/E738*(2400))/((F738*60+G738)*SUMIFS(팀공격력!AR:AR,팀공격력!A:A,B738,팀공격력!B:B,D738))),"")</f>
        <v/>
      </c>
      <c r="BN738" s="67">
        <f>IFERROR((AO738*40)/(((F738*60+G738)/60)*(SUMIFS(팀수비력!Q:Q,팀수비력!A:A,B738,팀수비력!B:B,D738)-SUMIFS(팀수비력!N:N,팀수비력!A:A,B738,팀수비력!B:B,D738)))*100,"")</f>
        <v>1.1204481792717087</v>
      </c>
      <c r="BO738" s="67">
        <f t="shared" si="373"/>
        <v>6.0192616372391647</v>
      </c>
      <c r="BT738" t="s">
        <v>89</v>
      </c>
      <c r="BV738" t="s">
        <v>93</v>
      </c>
      <c r="CF738">
        <v>0</v>
      </c>
      <c r="CG738">
        <v>9</v>
      </c>
    </row>
    <row r="739" spans="1:85" x14ac:dyDescent="0.4">
      <c r="A739" s="11" t="s">
        <v>85</v>
      </c>
      <c r="B739" t="s">
        <v>183</v>
      </c>
      <c r="C739" t="s">
        <v>202</v>
      </c>
      <c r="D739" s="46" t="s">
        <v>311</v>
      </c>
      <c r="E739">
        <v>6</v>
      </c>
      <c r="F739">
        <v>24</v>
      </c>
      <c r="G739" s="1">
        <v>22</v>
      </c>
      <c r="H739" s="16">
        <f t="shared" si="348"/>
        <v>8772</v>
      </c>
      <c r="I739">
        <v>108</v>
      </c>
      <c r="J739" s="17">
        <f t="shared" si="349"/>
        <v>18</v>
      </c>
      <c r="K739">
        <v>43</v>
      </c>
      <c r="L739">
        <v>73</v>
      </c>
      <c r="M739" s="17">
        <f t="shared" si="350"/>
        <v>7.166666666666667</v>
      </c>
      <c r="N739" s="17">
        <f t="shared" si="351"/>
        <v>12.166666666666666</v>
      </c>
      <c r="O739" s="18">
        <f t="shared" si="352"/>
        <v>0.58904109589041098</v>
      </c>
      <c r="P739">
        <v>43</v>
      </c>
      <c r="Q739">
        <v>73</v>
      </c>
      <c r="R739" s="17">
        <f t="shared" si="353"/>
        <v>7.166666666666667</v>
      </c>
      <c r="S739" s="17">
        <f t="shared" si="354"/>
        <v>12.166666666666666</v>
      </c>
      <c r="T739" s="18">
        <f t="shared" si="355"/>
        <v>0.58904109589041098</v>
      </c>
      <c r="U739">
        <v>0</v>
      </c>
      <c r="V739">
        <v>0</v>
      </c>
      <c r="W739" s="17">
        <f t="shared" si="356"/>
        <v>0</v>
      </c>
      <c r="X739" s="17">
        <f t="shared" si="357"/>
        <v>0</v>
      </c>
      <c r="Y739" s="18" t="e">
        <f t="shared" si="358"/>
        <v>#DIV/0!</v>
      </c>
      <c r="Z739">
        <v>22</v>
      </c>
      <c r="AA739">
        <v>28</v>
      </c>
      <c r="AB739" s="17">
        <f t="shared" si="359"/>
        <v>3.6666666666666665</v>
      </c>
      <c r="AC739" s="17">
        <f t="shared" si="360"/>
        <v>4.666666666666667</v>
      </c>
      <c r="AD739" s="18">
        <f t="shared" si="361"/>
        <v>0.7857142857142857</v>
      </c>
      <c r="AE739">
        <v>56</v>
      </c>
      <c r="AF739" s="17">
        <f t="shared" si="362"/>
        <v>9.3333333333333339</v>
      </c>
      <c r="AG739">
        <v>22</v>
      </c>
      <c r="AH739" s="17">
        <f t="shared" si="363"/>
        <v>3.6666666666666665</v>
      </c>
      <c r="AI739">
        <v>34</v>
      </c>
      <c r="AJ739" s="17">
        <f t="shared" si="364"/>
        <v>5.666666666666667</v>
      </c>
      <c r="AK739">
        <v>10</v>
      </c>
      <c r="AL739" s="17">
        <f t="shared" si="365"/>
        <v>1.6666666666666667</v>
      </c>
      <c r="AM739">
        <v>2</v>
      </c>
      <c r="AN739" s="17">
        <f t="shared" si="366"/>
        <v>0.33333333333333331</v>
      </c>
      <c r="AO739">
        <v>2</v>
      </c>
      <c r="AQ739">
        <v>18</v>
      </c>
      <c r="AR739" s="17">
        <f t="shared" si="367"/>
        <v>3</v>
      </c>
      <c r="AS739">
        <v>9</v>
      </c>
      <c r="AT739" s="17">
        <f t="shared" si="368"/>
        <v>1.5</v>
      </c>
      <c r="BD739" s="65">
        <f t="shared" si="369"/>
        <v>63.291139240506332</v>
      </c>
      <c r="BE739" s="65">
        <f t="shared" si="370"/>
        <v>58.904109589041099</v>
      </c>
      <c r="BF739" s="66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21.550207756906758</v>
      </c>
      <c r="BG739" s="38">
        <f t="shared" si="371"/>
        <v>0</v>
      </c>
      <c r="BH739" s="38">
        <f t="shared" si="372"/>
        <v>0.38356164383561642</v>
      </c>
      <c r="BI739" s="67">
        <f>IFERROR(((AG739*(12000/5))/((F739*60+G739)*(SUMIFS(팀공격력!X:X,팀공격력!A:A,B739,팀공격력!B:B,D739)+SUMIFS(팀수비력!X:X,팀수비력!A:A,B739,팀수비력!B:B,D739))))*100,"")</f>
        <v>5.6166269176845027</v>
      </c>
      <c r="BJ739" s="67">
        <f>IFERROR(((AI739*(12000/5))/((F739*60+G739)*(SUMIFS(팀공격력!V:V,팀공격력!A:A,B739,팀공격력!B:B,D739)+SUMIFS(팀수비력!W:W,팀수비력!A:A,B739,팀수비력!B:B,D739))))*100,"")</f>
        <v>15.634160641000586</v>
      </c>
      <c r="BK739" s="67">
        <f>IFERROR(((AE739*(12000/5))/((F739*60+G739)*(SUMIFS(팀공격력!X:X,팀공격력!A:A,B739,팀공격력!B:B,D739)+SUMIFS(팀수비력!X:X,팀수비력!A:A,B739,팀수비력!B:B,D739))))*100,"")</f>
        <v>14.296868517742373</v>
      </c>
      <c r="BL739" s="67">
        <f>IFERROR(100*AK739/(((((F739*60+G739)/(12000/5))*SUMIFS(팀공격력!P:P,팀공격력!A:A,B739,팀공격력!B:B,D739))-K739)),"")</f>
        <v>8.8537362767087711</v>
      </c>
      <c r="BM739" s="67" t="str">
        <f>IFERROR(100*((AM739/E739*(2400))/((F739*60+G739)*SUMIFS(팀공격력!AR:AR,팀공격력!A:A,B739,팀공격력!B:B,D739))),"")</f>
        <v/>
      </c>
      <c r="BN739" s="67">
        <f>IFERROR((AO739*40)/(((F739*60+G739)/60)*(SUMIFS(팀수비력!Q:Q,팀수비력!A:A,B739,팀수비력!B:B,D739)-SUMIFS(팀수비력!N:N,팀수비력!A:A,B739,팀수비력!B:B,D739)))*100,"")</f>
        <v>0.91965650829415224</v>
      </c>
      <c r="BO739" s="67">
        <f t="shared" si="373"/>
        <v>17.421602787456447</v>
      </c>
      <c r="BT739" t="s">
        <v>96</v>
      </c>
      <c r="BV739" t="s">
        <v>102</v>
      </c>
      <c r="CF739">
        <v>0</v>
      </c>
      <c r="CG739">
        <v>6</v>
      </c>
    </row>
    <row r="740" spans="1:85" x14ac:dyDescent="0.4">
      <c r="A740" s="11" t="s">
        <v>85</v>
      </c>
      <c r="B740" t="s">
        <v>183</v>
      </c>
      <c r="C740" t="s">
        <v>87</v>
      </c>
      <c r="D740" s="46" t="s">
        <v>311</v>
      </c>
      <c r="E740">
        <v>5</v>
      </c>
      <c r="F740">
        <v>4</v>
      </c>
      <c r="G740" s="1">
        <v>36</v>
      </c>
      <c r="H740" s="16">
        <f t="shared" si="348"/>
        <v>1380</v>
      </c>
      <c r="I740">
        <v>14</v>
      </c>
      <c r="J740" s="17">
        <f t="shared" si="349"/>
        <v>2.8</v>
      </c>
      <c r="K740">
        <v>5</v>
      </c>
      <c r="L740">
        <v>8</v>
      </c>
      <c r="M740" s="17">
        <f t="shared" si="350"/>
        <v>1</v>
      </c>
      <c r="N740" s="17">
        <f t="shared" si="351"/>
        <v>1.6</v>
      </c>
      <c r="O740" s="18">
        <f t="shared" si="352"/>
        <v>0.625</v>
      </c>
      <c r="P740">
        <v>1</v>
      </c>
      <c r="Q740">
        <v>3</v>
      </c>
      <c r="R740" s="17">
        <f t="shared" si="353"/>
        <v>0.2</v>
      </c>
      <c r="S740" s="17">
        <f t="shared" si="354"/>
        <v>0.6</v>
      </c>
      <c r="T740" s="18">
        <f t="shared" si="355"/>
        <v>0.33333333333333331</v>
      </c>
      <c r="U740">
        <v>4</v>
      </c>
      <c r="V740">
        <v>5</v>
      </c>
      <c r="W740" s="17">
        <f t="shared" si="356"/>
        <v>0.8</v>
      </c>
      <c r="X740" s="17">
        <f t="shared" si="357"/>
        <v>1</v>
      </c>
      <c r="Y740" s="18">
        <f t="shared" si="358"/>
        <v>0.8</v>
      </c>
      <c r="Z740">
        <v>0</v>
      </c>
      <c r="AA740">
        <v>0</v>
      </c>
      <c r="AB740" s="17">
        <f t="shared" si="359"/>
        <v>0</v>
      </c>
      <c r="AC740" s="17">
        <f t="shared" si="360"/>
        <v>0</v>
      </c>
      <c r="AD740" s="18" t="e">
        <f t="shared" si="361"/>
        <v>#DIV/0!</v>
      </c>
      <c r="AE740">
        <v>2</v>
      </c>
      <c r="AF740" s="17">
        <f t="shared" si="362"/>
        <v>0.4</v>
      </c>
      <c r="AG740">
        <v>2</v>
      </c>
      <c r="AH740" s="17">
        <f t="shared" si="363"/>
        <v>0.4</v>
      </c>
      <c r="AI740">
        <v>0</v>
      </c>
      <c r="AJ740" s="17">
        <f t="shared" si="364"/>
        <v>0</v>
      </c>
      <c r="AK740">
        <v>3</v>
      </c>
      <c r="AL740" s="17">
        <f t="shared" si="365"/>
        <v>0.6</v>
      </c>
      <c r="AM740">
        <v>0</v>
      </c>
      <c r="AN740" s="17">
        <f t="shared" si="366"/>
        <v>0</v>
      </c>
      <c r="AO740">
        <v>0</v>
      </c>
      <c r="AQ740">
        <v>1</v>
      </c>
      <c r="AR740" s="17">
        <f t="shared" si="367"/>
        <v>0.2</v>
      </c>
      <c r="AS740">
        <v>4</v>
      </c>
      <c r="AT740" s="17">
        <f t="shared" si="368"/>
        <v>0.8</v>
      </c>
      <c r="BD740" s="65">
        <f t="shared" si="369"/>
        <v>87.5</v>
      </c>
      <c r="BE740" s="65">
        <f t="shared" si="370"/>
        <v>87.5</v>
      </c>
      <c r="BF740" s="66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9.9436965802522614</v>
      </c>
      <c r="BG740" s="38">
        <f t="shared" si="371"/>
        <v>0.625</v>
      </c>
      <c r="BH740" s="38">
        <f t="shared" si="372"/>
        <v>0</v>
      </c>
      <c r="BI740" s="67">
        <f>IFERROR(((AG740*(12000/5))/((F740*60+G740)*(SUMIFS(팀공격력!X:X,팀공격력!A:A,B740,팀공격력!B:B,D740)+SUMIFS(팀수비력!X:X,팀수비력!A:A,B740,팀수비력!B:B,D740))))*100,"")</f>
        <v>2.7047129623368722</v>
      </c>
      <c r="BJ740" s="67">
        <f>IFERROR(((AI740*(12000/5))/((F740*60+G740)*(SUMIFS(팀공격력!V:V,팀공격력!A:A,B740,팀공격력!B:B,D740)+SUMIFS(팀수비력!W:W,팀수비력!A:A,B740,팀수비력!B:B,D740))))*100,"")</f>
        <v>0</v>
      </c>
      <c r="BK740" s="67">
        <f>IFERROR(((AE740*(12000/5))/((F740*60+G740)*(SUMIFS(팀공격력!X:X,팀공격력!A:A,B740,팀공격력!B:B,D740)+SUMIFS(팀수비력!X:X,팀수비력!A:A,B740,팀수비력!B:B,D740))))*100,"")</f>
        <v>2.7047129623368722</v>
      </c>
      <c r="BL740" s="67">
        <f>IFERROR(100*AK740/(((((F740*60+G740)/(12000/5))*SUMIFS(팀공격력!P:P,팀공격력!A:A,B740,팀공격력!B:B,D740))-K740)),"")</f>
        <v>12.274959083469721</v>
      </c>
      <c r="BM740" s="67" t="str">
        <f>IFERROR(100*((AM740/E740*(2400))/((F740*60+G740)*SUMIFS(팀공격력!AR:AR,팀공격력!A:A,B740,팀공격력!B:B,D740))),"")</f>
        <v/>
      </c>
      <c r="BN740" s="67">
        <f>IFERROR((AO740*40)/(((F740*60+G740)/60)*(SUMIFS(팀수비력!Q:Q,팀수비력!A:A,B740,팀수비력!B:B,D740)-SUMIFS(팀수비력!N:N,팀수비력!A:A,B740,팀수비력!B:B,D740)))*100,"")</f>
        <v>0</v>
      </c>
      <c r="BO740" s="67">
        <f t="shared" si="373"/>
        <v>11.111111111111111</v>
      </c>
      <c r="BT740" t="s">
        <v>89</v>
      </c>
      <c r="BV740" t="s">
        <v>90</v>
      </c>
      <c r="CF740">
        <v>0</v>
      </c>
      <c r="CG740">
        <v>5</v>
      </c>
    </row>
    <row r="741" spans="1:85" x14ac:dyDescent="0.4">
      <c r="A741" s="11" t="s">
        <v>85</v>
      </c>
      <c r="B741" t="s">
        <v>203</v>
      </c>
      <c r="C741" t="s">
        <v>205</v>
      </c>
      <c r="D741" s="46" t="s">
        <v>311</v>
      </c>
      <c r="E741">
        <v>8</v>
      </c>
      <c r="F741">
        <v>6</v>
      </c>
      <c r="G741" s="1">
        <v>39</v>
      </c>
      <c r="H741" s="16">
        <f t="shared" si="348"/>
        <v>3192</v>
      </c>
      <c r="I741">
        <v>25</v>
      </c>
      <c r="J741" s="17">
        <f t="shared" si="349"/>
        <v>3.125</v>
      </c>
      <c r="K741">
        <v>12</v>
      </c>
      <c r="L741">
        <v>17</v>
      </c>
      <c r="M741" s="17">
        <f t="shared" si="350"/>
        <v>1.5</v>
      </c>
      <c r="N741" s="17">
        <f t="shared" si="351"/>
        <v>2.125</v>
      </c>
      <c r="O741" s="18">
        <f t="shared" si="352"/>
        <v>0.70588235294117652</v>
      </c>
      <c r="P741">
        <v>12</v>
      </c>
      <c r="Q741">
        <v>17</v>
      </c>
      <c r="R741" s="17">
        <f t="shared" si="353"/>
        <v>1.5</v>
      </c>
      <c r="S741" s="17">
        <f t="shared" si="354"/>
        <v>2.125</v>
      </c>
      <c r="T741" s="18">
        <f t="shared" si="355"/>
        <v>0.70588235294117652</v>
      </c>
      <c r="U741">
        <v>0</v>
      </c>
      <c r="V741">
        <v>0</v>
      </c>
      <c r="W741" s="17">
        <f t="shared" si="356"/>
        <v>0</v>
      </c>
      <c r="X741" s="17">
        <f t="shared" si="357"/>
        <v>0</v>
      </c>
      <c r="Y741" s="18" t="e">
        <f t="shared" si="358"/>
        <v>#DIV/0!</v>
      </c>
      <c r="Z741">
        <v>1</v>
      </c>
      <c r="AA741">
        <v>2</v>
      </c>
      <c r="AB741" s="17">
        <f t="shared" si="359"/>
        <v>0.125</v>
      </c>
      <c r="AC741" s="17">
        <f t="shared" si="360"/>
        <v>0.25</v>
      </c>
      <c r="AD741" s="18">
        <f t="shared" si="361"/>
        <v>0.5</v>
      </c>
      <c r="AE741">
        <v>33</v>
      </c>
      <c r="AF741" s="17">
        <f t="shared" si="362"/>
        <v>4.125</v>
      </c>
      <c r="AG741">
        <v>10</v>
      </c>
      <c r="AH741" s="17">
        <f t="shared" si="363"/>
        <v>1.25</v>
      </c>
      <c r="AI741">
        <v>23</v>
      </c>
      <c r="AJ741" s="17">
        <f t="shared" si="364"/>
        <v>2.875</v>
      </c>
      <c r="AK741">
        <v>1</v>
      </c>
      <c r="AL741" s="17">
        <f t="shared" si="365"/>
        <v>0.125</v>
      </c>
      <c r="AM741">
        <v>0</v>
      </c>
      <c r="AN741" s="17">
        <f t="shared" si="366"/>
        <v>0</v>
      </c>
      <c r="AO741">
        <v>1</v>
      </c>
      <c r="AQ741">
        <v>4</v>
      </c>
      <c r="AR741" s="17">
        <f t="shared" si="367"/>
        <v>0.5</v>
      </c>
      <c r="AS741">
        <v>10</v>
      </c>
      <c r="AT741" s="17">
        <f t="shared" si="368"/>
        <v>1.25</v>
      </c>
      <c r="BD741" s="65">
        <f t="shared" si="369"/>
        <v>69.91051454138703</v>
      </c>
      <c r="BE741" s="65">
        <f t="shared" si="370"/>
        <v>70.588235294117652</v>
      </c>
      <c r="BF741" s="66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16.874682346444636</v>
      </c>
      <c r="BG741" s="38">
        <f t="shared" si="371"/>
        <v>0</v>
      </c>
      <c r="BH741" s="38">
        <f t="shared" si="372"/>
        <v>0.11764705882352941</v>
      </c>
      <c r="BI741" s="67">
        <f>IFERROR(((AG741*(12000/5))/((F741*60+G741)*(SUMIFS(팀공격력!X:X,팀공격력!A:A,B741,팀공격력!B:B,D741)+SUMIFS(팀수비력!X:X,팀수비력!A:A,B741,팀수비력!B:B,D741))))*100,"")</f>
        <v>9.2255177821855252</v>
      </c>
      <c r="BJ741" s="67">
        <f>IFERROR(((AI741*(12000/5))/((F741*60+G741)*(SUMIFS(팀공격력!V:V,팀공격력!A:A,B741,팀공격력!B:B,D741)+SUMIFS(팀수비력!W:W,팀수비력!A:A,B741,팀수비력!B:B,D741))))*100,"")</f>
        <v>45.211066882893505</v>
      </c>
      <c r="BK741" s="67">
        <f>IFERROR(((AE741*(12000/5))/((F741*60+G741)*(SUMIFS(팀공격력!X:X,팀공격력!A:A,B741,팀공격력!B:B,D741)+SUMIFS(팀수비력!X:X,팀수비력!A:A,B741,팀수비력!B:B,D741))))*100,"")</f>
        <v>30.444208681212231</v>
      </c>
      <c r="BL741" s="67">
        <f>IFERROR(100*AK741/(((((F741*60+G741)/(12000/5))*SUMIFS(팀공격력!P:P,팀공격력!A:A,B741,팀공격력!B:B,D741))-K741)),"")</f>
        <v>2.6287253967732394</v>
      </c>
      <c r="BM741" s="67">
        <f>IFERROR(100*((AM741/E741*(2400))/((F741*60+G741)*SUMIFS(팀공격력!AR:AR,팀공격력!A:A,B741,팀공격력!B:B,D741))),"")</f>
        <v>0</v>
      </c>
      <c r="BN741" s="67">
        <f>IFERROR((AO741*40)/(((F741*60+G741)/60)*(SUMIFS(팀수비력!Q:Q,팀수비력!A:A,B741,팀수비력!B:B,D741)-SUMIFS(팀수비력!N:N,팀수비력!A:A,B741,팀수비력!B:B,D741)))*100,"")</f>
        <v>1.71368592421224</v>
      </c>
      <c r="BO741" s="67">
        <f t="shared" si="373"/>
        <v>18.281535648994517</v>
      </c>
      <c r="BT741" t="s">
        <v>96</v>
      </c>
      <c r="BV741" t="s">
        <v>102</v>
      </c>
      <c r="CF741">
        <v>5</v>
      </c>
      <c r="CG741">
        <v>3</v>
      </c>
    </row>
    <row r="742" spans="1:85" x14ac:dyDescent="0.4">
      <c r="A742" s="11" t="s">
        <v>85</v>
      </c>
      <c r="B742" t="s">
        <v>203</v>
      </c>
      <c r="C742" t="s">
        <v>206</v>
      </c>
      <c r="D742" s="46" t="s">
        <v>311</v>
      </c>
      <c r="E742">
        <v>9</v>
      </c>
      <c r="F742">
        <v>20</v>
      </c>
      <c r="G742" s="1">
        <v>26</v>
      </c>
      <c r="H742" s="16">
        <f t="shared" si="348"/>
        <v>11034</v>
      </c>
      <c r="I742">
        <v>49</v>
      </c>
      <c r="J742" s="17">
        <f t="shared" si="349"/>
        <v>5.4444444444444446</v>
      </c>
      <c r="K742">
        <v>18</v>
      </c>
      <c r="L742">
        <v>49</v>
      </c>
      <c r="M742" s="17">
        <f t="shared" si="350"/>
        <v>2</v>
      </c>
      <c r="N742" s="17">
        <f t="shared" si="351"/>
        <v>5.4444444444444446</v>
      </c>
      <c r="O742" s="18">
        <f t="shared" si="352"/>
        <v>0.36734693877551022</v>
      </c>
      <c r="P742">
        <v>5</v>
      </c>
      <c r="Q742">
        <v>13</v>
      </c>
      <c r="R742" s="17">
        <f t="shared" si="353"/>
        <v>0.55555555555555558</v>
      </c>
      <c r="S742" s="17">
        <f t="shared" si="354"/>
        <v>1.4444444444444444</v>
      </c>
      <c r="T742" s="18">
        <f t="shared" si="355"/>
        <v>0.38461538461538464</v>
      </c>
      <c r="U742">
        <v>13</v>
      </c>
      <c r="V742">
        <v>36</v>
      </c>
      <c r="W742" s="17">
        <f t="shared" si="356"/>
        <v>1.4444444444444444</v>
      </c>
      <c r="X742" s="17">
        <f t="shared" si="357"/>
        <v>4</v>
      </c>
      <c r="Y742" s="18">
        <f t="shared" si="358"/>
        <v>0.3611111111111111</v>
      </c>
      <c r="Z742">
        <v>0</v>
      </c>
      <c r="AA742">
        <v>1</v>
      </c>
      <c r="AB742" s="17">
        <f t="shared" si="359"/>
        <v>0</v>
      </c>
      <c r="AC742" s="17">
        <f t="shared" si="360"/>
        <v>0.1111111111111111</v>
      </c>
      <c r="AD742" s="18">
        <f t="shared" si="361"/>
        <v>0</v>
      </c>
      <c r="AE742">
        <v>18</v>
      </c>
      <c r="AF742" s="17">
        <f t="shared" si="362"/>
        <v>2</v>
      </c>
      <c r="AG742">
        <v>7</v>
      </c>
      <c r="AH742" s="17">
        <f t="shared" si="363"/>
        <v>0.77777777777777779</v>
      </c>
      <c r="AI742">
        <v>11</v>
      </c>
      <c r="AJ742" s="17">
        <f t="shared" si="364"/>
        <v>1.2222222222222223</v>
      </c>
      <c r="AK742">
        <v>13</v>
      </c>
      <c r="AL742" s="17">
        <f t="shared" si="365"/>
        <v>1.4444444444444444</v>
      </c>
      <c r="AM742">
        <v>9</v>
      </c>
      <c r="AN742" s="17">
        <f t="shared" si="366"/>
        <v>1</v>
      </c>
      <c r="AO742">
        <v>5</v>
      </c>
      <c r="AQ742">
        <v>5</v>
      </c>
      <c r="AR742" s="17">
        <f t="shared" si="367"/>
        <v>0.55555555555555558</v>
      </c>
      <c r="AS742">
        <v>23</v>
      </c>
      <c r="AT742" s="17">
        <f t="shared" si="368"/>
        <v>2.5555555555555554</v>
      </c>
      <c r="BD742" s="65">
        <f t="shared" si="369"/>
        <v>49.555016181229774</v>
      </c>
      <c r="BE742" s="65">
        <f t="shared" si="370"/>
        <v>50</v>
      </c>
      <c r="BF742" s="66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13.664345378963034</v>
      </c>
      <c r="BG742" s="38">
        <f t="shared" si="371"/>
        <v>0.73469387755102045</v>
      </c>
      <c r="BH742" s="38">
        <f t="shared" si="372"/>
        <v>2.0408163265306121E-2</v>
      </c>
      <c r="BI742" s="67">
        <f>IFERROR(((AG742*(12000/5))/((F742*60+G742)*(SUMIFS(팀공격력!X:X,팀공격력!A:A,B742,팀공격력!B:B,D742)+SUMIFS(팀수비력!X:X,팀수비력!A:A,B742,팀수비력!B:B,D742))))*100,"")</f>
        <v>2.1017023789269307</v>
      </c>
      <c r="BJ742" s="67">
        <f>IFERROR(((AI742*(12000/5))/((F742*60+G742)*(SUMIFS(팀공격력!V:V,팀공격력!A:A,B742,팀공격력!B:B,D742)+SUMIFS(팀수비력!W:W,팀수비력!A:A,B742,팀수비력!B:B,D742))))*100,"")</f>
        <v>7.0370725778076322</v>
      </c>
      <c r="BK742" s="67">
        <f>IFERROR(((AE742*(12000/5))/((F742*60+G742)*(SUMIFS(팀공격력!X:X,팀공격력!A:A,B742,팀공격력!B:B,D742)+SUMIFS(팀수비력!X:X,팀수비력!A:A,B742,팀수비력!B:B,D742))))*100,"")</f>
        <v>5.4043775458121077</v>
      </c>
      <c r="BL742" s="67">
        <f>IFERROR(100*AK742/(((((F742*60+G742)/(12000/5))*SUMIFS(팀공격력!P:P,팀공격력!A:A,B742,팀공격력!B:B,D742))-K742)),"")</f>
        <v>9.5756630839773358</v>
      </c>
      <c r="BM742" s="67">
        <f>IFERROR(100*((AM742/E742*(2400))/((F742*60+G742)*SUMIFS(팀공격력!AR:AR,팀공격력!A:A,B742,팀공격력!B:B,D742))),"")</f>
        <v>2.6745260870220879</v>
      </c>
      <c r="BN742" s="67">
        <f>IFERROR((AO742*40)/(((F742*60+G742)/60)*(SUMIFS(팀수비력!Q:Q,팀수비력!A:A,B742,팀수비력!B:B,D742)-SUMIFS(팀수비력!N:N,팀수비력!A:A,B742,팀수비력!B:B,D742)))*100,"")</f>
        <v>2.7885835389913693</v>
      </c>
      <c r="BO742" s="67">
        <f t="shared" si="373"/>
        <v>9.1844232182218963</v>
      </c>
      <c r="BT742" t="s">
        <v>89</v>
      </c>
      <c r="BV742" t="s">
        <v>93</v>
      </c>
      <c r="CF742">
        <v>5</v>
      </c>
      <c r="CG742">
        <v>4</v>
      </c>
    </row>
    <row r="743" spans="1:85" x14ac:dyDescent="0.4">
      <c r="A743" s="11" t="s">
        <v>85</v>
      </c>
      <c r="B743" t="s">
        <v>203</v>
      </c>
      <c r="C743" t="s">
        <v>207</v>
      </c>
      <c r="D743" s="46" t="s">
        <v>311</v>
      </c>
      <c r="E743">
        <v>8</v>
      </c>
      <c r="F743">
        <v>18</v>
      </c>
      <c r="G743" s="1">
        <v>54</v>
      </c>
      <c r="H743" s="16">
        <f t="shared" si="348"/>
        <v>9072</v>
      </c>
      <c r="I743">
        <v>63</v>
      </c>
      <c r="J743" s="17">
        <f t="shared" si="349"/>
        <v>7.875</v>
      </c>
      <c r="K743">
        <v>25</v>
      </c>
      <c r="L743">
        <v>55</v>
      </c>
      <c r="M743" s="17">
        <f t="shared" si="350"/>
        <v>3.125</v>
      </c>
      <c r="N743" s="17">
        <f t="shared" si="351"/>
        <v>6.875</v>
      </c>
      <c r="O743" s="18">
        <f t="shared" si="352"/>
        <v>0.45454545454545453</v>
      </c>
      <c r="P743">
        <v>18</v>
      </c>
      <c r="Q743">
        <v>29</v>
      </c>
      <c r="R743" s="17">
        <f t="shared" si="353"/>
        <v>2.25</v>
      </c>
      <c r="S743" s="17">
        <f t="shared" si="354"/>
        <v>3.625</v>
      </c>
      <c r="T743" s="18">
        <f t="shared" si="355"/>
        <v>0.62068965517241381</v>
      </c>
      <c r="U743">
        <v>7</v>
      </c>
      <c r="V743">
        <v>26</v>
      </c>
      <c r="W743" s="17">
        <f t="shared" si="356"/>
        <v>0.875</v>
      </c>
      <c r="X743" s="17">
        <f t="shared" si="357"/>
        <v>3.25</v>
      </c>
      <c r="Y743" s="18">
        <f t="shared" si="358"/>
        <v>0.26923076923076922</v>
      </c>
      <c r="Z743">
        <v>6</v>
      </c>
      <c r="AA743">
        <v>12</v>
      </c>
      <c r="AB743" s="17">
        <f t="shared" si="359"/>
        <v>0.75</v>
      </c>
      <c r="AC743" s="17">
        <f t="shared" si="360"/>
        <v>1.5</v>
      </c>
      <c r="AD743" s="18">
        <f t="shared" si="361"/>
        <v>0.5</v>
      </c>
      <c r="AE743">
        <v>27</v>
      </c>
      <c r="AF743" s="17">
        <f t="shared" si="362"/>
        <v>3.375</v>
      </c>
      <c r="AG743">
        <v>10</v>
      </c>
      <c r="AH743" s="17">
        <f t="shared" si="363"/>
        <v>1.25</v>
      </c>
      <c r="AI743">
        <v>17</v>
      </c>
      <c r="AJ743" s="17">
        <f t="shared" si="364"/>
        <v>2.125</v>
      </c>
      <c r="AK743">
        <v>11</v>
      </c>
      <c r="AL743" s="17">
        <f t="shared" si="365"/>
        <v>1.375</v>
      </c>
      <c r="AM743">
        <v>9</v>
      </c>
      <c r="AN743" s="17">
        <f t="shared" si="366"/>
        <v>1.125</v>
      </c>
      <c r="AO743">
        <v>0</v>
      </c>
      <c r="AQ743">
        <v>4</v>
      </c>
      <c r="AR743" s="17">
        <f t="shared" si="367"/>
        <v>0.5</v>
      </c>
      <c r="AS743">
        <v>19</v>
      </c>
      <c r="AT743" s="17">
        <f t="shared" si="368"/>
        <v>2.375</v>
      </c>
      <c r="BD743" s="65">
        <f t="shared" si="369"/>
        <v>52.25613802256138</v>
      </c>
      <c r="BE743" s="65">
        <f t="shared" si="370"/>
        <v>51.81818181818182</v>
      </c>
      <c r="BF743" s="66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17.443113145236442</v>
      </c>
      <c r="BG743" s="38">
        <f t="shared" si="371"/>
        <v>0.47272727272727272</v>
      </c>
      <c r="BH743" s="38">
        <f t="shared" si="372"/>
        <v>0.21818181818181817</v>
      </c>
      <c r="BI743" s="67">
        <f>IFERROR(((AG743*(12000/5))/((F743*60+G743)*(SUMIFS(팀공격력!X:X,팀공격력!A:A,B743,팀공격력!B:B,D743)+SUMIFS(팀수비력!X:X,팀수비력!A:A,B743,팀수비력!B:B,D743))))*100,"")</f>
        <v>3.2460155159541664</v>
      </c>
      <c r="BJ743" s="67">
        <f>IFERROR(((AI743*(12000/5))/((F743*60+G743)*(SUMIFS(팀공격력!V:V,팀공격력!A:A,B743,팀공격력!B:B,D743)+SUMIFS(팀수비력!W:W,팀수비력!A:A,B743,팀수비력!B:B,D743))))*100,"")</f>
        <v>11.757789535567314</v>
      </c>
      <c r="BK743" s="67">
        <f>IFERROR(((AE743*(12000/5))/((F743*60+G743)*(SUMIFS(팀공격력!X:X,팀공격력!A:A,B743,팀공격력!B:B,D743)+SUMIFS(팀수비력!X:X,팀수비력!A:A,B743,팀수비력!B:B,D743))))*100,"")</f>
        <v>8.7642418930762496</v>
      </c>
      <c r="BL743" s="67">
        <f>IFERROR(100*AK743/(((((F743*60+G743)/(12000/5))*SUMIFS(팀공격력!P:P,팀공격력!A:A,B743,팀공격력!B:B,D743))-K743)),"")</f>
        <v>9.3838640192795761</v>
      </c>
      <c r="BM743" s="67">
        <f>IFERROR(100*((AM743/E743*(2400))/((F743*60+G743)*SUMIFS(팀공격력!AR:AR,팀공격력!A:A,B743,팀공격력!B:B,D743))),"")</f>
        <v>3.2529454193344041</v>
      </c>
      <c r="BN743" s="67">
        <f>IFERROR((AO743*40)/(((F743*60+G743)/60)*(SUMIFS(팀수비력!Q:Q,팀수비력!A:A,B743,팀수비력!B:B,D743)-SUMIFS(팀수비력!N:N,팀수비력!A:A,B743,팀수비력!B:B,D743)))*100,"")</f>
        <v>0</v>
      </c>
      <c r="BO743" s="67">
        <f t="shared" si="373"/>
        <v>6.2227753578095832</v>
      </c>
      <c r="BT743" t="s">
        <v>89</v>
      </c>
      <c r="BV743" t="s">
        <v>93</v>
      </c>
      <c r="CF743">
        <v>4</v>
      </c>
      <c r="CG743">
        <v>4</v>
      </c>
    </row>
    <row r="744" spans="1:85" x14ac:dyDescent="0.4">
      <c r="A744" s="11" t="s">
        <v>85</v>
      </c>
      <c r="B744" t="s">
        <v>203</v>
      </c>
      <c r="C744" t="s">
        <v>212</v>
      </c>
      <c r="D744" s="46" t="s">
        <v>311</v>
      </c>
      <c r="E744">
        <v>8</v>
      </c>
      <c r="F744">
        <v>7</v>
      </c>
      <c r="G744" s="1">
        <v>15</v>
      </c>
      <c r="H744" s="16">
        <f t="shared" si="348"/>
        <v>3480</v>
      </c>
      <c r="I744">
        <v>16</v>
      </c>
      <c r="J744" s="17">
        <f t="shared" si="349"/>
        <v>2</v>
      </c>
      <c r="K744">
        <v>6</v>
      </c>
      <c r="L744">
        <v>10</v>
      </c>
      <c r="M744" s="17">
        <f t="shared" si="350"/>
        <v>0.75</v>
      </c>
      <c r="N744" s="17">
        <f t="shared" si="351"/>
        <v>1.25</v>
      </c>
      <c r="O744" s="18">
        <f t="shared" si="352"/>
        <v>0.6</v>
      </c>
      <c r="P744">
        <v>6</v>
      </c>
      <c r="Q744">
        <v>10</v>
      </c>
      <c r="R744" s="17">
        <f t="shared" si="353"/>
        <v>0.75</v>
      </c>
      <c r="S744" s="17">
        <f t="shared" si="354"/>
        <v>1.25</v>
      </c>
      <c r="T744" s="18">
        <f t="shared" si="355"/>
        <v>0.6</v>
      </c>
      <c r="U744">
        <v>0</v>
      </c>
      <c r="V744">
        <v>0</v>
      </c>
      <c r="W744" s="17">
        <f t="shared" si="356"/>
        <v>0</v>
      </c>
      <c r="X744" s="17">
        <f t="shared" si="357"/>
        <v>0</v>
      </c>
      <c r="Y744" s="18" t="e">
        <f t="shared" si="358"/>
        <v>#DIV/0!</v>
      </c>
      <c r="Z744">
        <v>4</v>
      </c>
      <c r="AA744">
        <v>6</v>
      </c>
      <c r="AB744" s="17">
        <f t="shared" si="359"/>
        <v>0.5</v>
      </c>
      <c r="AC744" s="17">
        <f t="shared" si="360"/>
        <v>0.75</v>
      </c>
      <c r="AD744" s="18">
        <f t="shared" si="361"/>
        <v>0.66666666666666663</v>
      </c>
      <c r="AE744">
        <v>7</v>
      </c>
      <c r="AF744" s="17">
        <f t="shared" si="362"/>
        <v>0.875</v>
      </c>
      <c r="AG744">
        <v>3</v>
      </c>
      <c r="AH744" s="17">
        <f t="shared" si="363"/>
        <v>0.375</v>
      </c>
      <c r="AI744">
        <v>4</v>
      </c>
      <c r="AJ744" s="17">
        <f t="shared" si="364"/>
        <v>0.5</v>
      </c>
      <c r="AK744">
        <v>2</v>
      </c>
      <c r="AL744" s="17">
        <f t="shared" si="365"/>
        <v>0.25</v>
      </c>
      <c r="AM744">
        <v>2</v>
      </c>
      <c r="AN744" s="17">
        <f t="shared" si="366"/>
        <v>0.25</v>
      </c>
      <c r="AO744">
        <v>4</v>
      </c>
      <c r="AQ744">
        <v>1</v>
      </c>
      <c r="AR744" s="17">
        <f t="shared" si="367"/>
        <v>0.125</v>
      </c>
      <c r="AS744">
        <v>4</v>
      </c>
      <c r="AT744" s="17">
        <f t="shared" si="368"/>
        <v>0.5</v>
      </c>
      <c r="BD744" s="65">
        <f t="shared" si="369"/>
        <v>63.291139240506325</v>
      </c>
      <c r="BE744" s="65">
        <f t="shared" si="370"/>
        <v>60</v>
      </c>
      <c r="BF744" s="66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9.6490886775301465</v>
      </c>
      <c r="BG744" s="38">
        <f t="shared" si="371"/>
        <v>0</v>
      </c>
      <c r="BH744" s="38">
        <f t="shared" si="372"/>
        <v>0.6</v>
      </c>
      <c r="BI744" s="67">
        <f>IFERROR(((AG744*(12000/5))/((F744*60+G744)*(SUMIFS(팀공격력!X:X,팀공격력!A:A,B744,팀공격력!B:B,D744)+SUMIFS(팀수비력!X:X,팀수비력!A:A,B744,팀수비력!B:B,D744))))*100,"")</f>
        <v>2.5386079966151893</v>
      </c>
      <c r="BJ744" s="67">
        <f>IFERROR(((AI744*(12000/5))/((F744*60+G744)*(SUMIFS(팀공격력!V:V,팀공격력!A:A,B744,팀공격력!B:B,D744)+SUMIFS(팀수비력!W:W,팀수비력!A:A,B744,팀수비력!B:B,D744))))*100,"")</f>
        <v>7.2120802343926078</v>
      </c>
      <c r="BK744" s="67">
        <f>IFERROR(((AE744*(12000/5))/((F744*60+G744)*(SUMIFS(팀공격력!X:X,팀공격력!A:A,B744,팀공격력!B:B,D744)+SUMIFS(팀수비력!X:X,팀수비력!A:A,B744,팀수비력!B:B,D744))))*100,"")</f>
        <v>5.9234186587687754</v>
      </c>
      <c r="BL744" s="67">
        <f>IFERROR(100*AK744/(((((F744*60+G744)/(12000/5))*SUMIFS(팀공격력!P:P,팀공격력!A:A,B744,팀공격력!B:B,D744))-K744)),"")</f>
        <v>4.118934225769082</v>
      </c>
      <c r="BM744" s="67">
        <f>IFERROR(100*((AM744/E744*(2400))/((F744*60+G744)*SUMIFS(팀공격력!AR:AR,팀공격력!A:A,B744,팀공격력!B:B,D744))),"")</f>
        <v>1.8844649325799305</v>
      </c>
      <c r="BN744" s="67">
        <f>IFERROR((AO744*40)/(((F744*60+G744)/60)*(SUMIFS(팀수비력!Q:Q,팀수비력!A:A,B744,팀수비력!B:B,D744)-SUMIFS(팀수비력!N:N,팀수비력!A:A,B744,팀수비력!B:B,D744)))*100,"")</f>
        <v>6.2874545633166328</v>
      </c>
      <c r="BO744" s="67">
        <f t="shared" si="373"/>
        <v>7.3313782991202343</v>
      </c>
      <c r="BT744" t="s">
        <v>89</v>
      </c>
      <c r="BV744" t="s">
        <v>102</v>
      </c>
      <c r="CF744">
        <v>5</v>
      </c>
      <c r="CG744">
        <v>3</v>
      </c>
    </row>
    <row r="745" spans="1:85" x14ac:dyDescent="0.4">
      <c r="A745" s="11" t="s">
        <v>85</v>
      </c>
      <c r="B745" t="s">
        <v>203</v>
      </c>
      <c r="C745" t="s">
        <v>213</v>
      </c>
      <c r="D745" s="46" t="s">
        <v>311</v>
      </c>
      <c r="E745">
        <v>8</v>
      </c>
      <c r="F745">
        <v>8</v>
      </c>
      <c r="G745" s="1">
        <v>5</v>
      </c>
      <c r="H745" s="16">
        <f t="shared" si="348"/>
        <v>3880</v>
      </c>
      <c r="I745">
        <v>18</v>
      </c>
      <c r="J745" s="17">
        <f t="shared" si="349"/>
        <v>2.25</v>
      </c>
      <c r="K745">
        <v>6</v>
      </c>
      <c r="L745">
        <v>16</v>
      </c>
      <c r="M745" s="17">
        <f t="shared" si="350"/>
        <v>0.75</v>
      </c>
      <c r="N745" s="17">
        <f t="shared" si="351"/>
        <v>2</v>
      </c>
      <c r="O745" s="18">
        <f t="shared" si="352"/>
        <v>0.375</v>
      </c>
      <c r="P745">
        <v>0</v>
      </c>
      <c r="Q745">
        <v>2</v>
      </c>
      <c r="R745" s="17">
        <f t="shared" si="353"/>
        <v>0</v>
      </c>
      <c r="S745" s="17">
        <f t="shared" si="354"/>
        <v>0.25</v>
      </c>
      <c r="T745" s="18">
        <f t="shared" si="355"/>
        <v>0</v>
      </c>
      <c r="U745">
        <v>6</v>
      </c>
      <c r="V745">
        <v>14</v>
      </c>
      <c r="W745" s="17">
        <f t="shared" si="356"/>
        <v>0.75</v>
      </c>
      <c r="X745" s="17">
        <f t="shared" si="357"/>
        <v>1.75</v>
      </c>
      <c r="Y745" s="18">
        <f t="shared" si="358"/>
        <v>0.42857142857142855</v>
      </c>
      <c r="Z745">
        <v>0</v>
      </c>
      <c r="AA745">
        <v>0</v>
      </c>
      <c r="AB745" s="17">
        <f t="shared" si="359"/>
        <v>0</v>
      </c>
      <c r="AC745" s="17">
        <f t="shared" si="360"/>
        <v>0</v>
      </c>
      <c r="AD745" s="18" t="e">
        <f t="shared" si="361"/>
        <v>#DIV/0!</v>
      </c>
      <c r="AE745">
        <v>4</v>
      </c>
      <c r="AF745" s="17">
        <f t="shared" si="362"/>
        <v>0.5</v>
      </c>
      <c r="AG745">
        <v>1</v>
      </c>
      <c r="AH745" s="17">
        <f t="shared" si="363"/>
        <v>0.125</v>
      </c>
      <c r="AI745">
        <v>3</v>
      </c>
      <c r="AJ745" s="17">
        <f t="shared" si="364"/>
        <v>0.375</v>
      </c>
      <c r="AK745">
        <v>1</v>
      </c>
      <c r="AL745" s="17">
        <f t="shared" si="365"/>
        <v>0.125</v>
      </c>
      <c r="AM745">
        <v>3</v>
      </c>
      <c r="AN745" s="17">
        <f t="shared" si="366"/>
        <v>0.375</v>
      </c>
      <c r="AO745">
        <v>0</v>
      </c>
      <c r="AQ745">
        <v>3</v>
      </c>
      <c r="AR745" s="17">
        <f t="shared" si="367"/>
        <v>0.375</v>
      </c>
      <c r="AS745">
        <v>8</v>
      </c>
      <c r="AT745" s="17">
        <f t="shared" si="368"/>
        <v>1</v>
      </c>
      <c r="BD745" s="65">
        <f t="shared" si="369"/>
        <v>56.25</v>
      </c>
      <c r="BE745" s="65">
        <f t="shared" si="370"/>
        <v>56.25</v>
      </c>
      <c r="BF745" s="66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12.055161882847091</v>
      </c>
      <c r="BG745" s="38">
        <f t="shared" si="371"/>
        <v>0.875</v>
      </c>
      <c r="BH745" s="38">
        <f t="shared" si="372"/>
        <v>0</v>
      </c>
      <c r="BI745" s="67">
        <f>IFERROR(((AG745*(12000/5))/((F745*60+G745)*(SUMIFS(팀공격력!X:X,팀공격력!A:A,B745,팀공격력!B:B,D745)+SUMIFS(팀수비력!X:X,팀수비력!A:A,B745,팀수비력!B:B,D745))))*100,"")</f>
        <v>0.75896527733856178</v>
      </c>
      <c r="BJ745" s="67">
        <f>IFERROR(((AI745*(12000/5))/((F745*60+G745)*(SUMIFS(팀공격력!V:V,팀공격력!A:A,B745,팀공격력!B:B,D745)+SUMIFS(팀수비력!W:W,팀수비력!A:A,B745,팀수비력!B:B,D745))))*100,"")</f>
        <v>4.8514251061249247</v>
      </c>
      <c r="BK745" s="67">
        <f>IFERROR(((AE745*(12000/5))/((F745*60+G745)*(SUMIFS(팀공격력!X:X,팀공격력!A:A,B745,팀공격력!B:B,D745)+SUMIFS(팀수비력!X:X,팀수비력!A:A,B745,팀수비력!B:B,D745))))*100,"")</f>
        <v>3.0358611093542471</v>
      </c>
      <c r="BL745" s="67">
        <f>IFERROR(100*AK745/(((((F745*60+G745)/(12000/5))*SUMIFS(팀공격력!P:P,팀공격력!A:A,B745,팀공격력!B:B,D745))-K745)),"")</f>
        <v>1.8239160998594064</v>
      </c>
      <c r="BM745" s="67">
        <f>IFERROR(100*((AM745/E745*(2400))/((F745*60+G745)*SUMIFS(팀공격력!AR:AR,팀공격력!A:A,B745,팀공격력!B:B,D745))),"")</f>
        <v>2.5352852958936181</v>
      </c>
      <c r="BN745" s="67">
        <f>IFERROR((AO745*40)/(((F745*60+G745)/60)*(SUMIFS(팀수비력!Q:Q,팀수비력!A:A,B745,팀수비력!B:B,D745)-SUMIFS(팀수비력!N:N,팀수비력!A:A,B745,팀수비력!B:B,D745)))*100,"")</f>
        <v>0</v>
      </c>
      <c r="BO745" s="67">
        <f t="shared" si="373"/>
        <v>15.789473684210526</v>
      </c>
      <c r="BT745" t="s">
        <v>89</v>
      </c>
      <c r="BV745" t="s">
        <v>93</v>
      </c>
      <c r="CF745">
        <v>4</v>
      </c>
      <c r="CG745">
        <v>4</v>
      </c>
    </row>
    <row r="746" spans="1:85" x14ac:dyDescent="0.4">
      <c r="A746" s="11" t="s">
        <v>85</v>
      </c>
      <c r="B746" t="s">
        <v>203</v>
      </c>
      <c r="C746" t="s">
        <v>214</v>
      </c>
      <c r="D746" s="46" t="s">
        <v>311</v>
      </c>
      <c r="E746">
        <v>5</v>
      </c>
      <c r="F746">
        <v>8</v>
      </c>
      <c r="G746" s="1">
        <v>16</v>
      </c>
      <c r="H746" s="16">
        <f t="shared" si="348"/>
        <v>2480</v>
      </c>
      <c r="I746">
        <v>6</v>
      </c>
      <c r="J746" s="17">
        <f t="shared" si="349"/>
        <v>1.2</v>
      </c>
      <c r="K746">
        <v>2</v>
      </c>
      <c r="L746">
        <v>6</v>
      </c>
      <c r="M746" s="17">
        <f t="shared" si="350"/>
        <v>0.4</v>
      </c>
      <c r="N746" s="17">
        <f t="shared" si="351"/>
        <v>1.2</v>
      </c>
      <c r="O746" s="18">
        <f t="shared" si="352"/>
        <v>0.33333333333333331</v>
      </c>
      <c r="P746">
        <v>0</v>
      </c>
      <c r="Q746">
        <v>1</v>
      </c>
      <c r="R746" s="17">
        <f t="shared" si="353"/>
        <v>0</v>
      </c>
      <c r="S746" s="17">
        <f t="shared" si="354"/>
        <v>0.2</v>
      </c>
      <c r="T746" s="18">
        <f t="shared" si="355"/>
        <v>0</v>
      </c>
      <c r="U746">
        <v>2</v>
      </c>
      <c r="V746">
        <v>5</v>
      </c>
      <c r="W746" s="17">
        <f t="shared" si="356"/>
        <v>0.4</v>
      </c>
      <c r="X746" s="17">
        <f t="shared" si="357"/>
        <v>1</v>
      </c>
      <c r="Y746" s="18">
        <f t="shared" si="358"/>
        <v>0.4</v>
      </c>
      <c r="Z746">
        <v>0</v>
      </c>
      <c r="AA746">
        <v>0</v>
      </c>
      <c r="AB746" s="17">
        <f t="shared" si="359"/>
        <v>0</v>
      </c>
      <c r="AC746" s="17">
        <f t="shared" si="360"/>
        <v>0</v>
      </c>
      <c r="AD746" s="18" t="e">
        <f t="shared" si="361"/>
        <v>#DIV/0!</v>
      </c>
      <c r="AE746">
        <v>4</v>
      </c>
      <c r="AF746" s="17">
        <f t="shared" si="362"/>
        <v>0.8</v>
      </c>
      <c r="AG746">
        <v>1</v>
      </c>
      <c r="AH746" s="17">
        <f t="shared" si="363"/>
        <v>0.2</v>
      </c>
      <c r="AI746">
        <v>3</v>
      </c>
      <c r="AJ746" s="17">
        <f t="shared" si="364"/>
        <v>0.6</v>
      </c>
      <c r="AK746">
        <v>0</v>
      </c>
      <c r="AL746" s="17">
        <f t="shared" si="365"/>
        <v>0</v>
      </c>
      <c r="AM746">
        <v>1</v>
      </c>
      <c r="AN746" s="17">
        <f t="shared" si="366"/>
        <v>0.2</v>
      </c>
      <c r="AO746">
        <v>0</v>
      </c>
      <c r="AQ746">
        <v>2</v>
      </c>
      <c r="AR746" s="17">
        <f t="shared" si="367"/>
        <v>0.4</v>
      </c>
      <c r="AS746">
        <v>5</v>
      </c>
      <c r="AT746" s="17">
        <f t="shared" si="368"/>
        <v>1</v>
      </c>
      <c r="BD746" s="65">
        <f t="shared" si="369"/>
        <v>50</v>
      </c>
      <c r="BE746" s="65">
        <f t="shared" si="370"/>
        <v>50</v>
      </c>
      <c r="BF746" s="66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4.9632882115287256</v>
      </c>
      <c r="BG746" s="38">
        <f t="shared" si="371"/>
        <v>0.83333333333333337</v>
      </c>
      <c r="BH746" s="38">
        <f t="shared" si="372"/>
        <v>0</v>
      </c>
      <c r="BI746" s="67">
        <f>IFERROR(((AG746*(12000/5))/((F746*60+G746)*(SUMIFS(팀공격력!X:X,팀공격력!A:A,B746,팀공격력!B:B,D746)+SUMIFS(팀수비력!X:X,팀수비력!A:A,B746,팀수비력!B:B,D746))))*100,"")</f>
        <v>0.74213338610726298</v>
      </c>
      <c r="BJ746" s="67">
        <f>IFERROR(((AI746*(12000/5))/((F746*60+G746)*(SUMIFS(팀공격력!V:V,팀공격력!A:A,B746,팀공격력!B:B,D746)+SUMIFS(팀수비력!W:W,팀수비력!A:A,B746,팀수비력!B:B,D746))))*100,"")</f>
        <v>4.7438330170777991</v>
      </c>
      <c r="BK746" s="67">
        <f>IFERROR(((AE746*(12000/5))/((F746*60+G746)*(SUMIFS(팀공격력!X:X,팀공격력!A:A,B746,팀공격력!B:B,D746)+SUMIFS(팀수비력!X:X,팀수비력!A:A,B746,팀수비력!B:B,D746))))*100,"")</f>
        <v>2.9685335444290519</v>
      </c>
      <c r="BL746" s="67">
        <f>IFERROR(100*AK746/(((((F746*60+G746)/(12000/5))*SUMIFS(팀공격력!P:P,팀공격력!A:A,B746,팀공격력!B:B,D746))-K746)),"")</f>
        <v>0</v>
      </c>
      <c r="BM746" s="67">
        <f>IFERROR(100*((AM746/E746*(2400))/((F746*60+G746)*SUMIFS(팀공격력!AR:AR,팀공격력!A:A,B746,팀공격력!B:B,D746))),"")</f>
        <v>1.3221649123746289</v>
      </c>
      <c r="BN746" s="67">
        <f>IFERROR((AO746*40)/(((F746*60+G746)/60)*(SUMIFS(팀수비력!Q:Q,팀수비력!A:A,B746,팀수비력!B:B,D746)-SUMIFS(팀수비력!N:N,팀수비력!A:A,B746,팀수비력!B:B,D746)))*100,"")</f>
        <v>0</v>
      </c>
      <c r="BO746" s="67">
        <f t="shared" si="373"/>
        <v>25</v>
      </c>
      <c r="BT746" t="s">
        <v>89</v>
      </c>
      <c r="BV746" t="s">
        <v>90</v>
      </c>
      <c r="CF746">
        <v>2</v>
      </c>
      <c r="CG746">
        <v>3</v>
      </c>
    </row>
    <row r="747" spans="1:85" x14ac:dyDescent="0.4">
      <c r="A747" s="11" t="s">
        <v>85</v>
      </c>
      <c r="B747" t="s">
        <v>203</v>
      </c>
      <c r="C747" t="s">
        <v>216</v>
      </c>
      <c r="D747" s="46" t="s">
        <v>311</v>
      </c>
      <c r="E747">
        <v>9</v>
      </c>
      <c r="F747">
        <v>24</v>
      </c>
      <c r="G747" s="1">
        <v>27</v>
      </c>
      <c r="H747" s="16">
        <f t="shared" si="348"/>
        <v>13203</v>
      </c>
      <c r="I747">
        <v>68</v>
      </c>
      <c r="J747" s="17">
        <f t="shared" si="349"/>
        <v>7.5555555555555554</v>
      </c>
      <c r="K747">
        <v>26</v>
      </c>
      <c r="L747">
        <v>76</v>
      </c>
      <c r="M747" s="17">
        <f t="shared" si="350"/>
        <v>2.8888888888888888</v>
      </c>
      <c r="N747" s="17">
        <f t="shared" si="351"/>
        <v>8.4444444444444446</v>
      </c>
      <c r="O747" s="18">
        <f t="shared" si="352"/>
        <v>0.34210526315789475</v>
      </c>
      <c r="P747">
        <v>16</v>
      </c>
      <c r="Q747">
        <v>37</v>
      </c>
      <c r="R747" s="17">
        <f t="shared" si="353"/>
        <v>1.7777777777777777</v>
      </c>
      <c r="S747" s="17">
        <f t="shared" si="354"/>
        <v>4.1111111111111107</v>
      </c>
      <c r="T747" s="18">
        <f t="shared" si="355"/>
        <v>0.43243243243243246</v>
      </c>
      <c r="U747">
        <v>10</v>
      </c>
      <c r="V747">
        <v>39</v>
      </c>
      <c r="W747" s="17">
        <f t="shared" si="356"/>
        <v>1.1111111111111112</v>
      </c>
      <c r="X747" s="17">
        <f t="shared" si="357"/>
        <v>4.333333333333333</v>
      </c>
      <c r="Y747" s="18">
        <f t="shared" si="358"/>
        <v>0.25641025641025639</v>
      </c>
      <c r="Z747">
        <v>6</v>
      </c>
      <c r="AA747">
        <v>14</v>
      </c>
      <c r="AB747" s="17">
        <f t="shared" si="359"/>
        <v>0.66666666666666663</v>
      </c>
      <c r="AC747" s="17">
        <f t="shared" si="360"/>
        <v>1.5555555555555556</v>
      </c>
      <c r="AD747" s="18">
        <f t="shared" si="361"/>
        <v>0.42857142857142855</v>
      </c>
      <c r="AE747">
        <v>18</v>
      </c>
      <c r="AF747" s="17">
        <f t="shared" si="362"/>
        <v>2</v>
      </c>
      <c r="AG747">
        <v>5</v>
      </c>
      <c r="AH747" s="17">
        <f t="shared" si="363"/>
        <v>0.55555555555555558</v>
      </c>
      <c r="AI747">
        <v>13</v>
      </c>
      <c r="AJ747" s="17">
        <f t="shared" si="364"/>
        <v>1.4444444444444444</v>
      </c>
      <c r="AK747">
        <v>44</v>
      </c>
      <c r="AL747" s="17">
        <f t="shared" si="365"/>
        <v>4.8888888888888893</v>
      </c>
      <c r="AM747">
        <v>3</v>
      </c>
      <c r="AN747" s="17">
        <f t="shared" si="366"/>
        <v>0.33333333333333331</v>
      </c>
      <c r="AO747">
        <v>0</v>
      </c>
      <c r="AQ747">
        <v>7</v>
      </c>
      <c r="AR747" s="17">
        <f t="shared" si="367"/>
        <v>0.77777777777777779</v>
      </c>
      <c r="AS747">
        <v>21</v>
      </c>
      <c r="AT747" s="17">
        <f t="shared" si="368"/>
        <v>2.3333333333333335</v>
      </c>
      <c r="BD747" s="65">
        <f t="shared" si="369"/>
        <v>41.382667964946442</v>
      </c>
      <c r="BE747" s="65">
        <f t="shared" si="370"/>
        <v>40.789473684210527</v>
      </c>
      <c r="BF747" s="66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18.702563169920843</v>
      </c>
      <c r="BG747" s="38">
        <f t="shared" si="371"/>
        <v>0.51315789473684215</v>
      </c>
      <c r="BH747" s="38">
        <f t="shared" si="372"/>
        <v>0.18421052631578946</v>
      </c>
      <c r="BI747" s="67">
        <f>IFERROR(((AG747*(12000/5))/((F747*60+G747)*(SUMIFS(팀공격력!X:X,팀공격력!A:A,B747,팀공격력!B:B,D747)+SUMIFS(팀수비력!X:X,팀수비력!A:A,B747,팀수비력!B:B,D747))))*100,"")</f>
        <v>1.254594954019095</v>
      </c>
      <c r="BJ747" s="67">
        <f>IFERROR(((AI747*(12000/5))/((F747*60+G747)*(SUMIFS(팀공격력!V:V,팀공격력!A:A,B747,팀공격력!B:B,D747)+SUMIFS(팀수비력!W:W,팀수비력!A:A,B747,팀수비력!B:B,D747))))*100,"")</f>
        <v>6.9502920459253907</v>
      </c>
      <c r="BK747" s="67">
        <f>IFERROR(((AE747*(12000/5))/((F747*60+G747)*(SUMIFS(팀공격력!X:X,팀공격력!A:A,B747,팀공격력!B:B,D747)+SUMIFS(팀수비력!X:X,팀수비력!A:A,B747,팀수비력!B:B,D747))))*100,"")</f>
        <v>4.5165418344687414</v>
      </c>
      <c r="BL747" s="67">
        <f>IFERROR(100*AK747/(((((F747*60+G747)/(12000/5))*SUMIFS(팀공격력!P:P,팀공격력!A:A,B747,팀공격력!B:B,D747))-K747)),"")</f>
        <v>27.850524966571459</v>
      </c>
      <c r="BM747" s="67">
        <f>IFERROR(100*((AM747/E747*(2400))/((F747*60+G747)*SUMIFS(팀공격력!AR:AR,팀공격력!A:A,B747,팀공격력!B:B,D747))),"")</f>
        <v>0.74505089358988397</v>
      </c>
      <c r="BN747" s="67">
        <f>IFERROR((AO747*40)/(((F747*60+G747)/60)*(SUMIFS(팀수비력!Q:Q,팀수비력!A:A,B747,팀수비력!B:B,D747)-SUMIFS(팀수비력!N:N,팀수비력!A:A,B747,팀수비력!B:B,D747)))*100,"")</f>
        <v>0</v>
      </c>
      <c r="BO747" s="67">
        <f t="shared" si="373"/>
        <v>7.8510542844324815</v>
      </c>
      <c r="BT747" t="s">
        <v>89</v>
      </c>
      <c r="BV747" t="s">
        <v>90</v>
      </c>
      <c r="CF747">
        <v>5</v>
      </c>
      <c r="CG747">
        <v>4</v>
      </c>
    </row>
    <row r="748" spans="1:85" x14ac:dyDescent="0.4">
      <c r="A748" s="11" t="s">
        <v>85</v>
      </c>
      <c r="B748" t="s">
        <v>203</v>
      </c>
      <c r="C748" t="s">
        <v>217</v>
      </c>
      <c r="D748" s="46" t="s">
        <v>311</v>
      </c>
      <c r="E748">
        <v>9</v>
      </c>
      <c r="F748">
        <v>10</v>
      </c>
      <c r="G748" s="1">
        <v>52</v>
      </c>
      <c r="H748" s="16">
        <f t="shared" si="348"/>
        <v>5868</v>
      </c>
      <c r="I748">
        <v>28</v>
      </c>
      <c r="J748" s="17">
        <f t="shared" si="349"/>
        <v>3.1111111111111112</v>
      </c>
      <c r="K748">
        <v>11</v>
      </c>
      <c r="L748">
        <v>23</v>
      </c>
      <c r="M748" s="17">
        <f t="shared" si="350"/>
        <v>1.2222222222222223</v>
      </c>
      <c r="N748" s="17">
        <f t="shared" si="351"/>
        <v>2.5555555555555554</v>
      </c>
      <c r="O748" s="18">
        <f t="shared" si="352"/>
        <v>0.47826086956521741</v>
      </c>
      <c r="P748">
        <v>6</v>
      </c>
      <c r="Q748">
        <v>9</v>
      </c>
      <c r="R748" s="17">
        <f t="shared" si="353"/>
        <v>0.66666666666666663</v>
      </c>
      <c r="S748" s="17">
        <f t="shared" si="354"/>
        <v>1</v>
      </c>
      <c r="T748" s="18">
        <f t="shared" si="355"/>
        <v>0.66666666666666663</v>
      </c>
      <c r="U748">
        <v>5</v>
      </c>
      <c r="V748">
        <v>14</v>
      </c>
      <c r="W748" s="17">
        <f t="shared" si="356"/>
        <v>0.55555555555555558</v>
      </c>
      <c r="X748" s="17">
        <f t="shared" si="357"/>
        <v>1.5555555555555556</v>
      </c>
      <c r="Y748" s="18">
        <f t="shared" si="358"/>
        <v>0.35714285714285715</v>
      </c>
      <c r="Z748">
        <v>1</v>
      </c>
      <c r="AA748">
        <v>1</v>
      </c>
      <c r="AB748" s="17">
        <f t="shared" si="359"/>
        <v>0.1111111111111111</v>
      </c>
      <c r="AC748" s="17">
        <f t="shared" si="360"/>
        <v>0.1111111111111111</v>
      </c>
      <c r="AD748" s="18">
        <f t="shared" si="361"/>
        <v>1</v>
      </c>
      <c r="AE748">
        <v>14</v>
      </c>
      <c r="AF748" s="17">
        <f t="shared" si="362"/>
        <v>1.5555555555555556</v>
      </c>
      <c r="AG748">
        <v>2</v>
      </c>
      <c r="AH748" s="17">
        <f t="shared" si="363"/>
        <v>0.22222222222222221</v>
      </c>
      <c r="AI748">
        <v>12</v>
      </c>
      <c r="AJ748" s="17">
        <f t="shared" si="364"/>
        <v>1.3333333333333333</v>
      </c>
      <c r="AK748">
        <v>10</v>
      </c>
      <c r="AL748" s="17">
        <f t="shared" si="365"/>
        <v>1.1111111111111112</v>
      </c>
      <c r="AM748">
        <v>3</v>
      </c>
      <c r="AN748" s="17">
        <f t="shared" si="366"/>
        <v>0.33333333333333331</v>
      </c>
      <c r="AO748">
        <v>1</v>
      </c>
      <c r="AQ748">
        <v>4</v>
      </c>
      <c r="AR748" s="17">
        <f t="shared" si="367"/>
        <v>0.44444444444444442</v>
      </c>
      <c r="AS748">
        <v>11</v>
      </c>
      <c r="AT748" s="17">
        <f t="shared" si="368"/>
        <v>1.2222222222222223</v>
      </c>
      <c r="BD748" s="65">
        <f t="shared" si="369"/>
        <v>59.726962457337883</v>
      </c>
      <c r="BE748" s="65">
        <f t="shared" si="370"/>
        <v>58.695652173913047</v>
      </c>
      <c r="BF748" s="66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12.950832773787717</v>
      </c>
      <c r="BG748" s="38">
        <f t="shared" si="371"/>
        <v>0.60869565217391308</v>
      </c>
      <c r="BH748" s="38">
        <f t="shared" si="372"/>
        <v>4.3478260869565216E-2</v>
      </c>
      <c r="BI748" s="67">
        <f>IFERROR(((AG748*(12000/5))/((F748*60+G748)*(SUMIFS(팀공격력!X:X,팀공격력!A:A,B748,팀공격력!B:B,D748)+SUMIFS(팀수비력!X:X,팀수비력!A:A,B748,팀수비력!B:B,D748))))*100,"")</f>
        <v>1.1291354586171853</v>
      </c>
      <c r="BJ748" s="67">
        <f>IFERROR(((AI748*(12000/5))/((F748*60+G748)*(SUMIFS(팀공격력!V:V,팀공격력!A:A,B748,팀공격력!B:B,D748)+SUMIFS(팀수비력!W:W,팀수비력!A:A,B748,팀수비력!B:B,D748))))*100,"")</f>
        <v>14.435221941537351</v>
      </c>
      <c r="BK748" s="67">
        <f>IFERROR(((AE748*(12000/5))/((F748*60+G748)*(SUMIFS(팀공격력!X:X,팀공격력!A:A,B748,팀공격력!B:B,D748)+SUMIFS(팀수비력!X:X,팀수비력!A:A,B748,팀수비력!B:B,D748))))*100,"")</f>
        <v>7.9039482103202978</v>
      </c>
      <c r="BL748" s="67">
        <f>IFERROR(100*AK748/(((((F748*60+G748)/(12000/5))*SUMIFS(팀공격력!P:P,팀공격력!A:A,B748,팀공격력!B:B,D748))-K748)),"")</f>
        <v>14.129948425688248</v>
      </c>
      <c r="BM748" s="67">
        <f>IFERROR(100*((AM748/E748*(2400))/((F748*60+G748)*SUMIFS(팀공격력!AR:AR,팀공격력!A:A,B748,팀공격력!B:B,D748))),"")</f>
        <v>1.6763645105772391</v>
      </c>
      <c r="BN748" s="67">
        <f>IFERROR((AO748*40)/(((F748*60+G748)/60)*(SUMIFS(팀수비력!Q:Q,팀수비력!A:A,B748,팀수비력!B:B,D748)-SUMIFS(팀수비력!N:N,팀수비력!A:A,B748,팀수비력!B:B,D748)))*100,"")</f>
        <v>1.0487127051544229</v>
      </c>
      <c r="BO748" s="67">
        <f t="shared" si="373"/>
        <v>14.577259475218659</v>
      </c>
      <c r="BT748" t="s">
        <v>89</v>
      </c>
      <c r="BV748" t="s">
        <v>90</v>
      </c>
      <c r="CF748">
        <v>5</v>
      </c>
      <c r="CG748">
        <v>4</v>
      </c>
    </row>
    <row r="749" spans="1:85" x14ac:dyDescent="0.4">
      <c r="A749" s="11" t="s">
        <v>85</v>
      </c>
      <c r="B749" t="s">
        <v>203</v>
      </c>
      <c r="C749" t="s">
        <v>219</v>
      </c>
      <c r="D749" s="46" t="s">
        <v>311</v>
      </c>
      <c r="E749">
        <v>4</v>
      </c>
      <c r="F749">
        <v>3</v>
      </c>
      <c r="G749" s="1">
        <v>44</v>
      </c>
      <c r="H749" s="16">
        <f t="shared" si="348"/>
        <v>896</v>
      </c>
      <c r="I749">
        <v>2</v>
      </c>
      <c r="J749" s="17">
        <f t="shared" si="349"/>
        <v>0.5</v>
      </c>
      <c r="K749">
        <v>1</v>
      </c>
      <c r="L749">
        <v>5</v>
      </c>
      <c r="M749" s="17">
        <f t="shared" si="350"/>
        <v>0.25</v>
      </c>
      <c r="N749" s="17">
        <f t="shared" si="351"/>
        <v>1.25</v>
      </c>
      <c r="O749" s="18">
        <f t="shared" si="352"/>
        <v>0.2</v>
      </c>
      <c r="P749">
        <v>1</v>
      </c>
      <c r="Q749">
        <v>3</v>
      </c>
      <c r="R749" s="17">
        <f t="shared" si="353"/>
        <v>0.25</v>
      </c>
      <c r="S749" s="17">
        <f t="shared" si="354"/>
        <v>0.75</v>
      </c>
      <c r="T749" s="18">
        <f t="shared" si="355"/>
        <v>0.33333333333333331</v>
      </c>
      <c r="U749">
        <v>0</v>
      </c>
      <c r="V749">
        <v>2</v>
      </c>
      <c r="W749" s="17">
        <f t="shared" si="356"/>
        <v>0</v>
      </c>
      <c r="X749" s="17">
        <f t="shared" si="357"/>
        <v>0.5</v>
      </c>
      <c r="Y749" s="18">
        <f t="shared" si="358"/>
        <v>0</v>
      </c>
      <c r="Z749">
        <v>0</v>
      </c>
      <c r="AA749">
        <v>0</v>
      </c>
      <c r="AB749" s="17">
        <f t="shared" si="359"/>
        <v>0</v>
      </c>
      <c r="AC749" s="17">
        <f t="shared" si="360"/>
        <v>0</v>
      </c>
      <c r="AD749" s="18" t="e">
        <f t="shared" si="361"/>
        <v>#DIV/0!</v>
      </c>
      <c r="AE749">
        <v>3</v>
      </c>
      <c r="AF749" s="17">
        <f t="shared" si="362"/>
        <v>0.75</v>
      </c>
      <c r="AG749">
        <v>0</v>
      </c>
      <c r="AH749" s="17">
        <f t="shared" si="363"/>
        <v>0</v>
      </c>
      <c r="AI749">
        <v>3</v>
      </c>
      <c r="AJ749" s="17">
        <f t="shared" si="364"/>
        <v>0.75</v>
      </c>
      <c r="AK749">
        <v>1</v>
      </c>
      <c r="AL749" s="17">
        <f t="shared" si="365"/>
        <v>0.25</v>
      </c>
      <c r="AM749">
        <v>0</v>
      </c>
      <c r="AN749" s="17">
        <f t="shared" si="366"/>
        <v>0</v>
      </c>
      <c r="AO749">
        <v>0</v>
      </c>
      <c r="AQ749">
        <v>0</v>
      </c>
      <c r="AR749" s="17">
        <f t="shared" si="367"/>
        <v>0</v>
      </c>
      <c r="AS749">
        <v>2</v>
      </c>
      <c r="AT749" s="17">
        <f t="shared" si="368"/>
        <v>0.5</v>
      </c>
      <c r="BD749" s="65">
        <f t="shared" si="369"/>
        <v>20</v>
      </c>
      <c r="BE749" s="65">
        <f t="shared" si="370"/>
        <v>20</v>
      </c>
      <c r="BF749" s="66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6.8688363641692192</v>
      </c>
      <c r="BG749" s="38">
        <f t="shared" si="371"/>
        <v>0.4</v>
      </c>
      <c r="BH749" s="38">
        <f t="shared" si="372"/>
        <v>0</v>
      </c>
      <c r="BI749" s="67">
        <f>IFERROR(((AG749*(12000/5))/((F749*60+G749)*(SUMIFS(팀공격력!X:X,팀공격력!A:A,B749,팀공격력!B:B,D749)+SUMIFS(팀수비력!X:X,팀수비력!A:A,B749,팀수비력!B:B,D749))))*100,"")</f>
        <v>0</v>
      </c>
      <c r="BJ749" s="67">
        <f>IFERROR(((AI749*(12000/5))/((F749*60+G749)*(SUMIFS(팀공격력!V:V,팀공격력!A:A,B749,팀공격력!B:B,D749)+SUMIFS(팀수비력!W:W,팀수비력!A:A,B749,팀수비력!B:B,D749))))*100,"")</f>
        <v>10.504201680672269</v>
      </c>
      <c r="BK749" s="67">
        <f>IFERROR(((AE749*(12000/5))/((F749*60+G749)*(SUMIFS(팀공격력!X:X,팀공격력!A:A,B749,팀공격력!B:B,D749)+SUMIFS(팀수비력!X:X,팀수비력!A:A,B749,팀수비력!B:B,D749))))*100,"")</f>
        <v>4.9298860648553902</v>
      </c>
      <c r="BL749" s="67">
        <f>IFERROR(100*AK749/(((((F749*60+G749)/(12000/5))*SUMIFS(팀공격력!P:P,팀공격력!A:A,B749,팀공격력!B:B,D749))-K749)),"")</f>
        <v>3.6909448818897639</v>
      </c>
      <c r="BM749" s="67">
        <f>IFERROR(100*((AM749/E749*(2400))/((F749*60+G749)*SUMIFS(팀공격력!AR:AR,팀공격력!A:A,B749,팀공격력!B:B,D749))),"")</f>
        <v>0</v>
      </c>
      <c r="BN749" s="67">
        <f>IFERROR((AO749*40)/(((F749*60+G749)/60)*(SUMIFS(팀수비력!Q:Q,팀수비력!A:A,B749,팀수비력!B:B,D749)-SUMIFS(팀수비력!N:N,팀수비력!A:A,B749,팀수비력!B:B,D749)))*100,"")</f>
        <v>0</v>
      </c>
      <c r="BO749" s="67">
        <f t="shared" si="373"/>
        <v>0</v>
      </c>
      <c r="BT749" t="s">
        <v>89</v>
      </c>
      <c r="BV749" t="s">
        <v>90</v>
      </c>
      <c r="CF749">
        <v>2</v>
      </c>
      <c r="CG749">
        <v>2</v>
      </c>
    </row>
    <row r="750" spans="1:85" x14ac:dyDescent="0.4">
      <c r="A750" s="11" t="s">
        <v>85</v>
      </c>
      <c r="B750" t="s">
        <v>203</v>
      </c>
      <c r="C750" t="s">
        <v>220</v>
      </c>
      <c r="D750" s="46" t="s">
        <v>311</v>
      </c>
      <c r="E750">
        <v>9</v>
      </c>
      <c r="F750">
        <v>34</v>
      </c>
      <c r="G750" s="1">
        <v>6</v>
      </c>
      <c r="H750" s="16">
        <f t="shared" si="348"/>
        <v>18414</v>
      </c>
      <c r="I750">
        <v>208</v>
      </c>
      <c r="J750" s="17">
        <f t="shared" si="349"/>
        <v>23.111111111111111</v>
      </c>
      <c r="K750">
        <v>86</v>
      </c>
      <c r="L750">
        <v>194</v>
      </c>
      <c r="M750" s="17">
        <f t="shared" si="350"/>
        <v>9.5555555555555554</v>
      </c>
      <c r="N750" s="17">
        <f t="shared" si="351"/>
        <v>21.555555555555557</v>
      </c>
      <c r="O750" s="18">
        <f t="shared" si="352"/>
        <v>0.44329896907216493</v>
      </c>
      <c r="P750">
        <v>73</v>
      </c>
      <c r="Q750">
        <v>143</v>
      </c>
      <c r="R750" s="17">
        <f t="shared" si="353"/>
        <v>8.1111111111111107</v>
      </c>
      <c r="S750" s="17">
        <f t="shared" si="354"/>
        <v>15.888888888888889</v>
      </c>
      <c r="T750" s="18">
        <f t="shared" si="355"/>
        <v>0.51048951048951052</v>
      </c>
      <c r="U750">
        <v>13</v>
      </c>
      <c r="V750">
        <v>51</v>
      </c>
      <c r="W750" s="17">
        <f t="shared" si="356"/>
        <v>1.4444444444444444</v>
      </c>
      <c r="X750" s="17">
        <f t="shared" si="357"/>
        <v>5.666666666666667</v>
      </c>
      <c r="Y750" s="18">
        <f t="shared" si="358"/>
        <v>0.25490196078431371</v>
      </c>
      <c r="Z750">
        <v>23</v>
      </c>
      <c r="AA750">
        <v>33</v>
      </c>
      <c r="AB750" s="17">
        <f t="shared" si="359"/>
        <v>2.5555555555555554</v>
      </c>
      <c r="AC750" s="17">
        <f t="shared" si="360"/>
        <v>3.6666666666666665</v>
      </c>
      <c r="AD750" s="18">
        <f t="shared" si="361"/>
        <v>0.69696969696969702</v>
      </c>
      <c r="AE750">
        <v>117</v>
      </c>
      <c r="AF750" s="17">
        <f t="shared" si="362"/>
        <v>13</v>
      </c>
      <c r="AG750">
        <v>23</v>
      </c>
      <c r="AH750" s="17">
        <f t="shared" si="363"/>
        <v>2.5555555555555554</v>
      </c>
      <c r="AI750">
        <v>94</v>
      </c>
      <c r="AJ750" s="17">
        <f t="shared" si="364"/>
        <v>10.444444444444445</v>
      </c>
      <c r="AK750">
        <v>46</v>
      </c>
      <c r="AL750" s="17">
        <f t="shared" si="365"/>
        <v>5.1111111111111107</v>
      </c>
      <c r="AM750">
        <v>20</v>
      </c>
      <c r="AN750" s="17">
        <f t="shared" si="366"/>
        <v>2.2222222222222223</v>
      </c>
      <c r="AO750">
        <v>1</v>
      </c>
      <c r="AQ750">
        <v>36</v>
      </c>
      <c r="AR750" s="17">
        <f t="shared" si="367"/>
        <v>4</v>
      </c>
      <c r="AS750">
        <v>30</v>
      </c>
      <c r="AT750" s="17">
        <f t="shared" si="368"/>
        <v>3.3333333333333335</v>
      </c>
      <c r="BD750" s="65">
        <f t="shared" si="369"/>
        <v>49.875311720698249</v>
      </c>
      <c r="BE750" s="65">
        <f t="shared" si="370"/>
        <v>47.680412371134025</v>
      </c>
      <c r="BF750" s="66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36.776461620697098</v>
      </c>
      <c r="BG750" s="38">
        <f t="shared" si="371"/>
        <v>0.26288659793814434</v>
      </c>
      <c r="BH750" s="38">
        <f t="shared" si="372"/>
        <v>0.17010309278350516</v>
      </c>
      <c r="BI750" s="67">
        <f>IFERROR(((AG750*(12000/5))/((F750*60+G750)*(SUMIFS(팀공격력!X:X,팀공격력!A:A,B750,팀공격력!B:B,D750)+SUMIFS(팀수비력!X:X,팀수비력!A:A,B750,팀수비력!B:B,D750))))*100,"")</f>
        <v>4.1379558498101936</v>
      </c>
      <c r="BJ750" s="67">
        <f>IFERROR(((AI750*(12000/5))/((F750*60+G750)*(SUMIFS(팀공격력!V:V,팀공격력!A:A,B750,팀공격력!B:B,D750)+SUMIFS(팀수비력!W:W,팀수비력!A:A,B750,팀수비력!B:B,D750))))*100,"")</f>
        <v>36.033963927702068</v>
      </c>
      <c r="BK750" s="67">
        <f>IFERROR(((AE750*(12000/5))/((F750*60+G750)*(SUMIFS(팀공격력!X:X,팀공격력!A:A,B750,팀공격력!B:B,D750)+SUMIFS(팀수비력!X:X,팀수비력!A:A,B750,팀수비력!B:B,D750))))*100,"")</f>
        <v>21.04960149686055</v>
      </c>
      <c r="BL750" s="67">
        <f>IFERROR(100*AK750/(((((F750*60+G750)/(12000/5))*SUMIFS(팀공격력!P:P,팀공격력!A:A,B750,팀공격력!B:B,D750))-K750)),"")</f>
        <v>26.963262554769123</v>
      </c>
      <c r="BM750" s="67">
        <f>IFERROR(100*((AM750/E750*(2400))/((F750*60+G750)*SUMIFS(팀공격력!AR:AR,팀공격력!A:A,B750,팀공격력!B:B,D750))),"")</f>
        <v>3.5613869693592703</v>
      </c>
      <c r="BN750" s="67">
        <f>IFERROR((AO750*40)/(((F750*60+G750)/60)*(SUMIFS(팀수비력!Q:Q,팀수비력!A:A,B750,팀수비력!B:B,D750)-SUMIFS(팀수비력!N:N,팀수비력!A:A,B750,팀수비력!B:B,D750)))*100,"")</f>
        <v>0.33419388258097932</v>
      </c>
      <c r="BO750" s="67">
        <f t="shared" si="373"/>
        <v>14.72272206772452</v>
      </c>
      <c r="BT750" t="s">
        <v>96</v>
      </c>
      <c r="BV750" t="s">
        <v>93</v>
      </c>
      <c r="CF750">
        <v>5</v>
      </c>
      <c r="CG750">
        <v>4</v>
      </c>
    </row>
    <row r="751" spans="1:85" x14ac:dyDescent="0.4">
      <c r="A751" s="11" t="s">
        <v>85</v>
      </c>
      <c r="B751" t="s">
        <v>203</v>
      </c>
      <c r="C751" t="s">
        <v>221</v>
      </c>
      <c r="D751" s="46" t="s">
        <v>311</v>
      </c>
      <c r="E751">
        <v>9</v>
      </c>
      <c r="F751">
        <v>31</v>
      </c>
      <c r="G751" s="1">
        <v>26</v>
      </c>
      <c r="H751" s="16">
        <f t="shared" si="348"/>
        <v>16974</v>
      </c>
      <c r="I751">
        <v>162</v>
      </c>
      <c r="J751" s="17">
        <f t="shared" si="349"/>
        <v>18</v>
      </c>
      <c r="K751">
        <v>66</v>
      </c>
      <c r="L751">
        <v>107</v>
      </c>
      <c r="M751" s="17">
        <f t="shared" si="350"/>
        <v>7.333333333333333</v>
      </c>
      <c r="N751" s="17">
        <f t="shared" si="351"/>
        <v>11.888888888888889</v>
      </c>
      <c r="O751" s="18">
        <f t="shared" si="352"/>
        <v>0.61682242990654201</v>
      </c>
      <c r="P751">
        <v>66</v>
      </c>
      <c r="Q751">
        <v>106</v>
      </c>
      <c r="R751" s="17">
        <f t="shared" si="353"/>
        <v>7.333333333333333</v>
      </c>
      <c r="S751" s="17">
        <f t="shared" si="354"/>
        <v>11.777777777777779</v>
      </c>
      <c r="T751" s="18">
        <f t="shared" si="355"/>
        <v>0.62264150943396224</v>
      </c>
      <c r="U751">
        <v>0</v>
      </c>
      <c r="V751">
        <v>1</v>
      </c>
      <c r="W751" s="17">
        <f t="shared" si="356"/>
        <v>0</v>
      </c>
      <c r="X751" s="17">
        <f t="shared" si="357"/>
        <v>0.1111111111111111</v>
      </c>
      <c r="Y751" s="18">
        <f t="shared" si="358"/>
        <v>0</v>
      </c>
      <c r="Z751">
        <v>30</v>
      </c>
      <c r="AA751">
        <v>38</v>
      </c>
      <c r="AB751" s="17">
        <f t="shared" si="359"/>
        <v>3.3333333333333335</v>
      </c>
      <c r="AC751" s="17">
        <f t="shared" si="360"/>
        <v>4.2222222222222223</v>
      </c>
      <c r="AD751" s="18">
        <f t="shared" si="361"/>
        <v>0.78947368421052633</v>
      </c>
      <c r="AE751">
        <v>71</v>
      </c>
      <c r="AF751" s="17">
        <f t="shared" si="362"/>
        <v>7.8888888888888893</v>
      </c>
      <c r="AG751">
        <v>34</v>
      </c>
      <c r="AH751" s="17">
        <f t="shared" si="363"/>
        <v>3.7777777777777777</v>
      </c>
      <c r="AI751">
        <v>37</v>
      </c>
      <c r="AJ751" s="17">
        <f t="shared" si="364"/>
        <v>4.1111111111111107</v>
      </c>
      <c r="AK751">
        <v>12</v>
      </c>
      <c r="AL751" s="17">
        <f t="shared" si="365"/>
        <v>1.3333333333333333</v>
      </c>
      <c r="AM751">
        <v>6</v>
      </c>
      <c r="AN751" s="17">
        <f t="shared" si="366"/>
        <v>0.66666666666666663</v>
      </c>
      <c r="AO751">
        <v>5</v>
      </c>
      <c r="AQ751">
        <v>10</v>
      </c>
      <c r="AR751" s="17">
        <f t="shared" si="367"/>
        <v>1.1111111111111112</v>
      </c>
      <c r="AS751">
        <v>15</v>
      </c>
      <c r="AT751" s="17">
        <f t="shared" si="368"/>
        <v>1.6666666666666667</v>
      </c>
      <c r="BD751" s="65">
        <f t="shared" si="369"/>
        <v>65.470417070805041</v>
      </c>
      <c r="BE751" s="65">
        <f t="shared" si="370"/>
        <v>61.682242990654203</v>
      </c>
      <c r="BF751" s="66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21.818046541902714</v>
      </c>
      <c r="BG751" s="38">
        <f t="shared" si="371"/>
        <v>9.3457943925233638E-3</v>
      </c>
      <c r="BH751" s="38">
        <f t="shared" si="372"/>
        <v>0.35514018691588783</v>
      </c>
      <c r="BI751" s="67">
        <f>IFERROR(((AG751*(12000/5))/((F751*60+G751)*(SUMIFS(팀공격력!X:X,팀공격력!A:A,B751,팀공격력!B:B,D751)+SUMIFS(팀수비력!X:X,팀수비력!A:A,B751,팀수비력!B:B,D751))))*100,"")</f>
        <v>6.6359159190418255</v>
      </c>
      <c r="BJ751" s="67">
        <f>IFERROR(((AI751*(12000/5))/((F751*60+G751)*(SUMIFS(팀공격력!V:V,팀공격력!A:A,B751,팀공격력!B:B,D751)+SUMIFS(팀수비력!W:W,팀수비력!A:A,B751,팀수비력!B:B,D751))))*100,"")</f>
        <v>15.386854635809785</v>
      </c>
      <c r="BK751" s="67">
        <f>IFERROR(((AE751*(12000/5))/((F751*60+G751)*(SUMIFS(팀공격력!X:X,팀공격력!A:A,B751,팀공격력!B:B,D751)+SUMIFS(팀수비력!X:X,팀수비력!A:A,B751,팀수비력!B:B,D751))))*100,"")</f>
        <v>13.857353830940284</v>
      </c>
      <c r="BL751" s="67">
        <f>IFERROR(100*AK751/(((((F751*60+G751)/(12000/5))*SUMIFS(팀공격력!P:P,팀공격력!A:A,B751,팀공격력!B:B,D751))-K751)),"")</f>
        <v>7.0366443025170655</v>
      </c>
      <c r="BM751" s="67">
        <f>IFERROR(100*((AM751/E751*(2400))/((F751*60+G751)*SUMIFS(팀공격력!AR:AR,팀공격력!A:A,B751,팀공격력!B:B,D751))),"")</f>
        <v>1.1590558440046232</v>
      </c>
      <c r="BN751" s="67">
        <f>IFERROR((AO751*40)/(((F751*60+G751)/60)*(SUMIFS(팀수비력!Q:Q,팀수비력!A:A,B751,팀수비력!B:B,D751)-SUMIFS(팀수비력!N:N,팀수비력!A:A,B751,팀수비력!B:B,D751)))*100,"")</f>
        <v>1.8127271573719079</v>
      </c>
      <c r="BO751" s="67">
        <f t="shared" si="373"/>
        <v>7.4783128926114273</v>
      </c>
      <c r="BT751" t="s">
        <v>89</v>
      </c>
      <c r="BV751" t="s">
        <v>102</v>
      </c>
      <c r="CF751">
        <v>5</v>
      </c>
      <c r="CG751">
        <v>4</v>
      </c>
    </row>
    <row r="752" spans="1:85" x14ac:dyDescent="0.4">
      <c r="A752" s="11" t="s">
        <v>85</v>
      </c>
      <c r="B752" t="s">
        <v>203</v>
      </c>
      <c r="C752" t="s">
        <v>222</v>
      </c>
      <c r="D752" s="46" t="s">
        <v>311</v>
      </c>
      <c r="E752">
        <v>9</v>
      </c>
      <c r="F752">
        <v>28</v>
      </c>
      <c r="G752" s="1">
        <v>34</v>
      </c>
      <c r="H752" s="16">
        <f t="shared" si="348"/>
        <v>15426</v>
      </c>
      <c r="I752">
        <v>78</v>
      </c>
      <c r="J752" s="17">
        <f t="shared" si="349"/>
        <v>8.6666666666666661</v>
      </c>
      <c r="K752">
        <v>29</v>
      </c>
      <c r="L752">
        <v>53</v>
      </c>
      <c r="M752" s="17">
        <f t="shared" si="350"/>
        <v>3.2222222222222223</v>
      </c>
      <c r="N752" s="17">
        <f t="shared" si="351"/>
        <v>5.8888888888888893</v>
      </c>
      <c r="O752" s="18">
        <f t="shared" si="352"/>
        <v>0.54716981132075471</v>
      </c>
      <c r="P752">
        <v>12</v>
      </c>
      <c r="Q752">
        <v>22</v>
      </c>
      <c r="R752" s="17">
        <f t="shared" si="353"/>
        <v>1.3333333333333333</v>
      </c>
      <c r="S752" s="17">
        <f t="shared" si="354"/>
        <v>2.4444444444444446</v>
      </c>
      <c r="T752" s="18">
        <f t="shared" si="355"/>
        <v>0.54545454545454541</v>
      </c>
      <c r="U752">
        <v>17</v>
      </c>
      <c r="V752">
        <v>31</v>
      </c>
      <c r="W752" s="17">
        <f t="shared" si="356"/>
        <v>1.8888888888888888</v>
      </c>
      <c r="X752" s="17">
        <f t="shared" si="357"/>
        <v>3.4444444444444446</v>
      </c>
      <c r="Y752" s="18">
        <f t="shared" si="358"/>
        <v>0.54838709677419351</v>
      </c>
      <c r="Z752">
        <v>3</v>
      </c>
      <c r="AA752">
        <v>6</v>
      </c>
      <c r="AB752" s="17">
        <f t="shared" si="359"/>
        <v>0.33333333333333331</v>
      </c>
      <c r="AC752" s="17">
        <f t="shared" si="360"/>
        <v>0.66666666666666663</v>
      </c>
      <c r="AD752" s="18">
        <f t="shared" si="361"/>
        <v>0.5</v>
      </c>
      <c r="AE752">
        <v>31</v>
      </c>
      <c r="AF752" s="17">
        <f t="shared" si="362"/>
        <v>3.4444444444444446</v>
      </c>
      <c r="AG752">
        <v>6</v>
      </c>
      <c r="AH752" s="17">
        <f t="shared" si="363"/>
        <v>0.66666666666666663</v>
      </c>
      <c r="AI752">
        <v>25</v>
      </c>
      <c r="AJ752" s="17">
        <f t="shared" si="364"/>
        <v>2.7777777777777777</v>
      </c>
      <c r="AK752">
        <v>11</v>
      </c>
      <c r="AL752" s="17">
        <f t="shared" si="365"/>
        <v>1.2222222222222223</v>
      </c>
      <c r="AM752">
        <v>8</v>
      </c>
      <c r="AN752" s="17">
        <f t="shared" si="366"/>
        <v>0.88888888888888884</v>
      </c>
      <c r="AO752">
        <v>1</v>
      </c>
      <c r="AQ752">
        <v>8</v>
      </c>
      <c r="AR752" s="17">
        <f t="shared" si="367"/>
        <v>0.88888888888888884</v>
      </c>
      <c r="AS752">
        <v>30</v>
      </c>
      <c r="AT752" s="17">
        <f t="shared" si="368"/>
        <v>3.3333333333333335</v>
      </c>
      <c r="BD752" s="65">
        <f t="shared" si="369"/>
        <v>70.09345794392523</v>
      </c>
      <c r="BE752" s="65">
        <f t="shared" si="370"/>
        <v>70.754716981132077</v>
      </c>
      <c r="BF752" s="66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11.42564004111124</v>
      </c>
      <c r="BG752" s="38">
        <f t="shared" si="371"/>
        <v>0.58490566037735847</v>
      </c>
      <c r="BH752" s="38">
        <f t="shared" si="372"/>
        <v>0.11320754716981132</v>
      </c>
      <c r="BI752" s="67">
        <f>IFERROR(((AG752*(12000/5))/((F752*60+G752)*(SUMIFS(팀공격력!X:X,팀공격력!A:A,B752,팀공격력!B:B,D752)+SUMIFS(팀수비력!X:X,팀수비력!A:A,B752,팀수비력!B:B,D752))))*100,"")</f>
        <v>1.2885583180018756</v>
      </c>
      <c r="BJ752" s="67">
        <f>IFERROR(((AI752*(12000/5))/((F752*60+G752)*(SUMIFS(팀공격력!V:V,팀공격력!A:A,B752,팀공격력!B:B,D752)+SUMIFS(팀수비력!W:W,팀수비력!A:A,B752,팀수비력!B:B,D752))))*100,"")</f>
        <v>11.439815132587459</v>
      </c>
      <c r="BK752" s="67">
        <f>IFERROR(((AE752*(12000/5))/((F752*60+G752)*(SUMIFS(팀공격력!X:X,팀공격력!A:A,B752,팀공격력!B:B,D752)+SUMIFS(팀수비력!X:X,팀수비력!A:A,B752,팀수비력!B:B,D752))))*100,"")</f>
        <v>6.6575513096763572</v>
      </c>
      <c r="BL752" s="67">
        <f>IFERROR(100*AK752/(((((F752*60+G752)/(12000/5))*SUMIFS(팀공격력!P:P,팀공격력!A:A,B752,팀공격력!B:B,D752))-K752)),"")</f>
        <v>5.9151180558978664</v>
      </c>
      <c r="BM752" s="67">
        <f>IFERROR(100*((AM752/E752*(2400))/((F752*60+G752)*SUMIFS(팀공격력!AR:AR,팀공격력!A:A,B752,팀공격력!B:B,D752))),"")</f>
        <v>1.700489554097798</v>
      </c>
      <c r="BN752" s="67">
        <f>IFERROR((AO752*40)/(((F752*60+G752)/60)*(SUMIFS(팀수비력!Q:Q,팀수비력!A:A,B752,팀수비력!B:B,D752)-SUMIFS(팀수비력!N:N,팀수비력!A:A,B752,팀수비력!B:B,D752)))*100,"")</f>
        <v>0.39892688667484472</v>
      </c>
      <c r="BO752" s="67">
        <f t="shared" si="373"/>
        <v>12.570710245128849</v>
      </c>
      <c r="BT752" t="s">
        <v>89</v>
      </c>
      <c r="BV752" t="s">
        <v>93</v>
      </c>
      <c r="CF752">
        <v>5</v>
      </c>
      <c r="CG752">
        <v>4</v>
      </c>
    </row>
    <row r="753" spans="1:85" x14ac:dyDescent="0.4">
      <c r="A753" s="11" t="s">
        <v>85</v>
      </c>
      <c r="B753" t="s">
        <v>203</v>
      </c>
      <c r="C753" t="s">
        <v>223</v>
      </c>
      <c r="D753" s="46" t="s">
        <v>311</v>
      </c>
      <c r="E753">
        <v>3</v>
      </c>
      <c r="F753">
        <v>22</v>
      </c>
      <c r="G753" s="1">
        <v>45</v>
      </c>
      <c r="H753" s="16">
        <f t="shared" si="348"/>
        <v>4095</v>
      </c>
      <c r="I753">
        <v>37</v>
      </c>
      <c r="J753" s="17">
        <f t="shared" si="349"/>
        <v>12.333333333333334</v>
      </c>
      <c r="K753">
        <v>13</v>
      </c>
      <c r="L753">
        <v>25</v>
      </c>
      <c r="M753" s="17">
        <f t="shared" si="350"/>
        <v>4.333333333333333</v>
      </c>
      <c r="N753" s="17">
        <f t="shared" si="351"/>
        <v>8.3333333333333339</v>
      </c>
      <c r="O753" s="18">
        <f t="shared" si="352"/>
        <v>0.52</v>
      </c>
      <c r="P753">
        <v>5</v>
      </c>
      <c r="Q753">
        <v>9</v>
      </c>
      <c r="R753" s="17">
        <f t="shared" si="353"/>
        <v>1.6666666666666667</v>
      </c>
      <c r="S753" s="17">
        <f t="shared" si="354"/>
        <v>3</v>
      </c>
      <c r="T753" s="18">
        <f t="shared" si="355"/>
        <v>0.55555555555555558</v>
      </c>
      <c r="U753">
        <v>8</v>
      </c>
      <c r="V753">
        <v>16</v>
      </c>
      <c r="W753" s="17">
        <f t="shared" si="356"/>
        <v>2.6666666666666665</v>
      </c>
      <c r="X753" s="17">
        <f t="shared" si="357"/>
        <v>5.333333333333333</v>
      </c>
      <c r="Y753" s="18">
        <f t="shared" si="358"/>
        <v>0.5</v>
      </c>
      <c r="Z753">
        <v>3</v>
      </c>
      <c r="AA753">
        <v>5</v>
      </c>
      <c r="AB753" s="17">
        <f t="shared" si="359"/>
        <v>1</v>
      </c>
      <c r="AC753" s="17">
        <f t="shared" si="360"/>
        <v>1.6666666666666667</v>
      </c>
      <c r="AD753" s="18">
        <f t="shared" si="361"/>
        <v>0.6</v>
      </c>
      <c r="AE753">
        <v>5</v>
      </c>
      <c r="AF753" s="17">
        <f t="shared" si="362"/>
        <v>1.6666666666666667</v>
      </c>
      <c r="AG753">
        <v>0</v>
      </c>
      <c r="AH753" s="17">
        <f t="shared" si="363"/>
        <v>0</v>
      </c>
      <c r="AI753">
        <v>5</v>
      </c>
      <c r="AJ753" s="17">
        <f t="shared" si="364"/>
        <v>1.6666666666666667</v>
      </c>
      <c r="AK753">
        <v>10</v>
      </c>
      <c r="AL753" s="17">
        <f t="shared" si="365"/>
        <v>3.3333333333333335</v>
      </c>
      <c r="AM753">
        <v>4</v>
      </c>
      <c r="AN753" s="17">
        <f t="shared" si="366"/>
        <v>1.3333333333333333</v>
      </c>
      <c r="AO753">
        <v>0</v>
      </c>
      <c r="AQ753">
        <v>8</v>
      </c>
      <c r="AR753" s="17">
        <f t="shared" si="367"/>
        <v>2.6666666666666665</v>
      </c>
      <c r="AS753">
        <v>4</v>
      </c>
      <c r="AT753" s="17">
        <f t="shared" si="368"/>
        <v>1.3333333333333333</v>
      </c>
      <c r="BD753" s="65">
        <f t="shared" si="369"/>
        <v>68.014705882352942</v>
      </c>
      <c r="BE753" s="65">
        <f t="shared" si="370"/>
        <v>68</v>
      </c>
      <c r="BF753" s="66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7.9354433647181617</v>
      </c>
      <c r="BG753" s="38">
        <f t="shared" si="371"/>
        <v>0.64</v>
      </c>
      <c r="BH753" s="38">
        <f t="shared" si="372"/>
        <v>0.2</v>
      </c>
      <c r="BI753" s="67">
        <f>IFERROR(((AG753*(12000/5))/((F753*60+G753)*(SUMIFS(팀공격력!X:X,팀공격력!A:A,B753,팀공격력!B:B,D753)+SUMIFS(팀수비력!X:X,팀수비력!A:A,B753,팀수비력!B:B,D753))))*100,"")</f>
        <v>0</v>
      </c>
      <c r="BJ753" s="67">
        <f>IFERROR(((AI753*(12000/5))/((F753*60+G753)*(SUMIFS(팀공격력!V:V,팀공격력!A:A,B753,팀공격력!B:B,D753)+SUMIFS(팀수비력!W:W,팀수비력!A:A,B753,팀수비력!B:B,D753))))*100,"")</f>
        <v>2.8729440494146377</v>
      </c>
      <c r="BK753" s="67">
        <f>IFERROR(((AE753*(12000/5))/((F753*60+G753)*(SUMIFS(팀공격력!X:X,팀공격력!A:A,B753,팀공격력!B:B,D753)+SUMIFS(팀수비력!X:X,팀수비력!A:A,B753,팀수비력!B:B,D753))))*100,"")</f>
        <v>1.3483449066271151</v>
      </c>
      <c r="BL753" s="67">
        <f>IFERROR(100*AK753/(((((F753*60+G753)/(12000/5))*SUMIFS(팀공격력!P:P,팀공격력!A:A,B753,팀공격력!B:B,D753))-K753)),"")</f>
        <v>6.3213622535656437</v>
      </c>
      <c r="BM753" s="67">
        <f>IFERROR(100*((AM753/E753*(2400))/((F753*60+G753)*SUMIFS(팀공격력!AR:AR,팀공격력!A:A,B753,팀공격력!B:B,D753))),"")</f>
        <v>3.2029001051907979</v>
      </c>
      <c r="BN753" s="67">
        <f>IFERROR((AO753*40)/(((F753*60+G753)/60)*(SUMIFS(팀수비력!Q:Q,팀수비력!A:A,B753,팀수비력!B:B,D753)-SUMIFS(팀수비력!N:N,팀수비력!A:A,B753,팀수비력!B:B,D753)))*100,"")</f>
        <v>0</v>
      </c>
      <c r="BO753" s="67">
        <f t="shared" si="373"/>
        <v>22.727272727272727</v>
      </c>
      <c r="BT753" t="s">
        <v>89</v>
      </c>
      <c r="BV753" t="s">
        <v>90</v>
      </c>
      <c r="CF753">
        <v>1</v>
      </c>
      <c r="CG753">
        <v>2</v>
      </c>
    </row>
    <row r="754" spans="1:85" x14ac:dyDescent="0.4">
      <c r="A754" s="11" t="s">
        <v>85</v>
      </c>
      <c r="B754" t="s">
        <v>224</v>
      </c>
      <c r="C754" t="s">
        <v>225</v>
      </c>
      <c r="D754" s="46" t="s">
        <v>311</v>
      </c>
      <c r="E754">
        <v>5</v>
      </c>
      <c r="F754">
        <v>2</v>
      </c>
      <c r="G754" s="1">
        <v>50</v>
      </c>
      <c r="H754" s="16">
        <f t="shared" si="348"/>
        <v>850</v>
      </c>
      <c r="I754">
        <v>9</v>
      </c>
      <c r="J754" s="17">
        <f t="shared" si="349"/>
        <v>1.8</v>
      </c>
      <c r="K754">
        <v>2</v>
      </c>
      <c r="L754">
        <v>4</v>
      </c>
      <c r="M754" s="17">
        <f t="shared" si="350"/>
        <v>0.4</v>
      </c>
      <c r="N754" s="17">
        <f t="shared" si="351"/>
        <v>0.8</v>
      </c>
      <c r="O754" s="18">
        <f t="shared" si="352"/>
        <v>0.5</v>
      </c>
      <c r="P754">
        <v>1</v>
      </c>
      <c r="Q754">
        <v>1</v>
      </c>
      <c r="R754" s="17">
        <f t="shared" si="353"/>
        <v>0.2</v>
      </c>
      <c r="S754" s="17">
        <f t="shared" si="354"/>
        <v>0.2</v>
      </c>
      <c r="T754" s="18">
        <f t="shared" si="355"/>
        <v>1</v>
      </c>
      <c r="U754">
        <v>1</v>
      </c>
      <c r="V754">
        <v>3</v>
      </c>
      <c r="W754" s="17">
        <f t="shared" si="356"/>
        <v>0.2</v>
      </c>
      <c r="X754" s="17">
        <f t="shared" si="357"/>
        <v>0.6</v>
      </c>
      <c r="Y754" s="18">
        <f t="shared" si="358"/>
        <v>0.33333333333333331</v>
      </c>
      <c r="Z754">
        <v>4</v>
      </c>
      <c r="AA754">
        <v>4</v>
      </c>
      <c r="AB754" s="17">
        <f t="shared" si="359"/>
        <v>0.8</v>
      </c>
      <c r="AC754" s="17">
        <f t="shared" si="360"/>
        <v>0.8</v>
      </c>
      <c r="AD754" s="18">
        <f t="shared" si="361"/>
        <v>1</v>
      </c>
      <c r="AE754">
        <v>4</v>
      </c>
      <c r="AF754" s="17">
        <f t="shared" si="362"/>
        <v>0.8</v>
      </c>
      <c r="AG754">
        <v>1</v>
      </c>
      <c r="AH754" s="17">
        <f t="shared" si="363"/>
        <v>0.2</v>
      </c>
      <c r="AI754">
        <v>3</v>
      </c>
      <c r="AJ754" s="17">
        <f t="shared" si="364"/>
        <v>0.6</v>
      </c>
      <c r="AK754">
        <v>0</v>
      </c>
      <c r="AL754" s="17">
        <f t="shared" si="365"/>
        <v>0</v>
      </c>
      <c r="AM754">
        <v>0</v>
      </c>
      <c r="AN754" s="17">
        <f t="shared" si="366"/>
        <v>0</v>
      </c>
      <c r="AO754">
        <v>0</v>
      </c>
      <c r="AQ754">
        <v>0</v>
      </c>
      <c r="AR754" s="17">
        <f t="shared" si="367"/>
        <v>0</v>
      </c>
      <c r="AS754">
        <v>0</v>
      </c>
      <c r="AT754" s="17">
        <f t="shared" si="368"/>
        <v>0</v>
      </c>
      <c r="BD754" s="65">
        <f t="shared" si="369"/>
        <v>78.125</v>
      </c>
      <c r="BE754" s="65">
        <f t="shared" si="370"/>
        <v>62.5</v>
      </c>
      <c r="BF754" s="66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12.105163608851901</v>
      </c>
      <c r="BG754" s="38">
        <f t="shared" si="371"/>
        <v>0.75</v>
      </c>
      <c r="BH754" s="38">
        <f t="shared" si="372"/>
        <v>1</v>
      </c>
      <c r="BI754" s="67">
        <f>IFERROR(((AG754*(12000/5))/((F754*60+G754)*(SUMIFS(팀공격력!X:X,팀공격력!A:A,B754,팀공격력!B:B,D754)+SUMIFS(팀수비력!X:X,팀수비력!A:A,B754,팀수비력!B:B,D754))))*100,"")</f>
        <v>2.4986985944820406</v>
      </c>
      <c r="BJ754" s="67">
        <f>IFERROR(((AI754*(12000/5))/((F754*60+G754)*(SUMIFS(팀공격력!V:V,팀공격력!A:A,B754,팀공격력!B:B,D754)+SUMIFS(팀수비력!W:W,팀수비력!A:A,B754,팀수비력!B:B,D754))))*100,"")</f>
        <v>14.860681114551083</v>
      </c>
      <c r="BK754" s="67">
        <f>IFERROR(((AE754*(12000/5))/((F754*60+G754)*(SUMIFS(팀공격력!X:X,팀공격력!A:A,B754,팀공격력!B:B,D754)+SUMIFS(팀수비력!X:X,팀수비력!A:A,B754,팀수비력!B:B,D754))))*100,"")</f>
        <v>9.9947943779281623</v>
      </c>
      <c r="BL754" s="67">
        <f>IFERROR(100*AK754/(((((F754*60+G754)/(12000/5))*SUMIFS(팀공격력!P:P,팀공격력!A:A,B754,팀공격력!B:B,D754))-K754)),"")</f>
        <v>0</v>
      </c>
      <c r="BM754" s="67">
        <f>IFERROR(100*((AM754/E754*(2400))/((F754*60+G754)*SUMIFS(팀공격력!AR:AR,팀공격력!A:A,B754,팀공격력!B:B,D754))),"")</f>
        <v>0</v>
      </c>
      <c r="BN754" s="67">
        <f>IFERROR((AO754*40)/(((F754*60+G754)/60)*(SUMIFS(팀수비력!Q:Q,팀수비력!A:A,B754,팀수비력!B:B,D754)-SUMIFS(팀수비력!N:N,팀수비력!A:A,B754,팀수비력!B:B,D754)))*100,"")</f>
        <v>0</v>
      </c>
      <c r="BO754" s="67">
        <f t="shared" si="373"/>
        <v>0</v>
      </c>
      <c r="BT754" t="s">
        <v>89</v>
      </c>
      <c r="BV754" t="s">
        <v>90</v>
      </c>
      <c r="CF754">
        <v>2</v>
      </c>
      <c r="CG754">
        <v>3</v>
      </c>
    </row>
    <row r="755" spans="1:85" x14ac:dyDescent="0.4">
      <c r="A755" s="11" t="s">
        <v>85</v>
      </c>
      <c r="B755" t="s">
        <v>224</v>
      </c>
      <c r="C755" t="s">
        <v>227</v>
      </c>
      <c r="D755" s="46" t="s">
        <v>311</v>
      </c>
      <c r="E755">
        <v>5</v>
      </c>
      <c r="F755">
        <v>7</v>
      </c>
      <c r="G755" s="1">
        <v>27</v>
      </c>
      <c r="H755" s="16">
        <f t="shared" si="348"/>
        <v>2235</v>
      </c>
      <c r="I755">
        <v>7</v>
      </c>
      <c r="J755" s="17">
        <f t="shared" si="349"/>
        <v>1.4</v>
      </c>
      <c r="K755">
        <v>3</v>
      </c>
      <c r="L755">
        <v>8</v>
      </c>
      <c r="M755" s="17">
        <f t="shared" si="350"/>
        <v>0.6</v>
      </c>
      <c r="N755" s="17">
        <f t="shared" si="351"/>
        <v>1.6</v>
      </c>
      <c r="O755" s="18">
        <f t="shared" si="352"/>
        <v>0.375</v>
      </c>
      <c r="P755">
        <v>2</v>
      </c>
      <c r="Q755">
        <v>5</v>
      </c>
      <c r="R755" s="17">
        <f t="shared" si="353"/>
        <v>0.4</v>
      </c>
      <c r="S755" s="17">
        <f t="shared" si="354"/>
        <v>1</v>
      </c>
      <c r="T755" s="18">
        <f t="shared" si="355"/>
        <v>0.4</v>
      </c>
      <c r="U755">
        <v>1</v>
      </c>
      <c r="V755">
        <v>3</v>
      </c>
      <c r="W755" s="17">
        <f t="shared" si="356"/>
        <v>0.2</v>
      </c>
      <c r="X755" s="17">
        <f t="shared" si="357"/>
        <v>0.6</v>
      </c>
      <c r="Y755" s="18">
        <f t="shared" si="358"/>
        <v>0.33333333333333331</v>
      </c>
      <c r="Z755">
        <v>0</v>
      </c>
      <c r="AA755">
        <v>0</v>
      </c>
      <c r="AB755" s="17">
        <f t="shared" si="359"/>
        <v>0</v>
      </c>
      <c r="AC755" s="17">
        <f t="shared" si="360"/>
        <v>0</v>
      </c>
      <c r="AD755" s="18" t="e">
        <f t="shared" si="361"/>
        <v>#DIV/0!</v>
      </c>
      <c r="AE755">
        <v>5</v>
      </c>
      <c r="AF755" s="17">
        <f t="shared" si="362"/>
        <v>1</v>
      </c>
      <c r="AG755">
        <v>1</v>
      </c>
      <c r="AH755" s="17">
        <f t="shared" si="363"/>
        <v>0.2</v>
      </c>
      <c r="AI755">
        <v>4</v>
      </c>
      <c r="AJ755" s="17">
        <f t="shared" si="364"/>
        <v>0.8</v>
      </c>
      <c r="AK755">
        <v>3</v>
      </c>
      <c r="AL755" s="17">
        <f t="shared" si="365"/>
        <v>0.6</v>
      </c>
      <c r="AM755">
        <v>1</v>
      </c>
      <c r="AN755" s="17">
        <f t="shared" si="366"/>
        <v>0.2</v>
      </c>
      <c r="AO755">
        <v>0</v>
      </c>
      <c r="AQ755">
        <v>0</v>
      </c>
      <c r="AR755" s="17">
        <f t="shared" si="367"/>
        <v>0</v>
      </c>
      <c r="AS755">
        <v>4</v>
      </c>
      <c r="AT755" s="17">
        <f t="shared" si="368"/>
        <v>0.8</v>
      </c>
      <c r="BD755" s="65">
        <f t="shared" si="369"/>
        <v>43.75</v>
      </c>
      <c r="BE755" s="65">
        <f t="shared" si="370"/>
        <v>43.75</v>
      </c>
      <c r="BF755" s="66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6.3941020802411863</v>
      </c>
      <c r="BG755" s="38">
        <f t="shared" si="371"/>
        <v>0.375</v>
      </c>
      <c r="BH755" s="38">
        <f t="shared" si="372"/>
        <v>0</v>
      </c>
      <c r="BI755" s="67">
        <f>IFERROR(((AG755*(12000/5))/((F755*60+G755)*(SUMIFS(팀공격력!X:X,팀공격력!A:A,B755,팀공격력!B:B,D755)+SUMIFS(팀수비력!X:X,팀수비력!A:A,B755,팀수비력!B:B,D755))))*100,"")</f>
        <v>0.95028805606699529</v>
      </c>
      <c r="BJ755" s="67">
        <f>IFERROR(((AI755*(12000/5))/((F755*60+G755)*(SUMIFS(팀공격력!V:V,팀공격력!A:A,B755,팀공격력!B:B,D755)+SUMIFS(팀수비력!W:W,팀수비력!A:A,B755,팀수비력!B:B,D755))))*100,"")</f>
        <v>7.5356175674084538</v>
      </c>
      <c r="BK755" s="67">
        <f>IFERROR(((AE755*(12000/5))/((F755*60+G755)*(SUMIFS(팀공격력!X:X,팀공격력!A:A,B755,팀공격력!B:B,D755)+SUMIFS(팀수비력!X:X,팀수비력!A:A,B755,팀수비력!B:B,D755))))*100,"")</f>
        <v>4.7514402803349762</v>
      </c>
      <c r="BL755" s="67">
        <f>IFERROR(100*AK755/(((((F755*60+G755)/(12000/5))*SUMIFS(팀공격력!P:P,팀공격력!A:A,B755,팀공격력!B:B,D755))-K755)),"")</f>
        <v>6.8282690337999314</v>
      </c>
      <c r="BM755" s="67">
        <f>IFERROR(100*((AM755/E755*(2400))/((F755*60+G755)*SUMIFS(팀공격력!AR:AR,팀공격력!A:A,B755,팀공격력!B:B,D755))),"")</f>
        <v>1.66190413465341</v>
      </c>
      <c r="BN755" s="67">
        <f>IFERROR((AO755*40)/(((F755*60+G755)/60)*(SUMIFS(팀수비력!Q:Q,팀수비력!A:A,B755,팀수비력!B:B,D755)-SUMIFS(팀수비력!N:N,팀수비력!A:A,B755,팀수비력!B:B,D755)))*100,"")</f>
        <v>0</v>
      </c>
      <c r="BO755" s="67">
        <f t="shared" si="373"/>
        <v>0</v>
      </c>
      <c r="BT755" t="s">
        <v>89</v>
      </c>
      <c r="BV755" t="s">
        <v>93</v>
      </c>
      <c r="CF755">
        <v>2</v>
      </c>
      <c r="CG755">
        <v>3</v>
      </c>
    </row>
    <row r="756" spans="1:85" x14ac:dyDescent="0.4">
      <c r="A756" s="11" t="s">
        <v>85</v>
      </c>
      <c r="B756" t="s">
        <v>224</v>
      </c>
      <c r="C756" t="s">
        <v>228</v>
      </c>
      <c r="D756" s="46" t="s">
        <v>311</v>
      </c>
      <c r="E756">
        <v>6</v>
      </c>
      <c r="F756">
        <v>6</v>
      </c>
      <c r="G756" s="1">
        <v>31</v>
      </c>
      <c r="H756" s="16">
        <f t="shared" si="348"/>
        <v>2346</v>
      </c>
      <c r="I756">
        <v>5</v>
      </c>
      <c r="J756" s="17">
        <f t="shared" si="349"/>
        <v>0.83333333333333337</v>
      </c>
      <c r="K756">
        <v>2</v>
      </c>
      <c r="L756">
        <v>5</v>
      </c>
      <c r="M756" s="17">
        <f t="shared" si="350"/>
        <v>0.33333333333333331</v>
      </c>
      <c r="N756" s="17">
        <f t="shared" si="351"/>
        <v>0.83333333333333337</v>
      </c>
      <c r="O756" s="18">
        <f t="shared" si="352"/>
        <v>0.4</v>
      </c>
      <c r="P756">
        <v>1</v>
      </c>
      <c r="Q756">
        <v>2</v>
      </c>
      <c r="R756" s="17">
        <f t="shared" si="353"/>
        <v>0.16666666666666666</v>
      </c>
      <c r="S756" s="17">
        <f t="shared" si="354"/>
        <v>0.33333333333333331</v>
      </c>
      <c r="T756" s="18">
        <f t="shared" si="355"/>
        <v>0.5</v>
      </c>
      <c r="U756">
        <v>1</v>
      </c>
      <c r="V756">
        <v>3</v>
      </c>
      <c r="W756" s="17">
        <f t="shared" si="356"/>
        <v>0.16666666666666666</v>
      </c>
      <c r="X756" s="17">
        <f t="shared" si="357"/>
        <v>0.5</v>
      </c>
      <c r="Y756" s="18">
        <f t="shared" si="358"/>
        <v>0.33333333333333331</v>
      </c>
      <c r="Z756">
        <v>0</v>
      </c>
      <c r="AA756">
        <v>0</v>
      </c>
      <c r="AB756" s="17">
        <f t="shared" si="359"/>
        <v>0</v>
      </c>
      <c r="AC756" s="17">
        <f t="shared" si="360"/>
        <v>0</v>
      </c>
      <c r="AD756" s="18" t="e">
        <f t="shared" si="361"/>
        <v>#DIV/0!</v>
      </c>
      <c r="AE756">
        <v>7</v>
      </c>
      <c r="AF756" s="17">
        <f t="shared" si="362"/>
        <v>1.1666666666666667</v>
      </c>
      <c r="AG756">
        <v>2</v>
      </c>
      <c r="AH756" s="17">
        <f t="shared" si="363"/>
        <v>0.33333333333333331</v>
      </c>
      <c r="AI756">
        <v>5</v>
      </c>
      <c r="AJ756" s="17">
        <f t="shared" si="364"/>
        <v>0.83333333333333337</v>
      </c>
      <c r="AK756">
        <v>0</v>
      </c>
      <c r="AL756" s="17">
        <f t="shared" si="365"/>
        <v>0</v>
      </c>
      <c r="AM756">
        <v>0</v>
      </c>
      <c r="AN756" s="17">
        <f t="shared" si="366"/>
        <v>0</v>
      </c>
      <c r="AO756">
        <v>2</v>
      </c>
      <c r="AQ756">
        <v>2</v>
      </c>
      <c r="AR756" s="17">
        <f t="shared" si="367"/>
        <v>0.33333333333333331</v>
      </c>
      <c r="AS756">
        <v>11</v>
      </c>
      <c r="AT756" s="17">
        <f t="shared" si="368"/>
        <v>1.8333333333333333</v>
      </c>
      <c r="BD756" s="65">
        <f t="shared" si="369"/>
        <v>50</v>
      </c>
      <c r="BE756" s="65">
        <f t="shared" si="370"/>
        <v>50</v>
      </c>
      <c r="BF756" s="66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6.3961462305225929</v>
      </c>
      <c r="BG756" s="38">
        <f t="shared" si="371"/>
        <v>0.6</v>
      </c>
      <c r="BH756" s="38">
        <f t="shared" si="372"/>
        <v>0</v>
      </c>
      <c r="BI756" s="67">
        <f>IFERROR(((AG756*(12000/5))/((F756*60+G756)*(SUMIFS(팀공격력!X:X,팀공격력!A:A,B756,팀공격력!B:B,D756)+SUMIFS(팀수비력!X:X,팀수비력!A:A,B756,팀수비력!B:B,D756))))*100,"")</f>
        <v>2.1727813865061223</v>
      </c>
      <c r="BJ756" s="67">
        <f>IFERROR(((AI756*(12000/5))/((F756*60+G756)*(SUMIFS(팀공격력!V:V,팀공격력!A:A,B756,팀공격력!B:B,D756)+SUMIFS(팀수비력!W:W,팀수비력!A:A,B756,팀수비력!B:B,D756))))*100,"")</f>
        <v>10.768609503297887</v>
      </c>
      <c r="BK756" s="67">
        <f>IFERROR(((AE756*(12000/5))/((F756*60+G756)*(SUMIFS(팀공격력!X:X,팀공격력!A:A,B756,팀공격력!B:B,D756)+SUMIFS(팀수비력!X:X,팀수비력!A:A,B756,팀수비력!B:B,D756))))*100,"")</f>
        <v>7.6047348527714274</v>
      </c>
      <c r="BL756" s="67">
        <f>IFERROR(100*AK756/(((((F756*60+G756)/(12000/5))*SUMIFS(팀공격력!P:P,팀공격력!A:A,B756,팀공격력!B:B,D756))-K756)),"")</f>
        <v>0</v>
      </c>
      <c r="BM756" s="67">
        <f>IFERROR(100*((AM756/E756*(2400))/((F756*60+G756)*SUMIFS(팀공격력!AR:AR,팀공격력!A:A,B756,팀공격력!B:B,D756))),"")</f>
        <v>0</v>
      </c>
      <c r="BN756" s="67">
        <f>IFERROR((AO756*40)/(((F756*60+G756)/60)*(SUMIFS(팀수비력!Q:Q,팀수비력!A:A,B756,팀수비력!B:B,D756)-SUMIFS(팀수비력!N:N,팀수비력!A:A,B756,팀수비력!B:B,D756)))*100,"")</f>
        <v>3.5175400669798256</v>
      </c>
      <c r="BO756" s="67">
        <f t="shared" si="373"/>
        <v>28.571428571428573</v>
      </c>
      <c r="BT756" t="s">
        <v>89</v>
      </c>
      <c r="BV756" t="s">
        <v>102</v>
      </c>
      <c r="CF756">
        <v>2</v>
      </c>
      <c r="CG756">
        <v>4</v>
      </c>
    </row>
    <row r="757" spans="1:85" x14ac:dyDescent="0.4">
      <c r="A757" s="11" t="s">
        <v>85</v>
      </c>
      <c r="B757" t="s">
        <v>224</v>
      </c>
      <c r="C757" t="s">
        <v>229</v>
      </c>
      <c r="D757" s="46" t="s">
        <v>311</v>
      </c>
      <c r="E757">
        <v>1</v>
      </c>
      <c r="F757">
        <v>2</v>
      </c>
      <c r="G757" s="1">
        <v>4</v>
      </c>
      <c r="H757" s="16">
        <f t="shared" si="348"/>
        <v>124</v>
      </c>
      <c r="I757">
        <v>0</v>
      </c>
      <c r="J757" s="17">
        <f t="shared" si="349"/>
        <v>0</v>
      </c>
      <c r="K757">
        <v>0</v>
      </c>
      <c r="L757">
        <v>0</v>
      </c>
      <c r="M757" s="17">
        <f t="shared" si="350"/>
        <v>0</v>
      </c>
      <c r="N757" s="17">
        <f t="shared" si="351"/>
        <v>0</v>
      </c>
      <c r="O757" s="18" t="e">
        <f t="shared" si="352"/>
        <v>#DIV/0!</v>
      </c>
      <c r="P757">
        <v>0</v>
      </c>
      <c r="Q757">
        <v>0</v>
      </c>
      <c r="R757" s="17">
        <f t="shared" si="353"/>
        <v>0</v>
      </c>
      <c r="S757" s="17">
        <f t="shared" si="354"/>
        <v>0</v>
      </c>
      <c r="T757" s="18" t="e">
        <f t="shared" si="355"/>
        <v>#DIV/0!</v>
      </c>
      <c r="U757">
        <v>0</v>
      </c>
      <c r="V757">
        <v>0</v>
      </c>
      <c r="W757" s="17">
        <f t="shared" si="356"/>
        <v>0</v>
      </c>
      <c r="X757" s="17">
        <f t="shared" si="357"/>
        <v>0</v>
      </c>
      <c r="Y757" s="18" t="e">
        <f t="shared" si="358"/>
        <v>#DIV/0!</v>
      </c>
      <c r="Z757">
        <v>0</v>
      </c>
      <c r="AA757">
        <v>2</v>
      </c>
      <c r="AB757" s="17">
        <f t="shared" si="359"/>
        <v>0</v>
      </c>
      <c r="AC757" s="17">
        <f t="shared" si="360"/>
        <v>2</v>
      </c>
      <c r="AD757" s="18">
        <f t="shared" si="361"/>
        <v>0</v>
      </c>
      <c r="AE757">
        <v>0</v>
      </c>
      <c r="AF757" s="17">
        <f t="shared" si="362"/>
        <v>0</v>
      </c>
      <c r="AG757">
        <v>0</v>
      </c>
      <c r="AH757" s="17">
        <f t="shared" si="363"/>
        <v>0</v>
      </c>
      <c r="AI757">
        <v>0</v>
      </c>
      <c r="AJ757" s="17">
        <f t="shared" si="364"/>
        <v>0</v>
      </c>
      <c r="AK757">
        <v>0</v>
      </c>
      <c r="AL757" s="17">
        <f t="shared" si="365"/>
        <v>0</v>
      </c>
      <c r="AM757">
        <v>0</v>
      </c>
      <c r="AN757" s="17">
        <f t="shared" si="366"/>
        <v>0</v>
      </c>
      <c r="AO757">
        <v>0</v>
      </c>
      <c r="AQ757">
        <v>0</v>
      </c>
      <c r="AR757" s="17">
        <f t="shared" si="367"/>
        <v>0</v>
      </c>
      <c r="AS757">
        <v>1</v>
      </c>
      <c r="AT757" s="17">
        <f t="shared" si="368"/>
        <v>1</v>
      </c>
      <c r="BD757" s="65">
        <f t="shared" si="369"/>
        <v>0</v>
      </c>
      <c r="BE757" s="65" t="str">
        <f t="shared" si="370"/>
        <v/>
      </c>
      <c r="BF757" s="66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2.5354677361730569</v>
      </c>
      <c r="BG757" s="38" t="str">
        <f t="shared" si="371"/>
        <v/>
      </c>
      <c r="BH757" s="38" t="str">
        <f t="shared" si="372"/>
        <v/>
      </c>
      <c r="BI757" s="67">
        <f>IFERROR(((AG757*(12000/5))/((F757*60+G757)*(SUMIFS(팀공격력!X:X,팀공격력!A:A,B757,팀공격력!B:B,D757)+SUMIFS(팀수비력!X:X,팀수비력!A:A,B757,팀수비력!B:B,D757))))*100,"")</f>
        <v>0</v>
      </c>
      <c r="BJ757" s="67">
        <f>IFERROR(((AI757*(12000/5))/((F757*60+G757)*(SUMIFS(팀공격력!V:V,팀공격력!A:A,B757,팀공격력!B:B,D757)+SUMIFS(팀수비력!W:W,팀수비력!A:A,B757,팀수비력!B:B,D757))))*100,"")</f>
        <v>0</v>
      </c>
      <c r="BK757" s="67">
        <f>IFERROR(((AE757*(12000/5))/((F757*60+G757)*(SUMIFS(팀공격력!X:X,팀공격력!A:A,B757,팀공격력!B:B,D757)+SUMIFS(팀수비력!X:X,팀수비력!A:A,B757,팀수비력!B:B,D757))))*100,"")</f>
        <v>0</v>
      </c>
      <c r="BL757" s="67">
        <f>IFERROR(100*AK757/(((((F757*60+G757)/(12000/5))*SUMIFS(팀공격력!P:P,팀공격력!A:A,B757,팀공격력!B:B,D757))-K757)),"")</f>
        <v>0</v>
      </c>
      <c r="BM757" s="67">
        <f>IFERROR(100*((AM757/E757*(2400))/((F757*60+G757)*SUMIFS(팀공격력!AR:AR,팀공격력!A:A,B757,팀공격력!B:B,D757))),"")</f>
        <v>0</v>
      </c>
      <c r="BN757" s="67">
        <f>IFERROR((AO757*40)/(((F757*60+G757)/60)*(SUMIFS(팀수비력!Q:Q,팀수비력!A:A,B757,팀수비력!B:B,D757)-SUMIFS(팀수비력!N:N,팀수비력!A:A,B757,팀수비력!B:B,D757)))*100,"")</f>
        <v>0</v>
      </c>
      <c r="BO757" s="67">
        <f t="shared" si="373"/>
        <v>0</v>
      </c>
      <c r="BT757" t="s">
        <v>89</v>
      </c>
      <c r="BV757" t="s">
        <v>93</v>
      </c>
      <c r="CF757">
        <v>0</v>
      </c>
      <c r="CG757">
        <v>1</v>
      </c>
    </row>
    <row r="758" spans="1:85" x14ac:dyDescent="0.4">
      <c r="A758" s="11" t="s">
        <v>85</v>
      </c>
      <c r="B758" t="s">
        <v>224</v>
      </c>
      <c r="C758" t="s">
        <v>232</v>
      </c>
      <c r="D758" s="46" t="s">
        <v>311</v>
      </c>
      <c r="E758">
        <v>8</v>
      </c>
      <c r="F758">
        <v>33</v>
      </c>
      <c r="G758" s="1">
        <v>0</v>
      </c>
      <c r="H758" s="16">
        <f t="shared" si="348"/>
        <v>15840</v>
      </c>
      <c r="I758">
        <v>149</v>
      </c>
      <c r="J758" s="17">
        <f t="shared" si="349"/>
        <v>18.625</v>
      </c>
      <c r="K758">
        <v>60</v>
      </c>
      <c r="L758">
        <v>139</v>
      </c>
      <c r="M758" s="17">
        <f t="shared" si="350"/>
        <v>7.5</v>
      </c>
      <c r="N758" s="17">
        <f t="shared" si="351"/>
        <v>17.375</v>
      </c>
      <c r="O758" s="18">
        <f t="shared" si="352"/>
        <v>0.43165467625899279</v>
      </c>
      <c r="P758">
        <v>44</v>
      </c>
      <c r="Q758">
        <v>83</v>
      </c>
      <c r="R758" s="17">
        <f t="shared" si="353"/>
        <v>5.5</v>
      </c>
      <c r="S758" s="17">
        <f t="shared" si="354"/>
        <v>10.375</v>
      </c>
      <c r="T758" s="18">
        <f t="shared" si="355"/>
        <v>0.53012048192771088</v>
      </c>
      <c r="U758">
        <v>16</v>
      </c>
      <c r="V758">
        <v>56</v>
      </c>
      <c r="W758" s="17">
        <f t="shared" si="356"/>
        <v>2</v>
      </c>
      <c r="X758" s="17">
        <f t="shared" si="357"/>
        <v>7</v>
      </c>
      <c r="Y758" s="18">
        <f t="shared" si="358"/>
        <v>0.2857142857142857</v>
      </c>
      <c r="Z758">
        <v>13</v>
      </c>
      <c r="AA758">
        <v>25</v>
      </c>
      <c r="AB758" s="17">
        <f t="shared" si="359"/>
        <v>1.625</v>
      </c>
      <c r="AC758" s="17">
        <f t="shared" si="360"/>
        <v>3.125</v>
      </c>
      <c r="AD758" s="18">
        <f t="shared" si="361"/>
        <v>0.52</v>
      </c>
      <c r="AE758">
        <v>70</v>
      </c>
      <c r="AF758" s="17">
        <f t="shared" si="362"/>
        <v>8.75</v>
      </c>
      <c r="AG758">
        <v>12</v>
      </c>
      <c r="AH758" s="17">
        <f t="shared" si="363"/>
        <v>1.5</v>
      </c>
      <c r="AI758">
        <v>58</v>
      </c>
      <c r="AJ758" s="17">
        <f t="shared" si="364"/>
        <v>7.25</v>
      </c>
      <c r="AK758">
        <v>20</v>
      </c>
      <c r="AL758" s="17">
        <f t="shared" si="365"/>
        <v>2.5</v>
      </c>
      <c r="AM758">
        <v>9</v>
      </c>
      <c r="AN758" s="17">
        <f t="shared" si="366"/>
        <v>1.125</v>
      </c>
      <c r="AO758">
        <v>4</v>
      </c>
      <c r="AQ758">
        <v>12</v>
      </c>
      <c r="AR758" s="17">
        <f t="shared" si="367"/>
        <v>1.5</v>
      </c>
      <c r="AS758">
        <v>17</v>
      </c>
      <c r="AT758" s="17">
        <f t="shared" si="368"/>
        <v>2.125</v>
      </c>
      <c r="BD758" s="65">
        <f t="shared" si="369"/>
        <v>49.666666666666664</v>
      </c>
      <c r="BE758" s="65">
        <f t="shared" si="370"/>
        <v>48.920863309352519</v>
      </c>
      <c r="BF758" s="66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29.231218941829873</v>
      </c>
      <c r="BG758" s="38">
        <f t="shared" si="371"/>
        <v>0.40287769784172661</v>
      </c>
      <c r="BH758" s="38">
        <f t="shared" si="372"/>
        <v>0.17985611510791366</v>
      </c>
      <c r="BI758" s="67">
        <f>IFERROR(((AG758*(12000/5))/((F758*60+G758)*(SUMIFS(팀공격력!X:X,팀공격력!A:A,B758,팀공격력!B:B,D758)+SUMIFS(팀수비력!X:X,팀수비력!A:A,B758,팀수비력!B:B,D758))))*100,"")</f>
        <v>2.5744167337087691</v>
      </c>
      <c r="BJ758" s="67">
        <f>IFERROR(((AI758*(12000/5))/((F758*60+G758)*(SUMIFS(팀공격력!V:V,팀공격력!A:A,B758,팀공격력!B:B,D758)+SUMIFS(팀수비력!W:W,팀수비력!A:A,B758,팀수비력!B:B,D758))))*100,"")</f>
        <v>24.667729930887823</v>
      </c>
      <c r="BK758" s="67">
        <f>IFERROR(((AE758*(12000/5))/((F758*60+G758)*(SUMIFS(팀공격력!X:X,팀공격력!A:A,B758,팀공격력!B:B,D758)+SUMIFS(팀수비력!X:X,팀수비력!A:A,B758,팀수비력!B:B,D758))))*100,"")</f>
        <v>15.017430946634486</v>
      </c>
      <c r="BL758" s="67">
        <f>IFERROR(100*AK758/(((((F758*60+G758)/(12000/5))*SUMIFS(팀공격력!P:P,팀공격력!A:A,B758,팀공격력!B:B,D758))-K758)),"")</f>
        <v>13.522650439486142</v>
      </c>
      <c r="BM758" s="67">
        <f>IFERROR(100*((AM758/E758*(2400))/((F758*60+G758)*SUMIFS(팀공격력!AR:AR,팀공격력!A:A,B758,팀공격력!B:B,D758))),"")</f>
        <v>2.1104293982672564</v>
      </c>
      <c r="BN758" s="67">
        <f>IFERROR((AO758*40)/(((F758*60+G758)/60)*(SUMIFS(팀수비력!Q:Q,팀수비력!A:A,B758,팀수비력!B:B,D758)-SUMIFS(팀수비력!N:N,팀수비력!A:A,B758,팀수비력!B:B,D758)))*100,"")</f>
        <v>1.3892506729182947</v>
      </c>
      <c r="BO758" s="67">
        <f t="shared" si="373"/>
        <v>7.4074074074074074</v>
      </c>
      <c r="BT758" t="s">
        <v>96</v>
      </c>
      <c r="BV758" t="s">
        <v>93</v>
      </c>
      <c r="CF758">
        <v>3</v>
      </c>
      <c r="CG758">
        <v>5</v>
      </c>
    </row>
    <row r="759" spans="1:85" x14ac:dyDescent="0.4">
      <c r="A759" s="11" t="s">
        <v>85</v>
      </c>
      <c r="B759" t="s">
        <v>224</v>
      </c>
      <c r="C759" t="s">
        <v>129</v>
      </c>
      <c r="D759" s="46" t="s">
        <v>311</v>
      </c>
      <c r="E759">
        <v>7</v>
      </c>
      <c r="F759">
        <v>27</v>
      </c>
      <c r="G759" s="1">
        <v>52</v>
      </c>
      <c r="H759" s="16">
        <f t="shared" si="348"/>
        <v>11704</v>
      </c>
      <c r="I759">
        <v>103</v>
      </c>
      <c r="J759" s="17">
        <f t="shared" si="349"/>
        <v>14.714285714285714</v>
      </c>
      <c r="K759">
        <v>40</v>
      </c>
      <c r="L759">
        <v>72</v>
      </c>
      <c r="M759" s="17">
        <f t="shared" si="350"/>
        <v>5.7142857142857144</v>
      </c>
      <c r="N759" s="17">
        <f t="shared" si="351"/>
        <v>10.285714285714286</v>
      </c>
      <c r="O759" s="18">
        <f t="shared" si="352"/>
        <v>0.55555555555555558</v>
      </c>
      <c r="P759">
        <v>32</v>
      </c>
      <c r="Q759">
        <v>50</v>
      </c>
      <c r="R759" s="17">
        <f t="shared" si="353"/>
        <v>4.5714285714285712</v>
      </c>
      <c r="S759" s="17">
        <f t="shared" si="354"/>
        <v>7.1428571428571432</v>
      </c>
      <c r="T759" s="18">
        <f t="shared" si="355"/>
        <v>0.64</v>
      </c>
      <c r="U759">
        <v>8</v>
      </c>
      <c r="V759">
        <v>22</v>
      </c>
      <c r="W759" s="17">
        <f t="shared" si="356"/>
        <v>1.1428571428571428</v>
      </c>
      <c r="X759" s="17">
        <f t="shared" si="357"/>
        <v>3.1428571428571428</v>
      </c>
      <c r="Y759" s="18">
        <f t="shared" si="358"/>
        <v>0.36363636363636365</v>
      </c>
      <c r="Z759">
        <v>15</v>
      </c>
      <c r="AA759">
        <v>20</v>
      </c>
      <c r="AB759" s="17">
        <f t="shared" si="359"/>
        <v>2.1428571428571428</v>
      </c>
      <c r="AC759" s="17">
        <f t="shared" si="360"/>
        <v>2.8571428571428572</v>
      </c>
      <c r="AD759" s="18">
        <f t="shared" si="361"/>
        <v>0.75</v>
      </c>
      <c r="AE759">
        <v>31</v>
      </c>
      <c r="AF759" s="17">
        <f t="shared" si="362"/>
        <v>4.4285714285714288</v>
      </c>
      <c r="AG759">
        <v>11</v>
      </c>
      <c r="AH759" s="17">
        <f t="shared" si="363"/>
        <v>1.5714285714285714</v>
      </c>
      <c r="AI759">
        <v>20</v>
      </c>
      <c r="AJ759" s="17">
        <f t="shared" si="364"/>
        <v>2.8571428571428572</v>
      </c>
      <c r="AK759">
        <v>27</v>
      </c>
      <c r="AL759" s="17">
        <f t="shared" si="365"/>
        <v>3.8571428571428572</v>
      </c>
      <c r="AM759">
        <v>8</v>
      </c>
      <c r="AN759" s="17">
        <f t="shared" si="366"/>
        <v>1.1428571428571428</v>
      </c>
      <c r="AO759">
        <v>0</v>
      </c>
      <c r="AQ759">
        <v>15</v>
      </c>
      <c r="AR759" s="17">
        <f t="shared" si="367"/>
        <v>2.1428571428571428</v>
      </c>
      <c r="AS759">
        <v>24</v>
      </c>
      <c r="AT759" s="17">
        <f t="shared" si="368"/>
        <v>3.4285714285714284</v>
      </c>
      <c r="BD759" s="65">
        <f t="shared" si="369"/>
        <v>63.737623762376238</v>
      </c>
      <c r="BE759" s="65">
        <f t="shared" si="370"/>
        <v>61.111111111111114</v>
      </c>
      <c r="BF759" s="66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20.470400399322383</v>
      </c>
      <c r="BG759" s="38">
        <f t="shared" si="371"/>
        <v>0.30555555555555558</v>
      </c>
      <c r="BH759" s="38">
        <f t="shared" si="372"/>
        <v>0.27777777777777779</v>
      </c>
      <c r="BI759" s="67">
        <f>IFERROR(((AG759*(12000/5))/((F759*60+G759)*(SUMIFS(팀공격력!X:X,팀공격력!A:A,B759,팀공격력!B:B,D759)+SUMIFS(팀수비력!X:X,팀수비력!A:A,B759,팀수비력!B:B,D759))))*100,"")</f>
        <v>2.7945971122496505</v>
      </c>
      <c r="BJ759" s="67">
        <f>IFERROR(((AI759*(12000/5))/((F759*60+G759)*(SUMIFS(팀공격력!V:V,팀공격력!A:A,B759,팀공격력!B:B,D759)+SUMIFS(팀수비력!W:W,팀수비력!A:A,B759,팀수비력!B:B,D759))))*100,"")</f>
        <v>10.073029463611181</v>
      </c>
      <c r="BK759" s="67">
        <f>IFERROR(((AE759*(12000/5))/((F759*60+G759)*(SUMIFS(팀공격력!X:X,팀공격력!A:A,B759,팀공격력!B:B,D759)+SUMIFS(팀수비력!X:X,팀수비력!A:A,B759,팀수비력!B:B,D759))))*100,"")</f>
        <v>7.8756827708853798</v>
      </c>
      <c r="BL759" s="67">
        <f>IFERROR(100*AK759/(((((F759*60+G759)/(12000/5))*SUMIFS(팀공격력!P:P,팀공격력!A:A,B759,팀공격력!B:B,D759))-K759)),"")</f>
        <v>19.91737975804072</v>
      </c>
      <c r="BM759" s="67">
        <f>IFERROR(100*((AM759/E759*(2400))/((F759*60+G759)*SUMIFS(팀공격력!AR:AR,팀공격력!A:A,B759,팀공격력!B:B,D759))),"")</f>
        <v>2.538862434005722</v>
      </c>
      <c r="BN759" s="67">
        <f>IFERROR((AO759*40)/(((F759*60+G759)/60)*(SUMIFS(팀수비력!Q:Q,팀수비력!A:A,B759,팀수비력!B:B,D759)-SUMIFS(팀수비력!N:N,팀수비력!A:A,B759,팀수비력!B:B,D759)))*100,"")</f>
        <v>0</v>
      </c>
      <c r="BO759" s="67">
        <f t="shared" si="373"/>
        <v>15.657620041753654</v>
      </c>
      <c r="BT759" t="s">
        <v>89</v>
      </c>
      <c r="BV759" t="s">
        <v>93</v>
      </c>
      <c r="CF759">
        <v>3</v>
      </c>
      <c r="CG759">
        <v>4</v>
      </c>
    </row>
    <row r="760" spans="1:85" x14ac:dyDescent="0.4">
      <c r="A760" s="11" t="s">
        <v>85</v>
      </c>
      <c r="B760" t="s">
        <v>224</v>
      </c>
      <c r="C760" t="s">
        <v>234</v>
      </c>
      <c r="D760" s="46" t="s">
        <v>311</v>
      </c>
      <c r="E760">
        <v>8</v>
      </c>
      <c r="F760">
        <v>28</v>
      </c>
      <c r="G760" s="1">
        <v>34</v>
      </c>
      <c r="H760" s="16">
        <f t="shared" si="348"/>
        <v>13712</v>
      </c>
      <c r="I760">
        <v>95</v>
      </c>
      <c r="J760" s="17">
        <f t="shared" si="349"/>
        <v>11.875</v>
      </c>
      <c r="K760">
        <v>33</v>
      </c>
      <c r="L760">
        <v>69</v>
      </c>
      <c r="M760" s="17">
        <f t="shared" si="350"/>
        <v>4.125</v>
      </c>
      <c r="N760" s="17">
        <f t="shared" si="351"/>
        <v>8.625</v>
      </c>
      <c r="O760" s="18">
        <f t="shared" si="352"/>
        <v>0.47826086956521741</v>
      </c>
      <c r="P760">
        <v>15</v>
      </c>
      <c r="Q760">
        <v>32</v>
      </c>
      <c r="R760" s="17">
        <f t="shared" si="353"/>
        <v>1.875</v>
      </c>
      <c r="S760" s="17">
        <f t="shared" si="354"/>
        <v>4</v>
      </c>
      <c r="T760" s="18">
        <f t="shared" si="355"/>
        <v>0.46875</v>
      </c>
      <c r="U760">
        <v>18</v>
      </c>
      <c r="V760">
        <v>37</v>
      </c>
      <c r="W760" s="17">
        <f t="shared" si="356"/>
        <v>2.25</v>
      </c>
      <c r="X760" s="17">
        <f t="shared" si="357"/>
        <v>4.625</v>
      </c>
      <c r="Y760" s="18">
        <f t="shared" si="358"/>
        <v>0.48648648648648651</v>
      </c>
      <c r="Z760">
        <v>11</v>
      </c>
      <c r="AA760">
        <v>11</v>
      </c>
      <c r="AB760" s="17">
        <f t="shared" si="359"/>
        <v>1.375</v>
      </c>
      <c r="AC760" s="17">
        <f t="shared" si="360"/>
        <v>1.375</v>
      </c>
      <c r="AD760" s="18">
        <f t="shared" si="361"/>
        <v>1</v>
      </c>
      <c r="AE760">
        <v>19</v>
      </c>
      <c r="AF760" s="17">
        <f t="shared" si="362"/>
        <v>2.375</v>
      </c>
      <c r="AG760">
        <v>4</v>
      </c>
      <c r="AH760" s="17">
        <f t="shared" si="363"/>
        <v>0.5</v>
      </c>
      <c r="AI760">
        <v>15</v>
      </c>
      <c r="AJ760" s="17">
        <f t="shared" si="364"/>
        <v>1.875</v>
      </c>
      <c r="AK760">
        <v>10</v>
      </c>
      <c r="AL760" s="17">
        <f t="shared" si="365"/>
        <v>1.25</v>
      </c>
      <c r="AM760">
        <v>7</v>
      </c>
      <c r="AN760" s="17">
        <f t="shared" si="366"/>
        <v>0.875</v>
      </c>
      <c r="AO760">
        <v>2</v>
      </c>
      <c r="AQ760">
        <v>3</v>
      </c>
      <c r="AR760" s="17">
        <f t="shared" si="367"/>
        <v>0.375</v>
      </c>
      <c r="AS760">
        <v>13</v>
      </c>
      <c r="AT760" s="17">
        <f t="shared" si="368"/>
        <v>1.625</v>
      </c>
      <c r="BD760" s="65">
        <f t="shared" si="369"/>
        <v>64.328277356446378</v>
      </c>
      <c r="BE760" s="65">
        <f t="shared" si="370"/>
        <v>60.869565217391312</v>
      </c>
      <c r="BF760" s="66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16.016722091528774</v>
      </c>
      <c r="BG760" s="38">
        <f t="shared" si="371"/>
        <v>0.53623188405797106</v>
      </c>
      <c r="BH760" s="38">
        <f t="shared" si="372"/>
        <v>0.15942028985507245</v>
      </c>
      <c r="BI760" s="67">
        <f>IFERROR(((AG760*(12000/5))/((F760*60+G760)*(SUMIFS(팀공격력!X:X,팀공격력!A:A,B760,팀공격력!B:B,D760)+SUMIFS(팀수비력!X:X,팀수비력!A:A,B760,팀수비력!B:B,D760))))*100,"")</f>
        <v>0.99131566175483521</v>
      </c>
      <c r="BJ760" s="67">
        <f>IFERROR(((AI760*(12000/5))/((F760*60+G760)*(SUMIFS(팀공격력!V:V,팀공격력!A:A,B760,팀공격력!B:B,D760)+SUMIFS(팀수비력!W:W,팀수비력!A:A,B760,팀수비력!B:B,D760))))*100,"")</f>
        <v>7.3696493275194994</v>
      </c>
      <c r="BK760" s="67">
        <f>IFERROR(((AE760*(12000/5))/((F760*60+G760)*(SUMIFS(팀공격력!X:X,팀공격력!A:A,B760,팀공격력!B:B,D760)+SUMIFS(팀수비력!X:X,팀수비력!A:A,B760,팀수비력!B:B,D760))))*100,"")</f>
        <v>4.7087493933354674</v>
      </c>
      <c r="BL760" s="67">
        <f>IFERROR(100*AK760/(((((F760*60+G760)/(12000/5))*SUMIFS(팀공격력!P:P,팀공격력!A:A,B760,팀공격력!B:B,D760))-K760)),"")</f>
        <v>6.804109682248078</v>
      </c>
      <c r="BM760" s="67">
        <f>IFERROR(100*((AM760/E760*(2400))/((F760*60+G760)*SUMIFS(팀공격력!AR:AR,팀공격력!A:A,B760,팀공격력!B:B,D760))),"")</f>
        <v>1.8961851069612456</v>
      </c>
      <c r="BN760" s="67">
        <f>IFERROR((AO760*40)/(((F760*60+G760)/60)*(SUMIFS(팀수비력!Q:Q,팀수비력!A:A,B760,팀수비력!B:B,D760)-SUMIFS(팀수비력!N:N,팀수비력!A:A,B760,팀수비력!B:B,D760)))*100,"")</f>
        <v>0.80242600127719466</v>
      </c>
      <c r="BO760" s="67">
        <f t="shared" si="373"/>
        <v>3.9042165538781881</v>
      </c>
      <c r="BT760" t="s">
        <v>89</v>
      </c>
      <c r="BV760" t="s">
        <v>90</v>
      </c>
      <c r="CF760">
        <v>3</v>
      </c>
      <c r="CG760">
        <v>5</v>
      </c>
    </row>
    <row r="761" spans="1:85" x14ac:dyDescent="0.4">
      <c r="A761" s="11" t="s">
        <v>85</v>
      </c>
      <c r="B761" t="s">
        <v>224</v>
      </c>
      <c r="C761" t="s">
        <v>236</v>
      </c>
      <c r="D761" s="46" t="s">
        <v>311</v>
      </c>
      <c r="E761">
        <v>1</v>
      </c>
      <c r="F761">
        <v>2</v>
      </c>
      <c r="G761" s="1">
        <v>31</v>
      </c>
      <c r="H761" s="16">
        <f t="shared" si="348"/>
        <v>151</v>
      </c>
      <c r="I761">
        <v>0</v>
      </c>
      <c r="J761" s="17">
        <f t="shared" si="349"/>
        <v>0</v>
      </c>
      <c r="K761">
        <v>0</v>
      </c>
      <c r="L761">
        <v>2</v>
      </c>
      <c r="M761" s="17">
        <f t="shared" si="350"/>
        <v>0</v>
      </c>
      <c r="N761" s="17">
        <f t="shared" si="351"/>
        <v>2</v>
      </c>
      <c r="O761" s="18">
        <f t="shared" si="352"/>
        <v>0</v>
      </c>
      <c r="P761">
        <v>0</v>
      </c>
      <c r="Q761">
        <v>0</v>
      </c>
      <c r="R761" s="17">
        <f t="shared" si="353"/>
        <v>0</v>
      </c>
      <c r="S761" s="17">
        <f t="shared" si="354"/>
        <v>0</v>
      </c>
      <c r="T761" s="18" t="e">
        <f t="shared" si="355"/>
        <v>#DIV/0!</v>
      </c>
      <c r="U761">
        <v>0</v>
      </c>
      <c r="V761">
        <v>2</v>
      </c>
      <c r="W761" s="17">
        <f t="shared" si="356"/>
        <v>0</v>
      </c>
      <c r="X761" s="17">
        <f t="shared" si="357"/>
        <v>2</v>
      </c>
      <c r="Y761" s="18">
        <f t="shared" si="358"/>
        <v>0</v>
      </c>
      <c r="Z761">
        <v>0</v>
      </c>
      <c r="AA761">
        <v>0</v>
      </c>
      <c r="AB761" s="17">
        <f t="shared" si="359"/>
        <v>0</v>
      </c>
      <c r="AC761" s="17">
        <f t="shared" si="360"/>
        <v>0</v>
      </c>
      <c r="AD761" s="18" t="e">
        <f t="shared" si="361"/>
        <v>#DIV/0!</v>
      </c>
      <c r="AE761">
        <v>0</v>
      </c>
      <c r="AF761" s="17">
        <f t="shared" si="362"/>
        <v>0</v>
      </c>
      <c r="AG761">
        <v>0</v>
      </c>
      <c r="AH761" s="17">
        <f t="shared" si="363"/>
        <v>0</v>
      </c>
      <c r="AI761">
        <v>0</v>
      </c>
      <c r="AJ761" s="17">
        <f t="shared" si="364"/>
        <v>0</v>
      </c>
      <c r="AK761">
        <v>0</v>
      </c>
      <c r="AL761" s="17">
        <f t="shared" si="365"/>
        <v>0</v>
      </c>
      <c r="AM761">
        <v>0</v>
      </c>
      <c r="AN761" s="17">
        <f t="shared" si="366"/>
        <v>0</v>
      </c>
      <c r="AO761">
        <v>0</v>
      </c>
      <c r="AQ761">
        <v>0</v>
      </c>
      <c r="AR761" s="17">
        <f t="shared" si="367"/>
        <v>0</v>
      </c>
      <c r="AS761">
        <v>0</v>
      </c>
      <c r="AT761" s="17">
        <f t="shared" si="368"/>
        <v>0</v>
      </c>
      <c r="BD761" s="65">
        <f t="shared" si="369"/>
        <v>0</v>
      </c>
      <c r="BE761" s="65">
        <f t="shared" si="370"/>
        <v>0</v>
      </c>
      <c r="BF761" s="66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4.7320589898473679</v>
      </c>
      <c r="BG761" s="38">
        <f t="shared" si="371"/>
        <v>1</v>
      </c>
      <c r="BH761" s="38">
        <f t="shared" si="372"/>
        <v>0</v>
      </c>
      <c r="BI761" s="67">
        <f>IFERROR(((AG761*(12000/5))/((F761*60+G761)*(SUMIFS(팀공격력!X:X,팀공격력!A:A,B761,팀공격력!B:B,D761)+SUMIFS(팀수비력!X:X,팀수비력!A:A,B761,팀수비력!B:B,D761))))*100,"")</f>
        <v>0</v>
      </c>
      <c r="BJ761" s="67">
        <f>IFERROR(((AI761*(12000/5))/((F761*60+G761)*(SUMIFS(팀공격력!V:V,팀공격력!A:A,B761,팀공격력!B:B,D761)+SUMIFS(팀수비력!W:W,팀수비력!A:A,B761,팀수비력!B:B,D761))))*100,"")</f>
        <v>0</v>
      </c>
      <c r="BK761" s="67">
        <f>IFERROR(((AE761*(12000/5))/((F761*60+G761)*(SUMIFS(팀공격력!X:X,팀공격력!A:A,B761,팀공격력!B:B,D761)+SUMIFS(팀수비력!X:X,팀수비력!A:A,B761,팀수비력!B:B,D761))))*100,"")</f>
        <v>0</v>
      </c>
      <c r="BL761" s="67">
        <f>IFERROR(100*AK761/(((((F761*60+G761)/(12000/5))*SUMIFS(팀공격력!P:P,팀공격력!A:A,B761,팀공격력!B:B,D761))-K761)),"")</f>
        <v>0</v>
      </c>
      <c r="BM761" s="67">
        <f>IFERROR(100*((AM761/E761*(2400))/((F761*60+G761)*SUMIFS(팀공격력!AR:AR,팀공격력!A:A,B761,팀공격력!B:B,D761))),"")</f>
        <v>0</v>
      </c>
      <c r="BN761" s="67">
        <f>IFERROR((AO761*40)/(((F761*60+G761)/60)*(SUMIFS(팀수비력!Q:Q,팀수비력!A:A,B761,팀수비력!B:B,D761)-SUMIFS(팀수비력!N:N,팀수비력!A:A,B761,팀수비력!B:B,D761)))*100,"")</f>
        <v>0</v>
      </c>
      <c r="BO761" s="67">
        <f t="shared" si="373"/>
        <v>0</v>
      </c>
      <c r="BT761" t="s">
        <v>89</v>
      </c>
      <c r="BV761" t="s">
        <v>93</v>
      </c>
      <c r="CF761">
        <v>1</v>
      </c>
      <c r="CG761">
        <v>0</v>
      </c>
    </row>
    <row r="762" spans="1:85" x14ac:dyDescent="0.4">
      <c r="A762" s="11" t="s">
        <v>85</v>
      </c>
      <c r="B762" t="s">
        <v>224</v>
      </c>
      <c r="C762" t="s">
        <v>237</v>
      </c>
      <c r="D762" s="46" t="s">
        <v>311</v>
      </c>
      <c r="E762">
        <v>5</v>
      </c>
      <c r="F762">
        <v>5</v>
      </c>
      <c r="G762" s="1">
        <v>38</v>
      </c>
      <c r="H762" s="16">
        <f t="shared" si="348"/>
        <v>1690</v>
      </c>
      <c r="I762">
        <v>4</v>
      </c>
      <c r="J762" s="17">
        <f t="shared" si="349"/>
        <v>0.8</v>
      </c>
      <c r="K762">
        <v>1</v>
      </c>
      <c r="L762">
        <v>6</v>
      </c>
      <c r="M762" s="17">
        <f t="shared" si="350"/>
        <v>0.2</v>
      </c>
      <c r="N762" s="17">
        <f t="shared" si="351"/>
        <v>1.2</v>
      </c>
      <c r="O762" s="18">
        <f t="shared" si="352"/>
        <v>0.16666666666666666</v>
      </c>
      <c r="P762">
        <v>0</v>
      </c>
      <c r="Q762">
        <v>3</v>
      </c>
      <c r="R762" s="17">
        <f t="shared" si="353"/>
        <v>0</v>
      </c>
      <c r="S762" s="17">
        <f t="shared" si="354"/>
        <v>0.6</v>
      </c>
      <c r="T762" s="18">
        <f t="shared" si="355"/>
        <v>0</v>
      </c>
      <c r="U762">
        <v>1</v>
      </c>
      <c r="V762">
        <v>3</v>
      </c>
      <c r="W762" s="17">
        <f t="shared" si="356"/>
        <v>0.2</v>
      </c>
      <c r="X762" s="17">
        <f t="shared" si="357"/>
        <v>0.6</v>
      </c>
      <c r="Y762" s="18">
        <f t="shared" si="358"/>
        <v>0.33333333333333331</v>
      </c>
      <c r="Z762">
        <v>1</v>
      </c>
      <c r="AA762">
        <v>2</v>
      </c>
      <c r="AB762" s="17">
        <f t="shared" si="359"/>
        <v>0.2</v>
      </c>
      <c r="AC762" s="17">
        <f t="shared" si="360"/>
        <v>0.4</v>
      </c>
      <c r="AD762" s="18">
        <f t="shared" si="361"/>
        <v>0.5</v>
      </c>
      <c r="AE762">
        <v>4</v>
      </c>
      <c r="AF762" s="17">
        <f t="shared" si="362"/>
        <v>0.8</v>
      </c>
      <c r="AG762">
        <v>1</v>
      </c>
      <c r="AH762" s="17">
        <f t="shared" si="363"/>
        <v>0.2</v>
      </c>
      <c r="AI762">
        <v>3</v>
      </c>
      <c r="AJ762" s="17">
        <f t="shared" si="364"/>
        <v>0.6</v>
      </c>
      <c r="AK762">
        <v>3</v>
      </c>
      <c r="AL762" s="17">
        <f t="shared" si="365"/>
        <v>0.6</v>
      </c>
      <c r="AM762">
        <v>3</v>
      </c>
      <c r="AN762" s="17">
        <f t="shared" si="366"/>
        <v>0.6</v>
      </c>
      <c r="AO762">
        <v>0</v>
      </c>
      <c r="AQ762">
        <v>0</v>
      </c>
      <c r="AR762" s="17">
        <f t="shared" si="367"/>
        <v>0</v>
      </c>
      <c r="AS762">
        <v>6</v>
      </c>
      <c r="AT762" s="17">
        <f t="shared" si="368"/>
        <v>1.2</v>
      </c>
      <c r="BD762" s="65">
        <f t="shared" si="369"/>
        <v>29.069767441860467</v>
      </c>
      <c r="BE762" s="65">
        <f t="shared" si="370"/>
        <v>25</v>
      </c>
      <c r="BF762" s="66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7.2722506558766762</v>
      </c>
      <c r="BG762" s="38">
        <f t="shared" si="371"/>
        <v>0.5</v>
      </c>
      <c r="BH762" s="38">
        <f t="shared" si="372"/>
        <v>0.33333333333333331</v>
      </c>
      <c r="BI762" s="67">
        <f>IFERROR(((AG762*(12000/5))/((F762*60+G762)*(SUMIFS(팀공격력!X:X,팀공격력!A:A,B762,팀공격력!B:B,D762)+SUMIFS(팀수비력!X:X,팀수비력!A:A,B762,팀수비력!B:B,D762))))*100,"")</f>
        <v>1.2567418966329791</v>
      </c>
      <c r="BJ762" s="67">
        <f>IFERROR(((AI762*(12000/5))/((F762*60+G762)*(SUMIFS(팀공격력!V:V,팀공격력!A:A,B762,팀공격력!B:B,D762)+SUMIFS(팀수비력!W:W,팀수비력!A:A,B762,팀수비력!B:B,D762))))*100,"")</f>
        <v>7.4743070694487699</v>
      </c>
      <c r="BK762" s="67">
        <f>IFERROR(((AE762*(12000/5))/((F762*60+G762)*(SUMIFS(팀공격력!X:X,팀공격력!A:A,B762,팀공격력!B:B,D762)+SUMIFS(팀수비력!X:X,팀수비력!A:A,B762,팀수비력!B:B,D762))))*100,"")</f>
        <v>5.0269675865319163</v>
      </c>
      <c r="BL762" s="67">
        <f>IFERROR(100*AK762/(((((F762*60+G762)/(12000/5))*SUMIFS(팀공격력!P:P,팀공격력!A:A,B762,팀공격력!B:B,D762))-K762)),"")</f>
        <v>8.6981733835894453</v>
      </c>
      <c r="BM762" s="67">
        <f>IFERROR(100*((AM762/E762*(2400))/((F762*60+G762)*SUMIFS(팀공격력!AR:AR,팀공격력!A:A,B762,팀공격력!B:B,D762))),"")</f>
        <v>6.5935309010953329</v>
      </c>
      <c r="BN762" s="67">
        <f>IFERROR((AO762*40)/(((F762*60+G762)/60)*(SUMIFS(팀수비력!Q:Q,팀수비력!A:A,B762,팀수비력!B:B,D762)-SUMIFS(팀수비력!N:N,팀수비력!A:A,B762,팀수비력!B:B,D762)))*100,"")</f>
        <v>0</v>
      </c>
      <c r="BO762" s="67">
        <f t="shared" si="373"/>
        <v>0</v>
      </c>
      <c r="BT762" t="s">
        <v>89</v>
      </c>
      <c r="BV762" t="s">
        <v>90</v>
      </c>
      <c r="CF762">
        <v>1</v>
      </c>
      <c r="CG762">
        <v>4</v>
      </c>
    </row>
    <row r="763" spans="1:85" x14ac:dyDescent="0.4">
      <c r="A763" s="11" t="s">
        <v>85</v>
      </c>
      <c r="B763" t="s">
        <v>224</v>
      </c>
      <c r="C763" t="s">
        <v>238</v>
      </c>
      <c r="D763" s="46" t="s">
        <v>311</v>
      </c>
      <c r="E763">
        <v>8</v>
      </c>
      <c r="F763">
        <v>30</v>
      </c>
      <c r="G763" s="1">
        <v>56</v>
      </c>
      <c r="H763" s="16">
        <f t="shared" si="348"/>
        <v>14848</v>
      </c>
      <c r="I763">
        <v>83</v>
      </c>
      <c r="J763" s="17">
        <f t="shared" si="349"/>
        <v>10.375</v>
      </c>
      <c r="K763">
        <v>33</v>
      </c>
      <c r="L763">
        <v>60</v>
      </c>
      <c r="M763" s="17">
        <f t="shared" si="350"/>
        <v>4.125</v>
      </c>
      <c r="N763" s="17">
        <f t="shared" si="351"/>
        <v>7.5</v>
      </c>
      <c r="O763" s="18">
        <f t="shared" si="352"/>
        <v>0.55000000000000004</v>
      </c>
      <c r="P763">
        <v>29</v>
      </c>
      <c r="Q763">
        <v>45</v>
      </c>
      <c r="R763" s="17">
        <f t="shared" si="353"/>
        <v>3.625</v>
      </c>
      <c r="S763" s="17">
        <f t="shared" si="354"/>
        <v>5.625</v>
      </c>
      <c r="T763" s="18">
        <f t="shared" si="355"/>
        <v>0.64444444444444449</v>
      </c>
      <c r="U763">
        <v>4</v>
      </c>
      <c r="V763">
        <v>15</v>
      </c>
      <c r="W763" s="17">
        <f t="shared" si="356"/>
        <v>0.5</v>
      </c>
      <c r="X763" s="17">
        <f t="shared" si="357"/>
        <v>1.875</v>
      </c>
      <c r="Y763" s="18">
        <f t="shared" si="358"/>
        <v>0.26666666666666666</v>
      </c>
      <c r="Z763">
        <v>13</v>
      </c>
      <c r="AA763">
        <v>20</v>
      </c>
      <c r="AB763" s="17">
        <f t="shared" si="359"/>
        <v>1.625</v>
      </c>
      <c r="AC763" s="17">
        <f t="shared" si="360"/>
        <v>2.5</v>
      </c>
      <c r="AD763" s="18">
        <f t="shared" si="361"/>
        <v>0.65</v>
      </c>
      <c r="AE763">
        <v>65</v>
      </c>
      <c r="AF763" s="17">
        <f t="shared" si="362"/>
        <v>8.125</v>
      </c>
      <c r="AG763">
        <v>23</v>
      </c>
      <c r="AH763" s="17">
        <f t="shared" si="363"/>
        <v>2.875</v>
      </c>
      <c r="AI763">
        <v>42</v>
      </c>
      <c r="AJ763" s="17">
        <f t="shared" si="364"/>
        <v>5.25</v>
      </c>
      <c r="AK763">
        <v>13</v>
      </c>
      <c r="AL763" s="17">
        <f t="shared" si="365"/>
        <v>1.625</v>
      </c>
      <c r="AM763">
        <v>9</v>
      </c>
      <c r="AN763" s="17">
        <f t="shared" si="366"/>
        <v>1.125</v>
      </c>
      <c r="AO763">
        <v>5</v>
      </c>
      <c r="AQ763">
        <v>9</v>
      </c>
      <c r="AR763" s="17">
        <f t="shared" si="367"/>
        <v>1.125</v>
      </c>
      <c r="AS763">
        <v>15</v>
      </c>
      <c r="AT763" s="17">
        <f t="shared" si="368"/>
        <v>1.875</v>
      </c>
      <c r="BD763" s="65">
        <f t="shared" si="369"/>
        <v>60.319767441860471</v>
      </c>
      <c r="BE763" s="65">
        <f t="shared" si="370"/>
        <v>58.333333333333336</v>
      </c>
      <c r="BF763" s="66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14.976099838612312</v>
      </c>
      <c r="BG763" s="38">
        <f t="shared" si="371"/>
        <v>0.25</v>
      </c>
      <c r="BH763" s="38">
        <f t="shared" si="372"/>
        <v>0.33333333333333331</v>
      </c>
      <c r="BI763" s="67">
        <f>IFERROR(((AG763*(12000/5))/((F763*60+G763)*(SUMIFS(팀공격력!X:X,팀공격력!A:A,B763,팀공격력!B:B,D763)+SUMIFS(팀수비력!X:X,팀수비력!A:A,B763,팀수비력!B:B,D763))))*100,"")</f>
        <v>5.2639609398840399</v>
      </c>
      <c r="BJ763" s="67">
        <f>IFERROR(((AI763*(12000/5))/((F763*60+G763)*(SUMIFS(팀공격력!V:V,팀공격력!A:A,B763,팀공격력!B:B,D763)+SUMIFS(팀수비력!W:W,팀수비력!A:A,B763,팀수비력!B:B,D763))))*100,"")</f>
        <v>19.056261343012704</v>
      </c>
      <c r="BK763" s="67">
        <f>IFERROR(((AE763*(12000/5))/((F763*60+G763)*(SUMIFS(팀공격력!X:X,팀공격력!A:A,B763,팀공격력!B:B,D763)+SUMIFS(팀수비력!X:X,팀수비력!A:A,B763,팀수비력!B:B,D763))))*100,"")</f>
        <v>14.876411351846199</v>
      </c>
      <c r="BL763" s="67">
        <f>IFERROR(100*AK763/(((((F763*60+G763)/(12000/5))*SUMIFS(팀공격력!P:P,팀공격력!A:A,B763,팀공격력!B:B,D763))-K763)),"")</f>
        <v>8.0306399802322712</v>
      </c>
      <c r="BM763" s="67">
        <f>IFERROR(100*((AM763/E763*(2400))/((F763*60+G763)*SUMIFS(팀공격력!AR:AR,팀공격력!A:A,B763,팀공격력!B:B,D763))),"")</f>
        <v>2.2514279140997671</v>
      </c>
      <c r="BN763" s="67">
        <f>IFERROR((AO763*40)/(((F763*60+G763)/60)*(SUMIFS(팀수비력!Q:Q,팀수비력!A:A,B763,팀수비력!B:B,D763)-SUMIFS(팀수비력!N:N,팀수비력!A:A,B763,팀수비력!B:B,D763)))*100,"")</f>
        <v>1.8525837367849025</v>
      </c>
      <c r="BO763" s="67">
        <f t="shared" si="373"/>
        <v>11.568123393316196</v>
      </c>
      <c r="BT763" t="s">
        <v>89</v>
      </c>
      <c r="BV763" t="s">
        <v>102</v>
      </c>
      <c r="CF763">
        <v>3</v>
      </c>
      <c r="CG763">
        <v>5</v>
      </c>
    </row>
    <row r="764" spans="1:85" x14ac:dyDescent="0.4">
      <c r="A764" s="11" t="s">
        <v>85</v>
      </c>
      <c r="B764" t="s">
        <v>224</v>
      </c>
      <c r="C764" t="s">
        <v>239</v>
      </c>
      <c r="D764" s="46" t="s">
        <v>311</v>
      </c>
      <c r="E764">
        <v>2</v>
      </c>
      <c r="F764">
        <v>17</v>
      </c>
      <c r="G764" s="1">
        <v>4</v>
      </c>
      <c r="H764" s="16">
        <f t="shared" si="348"/>
        <v>2048</v>
      </c>
      <c r="I764">
        <v>19</v>
      </c>
      <c r="J764" s="17">
        <f t="shared" si="349"/>
        <v>9.5</v>
      </c>
      <c r="K764">
        <v>7</v>
      </c>
      <c r="L764">
        <v>20</v>
      </c>
      <c r="M764" s="17">
        <f t="shared" si="350"/>
        <v>3.5</v>
      </c>
      <c r="N764" s="17">
        <f t="shared" si="351"/>
        <v>10</v>
      </c>
      <c r="O764" s="18">
        <f t="shared" si="352"/>
        <v>0.35</v>
      </c>
      <c r="P764">
        <v>4</v>
      </c>
      <c r="Q764">
        <v>11</v>
      </c>
      <c r="R764" s="17">
        <f t="shared" si="353"/>
        <v>2</v>
      </c>
      <c r="S764" s="17">
        <f t="shared" si="354"/>
        <v>5.5</v>
      </c>
      <c r="T764" s="18">
        <f t="shared" si="355"/>
        <v>0.36363636363636365</v>
      </c>
      <c r="U764">
        <v>3</v>
      </c>
      <c r="V764">
        <v>9</v>
      </c>
      <c r="W764" s="17">
        <f t="shared" si="356"/>
        <v>1.5</v>
      </c>
      <c r="X764" s="17">
        <f t="shared" si="357"/>
        <v>4.5</v>
      </c>
      <c r="Y764" s="18">
        <f t="shared" si="358"/>
        <v>0.33333333333333331</v>
      </c>
      <c r="Z764">
        <v>2</v>
      </c>
      <c r="AA764">
        <v>2</v>
      </c>
      <c r="AB764" s="17">
        <f t="shared" si="359"/>
        <v>1</v>
      </c>
      <c r="AC764" s="17">
        <f t="shared" si="360"/>
        <v>1</v>
      </c>
      <c r="AD764" s="18">
        <f t="shared" si="361"/>
        <v>1</v>
      </c>
      <c r="AE764">
        <v>6</v>
      </c>
      <c r="AF764" s="17">
        <f t="shared" si="362"/>
        <v>3</v>
      </c>
      <c r="AG764">
        <v>3</v>
      </c>
      <c r="AH764" s="17">
        <f t="shared" si="363"/>
        <v>1.5</v>
      </c>
      <c r="AI764">
        <v>3</v>
      </c>
      <c r="AJ764" s="17">
        <f t="shared" si="364"/>
        <v>1.5</v>
      </c>
      <c r="AK764">
        <v>2</v>
      </c>
      <c r="AL764" s="17">
        <f t="shared" si="365"/>
        <v>1</v>
      </c>
      <c r="AM764">
        <v>0</v>
      </c>
      <c r="AN764" s="17">
        <f t="shared" si="366"/>
        <v>0</v>
      </c>
      <c r="AO764">
        <v>1</v>
      </c>
      <c r="AQ764">
        <v>0</v>
      </c>
      <c r="AR764" s="17">
        <f t="shared" si="367"/>
        <v>0</v>
      </c>
      <c r="AS764">
        <v>4</v>
      </c>
      <c r="AT764" s="17">
        <f t="shared" si="368"/>
        <v>2</v>
      </c>
      <c r="BD764" s="65">
        <f t="shared" si="369"/>
        <v>45.498084291187737</v>
      </c>
      <c r="BE764" s="65">
        <f t="shared" si="370"/>
        <v>42.5</v>
      </c>
      <c r="BF764" s="66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7.284967845659164</v>
      </c>
      <c r="BG764" s="38">
        <f t="shared" si="371"/>
        <v>0.45</v>
      </c>
      <c r="BH764" s="38">
        <f t="shared" si="372"/>
        <v>0.1</v>
      </c>
      <c r="BI764" s="67">
        <f>IFERROR(((AG764*(12000/5))/((F764*60+G764)*(SUMIFS(팀공격력!X:X,팀공격력!A:A,B764,팀공격력!B:B,D764)+SUMIFS(팀수비력!X:X,팀수비력!A:A,B764,팀수비력!B:B,D764))))*100,"")</f>
        <v>1.2444690265486726</v>
      </c>
      <c r="BJ764" s="67">
        <f>IFERROR(((AI764*(12000/5))/((F764*60+G764)*(SUMIFS(팀공격력!V:V,팀공격력!A:A,B764,팀공격력!B:B,D764)+SUMIFS(팀수비력!W:W,팀수비력!A:A,B764,팀수비력!B:B,D764))))*100,"")</f>
        <v>2.4671052631578947</v>
      </c>
      <c r="BK764" s="67">
        <f>IFERROR(((AE764*(12000/5))/((F764*60+G764)*(SUMIFS(팀공격력!X:X,팀공격력!A:A,B764,팀공격력!B:B,D764)+SUMIFS(팀수비력!X:X,팀수비력!A:A,B764,팀수비력!B:B,D764))))*100,"")</f>
        <v>2.4889380530973453</v>
      </c>
      <c r="BL764" s="67">
        <f>IFERROR(100*AK764/(((((F764*60+G764)/(12000/5))*SUMIFS(팀공격력!P:P,팀공격력!A:A,B764,팀공격력!B:B,D764))-K764)),"")</f>
        <v>1.9896538002387583</v>
      </c>
      <c r="BM764" s="67">
        <f>IFERROR(100*((AM764/E764*(2400))/((F764*60+G764)*SUMIFS(팀공격력!AR:AR,팀공격력!A:A,B764,팀공격력!B:B,D764))),"")</f>
        <v>0</v>
      </c>
      <c r="BN764" s="67">
        <f>IFERROR((AO764*40)/(((F764*60+G764)/60)*(SUMIFS(팀수비력!Q:Q,팀수비력!A:A,B764,팀수비력!B:B,D764)-SUMIFS(팀수비력!N:N,팀수비력!A:A,B764,팀수비력!B:B,D764)))*100,"")</f>
        <v>0.67156160458452729</v>
      </c>
      <c r="BO764" s="67">
        <f t="shared" si="373"/>
        <v>0</v>
      </c>
      <c r="BT764" t="s">
        <v>96</v>
      </c>
      <c r="BV764" t="s">
        <v>93</v>
      </c>
      <c r="CF764">
        <v>0</v>
      </c>
      <c r="CG764">
        <v>2</v>
      </c>
    </row>
    <row r="765" spans="1:85" x14ac:dyDescent="0.4">
      <c r="A765" s="11" t="s">
        <v>85</v>
      </c>
      <c r="B765" t="s">
        <v>224</v>
      </c>
      <c r="C765" t="s">
        <v>240</v>
      </c>
      <c r="D765" s="46" t="s">
        <v>311</v>
      </c>
      <c r="E765">
        <v>2</v>
      </c>
      <c r="F765">
        <v>1</v>
      </c>
      <c r="G765" s="1">
        <v>22</v>
      </c>
      <c r="H765" s="16">
        <f t="shared" si="348"/>
        <v>164</v>
      </c>
      <c r="I765">
        <v>0</v>
      </c>
      <c r="J765" s="17">
        <f t="shared" si="349"/>
        <v>0</v>
      </c>
      <c r="K765">
        <v>0</v>
      </c>
      <c r="L765">
        <v>0</v>
      </c>
      <c r="M765" s="17">
        <f t="shared" si="350"/>
        <v>0</v>
      </c>
      <c r="N765" s="17">
        <f t="shared" si="351"/>
        <v>0</v>
      </c>
      <c r="O765" s="18" t="e">
        <f t="shared" si="352"/>
        <v>#DIV/0!</v>
      </c>
      <c r="P765">
        <v>0</v>
      </c>
      <c r="Q765">
        <v>0</v>
      </c>
      <c r="R765" s="17">
        <f t="shared" si="353"/>
        <v>0</v>
      </c>
      <c r="S765" s="17">
        <f t="shared" si="354"/>
        <v>0</v>
      </c>
      <c r="T765" s="18" t="e">
        <f t="shared" si="355"/>
        <v>#DIV/0!</v>
      </c>
      <c r="U765">
        <v>0</v>
      </c>
      <c r="V765">
        <v>0</v>
      </c>
      <c r="W765" s="17">
        <f t="shared" si="356"/>
        <v>0</v>
      </c>
      <c r="X765" s="17">
        <f t="shared" si="357"/>
        <v>0</v>
      </c>
      <c r="Y765" s="18" t="e">
        <f t="shared" si="358"/>
        <v>#DIV/0!</v>
      </c>
      <c r="Z765">
        <v>0</v>
      </c>
      <c r="AA765">
        <v>0</v>
      </c>
      <c r="AB765" s="17">
        <f t="shared" si="359"/>
        <v>0</v>
      </c>
      <c r="AC765" s="17">
        <f t="shared" si="360"/>
        <v>0</v>
      </c>
      <c r="AD765" s="18" t="e">
        <f t="shared" si="361"/>
        <v>#DIV/0!</v>
      </c>
      <c r="AE765">
        <v>0</v>
      </c>
      <c r="AF765" s="17">
        <f t="shared" si="362"/>
        <v>0</v>
      </c>
      <c r="AG765">
        <v>0</v>
      </c>
      <c r="AH765" s="17">
        <f t="shared" si="363"/>
        <v>0</v>
      </c>
      <c r="AI765">
        <v>0</v>
      </c>
      <c r="AJ765" s="17">
        <f t="shared" si="364"/>
        <v>0</v>
      </c>
      <c r="AK765">
        <v>0</v>
      </c>
      <c r="AL765" s="17">
        <f t="shared" si="365"/>
        <v>0</v>
      </c>
      <c r="AM765">
        <v>0</v>
      </c>
      <c r="AN765" s="17">
        <f t="shared" si="366"/>
        <v>0</v>
      </c>
      <c r="AO765">
        <v>0</v>
      </c>
      <c r="AQ765">
        <v>0</v>
      </c>
      <c r="AR765" s="17">
        <f t="shared" si="367"/>
        <v>0</v>
      </c>
      <c r="AS765">
        <v>0</v>
      </c>
      <c r="AT765" s="17">
        <f t="shared" si="368"/>
        <v>0</v>
      </c>
      <c r="BD765" s="65" t="str">
        <f t="shared" si="369"/>
        <v/>
      </c>
      <c r="BE765" s="65" t="str">
        <f t="shared" si="370"/>
        <v/>
      </c>
      <c r="BF765" s="66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0</v>
      </c>
      <c r="BG765" s="38" t="str">
        <f t="shared" si="371"/>
        <v/>
      </c>
      <c r="BH765" s="38" t="str">
        <f t="shared" si="372"/>
        <v/>
      </c>
      <c r="BI765" s="67">
        <f>IFERROR(((AG765*(12000/5))/((F765*60+G765)*(SUMIFS(팀공격력!X:X,팀공격력!A:A,B765,팀공격력!B:B,D765)+SUMIFS(팀수비력!X:X,팀수비력!A:A,B765,팀수비력!B:B,D765))))*100,"")</f>
        <v>0</v>
      </c>
      <c r="BJ765" s="67">
        <f>IFERROR(((AI765*(12000/5))/((F765*60+G765)*(SUMIFS(팀공격력!V:V,팀공격력!A:A,B765,팀공격력!B:B,D765)+SUMIFS(팀수비력!W:W,팀수비력!A:A,B765,팀수비력!B:B,D765))))*100,"")</f>
        <v>0</v>
      </c>
      <c r="BK765" s="67">
        <f>IFERROR(((AE765*(12000/5))/((F765*60+G765)*(SUMIFS(팀공격력!X:X,팀공격력!A:A,B765,팀공격력!B:B,D765)+SUMIFS(팀수비력!X:X,팀수비력!A:A,B765,팀수비력!B:B,D765))))*100,"")</f>
        <v>0</v>
      </c>
      <c r="BL765" s="67">
        <f>IFERROR(100*AK765/(((((F765*60+G765)/(12000/5))*SUMIFS(팀공격력!P:P,팀공격력!A:A,B765,팀공격력!B:B,D765))-K765)),"")</f>
        <v>0</v>
      </c>
      <c r="BM765" s="67">
        <f>IFERROR(100*((AM765/E765*(2400))/((F765*60+G765)*SUMIFS(팀공격력!AR:AR,팀공격력!A:A,B765,팀공격력!B:B,D765))),"")</f>
        <v>0</v>
      </c>
      <c r="BN765" s="67">
        <f>IFERROR((AO765*40)/(((F765*60+G765)/60)*(SUMIFS(팀수비력!Q:Q,팀수비력!A:A,B765,팀수비력!B:B,D765)-SUMIFS(팀수비력!N:N,팀수비력!A:A,B765,팀수비력!B:B,D765)))*100,"")</f>
        <v>0</v>
      </c>
      <c r="BO765" s="67" t="str">
        <f t="shared" si="373"/>
        <v/>
      </c>
      <c r="BT765" t="s">
        <v>89</v>
      </c>
      <c r="BV765" t="s">
        <v>90</v>
      </c>
      <c r="CF765">
        <v>1</v>
      </c>
      <c r="CG765">
        <v>1</v>
      </c>
    </row>
    <row r="766" spans="1:85" x14ac:dyDescent="0.4">
      <c r="A766" s="11" t="s">
        <v>85</v>
      </c>
      <c r="B766" t="s">
        <v>224</v>
      </c>
      <c r="C766" t="s">
        <v>241</v>
      </c>
      <c r="D766" s="46" t="s">
        <v>311</v>
      </c>
      <c r="E766">
        <v>8</v>
      </c>
      <c r="F766">
        <v>16</v>
      </c>
      <c r="G766" s="1">
        <v>39</v>
      </c>
      <c r="H766" s="16">
        <f t="shared" si="348"/>
        <v>7992</v>
      </c>
      <c r="I766">
        <v>35</v>
      </c>
      <c r="J766" s="17">
        <f t="shared" si="349"/>
        <v>4.375</v>
      </c>
      <c r="K766">
        <v>14</v>
      </c>
      <c r="L766">
        <v>39</v>
      </c>
      <c r="M766" s="17">
        <f t="shared" si="350"/>
        <v>1.75</v>
      </c>
      <c r="N766" s="17">
        <f t="shared" si="351"/>
        <v>4.875</v>
      </c>
      <c r="O766" s="18">
        <f t="shared" si="352"/>
        <v>0.35897435897435898</v>
      </c>
      <c r="P766">
        <v>10</v>
      </c>
      <c r="Q766">
        <v>24</v>
      </c>
      <c r="R766" s="17">
        <f t="shared" si="353"/>
        <v>1.25</v>
      </c>
      <c r="S766" s="17">
        <f t="shared" si="354"/>
        <v>3</v>
      </c>
      <c r="T766" s="18">
        <f t="shared" si="355"/>
        <v>0.41666666666666669</v>
      </c>
      <c r="U766">
        <v>4</v>
      </c>
      <c r="V766">
        <v>15</v>
      </c>
      <c r="W766" s="17">
        <f t="shared" si="356"/>
        <v>0.5</v>
      </c>
      <c r="X766" s="17">
        <f t="shared" si="357"/>
        <v>1.875</v>
      </c>
      <c r="Y766" s="18">
        <f t="shared" si="358"/>
        <v>0.26666666666666666</v>
      </c>
      <c r="Z766">
        <v>3</v>
      </c>
      <c r="AA766">
        <v>4</v>
      </c>
      <c r="AB766" s="17">
        <f t="shared" si="359"/>
        <v>0.375</v>
      </c>
      <c r="AC766" s="17">
        <f t="shared" si="360"/>
        <v>0.5</v>
      </c>
      <c r="AD766" s="18">
        <f t="shared" si="361"/>
        <v>0.75</v>
      </c>
      <c r="AE766">
        <v>22</v>
      </c>
      <c r="AF766" s="17">
        <f t="shared" si="362"/>
        <v>2.75</v>
      </c>
      <c r="AG766">
        <v>11</v>
      </c>
      <c r="AH766" s="17">
        <f t="shared" si="363"/>
        <v>1.375</v>
      </c>
      <c r="AI766">
        <v>11</v>
      </c>
      <c r="AJ766" s="17">
        <f t="shared" si="364"/>
        <v>1.375</v>
      </c>
      <c r="AK766">
        <v>2</v>
      </c>
      <c r="AL766" s="17">
        <f t="shared" si="365"/>
        <v>0.25</v>
      </c>
      <c r="AM766">
        <v>3</v>
      </c>
      <c r="AN766" s="17">
        <f t="shared" si="366"/>
        <v>0.375</v>
      </c>
      <c r="AO766">
        <v>2</v>
      </c>
      <c r="AQ766">
        <v>4</v>
      </c>
      <c r="AR766" s="17">
        <f t="shared" si="367"/>
        <v>0.5</v>
      </c>
      <c r="AS766">
        <v>18</v>
      </c>
      <c r="AT766" s="17">
        <f t="shared" si="368"/>
        <v>2.25</v>
      </c>
      <c r="BD766" s="65">
        <f t="shared" si="369"/>
        <v>42.934249263984306</v>
      </c>
      <c r="BE766" s="65">
        <f t="shared" si="370"/>
        <v>41.025641025641022</v>
      </c>
      <c r="BF766" s="66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16.00743294205245</v>
      </c>
      <c r="BG766" s="38">
        <f t="shared" si="371"/>
        <v>0.38461538461538464</v>
      </c>
      <c r="BH766" s="38">
        <f t="shared" si="372"/>
        <v>0.10256410256410256</v>
      </c>
      <c r="BI766" s="67">
        <f>IFERROR(((AG766*(12000/5))/((F766*60+G766)*(SUMIFS(팀공격력!X:X,팀공격력!A:A,B766,팀공격력!B:B,D766)+SUMIFS(팀수비력!X:X,팀수비력!A:A,B766,팀수비력!B:B,D766))))*100,"")</f>
        <v>4.677243615296713</v>
      </c>
      <c r="BJ766" s="67">
        <f>IFERROR(((AI766*(12000/5))/((F766*60+G766)*(SUMIFS(팀공격력!V:V,팀공격력!A:A,B766,팀공격력!B:B,D766)+SUMIFS(팀수비력!W:W,팀수비력!A:A,B766,팀수비력!B:B,D766))))*100,"")</f>
        <v>9.2724303250619027</v>
      </c>
      <c r="BK766" s="67">
        <f>IFERROR(((AE766*(12000/5))/((F766*60+G766)*(SUMIFS(팀공격력!X:X,팀공격력!A:A,B766,팀공격력!B:B,D766)+SUMIFS(팀수비력!X:X,팀수비력!A:A,B766,팀수비력!B:B,D766))))*100,"")</f>
        <v>9.3544872305934259</v>
      </c>
      <c r="BL766" s="67">
        <f>IFERROR(100*AK766/(((((F766*60+G766)/(12000/5))*SUMIFS(팀공격력!P:P,팀공격력!A:A,B766,팀공격력!B:B,D766))-K766)),"")</f>
        <v>2.2003410528631937</v>
      </c>
      <c r="BM766" s="67">
        <f>IFERROR(100*((AM766/E766*(2400))/((F766*60+G766)*SUMIFS(팀공격력!AR:AR,팀공격력!A:A,B766,팀공격력!B:B,D766))),"")</f>
        <v>1.3942776805369261</v>
      </c>
      <c r="BN766" s="67">
        <f>IFERROR((AO766*40)/(((F766*60+G766)/60)*(SUMIFS(팀수비력!Q:Q,팀수비력!A:A,B766,팀수비력!B:B,D766)-SUMIFS(팀수비력!N:N,팀수비력!A:A,B766,팀수비력!B:B,D766)))*100,"")</f>
        <v>1.3767349010902021</v>
      </c>
      <c r="BO766" s="67">
        <f t="shared" si="373"/>
        <v>8.9365504915102782</v>
      </c>
      <c r="BT766" t="s">
        <v>89</v>
      </c>
      <c r="BV766" t="s">
        <v>93</v>
      </c>
      <c r="CF766">
        <v>3</v>
      </c>
      <c r="CG766">
        <v>5</v>
      </c>
    </row>
    <row r="767" spans="1:85" x14ac:dyDescent="0.4">
      <c r="A767" s="11" t="s">
        <v>85</v>
      </c>
      <c r="B767" t="s">
        <v>224</v>
      </c>
      <c r="C767" t="s">
        <v>242</v>
      </c>
      <c r="D767" s="46" t="s">
        <v>311</v>
      </c>
      <c r="E767">
        <v>5</v>
      </c>
      <c r="F767">
        <v>24</v>
      </c>
      <c r="G767" s="1">
        <v>19</v>
      </c>
      <c r="H767" s="16">
        <f t="shared" si="348"/>
        <v>7295</v>
      </c>
      <c r="I767">
        <v>60</v>
      </c>
      <c r="J767" s="17">
        <f t="shared" si="349"/>
        <v>12</v>
      </c>
      <c r="K767">
        <v>20</v>
      </c>
      <c r="L767">
        <v>54</v>
      </c>
      <c r="M767" s="17">
        <f t="shared" si="350"/>
        <v>4</v>
      </c>
      <c r="N767" s="17">
        <f t="shared" si="351"/>
        <v>10.8</v>
      </c>
      <c r="O767" s="18">
        <f t="shared" si="352"/>
        <v>0.37037037037037035</v>
      </c>
      <c r="P767">
        <v>12</v>
      </c>
      <c r="Q767">
        <v>32</v>
      </c>
      <c r="R767" s="17">
        <f t="shared" si="353"/>
        <v>2.4</v>
      </c>
      <c r="S767" s="17">
        <f t="shared" si="354"/>
        <v>6.4</v>
      </c>
      <c r="T767" s="18">
        <f t="shared" si="355"/>
        <v>0.375</v>
      </c>
      <c r="U767">
        <v>8</v>
      </c>
      <c r="V767">
        <v>22</v>
      </c>
      <c r="W767" s="17">
        <f t="shared" si="356"/>
        <v>1.6</v>
      </c>
      <c r="X767" s="17">
        <f t="shared" si="357"/>
        <v>4.4000000000000004</v>
      </c>
      <c r="Y767" s="18">
        <f t="shared" si="358"/>
        <v>0.36363636363636365</v>
      </c>
      <c r="Z767">
        <v>12</v>
      </c>
      <c r="AA767">
        <v>15</v>
      </c>
      <c r="AB767" s="17">
        <f t="shared" si="359"/>
        <v>2.4</v>
      </c>
      <c r="AC767" s="17">
        <f t="shared" si="360"/>
        <v>3</v>
      </c>
      <c r="AD767" s="18">
        <f t="shared" si="361"/>
        <v>0.8</v>
      </c>
      <c r="AE767">
        <v>18</v>
      </c>
      <c r="AF767" s="17">
        <f t="shared" si="362"/>
        <v>3.6</v>
      </c>
      <c r="AG767">
        <v>6</v>
      </c>
      <c r="AH767" s="17">
        <f t="shared" si="363"/>
        <v>1.2</v>
      </c>
      <c r="AI767">
        <v>12</v>
      </c>
      <c r="AJ767" s="17">
        <f t="shared" si="364"/>
        <v>2.4</v>
      </c>
      <c r="AK767">
        <v>7</v>
      </c>
      <c r="AL767" s="17">
        <f t="shared" si="365"/>
        <v>1.4</v>
      </c>
      <c r="AM767">
        <v>7</v>
      </c>
      <c r="AN767" s="17">
        <f t="shared" si="366"/>
        <v>1.4</v>
      </c>
      <c r="AO767">
        <v>3</v>
      </c>
      <c r="AQ767">
        <v>4</v>
      </c>
      <c r="AR767" s="17">
        <f t="shared" si="367"/>
        <v>0.8</v>
      </c>
      <c r="AS767">
        <v>15</v>
      </c>
      <c r="AT767" s="17">
        <f t="shared" si="368"/>
        <v>3</v>
      </c>
      <c r="BD767" s="65">
        <f t="shared" si="369"/>
        <v>49.504950495049506</v>
      </c>
      <c r="BE767" s="65">
        <f t="shared" si="370"/>
        <v>44.444444444444443</v>
      </c>
      <c r="BF767" s="66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15.818828863044939</v>
      </c>
      <c r="BG767" s="38">
        <f t="shared" si="371"/>
        <v>0.40740740740740738</v>
      </c>
      <c r="BH767" s="38">
        <f t="shared" si="372"/>
        <v>0.27777777777777779</v>
      </c>
      <c r="BI767" s="67">
        <f>IFERROR(((AG767*(12000/5))/((F767*60+G767)*(SUMIFS(팀공격력!X:X,팀공격력!A:A,B767,팀공격력!B:B,D767)+SUMIFS(팀수비력!X:X,팀수비력!A:A,B767,팀수비력!B:B,D767))))*100,"")</f>
        <v>1.7468626225988222</v>
      </c>
      <c r="BJ767" s="67">
        <f>IFERROR(((AI767*(12000/5))/((F767*60+G767)*(SUMIFS(팀공격력!V:V,팀공격력!A:A,B767,팀공격력!B:B,D767)+SUMIFS(팀수비력!W:W,팀수비력!A:A,B767,팀수비력!B:B,D767))))*100,"")</f>
        <v>6.9261570650409441</v>
      </c>
      <c r="BK767" s="67">
        <f>IFERROR(((AE767*(12000/5))/((F767*60+G767)*(SUMIFS(팀공격력!X:X,팀공격력!A:A,B767,팀공격력!B:B,D767)+SUMIFS(팀수비력!X:X,팀수비력!A:A,B767,팀수비력!B:B,D767))))*100,"")</f>
        <v>5.2405878677964663</v>
      </c>
      <c r="BL767" s="67">
        <f>IFERROR(100*AK767/(((((F767*60+G767)/(12000/5))*SUMIFS(팀공격력!P:P,팀공격력!A:A,B767,팀공격력!B:B,D767))-K767)),"")</f>
        <v>5.2554525320019527</v>
      </c>
      <c r="BM767" s="67">
        <f>IFERROR(100*((AM767/E767*(2400))/((F767*60+G767)*SUMIFS(팀공격력!AR:AR,팀공격력!A:A,B767,팀공격력!B:B,D767))),"")</f>
        <v>3.5641521845993966</v>
      </c>
      <c r="BN767" s="67">
        <f>IFERROR((AO767*40)/(((F767*60+G767)/60)*(SUMIFS(팀수비력!Q:Q,팀수비력!A:A,B767,팀수비력!B:B,D767)-SUMIFS(팀수비력!N:N,팀수비력!A:A,B767,팀수비력!B:B,D767)))*100,"")</f>
        <v>1.4140077102698201</v>
      </c>
      <c r="BO767" s="67">
        <f t="shared" si="373"/>
        <v>6.1919504643962853</v>
      </c>
      <c r="BT767" t="s">
        <v>89</v>
      </c>
      <c r="BV767" t="s">
        <v>93</v>
      </c>
      <c r="CF767">
        <v>1</v>
      </c>
      <c r="CG767">
        <v>4</v>
      </c>
    </row>
    <row r="768" spans="1:85" x14ac:dyDescent="0.4">
      <c r="A768" s="11" t="s">
        <v>85</v>
      </c>
      <c r="B768" t="s">
        <v>224</v>
      </c>
      <c r="C768" t="s">
        <v>243</v>
      </c>
      <c r="D768" s="46" t="s">
        <v>311</v>
      </c>
      <c r="E768">
        <v>8</v>
      </c>
      <c r="F768">
        <v>31</v>
      </c>
      <c r="G768" s="1">
        <v>6</v>
      </c>
      <c r="H768" s="16">
        <f t="shared" si="348"/>
        <v>14928</v>
      </c>
      <c r="I768">
        <v>117</v>
      </c>
      <c r="J768" s="17">
        <f t="shared" si="349"/>
        <v>14.625</v>
      </c>
      <c r="K768">
        <v>36</v>
      </c>
      <c r="L768">
        <v>76</v>
      </c>
      <c r="M768" s="17">
        <f t="shared" si="350"/>
        <v>4.5</v>
      </c>
      <c r="N768" s="17">
        <f t="shared" si="351"/>
        <v>9.5</v>
      </c>
      <c r="O768" s="18">
        <f t="shared" si="352"/>
        <v>0.47368421052631576</v>
      </c>
      <c r="P768">
        <v>14</v>
      </c>
      <c r="Q768">
        <v>25</v>
      </c>
      <c r="R768" s="17">
        <f t="shared" si="353"/>
        <v>1.75</v>
      </c>
      <c r="S768" s="17">
        <f t="shared" si="354"/>
        <v>3.125</v>
      </c>
      <c r="T768" s="18">
        <f t="shared" si="355"/>
        <v>0.56000000000000005</v>
      </c>
      <c r="U768">
        <v>22</v>
      </c>
      <c r="V768">
        <v>51</v>
      </c>
      <c r="W768" s="17">
        <f t="shared" si="356"/>
        <v>2.75</v>
      </c>
      <c r="X768" s="17">
        <f t="shared" si="357"/>
        <v>6.375</v>
      </c>
      <c r="Y768" s="18">
        <f t="shared" si="358"/>
        <v>0.43137254901960786</v>
      </c>
      <c r="Z768">
        <v>23</v>
      </c>
      <c r="AA768">
        <v>24</v>
      </c>
      <c r="AB768" s="17">
        <f t="shared" si="359"/>
        <v>2.875</v>
      </c>
      <c r="AC768" s="17">
        <f t="shared" si="360"/>
        <v>3</v>
      </c>
      <c r="AD768" s="18">
        <f t="shared" si="361"/>
        <v>0.95833333333333337</v>
      </c>
      <c r="AE768">
        <v>11</v>
      </c>
      <c r="AF768" s="17">
        <f t="shared" si="362"/>
        <v>1.375</v>
      </c>
      <c r="AG768">
        <v>1</v>
      </c>
      <c r="AH768" s="17">
        <f t="shared" si="363"/>
        <v>0.125</v>
      </c>
      <c r="AI768">
        <v>10</v>
      </c>
      <c r="AJ768" s="17">
        <f t="shared" si="364"/>
        <v>1.25</v>
      </c>
      <c r="AK768">
        <v>39</v>
      </c>
      <c r="AL768" s="17">
        <f t="shared" si="365"/>
        <v>4.875</v>
      </c>
      <c r="AM768">
        <v>7</v>
      </c>
      <c r="AN768" s="17">
        <f t="shared" si="366"/>
        <v>0.875</v>
      </c>
      <c r="AO768">
        <v>0</v>
      </c>
      <c r="AQ768">
        <v>9</v>
      </c>
      <c r="AR768" s="17">
        <f t="shared" si="367"/>
        <v>1.125</v>
      </c>
      <c r="AS768">
        <v>16</v>
      </c>
      <c r="AT768" s="17">
        <f t="shared" si="368"/>
        <v>2</v>
      </c>
      <c r="BD768" s="65">
        <f t="shared" si="369"/>
        <v>67.583179297597042</v>
      </c>
      <c r="BE768" s="65">
        <f t="shared" si="370"/>
        <v>61.842105263157897</v>
      </c>
      <c r="BF768" s="66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18.296229667079846</v>
      </c>
      <c r="BG768" s="38">
        <f t="shared" si="371"/>
        <v>0.67105263157894735</v>
      </c>
      <c r="BH768" s="38">
        <f t="shared" si="372"/>
        <v>0.31578947368421051</v>
      </c>
      <c r="BI768" s="67">
        <f>IFERROR(((AG768*(12000/5))/((F768*60+G768)*(SUMIFS(팀공격력!X:X,팀공격력!A:A,B768,팀공격력!B:B,D768)+SUMIFS(팀수비력!X:X,팀수비력!A:A,B768,팀수비력!B:B,D768))))*100,"")</f>
        <v>0.2276413510514185</v>
      </c>
      <c r="BJ768" s="67">
        <f>IFERROR(((AI768*(12000/5))/((F768*60+G768)*(SUMIFS(팀공격력!V:V,팀공격력!A:A,B768,팀공격력!B:B,D768)+SUMIFS(팀수비력!W:W,팀수비력!A:A,B768,팀수비력!B:B,D768))))*100,"")</f>
        <v>4.5128899418965416</v>
      </c>
      <c r="BK768" s="67">
        <f>IFERROR(((AE768*(12000/5))/((F768*60+G768)*(SUMIFS(팀공격력!X:X,팀공격력!A:A,B768,팀공격력!B:B,D768)+SUMIFS(팀수비력!X:X,팀수비력!A:A,B768,팀수비력!B:B,D768))))*100,"")</f>
        <v>2.5040548615656033</v>
      </c>
      <c r="BL768" s="67">
        <f>IFERROR(100*AK768/(((((F768*60+G768)/(12000/5))*SUMIFS(팀공격력!P:P,팀공격력!A:A,B768,팀공격력!B:B,D768))-K768)),"")</f>
        <v>24.385668730069408</v>
      </c>
      <c r="BM768" s="67">
        <f>IFERROR(100*((AM768/E768*(2400))/((F768*60+G768)*SUMIFS(팀공격력!AR:AR,팀공격력!A:A,B768,팀공격력!B:B,D768))),"")</f>
        <v>1.7417262986771571</v>
      </c>
      <c r="BN768" s="67">
        <f>IFERROR((AO768*40)/(((F768*60+G768)/60)*(SUMIFS(팀수비력!Q:Q,팀수비력!A:A,B768,팀수비력!B:B,D768)-SUMIFS(팀수비력!N:N,팀수비력!A:A,B768,팀수비력!B:B,D768)))*100,"")</f>
        <v>0</v>
      </c>
      <c r="BO768" s="67">
        <f t="shared" si="373"/>
        <v>9.4181665969024699</v>
      </c>
      <c r="BT768" t="s">
        <v>89</v>
      </c>
      <c r="BV768" t="s">
        <v>90</v>
      </c>
      <c r="CF768">
        <v>3</v>
      </c>
      <c r="CG768">
        <v>5</v>
      </c>
    </row>
    <row r="769" spans="1:85" x14ac:dyDescent="0.4">
      <c r="A769" s="11" t="s">
        <v>85</v>
      </c>
      <c r="B769" t="s">
        <v>224</v>
      </c>
      <c r="C769" t="s">
        <v>244</v>
      </c>
      <c r="D769" s="46" t="s">
        <v>311</v>
      </c>
      <c r="E769">
        <v>1</v>
      </c>
      <c r="F769">
        <v>1</v>
      </c>
      <c r="G769" s="1">
        <v>24</v>
      </c>
      <c r="H769" s="16">
        <f t="shared" si="348"/>
        <v>84</v>
      </c>
      <c r="I769">
        <v>2</v>
      </c>
      <c r="J769" s="17">
        <f t="shared" si="349"/>
        <v>2</v>
      </c>
      <c r="K769">
        <v>1</v>
      </c>
      <c r="L769">
        <v>3</v>
      </c>
      <c r="M769" s="17">
        <f t="shared" si="350"/>
        <v>1</v>
      </c>
      <c r="N769" s="17">
        <f t="shared" si="351"/>
        <v>3</v>
      </c>
      <c r="O769" s="18">
        <f t="shared" si="352"/>
        <v>0.33333333333333331</v>
      </c>
      <c r="P769">
        <v>1</v>
      </c>
      <c r="Q769">
        <v>3</v>
      </c>
      <c r="R769" s="17">
        <f t="shared" si="353"/>
        <v>1</v>
      </c>
      <c r="S769" s="17">
        <f t="shared" si="354"/>
        <v>3</v>
      </c>
      <c r="T769" s="18">
        <f t="shared" si="355"/>
        <v>0.33333333333333331</v>
      </c>
      <c r="U769">
        <v>0</v>
      </c>
      <c r="V769">
        <v>0</v>
      </c>
      <c r="W769" s="17">
        <f t="shared" si="356"/>
        <v>0</v>
      </c>
      <c r="X769" s="17">
        <f t="shared" si="357"/>
        <v>0</v>
      </c>
      <c r="Y769" s="18" t="e">
        <f t="shared" si="358"/>
        <v>#DIV/0!</v>
      </c>
      <c r="Z769">
        <v>0</v>
      </c>
      <c r="AA769">
        <v>0</v>
      </c>
      <c r="AB769" s="17">
        <f t="shared" si="359"/>
        <v>0</v>
      </c>
      <c r="AC769" s="17">
        <f t="shared" si="360"/>
        <v>0</v>
      </c>
      <c r="AD769" s="18" t="e">
        <f t="shared" si="361"/>
        <v>#DIV/0!</v>
      </c>
      <c r="AE769">
        <v>2</v>
      </c>
      <c r="AF769" s="17">
        <f t="shared" si="362"/>
        <v>2</v>
      </c>
      <c r="AG769">
        <v>1</v>
      </c>
      <c r="AH769" s="17">
        <f t="shared" si="363"/>
        <v>1</v>
      </c>
      <c r="AI769">
        <v>1</v>
      </c>
      <c r="AJ769" s="17">
        <f t="shared" si="364"/>
        <v>1</v>
      </c>
      <c r="AK769">
        <v>0</v>
      </c>
      <c r="AL769" s="17">
        <f t="shared" si="365"/>
        <v>0</v>
      </c>
      <c r="AM769">
        <v>0</v>
      </c>
      <c r="AN769" s="17">
        <f t="shared" si="366"/>
        <v>0</v>
      </c>
      <c r="AO769">
        <v>0</v>
      </c>
      <c r="AQ769">
        <v>0</v>
      </c>
      <c r="AR769" s="17">
        <f t="shared" si="367"/>
        <v>0</v>
      </c>
      <c r="AS769">
        <v>0</v>
      </c>
      <c r="AT769" s="17">
        <f t="shared" si="368"/>
        <v>0</v>
      </c>
      <c r="BD769" s="65">
        <f t="shared" si="369"/>
        <v>33.333333333333329</v>
      </c>
      <c r="BE769" s="65">
        <f t="shared" si="370"/>
        <v>33.333333333333329</v>
      </c>
      <c r="BF769" s="66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12.759659061909867</v>
      </c>
      <c r="BG769" s="38">
        <f t="shared" si="371"/>
        <v>0</v>
      </c>
      <c r="BH769" s="38">
        <f t="shared" si="372"/>
        <v>0</v>
      </c>
      <c r="BI769" s="67">
        <f>IFERROR(((AG769*(12000/5))/((F769*60+G769)*(SUMIFS(팀공격력!X:X,팀공격력!A:A,B769,팀공격력!B:B,D769)+SUMIFS(팀수비력!X:X,팀수비력!A:A,B769,팀수비력!B:B,D769))))*100,"")</f>
        <v>5.0568900126422252</v>
      </c>
      <c r="BJ769" s="67">
        <f>IFERROR(((AI769*(12000/5))/((F769*60+G769)*(SUMIFS(팀공격력!V:V,팀공격력!A:A,B769,팀공격력!B:B,D769)+SUMIFS(팀수비력!W:W,팀수비력!A:A,B769,팀수비력!B:B,D769))))*100,"")</f>
        <v>10.025062656641603</v>
      </c>
      <c r="BK769" s="67">
        <f>IFERROR(((AE769*(12000/5))/((F769*60+G769)*(SUMIFS(팀공격력!X:X,팀공격력!A:A,B769,팀공격력!B:B,D769)+SUMIFS(팀수비력!X:X,팀수비력!A:A,B769,팀수비력!B:B,D769))))*100,"")</f>
        <v>10.11378002528445</v>
      </c>
      <c r="BL769" s="67">
        <f>IFERROR(100*AK769/(((((F769*60+G769)/(12000/5))*SUMIFS(팀공격력!P:P,팀공격력!A:A,B769,팀공격력!B:B,D769))-K769)),"")</f>
        <v>0</v>
      </c>
      <c r="BM769" s="67">
        <f>IFERROR(100*((AM769/E769*(2400))/((F769*60+G769)*SUMIFS(팀공격력!AR:AR,팀공격력!A:A,B769,팀공격력!B:B,D769))),"")</f>
        <v>0</v>
      </c>
      <c r="BN769" s="67">
        <f>IFERROR((AO769*40)/(((F769*60+G769)/60)*(SUMIFS(팀수비력!Q:Q,팀수비력!A:A,B769,팀수비력!B:B,D769)-SUMIFS(팀수비력!N:N,팀수비력!A:A,B769,팀수비력!B:B,D769)))*100,"")</f>
        <v>0</v>
      </c>
      <c r="BO769" s="67">
        <f t="shared" si="373"/>
        <v>0</v>
      </c>
      <c r="BT769" t="s">
        <v>89</v>
      </c>
      <c r="BV769" t="s">
        <v>93</v>
      </c>
      <c r="CF769">
        <v>0</v>
      </c>
      <c r="CG769">
        <v>1</v>
      </c>
    </row>
    <row r="770" spans="1:85" x14ac:dyDescent="0.4">
      <c r="A770" s="11" t="s">
        <v>85</v>
      </c>
      <c r="B770" t="s">
        <v>245</v>
      </c>
      <c r="C770" t="s">
        <v>246</v>
      </c>
      <c r="D770" s="46" t="s">
        <v>311</v>
      </c>
      <c r="E770">
        <v>9</v>
      </c>
      <c r="F770">
        <v>20</v>
      </c>
      <c r="G770" s="1">
        <v>40</v>
      </c>
      <c r="H770" s="16">
        <f t="shared" ref="H770:H833" si="374">(F770*60+G770)*E770</f>
        <v>11160</v>
      </c>
      <c r="I770">
        <v>181</v>
      </c>
      <c r="J770" s="17">
        <f t="shared" ref="J770:J833" si="375">I770/$E770</f>
        <v>20.111111111111111</v>
      </c>
      <c r="K770">
        <v>71</v>
      </c>
      <c r="L770">
        <v>127</v>
      </c>
      <c r="M770" s="17">
        <f t="shared" ref="M770:M833" si="376">K770/$E770</f>
        <v>7.8888888888888893</v>
      </c>
      <c r="N770" s="17">
        <f t="shared" ref="N770:N833" si="377">L770/$E770</f>
        <v>14.111111111111111</v>
      </c>
      <c r="O770" s="18">
        <f t="shared" ref="O770:O833" si="378">K770/L770</f>
        <v>0.55905511811023623</v>
      </c>
      <c r="P770">
        <v>66</v>
      </c>
      <c r="Q770">
        <v>116</v>
      </c>
      <c r="R770" s="17">
        <f t="shared" ref="R770:R833" si="379">P770/$E770</f>
        <v>7.333333333333333</v>
      </c>
      <c r="S770" s="17">
        <f t="shared" ref="S770:S833" si="380">Q770/$E770</f>
        <v>12.888888888888889</v>
      </c>
      <c r="T770" s="18">
        <f t="shared" ref="T770:T833" si="381">P770/Q770</f>
        <v>0.56896551724137934</v>
      </c>
      <c r="U770">
        <v>5</v>
      </c>
      <c r="V770">
        <v>11</v>
      </c>
      <c r="W770" s="17">
        <f t="shared" ref="W770:W833" si="382">U770/$E770</f>
        <v>0.55555555555555558</v>
      </c>
      <c r="X770" s="17">
        <f t="shared" ref="X770:X833" si="383">V770/$E770</f>
        <v>1.2222222222222223</v>
      </c>
      <c r="Y770" s="18">
        <f t="shared" ref="Y770:Y833" si="384">U770/V770</f>
        <v>0.45454545454545453</v>
      </c>
      <c r="Z770">
        <v>34</v>
      </c>
      <c r="AA770">
        <v>43</v>
      </c>
      <c r="AB770" s="17">
        <f t="shared" ref="AB770:AB833" si="385">Z770/$E770</f>
        <v>3.7777777777777777</v>
      </c>
      <c r="AC770" s="17">
        <f t="shared" ref="AC770:AC833" si="386">AA770/$E770</f>
        <v>4.7777777777777777</v>
      </c>
      <c r="AD770" s="18">
        <f t="shared" ref="AD770:AD833" si="387">Z770/AA770</f>
        <v>0.79069767441860461</v>
      </c>
      <c r="AE770">
        <v>64</v>
      </c>
      <c r="AF770" s="17">
        <f t="shared" ref="AF770:AF833" si="388">AE770/$E770</f>
        <v>7.1111111111111107</v>
      </c>
      <c r="AG770">
        <v>24</v>
      </c>
      <c r="AH770" s="17">
        <f t="shared" ref="AH770:AH833" si="389">AG770/$E770</f>
        <v>2.6666666666666665</v>
      </c>
      <c r="AI770">
        <v>40</v>
      </c>
      <c r="AJ770" s="17">
        <f t="shared" ref="AJ770:AJ833" si="390">AI770/$E770</f>
        <v>4.4444444444444446</v>
      </c>
      <c r="AK770">
        <v>17</v>
      </c>
      <c r="AL770" s="17">
        <f t="shared" ref="AL770:AL833" si="391">AK770/$E770</f>
        <v>1.8888888888888888</v>
      </c>
      <c r="AM770">
        <v>5</v>
      </c>
      <c r="AN770" s="17">
        <f t="shared" ref="AN770:AN833" si="392">AM770/$E770</f>
        <v>0.55555555555555558</v>
      </c>
      <c r="AO770">
        <v>2</v>
      </c>
      <c r="AQ770">
        <v>17</v>
      </c>
      <c r="AR770" s="17">
        <f t="shared" ref="AR770:AR833" si="393">AQ770/$E770</f>
        <v>1.8888888888888888</v>
      </c>
      <c r="AS770">
        <v>17</v>
      </c>
      <c r="AT770" s="17">
        <f t="shared" ref="AT770:AT833" si="394">AS770/$E770</f>
        <v>1.8888888888888888</v>
      </c>
      <c r="BD770" s="65">
        <f t="shared" ref="BD770:BD833" si="395">IFERROR((I770/(2*(L770+(0.44*AA770))))*100,"")</f>
        <v>62.020285087719294</v>
      </c>
      <c r="BE770" s="65">
        <f t="shared" ref="BE770:BE833" si="396">IFERROR(((P770+(1.5*U770))/L770)*100,"")</f>
        <v>57.874015748031496</v>
      </c>
      <c r="BF770" s="66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37.338255134048289</v>
      </c>
      <c r="BG770" s="38">
        <f t="shared" ref="BG770:BG833" si="397">IFERROR(V770/L770,"")</f>
        <v>8.6614173228346455E-2</v>
      </c>
      <c r="BH770" s="38">
        <f t="shared" ref="BH770:BH833" si="398">IFERROR(AA770/L770,"")</f>
        <v>0.33858267716535434</v>
      </c>
      <c r="BI770" s="67">
        <f>IFERROR(((AG770*(12000/5))/((F770*60+G770)*(SUMIFS(팀공격력!X:X,팀공격력!A:A,B770,팀공격력!B:B,D770)+SUMIFS(팀수비력!X:X,팀수비력!A:A,B770,팀수비력!B:B,D770))))*100,"")</f>
        <v>7.1684587813620064</v>
      </c>
      <c r="BJ770" s="67">
        <f>IFERROR(((AI770*(12000/5))/((F770*60+G770)*(SUMIFS(팀공격력!V:V,팀공격력!A:A,B770,팀공격력!B:B,D770)+SUMIFS(팀수비력!W:W,팀수비력!A:A,B770,팀수비력!B:B,D770))))*100,"")</f>
        <v>23.603461841070022</v>
      </c>
      <c r="BK770" s="67">
        <f>IFERROR(((AE770*(12000/5))/((F770*60+G770)*(SUMIFS(팀공격력!X:X,팀공격력!A:A,B770,팀공격력!B:B,D770)+SUMIFS(팀수비력!X:X,팀수비력!A:A,B770,팀수비력!B:B,D770))))*100,"")</f>
        <v>19.115890083632021</v>
      </c>
      <c r="BL770" s="67">
        <f>IFERROR(100*AK770/(((((F770*60+G770)/(12000/5))*SUMIFS(팀공격력!P:P,팀공격력!A:A,B770,팀공격력!B:B,D770))-K770)),"")</f>
        <v>18.739665625574126</v>
      </c>
      <c r="BM770" s="67">
        <f>IFERROR(100*((AM770/E770*(2400))/((F770*60+G770)*SUMIFS(팀공격력!AR:AR,팀공격력!A:A,B770,팀공격력!B:B,D770))),"")</f>
        <v>1.519909819867203</v>
      </c>
      <c r="BN770" s="67">
        <f>IFERROR((AO770*40)/(((F770*60+G770)/60)*(SUMIFS(팀수비력!Q:Q,팀수비력!A:A,B770,팀수비력!B:B,D770)-SUMIFS(팀수비력!N:N,팀수비력!A:A,B770,팀수비력!B:B,D770)))*100,"")</f>
        <v>1.0518934081346423</v>
      </c>
      <c r="BO770" s="67">
        <f t="shared" ref="BO770:BO833" si="399">IFERROR(100*AQ770/(L770+0.44*AA770+AQ770),"")</f>
        <v>10.434569113675423</v>
      </c>
      <c r="BT770" t="s">
        <v>96</v>
      </c>
      <c r="BV770" t="s">
        <v>102</v>
      </c>
      <c r="CF770">
        <v>6</v>
      </c>
      <c r="CG770">
        <v>3</v>
      </c>
    </row>
    <row r="771" spans="1:85" x14ac:dyDescent="0.4">
      <c r="A771" s="11" t="s">
        <v>85</v>
      </c>
      <c r="B771" t="s">
        <v>245</v>
      </c>
      <c r="C771" t="s">
        <v>247</v>
      </c>
      <c r="D771" s="46" t="s">
        <v>311</v>
      </c>
      <c r="E771">
        <v>9</v>
      </c>
      <c r="F771">
        <v>19</v>
      </c>
      <c r="G771" s="1">
        <v>12</v>
      </c>
      <c r="H771" s="16">
        <f t="shared" si="374"/>
        <v>10368</v>
      </c>
      <c r="I771">
        <v>52</v>
      </c>
      <c r="J771" s="17">
        <f t="shared" si="375"/>
        <v>5.7777777777777777</v>
      </c>
      <c r="K771">
        <v>16</v>
      </c>
      <c r="L771">
        <v>48</v>
      </c>
      <c r="M771" s="17">
        <f t="shared" si="376"/>
        <v>1.7777777777777777</v>
      </c>
      <c r="N771" s="17">
        <f t="shared" si="377"/>
        <v>5.333333333333333</v>
      </c>
      <c r="O771" s="18">
        <f t="shared" si="378"/>
        <v>0.33333333333333331</v>
      </c>
      <c r="P771">
        <v>4</v>
      </c>
      <c r="Q771">
        <v>13</v>
      </c>
      <c r="R771" s="17">
        <f t="shared" si="379"/>
        <v>0.44444444444444442</v>
      </c>
      <c r="S771" s="17">
        <f t="shared" si="380"/>
        <v>1.4444444444444444</v>
      </c>
      <c r="T771" s="18">
        <f t="shared" si="381"/>
        <v>0.30769230769230771</v>
      </c>
      <c r="U771">
        <v>12</v>
      </c>
      <c r="V771">
        <v>35</v>
      </c>
      <c r="W771" s="17">
        <f t="shared" si="382"/>
        <v>1.3333333333333333</v>
      </c>
      <c r="X771" s="17">
        <f t="shared" si="383"/>
        <v>3.8888888888888888</v>
      </c>
      <c r="Y771" s="18">
        <f t="shared" si="384"/>
        <v>0.34285714285714286</v>
      </c>
      <c r="Z771">
        <v>8</v>
      </c>
      <c r="AA771">
        <v>10</v>
      </c>
      <c r="AB771" s="17">
        <f t="shared" si="385"/>
        <v>0.88888888888888884</v>
      </c>
      <c r="AC771" s="17">
        <f t="shared" si="386"/>
        <v>1.1111111111111112</v>
      </c>
      <c r="AD771" s="18">
        <f t="shared" si="387"/>
        <v>0.8</v>
      </c>
      <c r="AE771">
        <v>31</v>
      </c>
      <c r="AF771" s="17">
        <f t="shared" si="388"/>
        <v>3.4444444444444446</v>
      </c>
      <c r="AG771">
        <v>10</v>
      </c>
      <c r="AH771" s="17">
        <f t="shared" si="389"/>
        <v>1.1111111111111112</v>
      </c>
      <c r="AI771">
        <v>21</v>
      </c>
      <c r="AJ771" s="17">
        <f t="shared" si="390"/>
        <v>2.3333333333333335</v>
      </c>
      <c r="AK771">
        <v>6</v>
      </c>
      <c r="AL771" s="17">
        <f t="shared" si="391"/>
        <v>0.66666666666666663</v>
      </c>
      <c r="AM771">
        <v>3</v>
      </c>
      <c r="AN771" s="17">
        <f t="shared" si="392"/>
        <v>0.33333333333333331</v>
      </c>
      <c r="AO771">
        <v>1</v>
      </c>
      <c r="AQ771">
        <v>9</v>
      </c>
      <c r="AR771" s="17">
        <f t="shared" si="393"/>
        <v>1</v>
      </c>
      <c r="AS771">
        <v>21</v>
      </c>
      <c r="AT771" s="17">
        <f t="shared" si="394"/>
        <v>2.3333333333333335</v>
      </c>
      <c r="BD771" s="65">
        <f t="shared" si="395"/>
        <v>49.618320610687022</v>
      </c>
      <c r="BE771" s="65">
        <f t="shared" si="396"/>
        <v>45.833333333333329</v>
      </c>
      <c r="BF771" s="66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15.146671087323766</v>
      </c>
      <c r="BG771" s="38">
        <f t="shared" si="397"/>
        <v>0.72916666666666663</v>
      </c>
      <c r="BH771" s="38">
        <f t="shared" si="398"/>
        <v>0.20833333333333334</v>
      </c>
      <c r="BI771" s="67">
        <f>IFERROR(((AG771*(12000/5))/((F771*60+G771)*(SUMIFS(팀공격력!X:X,팀공격력!A:A,B771,팀공격력!B:B,D771)+SUMIFS(팀수비력!X:X,팀수비력!A:A,B771,팀수비력!B:B,D771))))*100,"")</f>
        <v>3.2150205761316872</v>
      </c>
      <c r="BJ771" s="67">
        <f>IFERROR(((AI771*(12000/5))/((F771*60+G771)*(SUMIFS(팀공격력!V:V,팀공격력!A:A,B771,팀공격력!B:B,D771)+SUMIFS(팀수비력!W:W,팀수비력!A:A,B771,팀수비력!B:B,D771))))*100,"")</f>
        <v>13.338414634146343</v>
      </c>
      <c r="BK771" s="67">
        <f>IFERROR(((AE771*(12000/5))/((F771*60+G771)*(SUMIFS(팀공격력!X:X,팀공격력!A:A,B771,팀공격력!B:B,D771)+SUMIFS(팀수비력!X:X,팀수비력!A:A,B771,팀수비력!B:B,D771))))*100,"")</f>
        <v>9.9665637860082299</v>
      </c>
      <c r="BL771" s="67">
        <f>IFERROR(100*AK771/(((((F771*60+G771)/(12000/5))*SUMIFS(팀공격력!P:P,팀공격력!A:A,B771,팀공격력!B:B,D771))-K771)),"")</f>
        <v>4.4696066746126348</v>
      </c>
      <c r="BM771" s="67">
        <f>IFERROR(100*((AM771/E771*(2400))/((F771*60+G771)*SUMIFS(팀공격력!AR:AR,팀공격력!A:A,B771,팀공격력!B:B,D771))),"")</f>
        <v>0.98160842533090176</v>
      </c>
      <c r="BN771" s="67">
        <f>IFERROR((AO771*40)/(((F771*60+G771)/60)*(SUMIFS(팀수비력!Q:Q,팀수비력!A:A,B771,팀수비력!B:B,D771)-SUMIFS(팀수비력!N:N,팀수비력!A:A,B771,팀수비력!B:B,D771)))*100,"")</f>
        <v>0.56612318840579723</v>
      </c>
      <c r="BO771" s="67">
        <f t="shared" si="399"/>
        <v>14.65798045602606</v>
      </c>
      <c r="BT771" t="s">
        <v>89</v>
      </c>
      <c r="BV771" t="s">
        <v>93</v>
      </c>
      <c r="CF771">
        <v>6</v>
      </c>
      <c r="CG771">
        <v>3</v>
      </c>
    </row>
    <row r="772" spans="1:85" x14ac:dyDescent="0.4">
      <c r="A772" s="11" t="s">
        <v>85</v>
      </c>
      <c r="B772" t="s">
        <v>245</v>
      </c>
      <c r="C772" t="s">
        <v>248</v>
      </c>
      <c r="D772" s="46" t="s">
        <v>311</v>
      </c>
      <c r="E772">
        <v>7</v>
      </c>
      <c r="F772">
        <v>9</v>
      </c>
      <c r="G772" s="1">
        <v>13</v>
      </c>
      <c r="H772" s="16">
        <f t="shared" si="374"/>
        <v>3871</v>
      </c>
      <c r="I772">
        <v>25</v>
      </c>
      <c r="J772" s="17">
        <f t="shared" si="375"/>
        <v>3.5714285714285716</v>
      </c>
      <c r="K772">
        <v>10</v>
      </c>
      <c r="L772">
        <v>21</v>
      </c>
      <c r="M772" s="17">
        <f t="shared" si="376"/>
        <v>1.4285714285714286</v>
      </c>
      <c r="N772" s="17">
        <f t="shared" si="377"/>
        <v>3</v>
      </c>
      <c r="O772" s="18">
        <f t="shared" si="378"/>
        <v>0.47619047619047616</v>
      </c>
      <c r="P772">
        <v>10</v>
      </c>
      <c r="Q772">
        <v>21</v>
      </c>
      <c r="R772" s="17">
        <f t="shared" si="379"/>
        <v>1.4285714285714286</v>
      </c>
      <c r="S772" s="17">
        <f t="shared" si="380"/>
        <v>3</v>
      </c>
      <c r="T772" s="18">
        <f t="shared" si="381"/>
        <v>0.47619047619047616</v>
      </c>
      <c r="U772">
        <v>0</v>
      </c>
      <c r="V772">
        <v>0</v>
      </c>
      <c r="W772" s="17">
        <f t="shared" si="382"/>
        <v>0</v>
      </c>
      <c r="X772" s="17">
        <f t="shared" si="383"/>
        <v>0</v>
      </c>
      <c r="Y772" s="18" t="e">
        <f t="shared" si="384"/>
        <v>#DIV/0!</v>
      </c>
      <c r="Z772">
        <v>5</v>
      </c>
      <c r="AA772">
        <v>10</v>
      </c>
      <c r="AB772" s="17">
        <f t="shared" si="385"/>
        <v>0.7142857142857143</v>
      </c>
      <c r="AC772" s="17">
        <f t="shared" si="386"/>
        <v>1.4285714285714286</v>
      </c>
      <c r="AD772" s="18">
        <f t="shared" si="387"/>
        <v>0.5</v>
      </c>
      <c r="AE772">
        <v>10</v>
      </c>
      <c r="AF772" s="17">
        <f t="shared" si="388"/>
        <v>1.4285714285714286</v>
      </c>
      <c r="AG772">
        <v>6</v>
      </c>
      <c r="AH772" s="17">
        <f t="shared" si="389"/>
        <v>0.8571428571428571</v>
      </c>
      <c r="AI772">
        <v>4</v>
      </c>
      <c r="AJ772" s="17">
        <f t="shared" si="390"/>
        <v>0.5714285714285714</v>
      </c>
      <c r="AK772">
        <v>7</v>
      </c>
      <c r="AL772" s="17">
        <f t="shared" si="391"/>
        <v>1</v>
      </c>
      <c r="AM772">
        <v>0</v>
      </c>
      <c r="AN772" s="17">
        <f t="shared" si="392"/>
        <v>0</v>
      </c>
      <c r="AO772">
        <v>0</v>
      </c>
      <c r="AQ772">
        <v>2</v>
      </c>
      <c r="AR772" s="17">
        <f t="shared" si="393"/>
        <v>0.2857142857142857</v>
      </c>
      <c r="AS772">
        <v>12</v>
      </c>
      <c r="AT772" s="17">
        <f t="shared" si="394"/>
        <v>1.7142857142857142</v>
      </c>
      <c r="BD772" s="65">
        <f t="shared" si="395"/>
        <v>49.212598425196852</v>
      </c>
      <c r="BE772" s="65">
        <f t="shared" si="396"/>
        <v>47.619047619047613</v>
      </c>
      <c r="BF772" s="66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14.080780685074519</v>
      </c>
      <c r="BG772" s="38">
        <f t="shared" si="397"/>
        <v>0</v>
      </c>
      <c r="BH772" s="38">
        <f t="shared" si="398"/>
        <v>0.47619047619047616</v>
      </c>
      <c r="BI772" s="67">
        <f>IFERROR(((AG772*(12000/5))/((F772*60+G772)*(SUMIFS(팀공격력!X:X,팀공격력!A:A,B772,팀공격력!B:B,D772)+SUMIFS(팀수비력!X:X,팀수비력!A:A,B772,팀수비력!B:B,D772))))*100,"")</f>
        <v>4.0184850311432587</v>
      </c>
      <c r="BJ772" s="67">
        <f>IFERROR(((AI772*(12000/5))/((F772*60+G772)*(SUMIFS(팀공격력!V:V,팀공격력!A:A,B772,팀공격력!B:B,D772)+SUMIFS(팀수비력!W:W,팀수비력!A:A,B772,팀수비력!B:B,D772))))*100,"")</f>
        <v>5.292638821505756</v>
      </c>
      <c r="BK772" s="67">
        <f>IFERROR(((AE772*(12000/5))/((F772*60+G772)*(SUMIFS(팀공격력!X:X,팀공격력!A:A,B772,팀공격력!B:B,D772)+SUMIFS(팀수비력!X:X,팀수비력!A:A,B772,팀수비력!B:B,D772))))*100,"")</f>
        <v>6.6974750519054309</v>
      </c>
      <c r="BL772" s="67">
        <f>IFERROR(100*AK772/(((((F772*60+G772)/(12000/5))*SUMIFS(팀공격력!P:P,팀공격력!A:A,B772,팀공격력!B:B,D772))-K772)),"")</f>
        <v>11.268436973888079</v>
      </c>
      <c r="BM772" s="67">
        <f>IFERROR(100*((AM772/E772*(2400))/((F772*60+G772)*SUMIFS(팀공격력!AR:AR,팀공격력!A:A,B772,팀공격력!B:B,D772))),"")</f>
        <v>0</v>
      </c>
      <c r="BN772" s="67">
        <f>IFERROR((AO772*40)/(((F772*60+G772)/60)*(SUMIFS(팀수비력!Q:Q,팀수비력!A:A,B772,팀수비력!B:B,D772)-SUMIFS(팀수비력!N:N,팀수비력!A:A,B772,팀수비력!B:B,D772)))*100,"")</f>
        <v>0</v>
      </c>
      <c r="BO772" s="67">
        <f t="shared" si="399"/>
        <v>7.2992700729927007</v>
      </c>
      <c r="BT772" t="s">
        <v>89</v>
      </c>
      <c r="BV772" t="s">
        <v>102</v>
      </c>
      <c r="CF772">
        <v>5</v>
      </c>
      <c r="CG772">
        <v>2</v>
      </c>
    </row>
    <row r="773" spans="1:85" x14ac:dyDescent="0.4">
      <c r="A773" s="11" t="s">
        <v>85</v>
      </c>
      <c r="B773" t="s">
        <v>245</v>
      </c>
      <c r="C773" t="s">
        <v>249</v>
      </c>
      <c r="D773" s="46" t="s">
        <v>311</v>
      </c>
      <c r="E773">
        <v>9</v>
      </c>
      <c r="F773">
        <v>18</v>
      </c>
      <c r="G773" s="1">
        <v>21</v>
      </c>
      <c r="H773" s="16">
        <f t="shared" si="374"/>
        <v>9909</v>
      </c>
      <c r="I773">
        <v>50</v>
      </c>
      <c r="J773" s="17">
        <f t="shared" si="375"/>
        <v>5.5555555555555554</v>
      </c>
      <c r="K773">
        <v>16</v>
      </c>
      <c r="L773">
        <v>34</v>
      </c>
      <c r="M773" s="17">
        <f t="shared" si="376"/>
        <v>1.7777777777777777</v>
      </c>
      <c r="N773" s="17">
        <f t="shared" si="377"/>
        <v>3.7777777777777777</v>
      </c>
      <c r="O773" s="18">
        <f t="shared" si="378"/>
        <v>0.47058823529411764</v>
      </c>
      <c r="P773">
        <v>4</v>
      </c>
      <c r="Q773">
        <v>9</v>
      </c>
      <c r="R773" s="17">
        <f t="shared" si="379"/>
        <v>0.44444444444444442</v>
      </c>
      <c r="S773" s="17">
        <f t="shared" si="380"/>
        <v>1</v>
      </c>
      <c r="T773" s="18">
        <f t="shared" si="381"/>
        <v>0.44444444444444442</v>
      </c>
      <c r="U773">
        <v>12</v>
      </c>
      <c r="V773">
        <v>25</v>
      </c>
      <c r="W773" s="17">
        <f t="shared" si="382"/>
        <v>1.3333333333333333</v>
      </c>
      <c r="X773" s="17">
        <f t="shared" si="383"/>
        <v>2.7777777777777777</v>
      </c>
      <c r="Y773" s="18">
        <f t="shared" si="384"/>
        <v>0.48</v>
      </c>
      <c r="Z773">
        <v>6</v>
      </c>
      <c r="AA773">
        <v>8</v>
      </c>
      <c r="AB773" s="17">
        <f t="shared" si="385"/>
        <v>0.66666666666666663</v>
      </c>
      <c r="AC773" s="17">
        <f t="shared" si="386"/>
        <v>0.88888888888888884</v>
      </c>
      <c r="AD773" s="18">
        <f t="shared" si="387"/>
        <v>0.75</v>
      </c>
      <c r="AE773">
        <v>10</v>
      </c>
      <c r="AF773" s="17">
        <f t="shared" si="388"/>
        <v>1.1111111111111112</v>
      </c>
      <c r="AG773">
        <v>3</v>
      </c>
      <c r="AH773" s="17">
        <f t="shared" si="389"/>
        <v>0.33333333333333331</v>
      </c>
      <c r="AI773">
        <v>7</v>
      </c>
      <c r="AJ773" s="17">
        <f t="shared" si="390"/>
        <v>0.77777777777777779</v>
      </c>
      <c r="AK773">
        <v>14</v>
      </c>
      <c r="AL773" s="17">
        <f t="shared" si="391"/>
        <v>1.5555555555555556</v>
      </c>
      <c r="AM773">
        <v>4</v>
      </c>
      <c r="AN773" s="17">
        <f t="shared" si="392"/>
        <v>0.44444444444444442</v>
      </c>
      <c r="AO773">
        <v>0</v>
      </c>
      <c r="AQ773">
        <v>6</v>
      </c>
      <c r="AR773" s="17">
        <f t="shared" si="393"/>
        <v>0.66666666666666663</v>
      </c>
      <c r="AS773">
        <v>21</v>
      </c>
      <c r="AT773" s="17">
        <f t="shared" si="394"/>
        <v>2.3333333333333335</v>
      </c>
      <c r="BD773" s="65">
        <f t="shared" si="395"/>
        <v>66.631130063965884</v>
      </c>
      <c r="BE773" s="65">
        <f t="shared" si="396"/>
        <v>64.705882352941174</v>
      </c>
      <c r="BF773" s="66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11.233183940418698</v>
      </c>
      <c r="BG773" s="38">
        <f t="shared" si="397"/>
        <v>0.73529411764705888</v>
      </c>
      <c r="BH773" s="38">
        <f t="shared" si="398"/>
        <v>0.23529411764705882</v>
      </c>
      <c r="BI773" s="67">
        <f>IFERROR(((AG773*(12000/5))/((F773*60+G773)*(SUMIFS(팀공격력!X:X,팀공격력!A:A,B773,팀공격력!B:B,D773)+SUMIFS(팀수비력!X:X,팀수비력!A:A,B773,팀수비력!B:B,D773))))*100,"")</f>
        <v>1.0091835704914724</v>
      </c>
      <c r="BJ773" s="67">
        <f>IFERROR(((AI773*(12000/5))/((F773*60+G773)*(SUMIFS(팀공격력!V:V,팀공격력!A:A,B773,팀공격력!B:B,D773)+SUMIFS(팀수비력!W:W,팀수비력!A:A,B773,팀수비력!B:B,D773))))*100,"")</f>
        <v>4.6520901176314213</v>
      </c>
      <c r="BK773" s="67">
        <f>IFERROR(((AE773*(12000/5))/((F773*60+G773)*(SUMIFS(팀공격력!X:X,팀공격력!A:A,B773,팀공격력!B:B,D773)+SUMIFS(팀수비력!X:X,팀수비력!A:A,B773,팀수비력!B:B,D773))))*100,"")</f>
        <v>3.3639452349715748</v>
      </c>
      <c r="BL773" s="67">
        <f>IFERROR(100*AK773/(((((F773*60+G773)/(12000/5))*SUMIFS(팀공격력!P:P,팀공격력!A:A,B773,팀공격력!B:B,D773))-K773)),"")</f>
        <v>10.972754259290102</v>
      </c>
      <c r="BM773" s="67">
        <f>IFERROR(100*((AM773/E773*(2400))/((F773*60+G773)*SUMIFS(팀공격력!AR:AR,팀공격력!A:A,B773,팀공격력!B:B,D773))),"")</f>
        <v>1.3694373672191327</v>
      </c>
      <c r="BN773" s="67">
        <f>IFERROR((AO773*40)/(((F773*60+G773)/60)*(SUMIFS(팀수비력!Q:Q,팀수비력!A:A,B773,팀수비력!B:B,D773)-SUMIFS(팀수비력!N:N,팀수비력!A:A,B773,팀수비력!B:B,D773)))*100,"")</f>
        <v>0</v>
      </c>
      <c r="BO773" s="67">
        <f t="shared" si="399"/>
        <v>13.786764705882351</v>
      </c>
      <c r="BT773" t="s">
        <v>89</v>
      </c>
      <c r="BV773" t="s">
        <v>90</v>
      </c>
      <c r="CF773">
        <v>6</v>
      </c>
      <c r="CG773">
        <v>3</v>
      </c>
    </row>
    <row r="774" spans="1:85" x14ac:dyDescent="0.4">
      <c r="A774" s="11" t="s">
        <v>85</v>
      </c>
      <c r="B774" t="s">
        <v>245</v>
      </c>
      <c r="C774" t="s">
        <v>250</v>
      </c>
      <c r="D774" s="46" t="s">
        <v>311</v>
      </c>
      <c r="E774">
        <v>1</v>
      </c>
      <c r="F774">
        <v>4</v>
      </c>
      <c r="G774" s="1">
        <v>7</v>
      </c>
      <c r="H774" s="16">
        <f t="shared" si="374"/>
        <v>247</v>
      </c>
      <c r="I774">
        <v>2</v>
      </c>
      <c r="J774" s="17">
        <f t="shared" si="375"/>
        <v>2</v>
      </c>
      <c r="K774">
        <v>1</v>
      </c>
      <c r="L774">
        <v>1</v>
      </c>
      <c r="M774" s="17">
        <f t="shared" si="376"/>
        <v>1</v>
      </c>
      <c r="N774" s="17">
        <f t="shared" si="377"/>
        <v>1</v>
      </c>
      <c r="O774" s="18">
        <f t="shared" si="378"/>
        <v>1</v>
      </c>
      <c r="P774">
        <v>1</v>
      </c>
      <c r="Q774">
        <v>1</v>
      </c>
      <c r="R774" s="17">
        <f t="shared" si="379"/>
        <v>1</v>
      </c>
      <c r="S774" s="17">
        <f t="shared" si="380"/>
        <v>1</v>
      </c>
      <c r="T774" s="18">
        <f t="shared" si="381"/>
        <v>1</v>
      </c>
      <c r="U774">
        <v>0</v>
      </c>
      <c r="V774">
        <v>0</v>
      </c>
      <c r="W774" s="17">
        <f t="shared" si="382"/>
        <v>0</v>
      </c>
      <c r="X774" s="17">
        <f t="shared" si="383"/>
        <v>0</v>
      </c>
      <c r="Y774" s="18" t="e">
        <f t="shared" si="384"/>
        <v>#DIV/0!</v>
      </c>
      <c r="Z774">
        <v>0</v>
      </c>
      <c r="AA774">
        <v>0</v>
      </c>
      <c r="AB774" s="17">
        <f t="shared" si="385"/>
        <v>0</v>
      </c>
      <c r="AC774" s="17">
        <f t="shared" si="386"/>
        <v>0</v>
      </c>
      <c r="AD774" s="18" t="e">
        <f t="shared" si="387"/>
        <v>#DIV/0!</v>
      </c>
      <c r="AE774">
        <v>0</v>
      </c>
      <c r="AF774" s="17">
        <f t="shared" si="388"/>
        <v>0</v>
      </c>
      <c r="AG774">
        <v>0</v>
      </c>
      <c r="AH774" s="17">
        <f t="shared" si="389"/>
        <v>0</v>
      </c>
      <c r="AI774">
        <v>0</v>
      </c>
      <c r="AJ774" s="17">
        <f t="shared" si="390"/>
        <v>0</v>
      </c>
      <c r="AK774">
        <v>0</v>
      </c>
      <c r="AL774" s="17">
        <f t="shared" si="391"/>
        <v>0</v>
      </c>
      <c r="AM774">
        <v>0</v>
      </c>
      <c r="AN774" s="17">
        <f t="shared" si="392"/>
        <v>0</v>
      </c>
      <c r="AO774">
        <v>0</v>
      </c>
      <c r="AQ774">
        <v>0</v>
      </c>
      <c r="AR774" s="17">
        <f t="shared" si="393"/>
        <v>0</v>
      </c>
      <c r="AS774">
        <v>0</v>
      </c>
      <c r="AT774" s="17">
        <f t="shared" si="394"/>
        <v>0</v>
      </c>
      <c r="BD774" s="65">
        <f t="shared" si="395"/>
        <v>100</v>
      </c>
      <c r="BE774" s="65">
        <f t="shared" si="396"/>
        <v>100</v>
      </c>
      <c r="BF774" s="66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1.1505469604371004</v>
      </c>
      <c r="BG774" s="38">
        <f t="shared" si="397"/>
        <v>0</v>
      </c>
      <c r="BH774" s="38">
        <f t="shared" si="398"/>
        <v>0</v>
      </c>
      <c r="BI774" s="67">
        <f>IFERROR(((AG774*(12000/5))/((F774*60+G774)*(SUMIFS(팀공격력!X:X,팀공격력!A:A,B774,팀공격력!B:B,D774)+SUMIFS(팀수비력!X:X,팀수비력!A:A,B774,팀수비력!B:B,D774))))*100,"")</f>
        <v>0</v>
      </c>
      <c r="BJ774" s="67">
        <f>IFERROR(((AI774*(12000/5))/((F774*60+G774)*(SUMIFS(팀공격력!V:V,팀공격력!A:A,B774,팀공격력!B:B,D774)+SUMIFS(팀수비력!W:W,팀수비력!A:A,B774,팀수비력!B:B,D774))))*100,"")</f>
        <v>0</v>
      </c>
      <c r="BK774" s="67">
        <f>IFERROR(((AE774*(12000/5))/((F774*60+G774)*(SUMIFS(팀공격력!X:X,팀공격력!A:A,B774,팀공격력!B:B,D774)+SUMIFS(팀수비력!X:X,팀수비력!A:A,B774,팀수비력!B:B,D774))))*100,"")</f>
        <v>0</v>
      </c>
      <c r="BL774" s="67">
        <f>IFERROR(100*AK774/(((((F774*60+G774)/(12000/5))*SUMIFS(팀공격력!P:P,팀공격력!A:A,B774,팀공격력!B:B,D774))-K774)),"")</f>
        <v>0</v>
      </c>
      <c r="BM774" s="67">
        <f>IFERROR(100*((AM774/E774*(2400))/((F774*60+G774)*SUMIFS(팀공격력!AR:AR,팀공격력!A:A,B774,팀공격력!B:B,D774))),"")</f>
        <v>0</v>
      </c>
      <c r="BN774" s="67">
        <f>IFERROR((AO774*40)/(((F774*60+G774)/60)*(SUMIFS(팀수비력!Q:Q,팀수비력!A:A,B774,팀수비력!B:B,D774)-SUMIFS(팀수비력!N:N,팀수비력!A:A,B774,팀수비력!B:B,D774)))*100,"")</f>
        <v>0</v>
      </c>
      <c r="BO774" s="67">
        <f t="shared" si="399"/>
        <v>0</v>
      </c>
      <c r="BT774" t="s">
        <v>89</v>
      </c>
      <c r="BV774" t="s">
        <v>90</v>
      </c>
      <c r="CF774">
        <v>0</v>
      </c>
      <c r="CG774">
        <v>1</v>
      </c>
    </row>
    <row r="775" spans="1:85" x14ac:dyDescent="0.4">
      <c r="A775" s="11" t="s">
        <v>85</v>
      </c>
      <c r="B775" t="s">
        <v>245</v>
      </c>
      <c r="C775" t="s">
        <v>252</v>
      </c>
      <c r="D775" s="46" t="s">
        <v>311</v>
      </c>
      <c r="E775">
        <v>2</v>
      </c>
      <c r="F775">
        <v>8</v>
      </c>
      <c r="G775" s="1">
        <v>32</v>
      </c>
      <c r="H775" s="16">
        <f t="shared" si="374"/>
        <v>1024</v>
      </c>
      <c r="I775">
        <v>2</v>
      </c>
      <c r="J775" s="17">
        <f t="shared" si="375"/>
        <v>1</v>
      </c>
      <c r="K775">
        <v>1</v>
      </c>
      <c r="L775">
        <v>5</v>
      </c>
      <c r="M775" s="17">
        <f t="shared" si="376"/>
        <v>0.5</v>
      </c>
      <c r="N775" s="17">
        <f t="shared" si="377"/>
        <v>2.5</v>
      </c>
      <c r="O775" s="18">
        <f t="shared" si="378"/>
        <v>0.2</v>
      </c>
      <c r="P775">
        <v>1</v>
      </c>
      <c r="Q775">
        <v>2</v>
      </c>
      <c r="R775" s="17">
        <f t="shared" si="379"/>
        <v>0.5</v>
      </c>
      <c r="S775" s="17">
        <f t="shared" si="380"/>
        <v>1</v>
      </c>
      <c r="T775" s="18">
        <f t="shared" si="381"/>
        <v>0.5</v>
      </c>
      <c r="U775">
        <v>0</v>
      </c>
      <c r="V775">
        <v>3</v>
      </c>
      <c r="W775" s="17">
        <f t="shared" si="382"/>
        <v>0</v>
      </c>
      <c r="X775" s="17">
        <f t="shared" si="383"/>
        <v>1.5</v>
      </c>
      <c r="Y775" s="18">
        <f t="shared" si="384"/>
        <v>0</v>
      </c>
      <c r="Z775">
        <v>0</v>
      </c>
      <c r="AA775">
        <v>0</v>
      </c>
      <c r="AB775" s="17">
        <f t="shared" si="385"/>
        <v>0</v>
      </c>
      <c r="AC775" s="17">
        <f t="shared" si="386"/>
        <v>0</v>
      </c>
      <c r="AD775" s="18" t="e">
        <f t="shared" si="387"/>
        <v>#DIV/0!</v>
      </c>
      <c r="AE775">
        <v>2</v>
      </c>
      <c r="AF775" s="17">
        <f t="shared" si="388"/>
        <v>1</v>
      </c>
      <c r="AG775">
        <v>0</v>
      </c>
      <c r="AH775" s="17">
        <f t="shared" si="389"/>
        <v>0</v>
      </c>
      <c r="AI775">
        <v>2</v>
      </c>
      <c r="AJ775" s="17">
        <f t="shared" si="390"/>
        <v>1</v>
      </c>
      <c r="AK775">
        <v>2</v>
      </c>
      <c r="AL775" s="17">
        <f t="shared" si="391"/>
        <v>1</v>
      </c>
      <c r="AM775">
        <v>0</v>
      </c>
      <c r="AN775" s="17">
        <f t="shared" si="392"/>
        <v>0</v>
      </c>
      <c r="AO775">
        <v>0</v>
      </c>
      <c r="AQ775">
        <v>1</v>
      </c>
      <c r="AR775" s="17">
        <f t="shared" si="393"/>
        <v>0.5</v>
      </c>
      <c r="AS775">
        <v>1</v>
      </c>
      <c r="AT775" s="17">
        <f t="shared" si="394"/>
        <v>0.5</v>
      </c>
      <c r="BD775" s="65">
        <f t="shared" si="395"/>
        <v>20</v>
      </c>
      <c r="BE775" s="65">
        <f t="shared" si="396"/>
        <v>20</v>
      </c>
      <c r="BF775" s="66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3.330294131577701</v>
      </c>
      <c r="BG775" s="38">
        <f t="shared" si="397"/>
        <v>0.6</v>
      </c>
      <c r="BH775" s="38">
        <f t="shared" si="398"/>
        <v>0</v>
      </c>
      <c r="BI775" s="67">
        <f>IFERROR(((AG775*(12000/5))/((F775*60+G775)*(SUMIFS(팀공격력!X:X,팀공격력!A:A,B775,팀공격력!B:B,D775)+SUMIFS(팀수비력!X:X,팀수비력!A:A,B775,팀수비력!B:B,D775))))*100,"")</f>
        <v>0</v>
      </c>
      <c r="BJ775" s="67">
        <f>IFERROR(((AI775*(12000/5))/((F775*60+G775)*(SUMIFS(팀공격력!V:V,팀공격력!A:A,B775,팀공격력!B:B,D775)+SUMIFS(팀수비력!W:W,팀수비력!A:A,B775,팀수비력!B:B,D775))))*100,"")</f>
        <v>2.8582317073170733</v>
      </c>
      <c r="BK775" s="67">
        <f>IFERROR(((AE775*(12000/5))/((F775*60+G775)*(SUMIFS(팀공격력!X:X,팀공격력!A:A,B775,팀공격력!B:B,D775)+SUMIFS(팀수비력!X:X,팀수비력!A:A,B775,팀수비력!B:B,D775))))*100,"")</f>
        <v>1.4467592592592593</v>
      </c>
      <c r="BL775" s="67">
        <f>IFERROR(100*AK775/(((((F775*60+G775)/(12000/5))*SUMIFS(팀공격력!P:P,팀공격력!A:A,B775,팀공격력!B:B,D775))-K775)),"")</f>
        <v>3.0407459963511045</v>
      </c>
      <c r="BM775" s="67">
        <f>IFERROR(100*((AM775/E775*(2400))/((F775*60+G775)*SUMIFS(팀공격력!AR:AR,팀공격력!A:A,B775,팀공격력!B:B,D775))),"")</f>
        <v>0</v>
      </c>
      <c r="BN775" s="67">
        <f>IFERROR((AO775*40)/(((F775*60+G775)/60)*(SUMIFS(팀수비력!Q:Q,팀수비력!A:A,B775,팀수비력!B:B,D775)-SUMIFS(팀수비력!N:N,팀수비력!A:A,B775,팀수비력!B:B,D775)))*100,"")</f>
        <v>0</v>
      </c>
      <c r="BO775" s="67">
        <f t="shared" si="399"/>
        <v>16.666666666666668</v>
      </c>
      <c r="BT775" t="s">
        <v>89</v>
      </c>
      <c r="BV775" t="s">
        <v>90</v>
      </c>
      <c r="CF775">
        <v>1</v>
      </c>
      <c r="CG775">
        <v>1</v>
      </c>
    </row>
    <row r="776" spans="1:85" x14ac:dyDescent="0.4">
      <c r="A776" s="11" t="s">
        <v>85</v>
      </c>
      <c r="B776" t="s">
        <v>245</v>
      </c>
      <c r="C776" t="s">
        <v>253</v>
      </c>
      <c r="D776" s="46" t="s">
        <v>311</v>
      </c>
      <c r="E776">
        <v>9</v>
      </c>
      <c r="F776">
        <v>21</v>
      </c>
      <c r="G776" s="1">
        <v>30</v>
      </c>
      <c r="H776" s="16">
        <f t="shared" si="374"/>
        <v>11610</v>
      </c>
      <c r="I776">
        <v>91</v>
      </c>
      <c r="J776" s="17">
        <f t="shared" si="375"/>
        <v>10.111111111111111</v>
      </c>
      <c r="K776">
        <v>34</v>
      </c>
      <c r="L776">
        <v>76</v>
      </c>
      <c r="M776" s="17">
        <f t="shared" si="376"/>
        <v>3.7777777777777777</v>
      </c>
      <c r="N776" s="17">
        <f t="shared" si="377"/>
        <v>8.4444444444444446</v>
      </c>
      <c r="O776" s="18">
        <f t="shared" si="378"/>
        <v>0.44736842105263158</v>
      </c>
      <c r="P776">
        <v>23</v>
      </c>
      <c r="Q776">
        <v>38</v>
      </c>
      <c r="R776" s="17">
        <f t="shared" si="379"/>
        <v>2.5555555555555554</v>
      </c>
      <c r="S776" s="17">
        <f t="shared" si="380"/>
        <v>4.2222222222222223</v>
      </c>
      <c r="T776" s="18">
        <f t="shared" si="381"/>
        <v>0.60526315789473684</v>
      </c>
      <c r="U776">
        <v>11</v>
      </c>
      <c r="V776">
        <v>38</v>
      </c>
      <c r="W776" s="17">
        <f t="shared" si="382"/>
        <v>1.2222222222222223</v>
      </c>
      <c r="X776" s="17">
        <f t="shared" si="383"/>
        <v>4.2222222222222223</v>
      </c>
      <c r="Y776" s="18">
        <f t="shared" si="384"/>
        <v>0.28947368421052633</v>
      </c>
      <c r="Z776">
        <v>12</v>
      </c>
      <c r="AA776">
        <v>17</v>
      </c>
      <c r="AB776" s="17">
        <f t="shared" si="385"/>
        <v>1.3333333333333333</v>
      </c>
      <c r="AC776" s="17">
        <f t="shared" si="386"/>
        <v>1.8888888888888888</v>
      </c>
      <c r="AD776" s="18">
        <f t="shared" si="387"/>
        <v>0.70588235294117652</v>
      </c>
      <c r="AE776">
        <v>17</v>
      </c>
      <c r="AF776" s="17">
        <f t="shared" si="388"/>
        <v>1.8888888888888888</v>
      </c>
      <c r="AG776">
        <v>5</v>
      </c>
      <c r="AH776" s="17">
        <f t="shared" si="389"/>
        <v>0.55555555555555558</v>
      </c>
      <c r="AI776">
        <v>12</v>
      </c>
      <c r="AJ776" s="17">
        <f t="shared" si="390"/>
        <v>1.3333333333333333</v>
      </c>
      <c r="AK776">
        <v>39</v>
      </c>
      <c r="AL776" s="17">
        <f t="shared" si="391"/>
        <v>4.333333333333333</v>
      </c>
      <c r="AM776">
        <v>4</v>
      </c>
      <c r="AN776" s="17">
        <f t="shared" si="392"/>
        <v>0.44444444444444442</v>
      </c>
      <c r="AO776">
        <v>1</v>
      </c>
      <c r="AQ776">
        <v>18</v>
      </c>
      <c r="AR776" s="17">
        <f t="shared" si="393"/>
        <v>2</v>
      </c>
      <c r="AS776">
        <v>18</v>
      </c>
      <c r="AT776" s="17">
        <f t="shared" si="394"/>
        <v>2</v>
      </c>
      <c r="BD776" s="65">
        <f t="shared" si="395"/>
        <v>54.504072831815996</v>
      </c>
      <c r="BE776" s="65">
        <f t="shared" si="396"/>
        <v>51.973684210526315</v>
      </c>
      <c r="BF776" s="66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22.355894472599818</v>
      </c>
      <c r="BG776" s="38">
        <f t="shared" si="397"/>
        <v>0.5</v>
      </c>
      <c r="BH776" s="38">
        <f t="shared" si="398"/>
        <v>0.22368421052631579</v>
      </c>
      <c r="BI776" s="67">
        <f>IFERROR(((AG776*(12000/5))/((F776*60+G776)*(SUMIFS(팀공격력!X:X,팀공격력!A:A,B776,팀공격력!B:B,D776)+SUMIFS(팀수비력!X:X,팀수비력!A:A,B776,팀수비력!B:B,D776))))*100,"")</f>
        <v>1.4355440712029859</v>
      </c>
      <c r="BJ776" s="67">
        <f>IFERROR(((AI776*(12000/5))/((F776*60+G776)*(SUMIFS(팀공격력!V:V,팀공격력!A:A,B776,팀공격력!B:B,D776)+SUMIFS(팀수비력!W:W,팀수비력!A:A,B776,팀수비력!B:B,D776))))*100,"")</f>
        <v>6.806579693703914</v>
      </c>
      <c r="BK776" s="67">
        <f>IFERROR(((AE776*(12000/5))/((F776*60+G776)*(SUMIFS(팀공격력!X:X,팀공격력!A:A,B776,팀공격력!B:B,D776)+SUMIFS(팀수비력!X:X,팀수비력!A:A,B776,팀수비력!B:B,D776))))*100,"")</f>
        <v>4.8808498420901518</v>
      </c>
      <c r="BL776" s="67">
        <f>IFERROR(100*AK776/(((((F776*60+G776)/(12000/5))*SUMIFS(팀공격력!P:P,팀공격력!A:A,B776,팀공격력!B:B,D776))-K776)),"")</f>
        <v>29.052984449203841</v>
      </c>
      <c r="BM776" s="67">
        <f>IFERROR(100*((AM776/E776*(2400))/((F776*60+G776)*SUMIFS(팀공격력!AR:AR,팀공격력!A:A,B776,팀공격력!B:B,D776))),"")</f>
        <v>1.168798869231213</v>
      </c>
      <c r="BN776" s="67">
        <f>IFERROR((AO776*40)/(((F776*60+G776)/60)*(SUMIFS(팀수비력!Q:Q,팀수비력!A:A,B776,팀수비력!B:B,D776)-SUMIFS(팀수비력!N:N,팀수비력!A:A,B776,팀수비력!B:B,D776)))*100,"")</f>
        <v>0.50556117290192115</v>
      </c>
      <c r="BO776" s="67">
        <f t="shared" si="399"/>
        <v>17.737485218762316</v>
      </c>
      <c r="BT776" t="s">
        <v>113</v>
      </c>
      <c r="BV776" t="s">
        <v>90</v>
      </c>
      <c r="CF776">
        <v>6</v>
      </c>
      <c r="CG776">
        <v>3</v>
      </c>
    </row>
    <row r="777" spans="1:85" x14ac:dyDescent="0.4">
      <c r="A777" s="11" t="s">
        <v>85</v>
      </c>
      <c r="B777" t="s">
        <v>245</v>
      </c>
      <c r="C777" t="s">
        <v>254</v>
      </c>
      <c r="D777" s="46" t="s">
        <v>311</v>
      </c>
      <c r="E777">
        <v>9</v>
      </c>
      <c r="F777">
        <v>19</v>
      </c>
      <c r="G777" s="1">
        <v>48</v>
      </c>
      <c r="H777" s="16">
        <f t="shared" si="374"/>
        <v>10692</v>
      </c>
      <c r="I777">
        <v>58</v>
      </c>
      <c r="J777" s="17">
        <f t="shared" si="375"/>
        <v>6.4444444444444446</v>
      </c>
      <c r="K777">
        <v>20</v>
      </c>
      <c r="L777">
        <v>50</v>
      </c>
      <c r="M777" s="17">
        <f t="shared" si="376"/>
        <v>2.2222222222222223</v>
      </c>
      <c r="N777" s="17">
        <f t="shared" si="377"/>
        <v>5.5555555555555554</v>
      </c>
      <c r="O777" s="18">
        <f t="shared" si="378"/>
        <v>0.4</v>
      </c>
      <c r="P777">
        <v>10</v>
      </c>
      <c r="Q777">
        <v>24</v>
      </c>
      <c r="R777" s="17">
        <f t="shared" si="379"/>
        <v>1.1111111111111112</v>
      </c>
      <c r="S777" s="17">
        <f t="shared" si="380"/>
        <v>2.6666666666666665</v>
      </c>
      <c r="T777" s="18">
        <f t="shared" si="381"/>
        <v>0.41666666666666669</v>
      </c>
      <c r="U777">
        <v>10</v>
      </c>
      <c r="V777">
        <v>26</v>
      </c>
      <c r="W777" s="17">
        <f t="shared" si="382"/>
        <v>1.1111111111111112</v>
      </c>
      <c r="X777" s="17">
        <f t="shared" si="383"/>
        <v>2.8888888888888888</v>
      </c>
      <c r="Y777" s="18">
        <f t="shared" si="384"/>
        <v>0.38461538461538464</v>
      </c>
      <c r="Z777">
        <v>8</v>
      </c>
      <c r="AA777">
        <v>11</v>
      </c>
      <c r="AB777" s="17">
        <f t="shared" si="385"/>
        <v>0.88888888888888884</v>
      </c>
      <c r="AC777" s="17">
        <f t="shared" si="386"/>
        <v>1.2222222222222223</v>
      </c>
      <c r="AD777" s="18">
        <f t="shared" si="387"/>
        <v>0.72727272727272729</v>
      </c>
      <c r="AE777">
        <v>20</v>
      </c>
      <c r="AF777" s="17">
        <f t="shared" si="388"/>
        <v>2.2222222222222223</v>
      </c>
      <c r="AG777">
        <v>8</v>
      </c>
      <c r="AH777" s="17">
        <f t="shared" si="389"/>
        <v>0.88888888888888884</v>
      </c>
      <c r="AI777">
        <v>12</v>
      </c>
      <c r="AJ777" s="17">
        <f t="shared" si="390"/>
        <v>1.3333333333333333</v>
      </c>
      <c r="AK777">
        <v>28</v>
      </c>
      <c r="AL777" s="17">
        <f t="shared" si="391"/>
        <v>3.1111111111111112</v>
      </c>
      <c r="AM777">
        <v>5</v>
      </c>
      <c r="AN777" s="17">
        <f t="shared" si="392"/>
        <v>0.55555555555555558</v>
      </c>
      <c r="AO777">
        <v>0</v>
      </c>
      <c r="AQ777">
        <v>12</v>
      </c>
      <c r="AR777" s="17">
        <f t="shared" si="393"/>
        <v>1.3333333333333333</v>
      </c>
      <c r="AS777">
        <v>14</v>
      </c>
      <c r="AT777" s="17">
        <f t="shared" si="394"/>
        <v>1.5555555555555556</v>
      </c>
      <c r="BD777" s="65">
        <f t="shared" si="395"/>
        <v>52.881108679795766</v>
      </c>
      <c r="BE777" s="65">
        <f t="shared" si="396"/>
        <v>50</v>
      </c>
      <c r="BF777" s="66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15.989000027270286</v>
      </c>
      <c r="BG777" s="38">
        <f t="shared" si="397"/>
        <v>0.52</v>
      </c>
      <c r="BH777" s="38">
        <f t="shared" si="398"/>
        <v>0.22</v>
      </c>
      <c r="BI777" s="67">
        <f>IFERROR(((AG777*(12000/5))/((F777*60+G777)*(SUMIFS(팀공격력!X:X,팀공격력!A:A,B777,팀공격력!B:B,D777)+SUMIFS(팀수비력!X:X,팀수비력!A:A,B777,팀수비력!B:B,D777))))*100,"")</f>
        <v>2.4940765681506423</v>
      </c>
      <c r="BJ777" s="67">
        <f>IFERROR(((AI777*(12000/5))/((F777*60+G777)*(SUMIFS(팀공격력!V:V,팀공격력!A:A,B777,팀공격력!B:B,D777)+SUMIFS(팀수비력!W:W,팀수비력!A:A,B777,팀수비력!B:B,D777))))*100,"")</f>
        <v>7.3909830007390989</v>
      </c>
      <c r="BK777" s="67">
        <f>IFERROR(((AE777*(12000/5))/((F777*60+G777)*(SUMIFS(팀공격력!X:X,팀공격력!A:A,B777,팀공격력!B:B,D777)+SUMIFS(팀수비력!X:X,팀수비력!A:A,B777,팀수비력!B:B,D777))))*100,"")</f>
        <v>6.235191420376605</v>
      </c>
      <c r="BL777" s="67">
        <f>IFERROR(100*AK777/(((((F777*60+G777)/(12000/5))*SUMIFS(팀공격력!P:P,팀공격력!A:A,B777,팀공격력!B:B,D777))-K777)),"")</f>
        <v>20.750731833845926</v>
      </c>
      <c r="BM777" s="67">
        <f>IFERROR(100*((AM777/E777*(2400))/((F777*60+G777)*SUMIFS(팀공격력!AR:AR,팀공격력!A:A,B777,팀공격력!B:B,D777))),"")</f>
        <v>1.5864378591206496</v>
      </c>
      <c r="BN777" s="67">
        <f>IFERROR((AO777*40)/(((F777*60+G777)/60)*(SUMIFS(팀수비력!Q:Q,팀수비력!A:A,B777,팀수비력!B:B,D777)-SUMIFS(팀수비력!N:N,팀수비력!A:A,B777,팀수비력!B:B,D777)))*100,"")</f>
        <v>0</v>
      </c>
      <c r="BO777" s="67">
        <f t="shared" si="399"/>
        <v>17.953321364452425</v>
      </c>
      <c r="BT777" t="s">
        <v>89</v>
      </c>
      <c r="BV777" t="s">
        <v>90</v>
      </c>
      <c r="CF777">
        <v>6</v>
      </c>
      <c r="CG777">
        <v>3</v>
      </c>
    </row>
    <row r="778" spans="1:85" x14ac:dyDescent="0.4">
      <c r="A778" s="11" t="s">
        <v>85</v>
      </c>
      <c r="B778" t="s">
        <v>245</v>
      </c>
      <c r="C778" t="s">
        <v>257</v>
      </c>
      <c r="D778" s="46" t="s">
        <v>311</v>
      </c>
      <c r="E778">
        <v>1</v>
      </c>
      <c r="F778">
        <v>6</v>
      </c>
      <c r="G778" s="1">
        <v>27</v>
      </c>
      <c r="H778" s="16">
        <f t="shared" si="374"/>
        <v>387</v>
      </c>
      <c r="I778">
        <v>0</v>
      </c>
      <c r="J778" s="17">
        <f t="shared" si="375"/>
        <v>0</v>
      </c>
      <c r="K778">
        <v>0</v>
      </c>
      <c r="L778">
        <v>1</v>
      </c>
      <c r="M778" s="17">
        <f t="shared" si="376"/>
        <v>0</v>
      </c>
      <c r="N778" s="17">
        <f t="shared" si="377"/>
        <v>1</v>
      </c>
      <c r="O778" s="18">
        <f t="shared" si="378"/>
        <v>0</v>
      </c>
      <c r="P778">
        <v>0</v>
      </c>
      <c r="Q778">
        <v>1</v>
      </c>
      <c r="R778" s="17">
        <f t="shared" si="379"/>
        <v>0</v>
      </c>
      <c r="S778" s="17">
        <f t="shared" si="380"/>
        <v>1</v>
      </c>
      <c r="T778" s="18">
        <f t="shared" si="381"/>
        <v>0</v>
      </c>
      <c r="U778">
        <v>0</v>
      </c>
      <c r="V778">
        <v>0</v>
      </c>
      <c r="W778" s="17">
        <f t="shared" si="382"/>
        <v>0</v>
      </c>
      <c r="X778" s="17">
        <f t="shared" si="383"/>
        <v>0</v>
      </c>
      <c r="Y778" s="18" t="e">
        <f t="shared" si="384"/>
        <v>#DIV/0!</v>
      </c>
      <c r="Z778">
        <v>0</v>
      </c>
      <c r="AA778">
        <v>0</v>
      </c>
      <c r="AB778" s="17">
        <f t="shared" si="385"/>
        <v>0</v>
      </c>
      <c r="AC778" s="17">
        <f t="shared" si="386"/>
        <v>0</v>
      </c>
      <c r="AD778" s="18" t="e">
        <f t="shared" si="387"/>
        <v>#DIV/0!</v>
      </c>
      <c r="AE778">
        <v>0</v>
      </c>
      <c r="AF778" s="17">
        <f t="shared" si="388"/>
        <v>0</v>
      </c>
      <c r="AG778">
        <v>0</v>
      </c>
      <c r="AH778" s="17">
        <f t="shared" si="389"/>
        <v>0</v>
      </c>
      <c r="AI778">
        <v>0</v>
      </c>
      <c r="AJ778" s="17">
        <f t="shared" si="390"/>
        <v>0</v>
      </c>
      <c r="AK778">
        <v>1</v>
      </c>
      <c r="AL778" s="17">
        <f t="shared" si="391"/>
        <v>1</v>
      </c>
      <c r="AM778">
        <v>0</v>
      </c>
      <c r="AN778" s="17">
        <f t="shared" si="392"/>
        <v>0</v>
      </c>
      <c r="AO778">
        <v>0</v>
      </c>
      <c r="AQ778">
        <v>0</v>
      </c>
      <c r="AR778" s="17">
        <f t="shared" si="393"/>
        <v>0</v>
      </c>
      <c r="AS778">
        <v>0</v>
      </c>
      <c r="AT778" s="17">
        <f t="shared" si="394"/>
        <v>0</v>
      </c>
      <c r="BD778" s="65">
        <f t="shared" si="395"/>
        <v>0</v>
      </c>
      <c r="BE778" s="65">
        <f t="shared" si="396"/>
        <v>0</v>
      </c>
      <c r="BF778" s="66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0.73432842177768431</v>
      </c>
      <c r="BG778" s="38">
        <f t="shared" si="397"/>
        <v>0</v>
      </c>
      <c r="BH778" s="38">
        <f t="shared" si="398"/>
        <v>0</v>
      </c>
      <c r="BI778" s="67">
        <f>IFERROR(((AG778*(12000/5))/((F778*60+G778)*(SUMIFS(팀공격력!X:X,팀공격력!A:A,B778,팀공격력!B:B,D778)+SUMIFS(팀수비력!X:X,팀수비력!A:A,B778,팀수비력!B:B,D778))))*100,"")</f>
        <v>0</v>
      </c>
      <c r="BJ778" s="67">
        <f>IFERROR(((AI778*(12000/5))/((F778*60+G778)*(SUMIFS(팀공격력!V:V,팀공격력!A:A,B778,팀공격력!B:B,D778)+SUMIFS(팀수비력!W:W,팀수비력!A:A,B778,팀수비력!B:B,D778))))*100,"")</f>
        <v>0</v>
      </c>
      <c r="BK778" s="67">
        <f>IFERROR(((AE778*(12000/5))/((F778*60+G778)*(SUMIFS(팀공격력!X:X,팀공격력!A:A,B778,팀공격력!B:B,D778)+SUMIFS(팀수비력!X:X,팀수비력!A:A,B778,팀수비력!B:B,D778))))*100,"")</f>
        <v>0</v>
      </c>
      <c r="BL778" s="67">
        <f>IFERROR(100*AK778/(((((F778*60+G778)/(12000/5))*SUMIFS(팀공격력!P:P,팀공격력!A:A,B778,팀공격력!B:B,D778))-K778)),"")</f>
        <v>1.9813260024271242</v>
      </c>
      <c r="BM778" s="67">
        <f>IFERROR(100*((AM778/E778*(2400))/((F778*60+G778)*SUMIFS(팀공격력!AR:AR,팀공격력!A:A,B778,팀공격력!B:B,D778))),"")</f>
        <v>0</v>
      </c>
      <c r="BN778" s="67">
        <f>IFERROR((AO778*40)/(((F778*60+G778)/60)*(SUMIFS(팀수비력!Q:Q,팀수비력!A:A,B778,팀수비력!B:B,D778)-SUMIFS(팀수비력!N:N,팀수비력!A:A,B778,팀수비력!B:B,D778)))*100,"")</f>
        <v>0</v>
      </c>
      <c r="BO778" s="67">
        <f t="shared" si="399"/>
        <v>0</v>
      </c>
      <c r="BT778" t="s">
        <v>89</v>
      </c>
      <c r="BV778" t="s">
        <v>93</v>
      </c>
      <c r="CF778">
        <v>1</v>
      </c>
      <c r="CG778">
        <v>0</v>
      </c>
    </row>
    <row r="779" spans="1:85" x14ac:dyDescent="0.4">
      <c r="A779" s="11" t="s">
        <v>85</v>
      </c>
      <c r="B779" t="s">
        <v>245</v>
      </c>
      <c r="C779" t="s">
        <v>258</v>
      </c>
      <c r="D779" s="46" t="s">
        <v>311</v>
      </c>
      <c r="E779">
        <v>9</v>
      </c>
      <c r="F779">
        <v>25</v>
      </c>
      <c r="G779" s="1">
        <v>37</v>
      </c>
      <c r="H779" s="16">
        <f t="shared" si="374"/>
        <v>13833</v>
      </c>
      <c r="I779">
        <v>91</v>
      </c>
      <c r="J779" s="17">
        <f t="shared" si="375"/>
        <v>10.111111111111111</v>
      </c>
      <c r="K779">
        <v>39</v>
      </c>
      <c r="L779">
        <v>78</v>
      </c>
      <c r="M779" s="17">
        <f t="shared" si="376"/>
        <v>4.333333333333333</v>
      </c>
      <c r="N779" s="17">
        <f t="shared" si="377"/>
        <v>8.6666666666666661</v>
      </c>
      <c r="O779" s="18">
        <f t="shared" si="378"/>
        <v>0.5</v>
      </c>
      <c r="P779">
        <v>29</v>
      </c>
      <c r="Q779">
        <v>46</v>
      </c>
      <c r="R779" s="17">
        <f t="shared" si="379"/>
        <v>3.2222222222222223</v>
      </c>
      <c r="S779" s="17">
        <f t="shared" si="380"/>
        <v>5.1111111111111107</v>
      </c>
      <c r="T779" s="18">
        <f t="shared" si="381"/>
        <v>0.63043478260869568</v>
      </c>
      <c r="U779">
        <v>10</v>
      </c>
      <c r="V779">
        <v>32</v>
      </c>
      <c r="W779" s="17">
        <f t="shared" si="382"/>
        <v>1.1111111111111112</v>
      </c>
      <c r="X779" s="17">
        <f t="shared" si="383"/>
        <v>3.5555555555555554</v>
      </c>
      <c r="Y779" s="18">
        <f t="shared" si="384"/>
        <v>0.3125</v>
      </c>
      <c r="Z779">
        <v>3</v>
      </c>
      <c r="AA779">
        <v>6</v>
      </c>
      <c r="AB779" s="17">
        <f t="shared" si="385"/>
        <v>0.33333333333333331</v>
      </c>
      <c r="AC779" s="17">
        <f t="shared" si="386"/>
        <v>0.66666666666666663</v>
      </c>
      <c r="AD779" s="18">
        <f t="shared" si="387"/>
        <v>0.5</v>
      </c>
      <c r="AE779">
        <v>51</v>
      </c>
      <c r="AF779" s="17">
        <f t="shared" si="388"/>
        <v>5.666666666666667</v>
      </c>
      <c r="AG779">
        <v>9</v>
      </c>
      <c r="AH779" s="17">
        <f t="shared" si="389"/>
        <v>1</v>
      </c>
      <c r="AI779">
        <v>42</v>
      </c>
      <c r="AJ779" s="17">
        <f t="shared" si="390"/>
        <v>4.666666666666667</v>
      </c>
      <c r="AK779">
        <v>25</v>
      </c>
      <c r="AL779" s="17">
        <f t="shared" si="391"/>
        <v>2.7777777777777777</v>
      </c>
      <c r="AM779">
        <v>10</v>
      </c>
      <c r="AN779" s="17">
        <f t="shared" si="392"/>
        <v>1.1111111111111112</v>
      </c>
      <c r="AO779">
        <v>4</v>
      </c>
      <c r="AQ779">
        <v>8</v>
      </c>
      <c r="AR779" s="17">
        <f t="shared" si="393"/>
        <v>0.88888888888888884</v>
      </c>
      <c r="AS779">
        <v>12</v>
      </c>
      <c r="AT779" s="17">
        <f t="shared" si="394"/>
        <v>1.3333333333333333</v>
      </c>
      <c r="BD779" s="65">
        <f t="shared" si="395"/>
        <v>56.423611111111114</v>
      </c>
      <c r="BE779" s="65">
        <f t="shared" si="396"/>
        <v>56.410256410256409</v>
      </c>
      <c r="BF779" s="66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16.389178396595128</v>
      </c>
      <c r="BG779" s="38">
        <f t="shared" si="397"/>
        <v>0.41025641025641024</v>
      </c>
      <c r="BH779" s="38">
        <f t="shared" si="398"/>
        <v>7.6923076923076927E-2</v>
      </c>
      <c r="BI779" s="67">
        <f>IFERROR(((AG779*(12000/5))/((F779*60+G779)*(SUMIFS(팀공격력!X:X,팀공격력!A:A,B779,팀공격력!B:B,D779)+SUMIFS(팀수비력!X:X,팀수비력!A:A,B779,팀수비력!B:B,D779))))*100,"")</f>
        <v>2.1687269572760788</v>
      </c>
      <c r="BJ779" s="67">
        <f>IFERROR(((AI779*(12000/5))/((F779*60+G779)*(SUMIFS(팀공격력!V:V,팀공격력!A:A,B779,팀공격력!B:B,D779)+SUMIFS(팀수비력!W:W,팀수비력!A:A,B779,팀수비력!B:B,D779))))*100,"")</f>
        <v>19.994604630496532</v>
      </c>
      <c r="BK779" s="67">
        <f>IFERROR(((AE779*(12000/5))/((F779*60+G779)*(SUMIFS(팀공격력!X:X,팀공격력!A:A,B779,팀공격력!B:B,D779)+SUMIFS(팀수비력!X:X,팀수비력!A:A,B779,팀수비력!B:B,D779))))*100,"")</f>
        <v>12.289452757897781</v>
      </c>
      <c r="BL779" s="67">
        <f>IFERROR(100*AK779/(((((F779*60+G779)/(12000/5))*SUMIFS(팀공격력!P:P,팀공격력!A:A,B779,팀공격력!B:B,D779))-K779)),"")</f>
        <v>15.484630214126629</v>
      </c>
      <c r="BM779" s="67">
        <f>IFERROR(100*((AM779/E779*(2400))/((F779*60+G779)*SUMIFS(팀공격력!AR:AR,팀공격력!A:A,B779,팀공격력!B:B,D779))),"")</f>
        <v>2.4524244328371263</v>
      </c>
      <c r="BN779" s="67">
        <f>IFERROR((AO779*40)/(((F779*60+G779)/60)*(SUMIFS(팀수비력!Q:Q,팀수비력!A:A,B779,팀수비력!B:B,D779)-SUMIFS(팀수비력!N:N,팀수비력!A:A,B779,팀수비력!B:B,D779)))*100,"")</f>
        <v>1.6972645752595397</v>
      </c>
      <c r="BO779" s="67">
        <f t="shared" si="399"/>
        <v>9.025270758122744</v>
      </c>
      <c r="BT779" t="s">
        <v>89</v>
      </c>
      <c r="BV779" t="s">
        <v>93</v>
      </c>
      <c r="CF779">
        <v>6</v>
      </c>
      <c r="CG779">
        <v>3</v>
      </c>
    </row>
    <row r="780" spans="1:85" x14ac:dyDescent="0.4">
      <c r="A780" s="11" t="s">
        <v>85</v>
      </c>
      <c r="B780" t="s">
        <v>245</v>
      </c>
      <c r="C780" t="s">
        <v>259</v>
      </c>
      <c r="D780" s="46" t="s">
        <v>311</v>
      </c>
      <c r="E780">
        <v>9</v>
      </c>
      <c r="F780">
        <v>18</v>
      </c>
      <c r="G780" s="1">
        <v>33</v>
      </c>
      <c r="H780" s="16">
        <f t="shared" si="374"/>
        <v>10017</v>
      </c>
      <c r="I780">
        <v>70</v>
      </c>
      <c r="J780" s="17">
        <f t="shared" si="375"/>
        <v>7.7777777777777777</v>
      </c>
      <c r="K780">
        <v>26</v>
      </c>
      <c r="L780">
        <v>52</v>
      </c>
      <c r="M780" s="17">
        <f t="shared" si="376"/>
        <v>2.8888888888888888</v>
      </c>
      <c r="N780" s="17">
        <f t="shared" si="377"/>
        <v>5.7777777777777777</v>
      </c>
      <c r="O780" s="18">
        <f t="shared" si="378"/>
        <v>0.5</v>
      </c>
      <c r="P780">
        <v>26</v>
      </c>
      <c r="Q780">
        <v>52</v>
      </c>
      <c r="R780" s="17">
        <f t="shared" si="379"/>
        <v>2.8888888888888888</v>
      </c>
      <c r="S780" s="17">
        <f t="shared" si="380"/>
        <v>5.7777777777777777</v>
      </c>
      <c r="T780" s="18">
        <f t="shared" si="381"/>
        <v>0.5</v>
      </c>
      <c r="U780">
        <v>0</v>
      </c>
      <c r="V780">
        <v>0</v>
      </c>
      <c r="W780" s="17">
        <f t="shared" si="382"/>
        <v>0</v>
      </c>
      <c r="X780" s="17">
        <f t="shared" si="383"/>
        <v>0</v>
      </c>
      <c r="Y780" s="18" t="e">
        <f t="shared" si="384"/>
        <v>#DIV/0!</v>
      </c>
      <c r="Z780">
        <v>18</v>
      </c>
      <c r="AA780">
        <v>28</v>
      </c>
      <c r="AB780" s="17">
        <f t="shared" si="385"/>
        <v>2</v>
      </c>
      <c r="AC780" s="17">
        <f t="shared" si="386"/>
        <v>3.1111111111111112</v>
      </c>
      <c r="AD780" s="18">
        <f t="shared" si="387"/>
        <v>0.6428571428571429</v>
      </c>
      <c r="AE780">
        <v>35</v>
      </c>
      <c r="AF780" s="17">
        <f t="shared" si="388"/>
        <v>3.8888888888888888</v>
      </c>
      <c r="AG780">
        <v>18</v>
      </c>
      <c r="AH780" s="17">
        <f t="shared" si="389"/>
        <v>2</v>
      </c>
      <c r="AI780">
        <v>17</v>
      </c>
      <c r="AJ780" s="17">
        <f t="shared" si="390"/>
        <v>1.8888888888888888</v>
      </c>
      <c r="AK780">
        <v>16</v>
      </c>
      <c r="AL780" s="17">
        <f t="shared" si="391"/>
        <v>1.7777777777777777</v>
      </c>
      <c r="AM780">
        <v>11</v>
      </c>
      <c r="AN780" s="17">
        <f t="shared" si="392"/>
        <v>1.2222222222222223</v>
      </c>
      <c r="AO780">
        <v>3</v>
      </c>
      <c r="AQ780">
        <v>7</v>
      </c>
      <c r="AR780" s="17">
        <f t="shared" si="393"/>
        <v>0.77777777777777779</v>
      </c>
      <c r="AS780">
        <v>23</v>
      </c>
      <c r="AT780" s="17">
        <f t="shared" si="394"/>
        <v>2.5555555555555554</v>
      </c>
      <c r="BD780" s="65">
        <f t="shared" si="395"/>
        <v>54.415422885572141</v>
      </c>
      <c r="BE780" s="65">
        <f t="shared" si="396"/>
        <v>50</v>
      </c>
      <c r="BF780" s="66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18.210315612702942</v>
      </c>
      <c r="BG780" s="38">
        <f t="shared" si="397"/>
        <v>0</v>
      </c>
      <c r="BH780" s="38">
        <f t="shared" si="398"/>
        <v>0.53846153846153844</v>
      </c>
      <c r="BI780" s="67">
        <f>IFERROR(((AG780*(12000/5))/((F780*60+G780)*(SUMIFS(팀공격력!X:X,팀공격력!A:A,B780,팀공격력!B:B,D780)+SUMIFS(팀수비력!X:X,팀수비력!A:A,B780,팀수비력!B:B,D780))))*100,"")</f>
        <v>5.989817310572028</v>
      </c>
      <c r="BJ780" s="67">
        <f>IFERROR(((AI780*(12000/5))/((F780*60+G780)*(SUMIFS(팀공격력!V:V,팀공격력!A:A,B780,팀공격력!B:B,D780)+SUMIFS(팀수비력!W:W,팀수비력!A:A,B780,팀수비력!B:B,D780))))*100,"")</f>
        <v>11.176122542896588</v>
      </c>
      <c r="BK780" s="67">
        <f>IFERROR(((AE780*(12000/5))/((F780*60+G780)*(SUMIFS(팀공격력!X:X,팀공격력!A:A,B780,팀공격력!B:B,D780)+SUMIFS(팀수비력!X:X,팀수비력!A:A,B780,팀수비력!B:B,D780))))*100,"")</f>
        <v>11.646866992778943</v>
      </c>
      <c r="BL780" s="67">
        <f>IFERROR(100*AK780/(((((F780*60+G780)/(12000/5))*SUMIFS(팀공격력!P:P,팀공격력!A:A,B780,팀공격력!B:B,D780))-K780)),"")</f>
        <v>13.428028912224752</v>
      </c>
      <c r="BM780" s="67">
        <f>IFERROR(100*((AM780/E780*(2400))/((F780*60+G780)*SUMIFS(팀공격력!AR:AR,팀공격력!A:A,B780,팀공격력!B:B,D780))),"")</f>
        <v>3.7253494955954447</v>
      </c>
      <c r="BN780" s="67">
        <f>IFERROR((AO780*40)/(((F780*60+G780)/60)*(SUMIFS(팀수비력!Q:Q,팀수비력!A:A,B780,팀수비력!B:B,D780)-SUMIFS(팀수비력!N:N,팀수비력!A:A,B780,팀수비력!B:B,D780)))*100,"")</f>
        <v>1.7578811672330947</v>
      </c>
      <c r="BO780" s="67">
        <f t="shared" si="399"/>
        <v>9.8149186763881104</v>
      </c>
      <c r="BT780" t="s">
        <v>89</v>
      </c>
      <c r="BV780" t="s">
        <v>102</v>
      </c>
      <c r="CF780">
        <v>6</v>
      </c>
      <c r="CG780">
        <v>3</v>
      </c>
    </row>
    <row r="781" spans="1:85" x14ac:dyDescent="0.4">
      <c r="A781" s="11" t="s">
        <v>85</v>
      </c>
      <c r="B781" t="s">
        <v>245</v>
      </c>
      <c r="C781" t="s">
        <v>260</v>
      </c>
      <c r="D781" s="46" t="s">
        <v>311</v>
      </c>
      <c r="E781">
        <v>8</v>
      </c>
      <c r="F781">
        <v>15</v>
      </c>
      <c r="G781" s="1">
        <v>45</v>
      </c>
      <c r="H781" s="16">
        <f t="shared" si="374"/>
        <v>7560</v>
      </c>
      <c r="I781">
        <v>50</v>
      </c>
      <c r="J781" s="17">
        <f t="shared" si="375"/>
        <v>6.25</v>
      </c>
      <c r="K781">
        <v>20</v>
      </c>
      <c r="L781">
        <v>43</v>
      </c>
      <c r="M781" s="17">
        <f t="shared" si="376"/>
        <v>2.5</v>
      </c>
      <c r="N781" s="17">
        <f t="shared" si="377"/>
        <v>5.375</v>
      </c>
      <c r="O781" s="18">
        <f t="shared" si="378"/>
        <v>0.46511627906976744</v>
      </c>
      <c r="P781">
        <v>11</v>
      </c>
      <c r="Q781">
        <v>22</v>
      </c>
      <c r="R781" s="17">
        <f t="shared" si="379"/>
        <v>1.375</v>
      </c>
      <c r="S781" s="17">
        <f t="shared" si="380"/>
        <v>2.75</v>
      </c>
      <c r="T781" s="18">
        <f t="shared" si="381"/>
        <v>0.5</v>
      </c>
      <c r="U781">
        <v>9</v>
      </c>
      <c r="V781">
        <v>21</v>
      </c>
      <c r="W781" s="17">
        <f t="shared" si="382"/>
        <v>1.125</v>
      </c>
      <c r="X781" s="17">
        <f t="shared" si="383"/>
        <v>2.625</v>
      </c>
      <c r="Y781" s="18">
        <f t="shared" si="384"/>
        <v>0.42857142857142855</v>
      </c>
      <c r="Z781">
        <v>1</v>
      </c>
      <c r="AA781">
        <v>3</v>
      </c>
      <c r="AB781" s="17">
        <f t="shared" si="385"/>
        <v>0.125</v>
      </c>
      <c r="AC781" s="17">
        <f t="shared" si="386"/>
        <v>0.375</v>
      </c>
      <c r="AD781" s="18">
        <f t="shared" si="387"/>
        <v>0.33333333333333331</v>
      </c>
      <c r="AE781">
        <v>15</v>
      </c>
      <c r="AF781" s="17">
        <f t="shared" si="388"/>
        <v>1.875</v>
      </c>
      <c r="AG781">
        <v>8</v>
      </c>
      <c r="AH781" s="17">
        <f t="shared" si="389"/>
        <v>1</v>
      </c>
      <c r="AI781">
        <v>7</v>
      </c>
      <c r="AJ781" s="17">
        <f t="shared" si="390"/>
        <v>0.875</v>
      </c>
      <c r="AK781">
        <v>12</v>
      </c>
      <c r="AL781" s="17">
        <f t="shared" si="391"/>
        <v>1.5</v>
      </c>
      <c r="AM781">
        <v>9</v>
      </c>
      <c r="AN781" s="17">
        <f t="shared" si="392"/>
        <v>1.125</v>
      </c>
      <c r="AO781">
        <v>1</v>
      </c>
      <c r="AQ781">
        <v>4</v>
      </c>
      <c r="AR781" s="17">
        <f t="shared" si="393"/>
        <v>0.5</v>
      </c>
      <c r="AS781">
        <v>13</v>
      </c>
      <c r="AT781" s="17">
        <f t="shared" si="394"/>
        <v>1.625</v>
      </c>
      <c r="BD781" s="65">
        <f t="shared" si="395"/>
        <v>56.407942238267154</v>
      </c>
      <c r="BE781" s="65">
        <f t="shared" si="396"/>
        <v>56.97674418604651</v>
      </c>
      <c r="BF781" s="66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14.531030682217155</v>
      </c>
      <c r="BG781" s="38">
        <f t="shared" si="397"/>
        <v>0.48837209302325579</v>
      </c>
      <c r="BH781" s="38">
        <f t="shared" si="398"/>
        <v>6.9767441860465115E-2</v>
      </c>
      <c r="BI781" s="67">
        <f>IFERROR(((AG781*(12000/5))/((F781*60+G781)*(SUMIFS(팀공격력!X:X,팀공격력!A:A,B781,팀공격력!B:B,D781)+SUMIFS(팀수비력!X:X,팀수비력!A:A,B781,팀수비력!B:B,D781))))*100,"")</f>
        <v>3.13541054281795</v>
      </c>
      <c r="BJ781" s="67">
        <f>IFERROR(((AI781*(12000/5))/((F781*60+G781)*(SUMIFS(팀공격력!V:V,팀공격력!A:A,B781,팀공격력!B:B,D781)+SUMIFS(팀수비력!W:W,팀수비력!A:A,B781,팀수비력!B:B,D781))))*100,"")</f>
        <v>5.4200542005420056</v>
      </c>
      <c r="BK781" s="67">
        <f>IFERROR(((AE781*(12000/5))/((F781*60+G781)*(SUMIFS(팀공격력!X:X,팀공격력!A:A,B781,팀공격력!B:B,D781)+SUMIFS(팀수비력!X:X,팀수비력!A:A,B781,팀수비력!B:B,D781))))*100,"")</f>
        <v>5.8788947677836569</v>
      </c>
      <c r="BL781" s="67">
        <f>IFERROR(100*AK781/(((((F781*60+G781)/(12000/5))*SUMIFS(팀공격력!P:P,팀공격력!A:A,B781,팀공격력!B:B,D781))-K781)),"")</f>
        <v>11.62297959924935</v>
      </c>
      <c r="BM781" s="67">
        <f>IFERROR(100*((AM781/E781*(2400))/((F781*60+G781)*SUMIFS(팀공격력!AR:AR,팀공격력!A:A,B781,팀공격력!B:B,D781))),"")</f>
        <v>4.0386175213614246</v>
      </c>
      <c r="BN781" s="67">
        <f>IFERROR((AO781*40)/(((F781*60+G781)/60)*(SUMIFS(팀수비력!Q:Q,팀수비력!A:A,B781,팀수비력!B:B,D781)-SUMIFS(팀수비력!N:N,팀수비력!A:A,B781,팀수비력!B:B,D781)))*100,"")</f>
        <v>0.69013112491373363</v>
      </c>
      <c r="BO781" s="67">
        <f t="shared" si="399"/>
        <v>8.2781456953642376</v>
      </c>
      <c r="BT781" t="s">
        <v>89</v>
      </c>
      <c r="BV781" t="s">
        <v>93</v>
      </c>
      <c r="CF781">
        <v>6</v>
      </c>
      <c r="CG781">
        <v>2</v>
      </c>
    </row>
    <row r="782" spans="1:85" x14ac:dyDescent="0.4">
      <c r="A782" s="11" t="s">
        <v>85</v>
      </c>
      <c r="B782" t="s">
        <v>245</v>
      </c>
      <c r="C782" t="s">
        <v>261</v>
      </c>
      <c r="D782" s="46" t="s">
        <v>311</v>
      </c>
      <c r="E782">
        <v>9</v>
      </c>
      <c r="F782">
        <v>18</v>
      </c>
      <c r="G782" s="1">
        <v>45</v>
      </c>
      <c r="H782" s="16">
        <f t="shared" si="374"/>
        <v>10125</v>
      </c>
      <c r="I782">
        <v>120</v>
      </c>
      <c r="J782" s="17">
        <f t="shared" si="375"/>
        <v>13.333333333333334</v>
      </c>
      <c r="K782">
        <v>46</v>
      </c>
      <c r="L782">
        <v>88</v>
      </c>
      <c r="M782" s="17">
        <f t="shared" si="376"/>
        <v>5.1111111111111107</v>
      </c>
      <c r="N782" s="17">
        <f t="shared" si="377"/>
        <v>9.7777777777777786</v>
      </c>
      <c r="O782" s="18">
        <f t="shared" si="378"/>
        <v>0.52272727272727271</v>
      </c>
      <c r="P782">
        <v>37</v>
      </c>
      <c r="Q782">
        <v>62</v>
      </c>
      <c r="R782" s="17">
        <f t="shared" si="379"/>
        <v>4.1111111111111107</v>
      </c>
      <c r="S782" s="17">
        <f t="shared" si="380"/>
        <v>6.8888888888888893</v>
      </c>
      <c r="T782" s="18">
        <f t="shared" si="381"/>
        <v>0.59677419354838712</v>
      </c>
      <c r="U782">
        <v>9</v>
      </c>
      <c r="V782">
        <v>26</v>
      </c>
      <c r="W782" s="17">
        <f t="shared" si="382"/>
        <v>1</v>
      </c>
      <c r="X782" s="17">
        <f t="shared" si="383"/>
        <v>2.8888888888888888</v>
      </c>
      <c r="Y782" s="18">
        <f t="shared" si="384"/>
        <v>0.34615384615384615</v>
      </c>
      <c r="Z782">
        <v>19</v>
      </c>
      <c r="AA782">
        <v>26</v>
      </c>
      <c r="AB782" s="17">
        <f t="shared" si="385"/>
        <v>2.1111111111111112</v>
      </c>
      <c r="AC782" s="17">
        <f t="shared" si="386"/>
        <v>2.8888888888888888</v>
      </c>
      <c r="AD782" s="18">
        <f t="shared" si="387"/>
        <v>0.73076923076923073</v>
      </c>
      <c r="AE782">
        <v>67</v>
      </c>
      <c r="AF782" s="17">
        <f t="shared" si="388"/>
        <v>7.4444444444444446</v>
      </c>
      <c r="AG782">
        <v>23</v>
      </c>
      <c r="AH782" s="17">
        <f t="shared" si="389"/>
        <v>2.5555555555555554</v>
      </c>
      <c r="AI782">
        <v>44</v>
      </c>
      <c r="AJ782" s="17">
        <f t="shared" si="390"/>
        <v>4.8888888888888893</v>
      </c>
      <c r="AK782">
        <v>22</v>
      </c>
      <c r="AL782" s="17">
        <f t="shared" si="391"/>
        <v>2.4444444444444446</v>
      </c>
      <c r="AM782">
        <v>10</v>
      </c>
      <c r="AN782" s="17">
        <f t="shared" si="392"/>
        <v>1.1111111111111112</v>
      </c>
      <c r="AO782">
        <v>3</v>
      </c>
      <c r="AQ782">
        <v>15</v>
      </c>
      <c r="AR782" s="17">
        <f t="shared" si="393"/>
        <v>1.6666666666666667</v>
      </c>
      <c r="AS782">
        <v>19</v>
      </c>
      <c r="AT782" s="17">
        <f t="shared" si="394"/>
        <v>2.1111111111111112</v>
      </c>
      <c r="BD782" s="65">
        <f t="shared" si="395"/>
        <v>60.337892196299279</v>
      </c>
      <c r="BE782" s="65">
        <f t="shared" si="396"/>
        <v>57.386363636363633</v>
      </c>
      <c r="BF782" s="66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28.908571338353937</v>
      </c>
      <c r="BG782" s="38">
        <f t="shared" si="397"/>
        <v>0.29545454545454547</v>
      </c>
      <c r="BH782" s="38">
        <f t="shared" si="398"/>
        <v>0.29545454545454547</v>
      </c>
      <c r="BI782" s="67">
        <f>IFERROR(((AG782*(12000/5))/((F782*60+G782)*(SUMIFS(팀공격력!X:X,팀공격력!A:A,B782,팀공격력!B:B,D782)+SUMIFS(팀수비력!X:X,팀수비력!A:A,B782,팀수비력!B:B,D782))))*100,"")</f>
        <v>7.5720164609053491</v>
      </c>
      <c r="BJ782" s="67">
        <f>IFERROR(((AI782*(12000/5))/((F782*60+G782)*(SUMIFS(팀공격력!V:V,팀공격력!A:A,B782,팀공격력!B:B,D782)+SUMIFS(팀수비력!W:W,팀수비력!A:A,B782,팀수비력!B:B,D782))))*100,"")</f>
        <v>28.617886178861792</v>
      </c>
      <c r="BK782" s="67">
        <f>IFERROR(((AE782*(12000/5))/((F782*60+G782)*(SUMIFS(팀공격력!X:X,팀공격력!A:A,B782,팀공격력!B:B,D782)+SUMIFS(팀수비력!X:X,팀수비력!A:A,B782,팀수비력!B:B,D782))))*100,"")</f>
        <v>22.057613168724281</v>
      </c>
      <c r="BL782" s="67">
        <f>IFERROR(100*AK782/(((((F782*60+G782)/(12000/5))*SUMIFS(팀공격력!P:P,팀공격력!A:A,B782,팀공격력!B:B,D782))-K782)),"")</f>
        <v>21.843003412969285</v>
      </c>
      <c r="BM782" s="67">
        <f>IFERROR(100*((AM782/E782*(2400))/((F782*60+G782)*SUMIFS(팀공격력!AR:AR,팀공격력!A:A,B782,팀공격력!B:B,D782))),"")</f>
        <v>3.3505567584628122</v>
      </c>
      <c r="BN782" s="67">
        <f>IFERROR((AO782*40)/(((F782*60+G782)/60)*(SUMIFS(팀수비력!Q:Q,팀수비력!A:A,B782,팀수비력!B:B,D782)-SUMIFS(팀수비력!N:N,팀수비력!A:A,B782,팀수비력!B:B,D782)))*100,"")</f>
        <v>1.7391304347826086</v>
      </c>
      <c r="BO782" s="67">
        <f t="shared" si="399"/>
        <v>13.107305138063614</v>
      </c>
      <c r="BT782" t="s">
        <v>96</v>
      </c>
      <c r="BV782" t="s">
        <v>93</v>
      </c>
      <c r="CF782">
        <v>6</v>
      </c>
      <c r="CG782">
        <v>3</v>
      </c>
    </row>
    <row r="783" spans="1:85" x14ac:dyDescent="0.4">
      <c r="A783" s="11" t="s">
        <v>85</v>
      </c>
      <c r="B783" t="s">
        <v>245</v>
      </c>
      <c r="C783" t="s">
        <v>262</v>
      </c>
      <c r="D783" s="46" t="s">
        <v>311</v>
      </c>
      <c r="E783">
        <v>8</v>
      </c>
      <c r="F783">
        <v>15</v>
      </c>
      <c r="G783" s="1">
        <v>2</v>
      </c>
      <c r="H783" s="16">
        <f t="shared" si="374"/>
        <v>7216</v>
      </c>
      <c r="I783">
        <v>42</v>
      </c>
      <c r="J783" s="17">
        <f t="shared" si="375"/>
        <v>5.25</v>
      </c>
      <c r="K783">
        <v>13</v>
      </c>
      <c r="L783">
        <v>39</v>
      </c>
      <c r="M783" s="17">
        <f t="shared" si="376"/>
        <v>1.625</v>
      </c>
      <c r="N783" s="17">
        <f t="shared" si="377"/>
        <v>4.875</v>
      </c>
      <c r="O783" s="18">
        <f t="shared" si="378"/>
        <v>0.33333333333333331</v>
      </c>
      <c r="P783">
        <v>13</v>
      </c>
      <c r="Q783">
        <v>35</v>
      </c>
      <c r="R783" s="17">
        <f t="shared" si="379"/>
        <v>1.625</v>
      </c>
      <c r="S783" s="17">
        <f t="shared" si="380"/>
        <v>4.375</v>
      </c>
      <c r="T783" s="18">
        <f t="shared" si="381"/>
        <v>0.37142857142857144</v>
      </c>
      <c r="U783">
        <v>0</v>
      </c>
      <c r="V783">
        <v>4</v>
      </c>
      <c r="W783" s="17">
        <f t="shared" si="382"/>
        <v>0</v>
      </c>
      <c r="X783" s="17">
        <f t="shared" si="383"/>
        <v>0.5</v>
      </c>
      <c r="Y783" s="18">
        <f t="shared" si="384"/>
        <v>0</v>
      </c>
      <c r="Z783">
        <v>16</v>
      </c>
      <c r="AA783">
        <v>21</v>
      </c>
      <c r="AB783" s="17">
        <f t="shared" si="385"/>
        <v>2</v>
      </c>
      <c r="AC783" s="17">
        <f t="shared" si="386"/>
        <v>2.625</v>
      </c>
      <c r="AD783" s="18">
        <f t="shared" si="387"/>
        <v>0.76190476190476186</v>
      </c>
      <c r="AE783">
        <v>25</v>
      </c>
      <c r="AF783" s="17">
        <f t="shared" si="388"/>
        <v>3.125</v>
      </c>
      <c r="AG783">
        <v>15</v>
      </c>
      <c r="AH783" s="17">
        <f t="shared" si="389"/>
        <v>1.875</v>
      </c>
      <c r="AI783">
        <v>10</v>
      </c>
      <c r="AJ783" s="17">
        <f t="shared" si="390"/>
        <v>1.25</v>
      </c>
      <c r="AK783">
        <v>10</v>
      </c>
      <c r="AL783" s="17">
        <f t="shared" si="391"/>
        <v>1.25</v>
      </c>
      <c r="AM783">
        <v>3</v>
      </c>
      <c r="AN783" s="17">
        <f t="shared" si="392"/>
        <v>0.375</v>
      </c>
      <c r="AO783">
        <v>2</v>
      </c>
      <c r="AQ783">
        <v>2</v>
      </c>
      <c r="AR783" s="17">
        <f t="shared" si="393"/>
        <v>0.25</v>
      </c>
      <c r="AS783">
        <v>8</v>
      </c>
      <c r="AT783" s="17">
        <f t="shared" si="394"/>
        <v>1</v>
      </c>
      <c r="BD783" s="65">
        <f t="shared" si="395"/>
        <v>43.53233830845771</v>
      </c>
      <c r="BE783" s="65">
        <f t="shared" si="396"/>
        <v>33.333333333333329</v>
      </c>
      <c r="BF783" s="66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15.828668941477718</v>
      </c>
      <c r="BG783" s="38">
        <f t="shared" si="397"/>
        <v>0.10256410256410256</v>
      </c>
      <c r="BH783" s="38">
        <f t="shared" si="398"/>
        <v>0.53846153846153844</v>
      </c>
      <c r="BI783" s="67">
        <f>IFERROR(((AG783*(12000/5))/((F783*60+G783)*(SUMIFS(팀공격력!X:X,팀공격력!A:A,B783,팀공격력!B:B,D783)+SUMIFS(팀수비력!X:X,팀수비력!A:A,B783,팀수비력!B:B,D783))))*100,"")</f>
        <v>6.1591525006159147</v>
      </c>
      <c r="BJ783" s="67">
        <f>IFERROR(((AI783*(12000/5))/((F783*60+G783)*(SUMIFS(팀공격력!V:V,팀공격력!A:A,B783,팀공격력!B:B,D783)+SUMIFS(팀수비력!W:W,팀수비력!A:A,B783,팀수비력!B:B,D783))))*100,"")</f>
        <v>8.112054513006326</v>
      </c>
      <c r="BK783" s="67">
        <f>IFERROR(((AE783*(12000/5))/((F783*60+G783)*(SUMIFS(팀공격력!X:X,팀공격력!A:A,B783,팀공격력!B:B,D783)+SUMIFS(팀수비력!X:X,팀수비력!A:A,B783,팀수비력!B:B,D783))))*100,"")</f>
        <v>10.265254167693193</v>
      </c>
      <c r="BL783" s="67">
        <f>IFERROR(100*AK783/(((((F783*60+G783)/(12000/5))*SUMIFS(팀공격력!P:P,팀공격력!A:A,B783,팀공격력!B:B,D783))-K783)),"")</f>
        <v>9.5569554725516266</v>
      </c>
      <c r="BM783" s="67">
        <f>IFERROR(100*((AM783/E783*(2400))/((F783*60+G783)*SUMIFS(팀공격력!AR:AR,팀공격력!A:A,B783,팀공격력!B:B,D783))),"")</f>
        <v>1.4103819503645774</v>
      </c>
      <c r="BN783" s="67">
        <f>IFERROR((AO783*40)/(((F783*60+G783)/60)*(SUMIFS(팀수비력!Q:Q,팀수비력!A:A,B783,팀수비력!B:B,D783)-SUMIFS(팀수비력!N:N,팀수비력!A:A,B783,팀수비력!B:B,D783)))*100,"")</f>
        <v>1.446061891448954</v>
      </c>
      <c r="BO783" s="67">
        <f t="shared" si="399"/>
        <v>3.9808917197452227</v>
      </c>
      <c r="BT783" t="s">
        <v>89</v>
      </c>
      <c r="BV783" t="s">
        <v>93</v>
      </c>
      <c r="CF783">
        <v>5</v>
      </c>
      <c r="CG783">
        <v>3</v>
      </c>
    </row>
    <row r="784" spans="1:85" x14ac:dyDescent="0.4">
      <c r="A784" s="11" t="s">
        <v>85</v>
      </c>
      <c r="B784" t="s">
        <v>263</v>
      </c>
      <c r="C784" t="s">
        <v>264</v>
      </c>
      <c r="D784" s="46" t="s">
        <v>311</v>
      </c>
      <c r="E784">
        <v>7</v>
      </c>
      <c r="F784">
        <v>32</v>
      </c>
      <c r="G784" s="1">
        <v>59</v>
      </c>
      <c r="H784" s="16">
        <f t="shared" si="374"/>
        <v>13853</v>
      </c>
      <c r="I784">
        <v>82</v>
      </c>
      <c r="J784" s="17">
        <f t="shared" si="375"/>
        <v>11.714285714285714</v>
      </c>
      <c r="K784">
        <v>32</v>
      </c>
      <c r="L784">
        <v>71</v>
      </c>
      <c r="M784" s="17">
        <f t="shared" si="376"/>
        <v>4.5714285714285712</v>
      </c>
      <c r="N784" s="17">
        <f t="shared" si="377"/>
        <v>10.142857142857142</v>
      </c>
      <c r="O784" s="18">
        <f t="shared" si="378"/>
        <v>0.45070422535211269</v>
      </c>
      <c r="P784">
        <v>21</v>
      </c>
      <c r="Q784">
        <v>46</v>
      </c>
      <c r="R784" s="17">
        <f t="shared" si="379"/>
        <v>3</v>
      </c>
      <c r="S784" s="17">
        <f t="shared" si="380"/>
        <v>6.5714285714285712</v>
      </c>
      <c r="T784" s="18">
        <f t="shared" si="381"/>
        <v>0.45652173913043476</v>
      </c>
      <c r="U784">
        <v>11</v>
      </c>
      <c r="V784">
        <v>25</v>
      </c>
      <c r="W784" s="17">
        <f t="shared" si="382"/>
        <v>1.5714285714285714</v>
      </c>
      <c r="X784" s="17">
        <f t="shared" si="383"/>
        <v>3.5714285714285716</v>
      </c>
      <c r="Y784" s="18">
        <f t="shared" si="384"/>
        <v>0.44</v>
      </c>
      <c r="Z784">
        <v>7</v>
      </c>
      <c r="AA784">
        <v>13</v>
      </c>
      <c r="AB784" s="17">
        <f t="shared" si="385"/>
        <v>1</v>
      </c>
      <c r="AC784" s="17">
        <f t="shared" si="386"/>
        <v>1.8571428571428572</v>
      </c>
      <c r="AD784" s="18">
        <f t="shared" si="387"/>
        <v>0.53846153846153844</v>
      </c>
      <c r="AE784">
        <v>37</v>
      </c>
      <c r="AF784" s="17">
        <f t="shared" si="388"/>
        <v>5.2857142857142856</v>
      </c>
      <c r="AG784">
        <v>8</v>
      </c>
      <c r="AH784" s="17">
        <f t="shared" si="389"/>
        <v>1.1428571428571428</v>
      </c>
      <c r="AI784">
        <v>29</v>
      </c>
      <c r="AJ784" s="17">
        <f t="shared" si="390"/>
        <v>4.1428571428571432</v>
      </c>
      <c r="AK784">
        <v>29</v>
      </c>
      <c r="AL784" s="17">
        <f t="shared" si="391"/>
        <v>4.1428571428571432</v>
      </c>
      <c r="AM784">
        <v>5</v>
      </c>
      <c r="AN784" s="17">
        <f t="shared" si="392"/>
        <v>0.7142857142857143</v>
      </c>
      <c r="AO784">
        <v>2</v>
      </c>
      <c r="AQ784">
        <v>17</v>
      </c>
      <c r="AR784" s="17">
        <f t="shared" si="393"/>
        <v>2.4285714285714284</v>
      </c>
      <c r="AS784">
        <v>13</v>
      </c>
      <c r="AT784" s="17">
        <f t="shared" si="394"/>
        <v>1.8571428571428572</v>
      </c>
      <c r="BD784" s="65">
        <f t="shared" si="395"/>
        <v>53.441084462982268</v>
      </c>
      <c r="BE784" s="65">
        <f t="shared" si="396"/>
        <v>52.816901408450704</v>
      </c>
      <c r="BF784" s="66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16.660422563566524</v>
      </c>
      <c r="BG784" s="38">
        <f t="shared" si="397"/>
        <v>0.352112676056338</v>
      </c>
      <c r="BH784" s="38">
        <f t="shared" si="398"/>
        <v>0.18309859154929578</v>
      </c>
      <c r="BI784" s="67">
        <f>IFERROR(((AG784*(12000/5))/((F784*60+G784)*(SUMIFS(팀공격력!X:X,팀공격력!A:A,B784,팀공격력!B:B,D784)+SUMIFS(팀수비력!X:X,팀수비력!A:A,B784,팀수비력!B:B,D784))))*100,"")</f>
        <v>1.6556091520694254</v>
      </c>
      <c r="BJ784" s="67">
        <f>IFERROR(((AI784*(12000/5))/((F784*60+G784)*(SUMIFS(팀공격력!V:V,팀공격력!A:A,B784,팀공격력!B:B,D784)+SUMIFS(팀수비력!W:W,팀수비력!A:A,B784,팀수비력!B:B,D784))))*100,"")</f>
        <v>12.427306506302036</v>
      </c>
      <c r="BK784" s="67">
        <f>IFERROR(((AE784*(12000/5))/((F784*60+G784)*(SUMIFS(팀공격력!X:X,팀공격력!A:A,B784,팀공격력!B:B,D784)+SUMIFS(팀수비력!X:X,팀수비력!A:A,B784,팀수비력!B:B,D784))))*100,"")</f>
        <v>7.6571923283210914</v>
      </c>
      <c r="BL784" s="67">
        <f>IFERROR(100*AK784/(((((F784*60+G784)/(12000/5))*SUMIFS(팀공격력!P:P,팀공격력!A:A,B784,팀공격력!B:B,D784))-K784)),"")</f>
        <v>15.548382052341752</v>
      </c>
      <c r="BM784" s="67">
        <f>IFERROR(100*((AM784/E784*(2400))/((F784*60+G784)*SUMIFS(팀공격력!AR:AR,팀공격력!A:A,B784,팀공격력!B:B,D784))),"")</f>
        <v>1.3410341205232519</v>
      </c>
      <c r="BN784" s="67">
        <f>IFERROR((AO784*40)/(((F784*60+G784)/60)*(SUMIFS(팀수비력!Q:Q,팀수비력!A:A,B784,팀수비력!B:B,D784)-SUMIFS(팀수비력!N:N,팀수비력!A:A,B784,팀수비력!B:B,D784)))*100,"")</f>
        <v>0.65909440428850763</v>
      </c>
      <c r="BO784" s="67">
        <f t="shared" si="399"/>
        <v>18.139137857447718</v>
      </c>
      <c r="BT784" t="s">
        <v>89</v>
      </c>
      <c r="BV784" t="s">
        <v>93</v>
      </c>
      <c r="CF784">
        <v>4</v>
      </c>
      <c r="CG784">
        <v>3</v>
      </c>
    </row>
    <row r="785" spans="1:85" x14ac:dyDescent="0.4">
      <c r="A785" s="11" t="s">
        <v>85</v>
      </c>
      <c r="B785" t="s">
        <v>263</v>
      </c>
      <c r="C785" t="s">
        <v>266</v>
      </c>
      <c r="D785" s="46" t="s">
        <v>311</v>
      </c>
      <c r="E785">
        <v>6</v>
      </c>
      <c r="F785">
        <v>13</v>
      </c>
      <c r="G785" s="1">
        <v>14</v>
      </c>
      <c r="H785" s="16">
        <f t="shared" si="374"/>
        <v>4764</v>
      </c>
      <c r="I785">
        <v>24</v>
      </c>
      <c r="J785" s="17">
        <f t="shared" si="375"/>
        <v>4</v>
      </c>
      <c r="K785">
        <v>9</v>
      </c>
      <c r="L785">
        <v>22</v>
      </c>
      <c r="M785" s="17">
        <f t="shared" si="376"/>
        <v>1.5</v>
      </c>
      <c r="N785" s="17">
        <f t="shared" si="377"/>
        <v>3.6666666666666665</v>
      </c>
      <c r="O785" s="18">
        <f t="shared" si="378"/>
        <v>0.40909090909090912</v>
      </c>
      <c r="P785">
        <v>3</v>
      </c>
      <c r="Q785">
        <v>5</v>
      </c>
      <c r="R785" s="17">
        <f t="shared" si="379"/>
        <v>0.5</v>
      </c>
      <c r="S785" s="17">
        <f t="shared" si="380"/>
        <v>0.83333333333333337</v>
      </c>
      <c r="T785" s="18">
        <f t="shared" si="381"/>
        <v>0.6</v>
      </c>
      <c r="U785">
        <v>6</v>
      </c>
      <c r="V785">
        <v>17</v>
      </c>
      <c r="W785" s="17">
        <f t="shared" si="382"/>
        <v>1</v>
      </c>
      <c r="X785" s="17">
        <f t="shared" si="383"/>
        <v>2.8333333333333335</v>
      </c>
      <c r="Y785" s="18">
        <f t="shared" si="384"/>
        <v>0.35294117647058826</v>
      </c>
      <c r="Z785">
        <v>0</v>
      </c>
      <c r="AA785">
        <v>0</v>
      </c>
      <c r="AB785" s="17">
        <f t="shared" si="385"/>
        <v>0</v>
      </c>
      <c r="AC785" s="17">
        <f t="shared" si="386"/>
        <v>0</v>
      </c>
      <c r="AD785" s="18" t="e">
        <f t="shared" si="387"/>
        <v>#DIV/0!</v>
      </c>
      <c r="AE785">
        <v>3</v>
      </c>
      <c r="AF785" s="17">
        <f t="shared" si="388"/>
        <v>0.5</v>
      </c>
      <c r="AG785">
        <v>2</v>
      </c>
      <c r="AH785" s="17">
        <f t="shared" si="389"/>
        <v>0.33333333333333331</v>
      </c>
      <c r="AI785">
        <v>1</v>
      </c>
      <c r="AJ785" s="17">
        <f t="shared" si="390"/>
        <v>0.16666666666666666</v>
      </c>
      <c r="AK785">
        <v>4</v>
      </c>
      <c r="AL785" s="17">
        <f t="shared" si="391"/>
        <v>0.66666666666666663</v>
      </c>
      <c r="AM785">
        <v>3</v>
      </c>
      <c r="AN785" s="17">
        <f t="shared" si="392"/>
        <v>0.5</v>
      </c>
      <c r="AO785">
        <v>0</v>
      </c>
      <c r="AQ785">
        <v>3</v>
      </c>
      <c r="AR785" s="17">
        <f t="shared" si="393"/>
        <v>0.5</v>
      </c>
      <c r="AS785">
        <v>15</v>
      </c>
      <c r="AT785" s="17">
        <f t="shared" si="394"/>
        <v>2.5</v>
      </c>
      <c r="BD785" s="65">
        <f t="shared" si="395"/>
        <v>54.54545454545454</v>
      </c>
      <c r="BE785" s="65">
        <f t="shared" si="396"/>
        <v>54.54545454545454</v>
      </c>
      <c r="BF785" s="66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11.076920350296529</v>
      </c>
      <c r="BG785" s="38">
        <f t="shared" si="397"/>
        <v>0.77272727272727271</v>
      </c>
      <c r="BH785" s="38">
        <f t="shared" si="398"/>
        <v>0</v>
      </c>
      <c r="BI785" s="67">
        <f>IFERROR(((AG785*(12000/5))/((F785*60+G785)*(SUMIFS(팀공격력!X:X,팀공격력!A:A,B785,팀공격력!B:B,D785)+SUMIFS(팀수비력!X:X,팀수비력!A:A,B785,팀수비력!B:B,D785))))*100,"")</f>
        <v>1.0316279949450229</v>
      </c>
      <c r="BJ785" s="67">
        <f>IFERROR(((AI785*(12000/5))/((F785*60+G785)*(SUMIFS(팀공격력!V:V,팀공격력!A:A,B785,팀공격력!B:B,D785)+SUMIFS(팀수비력!W:W,팀수비력!A:A,B785,팀수비력!B:B,D785))))*100,"")</f>
        <v>1.0680812809854829</v>
      </c>
      <c r="BK785" s="67">
        <f>IFERROR(((AE785*(12000/5))/((F785*60+G785)*(SUMIFS(팀공격력!X:X,팀공격력!A:A,B785,팀공격력!B:B,D785)+SUMIFS(팀수비력!X:X,팀수비력!A:A,B785,팀수비력!B:B,D785))))*100,"")</f>
        <v>1.5474419924175342</v>
      </c>
      <c r="BL785" s="67">
        <f>IFERROR(100*AK785/(((((F785*60+G785)/(12000/5))*SUMIFS(팀공격력!P:P,팀공격력!A:A,B785,팀공격력!B:B,D785))-K785)),"")</f>
        <v>5.0844764578147341</v>
      </c>
      <c r="BM785" s="67">
        <f>IFERROR(100*((AM785/E785*(2400))/((F785*60+G785)*SUMIFS(팀공격력!AR:AR,팀공격력!A:A,B785,팀공격력!B:B,D785))),"")</f>
        <v>2.3397160795476832</v>
      </c>
      <c r="BN785" s="67">
        <f>IFERROR((AO785*40)/(((F785*60+G785)/60)*(SUMIFS(팀수비력!Q:Q,팀수비력!A:A,B785,팀수비력!B:B,D785)-SUMIFS(팀수비력!N:N,팀수비력!A:A,B785,팀수비력!B:B,D785)))*100,"")</f>
        <v>0</v>
      </c>
      <c r="BO785" s="67">
        <f t="shared" si="399"/>
        <v>12</v>
      </c>
      <c r="BT785" t="s">
        <v>89</v>
      </c>
      <c r="BV785" t="s">
        <v>90</v>
      </c>
      <c r="CF785">
        <v>3</v>
      </c>
      <c r="CG785">
        <v>3</v>
      </c>
    </row>
    <row r="786" spans="1:85" x14ac:dyDescent="0.4">
      <c r="A786" s="11" t="s">
        <v>85</v>
      </c>
      <c r="B786" t="s">
        <v>263</v>
      </c>
      <c r="C786" t="s">
        <v>267</v>
      </c>
      <c r="D786" s="46" t="s">
        <v>311</v>
      </c>
      <c r="E786">
        <v>8</v>
      </c>
      <c r="F786">
        <v>28</v>
      </c>
      <c r="G786" s="1">
        <v>22</v>
      </c>
      <c r="H786" s="16">
        <f t="shared" si="374"/>
        <v>13616</v>
      </c>
      <c r="I786">
        <v>104</v>
      </c>
      <c r="J786" s="17">
        <f t="shared" si="375"/>
        <v>13</v>
      </c>
      <c r="K786">
        <v>38</v>
      </c>
      <c r="L786">
        <v>72</v>
      </c>
      <c r="M786" s="17">
        <f t="shared" si="376"/>
        <v>4.75</v>
      </c>
      <c r="N786" s="17">
        <f t="shared" si="377"/>
        <v>9</v>
      </c>
      <c r="O786" s="18">
        <f t="shared" si="378"/>
        <v>0.52777777777777779</v>
      </c>
      <c r="P786">
        <v>34</v>
      </c>
      <c r="Q786">
        <v>63</v>
      </c>
      <c r="R786" s="17">
        <f t="shared" si="379"/>
        <v>4.25</v>
      </c>
      <c r="S786" s="17">
        <f t="shared" si="380"/>
        <v>7.875</v>
      </c>
      <c r="T786" s="18">
        <f t="shared" si="381"/>
        <v>0.53968253968253965</v>
      </c>
      <c r="U786">
        <v>4</v>
      </c>
      <c r="V786">
        <v>9</v>
      </c>
      <c r="W786" s="17">
        <f t="shared" si="382"/>
        <v>0.5</v>
      </c>
      <c r="X786" s="17">
        <f t="shared" si="383"/>
        <v>1.125</v>
      </c>
      <c r="Y786" s="18">
        <f t="shared" si="384"/>
        <v>0.44444444444444442</v>
      </c>
      <c r="Z786">
        <v>24</v>
      </c>
      <c r="AA786">
        <v>28</v>
      </c>
      <c r="AB786" s="17">
        <f t="shared" si="385"/>
        <v>3</v>
      </c>
      <c r="AC786" s="17">
        <f t="shared" si="386"/>
        <v>3.5</v>
      </c>
      <c r="AD786" s="18">
        <f t="shared" si="387"/>
        <v>0.8571428571428571</v>
      </c>
      <c r="AE786">
        <v>63</v>
      </c>
      <c r="AF786" s="17">
        <f t="shared" si="388"/>
        <v>7.875</v>
      </c>
      <c r="AG786">
        <v>32</v>
      </c>
      <c r="AH786" s="17">
        <f t="shared" si="389"/>
        <v>4</v>
      </c>
      <c r="AI786">
        <v>31</v>
      </c>
      <c r="AJ786" s="17">
        <f t="shared" si="390"/>
        <v>3.875</v>
      </c>
      <c r="AK786">
        <v>8</v>
      </c>
      <c r="AL786" s="17">
        <f t="shared" si="391"/>
        <v>1</v>
      </c>
      <c r="AM786">
        <v>4</v>
      </c>
      <c r="AN786" s="17">
        <f t="shared" si="392"/>
        <v>0.5</v>
      </c>
      <c r="AO786">
        <v>7</v>
      </c>
      <c r="AQ786">
        <v>14</v>
      </c>
      <c r="AR786" s="17">
        <f t="shared" si="393"/>
        <v>1.75</v>
      </c>
      <c r="AS786">
        <v>25</v>
      </c>
      <c r="AT786" s="17">
        <f t="shared" si="394"/>
        <v>3.125</v>
      </c>
      <c r="BD786" s="65">
        <f t="shared" si="395"/>
        <v>61.669829222011387</v>
      </c>
      <c r="BE786" s="65">
        <f t="shared" si="396"/>
        <v>55.555555555555557</v>
      </c>
      <c r="BF786" s="66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20.322720334192166</v>
      </c>
      <c r="BG786" s="38">
        <f t="shared" si="397"/>
        <v>0.125</v>
      </c>
      <c r="BH786" s="38">
        <f t="shared" si="398"/>
        <v>0.3888888888888889</v>
      </c>
      <c r="BI786" s="67">
        <f>IFERROR(((AG786*(12000/5))/((F786*60+G786)*(SUMIFS(팀공격력!X:X,팀공격력!A:A,B786,팀공격력!B:B,D786)+SUMIFS(팀수비력!X:X,팀수비력!A:A,B786,팀수비력!B:B,D786))))*100,"")</f>
        <v>7.7002362207882316</v>
      </c>
      <c r="BJ786" s="67">
        <f>IFERROR(((AI786*(12000/5))/((F786*60+G786)*(SUMIFS(팀공격력!V:V,팀공격력!A:A,B786,팀공격력!B:B,D786)+SUMIFS(팀수비력!W:W,팀수비력!A:A,B786,팀수비력!B:B,D786))))*100,"")</f>
        <v>15.44638816109088</v>
      </c>
      <c r="BK786" s="67">
        <f>IFERROR(((AE786*(12000/5))/((F786*60+G786)*(SUMIFS(팀공격력!X:X,팀공격력!A:A,B786,팀공격력!B:B,D786)+SUMIFS(팀수비력!X:X,팀수비력!A:A,B786,팀수비력!B:B,D786))))*100,"")</f>
        <v>15.15984005967683</v>
      </c>
      <c r="BL786" s="67">
        <f>IFERROR(100*AK786/(((((F786*60+G786)/(12000/5))*SUMIFS(팀공격력!P:P,팀공격력!A:A,B786,팀공격력!B:B,D786))-K786)),"")</f>
        <v>5.3358530417141434</v>
      </c>
      <c r="BM786" s="67">
        <f>IFERROR(100*((AM786/E786*(2400))/((F786*60+G786)*SUMIFS(팀공격력!AR:AR,팀공격력!A:A,B786,팀공격력!B:B,D786))),"")</f>
        <v>1.0915009207760638</v>
      </c>
      <c r="BN786" s="67">
        <f>IFERROR((AO786*40)/(((F786*60+G786)/60)*(SUMIFS(팀수비력!Q:Q,팀수비력!A:A,B786,팀수비력!B:B,D786)-SUMIFS(팀수비력!N:N,팀수비력!A:A,B786,팀수비력!B:B,D786)))*100,"")</f>
        <v>2.6822663873703569</v>
      </c>
      <c r="BO786" s="67">
        <f t="shared" si="399"/>
        <v>14.239218877135883</v>
      </c>
      <c r="BT786" t="s">
        <v>89</v>
      </c>
      <c r="BV786" t="s">
        <v>102</v>
      </c>
      <c r="CF786">
        <v>5</v>
      </c>
      <c r="CG786">
        <v>3</v>
      </c>
    </row>
    <row r="787" spans="1:85" x14ac:dyDescent="0.4">
      <c r="A787" s="11" t="s">
        <v>85</v>
      </c>
      <c r="B787" t="s">
        <v>263</v>
      </c>
      <c r="C787" t="s">
        <v>268</v>
      </c>
      <c r="D787" s="46" t="s">
        <v>311</v>
      </c>
      <c r="E787">
        <v>1</v>
      </c>
      <c r="F787">
        <v>12</v>
      </c>
      <c r="G787" s="1">
        <v>34</v>
      </c>
      <c r="H787" s="16">
        <f t="shared" si="374"/>
        <v>754</v>
      </c>
      <c r="I787">
        <v>2</v>
      </c>
      <c r="J787" s="17">
        <f t="shared" si="375"/>
        <v>2</v>
      </c>
      <c r="K787">
        <v>0</v>
      </c>
      <c r="L787">
        <v>1</v>
      </c>
      <c r="M787" s="17">
        <f t="shared" si="376"/>
        <v>0</v>
      </c>
      <c r="N787" s="17">
        <f t="shared" si="377"/>
        <v>1</v>
      </c>
      <c r="O787" s="18">
        <f t="shared" si="378"/>
        <v>0</v>
      </c>
      <c r="P787">
        <v>0</v>
      </c>
      <c r="Q787">
        <v>0</v>
      </c>
      <c r="R787" s="17">
        <f t="shared" si="379"/>
        <v>0</v>
      </c>
      <c r="S787" s="17">
        <f t="shared" si="380"/>
        <v>0</v>
      </c>
      <c r="T787" s="18" t="e">
        <f t="shared" si="381"/>
        <v>#DIV/0!</v>
      </c>
      <c r="U787">
        <v>0</v>
      </c>
      <c r="V787">
        <v>1</v>
      </c>
      <c r="W787" s="17">
        <f t="shared" si="382"/>
        <v>0</v>
      </c>
      <c r="X787" s="17">
        <f t="shared" si="383"/>
        <v>1</v>
      </c>
      <c r="Y787" s="18">
        <f t="shared" si="384"/>
        <v>0</v>
      </c>
      <c r="Z787">
        <v>2</v>
      </c>
      <c r="AA787">
        <v>2</v>
      </c>
      <c r="AB787" s="17">
        <f t="shared" si="385"/>
        <v>2</v>
      </c>
      <c r="AC787" s="17">
        <f t="shared" si="386"/>
        <v>2</v>
      </c>
      <c r="AD787" s="18">
        <f t="shared" si="387"/>
        <v>1</v>
      </c>
      <c r="AE787">
        <v>2</v>
      </c>
      <c r="AF787" s="17">
        <f t="shared" si="388"/>
        <v>2</v>
      </c>
      <c r="AG787">
        <v>0</v>
      </c>
      <c r="AH787" s="17">
        <f t="shared" si="389"/>
        <v>0</v>
      </c>
      <c r="AI787">
        <v>2</v>
      </c>
      <c r="AJ787" s="17">
        <f t="shared" si="390"/>
        <v>2</v>
      </c>
      <c r="AK787">
        <v>1</v>
      </c>
      <c r="AL787" s="17">
        <f t="shared" si="391"/>
        <v>1</v>
      </c>
      <c r="AM787">
        <v>0</v>
      </c>
      <c r="AN787" s="17">
        <f t="shared" si="392"/>
        <v>0</v>
      </c>
      <c r="AO787">
        <v>0</v>
      </c>
      <c r="AQ787">
        <v>2</v>
      </c>
      <c r="AR787" s="17">
        <f t="shared" si="393"/>
        <v>2</v>
      </c>
      <c r="AS787">
        <v>1</v>
      </c>
      <c r="AT787" s="17">
        <f t="shared" si="394"/>
        <v>1</v>
      </c>
      <c r="BD787" s="65">
        <f t="shared" si="395"/>
        <v>53.191489361702125</v>
      </c>
      <c r="BE787" s="65">
        <f t="shared" si="396"/>
        <v>0</v>
      </c>
      <c r="BF787" s="66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1.8103389953085156</v>
      </c>
      <c r="BG787" s="38">
        <f t="shared" si="397"/>
        <v>1</v>
      </c>
      <c r="BH787" s="38">
        <f t="shared" si="398"/>
        <v>2</v>
      </c>
      <c r="BI787" s="67">
        <f>IFERROR(((AG787*(12000/5))/((F787*60+G787)*(SUMIFS(팀공격력!X:X,팀공격력!A:A,B787,팀공격력!B:B,D787)+SUMIFS(팀수비력!X:X,팀수비력!A:A,B787,팀수비력!B:B,D787))))*100,"")</f>
        <v>0</v>
      </c>
      <c r="BJ787" s="67">
        <f>IFERROR(((AI787*(12000/5))/((F787*60+G787)*(SUMIFS(팀공격력!V:V,팀공격력!A:A,B787,팀공격력!B:B,D787)+SUMIFS(팀수비력!W:W,팀수비력!A:A,B787,팀수비력!B:B,D787))))*100,"")</f>
        <v>2.2494868358155795</v>
      </c>
      <c r="BK787" s="67">
        <f>IFERROR(((AE787*(12000/5))/((F787*60+G787)*(SUMIFS(팀공격력!X:X,팀공격력!A:A,B787,팀공격력!B:B,D787)+SUMIFS(팀수비력!X:X,팀수비력!A:A,B787,팀수비력!B:B,D787))))*100,"")</f>
        <v>1.0863562705389231</v>
      </c>
      <c r="BL787" s="67">
        <f>IFERROR(100*AK787/(((((F787*60+G787)/(12000/5))*SUMIFS(팀공격력!P:P,팀공격력!A:A,B787,팀공격력!B:B,D787))-K787)),"")</f>
        <v>1.2011410840298284</v>
      </c>
      <c r="BM787" s="67">
        <f>IFERROR(100*((AM787/E787*(2400))/((F787*60+G787)*SUMIFS(팀공격력!AR:AR,팀공격력!A:A,B787,팀공격력!B:B,D787))),"")</f>
        <v>0</v>
      </c>
      <c r="BN787" s="67">
        <f>IFERROR((AO787*40)/(((F787*60+G787)/60)*(SUMIFS(팀수비력!Q:Q,팀수비력!A:A,B787,팀수비력!B:B,D787)-SUMIFS(팀수비력!N:N,팀수비력!A:A,B787,팀수비력!B:B,D787)))*100,"")</f>
        <v>0</v>
      </c>
      <c r="BO787" s="67">
        <f t="shared" si="399"/>
        <v>51.546391752577321</v>
      </c>
      <c r="BT787" t="s">
        <v>89</v>
      </c>
      <c r="BV787" t="s">
        <v>90</v>
      </c>
      <c r="CF787">
        <v>0</v>
      </c>
      <c r="CG787">
        <v>1</v>
      </c>
    </row>
    <row r="788" spans="1:85" x14ac:dyDescent="0.4">
      <c r="A788" s="11" t="s">
        <v>85</v>
      </c>
      <c r="B788" t="s">
        <v>263</v>
      </c>
      <c r="C788" t="s">
        <v>270</v>
      </c>
      <c r="D788" s="46" t="s">
        <v>311</v>
      </c>
      <c r="E788">
        <v>4</v>
      </c>
      <c r="F788">
        <v>5</v>
      </c>
      <c r="G788" s="1">
        <v>11</v>
      </c>
      <c r="H788" s="16">
        <f t="shared" si="374"/>
        <v>1244</v>
      </c>
      <c r="I788">
        <v>6</v>
      </c>
      <c r="J788" s="17">
        <f t="shared" si="375"/>
        <v>1.5</v>
      </c>
      <c r="K788">
        <v>2</v>
      </c>
      <c r="L788">
        <v>7</v>
      </c>
      <c r="M788" s="17">
        <f t="shared" si="376"/>
        <v>0.5</v>
      </c>
      <c r="N788" s="17">
        <f t="shared" si="377"/>
        <v>1.75</v>
      </c>
      <c r="O788" s="18">
        <f t="shared" si="378"/>
        <v>0.2857142857142857</v>
      </c>
      <c r="P788">
        <v>1</v>
      </c>
      <c r="Q788">
        <v>2</v>
      </c>
      <c r="R788" s="17">
        <f t="shared" si="379"/>
        <v>0.25</v>
      </c>
      <c r="S788" s="17">
        <f t="shared" si="380"/>
        <v>0.5</v>
      </c>
      <c r="T788" s="18">
        <f t="shared" si="381"/>
        <v>0.5</v>
      </c>
      <c r="U788">
        <v>1</v>
      </c>
      <c r="V788">
        <v>5</v>
      </c>
      <c r="W788" s="17">
        <f t="shared" si="382"/>
        <v>0.25</v>
      </c>
      <c r="X788" s="17">
        <f t="shared" si="383"/>
        <v>1.25</v>
      </c>
      <c r="Y788" s="18">
        <f t="shared" si="384"/>
        <v>0.2</v>
      </c>
      <c r="Z788">
        <v>1</v>
      </c>
      <c r="AA788">
        <v>2</v>
      </c>
      <c r="AB788" s="17">
        <f t="shared" si="385"/>
        <v>0.25</v>
      </c>
      <c r="AC788" s="17">
        <f t="shared" si="386"/>
        <v>0.5</v>
      </c>
      <c r="AD788" s="18">
        <f t="shared" si="387"/>
        <v>0.5</v>
      </c>
      <c r="AE788">
        <v>8</v>
      </c>
      <c r="AF788" s="17">
        <f t="shared" si="388"/>
        <v>2</v>
      </c>
      <c r="AG788">
        <v>2</v>
      </c>
      <c r="AH788" s="17">
        <f t="shared" si="389"/>
        <v>0.5</v>
      </c>
      <c r="AI788">
        <v>6</v>
      </c>
      <c r="AJ788" s="17">
        <f t="shared" si="390"/>
        <v>1.5</v>
      </c>
      <c r="AK788">
        <v>0</v>
      </c>
      <c r="AL788" s="17">
        <f t="shared" si="391"/>
        <v>0</v>
      </c>
      <c r="AM788">
        <v>0</v>
      </c>
      <c r="AN788" s="17">
        <f t="shared" si="392"/>
        <v>0</v>
      </c>
      <c r="AO788">
        <v>0</v>
      </c>
      <c r="AQ788">
        <v>0</v>
      </c>
      <c r="AR788" s="17">
        <f t="shared" si="393"/>
        <v>0</v>
      </c>
      <c r="AS788">
        <v>2</v>
      </c>
      <c r="AT788" s="17">
        <f t="shared" si="394"/>
        <v>0.5</v>
      </c>
      <c r="BD788" s="65">
        <f t="shared" si="395"/>
        <v>38.071065989847718</v>
      </c>
      <c r="BE788" s="65">
        <f t="shared" si="396"/>
        <v>35.714285714285715</v>
      </c>
      <c r="BF788" s="66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8.9138506873449899</v>
      </c>
      <c r="BG788" s="38">
        <f t="shared" si="397"/>
        <v>0.7142857142857143</v>
      </c>
      <c r="BH788" s="38">
        <f t="shared" si="398"/>
        <v>0.2857142857142857</v>
      </c>
      <c r="BI788" s="67">
        <f>IFERROR(((AG788*(12000/5))/((F788*60+G788)*(SUMIFS(팀공격력!X:X,팀공격력!A:A,B788,팀공격력!B:B,D788)+SUMIFS(팀수비력!X:X,팀수비력!A:A,B788,팀수비력!B:B,D788))))*100,"")</f>
        <v>2.6338026623355248</v>
      </c>
      <c r="BJ788" s="67">
        <f>IFERROR(((AI788*(12000/5))/((F788*60+G788)*(SUMIFS(팀공격력!V:V,팀공격력!A:A,B788,팀공격력!B:B,D788)+SUMIFS(팀수비력!W:W,팀수비력!A:A,B788,팀수비력!B:B,D788))))*100,"")</f>
        <v>16.36121936532103</v>
      </c>
      <c r="BK788" s="67">
        <f>IFERROR(((AE788*(12000/5))/((F788*60+G788)*(SUMIFS(팀공격력!X:X,팀공격력!A:A,B788,팀공격력!B:B,D788)+SUMIFS(팀수비력!X:X,팀수비력!A:A,B788,팀수비력!B:B,D788))))*100,"")</f>
        <v>10.535210649342099</v>
      </c>
      <c r="BL788" s="67">
        <f>IFERROR(100*AK788/(((((F788*60+G788)/(12000/5))*SUMIFS(팀공격력!P:P,팀공격력!A:A,B788,팀공격력!B:B,D788))-K788)),"")</f>
        <v>0</v>
      </c>
      <c r="BM788" s="67">
        <f>IFERROR(100*((AM788/E788*(2400))/((F788*60+G788)*SUMIFS(팀공격력!AR:AR,팀공격력!A:A,B788,팀공격력!B:B,D788))),"")</f>
        <v>0</v>
      </c>
      <c r="BN788" s="67">
        <f>IFERROR((AO788*40)/(((F788*60+G788)/60)*(SUMIFS(팀수비력!Q:Q,팀수비력!A:A,B788,팀수비력!B:B,D788)-SUMIFS(팀수비력!N:N,팀수비력!A:A,B788,팀수비력!B:B,D788)))*100,"")</f>
        <v>0</v>
      </c>
      <c r="BO788" s="67">
        <f t="shared" si="399"/>
        <v>0</v>
      </c>
      <c r="BT788" t="s">
        <v>89</v>
      </c>
      <c r="BV788" t="s">
        <v>93</v>
      </c>
      <c r="CF788">
        <v>3</v>
      </c>
      <c r="CG788">
        <v>1</v>
      </c>
    </row>
    <row r="789" spans="1:85" x14ac:dyDescent="0.4">
      <c r="A789" s="11" t="s">
        <v>85</v>
      </c>
      <c r="B789" t="s">
        <v>263</v>
      </c>
      <c r="C789" t="s">
        <v>271</v>
      </c>
      <c r="D789" s="46" t="s">
        <v>311</v>
      </c>
      <c r="E789">
        <v>2</v>
      </c>
      <c r="F789">
        <v>13</v>
      </c>
      <c r="G789" s="1">
        <v>50</v>
      </c>
      <c r="H789" s="16">
        <f t="shared" si="374"/>
        <v>1660</v>
      </c>
      <c r="I789">
        <v>3</v>
      </c>
      <c r="J789" s="17">
        <f t="shared" si="375"/>
        <v>1.5</v>
      </c>
      <c r="K789">
        <v>1</v>
      </c>
      <c r="L789">
        <v>7</v>
      </c>
      <c r="M789" s="17">
        <f t="shared" si="376"/>
        <v>0.5</v>
      </c>
      <c r="N789" s="17">
        <f t="shared" si="377"/>
        <v>3.5</v>
      </c>
      <c r="O789" s="18">
        <f t="shared" si="378"/>
        <v>0.14285714285714285</v>
      </c>
      <c r="P789">
        <v>1</v>
      </c>
      <c r="Q789">
        <v>2</v>
      </c>
      <c r="R789" s="17">
        <f t="shared" si="379"/>
        <v>0.5</v>
      </c>
      <c r="S789" s="17">
        <f t="shared" si="380"/>
        <v>1</v>
      </c>
      <c r="T789" s="18">
        <f t="shared" si="381"/>
        <v>0.5</v>
      </c>
      <c r="U789">
        <v>0</v>
      </c>
      <c r="V789">
        <v>5</v>
      </c>
      <c r="W789" s="17">
        <f t="shared" si="382"/>
        <v>0</v>
      </c>
      <c r="X789" s="17">
        <f t="shared" si="383"/>
        <v>2.5</v>
      </c>
      <c r="Y789" s="18">
        <f t="shared" si="384"/>
        <v>0</v>
      </c>
      <c r="Z789">
        <v>1</v>
      </c>
      <c r="AA789">
        <v>2</v>
      </c>
      <c r="AB789" s="17">
        <f t="shared" si="385"/>
        <v>0.5</v>
      </c>
      <c r="AC789" s="17">
        <f t="shared" si="386"/>
        <v>1</v>
      </c>
      <c r="AD789" s="18">
        <f t="shared" si="387"/>
        <v>0.5</v>
      </c>
      <c r="AE789">
        <v>6</v>
      </c>
      <c r="AF789" s="17">
        <f t="shared" si="388"/>
        <v>3</v>
      </c>
      <c r="AG789">
        <v>1</v>
      </c>
      <c r="AH789" s="17">
        <f t="shared" si="389"/>
        <v>0.5</v>
      </c>
      <c r="AI789">
        <v>5</v>
      </c>
      <c r="AJ789" s="17">
        <f t="shared" si="390"/>
        <v>2.5</v>
      </c>
      <c r="AK789">
        <v>3</v>
      </c>
      <c r="AL789" s="17">
        <f t="shared" si="391"/>
        <v>1.5</v>
      </c>
      <c r="AM789">
        <v>0</v>
      </c>
      <c r="AN789" s="17">
        <f t="shared" si="392"/>
        <v>0</v>
      </c>
      <c r="AO789">
        <v>0</v>
      </c>
      <c r="AQ789">
        <v>1</v>
      </c>
      <c r="AR789" s="17">
        <f t="shared" si="393"/>
        <v>0.5</v>
      </c>
      <c r="AS789">
        <v>3</v>
      </c>
      <c r="AT789" s="17">
        <f t="shared" si="394"/>
        <v>1.5</v>
      </c>
      <c r="BD789" s="65">
        <f t="shared" si="395"/>
        <v>19.035532994923859</v>
      </c>
      <c r="BE789" s="65">
        <f t="shared" si="396"/>
        <v>14.285714285714285</v>
      </c>
      <c r="BF789" s="66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3.7638681374574809</v>
      </c>
      <c r="BG789" s="38">
        <f t="shared" si="397"/>
        <v>0.7142857142857143</v>
      </c>
      <c r="BH789" s="38">
        <f t="shared" si="398"/>
        <v>0.2857142857142857</v>
      </c>
      <c r="BI789" s="67">
        <f>IFERROR(((AG789*(12000/5))/((F789*60+G789)*(SUMIFS(팀공격력!X:X,팀공격력!A:A,B789,팀공격력!B:B,D789)+SUMIFS(팀수비력!X:X,팀수비력!A:A,B789,팀수비력!B:B,D789))))*100,"")</f>
        <v>0.49344134216045066</v>
      </c>
      <c r="BJ789" s="67">
        <f>IFERROR(((AI789*(12000/5))/((F789*60+G789)*(SUMIFS(팀공격력!V:V,팀공격력!A:A,B789,팀공격력!B:B,D789)+SUMIFS(팀수비력!W:W,팀수비력!A:A,B789,팀수비력!B:B,D789))))*100,"")</f>
        <v>5.1087743198944189</v>
      </c>
      <c r="BK789" s="67">
        <f>IFERROR(((AE789*(12000/5))/((F789*60+G789)*(SUMIFS(팀공격력!X:X,팀공격력!A:A,B789,팀공격력!B:B,D789)+SUMIFS(팀수비력!X:X,팀수비력!A:A,B789,팀수비력!B:B,D789))))*100,"")</f>
        <v>2.9606480529627039</v>
      </c>
      <c r="BL789" s="67">
        <f>IFERROR(100*AK789/(((((F789*60+G789)/(12000/5))*SUMIFS(팀공격력!P:P,팀공격력!A:A,B789,팀공격력!B:B,D789))-K789)),"")</f>
        <v>3.3095840036773159</v>
      </c>
      <c r="BM789" s="67">
        <f>IFERROR(100*((AM789/E789*(2400))/((F789*60+G789)*SUMIFS(팀공격력!AR:AR,팀공격력!A:A,B789,팀공격력!B:B,D789))),"")</f>
        <v>0</v>
      </c>
      <c r="BN789" s="67">
        <f>IFERROR((AO789*40)/(((F789*60+G789)/60)*(SUMIFS(팀수비력!Q:Q,팀수비력!A:A,B789,팀수비력!B:B,D789)-SUMIFS(팀수비력!N:N,팀수비력!A:A,B789,팀수비력!B:B,D789)))*100,"")</f>
        <v>0</v>
      </c>
      <c r="BO789" s="67">
        <f t="shared" si="399"/>
        <v>11.261261261261263</v>
      </c>
      <c r="BT789" t="s">
        <v>89</v>
      </c>
      <c r="BV789" t="s">
        <v>90</v>
      </c>
      <c r="CF789">
        <v>2</v>
      </c>
      <c r="CG789">
        <v>0</v>
      </c>
    </row>
    <row r="790" spans="1:85" x14ac:dyDescent="0.4">
      <c r="A790" s="11" t="s">
        <v>85</v>
      </c>
      <c r="B790" t="s">
        <v>263</v>
      </c>
      <c r="C790" t="s">
        <v>272</v>
      </c>
      <c r="D790" s="46" t="s">
        <v>311</v>
      </c>
      <c r="E790">
        <v>8</v>
      </c>
      <c r="F790">
        <v>31</v>
      </c>
      <c r="G790" s="1">
        <v>32</v>
      </c>
      <c r="H790" s="16">
        <f t="shared" si="374"/>
        <v>15136</v>
      </c>
      <c r="I790">
        <v>147</v>
      </c>
      <c r="J790" s="17">
        <f t="shared" si="375"/>
        <v>18.375</v>
      </c>
      <c r="K790">
        <v>55</v>
      </c>
      <c r="L790">
        <v>124</v>
      </c>
      <c r="M790" s="17">
        <f t="shared" si="376"/>
        <v>6.875</v>
      </c>
      <c r="N790" s="17">
        <f t="shared" si="377"/>
        <v>15.5</v>
      </c>
      <c r="O790" s="18">
        <f t="shared" si="378"/>
        <v>0.44354838709677419</v>
      </c>
      <c r="P790">
        <v>43</v>
      </c>
      <c r="Q790">
        <v>81</v>
      </c>
      <c r="R790" s="17">
        <f t="shared" si="379"/>
        <v>5.375</v>
      </c>
      <c r="S790" s="17">
        <f t="shared" si="380"/>
        <v>10.125</v>
      </c>
      <c r="T790" s="18">
        <f t="shared" si="381"/>
        <v>0.53086419753086422</v>
      </c>
      <c r="U790">
        <v>12</v>
      </c>
      <c r="V790">
        <v>43</v>
      </c>
      <c r="W790" s="17">
        <f t="shared" si="382"/>
        <v>1.5</v>
      </c>
      <c r="X790" s="17">
        <f t="shared" si="383"/>
        <v>5.375</v>
      </c>
      <c r="Y790" s="18">
        <f t="shared" si="384"/>
        <v>0.27906976744186046</v>
      </c>
      <c r="Z790">
        <v>25</v>
      </c>
      <c r="AA790">
        <v>40</v>
      </c>
      <c r="AB790" s="17">
        <f t="shared" si="385"/>
        <v>3.125</v>
      </c>
      <c r="AC790" s="17">
        <f t="shared" si="386"/>
        <v>5</v>
      </c>
      <c r="AD790" s="18">
        <f t="shared" si="387"/>
        <v>0.625</v>
      </c>
      <c r="AE790">
        <v>82</v>
      </c>
      <c r="AF790" s="17">
        <f t="shared" si="388"/>
        <v>10.25</v>
      </c>
      <c r="AG790">
        <v>17</v>
      </c>
      <c r="AH790" s="17">
        <f t="shared" si="389"/>
        <v>2.125</v>
      </c>
      <c r="AI790">
        <v>65</v>
      </c>
      <c r="AJ790" s="17">
        <f t="shared" si="390"/>
        <v>8.125</v>
      </c>
      <c r="AK790">
        <v>44</v>
      </c>
      <c r="AL790" s="17">
        <f t="shared" si="391"/>
        <v>5.5</v>
      </c>
      <c r="AM790">
        <v>10</v>
      </c>
      <c r="AN790" s="17">
        <f t="shared" si="392"/>
        <v>1.25</v>
      </c>
      <c r="AO790">
        <v>6</v>
      </c>
      <c r="AQ790">
        <v>14</v>
      </c>
      <c r="AR790" s="17">
        <f t="shared" si="393"/>
        <v>1.75</v>
      </c>
      <c r="AS790">
        <v>18</v>
      </c>
      <c r="AT790" s="17">
        <f t="shared" si="394"/>
        <v>2.25</v>
      </c>
      <c r="BD790" s="65">
        <f t="shared" si="395"/>
        <v>51.906779661016955</v>
      </c>
      <c r="BE790" s="65">
        <f t="shared" si="396"/>
        <v>49.193548387096776</v>
      </c>
      <c r="BF790" s="66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28.932634933739429</v>
      </c>
      <c r="BG790" s="38">
        <f t="shared" si="397"/>
        <v>0.34677419354838712</v>
      </c>
      <c r="BH790" s="38">
        <f t="shared" si="398"/>
        <v>0.32258064516129031</v>
      </c>
      <c r="BI790" s="67">
        <f>IFERROR(((AG790*(12000/5))/((F790*60+G790)*(SUMIFS(팀공격력!X:X,팀공격력!A:A,B790,팀공격력!B:B,D790)+SUMIFS(팀수비력!X:X,팀수비력!A:A,B790,팀수비력!B:B,D790))))*100,"")</f>
        <v>3.6799457388393018</v>
      </c>
      <c r="BJ790" s="67">
        <f>IFERROR(((AI790*(12000/5))/((F790*60+G790)*(SUMIFS(팀공격력!V:V,팀공격력!A:A,B790,팀공격력!B:B,D790)+SUMIFS(팀수비력!W:W,팀수비력!A:A,B790,팀수비력!B:B,D790))))*100,"")</f>
        <v>29.135134731321767</v>
      </c>
      <c r="BK790" s="67">
        <f>IFERROR(((AE790*(12000/5))/((F790*60+G790)*(SUMIFS(팀공격력!X:X,팀공격력!A:A,B790,팀공격력!B:B,D790)+SUMIFS(팀수비력!X:X,팀수비력!A:A,B790,팀수비력!B:B,D790))))*100,"")</f>
        <v>17.750326504989573</v>
      </c>
      <c r="BL790" s="67">
        <f>IFERROR(100*AK790/(((((F790*60+G790)/(12000/5))*SUMIFS(팀공격력!P:P,팀공격력!A:A,B790,팀공격력!B:B,D790))-K790)),"")</f>
        <v>28.588445503275761</v>
      </c>
      <c r="BM790" s="67">
        <f>IFERROR(100*((AM790/E790*(2400))/((F790*60+G790)*SUMIFS(팀공격력!AR:AR,팀공격력!A:A,B790,팀공격력!B:B,D790))),"")</f>
        <v>2.4547232652759785</v>
      </c>
      <c r="BN790" s="67">
        <f>IFERROR((AO790*40)/(((F790*60+G790)/60)*(SUMIFS(팀수비력!Q:Q,팀수비력!A:A,B790,팀수비력!B:B,D790)-SUMIFS(팀수비력!N:N,팀수비력!A:A,B790,팀수비력!B:B,D790)))*100,"")</f>
        <v>2.0682047982351319</v>
      </c>
      <c r="BO790" s="67">
        <f t="shared" si="399"/>
        <v>8.9974293059125969</v>
      </c>
      <c r="BT790" t="s">
        <v>96</v>
      </c>
      <c r="BV790" t="s">
        <v>93</v>
      </c>
      <c r="CF790">
        <v>5</v>
      </c>
      <c r="CG790">
        <v>3</v>
      </c>
    </row>
    <row r="791" spans="1:85" x14ac:dyDescent="0.4">
      <c r="A791" s="11" t="s">
        <v>85</v>
      </c>
      <c r="B791" t="s">
        <v>263</v>
      </c>
      <c r="C791" t="s">
        <v>273</v>
      </c>
      <c r="D791" s="46" t="s">
        <v>311</v>
      </c>
      <c r="E791">
        <v>2</v>
      </c>
      <c r="F791">
        <v>8</v>
      </c>
      <c r="G791" s="1">
        <v>6</v>
      </c>
      <c r="H791" s="16">
        <f t="shared" si="374"/>
        <v>972</v>
      </c>
      <c r="I791">
        <v>8</v>
      </c>
      <c r="J791" s="17">
        <f t="shared" si="375"/>
        <v>4</v>
      </c>
      <c r="K791">
        <v>3</v>
      </c>
      <c r="L791">
        <v>10</v>
      </c>
      <c r="M791" s="17">
        <f t="shared" si="376"/>
        <v>1.5</v>
      </c>
      <c r="N791" s="17">
        <f t="shared" si="377"/>
        <v>5</v>
      </c>
      <c r="O791" s="18">
        <f t="shared" si="378"/>
        <v>0.3</v>
      </c>
      <c r="P791">
        <v>1</v>
      </c>
      <c r="Q791">
        <v>6</v>
      </c>
      <c r="R791" s="17">
        <f t="shared" si="379"/>
        <v>0.5</v>
      </c>
      <c r="S791" s="17">
        <f t="shared" si="380"/>
        <v>3</v>
      </c>
      <c r="T791" s="18">
        <f t="shared" si="381"/>
        <v>0.16666666666666666</v>
      </c>
      <c r="U791">
        <v>2</v>
      </c>
      <c r="V791">
        <v>4</v>
      </c>
      <c r="W791" s="17">
        <f t="shared" si="382"/>
        <v>1</v>
      </c>
      <c r="X791" s="17">
        <f t="shared" si="383"/>
        <v>2</v>
      </c>
      <c r="Y791" s="18">
        <f t="shared" si="384"/>
        <v>0.5</v>
      </c>
      <c r="Z791">
        <v>0</v>
      </c>
      <c r="AA791">
        <v>0</v>
      </c>
      <c r="AB791" s="17">
        <f t="shared" si="385"/>
        <v>0</v>
      </c>
      <c r="AC791" s="17">
        <f t="shared" si="386"/>
        <v>0</v>
      </c>
      <c r="AD791" s="18" t="e">
        <f t="shared" si="387"/>
        <v>#DIV/0!</v>
      </c>
      <c r="AE791">
        <v>2</v>
      </c>
      <c r="AF791" s="17">
        <f t="shared" si="388"/>
        <v>1</v>
      </c>
      <c r="AG791">
        <v>2</v>
      </c>
      <c r="AH791" s="17">
        <f t="shared" si="389"/>
        <v>1</v>
      </c>
      <c r="AI791">
        <v>0</v>
      </c>
      <c r="AJ791" s="17">
        <f t="shared" si="390"/>
        <v>0</v>
      </c>
      <c r="AK791">
        <v>2</v>
      </c>
      <c r="AL791" s="17">
        <f t="shared" si="391"/>
        <v>1</v>
      </c>
      <c r="AM791">
        <v>0</v>
      </c>
      <c r="AN791" s="17">
        <f t="shared" si="392"/>
        <v>0</v>
      </c>
      <c r="AO791">
        <v>0</v>
      </c>
      <c r="AQ791">
        <v>1</v>
      </c>
      <c r="AR791" s="17">
        <f t="shared" si="393"/>
        <v>0.5</v>
      </c>
      <c r="AS791">
        <v>0</v>
      </c>
      <c r="AT791" s="17">
        <f t="shared" si="394"/>
        <v>0</v>
      </c>
      <c r="BD791" s="65">
        <f t="shared" si="395"/>
        <v>40</v>
      </c>
      <c r="BE791" s="65">
        <f t="shared" si="396"/>
        <v>40</v>
      </c>
      <c r="BF791" s="66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7.96261912259176</v>
      </c>
      <c r="BG791" s="38">
        <f t="shared" si="397"/>
        <v>0.4</v>
      </c>
      <c r="BH791" s="38">
        <f t="shared" si="398"/>
        <v>0</v>
      </c>
      <c r="BI791" s="67">
        <f>IFERROR(((AG791*(12000/5))/((F791*60+G791)*(SUMIFS(팀공격력!X:X,팀공격력!A:A,B791,팀공격력!B:B,D791)+SUMIFS(팀수비력!X:X,팀수비력!A:A,B791,팀수비력!B:B,D791))))*100,"")</f>
        <v>1.6854169300130621</v>
      </c>
      <c r="BJ791" s="67">
        <f>IFERROR(((AI791*(12000/5))/((F791*60+G791)*(SUMIFS(팀공격력!V:V,팀공격력!A:A,B791,팀공격력!B:B,D791)+SUMIFS(팀수비력!W:W,팀수비력!A:A,B791,팀수비력!B:B,D791))))*100,"")</f>
        <v>0</v>
      </c>
      <c r="BK791" s="67">
        <f>IFERROR(((AE791*(12000/5))/((F791*60+G791)*(SUMIFS(팀공격력!X:X,팀공격력!A:A,B791,팀공격력!B:B,D791)+SUMIFS(팀수비력!X:X,팀수비력!A:A,B791,팀수비력!B:B,D791))))*100,"")</f>
        <v>1.6854169300130621</v>
      </c>
      <c r="BL791" s="67">
        <f>IFERROR(100*AK791/(((((F791*60+G791)/(12000/5))*SUMIFS(팀공격력!P:P,팀공격력!A:A,B791,팀공격력!B:B,D791))-K791)),"")</f>
        <v>3.9476930668640513</v>
      </c>
      <c r="BM791" s="67">
        <f>IFERROR(100*((AM791/E791*(2400))/((F791*60+G791)*SUMIFS(팀공격력!AR:AR,팀공격력!A:A,B791,팀공격력!B:B,D791))),"")</f>
        <v>0</v>
      </c>
      <c r="BN791" s="67">
        <f>IFERROR((AO791*40)/(((F791*60+G791)/60)*(SUMIFS(팀수비력!Q:Q,팀수비력!A:A,B791,팀수비력!B:B,D791)-SUMIFS(팀수비력!N:N,팀수비력!A:A,B791,팀수비력!B:B,D791)))*100,"")</f>
        <v>0</v>
      </c>
      <c r="BO791" s="67">
        <f t="shared" si="399"/>
        <v>9.0909090909090917</v>
      </c>
      <c r="BT791" t="s">
        <v>89</v>
      </c>
      <c r="BV791" t="s">
        <v>90</v>
      </c>
      <c r="CF791">
        <v>2</v>
      </c>
      <c r="CG791">
        <v>0</v>
      </c>
    </row>
    <row r="792" spans="1:85" x14ac:dyDescent="0.4">
      <c r="A792" s="11" t="s">
        <v>85</v>
      </c>
      <c r="B792" t="s">
        <v>263</v>
      </c>
      <c r="C792" t="s">
        <v>274</v>
      </c>
      <c r="D792" s="46" t="s">
        <v>311</v>
      </c>
      <c r="E792">
        <v>8</v>
      </c>
      <c r="F792">
        <v>23</v>
      </c>
      <c r="G792" s="1">
        <v>4</v>
      </c>
      <c r="H792" s="16">
        <f t="shared" si="374"/>
        <v>11072</v>
      </c>
      <c r="I792">
        <v>78</v>
      </c>
      <c r="J792" s="17">
        <f t="shared" si="375"/>
        <v>9.75</v>
      </c>
      <c r="K792">
        <v>29</v>
      </c>
      <c r="L792">
        <v>49</v>
      </c>
      <c r="M792" s="17">
        <f t="shared" si="376"/>
        <v>3.625</v>
      </c>
      <c r="N792" s="17">
        <f t="shared" si="377"/>
        <v>6.125</v>
      </c>
      <c r="O792" s="18">
        <f t="shared" si="378"/>
        <v>0.59183673469387754</v>
      </c>
      <c r="P792">
        <v>12</v>
      </c>
      <c r="Q792">
        <v>19</v>
      </c>
      <c r="R792" s="17">
        <f t="shared" si="379"/>
        <v>1.5</v>
      </c>
      <c r="S792" s="17">
        <f t="shared" si="380"/>
        <v>2.375</v>
      </c>
      <c r="T792" s="18">
        <f t="shared" si="381"/>
        <v>0.63157894736842102</v>
      </c>
      <c r="U792">
        <v>17</v>
      </c>
      <c r="V792">
        <v>30</v>
      </c>
      <c r="W792" s="17">
        <f t="shared" si="382"/>
        <v>2.125</v>
      </c>
      <c r="X792" s="17">
        <f t="shared" si="383"/>
        <v>3.75</v>
      </c>
      <c r="Y792" s="18">
        <f t="shared" si="384"/>
        <v>0.56666666666666665</v>
      </c>
      <c r="Z792">
        <v>3</v>
      </c>
      <c r="AA792">
        <v>5</v>
      </c>
      <c r="AB792" s="17">
        <f t="shared" si="385"/>
        <v>0.375</v>
      </c>
      <c r="AC792" s="17">
        <f t="shared" si="386"/>
        <v>0.625</v>
      </c>
      <c r="AD792" s="18">
        <f t="shared" si="387"/>
        <v>0.6</v>
      </c>
      <c r="AE792">
        <v>14</v>
      </c>
      <c r="AF792" s="17">
        <f t="shared" si="388"/>
        <v>1.75</v>
      </c>
      <c r="AG792">
        <v>2</v>
      </c>
      <c r="AH792" s="17">
        <f t="shared" si="389"/>
        <v>0.25</v>
      </c>
      <c r="AI792">
        <v>12</v>
      </c>
      <c r="AJ792" s="17">
        <f t="shared" si="390"/>
        <v>1.5</v>
      </c>
      <c r="AK792">
        <v>9</v>
      </c>
      <c r="AL792" s="17">
        <f t="shared" si="391"/>
        <v>1.125</v>
      </c>
      <c r="AM792">
        <v>4</v>
      </c>
      <c r="AN792" s="17">
        <f t="shared" si="392"/>
        <v>0.5</v>
      </c>
      <c r="AO792">
        <v>0</v>
      </c>
      <c r="AQ792">
        <v>1</v>
      </c>
      <c r="AR792" s="17">
        <f t="shared" si="393"/>
        <v>0.125</v>
      </c>
      <c r="AS792">
        <v>19</v>
      </c>
      <c r="AT792" s="17">
        <f t="shared" si="394"/>
        <v>2.375</v>
      </c>
      <c r="BD792" s="65">
        <f t="shared" si="395"/>
        <v>76.171875</v>
      </c>
      <c r="BE792" s="65">
        <f t="shared" si="396"/>
        <v>76.530612244897952</v>
      </c>
      <c r="BF792" s="66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13.268870010828618</v>
      </c>
      <c r="BG792" s="38">
        <f t="shared" si="397"/>
        <v>0.61224489795918369</v>
      </c>
      <c r="BH792" s="38">
        <f t="shared" si="398"/>
        <v>0.10204081632653061</v>
      </c>
      <c r="BI792" s="67">
        <f>IFERROR(((AG792*(12000/5))/((F792*60+G792)*(SUMIFS(팀공격력!X:X,팀공격력!A:A,B792,팀공격력!B:B,D792)+SUMIFS(팀수비력!X:X,팀수비력!A:A,B792,팀수비력!B:B,D792))))*100,"")</f>
        <v>0.59184438438319953</v>
      </c>
      <c r="BJ792" s="67">
        <f>IFERROR(((AI792*(12000/5))/((F792*60+G792)*(SUMIFS(팀공격력!V:V,팀공격력!A:A,B792,팀공격력!B:B,D792)+SUMIFS(팀수비력!W:W,팀수비력!A:A,B792,팀수비력!B:B,D792))))*100,"")</f>
        <v>7.3530913621601748</v>
      </c>
      <c r="BK792" s="67">
        <f>IFERROR(((AE792*(12000/5))/((F792*60+G792)*(SUMIFS(팀공격력!X:X,팀공격력!A:A,B792,팀공격력!B:B,D792)+SUMIFS(팀수비력!X:X,팀수비력!A:A,B792,팀수비력!B:B,D792))))*100,"")</f>
        <v>4.1429106906823963</v>
      </c>
      <c r="BL792" s="67">
        <f>IFERROR(100*AK792/(((((F792*60+G792)/(12000/5))*SUMIFS(팀공격력!P:P,팀공격력!A:A,B792,팀공격력!B:B,D792))-K792)),"")</f>
        <v>7.2688114147260734</v>
      </c>
      <c r="BM792" s="67">
        <f>IFERROR(100*((AM792/E792*(2400))/((F792*60+G792)*SUMIFS(팀공격력!AR:AR,팀공격력!A:A,B792,팀공격력!B:B,D792))),"")</f>
        <v>1.342293762399466</v>
      </c>
      <c r="BN792" s="67">
        <f>IFERROR((AO792*40)/(((F792*60+G792)/60)*(SUMIFS(팀수비력!Q:Q,팀수비력!A:A,B792,팀수비력!B:B,D792)-SUMIFS(팀수비력!N:N,팀수비력!A:A,B792,팀수비력!B:B,D792)))*100,"")</f>
        <v>0</v>
      </c>
      <c r="BO792" s="67">
        <f t="shared" si="399"/>
        <v>1.9157088122605364</v>
      </c>
      <c r="BT792" t="s">
        <v>89</v>
      </c>
      <c r="BV792" t="s">
        <v>93</v>
      </c>
      <c r="CF792">
        <v>5</v>
      </c>
      <c r="CG792">
        <v>3</v>
      </c>
    </row>
    <row r="793" spans="1:85" x14ac:dyDescent="0.4">
      <c r="A793" s="11" t="s">
        <v>85</v>
      </c>
      <c r="B793" t="s">
        <v>263</v>
      </c>
      <c r="C793" t="s">
        <v>275</v>
      </c>
      <c r="D793" s="46" t="s">
        <v>311</v>
      </c>
      <c r="E793">
        <v>3</v>
      </c>
      <c r="F793">
        <v>2</v>
      </c>
      <c r="G793" s="1">
        <v>42</v>
      </c>
      <c r="H793" s="16">
        <f t="shared" si="374"/>
        <v>486</v>
      </c>
      <c r="I793">
        <v>2</v>
      </c>
      <c r="J793" s="17">
        <f t="shared" si="375"/>
        <v>0.66666666666666663</v>
      </c>
      <c r="K793">
        <v>1</v>
      </c>
      <c r="L793">
        <v>2</v>
      </c>
      <c r="M793" s="17">
        <f t="shared" si="376"/>
        <v>0.33333333333333331</v>
      </c>
      <c r="N793" s="17">
        <f t="shared" si="377"/>
        <v>0.66666666666666663</v>
      </c>
      <c r="O793" s="18">
        <f t="shared" si="378"/>
        <v>0.5</v>
      </c>
      <c r="P793">
        <v>1</v>
      </c>
      <c r="Q793">
        <v>1</v>
      </c>
      <c r="R793" s="17">
        <f t="shared" si="379"/>
        <v>0.33333333333333331</v>
      </c>
      <c r="S793" s="17">
        <f t="shared" si="380"/>
        <v>0.33333333333333331</v>
      </c>
      <c r="T793" s="18">
        <f t="shared" si="381"/>
        <v>1</v>
      </c>
      <c r="U793">
        <v>0</v>
      </c>
      <c r="V793">
        <v>1</v>
      </c>
      <c r="W793" s="17">
        <f t="shared" si="382"/>
        <v>0</v>
      </c>
      <c r="X793" s="17">
        <f t="shared" si="383"/>
        <v>0.33333333333333331</v>
      </c>
      <c r="Y793" s="18">
        <f t="shared" si="384"/>
        <v>0</v>
      </c>
      <c r="Z793">
        <v>0</v>
      </c>
      <c r="AA793">
        <v>0</v>
      </c>
      <c r="AB793" s="17">
        <f t="shared" si="385"/>
        <v>0</v>
      </c>
      <c r="AC793" s="17">
        <f t="shared" si="386"/>
        <v>0</v>
      </c>
      <c r="AD793" s="18" t="e">
        <f t="shared" si="387"/>
        <v>#DIV/0!</v>
      </c>
      <c r="AE793">
        <v>2</v>
      </c>
      <c r="AF793" s="17">
        <f t="shared" si="388"/>
        <v>0.66666666666666663</v>
      </c>
      <c r="AG793">
        <v>0</v>
      </c>
      <c r="AH793" s="17">
        <f t="shared" si="389"/>
        <v>0</v>
      </c>
      <c r="AI793">
        <v>2</v>
      </c>
      <c r="AJ793" s="17">
        <f t="shared" si="390"/>
        <v>0.66666666666666663</v>
      </c>
      <c r="AK793">
        <v>0</v>
      </c>
      <c r="AL793" s="17">
        <f t="shared" si="391"/>
        <v>0</v>
      </c>
      <c r="AM793">
        <v>0</v>
      </c>
      <c r="AN793" s="17">
        <f t="shared" si="392"/>
        <v>0</v>
      </c>
      <c r="AO793">
        <v>0</v>
      </c>
      <c r="AQ793">
        <v>0</v>
      </c>
      <c r="AR793" s="17">
        <f t="shared" si="393"/>
        <v>0</v>
      </c>
      <c r="AS793">
        <v>0</v>
      </c>
      <c r="AT793" s="17">
        <f t="shared" si="394"/>
        <v>0</v>
      </c>
      <c r="BD793" s="65">
        <f t="shared" si="395"/>
        <v>50</v>
      </c>
      <c r="BE793" s="65">
        <f t="shared" si="396"/>
        <v>50</v>
      </c>
      <c r="BF793" s="66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4.3432467941409598</v>
      </c>
      <c r="BG793" s="38">
        <f t="shared" si="397"/>
        <v>0.5</v>
      </c>
      <c r="BH793" s="38">
        <f t="shared" si="398"/>
        <v>0</v>
      </c>
      <c r="BI793" s="67">
        <f>IFERROR(((AG793*(12000/5))/((F793*60+G793)*(SUMIFS(팀공격력!X:X,팀공격력!A:A,B793,팀공격력!B:B,D793)+SUMIFS(팀수비력!X:X,팀수비력!A:A,B793,팀수비력!B:B,D793))))*100,"")</f>
        <v>0</v>
      </c>
      <c r="BJ793" s="67">
        <f>IFERROR(((AI793*(12000/5))/((F793*60+G793)*(SUMIFS(팀공격력!V:V,팀공격력!A:A,B793,팀공격력!B:B,D793)+SUMIFS(팀수비력!W:W,팀수비력!A:A,B793,팀수비력!B:B,D793))))*100,"")</f>
        <v>10.469833791388563</v>
      </c>
      <c r="BK793" s="67">
        <f>IFERROR(((AE793*(12000/5))/((F793*60+G793)*(SUMIFS(팀공격력!X:X,팀공격력!A:A,B793,팀공격력!B:B,D793)+SUMIFS(팀수비력!X:X,팀수비력!A:A,B793,팀수비력!B:B,D793))))*100,"")</f>
        <v>5.0562507900391855</v>
      </c>
      <c r="BL793" s="67">
        <f>IFERROR(100*AK793/(((((F793*60+G793)/(12000/5))*SUMIFS(팀공격력!P:P,팀공격력!A:A,B793,팀공격력!B:B,D793))-K793)),"")</f>
        <v>0</v>
      </c>
      <c r="BM793" s="67">
        <f>IFERROR(100*((AM793/E793*(2400))/((F793*60+G793)*SUMIFS(팀공격력!AR:AR,팀공격력!A:A,B793,팀공격력!B:B,D793))),"")</f>
        <v>0</v>
      </c>
      <c r="BN793" s="67">
        <f>IFERROR((AO793*40)/(((F793*60+G793)/60)*(SUMIFS(팀수비력!Q:Q,팀수비력!A:A,B793,팀수비력!B:B,D793)-SUMIFS(팀수비력!N:N,팀수비력!A:A,B793,팀수비력!B:B,D793)))*100,"")</f>
        <v>0</v>
      </c>
      <c r="BO793" s="67">
        <f t="shared" si="399"/>
        <v>0</v>
      </c>
      <c r="BT793" t="s">
        <v>89</v>
      </c>
      <c r="BV793" t="s">
        <v>90</v>
      </c>
      <c r="CF793">
        <v>2</v>
      </c>
      <c r="CG793">
        <v>1</v>
      </c>
    </row>
    <row r="794" spans="1:85" x14ac:dyDescent="0.4">
      <c r="A794" s="11" t="s">
        <v>85</v>
      </c>
      <c r="B794" t="s">
        <v>263</v>
      </c>
      <c r="C794" t="s">
        <v>276</v>
      </c>
      <c r="D794" s="46" t="s">
        <v>311</v>
      </c>
      <c r="E794">
        <v>6</v>
      </c>
      <c r="F794">
        <v>6</v>
      </c>
      <c r="G794" s="1">
        <v>44</v>
      </c>
      <c r="H794" s="16">
        <f t="shared" si="374"/>
        <v>2424</v>
      </c>
      <c r="I794">
        <v>15</v>
      </c>
      <c r="J794" s="17">
        <f t="shared" si="375"/>
        <v>2.5</v>
      </c>
      <c r="K794">
        <v>6</v>
      </c>
      <c r="L794">
        <v>9</v>
      </c>
      <c r="M794" s="17">
        <f t="shared" si="376"/>
        <v>1</v>
      </c>
      <c r="N794" s="17">
        <f t="shared" si="377"/>
        <v>1.5</v>
      </c>
      <c r="O794" s="18">
        <f t="shared" si="378"/>
        <v>0.66666666666666663</v>
      </c>
      <c r="P794">
        <v>4</v>
      </c>
      <c r="Q794">
        <v>5</v>
      </c>
      <c r="R794" s="17">
        <f t="shared" si="379"/>
        <v>0.66666666666666663</v>
      </c>
      <c r="S794" s="17">
        <f t="shared" si="380"/>
        <v>0.83333333333333337</v>
      </c>
      <c r="T794" s="18">
        <f t="shared" si="381"/>
        <v>0.8</v>
      </c>
      <c r="U794">
        <v>2</v>
      </c>
      <c r="V794">
        <v>4</v>
      </c>
      <c r="W794" s="17">
        <f t="shared" si="382"/>
        <v>0.33333333333333331</v>
      </c>
      <c r="X794" s="17">
        <f t="shared" si="383"/>
        <v>0.66666666666666663</v>
      </c>
      <c r="Y794" s="18">
        <f t="shared" si="384"/>
        <v>0.5</v>
      </c>
      <c r="Z794">
        <v>1</v>
      </c>
      <c r="AA794">
        <v>3</v>
      </c>
      <c r="AB794" s="17">
        <f t="shared" si="385"/>
        <v>0.16666666666666666</v>
      </c>
      <c r="AC794" s="17">
        <f t="shared" si="386"/>
        <v>0.5</v>
      </c>
      <c r="AD794" s="18">
        <f t="shared" si="387"/>
        <v>0.33333333333333331</v>
      </c>
      <c r="AE794">
        <v>6</v>
      </c>
      <c r="AF794" s="17">
        <f t="shared" si="388"/>
        <v>1</v>
      </c>
      <c r="AG794">
        <v>0</v>
      </c>
      <c r="AH794" s="17">
        <f t="shared" si="389"/>
        <v>0</v>
      </c>
      <c r="AI794">
        <v>6</v>
      </c>
      <c r="AJ794" s="17">
        <f t="shared" si="390"/>
        <v>1</v>
      </c>
      <c r="AK794">
        <v>2</v>
      </c>
      <c r="AL794" s="17">
        <f t="shared" si="391"/>
        <v>0.33333333333333331</v>
      </c>
      <c r="AM794">
        <v>1</v>
      </c>
      <c r="AN794" s="17">
        <f t="shared" si="392"/>
        <v>0.16666666666666666</v>
      </c>
      <c r="AO794">
        <v>1</v>
      </c>
      <c r="AQ794">
        <v>0</v>
      </c>
      <c r="AR794" s="17">
        <f t="shared" si="393"/>
        <v>0</v>
      </c>
      <c r="AS794">
        <v>6</v>
      </c>
      <c r="AT794" s="17">
        <f t="shared" si="394"/>
        <v>1</v>
      </c>
      <c r="BD794" s="65">
        <f t="shared" si="395"/>
        <v>72.674418604651152</v>
      </c>
      <c r="BE794" s="65">
        <f t="shared" si="396"/>
        <v>77.777777777777786</v>
      </c>
      <c r="BF794" s="66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8.9866506439562155</v>
      </c>
      <c r="BG794" s="38">
        <f t="shared" si="397"/>
        <v>0.44444444444444442</v>
      </c>
      <c r="BH794" s="38">
        <f t="shared" si="398"/>
        <v>0.33333333333333331</v>
      </c>
      <c r="BI794" s="67">
        <f>IFERROR(((AG794*(12000/5))/((F794*60+G794)*(SUMIFS(팀공격력!X:X,팀공격력!A:A,B794,팀공격력!B:B,D794)+SUMIFS(팀수비력!X:X,팀수비력!A:A,B794,팀수비력!B:B,D794))))*100,"")</f>
        <v>0</v>
      </c>
      <c r="BJ794" s="67">
        <f>IFERROR(((AI794*(12000/5))/((F794*60+G794)*(SUMIFS(팀공격력!V:V,팀공격력!A:A,B794,팀공격력!B:B,D794)+SUMIFS(팀수비력!W:W,팀수비력!A:A,B794,팀수비력!B:B,D794))))*100,"")</f>
        <v>12.594899065878321</v>
      </c>
      <c r="BK794" s="67">
        <f>IFERROR(((AE794*(12000/5))/((F794*60+G794)*(SUMIFS(팀공격력!X:X,팀공격력!A:A,B794,팀공격력!B:B,D794)+SUMIFS(팀수비력!X:X,팀수비력!A:A,B794,팀수비력!B:B,D794))))*100,"")</f>
        <v>6.0825195147501097</v>
      </c>
      <c r="BL794" s="67">
        <f>IFERROR(100*AK794/(((((F794*60+G794)/(12000/5))*SUMIFS(팀공격력!P:P,팀공격력!A:A,B794,팀공격력!B:B,D794))-K794)),"")</f>
        <v>5.1802287934383768</v>
      </c>
      <c r="BM794" s="67">
        <f>IFERROR(100*((AM794/E794*(2400))/((F794*60+G794)*SUMIFS(팀공격력!AR:AR,팀공격력!A:A,B794,팀공격력!B:B,D794))),"")</f>
        <v>1.5327842963373439</v>
      </c>
      <c r="BN794" s="67">
        <f>IFERROR((AO794*40)/(((F794*60+G794)/60)*(SUMIFS(팀수비력!Q:Q,팀수비력!A:A,B794,팀수비력!B:B,D794)-SUMIFS(팀수비력!N:N,팀수비력!A:A,B794,팀수비력!B:B,D794)))*100,"")</f>
        <v>1.6142918639690054</v>
      </c>
      <c r="BO794" s="67">
        <f t="shared" si="399"/>
        <v>0</v>
      </c>
      <c r="BT794" t="s">
        <v>89</v>
      </c>
      <c r="BV794" t="s">
        <v>93</v>
      </c>
      <c r="CF794">
        <v>3</v>
      </c>
      <c r="CG794">
        <v>3</v>
      </c>
    </row>
    <row r="795" spans="1:85" x14ac:dyDescent="0.4">
      <c r="A795" s="11" t="s">
        <v>85</v>
      </c>
      <c r="B795" t="s">
        <v>263</v>
      </c>
      <c r="C795" t="s">
        <v>277</v>
      </c>
      <c r="D795" s="46" t="s">
        <v>311</v>
      </c>
      <c r="E795">
        <v>1</v>
      </c>
      <c r="F795">
        <v>13</v>
      </c>
      <c r="G795" s="1">
        <v>20</v>
      </c>
      <c r="H795" s="16">
        <f t="shared" si="374"/>
        <v>800</v>
      </c>
      <c r="I795">
        <v>6</v>
      </c>
      <c r="J795" s="17">
        <f t="shared" si="375"/>
        <v>6</v>
      </c>
      <c r="K795">
        <v>2</v>
      </c>
      <c r="L795">
        <v>10</v>
      </c>
      <c r="M795" s="17">
        <f t="shared" si="376"/>
        <v>2</v>
      </c>
      <c r="N795" s="17">
        <f t="shared" si="377"/>
        <v>10</v>
      </c>
      <c r="O795" s="18">
        <f t="shared" si="378"/>
        <v>0.2</v>
      </c>
      <c r="P795">
        <v>0</v>
      </c>
      <c r="Q795">
        <v>2</v>
      </c>
      <c r="R795" s="17">
        <f t="shared" si="379"/>
        <v>0</v>
      </c>
      <c r="S795" s="17">
        <f t="shared" si="380"/>
        <v>2</v>
      </c>
      <c r="T795" s="18">
        <f t="shared" si="381"/>
        <v>0</v>
      </c>
      <c r="U795">
        <v>2</v>
      </c>
      <c r="V795">
        <v>8</v>
      </c>
      <c r="W795" s="17">
        <f t="shared" si="382"/>
        <v>2</v>
      </c>
      <c r="X795" s="17">
        <f t="shared" si="383"/>
        <v>8</v>
      </c>
      <c r="Y795" s="18">
        <f t="shared" si="384"/>
        <v>0.25</v>
      </c>
      <c r="Z795">
        <v>0</v>
      </c>
      <c r="AA795">
        <v>0</v>
      </c>
      <c r="AB795" s="17">
        <f t="shared" si="385"/>
        <v>0</v>
      </c>
      <c r="AC795" s="17">
        <f t="shared" si="386"/>
        <v>0</v>
      </c>
      <c r="AD795" s="18" t="e">
        <f t="shared" si="387"/>
        <v>#DIV/0!</v>
      </c>
      <c r="AE795">
        <v>0</v>
      </c>
      <c r="AF795" s="17">
        <f t="shared" si="388"/>
        <v>0</v>
      </c>
      <c r="AG795">
        <v>0</v>
      </c>
      <c r="AH795" s="17">
        <f t="shared" si="389"/>
        <v>0</v>
      </c>
      <c r="AI795">
        <v>0</v>
      </c>
      <c r="AJ795" s="17">
        <f t="shared" si="390"/>
        <v>0</v>
      </c>
      <c r="AK795">
        <v>4</v>
      </c>
      <c r="AL795" s="17">
        <f t="shared" si="391"/>
        <v>4</v>
      </c>
      <c r="AM795">
        <v>1</v>
      </c>
      <c r="AN795" s="17">
        <f t="shared" si="392"/>
        <v>1</v>
      </c>
      <c r="AO795">
        <v>0</v>
      </c>
      <c r="AQ795">
        <v>2</v>
      </c>
      <c r="AR795" s="17">
        <f t="shared" si="393"/>
        <v>2</v>
      </c>
      <c r="AS795">
        <v>2</v>
      </c>
      <c r="AT795" s="17">
        <f t="shared" si="394"/>
        <v>2</v>
      </c>
      <c r="BD795" s="65">
        <f t="shared" si="395"/>
        <v>30</v>
      </c>
      <c r="BE795" s="65">
        <f t="shared" si="396"/>
        <v>30</v>
      </c>
      <c r="BF795" s="66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5.2770448548812663</v>
      </c>
      <c r="BG795" s="38">
        <f t="shared" si="397"/>
        <v>0.8</v>
      </c>
      <c r="BH795" s="38">
        <f t="shared" si="398"/>
        <v>0</v>
      </c>
      <c r="BI795" s="67">
        <f>IFERROR(((AG795*(12000/5))/((F795*60+G795)*(SUMIFS(팀공격력!X:X,팀공격력!A:A,B795,팀공격력!B:B,D795)+SUMIFS(팀수비력!X:X,팀수비력!A:A,B795,팀수비력!B:B,D795))))*100,"")</f>
        <v>0</v>
      </c>
      <c r="BJ795" s="67">
        <f>IFERROR(((AI795*(12000/5))/((F795*60+G795)*(SUMIFS(팀공격력!V:V,팀공격력!A:A,B795,팀공격력!B:B,D795)+SUMIFS(팀수비력!W:W,팀수비력!A:A,B795,팀수비력!B:B,D795))))*100,"")</f>
        <v>0</v>
      </c>
      <c r="BK795" s="67">
        <f>IFERROR(((AE795*(12000/5))/((F795*60+G795)*(SUMIFS(팀공격력!X:X,팀공격력!A:A,B795,팀공격력!B:B,D795)+SUMIFS(팀수비력!X:X,팀수비력!A:A,B795,팀수비력!B:B,D795))))*100,"")</f>
        <v>0</v>
      </c>
      <c r="BL795" s="67">
        <f>IFERROR(100*AK795/(((((F795*60+G795)/(12000/5))*SUMIFS(팀공격력!P:P,팀공격력!A:A,B795,팀공격력!B:B,D795))-K795)),"")</f>
        <v>4.6332046332046337</v>
      </c>
      <c r="BM795" s="67">
        <f>IFERROR(100*((AM795/E795*(2400))/((F795*60+G795)*SUMIFS(팀공격력!AR:AR,팀공격력!A:A,B795,팀공격력!B:B,D795))),"")</f>
        <v>4.644336417902152</v>
      </c>
      <c r="BN795" s="67">
        <f>IFERROR((AO795*40)/(((F795*60+G795)/60)*(SUMIFS(팀수비력!Q:Q,팀수비력!A:A,B795,팀수비력!B:B,D795)-SUMIFS(팀수비력!N:N,팀수비력!A:A,B795,팀수비력!B:B,D795)))*100,"")</f>
        <v>0</v>
      </c>
      <c r="BO795" s="67">
        <f t="shared" si="399"/>
        <v>16.666666666666668</v>
      </c>
      <c r="BT795" t="s">
        <v>89</v>
      </c>
      <c r="BV795" t="s">
        <v>90</v>
      </c>
      <c r="CF795">
        <v>0</v>
      </c>
      <c r="CG795">
        <v>1</v>
      </c>
    </row>
    <row r="796" spans="1:85" x14ac:dyDescent="0.4">
      <c r="A796" s="11" t="s">
        <v>85</v>
      </c>
      <c r="B796" t="s">
        <v>263</v>
      </c>
      <c r="C796" t="s">
        <v>278</v>
      </c>
      <c r="D796" s="46" t="s">
        <v>311</v>
      </c>
      <c r="E796">
        <v>8</v>
      </c>
      <c r="F796">
        <v>33</v>
      </c>
      <c r="G796" s="1">
        <v>0</v>
      </c>
      <c r="H796" s="16">
        <f t="shared" si="374"/>
        <v>15840</v>
      </c>
      <c r="I796">
        <v>129</v>
      </c>
      <c r="J796" s="17">
        <f t="shared" si="375"/>
        <v>16.125</v>
      </c>
      <c r="K796">
        <v>47</v>
      </c>
      <c r="L796">
        <v>93</v>
      </c>
      <c r="M796" s="17">
        <f t="shared" si="376"/>
        <v>5.875</v>
      </c>
      <c r="N796" s="17">
        <f t="shared" si="377"/>
        <v>11.625</v>
      </c>
      <c r="O796" s="18">
        <f t="shared" si="378"/>
        <v>0.5053763440860215</v>
      </c>
      <c r="P796">
        <v>29</v>
      </c>
      <c r="Q796">
        <v>52</v>
      </c>
      <c r="R796" s="17">
        <f t="shared" si="379"/>
        <v>3.625</v>
      </c>
      <c r="S796" s="17">
        <f t="shared" si="380"/>
        <v>6.5</v>
      </c>
      <c r="T796" s="18">
        <f t="shared" si="381"/>
        <v>0.55769230769230771</v>
      </c>
      <c r="U796">
        <v>18</v>
      </c>
      <c r="V796">
        <v>41</v>
      </c>
      <c r="W796" s="17">
        <f t="shared" si="382"/>
        <v>2.25</v>
      </c>
      <c r="X796" s="17">
        <f t="shared" si="383"/>
        <v>5.125</v>
      </c>
      <c r="Y796" s="18">
        <f t="shared" si="384"/>
        <v>0.43902439024390244</v>
      </c>
      <c r="Z796">
        <v>17</v>
      </c>
      <c r="AA796">
        <v>23</v>
      </c>
      <c r="AB796" s="17">
        <f t="shared" si="385"/>
        <v>2.125</v>
      </c>
      <c r="AC796" s="17">
        <f t="shared" si="386"/>
        <v>2.875</v>
      </c>
      <c r="AD796" s="18">
        <f t="shared" si="387"/>
        <v>0.73913043478260865</v>
      </c>
      <c r="AE796">
        <v>27</v>
      </c>
      <c r="AF796" s="17">
        <f t="shared" si="388"/>
        <v>3.375</v>
      </c>
      <c r="AG796">
        <v>5</v>
      </c>
      <c r="AH796" s="17">
        <f t="shared" si="389"/>
        <v>0.625</v>
      </c>
      <c r="AI796">
        <v>22</v>
      </c>
      <c r="AJ796" s="17">
        <f t="shared" si="390"/>
        <v>2.75</v>
      </c>
      <c r="AK796">
        <v>49</v>
      </c>
      <c r="AL796" s="17">
        <f t="shared" si="391"/>
        <v>6.125</v>
      </c>
      <c r="AM796">
        <v>10</v>
      </c>
      <c r="AN796" s="17">
        <f t="shared" si="392"/>
        <v>1.25</v>
      </c>
      <c r="AO796">
        <v>2</v>
      </c>
      <c r="AQ796">
        <v>10</v>
      </c>
      <c r="AR796" s="17">
        <f t="shared" si="393"/>
        <v>1.25</v>
      </c>
      <c r="AS796">
        <v>19</v>
      </c>
      <c r="AT796" s="17">
        <f t="shared" si="394"/>
        <v>2.375</v>
      </c>
      <c r="BD796" s="65">
        <f t="shared" si="395"/>
        <v>62.548487199379366</v>
      </c>
      <c r="BE796" s="65">
        <f t="shared" si="396"/>
        <v>60.215053763440864</v>
      </c>
      <c r="BF796" s="66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20.098966800813766</v>
      </c>
      <c r="BG796" s="38">
        <f t="shared" si="397"/>
        <v>0.44086021505376344</v>
      </c>
      <c r="BH796" s="38">
        <f t="shared" si="398"/>
        <v>0.24731182795698925</v>
      </c>
      <c r="BI796" s="67">
        <f>IFERROR(((AG796*(12000/5))/((F796*60+G796)*(SUMIFS(팀공격력!X:X,팀공격력!A:A,B796,팀공격력!B:B,D796)+SUMIFS(팀수비력!X:X,팀수비력!A:A,B796,팀수비력!B:B,D796))))*100,"")</f>
        <v>1.034233116144379</v>
      </c>
      <c r="BJ796" s="67">
        <f>IFERROR(((AI796*(12000/5))/((F796*60+G796)*(SUMIFS(팀공격력!V:V,팀공격력!A:A,B796,팀공격력!B:B,D796)+SUMIFS(팀수비력!W:W,팀수비력!A:A,B796,팀수비력!B:B,D796))))*100,"")</f>
        <v>9.422850412249705</v>
      </c>
      <c r="BK796" s="67">
        <f>IFERROR(((AE796*(12000/5))/((F796*60+G796)*(SUMIFS(팀공격력!X:X,팀공격력!A:A,B796,팀공격력!B:B,D796)+SUMIFS(팀수비력!X:X,팀수비력!A:A,B796,팀수비력!B:B,D796))))*100,"")</f>
        <v>5.5848588271796462</v>
      </c>
      <c r="BL796" s="67">
        <f>IFERROR(100*AK796/(((((F796*60+G796)/(12000/5))*SUMIFS(팀공격력!P:P,팀공격력!A:A,B796,팀공격력!B:B,D796))-K796)),"")</f>
        <v>28.55061908230153</v>
      </c>
      <c r="BM796" s="67">
        <f>IFERROR(100*((AM796/E796*(2400))/((F796*60+G796)*SUMIFS(팀공격력!AR:AR,팀공격력!A:A,B796,팀공격력!B:B,D796))),"")</f>
        <v>2.3456244534859354</v>
      </c>
      <c r="BN796" s="67">
        <f>IFERROR((AO796*40)/(((F796*60+G796)/60)*(SUMIFS(팀수비력!Q:Q,팀수비력!A:A,B796,팀수비력!B:B,D796)-SUMIFS(팀수비력!N:N,팀수비력!A:A,B796,팀수비력!B:B,D796)))*100,"")</f>
        <v>0.65876152832674573</v>
      </c>
      <c r="BO796" s="67">
        <f t="shared" si="399"/>
        <v>8.8401697312588396</v>
      </c>
      <c r="BT796" t="s">
        <v>113</v>
      </c>
      <c r="BV796" t="s">
        <v>90</v>
      </c>
      <c r="CF796">
        <v>5</v>
      </c>
      <c r="CG796">
        <v>3</v>
      </c>
    </row>
    <row r="797" spans="1:85" x14ac:dyDescent="0.4">
      <c r="A797" s="11" t="s">
        <v>85</v>
      </c>
      <c r="B797" t="s">
        <v>263</v>
      </c>
      <c r="C797" t="s">
        <v>279</v>
      </c>
      <c r="D797" s="46" t="s">
        <v>311</v>
      </c>
      <c r="E797">
        <v>6</v>
      </c>
      <c r="F797">
        <v>10</v>
      </c>
      <c r="G797" s="1">
        <v>10</v>
      </c>
      <c r="H797" s="16">
        <f t="shared" si="374"/>
        <v>3660</v>
      </c>
      <c r="I797">
        <v>31</v>
      </c>
      <c r="J797" s="17">
        <f t="shared" si="375"/>
        <v>5.166666666666667</v>
      </c>
      <c r="K797">
        <v>12</v>
      </c>
      <c r="L797">
        <v>25</v>
      </c>
      <c r="M797" s="17">
        <f t="shared" si="376"/>
        <v>2</v>
      </c>
      <c r="N797" s="17">
        <f t="shared" si="377"/>
        <v>4.166666666666667</v>
      </c>
      <c r="O797" s="18">
        <f t="shared" si="378"/>
        <v>0.48</v>
      </c>
      <c r="P797">
        <v>5</v>
      </c>
      <c r="Q797">
        <v>6</v>
      </c>
      <c r="R797" s="17">
        <f t="shared" si="379"/>
        <v>0.83333333333333337</v>
      </c>
      <c r="S797" s="17">
        <f t="shared" si="380"/>
        <v>1</v>
      </c>
      <c r="T797" s="18">
        <f t="shared" si="381"/>
        <v>0.83333333333333337</v>
      </c>
      <c r="U797">
        <v>7</v>
      </c>
      <c r="V797">
        <v>19</v>
      </c>
      <c r="W797" s="17">
        <f t="shared" si="382"/>
        <v>1.1666666666666667</v>
      </c>
      <c r="X797" s="17">
        <f t="shared" si="383"/>
        <v>3.1666666666666665</v>
      </c>
      <c r="Y797" s="18">
        <f t="shared" si="384"/>
        <v>0.36842105263157893</v>
      </c>
      <c r="Z797">
        <v>0</v>
      </c>
      <c r="AA797">
        <v>1</v>
      </c>
      <c r="AB797" s="17">
        <f t="shared" si="385"/>
        <v>0</v>
      </c>
      <c r="AC797" s="17">
        <f t="shared" si="386"/>
        <v>0.16666666666666666</v>
      </c>
      <c r="AD797" s="18">
        <f t="shared" si="387"/>
        <v>0</v>
      </c>
      <c r="AE797">
        <v>3</v>
      </c>
      <c r="AF797" s="17">
        <f t="shared" si="388"/>
        <v>0.5</v>
      </c>
      <c r="AG797">
        <v>2</v>
      </c>
      <c r="AH797" s="17">
        <f t="shared" si="389"/>
        <v>0.33333333333333331</v>
      </c>
      <c r="AI797">
        <v>1</v>
      </c>
      <c r="AJ797" s="17">
        <f t="shared" si="390"/>
        <v>0.16666666666666666</v>
      </c>
      <c r="AK797">
        <v>0</v>
      </c>
      <c r="AL797" s="17">
        <f t="shared" si="391"/>
        <v>0</v>
      </c>
      <c r="AM797">
        <v>0</v>
      </c>
      <c r="AN797" s="17">
        <f t="shared" si="392"/>
        <v>0</v>
      </c>
      <c r="AO797">
        <v>0</v>
      </c>
      <c r="AQ797">
        <v>3</v>
      </c>
      <c r="AR797" s="17">
        <f t="shared" si="393"/>
        <v>0.5</v>
      </c>
      <c r="AS797">
        <v>7</v>
      </c>
      <c r="AT797" s="17">
        <f t="shared" si="394"/>
        <v>1.1666666666666667</v>
      </c>
      <c r="BD797" s="65">
        <f t="shared" si="395"/>
        <v>60.927672955974842</v>
      </c>
      <c r="BE797" s="65">
        <f t="shared" si="396"/>
        <v>62</v>
      </c>
      <c r="BF797" s="66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16.402093516155542</v>
      </c>
      <c r="BG797" s="38">
        <f t="shared" si="397"/>
        <v>0.76</v>
      </c>
      <c r="BH797" s="38">
        <f t="shared" si="398"/>
        <v>0.04</v>
      </c>
      <c r="BI797" s="67">
        <f>IFERROR(((AG797*(12000/5))/((F797*60+G797)*(SUMIFS(팀공격력!X:X,팀공격력!A:A,B797,팀공격력!B:B,D797)+SUMIFS(팀수비력!X:X,팀수비력!A:A,B797,팀수비력!B:B,D797))))*100,"")</f>
        <v>1.3428075868628657</v>
      </c>
      <c r="BJ797" s="67">
        <f>IFERROR(((AI797*(12000/5))/((F797*60+G797)*(SUMIFS(팀공격력!V:V,팀공격력!A:A,B797,팀공격력!B:B,D797)+SUMIFS(팀수비력!W:W,팀수비력!A:A,B797,팀수비력!B:B,D797))))*100,"")</f>
        <v>1.3902566182007763</v>
      </c>
      <c r="BK797" s="67">
        <f>IFERROR(((AE797*(12000/5))/((F797*60+G797)*(SUMIFS(팀공격력!X:X,팀공격력!A:A,B797,팀공격력!B:B,D797)+SUMIFS(팀수비력!X:X,팀수비력!A:A,B797,팀수비력!B:B,D797))))*100,"")</f>
        <v>2.0142113802942987</v>
      </c>
      <c r="BL797" s="67">
        <f>IFERROR(100*AK797/(((((F797*60+G797)/(12000/5))*SUMIFS(팀공격력!P:P,팀공격력!A:A,B797,팀공격력!B:B,D797))-K797)),"")</f>
        <v>0</v>
      </c>
      <c r="BM797" s="67">
        <f>IFERROR(100*((AM797/E797*(2400))/((F797*60+G797)*SUMIFS(팀공격력!AR:AR,팀공격력!A:A,B797,팀공격력!B:B,D797))),"")</f>
        <v>0</v>
      </c>
      <c r="BN797" s="67">
        <f>IFERROR((AO797*40)/(((F797*60+G797)/60)*(SUMIFS(팀수비력!Q:Q,팀수비력!A:A,B797,팀수비력!B:B,D797)-SUMIFS(팀수비력!N:N,팀수비력!A:A,B797,팀수비력!B:B,D797)))*100,"")</f>
        <v>0</v>
      </c>
      <c r="BO797" s="67">
        <f t="shared" si="399"/>
        <v>10.548523206751055</v>
      </c>
      <c r="BT797" t="s">
        <v>89</v>
      </c>
      <c r="BV797" t="s">
        <v>90</v>
      </c>
      <c r="CF797">
        <v>3</v>
      </c>
      <c r="CG797">
        <v>3</v>
      </c>
    </row>
    <row r="798" spans="1:85" x14ac:dyDescent="0.4">
      <c r="A798" s="11" t="s">
        <v>85</v>
      </c>
      <c r="B798" t="s">
        <v>263</v>
      </c>
      <c r="C798" t="s">
        <v>283</v>
      </c>
      <c r="D798" s="46" t="s">
        <v>311</v>
      </c>
      <c r="E798">
        <v>8</v>
      </c>
      <c r="F798">
        <v>8</v>
      </c>
      <c r="G798" s="1">
        <v>18</v>
      </c>
      <c r="H798" s="16">
        <f t="shared" si="374"/>
        <v>3984</v>
      </c>
      <c r="I798">
        <v>45</v>
      </c>
      <c r="J798" s="17">
        <f t="shared" si="375"/>
        <v>5.625</v>
      </c>
      <c r="K798">
        <v>19</v>
      </c>
      <c r="L798">
        <v>27</v>
      </c>
      <c r="M798" s="17">
        <f t="shared" si="376"/>
        <v>2.375</v>
      </c>
      <c r="N798" s="17">
        <f t="shared" si="377"/>
        <v>3.375</v>
      </c>
      <c r="O798" s="18">
        <f t="shared" si="378"/>
        <v>0.70370370370370372</v>
      </c>
      <c r="P798">
        <v>18</v>
      </c>
      <c r="Q798">
        <v>24</v>
      </c>
      <c r="R798" s="17">
        <f t="shared" si="379"/>
        <v>2.25</v>
      </c>
      <c r="S798" s="17">
        <f t="shared" si="380"/>
        <v>3</v>
      </c>
      <c r="T798" s="18">
        <f t="shared" si="381"/>
        <v>0.75</v>
      </c>
      <c r="U798">
        <v>1</v>
      </c>
      <c r="V798">
        <v>3</v>
      </c>
      <c r="W798" s="17">
        <f t="shared" si="382"/>
        <v>0.125</v>
      </c>
      <c r="X798" s="17">
        <f t="shared" si="383"/>
        <v>0.375</v>
      </c>
      <c r="Y798" s="18">
        <f t="shared" si="384"/>
        <v>0.33333333333333331</v>
      </c>
      <c r="Z798">
        <v>6</v>
      </c>
      <c r="AA798">
        <v>7</v>
      </c>
      <c r="AB798" s="17">
        <f t="shared" si="385"/>
        <v>0.75</v>
      </c>
      <c r="AC798" s="17">
        <f t="shared" si="386"/>
        <v>0.875</v>
      </c>
      <c r="AD798" s="18">
        <f t="shared" si="387"/>
        <v>0.8571428571428571</v>
      </c>
      <c r="AE798">
        <v>18</v>
      </c>
      <c r="AF798" s="17">
        <f t="shared" si="388"/>
        <v>2.25</v>
      </c>
      <c r="AG798">
        <v>4</v>
      </c>
      <c r="AH798" s="17">
        <f t="shared" si="389"/>
        <v>0.5</v>
      </c>
      <c r="AI798">
        <v>14</v>
      </c>
      <c r="AJ798" s="17">
        <f t="shared" si="390"/>
        <v>1.75</v>
      </c>
      <c r="AK798">
        <v>6</v>
      </c>
      <c r="AL798" s="17">
        <f t="shared" si="391"/>
        <v>0.75</v>
      </c>
      <c r="AM798">
        <v>2</v>
      </c>
      <c r="AN798" s="17">
        <f t="shared" si="392"/>
        <v>0.25</v>
      </c>
      <c r="AO798">
        <v>3</v>
      </c>
      <c r="AQ798">
        <v>4</v>
      </c>
      <c r="AR798" s="17">
        <f t="shared" si="393"/>
        <v>0.5</v>
      </c>
      <c r="AS798">
        <v>1</v>
      </c>
      <c r="AT798" s="17">
        <f t="shared" si="394"/>
        <v>0.125</v>
      </c>
      <c r="BD798" s="65">
        <f t="shared" si="395"/>
        <v>74.800531914893625</v>
      </c>
      <c r="BE798" s="65">
        <f t="shared" si="396"/>
        <v>72.222222222222214</v>
      </c>
      <c r="BF798" s="66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24.075192590944251</v>
      </c>
      <c r="BG798" s="38">
        <f t="shared" si="397"/>
        <v>0.1111111111111111</v>
      </c>
      <c r="BH798" s="38">
        <f t="shared" si="398"/>
        <v>0.25925925925925924</v>
      </c>
      <c r="BI798" s="67">
        <f>IFERROR(((AG798*(12000/5))/((F798*60+G798)*(SUMIFS(팀공격력!X:X,팀공격력!A:A,B798,팀공격력!B:B,D798)+SUMIFS(팀수비력!X:X,팀수비력!A:A,B798,팀수비력!B:B,D798))))*100,"")</f>
        <v>3.2896089477363382</v>
      </c>
      <c r="BJ798" s="67">
        <f>IFERROR(((AI798*(12000/5))/((F798*60+G798)*(SUMIFS(팀공격력!V:V,팀공격력!A:A,B798,팀공격력!B:B,D798)+SUMIFS(팀수비력!W:W,팀수비력!A:A,B798,팀수비력!B:B,D798))))*100,"")</f>
        <v>23.840946826173955</v>
      </c>
      <c r="BK798" s="67">
        <f>IFERROR(((AE798*(12000/5))/((F798*60+G798)*(SUMIFS(팀공격력!X:X,팀공격력!A:A,B798,팀공격력!B:B,D798)+SUMIFS(팀수비력!X:X,팀수비력!A:A,B798,팀수비력!B:B,D798))))*100,"")</f>
        <v>14.803240264813519</v>
      </c>
      <c r="BL798" s="67">
        <f>IFERROR(100*AK798/(((((F798*60+G798)/(12000/5))*SUMIFS(팀공격력!P:P,팀공격력!A:A,B798,팀공격력!B:B,D798))-K798)),"")</f>
        <v>16.67245571378951</v>
      </c>
      <c r="BM798" s="67">
        <f>IFERROR(100*((AM798/E798*(2400))/((F798*60+G798)*SUMIFS(팀공격력!AR:AR,팀공격력!A:A,B798,팀공격력!B:B,D798))),"")</f>
        <v>1.865195348555081</v>
      </c>
      <c r="BN798" s="67">
        <f>IFERROR((AO798*40)/(((F798*60+G798)/60)*(SUMIFS(팀수비력!Q:Q,팀수비력!A:A,B798,팀수비력!B:B,D798)-SUMIFS(팀수비력!N:N,팀수비력!A:A,B798,팀수비력!B:B,D798)))*100,"")</f>
        <v>3.9287585123101101</v>
      </c>
      <c r="BO798" s="67">
        <f t="shared" si="399"/>
        <v>11.737089201877934</v>
      </c>
      <c r="BT798" t="s">
        <v>96</v>
      </c>
      <c r="BV798" t="s">
        <v>102</v>
      </c>
      <c r="CF798">
        <v>5</v>
      </c>
      <c r="CG798">
        <v>3</v>
      </c>
    </row>
    <row r="799" spans="1:85" x14ac:dyDescent="0.4">
      <c r="A799" s="11" t="s">
        <v>85</v>
      </c>
      <c r="B799" t="s">
        <v>263</v>
      </c>
      <c r="C799" t="s">
        <v>285</v>
      </c>
      <c r="D799" s="46" t="s">
        <v>311</v>
      </c>
      <c r="E799">
        <v>8</v>
      </c>
      <c r="F799">
        <v>11</v>
      </c>
      <c r="G799" s="1">
        <v>57</v>
      </c>
      <c r="H799" s="16">
        <f t="shared" si="374"/>
        <v>5736</v>
      </c>
      <c r="I799">
        <v>19</v>
      </c>
      <c r="J799" s="17">
        <f t="shared" si="375"/>
        <v>2.375</v>
      </c>
      <c r="K799">
        <v>9</v>
      </c>
      <c r="L799">
        <v>24</v>
      </c>
      <c r="M799" s="17">
        <f t="shared" si="376"/>
        <v>1.125</v>
      </c>
      <c r="N799" s="17">
        <f t="shared" si="377"/>
        <v>3</v>
      </c>
      <c r="O799" s="18">
        <f t="shared" si="378"/>
        <v>0.375</v>
      </c>
      <c r="P799">
        <v>9</v>
      </c>
      <c r="Q799">
        <v>17</v>
      </c>
      <c r="R799" s="17">
        <f t="shared" si="379"/>
        <v>1.125</v>
      </c>
      <c r="S799" s="17">
        <f t="shared" si="380"/>
        <v>2.125</v>
      </c>
      <c r="T799" s="18">
        <f t="shared" si="381"/>
        <v>0.52941176470588236</v>
      </c>
      <c r="U799">
        <v>0</v>
      </c>
      <c r="V799">
        <v>7</v>
      </c>
      <c r="W799" s="17">
        <f t="shared" si="382"/>
        <v>0</v>
      </c>
      <c r="X799" s="17">
        <f t="shared" si="383"/>
        <v>0.875</v>
      </c>
      <c r="Y799" s="18">
        <f t="shared" si="384"/>
        <v>0</v>
      </c>
      <c r="Z799">
        <v>1</v>
      </c>
      <c r="AA799">
        <v>4</v>
      </c>
      <c r="AB799" s="17">
        <f t="shared" si="385"/>
        <v>0.125</v>
      </c>
      <c r="AC799" s="17">
        <f t="shared" si="386"/>
        <v>0.5</v>
      </c>
      <c r="AD799" s="18">
        <f t="shared" si="387"/>
        <v>0.25</v>
      </c>
      <c r="AE799">
        <v>12</v>
      </c>
      <c r="AF799" s="17">
        <f t="shared" si="388"/>
        <v>1.5</v>
      </c>
      <c r="AG799">
        <v>7</v>
      </c>
      <c r="AH799" s="17">
        <f t="shared" si="389"/>
        <v>0.875</v>
      </c>
      <c r="AI799">
        <v>5</v>
      </c>
      <c r="AJ799" s="17">
        <f t="shared" si="390"/>
        <v>0.625</v>
      </c>
      <c r="AK799">
        <v>4</v>
      </c>
      <c r="AL799" s="17">
        <f t="shared" si="391"/>
        <v>0.5</v>
      </c>
      <c r="AM799">
        <v>4</v>
      </c>
      <c r="AN799" s="17">
        <f t="shared" si="392"/>
        <v>0.5</v>
      </c>
      <c r="AO799">
        <v>0</v>
      </c>
      <c r="AQ799">
        <v>0</v>
      </c>
      <c r="AR799" s="17">
        <f t="shared" si="393"/>
        <v>0</v>
      </c>
      <c r="AS799">
        <v>11</v>
      </c>
      <c r="AT799" s="17">
        <f t="shared" si="394"/>
        <v>1.375</v>
      </c>
      <c r="BD799" s="65">
        <f t="shared" si="395"/>
        <v>36.878881987577635</v>
      </c>
      <c r="BE799" s="65">
        <f t="shared" si="396"/>
        <v>37.5</v>
      </c>
      <c r="BF799" s="66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12.639393348372053</v>
      </c>
      <c r="BG799" s="38">
        <f t="shared" si="397"/>
        <v>0.29166666666666669</v>
      </c>
      <c r="BH799" s="38">
        <f t="shared" si="398"/>
        <v>0.16666666666666666</v>
      </c>
      <c r="BI799" s="67">
        <f>IFERROR(((AG799*(12000/5))/((F799*60+G799)*(SUMIFS(팀공격력!X:X,팀공격력!A:A,B799,팀공격력!B:B,D799)+SUMIFS(팀수비력!X:X,팀수비력!A:A,B799,팀수비력!B:B,D799))))*100,"")</f>
        <v>3.9984577377297326</v>
      </c>
      <c r="BJ799" s="67">
        <f>IFERROR(((AI799*(12000/5))/((F799*60+G799)*(SUMIFS(팀공격력!V:V,팀공격력!A:A,B799,팀공격력!B:B,D799)+SUMIFS(팀수비력!W:W,팀수비력!A:A,B799,팀수비력!B:B,D799))))*100,"")</f>
        <v>5.9139228528763841</v>
      </c>
      <c r="BK799" s="67">
        <f>IFERROR(((AE799*(12000/5))/((F799*60+G799)*(SUMIFS(팀공격력!X:X,팀공격력!A:A,B799,팀공격력!B:B,D799)+SUMIFS(팀수비력!X:X,팀수비력!A:A,B799,팀수비력!B:B,D799))))*100,"")</f>
        <v>6.8544989789652568</v>
      </c>
      <c r="BL799" s="67">
        <f>IFERROR(100*AK799/(((((F799*60+G799)/(12000/5))*SUMIFS(팀공격력!P:P,팀공격력!A:A,B799,팀공격력!B:B,D799))-K799)),"")</f>
        <v>5.7005433330364301</v>
      </c>
      <c r="BM799" s="67">
        <f>IFERROR(100*((AM799/E799*(2400))/((F799*60+G799)*SUMIFS(팀공격력!AR:AR,팀공격력!A:A,B799,팀공격력!B:B,D799))),"")</f>
        <v>2.5909826599175187</v>
      </c>
      <c r="BN799" s="67">
        <f>IFERROR((AO799*40)/(((F799*60+G799)/60)*(SUMIFS(팀수비력!Q:Q,팀수비력!A:A,B799,팀수비력!B:B,D799)-SUMIFS(팀수비력!N:N,팀수비력!A:A,B799,팀수비력!B:B,D799)))*100,"")</f>
        <v>0</v>
      </c>
      <c r="BO799" s="67">
        <f t="shared" si="399"/>
        <v>0</v>
      </c>
      <c r="BT799" t="s">
        <v>89</v>
      </c>
      <c r="BV799" t="s">
        <v>93</v>
      </c>
      <c r="CF799">
        <v>5</v>
      </c>
      <c r="CG799">
        <v>3</v>
      </c>
    </row>
    <row r="800" spans="1:85" x14ac:dyDescent="0.4">
      <c r="A800" s="11" t="s">
        <v>85</v>
      </c>
      <c r="B800" t="s">
        <v>286</v>
      </c>
      <c r="C800" t="s">
        <v>287</v>
      </c>
      <c r="D800" s="46" t="s">
        <v>311</v>
      </c>
      <c r="E800">
        <v>2</v>
      </c>
      <c r="F800">
        <v>4</v>
      </c>
      <c r="G800" s="1">
        <v>23</v>
      </c>
      <c r="H800" s="16">
        <f t="shared" si="374"/>
        <v>526</v>
      </c>
      <c r="I800">
        <v>0</v>
      </c>
      <c r="J800" s="17">
        <f t="shared" si="375"/>
        <v>0</v>
      </c>
      <c r="K800">
        <v>0</v>
      </c>
      <c r="L800">
        <v>3</v>
      </c>
      <c r="M800" s="17">
        <f t="shared" si="376"/>
        <v>0</v>
      </c>
      <c r="N800" s="17">
        <f t="shared" si="377"/>
        <v>1.5</v>
      </c>
      <c r="O800" s="18">
        <f t="shared" si="378"/>
        <v>0</v>
      </c>
      <c r="P800">
        <v>0</v>
      </c>
      <c r="Q800">
        <v>1</v>
      </c>
      <c r="R800" s="17">
        <f t="shared" si="379"/>
        <v>0</v>
      </c>
      <c r="S800" s="17">
        <f t="shared" si="380"/>
        <v>0.5</v>
      </c>
      <c r="T800" s="18">
        <f t="shared" si="381"/>
        <v>0</v>
      </c>
      <c r="U800">
        <v>0</v>
      </c>
      <c r="V800">
        <v>2</v>
      </c>
      <c r="W800" s="17">
        <f t="shared" si="382"/>
        <v>0</v>
      </c>
      <c r="X800" s="17">
        <f t="shared" si="383"/>
        <v>1</v>
      </c>
      <c r="Y800" s="18">
        <f t="shared" si="384"/>
        <v>0</v>
      </c>
      <c r="Z800">
        <v>0</v>
      </c>
      <c r="AA800">
        <v>0</v>
      </c>
      <c r="AB800" s="17">
        <f t="shared" si="385"/>
        <v>0</v>
      </c>
      <c r="AC800" s="17">
        <f t="shared" si="386"/>
        <v>0</v>
      </c>
      <c r="AD800" s="18" t="e">
        <f t="shared" si="387"/>
        <v>#DIV/0!</v>
      </c>
      <c r="AE800">
        <v>1</v>
      </c>
      <c r="AF800" s="17">
        <f t="shared" si="388"/>
        <v>0.5</v>
      </c>
      <c r="AG800">
        <v>1</v>
      </c>
      <c r="AH800" s="17">
        <f t="shared" si="389"/>
        <v>0.5</v>
      </c>
      <c r="AI800">
        <v>0</v>
      </c>
      <c r="AJ800" s="17">
        <f t="shared" si="390"/>
        <v>0</v>
      </c>
      <c r="AK800">
        <v>0</v>
      </c>
      <c r="AL800" s="17">
        <f t="shared" si="391"/>
        <v>0</v>
      </c>
      <c r="AM800">
        <v>0</v>
      </c>
      <c r="AN800" s="17">
        <f t="shared" si="392"/>
        <v>0</v>
      </c>
      <c r="AO800">
        <v>0</v>
      </c>
      <c r="AQ800">
        <v>1</v>
      </c>
      <c r="AR800" s="17">
        <f t="shared" si="393"/>
        <v>0.5</v>
      </c>
      <c r="AS800">
        <v>0</v>
      </c>
      <c r="AT800" s="17">
        <f t="shared" si="394"/>
        <v>0</v>
      </c>
      <c r="BD800" s="65">
        <f t="shared" si="395"/>
        <v>0</v>
      </c>
      <c r="BE800" s="65">
        <f t="shared" si="396"/>
        <v>0</v>
      </c>
      <c r="BF800" s="66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5.031968726314366</v>
      </c>
      <c r="BG800" s="38">
        <f t="shared" si="397"/>
        <v>0.66666666666666663</v>
      </c>
      <c r="BH800" s="38">
        <f t="shared" si="398"/>
        <v>0</v>
      </c>
      <c r="BI800" s="67">
        <f>IFERROR(((AG800*(12000/5))/((F800*60+G800)*(SUMIFS(팀공격력!X:X,팀공격력!A:A,B800,팀공격력!B:B,D800)+SUMIFS(팀수비력!X:X,팀수비력!A:A,B800,팀수비력!B:B,D800))))*100,"")</f>
        <v>1.5058540074539775</v>
      </c>
      <c r="BJ800" s="67">
        <f>IFERROR(((AI800*(12000/5))/((F800*60+G800)*(SUMIFS(팀공격력!V:V,팀공격력!A:A,B800,팀공격력!B:B,D800)+SUMIFS(팀수비력!W:W,팀수비력!A:A,B800,팀수비력!B:B,D800))))*100,"")</f>
        <v>0</v>
      </c>
      <c r="BK800" s="67">
        <f>IFERROR(((AE800*(12000/5))/((F800*60+G800)*(SUMIFS(팀공격력!X:X,팀공격력!A:A,B800,팀공격력!B:B,D800)+SUMIFS(팀수비력!X:X,팀수비력!A:A,B800,팀수비력!B:B,D800))))*100,"")</f>
        <v>1.5058540074539775</v>
      </c>
      <c r="BL800" s="67">
        <f>IFERROR(100*AK800/(((((F800*60+G800)/(12000/5))*SUMIFS(팀공격력!P:P,팀공격력!A:A,B800,팀공격력!B:B,D800))-K800)),"")</f>
        <v>0</v>
      </c>
      <c r="BM800" s="67">
        <f>IFERROR(100*((AM800/E800*(2400))/((F800*60+G800)*SUMIFS(팀공격력!AR:AR,팀공격력!A:A,B800,팀공격력!B:B,D800))),"")</f>
        <v>0</v>
      </c>
      <c r="BN800" s="67">
        <f>IFERROR((AO800*40)/(((F800*60+G800)/60)*(SUMIFS(팀수비력!Q:Q,팀수비력!A:A,B800,팀수비력!B:B,D800)-SUMIFS(팀수비력!N:N,팀수비력!A:A,B800,팀수비력!B:B,D800)))*100,"")</f>
        <v>0</v>
      </c>
      <c r="BO800" s="67">
        <f t="shared" si="399"/>
        <v>25</v>
      </c>
      <c r="BT800" t="s">
        <v>89</v>
      </c>
      <c r="BV800" t="s">
        <v>93</v>
      </c>
      <c r="CF800">
        <v>1</v>
      </c>
      <c r="CG800">
        <v>1</v>
      </c>
    </row>
    <row r="801" spans="1:85" x14ac:dyDescent="0.4">
      <c r="A801" s="11" t="s">
        <v>85</v>
      </c>
      <c r="B801" t="s">
        <v>286</v>
      </c>
      <c r="C801" t="s">
        <v>290</v>
      </c>
      <c r="D801" s="46" t="s">
        <v>311</v>
      </c>
      <c r="E801">
        <v>8</v>
      </c>
      <c r="F801">
        <v>9</v>
      </c>
      <c r="G801" s="1">
        <v>50</v>
      </c>
      <c r="H801" s="16">
        <f t="shared" si="374"/>
        <v>4720</v>
      </c>
      <c r="I801">
        <v>9</v>
      </c>
      <c r="J801" s="17">
        <f t="shared" si="375"/>
        <v>1.125</v>
      </c>
      <c r="K801">
        <v>3</v>
      </c>
      <c r="L801">
        <v>13</v>
      </c>
      <c r="M801" s="17">
        <f t="shared" si="376"/>
        <v>0.375</v>
      </c>
      <c r="N801" s="17">
        <f t="shared" si="377"/>
        <v>1.625</v>
      </c>
      <c r="O801" s="18">
        <f t="shared" si="378"/>
        <v>0.23076923076923078</v>
      </c>
      <c r="P801">
        <v>3</v>
      </c>
      <c r="Q801">
        <v>12</v>
      </c>
      <c r="R801" s="17">
        <f t="shared" si="379"/>
        <v>0.375</v>
      </c>
      <c r="S801" s="17">
        <f t="shared" si="380"/>
        <v>1.5</v>
      </c>
      <c r="T801" s="18">
        <f t="shared" si="381"/>
        <v>0.25</v>
      </c>
      <c r="U801">
        <v>0</v>
      </c>
      <c r="V801">
        <v>1</v>
      </c>
      <c r="W801" s="17">
        <f t="shared" si="382"/>
        <v>0</v>
      </c>
      <c r="X801" s="17">
        <f t="shared" si="383"/>
        <v>0.125</v>
      </c>
      <c r="Y801" s="18">
        <f t="shared" si="384"/>
        <v>0</v>
      </c>
      <c r="Z801">
        <v>3</v>
      </c>
      <c r="AA801">
        <v>4</v>
      </c>
      <c r="AB801" s="17">
        <f t="shared" si="385"/>
        <v>0.375</v>
      </c>
      <c r="AC801" s="17">
        <f t="shared" si="386"/>
        <v>0.5</v>
      </c>
      <c r="AD801" s="18">
        <f t="shared" si="387"/>
        <v>0.75</v>
      </c>
      <c r="AE801">
        <v>19</v>
      </c>
      <c r="AF801" s="17">
        <f t="shared" si="388"/>
        <v>2.375</v>
      </c>
      <c r="AG801">
        <v>8</v>
      </c>
      <c r="AH801" s="17">
        <f t="shared" si="389"/>
        <v>1</v>
      </c>
      <c r="AI801">
        <v>11</v>
      </c>
      <c r="AJ801" s="17">
        <f t="shared" si="390"/>
        <v>1.375</v>
      </c>
      <c r="AK801">
        <v>2</v>
      </c>
      <c r="AL801" s="17">
        <f t="shared" si="391"/>
        <v>0.25</v>
      </c>
      <c r="AM801">
        <v>1</v>
      </c>
      <c r="AN801" s="17">
        <f t="shared" si="392"/>
        <v>0.125</v>
      </c>
      <c r="AO801">
        <v>1</v>
      </c>
      <c r="AQ801">
        <v>6</v>
      </c>
      <c r="AR801" s="17">
        <f t="shared" si="393"/>
        <v>0.75</v>
      </c>
      <c r="AS801">
        <v>21</v>
      </c>
      <c r="AT801" s="17">
        <f t="shared" si="394"/>
        <v>2.625</v>
      </c>
      <c r="BD801" s="65">
        <f t="shared" si="395"/>
        <v>30.487804878048781</v>
      </c>
      <c r="BE801" s="65">
        <f t="shared" si="396"/>
        <v>23.076923076923077</v>
      </c>
      <c r="BF801" s="66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11.641502292131049</v>
      </c>
      <c r="BG801" s="38">
        <f t="shared" si="397"/>
        <v>7.6923076923076927E-2</v>
      </c>
      <c r="BH801" s="38">
        <f t="shared" si="398"/>
        <v>0.30769230769230771</v>
      </c>
      <c r="BI801" s="67">
        <f>IFERROR(((AG801*(12000/5))/((F801*60+G801)*(SUMIFS(팀공격력!X:X,팀공격력!A:A,B801,팀공격력!B:B,D801)+SUMIFS(팀수비력!X:X,팀수비력!A:A,B801,팀수비력!B:B,D801))))*100,"")</f>
        <v>5.3700285282765563</v>
      </c>
      <c r="BJ801" s="67">
        <f>IFERROR(((AI801*(12000/5))/((F801*60+G801)*(SUMIFS(팀공격력!V:V,팀공격력!A:A,B801,팀공격력!B:B,D801)+SUMIFS(팀수비력!W:W,팀수비력!A:A,B801,팀수비력!B:B,D801))))*100,"")</f>
        <v>14.76757845276053</v>
      </c>
      <c r="BK801" s="67">
        <f>IFERROR(((AE801*(12000/5))/((F801*60+G801)*(SUMIFS(팀공격력!X:X,팀공격력!A:A,B801,팀공격력!B:B,D801)+SUMIFS(팀수비력!X:X,팀수비력!A:A,B801,팀수비력!B:B,D801))))*100,"")</f>
        <v>12.75381775465682</v>
      </c>
      <c r="BL801" s="67">
        <f>IFERROR(100*AK801/(((((F801*60+G801)/(12000/5))*SUMIFS(팀공격력!P:P,팀공격력!A:A,B801,팀공격력!B:B,D801))-K801)),"")</f>
        <v>3.1076006733134793</v>
      </c>
      <c r="BM801" s="67">
        <f>IFERROR(100*((AM801/E801*(2400))/((F801*60+G801)*SUMIFS(팀공격력!AR:AR,팀공격력!A:A,B801,팀공격력!B:B,D801))),"")</f>
        <v>0.72828591346257077</v>
      </c>
      <c r="BN801" s="67">
        <f>IFERROR((AO801*40)/(((F801*60+G801)/60)*(SUMIFS(팀수비력!Q:Q,팀수비력!A:A,B801,팀수비력!B:B,D801)-SUMIFS(팀수비력!N:N,팀수비력!A:A,B801,팀수비력!B:B,D801)))*100,"")</f>
        <v>1.0457060694523113</v>
      </c>
      <c r="BO801" s="67">
        <f t="shared" si="399"/>
        <v>28.901734104046245</v>
      </c>
      <c r="BT801" t="s">
        <v>89</v>
      </c>
      <c r="BV801" t="s">
        <v>102</v>
      </c>
      <c r="CF801">
        <v>5</v>
      </c>
      <c r="CG801">
        <v>3</v>
      </c>
    </row>
    <row r="802" spans="1:85" x14ac:dyDescent="0.4">
      <c r="A802" s="11" t="s">
        <v>85</v>
      </c>
      <c r="B802" t="s">
        <v>286</v>
      </c>
      <c r="C802" t="s">
        <v>291</v>
      </c>
      <c r="D802" s="46" t="s">
        <v>311</v>
      </c>
      <c r="E802">
        <v>3</v>
      </c>
      <c r="F802">
        <v>24</v>
      </c>
      <c r="G802" s="1">
        <v>54</v>
      </c>
      <c r="H802" s="16">
        <f t="shared" si="374"/>
        <v>4482</v>
      </c>
      <c r="I802">
        <v>30</v>
      </c>
      <c r="J802" s="17">
        <f t="shared" si="375"/>
        <v>10</v>
      </c>
      <c r="K802">
        <v>11</v>
      </c>
      <c r="L802">
        <v>21</v>
      </c>
      <c r="M802" s="17">
        <f t="shared" si="376"/>
        <v>3.6666666666666665</v>
      </c>
      <c r="N802" s="17">
        <f t="shared" si="377"/>
        <v>7</v>
      </c>
      <c r="O802" s="18">
        <f t="shared" si="378"/>
        <v>0.52380952380952384</v>
      </c>
      <c r="P802">
        <v>11</v>
      </c>
      <c r="Q802">
        <v>21</v>
      </c>
      <c r="R802" s="17">
        <f t="shared" si="379"/>
        <v>3.6666666666666665</v>
      </c>
      <c r="S802" s="17">
        <f t="shared" si="380"/>
        <v>7</v>
      </c>
      <c r="T802" s="18">
        <f t="shared" si="381"/>
        <v>0.52380952380952384</v>
      </c>
      <c r="U802">
        <v>0</v>
      </c>
      <c r="V802">
        <v>0</v>
      </c>
      <c r="W802" s="17">
        <f t="shared" si="382"/>
        <v>0</v>
      </c>
      <c r="X802" s="17">
        <f t="shared" si="383"/>
        <v>0</v>
      </c>
      <c r="Y802" s="18" t="e">
        <f t="shared" si="384"/>
        <v>#DIV/0!</v>
      </c>
      <c r="Z802">
        <v>8</v>
      </c>
      <c r="AA802">
        <v>20</v>
      </c>
      <c r="AB802" s="17">
        <f t="shared" si="385"/>
        <v>2.6666666666666665</v>
      </c>
      <c r="AC802" s="17">
        <f t="shared" si="386"/>
        <v>6.666666666666667</v>
      </c>
      <c r="AD802" s="18">
        <f t="shared" si="387"/>
        <v>0.4</v>
      </c>
      <c r="AE802">
        <v>43</v>
      </c>
      <c r="AF802" s="17">
        <f t="shared" si="388"/>
        <v>14.333333333333334</v>
      </c>
      <c r="AG802">
        <v>15</v>
      </c>
      <c r="AH802" s="17">
        <f t="shared" si="389"/>
        <v>5</v>
      </c>
      <c r="AI802">
        <v>28</v>
      </c>
      <c r="AJ802" s="17">
        <f t="shared" si="390"/>
        <v>9.3333333333333339</v>
      </c>
      <c r="AK802">
        <v>9</v>
      </c>
      <c r="AL802" s="17">
        <f t="shared" si="391"/>
        <v>3</v>
      </c>
      <c r="AM802">
        <v>3</v>
      </c>
      <c r="AN802" s="17">
        <f t="shared" si="392"/>
        <v>1</v>
      </c>
      <c r="AO802">
        <v>0</v>
      </c>
      <c r="AQ802">
        <v>3</v>
      </c>
      <c r="AR802" s="17">
        <f t="shared" si="393"/>
        <v>1</v>
      </c>
      <c r="AS802">
        <v>8</v>
      </c>
      <c r="AT802" s="17">
        <f t="shared" si="394"/>
        <v>2.6666666666666665</v>
      </c>
      <c r="BD802" s="65">
        <f t="shared" si="395"/>
        <v>50.335570469798654</v>
      </c>
      <c r="BE802" s="65">
        <f t="shared" si="396"/>
        <v>52.380952380952387</v>
      </c>
      <c r="BF802" s="66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7.2636839057359861</v>
      </c>
      <c r="BG802" s="38">
        <f t="shared" si="397"/>
        <v>0</v>
      </c>
      <c r="BH802" s="38">
        <f t="shared" si="398"/>
        <v>0.95238095238095233</v>
      </c>
      <c r="BI802" s="67">
        <f>IFERROR(((AG802*(12000/5))/((F802*60+G802)*(SUMIFS(팀공격력!X:X,팀공격력!A:A,B802,팀공격력!B:B,D802)+SUMIFS(팀수비력!X:X,팀수비력!A:A,B802,팀수비력!B:B,D802))))*100,"")</f>
        <v>3.9763012445822894</v>
      </c>
      <c r="BJ802" s="67">
        <f>IFERROR(((AI802*(12000/5))/((F802*60+G802)*(SUMIFS(팀공격력!V:V,팀공격력!A:A,B802,팀공격력!B:B,D802)+SUMIFS(팀수비력!W:W,팀수비력!A:A,B802,팀수비력!B:B,D802))))*100,"")</f>
        <v>14.844857979773881</v>
      </c>
      <c r="BK802" s="67">
        <f>IFERROR(((AE802*(12000/5))/((F802*60+G802)*(SUMIFS(팀공격력!X:X,팀공격력!A:A,B802,팀공격력!B:B,D802)+SUMIFS(팀수비력!X:X,팀수비력!A:A,B802,팀수비력!B:B,D802))))*100,"")</f>
        <v>11.39873023446923</v>
      </c>
      <c r="BL802" s="67">
        <f>IFERROR(100*AK802/(((((F802*60+G802)/(12000/5))*SUMIFS(팀공격력!P:P,팀공격력!A:A,B802,팀공격력!B:B,D802))-K802)),"")</f>
        <v>5.6403346598564843</v>
      </c>
      <c r="BM802" s="67">
        <f>IFERROR(100*((AM802/E802*(2400))/((F802*60+G802)*SUMIFS(팀공격력!AR:AR,팀공격력!A:A,B802,팀공격력!B:B,D802))),"")</f>
        <v>2.3008765137505582</v>
      </c>
      <c r="BN802" s="67">
        <f>IFERROR((AO802*40)/(((F802*60+G802)/60)*(SUMIFS(팀수비력!Q:Q,팀수비력!A:A,B802,팀수비력!B:B,D802)-SUMIFS(팀수비력!N:N,팀수비력!A:A,B802,팀수비력!B:B,D802)))*100,"")</f>
        <v>0</v>
      </c>
      <c r="BO802" s="67">
        <f t="shared" si="399"/>
        <v>9.1463414634146343</v>
      </c>
      <c r="BT802" t="s">
        <v>96</v>
      </c>
      <c r="BV802" t="s">
        <v>102</v>
      </c>
      <c r="CF802">
        <v>1</v>
      </c>
      <c r="CG802">
        <v>2</v>
      </c>
    </row>
    <row r="803" spans="1:85" x14ac:dyDescent="0.4">
      <c r="A803" s="11" t="s">
        <v>85</v>
      </c>
      <c r="B803" t="s">
        <v>286</v>
      </c>
      <c r="C803" t="s">
        <v>292</v>
      </c>
      <c r="D803" s="46" t="s">
        <v>311</v>
      </c>
      <c r="E803">
        <v>8</v>
      </c>
      <c r="F803">
        <v>15</v>
      </c>
      <c r="G803" s="1">
        <v>35</v>
      </c>
      <c r="H803" s="16">
        <f t="shared" si="374"/>
        <v>7480</v>
      </c>
      <c r="I803">
        <v>43</v>
      </c>
      <c r="J803" s="17">
        <f t="shared" si="375"/>
        <v>5.375</v>
      </c>
      <c r="K803">
        <v>18</v>
      </c>
      <c r="L803">
        <v>33</v>
      </c>
      <c r="M803" s="17">
        <f t="shared" si="376"/>
        <v>2.25</v>
      </c>
      <c r="N803" s="17">
        <f t="shared" si="377"/>
        <v>4.125</v>
      </c>
      <c r="O803" s="18">
        <f t="shared" si="378"/>
        <v>0.54545454545454541</v>
      </c>
      <c r="P803">
        <v>14</v>
      </c>
      <c r="Q803">
        <v>24</v>
      </c>
      <c r="R803" s="17">
        <f t="shared" si="379"/>
        <v>1.75</v>
      </c>
      <c r="S803" s="17">
        <f t="shared" si="380"/>
        <v>3</v>
      </c>
      <c r="T803" s="18">
        <f t="shared" si="381"/>
        <v>0.58333333333333337</v>
      </c>
      <c r="U803">
        <v>4</v>
      </c>
      <c r="V803">
        <v>9</v>
      </c>
      <c r="W803" s="17">
        <f t="shared" si="382"/>
        <v>0.5</v>
      </c>
      <c r="X803" s="17">
        <f t="shared" si="383"/>
        <v>1.125</v>
      </c>
      <c r="Y803" s="18">
        <f t="shared" si="384"/>
        <v>0.44444444444444442</v>
      </c>
      <c r="Z803">
        <v>3</v>
      </c>
      <c r="AA803">
        <v>3</v>
      </c>
      <c r="AB803" s="17">
        <f t="shared" si="385"/>
        <v>0.375</v>
      </c>
      <c r="AC803" s="17">
        <f t="shared" si="386"/>
        <v>0.375</v>
      </c>
      <c r="AD803" s="18">
        <f t="shared" si="387"/>
        <v>1</v>
      </c>
      <c r="AE803">
        <v>16</v>
      </c>
      <c r="AF803" s="17">
        <f t="shared" si="388"/>
        <v>2</v>
      </c>
      <c r="AG803">
        <v>3</v>
      </c>
      <c r="AH803" s="17">
        <f t="shared" si="389"/>
        <v>0.375</v>
      </c>
      <c r="AI803">
        <v>13</v>
      </c>
      <c r="AJ803" s="17">
        <f t="shared" si="390"/>
        <v>1.625</v>
      </c>
      <c r="AK803">
        <v>17</v>
      </c>
      <c r="AL803" s="17">
        <f t="shared" si="391"/>
        <v>2.125</v>
      </c>
      <c r="AM803">
        <v>5</v>
      </c>
      <c r="AN803" s="17">
        <f t="shared" si="392"/>
        <v>0.625</v>
      </c>
      <c r="AO803">
        <v>0</v>
      </c>
      <c r="AQ803">
        <v>3</v>
      </c>
      <c r="AR803" s="17">
        <f t="shared" si="393"/>
        <v>0.375</v>
      </c>
      <c r="AS803">
        <v>16</v>
      </c>
      <c r="AT803" s="17">
        <f t="shared" si="394"/>
        <v>2</v>
      </c>
      <c r="BD803" s="65">
        <f t="shared" si="395"/>
        <v>62.645687645687644</v>
      </c>
      <c r="BE803" s="65">
        <f t="shared" si="396"/>
        <v>60.606060606060609</v>
      </c>
      <c r="BF803" s="66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13.205769562505806</v>
      </c>
      <c r="BG803" s="38">
        <f t="shared" si="397"/>
        <v>0.27272727272727271</v>
      </c>
      <c r="BH803" s="38">
        <f t="shared" si="398"/>
        <v>9.0909090909090912E-2</v>
      </c>
      <c r="BI803" s="67">
        <f>IFERROR(((AG803*(12000/5))/((F803*60+G803)*(SUMIFS(팀공격력!X:X,팀공격력!A:A,B803,팀공격력!B:B,D803)+SUMIFS(팀수비력!X:X,팀수비력!A:A,B803,팀수비력!B:B,D803))))*100,"")</f>
        <v>1.2707153068248001</v>
      </c>
      <c r="BJ803" s="67">
        <f>IFERROR(((AI803*(12000/5))/((F803*60+G803)*(SUMIFS(팀공격력!V:V,팀공격력!A:A,B803,팀공격력!B:B,D803)+SUMIFS(팀수비력!W:W,팀수비력!A:A,B803,팀수비력!B:B,D803))))*100,"")</f>
        <v>11.012865992481601</v>
      </c>
      <c r="BK803" s="67">
        <f>IFERROR(((AE803*(12000/5))/((F803*60+G803)*(SUMIFS(팀공격력!X:X,팀공격력!A:A,B803,팀공격력!B:B,D803)+SUMIFS(팀수비력!X:X,팀수비력!A:A,B803,팀수비력!B:B,D803))))*100,"")</f>
        <v>6.7771483030656015</v>
      </c>
      <c r="BL803" s="67">
        <f>IFERROR(100*AK803/(((((F803*60+G803)/(12000/5))*SUMIFS(팀공격력!P:P,팀공격력!A:A,B803,팀공격력!B:B,D803))-K803)),"")</f>
        <v>19.155828912155499</v>
      </c>
      <c r="BM803" s="67">
        <f>IFERROR(100*((AM803/E803*(2400))/((F803*60+G803)*SUMIFS(팀공격력!AR:AR,팀공격력!A:A,B803,팀공격력!B:B,D803))),"")</f>
        <v>2.297800475630571</v>
      </c>
      <c r="BN803" s="67">
        <f>IFERROR((AO803*40)/(((F803*60+G803)/60)*(SUMIFS(팀수비력!Q:Q,팀수비력!A:A,B803,팀수비력!B:B,D803)-SUMIFS(팀수비력!N:N,팀수비력!A:A,B803,팀수비력!B:B,D803)))*100,"")</f>
        <v>0</v>
      </c>
      <c r="BO803" s="67">
        <f t="shared" si="399"/>
        <v>8.0385852090032159</v>
      </c>
      <c r="BT803" t="s">
        <v>89</v>
      </c>
      <c r="BV803" t="s">
        <v>90</v>
      </c>
      <c r="CF803">
        <v>4</v>
      </c>
      <c r="CG803">
        <v>4</v>
      </c>
    </row>
    <row r="804" spans="1:85" x14ac:dyDescent="0.4">
      <c r="A804" s="11" t="s">
        <v>85</v>
      </c>
      <c r="B804" t="s">
        <v>286</v>
      </c>
      <c r="C804" t="s">
        <v>293</v>
      </c>
      <c r="D804" s="46" t="s">
        <v>311</v>
      </c>
      <c r="E804">
        <v>9</v>
      </c>
      <c r="F804">
        <v>28</v>
      </c>
      <c r="G804" s="1">
        <v>5</v>
      </c>
      <c r="H804" s="16">
        <f t="shared" si="374"/>
        <v>15165</v>
      </c>
      <c r="I804">
        <v>137</v>
      </c>
      <c r="J804" s="17">
        <f t="shared" si="375"/>
        <v>15.222222222222221</v>
      </c>
      <c r="K804">
        <v>56</v>
      </c>
      <c r="L804">
        <v>99</v>
      </c>
      <c r="M804" s="17">
        <f t="shared" si="376"/>
        <v>6.2222222222222223</v>
      </c>
      <c r="N804" s="17">
        <f t="shared" si="377"/>
        <v>11</v>
      </c>
      <c r="O804" s="18">
        <f t="shared" si="378"/>
        <v>0.56565656565656564</v>
      </c>
      <c r="P804">
        <v>40</v>
      </c>
      <c r="Q804">
        <v>66</v>
      </c>
      <c r="R804" s="17">
        <f t="shared" si="379"/>
        <v>4.4444444444444446</v>
      </c>
      <c r="S804" s="17">
        <f t="shared" si="380"/>
        <v>7.333333333333333</v>
      </c>
      <c r="T804" s="18">
        <f t="shared" si="381"/>
        <v>0.60606060606060608</v>
      </c>
      <c r="U804">
        <v>16</v>
      </c>
      <c r="V804">
        <v>33</v>
      </c>
      <c r="W804" s="17">
        <f t="shared" si="382"/>
        <v>1.7777777777777777</v>
      </c>
      <c r="X804" s="17">
        <f t="shared" si="383"/>
        <v>3.6666666666666665</v>
      </c>
      <c r="Y804" s="18">
        <f t="shared" si="384"/>
        <v>0.48484848484848486</v>
      </c>
      <c r="Z804">
        <v>9</v>
      </c>
      <c r="AA804">
        <v>16</v>
      </c>
      <c r="AB804" s="17">
        <f t="shared" si="385"/>
        <v>1</v>
      </c>
      <c r="AC804" s="17">
        <f t="shared" si="386"/>
        <v>1.7777777777777777</v>
      </c>
      <c r="AD804" s="18">
        <f t="shared" si="387"/>
        <v>0.5625</v>
      </c>
      <c r="AE804">
        <v>35</v>
      </c>
      <c r="AF804" s="17">
        <f t="shared" si="388"/>
        <v>3.8888888888888888</v>
      </c>
      <c r="AG804">
        <v>15</v>
      </c>
      <c r="AH804" s="17">
        <f t="shared" si="389"/>
        <v>1.6666666666666667</v>
      </c>
      <c r="AI804">
        <v>20</v>
      </c>
      <c r="AJ804" s="17">
        <f t="shared" si="390"/>
        <v>2.2222222222222223</v>
      </c>
      <c r="AK804">
        <v>24</v>
      </c>
      <c r="AL804" s="17">
        <f t="shared" si="391"/>
        <v>2.6666666666666665</v>
      </c>
      <c r="AM804">
        <v>2</v>
      </c>
      <c r="AN804" s="17">
        <f t="shared" si="392"/>
        <v>0.22222222222222221</v>
      </c>
      <c r="AO804">
        <v>1</v>
      </c>
      <c r="AQ804">
        <v>10</v>
      </c>
      <c r="AR804" s="17">
        <f t="shared" si="393"/>
        <v>1.1111111111111112</v>
      </c>
      <c r="AS804">
        <v>24</v>
      </c>
      <c r="AT804" s="17">
        <f t="shared" si="394"/>
        <v>2.6666666666666665</v>
      </c>
      <c r="BD804" s="65">
        <f t="shared" si="395"/>
        <v>64.598264805733692</v>
      </c>
      <c r="BE804" s="65">
        <f t="shared" si="396"/>
        <v>64.646464646464651</v>
      </c>
      <c r="BF804" s="66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22.784605076172035</v>
      </c>
      <c r="BG804" s="38">
        <f t="shared" si="397"/>
        <v>0.33333333333333331</v>
      </c>
      <c r="BH804" s="38">
        <f t="shared" si="398"/>
        <v>0.16161616161616163</v>
      </c>
      <c r="BI804" s="67">
        <f>IFERROR(((AG804*(12000/5))/((F804*60+G804)*(SUMIFS(팀공격력!X:X,팀공격력!A:A,B804,팀공격력!B:B,D804)+SUMIFS(팀수비력!X:X,팀수비력!A:A,B804,팀수비력!B:B,D804))))*100,"")</f>
        <v>3.5255751094397279</v>
      </c>
      <c r="BJ804" s="67">
        <f>IFERROR(((AI804*(12000/5))/((F804*60+G804)*(SUMIFS(팀공격력!V:V,팀공격력!A:A,B804,팀공격력!B:B,D804)+SUMIFS(팀수비력!W:W,팀수비력!A:A,B804,팀수비력!B:B,D804))))*100,"")</f>
        <v>9.4015336251726058</v>
      </c>
      <c r="BK804" s="67">
        <f>IFERROR(((AE804*(12000/5))/((F804*60+G804)*(SUMIFS(팀공격력!X:X,팀공격력!A:A,B804,팀공격력!B:B,D804)+SUMIFS(팀수비력!X:X,팀수비력!A:A,B804,팀수비력!B:B,D804))))*100,"")</f>
        <v>8.2263419220260303</v>
      </c>
      <c r="BL804" s="67">
        <f>IFERROR(100*AK804/(((((F804*60+G804)/(12000/5))*SUMIFS(팀공격력!P:P,팀공격력!A:A,B804,팀공격력!B:B,D804))-K804)),"")</f>
        <v>17.599071160133217</v>
      </c>
      <c r="BM804" s="67">
        <f>IFERROR(100*((AM804/E804*(2400))/((F804*60+G804)*SUMIFS(팀공격력!AR:AR,팀공격력!A:A,B804,팀공격력!B:B,D804))),"")</f>
        <v>0.4533477760030773</v>
      </c>
      <c r="BN804" s="67">
        <f>IFERROR((AO804*40)/(((F804*60+G804)/60)*(SUMIFS(팀수비력!Q:Q,팀수비력!A:A,B804,팀수비력!B:B,D804)-SUMIFS(팀수비력!N:N,팀수비력!A:A,B804,팀수비력!B:B,D804)))*100,"")</f>
        <v>0.36615227357677377</v>
      </c>
      <c r="BO804" s="67">
        <f t="shared" si="399"/>
        <v>8.6177180282661148</v>
      </c>
      <c r="BT804" t="s">
        <v>89</v>
      </c>
      <c r="BV804" t="s">
        <v>93</v>
      </c>
      <c r="CF804">
        <v>5</v>
      </c>
      <c r="CG804">
        <v>4</v>
      </c>
    </row>
    <row r="805" spans="1:85" x14ac:dyDescent="0.4">
      <c r="A805" s="11" t="s">
        <v>85</v>
      </c>
      <c r="B805" t="s">
        <v>286</v>
      </c>
      <c r="C805" t="s">
        <v>294</v>
      </c>
      <c r="D805" s="46" t="s">
        <v>311</v>
      </c>
      <c r="E805">
        <v>9</v>
      </c>
      <c r="F805">
        <v>22</v>
      </c>
      <c r="G805" s="1">
        <v>25</v>
      </c>
      <c r="H805" s="16">
        <f t="shared" si="374"/>
        <v>12105</v>
      </c>
      <c r="I805">
        <v>71</v>
      </c>
      <c r="J805" s="17">
        <f t="shared" si="375"/>
        <v>7.8888888888888893</v>
      </c>
      <c r="K805">
        <v>25</v>
      </c>
      <c r="L805">
        <v>53</v>
      </c>
      <c r="M805" s="17">
        <f t="shared" si="376"/>
        <v>2.7777777777777777</v>
      </c>
      <c r="N805" s="17">
        <f t="shared" si="377"/>
        <v>5.8888888888888893</v>
      </c>
      <c r="O805" s="18">
        <f t="shared" si="378"/>
        <v>0.47169811320754718</v>
      </c>
      <c r="P805">
        <v>11</v>
      </c>
      <c r="Q805">
        <v>18</v>
      </c>
      <c r="R805" s="17">
        <f t="shared" si="379"/>
        <v>1.2222222222222223</v>
      </c>
      <c r="S805" s="17">
        <f t="shared" si="380"/>
        <v>2</v>
      </c>
      <c r="T805" s="18">
        <f t="shared" si="381"/>
        <v>0.61111111111111116</v>
      </c>
      <c r="U805">
        <v>14</v>
      </c>
      <c r="V805">
        <v>35</v>
      </c>
      <c r="W805" s="17">
        <f t="shared" si="382"/>
        <v>1.5555555555555556</v>
      </c>
      <c r="X805" s="17">
        <f t="shared" si="383"/>
        <v>3.8888888888888888</v>
      </c>
      <c r="Y805" s="18">
        <f t="shared" si="384"/>
        <v>0.4</v>
      </c>
      <c r="Z805">
        <v>7</v>
      </c>
      <c r="AA805">
        <v>9</v>
      </c>
      <c r="AB805" s="17">
        <f t="shared" si="385"/>
        <v>0.77777777777777779</v>
      </c>
      <c r="AC805" s="17">
        <f t="shared" si="386"/>
        <v>1</v>
      </c>
      <c r="AD805" s="18">
        <f t="shared" si="387"/>
        <v>0.77777777777777779</v>
      </c>
      <c r="AE805">
        <v>16</v>
      </c>
      <c r="AF805" s="17">
        <f t="shared" si="388"/>
        <v>1.7777777777777777</v>
      </c>
      <c r="AG805">
        <v>6</v>
      </c>
      <c r="AH805" s="17">
        <f t="shared" si="389"/>
        <v>0.66666666666666663</v>
      </c>
      <c r="AI805">
        <v>10</v>
      </c>
      <c r="AJ805" s="17">
        <f t="shared" si="390"/>
        <v>1.1111111111111112</v>
      </c>
      <c r="AK805">
        <v>3</v>
      </c>
      <c r="AL805" s="17">
        <f t="shared" si="391"/>
        <v>0.33333333333333331</v>
      </c>
      <c r="AM805">
        <v>8</v>
      </c>
      <c r="AN805" s="17">
        <f t="shared" si="392"/>
        <v>0.88888888888888884</v>
      </c>
      <c r="AO805">
        <v>4</v>
      </c>
      <c r="AQ805">
        <v>4</v>
      </c>
      <c r="AR805" s="17">
        <f t="shared" si="393"/>
        <v>0.44444444444444442</v>
      </c>
      <c r="AS805">
        <v>17</v>
      </c>
      <c r="AT805" s="17">
        <f t="shared" si="394"/>
        <v>1.8888888888888888</v>
      </c>
      <c r="BD805" s="65">
        <f t="shared" si="395"/>
        <v>62.324438202247187</v>
      </c>
      <c r="BE805" s="65">
        <f t="shared" si="396"/>
        <v>60.377358490566039</v>
      </c>
      <c r="BF805" s="66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14.995341629230584</v>
      </c>
      <c r="BG805" s="38">
        <f t="shared" si="397"/>
        <v>0.660377358490566</v>
      </c>
      <c r="BH805" s="38">
        <f t="shared" si="398"/>
        <v>0.16981132075471697</v>
      </c>
      <c r="BI805" s="67">
        <f>IFERROR(((AG805*(12000/5))/((F805*60+G805)*(SUMIFS(팀공격력!X:X,팀공격력!A:A,B805,팀공격력!B:B,D805)+SUMIFS(팀수비력!X:X,팀수비력!A:A,B805,팀수비력!B:B,D805))))*100,"")</f>
        <v>1.7667194228716554</v>
      </c>
      <c r="BJ805" s="67">
        <f>IFERROR(((AI805*(12000/5))/((F805*60+G805)*(SUMIFS(팀공격력!V:V,팀공격력!A:A,B805,팀공격력!B:B,D805)+SUMIFS(팀수비력!W:W,팀수비력!A:A,B805,팀수비력!B:B,D805))))*100,"")</f>
        <v>5.889064742905517</v>
      </c>
      <c r="BK805" s="67">
        <f>IFERROR(((AE805*(12000/5))/((F805*60+G805)*(SUMIFS(팀공격력!X:X,팀공격력!A:A,B805,팀공격력!B:B,D805)+SUMIFS(팀수비력!X:X,팀수비력!A:A,B805,팀수비력!B:B,D805))))*100,"")</f>
        <v>4.7112517943244132</v>
      </c>
      <c r="BL805" s="67">
        <f>IFERROR(100*AK805/(((((F805*60+G805)/(12000/5))*SUMIFS(팀공격력!P:P,팀공격력!A:A,B805,팀공격력!B:B,D805))-K805)),"")</f>
        <v>2.3336466470035329</v>
      </c>
      <c r="BM805" s="67">
        <f>IFERROR(100*((AM805/E805*(2400))/((F805*60+G805)*SUMIFS(팀공격력!AR:AR,팀공격력!A:A,B805,팀공격력!B:B,D805))),"")</f>
        <v>2.2717948031678374</v>
      </c>
      <c r="BN805" s="67">
        <f>IFERROR((AO805*40)/(((F805*60+G805)/60)*(SUMIFS(팀수비력!Q:Q,팀수비력!A:A,B805,팀수비력!B:B,D805)-SUMIFS(팀수비력!N:N,팀수비력!A:A,B805,팀수비력!B:B,D805)))*100,"")</f>
        <v>1.8348448504888142</v>
      </c>
      <c r="BO805" s="67">
        <f t="shared" si="399"/>
        <v>6.5616797900262469</v>
      </c>
      <c r="BT805" t="s">
        <v>89</v>
      </c>
      <c r="BV805" t="s">
        <v>90</v>
      </c>
      <c r="CF805">
        <v>5</v>
      </c>
      <c r="CG805">
        <v>4</v>
      </c>
    </row>
    <row r="806" spans="1:85" x14ac:dyDescent="0.4">
      <c r="A806" s="11" t="s">
        <v>85</v>
      </c>
      <c r="B806" t="s">
        <v>286</v>
      </c>
      <c r="C806" t="s">
        <v>295</v>
      </c>
      <c r="D806" s="46" t="s">
        <v>311</v>
      </c>
      <c r="E806">
        <v>1</v>
      </c>
      <c r="F806">
        <v>5</v>
      </c>
      <c r="G806" s="1">
        <v>49</v>
      </c>
      <c r="H806" s="16">
        <f t="shared" si="374"/>
        <v>349</v>
      </c>
      <c r="I806">
        <v>0</v>
      </c>
      <c r="J806" s="17">
        <f t="shared" si="375"/>
        <v>0</v>
      </c>
      <c r="K806">
        <v>0</v>
      </c>
      <c r="L806">
        <v>2</v>
      </c>
      <c r="M806" s="17">
        <f t="shared" si="376"/>
        <v>0</v>
      </c>
      <c r="N806" s="17">
        <f t="shared" si="377"/>
        <v>2</v>
      </c>
      <c r="O806" s="18">
        <f t="shared" si="378"/>
        <v>0</v>
      </c>
      <c r="P806">
        <v>0</v>
      </c>
      <c r="Q806">
        <v>0</v>
      </c>
      <c r="R806" s="17">
        <f t="shared" si="379"/>
        <v>0</v>
      </c>
      <c r="S806" s="17">
        <f t="shared" si="380"/>
        <v>0</v>
      </c>
      <c r="T806" s="18" t="e">
        <f t="shared" si="381"/>
        <v>#DIV/0!</v>
      </c>
      <c r="U806">
        <v>0</v>
      </c>
      <c r="V806">
        <v>2</v>
      </c>
      <c r="W806" s="17">
        <f t="shared" si="382"/>
        <v>0</v>
      </c>
      <c r="X806" s="17">
        <f t="shared" si="383"/>
        <v>2</v>
      </c>
      <c r="Y806" s="18">
        <f t="shared" si="384"/>
        <v>0</v>
      </c>
      <c r="Z806">
        <v>0</v>
      </c>
      <c r="AA806">
        <v>0</v>
      </c>
      <c r="AB806" s="17">
        <f t="shared" si="385"/>
        <v>0</v>
      </c>
      <c r="AC806" s="17">
        <f t="shared" si="386"/>
        <v>0</v>
      </c>
      <c r="AD806" s="18" t="e">
        <f t="shared" si="387"/>
        <v>#DIV/0!</v>
      </c>
      <c r="AE806">
        <v>0</v>
      </c>
      <c r="AF806" s="17">
        <f t="shared" si="388"/>
        <v>0</v>
      </c>
      <c r="AG806">
        <v>0</v>
      </c>
      <c r="AH806" s="17">
        <f t="shared" si="389"/>
        <v>0</v>
      </c>
      <c r="AI806">
        <v>0</v>
      </c>
      <c r="AJ806" s="17">
        <f t="shared" si="390"/>
        <v>0</v>
      </c>
      <c r="AK806">
        <v>0</v>
      </c>
      <c r="AL806" s="17">
        <f t="shared" si="391"/>
        <v>0</v>
      </c>
      <c r="AM806">
        <v>0</v>
      </c>
      <c r="AN806" s="17">
        <f t="shared" si="392"/>
        <v>0</v>
      </c>
      <c r="AO806">
        <v>0</v>
      </c>
      <c r="AQ806">
        <v>0</v>
      </c>
      <c r="AR806" s="17">
        <f t="shared" si="393"/>
        <v>0</v>
      </c>
      <c r="AS806">
        <v>1</v>
      </c>
      <c r="AT806" s="17">
        <f t="shared" si="394"/>
        <v>1</v>
      </c>
      <c r="BD806" s="65">
        <f t="shared" si="395"/>
        <v>0</v>
      </c>
      <c r="BE806" s="65">
        <f t="shared" si="396"/>
        <v>0</v>
      </c>
      <c r="BF806" s="66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1.8959996776800547</v>
      </c>
      <c r="BG806" s="38">
        <f t="shared" si="397"/>
        <v>1</v>
      </c>
      <c r="BH806" s="38">
        <f t="shared" si="398"/>
        <v>0</v>
      </c>
      <c r="BI806" s="67">
        <f>IFERROR(((AG806*(12000/5))/((F806*60+G806)*(SUMIFS(팀공격력!X:X,팀공격력!A:A,B806,팀공격력!B:B,D806)+SUMIFS(팀수비력!X:X,팀수비력!A:A,B806,팀수비력!B:B,D806))))*100,"")</f>
        <v>0</v>
      </c>
      <c r="BJ806" s="67">
        <f>IFERROR(((AI806*(12000/5))/((F806*60+G806)*(SUMIFS(팀공격력!V:V,팀공격력!A:A,B806,팀공격력!B:B,D806)+SUMIFS(팀수비력!W:W,팀수비력!A:A,B806,팀수비력!B:B,D806))))*100,"")</f>
        <v>0</v>
      </c>
      <c r="BK806" s="67">
        <f>IFERROR(((AE806*(12000/5))/((F806*60+G806)*(SUMIFS(팀공격력!X:X,팀공격력!A:A,B806,팀공격력!B:B,D806)+SUMIFS(팀수비력!X:X,팀수비력!A:A,B806,팀수비력!B:B,D806))))*100,"")</f>
        <v>0</v>
      </c>
      <c r="BL806" s="67">
        <f>IFERROR(100*AK806/(((((F806*60+G806)/(12000/5))*SUMIFS(팀공격력!P:P,팀공격력!A:A,B806,팀공격력!B:B,D806))-K806)),"")</f>
        <v>0</v>
      </c>
      <c r="BM806" s="67">
        <f>IFERROR(100*((AM806/E806*(2400))/((F806*60+G806)*SUMIFS(팀공격력!AR:AR,팀공격력!A:A,B806,팀공격력!B:B,D806))),"")</f>
        <v>0</v>
      </c>
      <c r="BN806" s="67">
        <f>IFERROR((AO806*40)/(((F806*60+G806)/60)*(SUMIFS(팀수비력!Q:Q,팀수비력!A:A,B806,팀수비력!B:B,D806)-SUMIFS(팀수비력!N:N,팀수비력!A:A,B806,팀수비력!B:B,D806)))*100,"")</f>
        <v>0</v>
      </c>
      <c r="BO806" s="67">
        <f t="shared" si="399"/>
        <v>0</v>
      </c>
      <c r="BT806" t="s">
        <v>89</v>
      </c>
      <c r="BV806" t="s">
        <v>90</v>
      </c>
      <c r="CF806">
        <v>0</v>
      </c>
      <c r="CG806">
        <v>1</v>
      </c>
    </row>
    <row r="807" spans="1:85" x14ac:dyDescent="0.4">
      <c r="A807" s="11" t="s">
        <v>85</v>
      </c>
      <c r="B807" t="s">
        <v>286</v>
      </c>
      <c r="C807" t="s">
        <v>296</v>
      </c>
      <c r="D807" s="46" t="s">
        <v>311</v>
      </c>
      <c r="E807">
        <v>9</v>
      </c>
      <c r="F807">
        <v>21</v>
      </c>
      <c r="G807" s="1">
        <v>46</v>
      </c>
      <c r="H807" s="16">
        <f t="shared" si="374"/>
        <v>11754</v>
      </c>
      <c r="I807">
        <v>101</v>
      </c>
      <c r="J807" s="17">
        <f t="shared" si="375"/>
        <v>11.222222222222221</v>
      </c>
      <c r="K807">
        <v>32</v>
      </c>
      <c r="L807">
        <v>82</v>
      </c>
      <c r="M807" s="17">
        <f t="shared" si="376"/>
        <v>3.5555555555555554</v>
      </c>
      <c r="N807" s="17">
        <f t="shared" si="377"/>
        <v>9.1111111111111107</v>
      </c>
      <c r="O807" s="18">
        <f t="shared" si="378"/>
        <v>0.3902439024390244</v>
      </c>
      <c r="P807">
        <v>14</v>
      </c>
      <c r="Q807">
        <v>32</v>
      </c>
      <c r="R807" s="17">
        <f t="shared" si="379"/>
        <v>1.5555555555555556</v>
      </c>
      <c r="S807" s="17">
        <f t="shared" si="380"/>
        <v>3.5555555555555554</v>
      </c>
      <c r="T807" s="18">
        <f t="shared" si="381"/>
        <v>0.4375</v>
      </c>
      <c r="U807">
        <v>18</v>
      </c>
      <c r="V807">
        <v>50</v>
      </c>
      <c r="W807" s="17">
        <f t="shared" si="382"/>
        <v>2</v>
      </c>
      <c r="X807" s="17">
        <f t="shared" si="383"/>
        <v>5.5555555555555554</v>
      </c>
      <c r="Y807" s="18">
        <f t="shared" si="384"/>
        <v>0.36</v>
      </c>
      <c r="Z807">
        <v>19</v>
      </c>
      <c r="AA807">
        <v>22</v>
      </c>
      <c r="AB807" s="17">
        <f t="shared" si="385"/>
        <v>2.1111111111111112</v>
      </c>
      <c r="AC807" s="17">
        <f t="shared" si="386"/>
        <v>2.4444444444444446</v>
      </c>
      <c r="AD807" s="18">
        <f t="shared" si="387"/>
        <v>0.86363636363636365</v>
      </c>
      <c r="AE807">
        <v>23</v>
      </c>
      <c r="AF807" s="17">
        <f t="shared" si="388"/>
        <v>2.5555555555555554</v>
      </c>
      <c r="AG807">
        <v>3</v>
      </c>
      <c r="AH807" s="17">
        <f t="shared" si="389"/>
        <v>0.33333333333333331</v>
      </c>
      <c r="AI807">
        <v>20</v>
      </c>
      <c r="AJ807" s="17">
        <f t="shared" si="390"/>
        <v>2.2222222222222223</v>
      </c>
      <c r="AK807">
        <v>14</v>
      </c>
      <c r="AL807" s="17">
        <f t="shared" si="391"/>
        <v>1.5555555555555556</v>
      </c>
      <c r="AM807">
        <v>4</v>
      </c>
      <c r="AN807" s="17">
        <f t="shared" si="392"/>
        <v>0.44444444444444442</v>
      </c>
      <c r="AO807">
        <v>1</v>
      </c>
      <c r="AQ807">
        <v>5</v>
      </c>
      <c r="AR807" s="17">
        <f t="shared" si="393"/>
        <v>0.55555555555555558</v>
      </c>
      <c r="AS807">
        <v>3</v>
      </c>
      <c r="AT807" s="17">
        <f t="shared" si="394"/>
        <v>0.33333333333333331</v>
      </c>
      <c r="BD807" s="65">
        <f t="shared" si="395"/>
        <v>55.082897033158808</v>
      </c>
      <c r="BE807" s="65">
        <f t="shared" si="396"/>
        <v>50</v>
      </c>
      <c r="BF807" s="66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24.492163799578712</v>
      </c>
      <c r="BG807" s="38">
        <f t="shared" si="397"/>
        <v>0.6097560975609756</v>
      </c>
      <c r="BH807" s="38">
        <f t="shared" si="398"/>
        <v>0.26829268292682928</v>
      </c>
      <c r="BI807" s="67">
        <f>IFERROR(((AG807*(12000/5))/((F807*60+G807)*(SUMIFS(팀공격력!X:X,팀공격력!A:A,B807,팀공격력!B:B,D807)+SUMIFS(팀수비력!X:X,팀수비력!A:A,B807,팀수비력!B:B,D807))))*100,"")</f>
        <v>0.9097387533546617</v>
      </c>
      <c r="BJ807" s="67">
        <f>IFERROR(((AI807*(12000/5))/((F807*60+G807)*(SUMIFS(팀공격력!V:V,팀공격력!A:A,B807,팀공격력!B:B,D807)+SUMIFS(팀수비력!W:W,팀수비력!A:A,B807,팀수비력!B:B,D807))))*100,"")</f>
        <v>12.129850044728823</v>
      </c>
      <c r="BK807" s="67">
        <f>IFERROR(((AE807*(12000/5))/((F807*60+G807)*(SUMIFS(팀공격력!X:X,팀공격력!A:A,B807,팀공격력!B:B,D807)+SUMIFS(팀수비력!X:X,팀수비력!A:A,B807,팀수비력!B:B,D807))))*100,"")</f>
        <v>6.9746637757190726</v>
      </c>
      <c r="BL807" s="67">
        <f>IFERROR(100*AK807/(((((F807*60+G807)/(12000/5))*SUMIFS(팀공격력!P:P,팀공격력!A:A,B807,팀공격력!B:B,D807))-K807)),"")</f>
        <v>11.955423350080416</v>
      </c>
      <c r="BM807" s="67">
        <f>IFERROR(100*((AM807/E807*(2400))/((F807*60+G807)*SUMIFS(팀공격력!AR:AR,팀공격력!A:A,B807,팀공격력!B:B,D807))),"")</f>
        <v>1.1698177680936988</v>
      </c>
      <c r="BN807" s="67">
        <f>IFERROR((AO807*40)/(((F807*60+G807)/60)*(SUMIFS(팀수비력!Q:Q,팀수비력!A:A,B807,팀수비력!B:B,D807)-SUMIFS(팀수비력!N:N,팀수비력!A:A,B807,팀수비력!B:B,D807)))*100,"")</f>
        <v>0.47240932693481147</v>
      </c>
      <c r="BO807" s="67">
        <f t="shared" si="399"/>
        <v>5.1717004551096393</v>
      </c>
      <c r="BT807" t="s">
        <v>89</v>
      </c>
      <c r="BV807" t="s">
        <v>90</v>
      </c>
      <c r="CF807">
        <v>5</v>
      </c>
      <c r="CG807">
        <v>4</v>
      </c>
    </row>
    <row r="808" spans="1:85" x14ac:dyDescent="0.4">
      <c r="A808" s="11" t="s">
        <v>85</v>
      </c>
      <c r="B808" t="s">
        <v>286</v>
      </c>
      <c r="C808" t="s">
        <v>297</v>
      </c>
      <c r="D808" s="46" t="s">
        <v>311</v>
      </c>
      <c r="E808">
        <v>7</v>
      </c>
      <c r="F808">
        <v>6</v>
      </c>
      <c r="G808" s="1">
        <v>34</v>
      </c>
      <c r="H808" s="16">
        <f t="shared" si="374"/>
        <v>2758</v>
      </c>
      <c r="I808">
        <v>27</v>
      </c>
      <c r="J808" s="17">
        <f t="shared" si="375"/>
        <v>3.8571428571428572</v>
      </c>
      <c r="K808">
        <v>8</v>
      </c>
      <c r="L808">
        <v>16</v>
      </c>
      <c r="M808" s="17">
        <f t="shared" si="376"/>
        <v>1.1428571428571428</v>
      </c>
      <c r="N808" s="17">
        <f t="shared" si="377"/>
        <v>2.2857142857142856</v>
      </c>
      <c r="O808" s="18">
        <f t="shared" si="378"/>
        <v>0.5</v>
      </c>
      <c r="P808">
        <v>5</v>
      </c>
      <c r="Q808">
        <v>8</v>
      </c>
      <c r="R808" s="17">
        <f t="shared" si="379"/>
        <v>0.7142857142857143</v>
      </c>
      <c r="S808" s="17">
        <f t="shared" si="380"/>
        <v>1.1428571428571428</v>
      </c>
      <c r="T808" s="18">
        <f t="shared" si="381"/>
        <v>0.625</v>
      </c>
      <c r="U808">
        <v>3</v>
      </c>
      <c r="V808">
        <v>8</v>
      </c>
      <c r="W808" s="17">
        <f t="shared" si="382"/>
        <v>0.42857142857142855</v>
      </c>
      <c r="X808" s="17">
        <f t="shared" si="383"/>
        <v>1.1428571428571428</v>
      </c>
      <c r="Y808" s="18">
        <f t="shared" si="384"/>
        <v>0.375</v>
      </c>
      <c r="Z808">
        <v>8</v>
      </c>
      <c r="AA808">
        <v>10</v>
      </c>
      <c r="AB808" s="17">
        <f t="shared" si="385"/>
        <v>1.1428571428571428</v>
      </c>
      <c r="AC808" s="17">
        <f t="shared" si="386"/>
        <v>1.4285714285714286</v>
      </c>
      <c r="AD808" s="18">
        <f t="shared" si="387"/>
        <v>0.8</v>
      </c>
      <c r="AE808">
        <v>9</v>
      </c>
      <c r="AF808" s="17">
        <f t="shared" si="388"/>
        <v>1.2857142857142858</v>
      </c>
      <c r="AG808">
        <v>0</v>
      </c>
      <c r="AH808" s="17">
        <f t="shared" si="389"/>
        <v>0</v>
      </c>
      <c r="AI808">
        <v>9</v>
      </c>
      <c r="AJ808" s="17">
        <f t="shared" si="390"/>
        <v>1.2857142857142858</v>
      </c>
      <c r="AK808">
        <v>4</v>
      </c>
      <c r="AL808" s="17">
        <f t="shared" si="391"/>
        <v>0.5714285714285714</v>
      </c>
      <c r="AM808">
        <v>2</v>
      </c>
      <c r="AN808" s="17">
        <f t="shared" si="392"/>
        <v>0.2857142857142857</v>
      </c>
      <c r="AO808">
        <v>2</v>
      </c>
      <c r="AQ808">
        <v>1</v>
      </c>
      <c r="AR808" s="17">
        <f t="shared" si="393"/>
        <v>0.14285714285714285</v>
      </c>
      <c r="AS808">
        <v>7</v>
      </c>
      <c r="AT808" s="17">
        <f t="shared" si="394"/>
        <v>1</v>
      </c>
      <c r="BD808" s="65">
        <f t="shared" si="395"/>
        <v>66.176470588235304</v>
      </c>
      <c r="BE808" s="65">
        <f t="shared" si="396"/>
        <v>59.375</v>
      </c>
      <c r="BF808" s="66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17.970130955230022</v>
      </c>
      <c r="BG808" s="38">
        <f t="shared" si="397"/>
        <v>0.5</v>
      </c>
      <c r="BH808" s="38">
        <f t="shared" si="398"/>
        <v>0.625</v>
      </c>
      <c r="BI808" s="67">
        <f>IFERROR(((AG808*(12000/5))/((F808*60+G808)*(SUMIFS(팀공격력!X:X,팀공격력!A:A,B808,팀공격력!B:B,D808)+SUMIFS(팀수비력!X:X,팀수비력!A:A,B808,팀수비력!B:B,D808))))*100,"")</f>
        <v>0</v>
      </c>
      <c r="BJ808" s="67">
        <f>IFERROR(((AI808*(12000/5))/((F808*60+G808)*(SUMIFS(팀공격력!V:V,팀공격력!A:A,B808,팀공격력!B:B,D808)+SUMIFS(팀수비력!W:W,팀수비력!A:A,B808,팀수비력!B:B,D808))))*100,"")</f>
        <v>18.093179876363273</v>
      </c>
      <c r="BK808" s="67">
        <f>IFERROR(((AE808*(12000/5))/((F808*60+G808)*(SUMIFS(팀공격력!X:X,팀공격력!A:A,B808,팀공격력!B:B,D808)+SUMIFS(팀수비력!X:X,팀수비력!A:A,B808,팀수비력!B:B,D808))))*100,"")</f>
        <v>9.0465899381816364</v>
      </c>
      <c r="BL808" s="67">
        <f>IFERROR(100*AK808/(((((F808*60+G808)/(12000/5))*SUMIFS(팀공격력!P:P,팀공격력!A:A,B808,팀공격력!B:B,D808))-K808)),"")</f>
        <v>10.816170174410745</v>
      </c>
      <c r="BM808" s="67">
        <f>IFERROR(100*((AM808/E808*(2400))/((F808*60+G808)*SUMIFS(팀공격력!AR:AR,팀공격력!A:A,B808,팀공격력!B:B,D808))),"")</f>
        <v>2.4927552658037229</v>
      </c>
      <c r="BN808" s="67">
        <f>IFERROR((AO808*40)/(((F808*60+G808)/60)*(SUMIFS(팀수비력!Q:Q,팀수비력!A:A,B808,팀수비력!B:B,D808)-SUMIFS(팀수비력!N:N,팀수비력!A:A,B808,팀수비력!B:B,D808)))*100,"")</f>
        <v>3.1318100557201203</v>
      </c>
      <c r="BO808" s="67">
        <f t="shared" si="399"/>
        <v>4.6728971962616823</v>
      </c>
      <c r="BT808" t="s">
        <v>89</v>
      </c>
      <c r="BV808" t="s">
        <v>93</v>
      </c>
      <c r="CF808">
        <v>5</v>
      </c>
      <c r="CG808">
        <v>2</v>
      </c>
    </row>
    <row r="809" spans="1:85" x14ac:dyDescent="0.4">
      <c r="A809" s="11" t="s">
        <v>85</v>
      </c>
      <c r="B809" t="s">
        <v>286</v>
      </c>
      <c r="C809" t="s">
        <v>298</v>
      </c>
      <c r="D809" s="46" t="s">
        <v>311</v>
      </c>
      <c r="E809">
        <v>9</v>
      </c>
      <c r="F809">
        <v>25</v>
      </c>
      <c r="G809" s="1">
        <v>15</v>
      </c>
      <c r="H809" s="16">
        <f t="shared" si="374"/>
        <v>13635</v>
      </c>
      <c r="I809">
        <v>89</v>
      </c>
      <c r="J809" s="17">
        <f t="shared" si="375"/>
        <v>9.8888888888888893</v>
      </c>
      <c r="K809">
        <v>34</v>
      </c>
      <c r="L809">
        <v>75</v>
      </c>
      <c r="M809" s="17">
        <f t="shared" si="376"/>
        <v>3.7777777777777777</v>
      </c>
      <c r="N809" s="17">
        <f t="shared" si="377"/>
        <v>8.3333333333333339</v>
      </c>
      <c r="O809" s="18">
        <f t="shared" si="378"/>
        <v>0.45333333333333331</v>
      </c>
      <c r="P809">
        <v>24</v>
      </c>
      <c r="Q809">
        <v>45</v>
      </c>
      <c r="R809" s="17">
        <f t="shared" si="379"/>
        <v>2.6666666666666665</v>
      </c>
      <c r="S809" s="17">
        <f t="shared" si="380"/>
        <v>5</v>
      </c>
      <c r="T809" s="18">
        <f t="shared" si="381"/>
        <v>0.53333333333333333</v>
      </c>
      <c r="U809">
        <v>10</v>
      </c>
      <c r="V809">
        <v>30</v>
      </c>
      <c r="W809" s="17">
        <f t="shared" si="382"/>
        <v>1.1111111111111112</v>
      </c>
      <c r="X809" s="17">
        <f t="shared" si="383"/>
        <v>3.3333333333333335</v>
      </c>
      <c r="Y809" s="18">
        <f t="shared" si="384"/>
        <v>0.33333333333333331</v>
      </c>
      <c r="Z809">
        <v>11</v>
      </c>
      <c r="AA809">
        <v>14</v>
      </c>
      <c r="AB809" s="17">
        <f t="shared" si="385"/>
        <v>1.2222222222222223</v>
      </c>
      <c r="AC809" s="17">
        <f t="shared" si="386"/>
        <v>1.5555555555555556</v>
      </c>
      <c r="AD809" s="18">
        <f t="shared" si="387"/>
        <v>0.7857142857142857</v>
      </c>
      <c r="AE809">
        <v>25</v>
      </c>
      <c r="AF809" s="17">
        <f t="shared" si="388"/>
        <v>2.7777777777777777</v>
      </c>
      <c r="AG809">
        <v>5</v>
      </c>
      <c r="AH809" s="17">
        <f t="shared" si="389"/>
        <v>0.55555555555555558</v>
      </c>
      <c r="AI809">
        <v>20</v>
      </c>
      <c r="AJ809" s="17">
        <f t="shared" si="390"/>
        <v>2.2222222222222223</v>
      </c>
      <c r="AK809">
        <v>45</v>
      </c>
      <c r="AL809" s="17">
        <f t="shared" si="391"/>
        <v>5</v>
      </c>
      <c r="AM809">
        <v>7</v>
      </c>
      <c r="AN809" s="17">
        <f t="shared" si="392"/>
        <v>0.77777777777777779</v>
      </c>
      <c r="AO809">
        <v>0</v>
      </c>
      <c r="AQ809">
        <v>12</v>
      </c>
      <c r="AR809" s="17">
        <f t="shared" si="393"/>
        <v>1.3333333333333333</v>
      </c>
      <c r="AS809">
        <v>19</v>
      </c>
      <c r="AT809" s="17">
        <f t="shared" si="394"/>
        <v>2.1111111111111112</v>
      </c>
      <c r="BD809" s="65">
        <f t="shared" si="395"/>
        <v>54.829965500246423</v>
      </c>
      <c r="BE809" s="65">
        <f t="shared" si="396"/>
        <v>52</v>
      </c>
      <c r="BF809" s="66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20.344664739426797</v>
      </c>
      <c r="BG809" s="38">
        <f t="shared" si="397"/>
        <v>0.4</v>
      </c>
      <c r="BH809" s="38">
        <f t="shared" si="398"/>
        <v>0.18666666666666668</v>
      </c>
      <c r="BI809" s="67">
        <f>IFERROR(((AG809*(12000/5))/((F809*60+G809)*(SUMIFS(팀공격력!X:X,팀공격력!A:A,B809,팀공격력!B:B,D809)+SUMIFS(팀수비력!X:X,팀수비력!A:A,B809,팀수비력!B:B,D809))))*100,"")</f>
        <v>1.3070613992092279</v>
      </c>
      <c r="BJ809" s="67">
        <f>IFERROR(((AI809*(12000/5))/((F809*60+G809)*(SUMIFS(팀공격력!V:V,팀공격력!A:A,B809,팀공격력!B:B,D809)+SUMIFS(팀수비력!W:W,팀수비력!A:A,B809,팀수비력!B:B,D809))))*100,"")</f>
        <v>10.456491193673823</v>
      </c>
      <c r="BK809" s="67">
        <f>IFERROR(((AE809*(12000/5))/((F809*60+G809)*(SUMIFS(팀공격력!X:X,팀공격력!A:A,B809,팀공격력!B:B,D809)+SUMIFS(팀수비력!X:X,팀수비력!A:A,B809,팀수비력!B:B,D809))))*100,"")</f>
        <v>6.5353069960461392</v>
      </c>
      <c r="BL809" s="67">
        <f>IFERROR(100*AK809/(((((F809*60+G809)/(12000/5))*SUMIFS(팀공격력!P:P,팀공격력!A:A,B809,팀공격력!B:B,D809))-K809)),"")</f>
        <v>32.382837096338939</v>
      </c>
      <c r="BM809" s="67">
        <f>IFERROR(100*((AM809/E809*(2400))/((F809*60+G809)*SUMIFS(팀공격력!AR:AR,팀공격력!A:A,B809,팀공격력!B:B,D809))),"")</f>
        <v>1.7647646923948177</v>
      </c>
      <c r="BN809" s="67">
        <f>IFERROR((AO809*40)/(((F809*60+G809)/60)*(SUMIFS(팀수비력!Q:Q,팀수비력!A:A,B809,팀수비력!B:B,D809)-SUMIFS(팀수비력!N:N,팀수비력!A:A,B809,팀수비력!B:B,D809)))*100,"")</f>
        <v>0</v>
      </c>
      <c r="BO809" s="67">
        <f t="shared" si="399"/>
        <v>12.881064834693001</v>
      </c>
      <c r="BT809" t="s">
        <v>89</v>
      </c>
      <c r="BV809" t="s">
        <v>90</v>
      </c>
      <c r="CF809">
        <v>5</v>
      </c>
      <c r="CG809">
        <v>4</v>
      </c>
    </row>
    <row r="810" spans="1:85" x14ac:dyDescent="0.4">
      <c r="A810" s="11" t="s">
        <v>85</v>
      </c>
      <c r="B810" t="s">
        <v>286</v>
      </c>
      <c r="C810" t="s">
        <v>299</v>
      </c>
      <c r="D810" s="46" t="s">
        <v>311</v>
      </c>
      <c r="E810">
        <v>1</v>
      </c>
      <c r="F810">
        <v>2</v>
      </c>
      <c r="G810" s="1">
        <v>32</v>
      </c>
      <c r="H810" s="16">
        <f t="shared" si="374"/>
        <v>152</v>
      </c>
      <c r="I810">
        <v>3</v>
      </c>
      <c r="J810" s="17">
        <f t="shared" si="375"/>
        <v>3</v>
      </c>
      <c r="K810">
        <v>1</v>
      </c>
      <c r="L810">
        <v>2</v>
      </c>
      <c r="M810" s="17">
        <f t="shared" si="376"/>
        <v>1</v>
      </c>
      <c r="N810" s="17">
        <f t="shared" si="377"/>
        <v>2</v>
      </c>
      <c r="O810" s="18">
        <f t="shared" si="378"/>
        <v>0.5</v>
      </c>
      <c r="P810">
        <v>1</v>
      </c>
      <c r="Q810">
        <v>1</v>
      </c>
      <c r="R810" s="17">
        <f t="shared" si="379"/>
        <v>1</v>
      </c>
      <c r="S810" s="17">
        <f t="shared" si="380"/>
        <v>1</v>
      </c>
      <c r="T810" s="18">
        <f t="shared" si="381"/>
        <v>1</v>
      </c>
      <c r="U810">
        <v>0</v>
      </c>
      <c r="V810">
        <v>1</v>
      </c>
      <c r="W810" s="17">
        <f t="shared" si="382"/>
        <v>0</v>
      </c>
      <c r="X810" s="17">
        <f t="shared" si="383"/>
        <v>1</v>
      </c>
      <c r="Y810" s="18">
        <f t="shared" si="384"/>
        <v>0</v>
      </c>
      <c r="Z810">
        <v>1</v>
      </c>
      <c r="AA810">
        <v>1</v>
      </c>
      <c r="AB810" s="17">
        <f t="shared" si="385"/>
        <v>1</v>
      </c>
      <c r="AC810" s="17">
        <f t="shared" si="386"/>
        <v>1</v>
      </c>
      <c r="AD810" s="18">
        <f t="shared" si="387"/>
        <v>1</v>
      </c>
      <c r="AE810">
        <v>0</v>
      </c>
      <c r="AF810" s="17">
        <f t="shared" si="388"/>
        <v>0</v>
      </c>
      <c r="AG810">
        <v>0</v>
      </c>
      <c r="AH810" s="17">
        <f t="shared" si="389"/>
        <v>0</v>
      </c>
      <c r="AI810">
        <v>0</v>
      </c>
      <c r="AJ810" s="17">
        <f t="shared" si="390"/>
        <v>0</v>
      </c>
      <c r="AK810">
        <v>0</v>
      </c>
      <c r="AL810" s="17">
        <f t="shared" si="391"/>
        <v>0</v>
      </c>
      <c r="AM810">
        <v>0</v>
      </c>
      <c r="AN810" s="17">
        <f t="shared" si="392"/>
        <v>0</v>
      </c>
      <c r="AO810">
        <v>0</v>
      </c>
      <c r="AQ810">
        <v>0</v>
      </c>
      <c r="AR810" s="17">
        <f t="shared" si="393"/>
        <v>0</v>
      </c>
      <c r="AS810">
        <v>0</v>
      </c>
      <c r="AT810" s="17">
        <f t="shared" si="394"/>
        <v>0</v>
      </c>
      <c r="BD810" s="65">
        <f t="shared" si="395"/>
        <v>61.475409836065573</v>
      </c>
      <c r="BE810" s="65">
        <f t="shared" si="396"/>
        <v>50</v>
      </c>
      <c r="BF810" s="66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5.311044360280353</v>
      </c>
      <c r="BG810" s="38">
        <f t="shared" si="397"/>
        <v>0.5</v>
      </c>
      <c r="BH810" s="38">
        <f t="shared" si="398"/>
        <v>0.5</v>
      </c>
      <c r="BI810" s="67">
        <f>IFERROR(((AG810*(12000/5))/((F810*60+G810)*(SUMIFS(팀공격력!X:X,팀공격력!A:A,B810,팀공격력!B:B,D810)+SUMIFS(팀수비력!X:X,팀수비력!A:A,B810,팀수비력!B:B,D810))))*100,"")</f>
        <v>0</v>
      </c>
      <c r="BJ810" s="67">
        <f>IFERROR(((AI810*(12000/5))/((F810*60+G810)*(SUMIFS(팀공격력!V:V,팀공격력!A:A,B810,팀공격력!B:B,D810)+SUMIFS(팀수비력!W:W,팀수비력!A:A,B810,팀수비력!B:B,D810))))*100,"")</f>
        <v>0</v>
      </c>
      <c r="BK810" s="67">
        <f>IFERROR(((AE810*(12000/5))/((F810*60+G810)*(SUMIFS(팀공격력!X:X,팀공격력!A:A,B810,팀공격력!B:B,D810)+SUMIFS(팀수비력!X:X,팀수비력!A:A,B810,팀수비력!B:B,D810))))*100,"")</f>
        <v>0</v>
      </c>
      <c r="BL810" s="67">
        <f>IFERROR(100*AK810/(((((F810*60+G810)/(12000/5))*SUMIFS(팀공격력!P:P,팀공격력!A:A,B810,팀공격력!B:B,D810))-K810)),"")</f>
        <v>0</v>
      </c>
      <c r="BM810" s="67">
        <f>IFERROR(100*((AM810/E810*(2400))/((F810*60+G810)*SUMIFS(팀공격력!AR:AR,팀공격력!A:A,B810,팀공격력!B:B,D810))),"")</f>
        <v>0</v>
      </c>
      <c r="BN810" s="67">
        <f>IFERROR((AO810*40)/(((F810*60+G810)/60)*(SUMIFS(팀수비력!Q:Q,팀수비력!A:A,B810,팀수비력!B:B,D810)-SUMIFS(팀수비력!N:N,팀수비력!A:A,B810,팀수비력!B:B,D810)))*100,"")</f>
        <v>0</v>
      </c>
      <c r="BO810" s="67">
        <f t="shared" si="399"/>
        <v>0</v>
      </c>
      <c r="BT810" t="s">
        <v>89</v>
      </c>
      <c r="BV810" t="s">
        <v>93</v>
      </c>
      <c r="CF810">
        <v>1</v>
      </c>
      <c r="CG810">
        <v>0</v>
      </c>
    </row>
    <row r="811" spans="1:85" x14ac:dyDescent="0.4">
      <c r="A811" s="11" t="s">
        <v>85</v>
      </c>
      <c r="B811" t="s">
        <v>286</v>
      </c>
      <c r="C811" t="s">
        <v>300</v>
      </c>
      <c r="D811" s="46" t="s">
        <v>311</v>
      </c>
      <c r="E811">
        <v>8</v>
      </c>
      <c r="F811">
        <v>14</v>
      </c>
      <c r="G811" s="1">
        <v>46</v>
      </c>
      <c r="H811" s="16">
        <f t="shared" si="374"/>
        <v>7088</v>
      </c>
      <c r="I811">
        <v>64</v>
      </c>
      <c r="J811" s="17">
        <f t="shared" si="375"/>
        <v>8</v>
      </c>
      <c r="K811">
        <v>26</v>
      </c>
      <c r="L811">
        <v>46</v>
      </c>
      <c r="M811" s="17">
        <f t="shared" si="376"/>
        <v>3.25</v>
      </c>
      <c r="N811" s="17">
        <f t="shared" si="377"/>
        <v>5.75</v>
      </c>
      <c r="O811" s="18">
        <f t="shared" si="378"/>
        <v>0.56521739130434778</v>
      </c>
      <c r="P811">
        <v>21</v>
      </c>
      <c r="Q811">
        <v>35</v>
      </c>
      <c r="R811" s="17">
        <f t="shared" si="379"/>
        <v>2.625</v>
      </c>
      <c r="S811" s="17">
        <f t="shared" si="380"/>
        <v>4.375</v>
      </c>
      <c r="T811" s="18">
        <f t="shared" si="381"/>
        <v>0.6</v>
      </c>
      <c r="U811">
        <v>5</v>
      </c>
      <c r="V811">
        <v>11</v>
      </c>
      <c r="W811" s="17">
        <f t="shared" si="382"/>
        <v>0.625</v>
      </c>
      <c r="X811" s="17">
        <f t="shared" si="383"/>
        <v>1.375</v>
      </c>
      <c r="Y811" s="18">
        <f t="shared" si="384"/>
        <v>0.45454545454545453</v>
      </c>
      <c r="Z811">
        <v>7</v>
      </c>
      <c r="AA811">
        <v>8</v>
      </c>
      <c r="AB811" s="17">
        <f t="shared" si="385"/>
        <v>0.875</v>
      </c>
      <c r="AC811" s="17">
        <f t="shared" si="386"/>
        <v>1</v>
      </c>
      <c r="AD811" s="18">
        <f t="shared" si="387"/>
        <v>0.875</v>
      </c>
      <c r="AE811">
        <v>18</v>
      </c>
      <c r="AF811" s="17">
        <f t="shared" si="388"/>
        <v>2.25</v>
      </c>
      <c r="AG811">
        <v>2</v>
      </c>
      <c r="AH811" s="17">
        <f t="shared" si="389"/>
        <v>0.25</v>
      </c>
      <c r="AI811">
        <v>16</v>
      </c>
      <c r="AJ811" s="17">
        <f t="shared" si="390"/>
        <v>2</v>
      </c>
      <c r="AK811">
        <v>10</v>
      </c>
      <c r="AL811" s="17">
        <f t="shared" si="391"/>
        <v>1.25</v>
      </c>
      <c r="AM811">
        <v>4</v>
      </c>
      <c r="AN811" s="17">
        <f t="shared" si="392"/>
        <v>0.5</v>
      </c>
      <c r="AO811">
        <v>1</v>
      </c>
      <c r="AQ811">
        <v>4</v>
      </c>
      <c r="AR811" s="17">
        <f t="shared" si="393"/>
        <v>0.5</v>
      </c>
      <c r="AS811">
        <v>16</v>
      </c>
      <c r="AT811" s="17">
        <f t="shared" si="394"/>
        <v>2</v>
      </c>
      <c r="BD811" s="65">
        <f t="shared" si="395"/>
        <v>64.620355411954762</v>
      </c>
      <c r="BE811" s="65">
        <f t="shared" si="396"/>
        <v>61.95652173913043</v>
      </c>
      <c r="BF811" s="66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19.985548566339364</v>
      </c>
      <c r="BG811" s="38">
        <f t="shared" si="397"/>
        <v>0.2391304347826087</v>
      </c>
      <c r="BH811" s="38">
        <f t="shared" si="398"/>
        <v>0.17391304347826086</v>
      </c>
      <c r="BI811" s="67">
        <f>IFERROR(((AG811*(12000/5))/((F811*60+G811)*(SUMIFS(팀공격력!X:X,팀공격력!A:A,B811,팀공격력!B:B,D811)+SUMIFS(팀수비력!X:X,팀수비력!A:A,B811,팀수비력!B:B,D811))))*100,"")</f>
        <v>0.89399459133272241</v>
      </c>
      <c r="BJ811" s="67">
        <f>IFERROR(((AI811*(12000/5))/((F811*60+G811)*(SUMIFS(팀공격력!V:V,팀공격력!A:A,B811,팀공격력!B:B,D811)+SUMIFS(팀수비력!W:W,팀수비력!A:A,B811,팀수비력!B:B,D811))))*100,"")</f>
        <v>14.303913461323559</v>
      </c>
      <c r="BK811" s="67">
        <f>IFERROR(((AE811*(12000/5))/((F811*60+G811)*(SUMIFS(팀공격력!X:X,팀공격력!A:A,B811,팀공격력!B:B,D811)+SUMIFS(팀수비력!X:X,팀수비력!A:A,B811,팀수비력!B:B,D811))))*100,"")</f>
        <v>8.0459513219945009</v>
      </c>
      <c r="BL811" s="67">
        <f>IFERROR(100*AK811/(((((F811*60+G811)/(12000/5))*SUMIFS(팀공격력!P:P,팀공격력!A:A,B811,팀공격력!B:B,D811))-K811)),"")</f>
        <v>13.306424785433903</v>
      </c>
      <c r="BM811" s="67">
        <f>IFERROR(100*((AM811/E811*(2400))/((F811*60+G811)*SUMIFS(팀공격력!AR:AR,팀공격력!A:A,B811,팀공격력!B:B,D811))),"")</f>
        <v>1.9399037875526719</v>
      </c>
      <c r="BN811" s="67">
        <f>IFERROR((AO811*40)/(((F811*60+G811)/60)*(SUMIFS(팀수비력!Q:Q,팀수비력!A:A,B811,팀수비력!B:B,D811)-SUMIFS(팀수비력!N:N,팀수비력!A:A,B811,팀수비력!B:B,D811)))*100,"")</f>
        <v>0.69635054286327736</v>
      </c>
      <c r="BO811" s="67">
        <f t="shared" si="399"/>
        <v>7.4738415545590433</v>
      </c>
      <c r="BT811" t="s">
        <v>113</v>
      </c>
      <c r="BV811" t="s">
        <v>93</v>
      </c>
      <c r="CF811">
        <v>4</v>
      </c>
      <c r="CG811">
        <v>4</v>
      </c>
    </row>
    <row r="812" spans="1:85" x14ac:dyDescent="0.4">
      <c r="A812" s="11" t="s">
        <v>85</v>
      </c>
      <c r="B812" t="s">
        <v>286</v>
      </c>
      <c r="C812" t="s">
        <v>301</v>
      </c>
      <c r="D812" s="46" t="s">
        <v>311</v>
      </c>
      <c r="E812">
        <v>7</v>
      </c>
      <c r="F812">
        <v>6</v>
      </c>
      <c r="G812" s="1">
        <v>15</v>
      </c>
      <c r="H812" s="16">
        <f t="shared" si="374"/>
        <v>2625</v>
      </c>
      <c r="I812">
        <v>12</v>
      </c>
      <c r="J812" s="17">
        <f t="shared" si="375"/>
        <v>1.7142857142857142</v>
      </c>
      <c r="K812">
        <v>5</v>
      </c>
      <c r="L812">
        <v>12</v>
      </c>
      <c r="M812" s="17">
        <f t="shared" si="376"/>
        <v>0.7142857142857143</v>
      </c>
      <c r="N812" s="17">
        <f t="shared" si="377"/>
        <v>1.7142857142857142</v>
      </c>
      <c r="O812" s="18">
        <f t="shared" si="378"/>
        <v>0.41666666666666669</v>
      </c>
      <c r="P812">
        <v>4</v>
      </c>
      <c r="Q812">
        <v>7</v>
      </c>
      <c r="R812" s="17">
        <f t="shared" si="379"/>
        <v>0.5714285714285714</v>
      </c>
      <c r="S812" s="17">
        <f t="shared" si="380"/>
        <v>1</v>
      </c>
      <c r="T812" s="18">
        <f t="shared" si="381"/>
        <v>0.5714285714285714</v>
      </c>
      <c r="U812">
        <v>1</v>
      </c>
      <c r="V812">
        <v>5</v>
      </c>
      <c r="W812" s="17">
        <f t="shared" si="382"/>
        <v>0.14285714285714285</v>
      </c>
      <c r="X812" s="17">
        <f t="shared" si="383"/>
        <v>0.7142857142857143</v>
      </c>
      <c r="Y812" s="18">
        <f t="shared" si="384"/>
        <v>0.2</v>
      </c>
      <c r="Z812">
        <v>1</v>
      </c>
      <c r="AA812">
        <v>4</v>
      </c>
      <c r="AB812" s="17">
        <f t="shared" si="385"/>
        <v>0.14285714285714285</v>
      </c>
      <c r="AC812" s="17">
        <f t="shared" si="386"/>
        <v>0.5714285714285714</v>
      </c>
      <c r="AD812" s="18">
        <f t="shared" si="387"/>
        <v>0.25</v>
      </c>
      <c r="AE812">
        <v>1</v>
      </c>
      <c r="AF812" s="17">
        <f t="shared" si="388"/>
        <v>0.14285714285714285</v>
      </c>
      <c r="AG812">
        <v>0</v>
      </c>
      <c r="AH812" s="17">
        <f t="shared" si="389"/>
        <v>0</v>
      </c>
      <c r="AI812">
        <v>1</v>
      </c>
      <c r="AJ812" s="17">
        <f t="shared" si="390"/>
        <v>0.14285714285714285</v>
      </c>
      <c r="AK812">
        <v>2</v>
      </c>
      <c r="AL812" s="17">
        <f t="shared" si="391"/>
        <v>0.2857142857142857</v>
      </c>
      <c r="AM812">
        <v>3</v>
      </c>
      <c r="AN812" s="17">
        <f t="shared" si="392"/>
        <v>0.42857142857142855</v>
      </c>
      <c r="AO812">
        <v>0</v>
      </c>
      <c r="AQ812">
        <v>1</v>
      </c>
      <c r="AR812" s="17">
        <f t="shared" si="393"/>
        <v>0.14285714285714285</v>
      </c>
      <c r="AS812">
        <v>6</v>
      </c>
      <c r="AT812" s="17">
        <f t="shared" si="394"/>
        <v>0.8571428571428571</v>
      </c>
      <c r="BD812" s="65">
        <f t="shared" si="395"/>
        <v>43.604651162790695</v>
      </c>
      <c r="BE812" s="65">
        <f t="shared" si="396"/>
        <v>45.833333333333329</v>
      </c>
      <c r="BF812" s="66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13.022332506203474</v>
      </c>
      <c r="BG812" s="38">
        <f t="shared" si="397"/>
        <v>0.41666666666666669</v>
      </c>
      <c r="BH812" s="38">
        <f t="shared" si="398"/>
        <v>0.33333333333333331</v>
      </c>
      <c r="BI812" s="67">
        <f>IFERROR(((AG812*(12000/5))/((F812*60+G812)*(SUMIFS(팀공격력!X:X,팀공격력!A:A,B812,팀공격력!B:B,D812)+SUMIFS(팀수비력!X:X,팀수비력!A:A,B812,팀수비력!B:B,D812))))*100,"")</f>
        <v>0</v>
      </c>
      <c r="BJ812" s="67">
        <f>IFERROR(((AI812*(12000/5))/((F812*60+G812)*(SUMIFS(팀공격력!V:V,팀공격력!A:A,B812,팀공격력!B:B,D812)+SUMIFS(팀수비력!W:W,팀수비력!A:A,B812,팀수비력!B:B,D812))))*100,"")</f>
        <v>2.112211221122112</v>
      </c>
      <c r="BK812" s="67">
        <f>IFERROR(((AE812*(12000/5))/((F812*60+G812)*(SUMIFS(팀공격력!X:X,팀공격력!A:A,B812,팀공격력!B:B,D812)+SUMIFS(팀수비력!X:X,팀수비력!A:A,B812,팀수비력!B:B,D812))))*100,"")</f>
        <v>1.056105610561056</v>
      </c>
      <c r="BL812" s="67">
        <f>IFERROR(100*AK812/(((((F812*60+G812)/(12000/5))*SUMIFS(팀공격력!P:P,팀공격력!A:A,B812,팀공격력!B:B,D812))-K812)),"")</f>
        <v>5.2892561983471076</v>
      </c>
      <c r="BM812" s="67">
        <f>IFERROR(100*((AM812/E812*(2400))/((F812*60+G812)*SUMIFS(팀공격력!AR:AR,팀공격력!A:A,B812,팀공격력!B:B,D812))),"")</f>
        <v>3.9285822989066674</v>
      </c>
      <c r="BN812" s="67">
        <f>IFERROR((AO812*40)/(((F812*60+G812)/60)*(SUMIFS(팀수비력!Q:Q,팀수비력!A:A,B812,팀수비력!B:B,D812)-SUMIFS(팀수비력!N:N,팀수비력!A:A,B812,팀수비력!B:B,D812)))*100,"")</f>
        <v>0</v>
      </c>
      <c r="BO812" s="67">
        <f t="shared" si="399"/>
        <v>6.7750677506775068</v>
      </c>
      <c r="BT812" t="s">
        <v>89</v>
      </c>
      <c r="BV812" t="s">
        <v>93</v>
      </c>
      <c r="CF812">
        <v>3</v>
      </c>
      <c r="CG812">
        <v>4</v>
      </c>
    </row>
    <row r="813" spans="1:85" x14ac:dyDescent="0.4">
      <c r="A813" s="11" t="s">
        <v>85</v>
      </c>
      <c r="B813" t="s">
        <v>286</v>
      </c>
      <c r="C813" t="s">
        <v>302</v>
      </c>
      <c r="D813" s="46" t="s">
        <v>311</v>
      </c>
      <c r="E813">
        <v>9</v>
      </c>
      <c r="F813">
        <v>22</v>
      </c>
      <c r="G813" s="1">
        <v>22</v>
      </c>
      <c r="H813" s="16">
        <f t="shared" si="374"/>
        <v>12078</v>
      </c>
      <c r="I813">
        <v>49</v>
      </c>
      <c r="J813" s="17">
        <f t="shared" si="375"/>
        <v>5.4444444444444446</v>
      </c>
      <c r="K813">
        <v>15</v>
      </c>
      <c r="L813">
        <v>46</v>
      </c>
      <c r="M813" s="17">
        <f t="shared" si="376"/>
        <v>1.6666666666666667</v>
      </c>
      <c r="N813" s="17">
        <f t="shared" si="377"/>
        <v>5.1111111111111107</v>
      </c>
      <c r="O813" s="18">
        <f t="shared" si="378"/>
        <v>0.32608695652173914</v>
      </c>
      <c r="P813">
        <v>7</v>
      </c>
      <c r="Q813">
        <v>22</v>
      </c>
      <c r="R813" s="17">
        <f t="shared" si="379"/>
        <v>0.77777777777777779</v>
      </c>
      <c r="S813" s="17">
        <f t="shared" si="380"/>
        <v>2.4444444444444446</v>
      </c>
      <c r="T813" s="18">
        <f t="shared" si="381"/>
        <v>0.31818181818181818</v>
      </c>
      <c r="U813">
        <v>8</v>
      </c>
      <c r="V813">
        <v>24</v>
      </c>
      <c r="W813" s="17">
        <f t="shared" si="382"/>
        <v>0.88888888888888884</v>
      </c>
      <c r="X813" s="17">
        <f t="shared" si="383"/>
        <v>2.6666666666666665</v>
      </c>
      <c r="Y813" s="18">
        <f t="shared" si="384"/>
        <v>0.33333333333333331</v>
      </c>
      <c r="Z813">
        <v>11</v>
      </c>
      <c r="AA813">
        <v>13</v>
      </c>
      <c r="AB813" s="17">
        <f t="shared" si="385"/>
        <v>1.2222222222222223</v>
      </c>
      <c r="AC813" s="17">
        <f t="shared" si="386"/>
        <v>1.4444444444444444</v>
      </c>
      <c r="AD813" s="18">
        <f t="shared" si="387"/>
        <v>0.84615384615384615</v>
      </c>
      <c r="AE813">
        <v>25</v>
      </c>
      <c r="AF813" s="17">
        <f t="shared" si="388"/>
        <v>2.7777777777777777</v>
      </c>
      <c r="AG813">
        <v>7</v>
      </c>
      <c r="AH813" s="17">
        <f t="shared" si="389"/>
        <v>0.77777777777777779</v>
      </c>
      <c r="AI813">
        <v>18</v>
      </c>
      <c r="AJ813" s="17">
        <f t="shared" si="390"/>
        <v>2</v>
      </c>
      <c r="AK813">
        <v>11</v>
      </c>
      <c r="AL813" s="17">
        <f t="shared" si="391"/>
        <v>1.2222222222222223</v>
      </c>
      <c r="AM813">
        <v>4</v>
      </c>
      <c r="AN813" s="17">
        <f t="shared" si="392"/>
        <v>0.44444444444444442</v>
      </c>
      <c r="AO813">
        <v>4</v>
      </c>
      <c r="AQ813">
        <v>5</v>
      </c>
      <c r="AR813" s="17">
        <f t="shared" si="393"/>
        <v>0.55555555555555558</v>
      </c>
      <c r="AS813">
        <v>31</v>
      </c>
      <c r="AT813" s="17">
        <f t="shared" si="394"/>
        <v>3.4444444444444446</v>
      </c>
      <c r="BD813" s="65">
        <f t="shared" si="395"/>
        <v>47.370456303170918</v>
      </c>
      <c r="BE813" s="65">
        <f t="shared" si="396"/>
        <v>41.304347826086953</v>
      </c>
      <c r="BF813" s="66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13.983548621306422</v>
      </c>
      <c r="BG813" s="38">
        <f t="shared" si="397"/>
        <v>0.52173913043478259</v>
      </c>
      <c r="BH813" s="38">
        <f t="shared" si="398"/>
        <v>0.28260869565217389</v>
      </c>
      <c r="BI813" s="67">
        <f>IFERROR(((AG813*(12000/5))/((F813*60+G813)*(SUMIFS(팀공격력!X:X,팀공격력!A:A,B813,팀공격력!B:B,D813)+SUMIFS(팀수비력!X:X,팀수비력!A:A,B813,팀수비력!B:B,D813))))*100,"")</f>
        <v>2.0657803485266557</v>
      </c>
      <c r="BJ813" s="67">
        <f>IFERROR(((AI813*(12000/5))/((F813*60+G813)*(SUMIFS(팀공격력!V:V,팀공격력!A:A,B813,팀공격력!B:B,D813)+SUMIFS(팀수비력!W:W,팀수비력!A:A,B813,팀수비력!B:B,D813))))*100,"")</f>
        <v>10.624013220994231</v>
      </c>
      <c r="BK813" s="67">
        <f>IFERROR(((AE813*(12000/5))/((F813*60+G813)*(SUMIFS(팀공격력!X:X,팀공격력!A:A,B813,팀공격력!B:B,D813)+SUMIFS(팀수비력!X:X,팀수비력!A:A,B813,팀수비력!B:B,D813))))*100,"")</f>
        <v>7.3777869590237719</v>
      </c>
      <c r="BL813" s="67">
        <f>IFERROR(100*AK813/(((((F813*60+G813)/(12000/5))*SUMIFS(팀공격력!P:P,팀공격력!A:A,B813,팀공격력!B:B,D813))-K813)),"")</f>
        <v>7.9588071436323506</v>
      </c>
      <c r="BM813" s="67">
        <f>IFERROR(100*((AM813/E813*(2400))/((F813*60+G813)*SUMIFS(팀공격력!AR:AR,팀공격력!A:A,B813,팀공격력!B:B,D813))),"")</f>
        <v>1.1384366655218854</v>
      </c>
      <c r="BN813" s="67">
        <f>IFERROR((AO813*40)/(((F813*60+G813)/60)*(SUMIFS(팀수비력!Q:Q,팀수비력!A:A,B813,팀수비력!B:B,D813)-SUMIFS(팀수비력!N:N,팀수비력!A:A,B813,팀수비력!B:B,D813)))*100,"")</f>
        <v>1.838946590094974</v>
      </c>
      <c r="BO813" s="67">
        <f t="shared" si="399"/>
        <v>8.8152327221438647</v>
      </c>
      <c r="BT813" t="s">
        <v>89</v>
      </c>
      <c r="BV813" t="s">
        <v>93</v>
      </c>
      <c r="CF813">
        <v>5</v>
      </c>
      <c r="CG813">
        <v>4</v>
      </c>
    </row>
    <row r="814" spans="1:85" x14ac:dyDescent="0.4">
      <c r="A814" s="11" t="s">
        <v>85</v>
      </c>
      <c r="B814" t="s">
        <v>286</v>
      </c>
      <c r="C814" t="s">
        <v>304</v>
      </c>
      <c r="D814" s="46" t="s">
        <v>311</v>
      </c>
      <c r="E814">
        <v>2</v>
      </c>
      <c r="F814">
        <v>4</v>
      </c>
      <c r="G814" s="1">
        <v>46</v>
      </c>
      <c r="H814" s="16">
        <f t="shared" si="374"/>
        <v>572</v>
      </c>
      <c r="I814">
        <v>2</v>
      </c>
      <c r="J814" s="17">
        <f t="shared" si="375"/>
        <v>1</v>
      </c>
      <c r="K814">
        <v>1</v>
      </c>
      <c r="L814">
        <v>2</v>
      </c>
      <c r="M814" s="17">
        <f t="shared" si="376"/>
        <v>0.5</v>
      </c>
      <c r="N814" s="17">
        <f t="shared" si="377"/>
        <v>1</v>
      </c>
      <c r="O814" s="18">
        <f t="shared" si="378"/>
        <v>0.5</v>
      </c>
      <c r="P814">
        <v>1</v>
      </c>
      <c r="Q814">
        <v>1</v>
      </c>
      <c r="R814" s="17">
        <f t="shared" si="379"/>
        <v>0.5</v>
      </c>
      <c r="S814" s="17">
        <f t="shared" si="380"/>
        <v>0.5</v>
      </c>
      <c r="T814" s="18">
        <f t="shared" si="381"/>
        <v>1</v>
      </c>
      <c r="U814">
        <v>0</v>
      </c>
      <c r="V814">
        <v>1</v>
      </c>
      <c r="W814" s="17">
        <f t="shared" si="382"/>
        <v>0</v>
      </c>
      <c r="X814" s="17">
        <f t="shared" si="383"/>
        <v>0.5</v>
      </c>
      <c r="Y814" s="18">
        <f t="shared" si="384"/>
        <v>0</v>
      </c>
      <c r="Z814">
        <v>0</v>
      </c>
      <c r="AA814">
        <v>0</v>
      </c>
      <c r="AB814" s="17">
        <f t="shared" si="385"/>
        <v>0</v>
      </c>
      <c r="AC814" s="17">
        <f t="shared" si="386"/>
        <v>0</v>
      </c>
      <c r="AD814" s="18" t="e">
        <f t="shared" si="387"/>
        <v>#DIV/0!</v>
      </c>
      <c r="AE814">
        <v>0</v>
      </c>
      <c r="AF814" s="17">
        <f t="shared" si="388"/>
        <v>0</v>
      </c>
      <c r="AG814">
        <v>0</v>
      </c>
      <c r="AH814" s="17">
        <f t="shared" si="389"/>
        <v>0</v>
      </c>
      <c r="AI814">
        <v>0</v>
      </c>
      <c r="AJ814" s="17">
        <f t="shared" si="390"/>
        <v>0</v>
      </c>
      <c r="AK814">
        <v>1</v>
      </c>
      <c r="AL814" s="17">
        <f t="shared" si="391"/>
        <v>0.5</v>
      </c>
      <c r="AM814">
        <v>0</v>
      </c>
      <c r="AN814" s="17">
        <f t="shared" si="392"/>
        <v>0</v>
      </c>
      <c r="AO814">
        <v>0</v>
      </c>
      <c r="AQ814">
        <v>1</v>
      </c>
      <c r="AR814" s="17">
        <f t="shared" si="393"/>
        <v>0.5</v>
      </c>
      <c r="AS814">
        <v>1</v>
      </c>
      <c r="AT814" s="17">
        <f t="shared" si="394"/>
        <v>0.5</v>
      </c>
      <c r="BD814" s="65">
        <f t="shared" si="395"/>
        <v>50</v>
      </c>
      <c r="BE814" s="65">
        <f t="shared" si="396"/>
        <v>50</v>
      </c>
      <c r="BF814" s="66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3.4704749344947858</v>
      </c>
      <c r="BG814" s="38">
        <f t="shared" si="397"/>
        <v>0.5</v>
      </c>
      <c r="BH814" s="38">
        <f t="shared" si="398"/>
        <v>0</v>
      </c>
      <c r="BI814" s="67">
        <f>IFERROR(((AG814*(12000/5))/((F814*60+G814)*(SUMIFS(팀공격력!X:X,팀공격력!A:A,B814,팀공격력!B:B,D814)+SUMIFS(팀수비력!X:X,팀수비력!A:A,B814,팀수비력!B:B,D814))))*100,"")</f>
        <v>0</v>
      </c>
      <c r="BJ814" s="67">
        <f>IFERROR(((AI814*(12000/5))/((F814*60+G814)*(SUMIFS(팀공격력!V:V,팀공격력!A:A,B814,팀공격력!B:B,D814)+SUMIFS(팀수비력!W:W,팀수비력!A:A,B814,팀수비력!B:B,D814))))*100,"")</f>
        <v>0</v>
      </c>
      <c r="BK814" s="67">
        <f>IFERROR(((AE814*(12000/5))/((F814*60+G814)*(SUMIFS(팀공격력!X:X,팀공격력!A:A,B814,팀공격력!B:B,D814)+SUMIFS(팀수비력!X:X,팀수비력!A:A,B814,팀수비력!B:B,D814))))*100,"")</f>
        <v>0</v>
      </c>
      <c r="BL814" s="67">
        <f>IFERROR(100*AK814/(((((F814*60+G814)/(12000/5))*SUMIFS(팀공격력!P:P,팀공격력!A:A,B814,팀공격력!B:B,D814))-K814)),"")</f>
        <v>3.1593912906113419</v>
      </c>
      <c r="BM814" s="67">
        <f>IFERROR(100*((AM814/E814*(2400))/((F814*60+G814)*SUMIFS(팀공격력!AR:AR,팀공격력!A:A,B814,팀공격력!B:B,D814))),"")</f>
        <v>0</v>
      </c>
      <c r="BN814" s="67">
        <f>IFERROR((AO814*40)/(((F814*60+G814)/60)*(SUMIFS(팀수비력!Q:Q,팀수비력!A:A,B814,팀수비력!B:B,D814)-SUMIFS(팀수비력!N:N,팀수비력!A:A,B814,팀수비력!B:B,D814)))*100,"")</f>
        <v>0</v>
      </c>
      <c r="BO814" s="67">
        <f t="shared" si="399"/>
        <v>33.333333333333336</v>
      </c>
      <c r="BT814" t="s">
        <v>89</v>
      </c>
      <c r="BV814" t="s">
        <v>90</v>
      </c>
      <c r="CF814">
        <v>2</v>
      </c>
      <c r="CG814">
        <v>0</v>
      </c>
    </row>
    <row r="815" spans="1:85" x14ac:dyDescent="0.4">
      <c r="A815" s="11" t="s">
        <v>85</v>
      </c>
      <c r="B815" t="s">
        <v>286</v>
      </c>
      <c r="C815" t="s">
        <v>305</v>
      </c>
      <c r="D815" s="46" t="s">
        <v>311</v>
      </c>
      <c r="E815">
        <v>9</v>
      </c>
      <c r="F815">
        <v>23</v>
      </c>
      <c r="G815" s="1">
        <v>11</v>
      </c>
      <c r="H815" s="16">
        <f t="shared" si="374"/>
        <v>12519</v>
      </c>
      <c r="I815">
        <v>87</v>
      </c>
      <c r="J815" s="17">
        <f t="shared" si="375"/>
        <v>9.6666666666666661</v>
      </c>
      <c r="K815">
        <v>39</v>
      </c>
      <c r="L815">
        <v>88</v>
      </c>
      <c r="M815" s="17">
        <f t="shared" si="376"/>
        <v>4.333333333333333</v>
      </c>
      <c r="N815" s="17">
        <f t="shared" si="377"/>
        <v>9.7777777777777786</v>
      </c>
      <c r="O815" s="18">
        <f t="shared" si="378"/>
        <v>0.44318181818181818</v>
      </c>
      <c r="P815">
        <v>33</v>
      </c>
      <c r="Q815">
        <v>70</v>
      </c>
      <c r="R815" s="17">
        <f t="shared" si="379"/>
        <v>3.6666666666666665</v>
      </c>
      <c r="S815" s="17">
        <f t="shared" si="380"/>
        <v>7.7777777777777777</v>
      </c>
      <c r="T815" s="18">
        <f t="shared" si="381"/>
        <v>0.47142857142857142</v>
      </c>
      <c r="U815">
        <v>6</v>
      </c>
      <c r="V815">
        <v>18</v>
      </c>
      <c r="W815" s="17">
        <f t="shared" si="382"/>
        <v>0.66666666666666663</v>
      </c>
      <c r="X815" s="17">
        <f t="shared" si="383"/>
        <v>2</v>
      </c>
      <c r="Y815" s="18">
        <f t="shared" si="384"/>
        <v>0.33333333333333331</v>
      </c>
      <c r="Z815">
        <v>3</v>
      </c>
      <c r="AA815">
        <v>11</v>
      </c>
      <c r="AB815" s="17">
        <f t="shared" si="385"/>
        <v>0.33333333333333331</v>
      </c>
      <c r="AC815" s="17">
        <f t="shared" si="386"/>
        <v>1.2222222222222223</v>
      </c>
      <c r="AD815" s="18">
        <f t="shared" si="387"/>
        <v>0.27272727272727271</v>
      </c>
      <c r="AE815">
        <v>67</v>
      </c>
      <c r="AF815" s="17">
        <f t="shared" si="388"/>
        <v>7.4444444444444446</v>
      </c>
      <c r="AG815">
        <v>21</v>
      </c>
      <c r="AH815" s="17">
        <f t="shared" si="389"/>
        <v>2.3333333333333335</v>
      </c>
      <c r="AI815">
        <v>46</v>
      </c>
      <c r="AJ815" s="17">
        <f t="shared" si="390"/>
        <v>5.1111111111111107</v>
      </c>
      <c r="AK815">
        <v>21</v>
      </c>
      <c r="AL815" s="17">
        <f t="shared" si="391"/>
        <v>2.3333333333333335</v>
      </c>
      <c r="AM815">
        <v>9</v>
      </c>
      <c r="AN815" s="17">
        <f t="shared" si="392"/>
        <v>1</v>
      </c>
      <c r="AO815">
        <v>4</v>
      </c>
      <c r="AQ815">
        <v>17</v>
      </c>
      <c r="AR815" s="17">
        <f t="shared" si="393"/>
        <v>1.8888888888888888</v>
      </c>
      <c r="AS815">
        <v>25</v>
      </c>
      <c r="AT815" s="17">
        <f t="shared" si="394"/>
        <v>2.7777777777777777</v>
      </c>
      <c r="BD815" s="65">
        <f t="shared" si="395"/>
        <v>46.854803963808699</v>
      </c>
      <c r="BE815" s="65">
        <f t="shared" si="396"/>
        <v>47.727272727272727</v>
      </c>
      <c r="BF815" s="66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26.125648815289594</v>
      </c>
      <c r="BG815" s="38">
        <f t="shared" si="397"/>
        <v>0.20454545454545456</v>
      </c>
      <c r="BH815" s="38">
        <f t="shared" si="398"/>
        <v>0.125</v>
      </c>
      <c r="BI815" s="67">
        <f>IFERROR(((AG815*(12000/5))/((F815*60+G815)*(SUMIFS(팀공격력!X:X,팀공격력!A:A,B815,팀공격력!B:B,D815)+SUMIFS(팀수비력!X:X,팀수비력!A:A,B815,팀수비력!B:B,D815))))*100,"")</f>
        <v>5.979030685239624</v>
      </c>
      <c r="BJ815" s="67">
        <f>IFERROR(((AI815*(12000/5))/((F815*60+G815)*(SUMIFS(팀공격력!V:V,팀공격력!A:A,B815,팀공격력!B:B,D815)+SUMIFS(팀수비력!W:W,팀수비력!A:A,B815,팀수비력!B:B,D815))))*100,"")</f>
        <v>26.193848716287878</v>
      </c>
      <c r="BK815" s="67">
        <f>IFERROR(((AE815*(12000/5))/((F815*60+G815)*(SUMIFS(팀공격력!X:X,팀공격력!A:A,B815,팀공격력!B:B,D815)+SUMIFS(팀수비력!X:X,팀수비력!A:A,B815,팀수비력!B:B,D815))))*100,"")</f>
        <v>19.075955043383562</v>
      </c>
      <c r="BL815" s="67">
        <f>IFERROR(100*AK815/(((((F815*60+G815)/(12000/5))*SUMIFS(팀공격력!P:P,팀공격력!A:A,B815,팀공격력!B:B,D815))-K815)),"")</f>
        <v>17.528361863292687</v>
      </c>
      <c r="BM815" s="67">
        <f>IFERROR(100*((AM815/E815*(2400))/((F815*60+G815)*SUMIFS(팀공격력!AR:AR,팀공격력!A:A,B815,팀공격력!B:B,D815))),"")</f>
        <v>2.4712505474790323</v>
      </c>
      <c r="BN815" s="67">
        <f>IFERROR((AO815*40)/(((F815*60+G815)/60)*(SUMIFS(팀수비력!Q:Q,팀수비력!A:A,B815,팀수비력!B:B,D815)-SUMIFS(팀수비력!N:N,팀수비력!A:A,B815,팀수비력!B:B,D815)))*100,"")</f>
        <v>1.7741670193439647</v>
      </c>
      <c r="BO815" s="67">
        <f t="shared" si="399"/>
        <v>15.477057538237435</v>
      </c>
      <c r="BT815" t="s">
        <v>96</v>
      </c>
      <c r="BV815" t="s">
        <v>102</v>
      </c>
      <c r="CF815">
        <v>5</v>
      </c>
      <c r="CG815">
        <v>4</v>
      </c>
    </row>
    <row r="816" spans="1:85" x14ac:dyDescent="0.4">
      <c r="A816" s="11" t="s">
        <v>85</v>
      </c>
      <c r="B816" t="s">
        <v>99</v>
      </c>
      <c r="C816" t="s">
        <v>100</v>
      </c>
      <c r="D816" s="46" t="s">
        <v>312</v>
      </c>
      <c r="E816">
        <v>9</v>
      </c>
      <c r="F816">
        <v>19</v>
      </c>
      <c r="G816" s="1">
        <v>30</v>
      </c>
      <c r="H816" s="16">
        <f t="shared" si="374"/>
        <v>10530</v>
      </c>
      <c r="I816">
        <v>28</v>
      </c>
      <c r="J816" s="17">
        <f t="shared" si="375"/>
        <v>3.1111111111111112</v>
      </c>
      <c r="K816">
        <v>10</v>
      </c>
      <c r="L816">
        <v>34</v>
      </c>
      <c r="M816" s="17">
        <f t="shared" si="376"/>
        <v>1.1111111111111112</v>
      </c>
      <c r="N816" s="17">
        <f t="shared" si="377"/>
        <v>3.7777777777777777</v>
      </c>
      <c r="O816" s="18">
        <f t="shared" si="378"/>
        <v>0.29411764705882354</v>
      </c>
      <c r="P816">
        <v>6</v>
      </c>
      <c r="Q816">
        <v>11</v>
      </c>
      <c r="R816" s="17">
        <f t="shared" si="379"/>
        <v>0.66666666666666663</v>
      </c>
      <c r="S816" s="17">
        <f t="shared" si="380"/>
        <v>1.2222222222222223</v>
      </c>
      <c r="T816" s="18">
        <f t="shared" si="381"/>
        <v>0.54545454545454541</v>
      </c>
      <c r="U816">
        <v>4</v>
      </c>
      <c r="V816">
        <v>23</v>
      </c>
      <c r="W816" s="17">
        <f t="shared" si="382"/>
        <v>0.44444444444444442</v>
      </c>
      <c r="X816" s="17">
        <f t="shared" si="383"/>
        <v>2.5555555555555554</v>
      </c>
      <c r="Y816" s="18">
        <f t="shared" si="384"/>
        <v>0.17391304347826086</v>
      </c>
      <c r="Z816">
        <v>4</v>
      </c>
      <c r="AA816">
        <v>4</v>
      </c>
      <c r="AB816" s="17">
        <f t="shared" si="385"/>
        <v>0.44444444444444442</v>
      </c>
      <c r="AC816" s="17">
        <f t="shared" si="386"/>
        <v>0.44444444444444442</v>
      </c>
      <c r="AD816" s="18">
        <f t="shared" si="387"/>
        <v>1</v>
      </c>
      <c r="AE816">
        <v>16</v>
      </c>
      <c r="AF816" s="17">
        <f t="shared" si="388"/>
        <v>1.7777777777777777</v>
      </c>
      <c r="AG816">
        <v>4</v>
      </c>
      <c r="AH816" s="17">
        <f t="shared" si="389"/>
        <v>0.44444444444444442</v>
      </c>
      <c r="AI816">
        <v>12</v>
      </c>
      <c r="AJ816" s="17">
        <f t="shared" si="390"/>
        <v>1.3333333333333333</v>
      </c>
      <c r="AK816">
        <v>3</v>
      </c>
      <c r="AL816" s="17">
        <f t="shared" si="391"/>
        <v>0.33333333333333331</v>
      </c>
      <c r="AM816">
        <v>11</v>
      </c>
      <c r="AN816" s="17">
        <f t="shared" si="392"/>
        <v>1.2222222222222223</v>
      </c>
      <c r="AO816">
        <v>0</v>
      </c>
      <c r="AQ816">
        <v>6</v>
      </c>
      <c r="AR816" s="17">
        <f t="shared" si="393"/>
        <v>0.66666666666666663</v>
      </c>
      <c r="AS816">
        <v>22</v>
      </c>
      <c r="AT816" s="17">
        <f t="shared" si="394"/>
        <v>2.4444444444444446</v>
      </c>
      <c r="BD816" s="65">
        <f t="shared" si="395"/>
        <v>39.149888143176739</v>
      </c>
      <c r="BE816" s="65">
        <f t="shared" si="396"/>
        <v>35.294117647058826</v>
      </c>
      <c r="BF816" s="66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10.002515000179644</v>
      </c>
      <c r="BG816" s="38">
        <f t="shared" si="397"/>
        <v>0.67647058823529416</v>
      </c>
      <c r="BH816" s="38">
        <f t="shared" si="398"/>
        <v>0.11764705882352941</v>
      </c>
      <c r="BI816" s="67">
        <f>IFERROR(((AG816*(12000/5))/((F816*60+G816)*(SUMIFS(팀공격력!X:X,팀공격력!A:A,B816,팀공격력!B:B,D816)+SUMIFS(팀수비력!X:X,팀수비력!A:A,B816,팀수비력!B:B,D816))))*100,"")</f>
        <v>1.206636500754148</v>
      </c>
      <c r="BJ816" s="67">
        <f>IFERROR(((AI816*(12000/5))/((F816*60+G816)*(SUMIFS(팀공격력!V:V,팀공격력!A:A,B816,팀공격력!B:B,D816)+SUMIFS(팀수비력!W:W,팀수비력!A:A,B816,팀수비력!B:B,D816))))*100,"")</f>
        <v>6.5992988244998969</v>
      </c>
      <c r="BK816" s="67">
        <f>IFERROR(((AE816*(12000/5))/((F816*60+G816)*(SUMIFS(팀공격력!X:X,팀공격력!A:A,B816,팀공격력!B:B,D816)+SUMIFS(팀수비력!X:X,팀수비력!A:A,B816,팀수비력!B:B,D816))))*100,"")</f>
        <v>4.8265460030165919</v>
      </c>
      <c r="BL816" s="67">
        <f>IFERROR(100*AK816/(((((F816*60+G816)/(12000/5))*SUMIFS(팀공격력!P:P,팀공격력!A:A,B816,팀공격력!B:B,D816))-K816)),"")</f>
        <v>2.3006134969325154</v>
      </c>
      <c r="BM816" s="67">
        <f>IFERROR(100*((AM816/E816*(2400))/((F816*60+G816)*SUMIFS(팀공격력!AR:AR,팀공격력!A:A,B816,팀공격력!B:B,D816))),"")</f>
        <v>3.0515264284965138</v>
      </c>
      <c r="BN816" s="67">
        <f>IFERROR((AO816*40)/(((F816*60+G816)/60)*(SUMIFS(팀수비력!Q:Q,팀수비력!A:A,B816,팀수비력!B:B,D816)-SUMIFS(팀수비력!N:N,팀수비력!A:A,B816,팀수비력!B:B,D816)))*100,"")</f>
        <v>0</v>
      </c>
      <c r="BO816" s="67">
        <f t="shared" si="399"/>
        <v>14.367816091954024</v>
      </c>
      <c r="BT816" t="s">
        <v>89</v>
      </c>
      <c r="BV816" t="s">
        <v>90</v>
      </c>
      <c r="CF816">
        <v>2</v>
      </c>
      <c r="CG816">
        <v>7</v>
      </c>
    </row>
    <row r="817" spans="1:85" x14ac:dyDescent="0.4">
      <c r="A817" s="11" t="s">
        <v>85</v>
      </c>
      <c r="B817" t="s">
        <v>99</v>
      </c>
      <c r="C817" t="s">
        <v>101</v>
      </c>
      <c r="D817" s="46" t="s">
        <v>312</v>
      </c>
      <c r="E817">
        <v>10</v>
      </c>
      <c r="F817">
        <v>25</v>
      </c>
      <c r="G817" s="1">
        <v>4</v>
      </c>
      <c r="H817" s="16">
        <f t="shared" si="374"/>
        <v>15040</v>
      </c>
      <c r="I817">
        <v>81</v>
      </c>
      <c r="J817" s="17">
        <f t="shared" si="375"/>
        <v>8.1</v>
      </c>
      <c r="K817">
        <v>31</v>
      </c>
      <c r="L817">
        <v>72</v>
      </c>
      <c r="M817" s="17">
        <f t="shared" si="376"/>
        <v>3.1</v>
      </c>
      <c r="N817" s="17">
        <f t="shared" si="377"/>
        <v>7.2</v>
      </c>
      <c r="O817" s="18">
        <f t="shared" si="378"/>
        <v>0.43055555555555558</v>
      </c>
      <c r="P817">
        <v>19</v>
      </c>
      <c r="Q817">
        <v>30</v>
      </c>
      <c r="R817" s="17">
        <f t="shared" si="379"/>
        <v>1.9</v>
      </c>
      <c r="S817" s="17">
        <f t="shared" si="380"/>
        <v>3</v>
      </c>
      <c r="T817" s="18">
        <f t="shared" si="381"/>
        <v>0.6333333333333333</v>
      </c>
      <c r="U817">
        <v>12</v>
      </c>
      <c r="V817">
        <v>42</v>
      </c>
      <c r="W817" s="17">
        <f t="shared" si="382"/>
        <v>1.2</v>
      </c>
      <c r="X817" s="17">
        <f t="shared" si="383"/>
        <v>4.2</v>
      </c>
      <c r="Y817" s="18">
        <f t="shared" si="384"/>
        <v>0.2857142857142857</v>
      </c>
      <c r="Z817">
        <v>7</v>
      </c>
      <c r="AA817">
        <v>10</v>
      </c>
      <c r="AB817" s="17">
        <f t="shared" si="385"/>
        <v>0.7</v>
      </c>
      <c r="AC817" s="17">
        <f t="shared" si="386"/>
        <v>1</v>
      </c>
      <c r="AD817" s="18">
        <f t="shared" si="387"/>
        <v>0.7</v>
      </c>
      <c r="AE817">
        <v>48</v>
      </c>
      <c r="AF817" s="17">
        <f t="shared" si="388"/>
        <v>4.8</v>
      </c>
      <c r="AG817">
        <v>17</v>
      </c>
      <c r="AH817" s="17">
        <f t="shared" si="389"/>
        <v>1.7</v>
      </c>
      <c r="AI817">
        <v>31</v>
      </c>
      <c r="AJ817" s="17">
        <f t="shared" si="390"/>
        <v>3.1</v>
      </c>
      <c r="AK817">
        <v>9</v>
      </c>
      <c r="AL817" s="17">
        <f t="shared" si="391"/>
        <v>0.9</v>
      </c>
      <c r="AM817">
        <v>7</v>
      </c>
      <c r="AN817" s="17">
        <f t="shared" si="392"/>
        <v>0.7</v>
      </c>
      <c r="AO817">
        <v>2</v>
      </c>
      <c r="AQ817">
        <v>5</v>
      </c>
      <c r="AR817" s="17">
        <f t="shared" si="393"/>
        <v>0.5</v>
      </c>
      <c r="AS817">
        <v>29</v>
      </c>
      <c r="AT817" s="17">
        <f t="shared" si="394"/>
        <v>2.9</v>
      </c>
      <c r="BD817" s="65">
        <f t="shared" si="395"/>
        <v>53.010471204188484</v>
      </c>
      <c r="BE817" s="65">
        <f t="shared" si="396"/>
        <v>51.388888888888886</v>
      </c>
      <c r="BF817" s="66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15.167400399495166</v>
      </c>
      <c r="BG817" s="38">
        <f t="shared" si="397"/>
        <v>0.58333333333333337</v>
      </c>
      <c r="BH817" s="38">
        <f t="shared" si="398"/>
        <v>0.1388888888888889</v>
      </c>
      <c r="BI817" s="67">
        <f>IFERROR(((AG817*(12000/5))/((F817*60+G817)*(SUMIFS(팀공격력!X:X,팀공격력!A:A,B817,팀공격력!B:B,D817)+SUMIFS(팀수비력!X:X,팀수비력!A:A,B817,팀수비력!B:B,D817))))*100,"")</f>
        <v>3.9893617021276597</v>
      </c>
      <c r="BJ817" s="67">
        <f>IFERROR(((AI817*(12000/5))/((F817*60+G817)*(SUMIFS(팀공격력!V:V,팀공격력!A:A,B817,팀공격력!B:B,D817)+SUMIFS(팀수비력!W:W,팀수비력!A:A,B817,팀수비력!B:B,D817))))*100,"")</f>
        <v>13.262221208145572</v>
      </c>
      <c r="BK817" s="67">
        <f>IFERROR(((AE817*(12000/5))/((F817*60+G817)*(SUMIFS(팀공격력!X:X,팀공격력!A:A,B817,팀공격력!B:B,D817)+SUMIFS(팀수비력!X:X,팀수비력!A:A,B817,팀수비력!B:B,D817))))*100,"")</f>
        <v>11.264080100125156</v>
      </c>
      <c r="BL817" s="67">
        <f>IFERROR(100*AK817/(((((F817*60+G817)/(12000/5))*SUMIFS(팀공격력!P:P,팀공격력!A:A,B817,팀공격력!B:B,D817))-K817)),"")</f>
        <v>6.0208723575060201</v>
      </c>
      <c r="BM817" s="67">
        <f>IFERROR(100*((AM817/E817*(2400))/((F817*60+G817)*SUMIFS(팀공격력!AR:AR,팀공격력!A:A,B817,팀공격력!B:B,D817))),"")</f>
        <v>1.3595745469322897</v>
      </c>
      <c r="BN817" s="67">
        <f>IFERROR((AO817*40)/(((F817*60+G817)/60)*(SUMIFS(팀수비력!Q:Q,팀수비력!A:A,B817,팀수비력!B:B,D817)-SUMIFS(팀수비력!N:N,팀수비력!A:A,B817,팀수비력!B:B,D817)))*100,"")</f>
        <v>0.74393691414968011</v>
      </c>
      <c r="BO817" s="67">
        <f t="shared" si="399"/>
        <v>6.142506142506142</v>
      </c>
      <c r="BT817" t="s">
        <v>89</v>
      </c>
      <c r="BV817" t="s">
        <v>102</v>
      </c>
      <c r="CF817">
        <v>2</v>
      </c>
      <c r="CG817">
        <v>8</v>
      </c>
    </row>
    <row r="818" spans="1:85" x14ac:dyDescent="0.4">
      <c r="A818" s="11" t="s">
        <v>85</v>
      </c>
      <c r="B818" t="s">
        <v>99</v>
      </c>
      <c r="C818" t="s">
        <v>103</v>
      </c>
      <c r="D818" s="46" t="s">
        <v>312</v>
      </c>
      <c r="E818">
        <v>7</v>
      </c>
      <c r="F818">
        <v>19</v>
      </c>
      <c r="G818" s="1">
        <v>7</v>
      </c>
      <c r="H818" s="16">
        <f t="shared" si="374"/>
        <v>8029</v>
      </c>
      <c r="I818">
        <v>67</v>
      </c>
      <c r="J818" s="17">
        <f t="shared" si="375"/>
        <v>9.5714285714285712</v>
      </c>
      <c r="K818">
        <v>22</v>
      </c>
      <c r="L818">
        <v>52</v>
      </c>
      <c r="M818" s="17">
        <f t="shared" si="376"/>
        <v>3.1428571428571428</v>
      </c>
      <c r="N818" s="17">
        <f t="shared" si="377"/>
        <v>7.4285714285714288</v>
      </c>
      <c r="O818" s="18">
        <f t="shared" si="378"/>
        <v>0.42307692307692307</v>
      </c>
      <c r="P818">
        <v>4</v>
      </c>
      <c r="Q818">
        <v>9</v>
      </c>
      <c r="R818" s="17">
        <f t="shared" si="379"/>
        <v>0.5714285714285714</v>
      </c>
      <c r="S818" s="17">
        <f t="shared" si="380"/>
        <v>1.2857142857142858</v>
      </c>
      <c r="T818" s="18">
        <f t="shared" si="381"/>
        <v>0.44444444444444442</v>
      </c>
      <c r="U818">
        <v>18</v>
      </c>
      <c r="V818">
        <v>43</v>
      </c>
      <c r="W818" s="17">
        <f t="shared" si="382"/>
        <v>2.5714285714285716</v>
      </c>
      <c r="X818" s="17">
        <f t="shared" si="383"/>
        <v>6.1428571428571432</v>
      </c>
      <c r="Y818" s="18">
        <f t="shared" si="384"/>
        <v>0.41860465116279072</v>
      </c>
      <c r="Z818">
        <v>5</v>
      </c>
      <c r="AA818">
        <v>9</v>
      </c>
      <c r="AB818" s="17">
        <f t="shared" si="385"/>
        <v>0.7142857142857143</v>
      </c>
      <c r="AC818" s="17">
        <f t="shared" si="386"/>
        <v>1.2857142857142858</v>
      </c>
      <c r="AD818" s="18">
        <f t="shared" si="387"/>
        <v>0.55555555555555558</v>
      </c>
      <c r="AE818">
        <v>17</v>
      </c>
      <c r="AF818" s="17">
        <f t="shared" si="388"/>
        <v>2.4285714285714284</v>
      </c>
      <c r="AG818">
        <v>3</v>
      </c>
      <c r="AH818" s="17">
        <f t="shared" si="389"/>
        <v>0.42857142857142855</v>
      </c>
      <c r="AI818">
        <v>14</v>
      </c>
      <c r="AJ818" s="17">
        <f t="shared" si="390"/>
        <v>2</v>
      </c>
      <c r="AK818">
        <v>4</v>
      </c>
      <c r="AL818" s="17">
        <f t="shared" si="391"/>
        <v>0.5714285714285714</v>
      </c>
      <c r="AM818">
        <v>4</v>
      </c>
      <c r="AN818" s="17">
        <f t="shared" si="392"/>
        <v>0.5714285714285714</v>
      </c>
      <c r="AO818">
        <v>0</v>
      </c>
      <c r="AQ818">
        <v>3</v>
      </c>
      <c r="AR818" s="17">
        <f t="shared" si="393"/>
        <v>0.42857142857142855</v>
      </c>
      <c r="AS818">
        <v>11</v>
      </c>
      <c r="AT818" s="17">
        <f t="shared" si="394"/>
        <v>1.5714285714285714</v>
      </c>
      <c r="BD818" s="65">
        <f t="shared" si="395"/>
        <v>59.864188706218727</v>
      </c>
      <c r="BE818" s="65">
        <f t="shared" si="396"/>
        <v>59.615384615384613</v>
      </c>
      <c r="BF818" s="66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14.4055100587321</v>
      </c>
      <c r="BG818" s="38">
        <f t="shared" si="397"/>
        <v>0.82692307692307687</v>
      </c>
      <c r="BH818" s="38">
        <f t="shared" si="398"/>
        <v>0.17307692307692307</v>
      </c>
      <c r="BI818" s="67">
        <f>IFERROR(((AG818*(12000/5))/((F818*60+G818)*(SUMIFS(팀공격력!X:X,팀공격력!A:A,B818,팀공격력!B:B,D818)+SUMIFS(팀수비력!X:X,팀수비력!A:A,B818,팀수비력!B:B,D818))))*100,"")</f>
        <v>0.92312426278270687</v>
      </c>
      <c r="BJ818" s="67">
        <f>IFERROR(((AI818*(12000/5))/((F818*60+G818)*(SUMIFS(팀공격력!V:V,팀공격력!A:A,B818,팀공격력!B:B,D818)+SUMIFS(팀수비력!W:W,팀수비력!A:A,B818,팀수비력!B:B,D818))))*100,"")</f>
        <v>7.8535683482496594</v>
      </c>
      <c r="BK818" s="67">
        <f>IFERROR(((AE818*(12000/5))/((F818*60+G818)*(SUMIFS(팀공격력!X:X,팀공격력!A:A,B818,팀공격력!B:B,D818)+SUMIFS(팀수비력!X:X,팀수비력!A:A,B818,팀수비력!B:B,D818))))*100,"")</f>
        <v>5.2310374891020048</v>
      </c>
      <c r="BL818" s="67">
        <f>IFERROR(100*AK818/(((((F818*60+G818)/(12000/5))*SUMIFS(팀공격력!P:P,팀공격력!A:A,B818,팀공격력!B:B,D818))-K818)),"")</f>
        <v>3.4590107229332414</v>
      </c>
      <c r="BM818" s="67">
        <f>IFERROR(100*((AM818/E818*(2400))/((F818*60+G818)*SUMIFS(팀공격력!AR:AR,팀공격력!A:A,B818,팀공격력!B:B,D818))),"")</f>
        <v>1.455296065040061</v>
      </c>
      <c r="BN818" s="67">
        <f>IFERROR((AO818*40)/(((F818*60+G818)/60)*(SUMIFS(팀수비력!Q:Q,팀수비력!A:A,B818,팀수비력!B:B,D818)-SUMIFS(팀수비력!N:N,팀수비력!A:A,B818,팀수비력!B:B,D818)))*100,"")</f>
        <v>0</v>
      </c>
      <c r="BO818" s="67">
        <f t="shared" si="399"/>
        <v>5.0881953867028491</v>
      </c>
      <c r="BT818" t="s">
        <v>89</v>
      </c>
      <c r="BV818" t="s">
        <v>90</v>
      </c>
      <c r="CF818">
        <v>2</v>
      </c>
      <c r="CG818">
        <v>5</v>
      </c>
    </row>
    <row r="819" spans="1:85" x14ac:dyDescent="0.4">
      <c r="A819" s="11" t="s">
        <v>85</v>
      </c>
      <c r="B819" t="s">
        <v>99</v>
      </c>
      <c r="C819" t="s">
        <v>105</v>
      </c>
      <c r="D819" s="46" t="s">
        <v>312</v>
      </c>
      <c r="E819">
        <v>4</v>
      </c>
      <c r="F819">
        <v>23</v>
      </c>
      <c r="G819" s="1">
        <v>4</v>
      </c>
      <c r="H819" s="16">
        <f t="shared" si="374"/>
        <v>5536</v>
      </c>
      <c r="I819">
        <v>30</v>
      </c>
      <c r="J819" s="17">
        <f t="shared" si="375"/>
        <v>7.5</v>
      </c>
      <c r="K819">
        <v>13</v>
      </c>
      <c r="L819">
        <v>27</v>
      </c>
      <c r="M819" s="17">
        <f t="shared" si="376"/>
        <v>3.25</v>
      </c>
      <c r="N819" s="17">
        <f t="shared" si="377"/>
        <v>6.75</v>
      </c>
      <c r="O819" s="18">
        <f t="shared" si="378"/>
        <v>0.48148148148148145</v>
      </c>
      <c r="P819">
        <v>12</v>
      </c>
      <c r="Q819">
        <v>17</v>
      </c>
      <c r="R819" s="17">
        <f t="shared" si="379"/>
        <v>3</v>
      </c>
      <c r="S819" s="17">
        <f t="shared" si="380"/>
        <v>4.25</v>
      </c>
      <c r="T819" s="18">
        <f t="shared" si="381"/>
        <v>0.70588235294117652</v>
      </c>
      <c r="U819">
        <v>1</v>
      </c>
      <c r="V819">
        <v>10</v>
      </c>
      <c r="W819" s="17">
        <f t="shared" si="382"/>
        <v>0.25</v>
      </c>
      <c r="X819" s="17">
        <f t="shared" si="383"/>
        <v>2.5</v>
      </c>
      <c r="Y819" s="18">
        <f t="shared" si="384"/>
        <v>0.1</v>
      </c>
      <c r="Z819">
        <v>3</v>
      </c>
      <c r="AA819">
        <v>3</v>
      </c>
      <c r="AB819" s="17">
        <f t="shared" si="385"/>
        <v>0.75</v>
      </c>
      <c r="AC819" s="17">
        <f t="shared" si="386"/>
        <v>0.75</v>
      </c>
      <c r="AD819" s="18">
        <f t="shared" si="387"/>
        <v>1</v>
      </c>
      <c r="AE819">
        <v>27</v>
      </c>
      <c r="AF819" s="17">
        <f t="shared" si="388"/>
        <v>6.75</v>
      </c>
      <c r="AG819">
        <v>9</v>
      </c>
      <c r="AH819" s="17">
        <f t="shared" si="389"/>
        <v>2.25</v>
      </c>
      <c r="AI819">
        <v>18</v>
      </c>
      <c r="AJ819" s="17">
        <f t="shared" si="390"/>
        <v>4.5</v>
      </c>
      <c r="AK819">
        <v>9</v>
      </c>
      <c r="AL819" s="17">
        <f t="shared" si="391"/>
        <v>2.25</v>
      </c>
      <c r="AM819">
        <v>0</v>
      </c>
      <c r="AN819" s="17">
        <f t="shared" si="392"/>
        <v>0</v>
      </c>
      <c r="AO819">
        <v>0</v>
      </c>
      <c r="AQ819">
        <v>0</v>
      </c>
      <c r="AR819" s="17">
        <f t="shared" si="393"/>
        <v>0</v>
      </c>
      <c r="AS819">
        <v>13</v>
      </c>
      <c r="AT819" s="17">
        <f t="shared" si="394"/>
        <v>3.25</v>
      </c>
      <c r="BD819" s="65">
        <f t="shared" si="395"/>
        <v>52.96610169491526</v>
      </c>
      <c r="BE819" s="65">
        <f t="shared" si="396"/>
        <v>50</v>
      </c>
      <c r="BF819" s="66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5.7344496251279056</v>
      </c>
      <c r="BG819" s="38">
        <f t="shared" si="397"/>
        <v>0.37037037037037035</v>
      </c>
      <c r="BH819" s="38">
        <f t="shared" si="398"/>
        <v>0.1111111111111111</v>
      </c>
      <c r="BI819" s="67">
        <f>IFERROR(((AG819*(12000/5))/((F819*60+G819)*(SUMIFS(팀공격력!X:X,팀공격력!A:A,B819,팀공격력!B:B,D819)+SUMIFS(팀수비력!X:X,팀수비력!A:A,B819,팀수비력!B:B,D819))))*100,"")</f>
        <v>2.2951377082624957</v>
      </c>
      <c r="BJ819" s="67">
        <f>IFERROR(((AI819*(12000/5))/((F819*60+G819)*(SUMIFS(팀공격력!V:V,팀공격력!A:A,B819,팀공격력!B:B,D819)+SUMIFS(팀수비력!W:W,팀수비력!A:A,B819,팀수비력!B:B,D819))))*100,"")</f>
        <v>8.3683305180616472</v>
      </c>
      <c r="BK819" s="67">
        <f>IFERROR(((AE819*(12000/5))/((F819*60+G819)*(SUMIFS(팀공격력!X:X,팀공격력!A:A,B819,팀공격력!B:B,D819)+SUMIFS(팀수비력!X:X,팀수비력!A:A,B819,팀수비력!B:B,D819))))*100,"")</f>
        <v>6.8854131247874868</v>
      </c>
      <c r="BL819" s="67">
        <f>IFERROR(100*AK819/(((((F819*60+G819)/(12000/5))*SUMIFS(팀공격력!P:P,팀공격력!A:A,B819,팀공격력!B:B,D819))-K819)),"")</f>
        <v>5.8792788084661618</v>
      </c>
      <c r="BM819" s="67">
        <f>IFERROR(100*((AM819/E819*(2400))/((F819*60+G819)*SUMIFS(팀공격력!AR:AR,팀공격력!A:A,B819,팀공격력!B:B,D819))),"")</f>
        <v>0</v>
      </c>
      <c r="BN819" s="67">
        <f>IFERROR((AO819*40)/(((F819*60+G819)/60)*(SUMIFS(팀수비력!Q:Q,팀수비력!A:A,B819,팀수비력!B:B,D819)-SUMIFS(팀수비력!N:N,팀수비력!A:A,B819,팀수비력!B:B,D819)))*100,"")</f>
        <v>0</v>
      </c>
      <c r="BO819" s="67">
        <f t="shared" si="399"/>
        <v>0</v>
      </c>
      <c r="BT819" t="s">
        <v>89</v>
      </c>
      <c r="BV819" t="s">
        <v>90</v>
      </c>
      <c r="CF819">
        <v>0</v>
      </c>
      <c r="CG819">
        <v>4</v>
      </c>
    </row>
    <row r="820" spans="1:85" x14ac:dyDescent="0.4">
      <c r="A820" s="11" t="s">
        <v>85</v>
      </c>
      <c r="B820" t="s">
        <v>99</v>
      </c>
      <c r="C820" t="s">
        <v>106</v>
      </c>
      <c r="D820" s="46" t="s">
        <v>312</v>
      </c>
      <c r="E820">
        <v>7</v>
      </c>
      <c r="F820">
        <v>14</v>
      </c>
      <c r="G820" s="1">
        <v>42</v>
      </c>
      <c r="H820" s="16">
        <f t="shared" si="374"/>
        <v>6174</v>
      </c>
      <c r="I820">
        <v>47</v>
      </c>
      <c r="J820" s="17">
        <f t="shared" si="375"/>
        <v>6.7142857142857144</v>
      </c>
      <c r="K820">
        <v>17</v>
      </c>
      <c r="L820">
        <v>56</v>
      </c>
      <c r="M820" s="17">
        <f t="shared" si="376"/>
        <v>2.4285714285714284</v>
      </c>
      <c r="N820" s="17">
        <f t="shared" si="377"/>
        <v>8</v>
      </c>
      <c r="O820" s="18">
        <f t="shared" si="378"/>
        <v>0.30357142857142855</v>
      </c>
      <c r="P820">
        <v>7</v>
      </c>
      <c r="Q820">
        <v>25</v>
      </c>
      <c r="R820" s="17">
        <f t="shared" si="379"/>
        <v>1</v>
      </c>
      <c r="S820" s="17">
        <f t="shared" si="380"/>
        <v>3.5714285714285716</v>
      </c>
      <c r="T820" s="18">
        <f t="shared" si="381"/>
        <v>0.28000000000000003</v>
      </c>
      <c r="U820">
        <v>10</v>
      </c>
      <c r="V820">
        <v>31</v>
      </c>
      <c r="W820" s="17">
        <f t="shared" si="382"/>
        <v>1.4285714285714286</v>
      </c>
      <c r="X820" s="17">
        <f t="shared" si="383"/>
        <v>4.4285714285714288</v>
      </c>
      <c r="Y820" s="18">
        <f t="shared" si="384"/>
        <v>0.32258064516129031</v>
      </c>
      <c r="Z820">
        <v>3</v>
      </c>
      <c r="AA820">
        <v>6</v>
      </c>
      <c r="AB820" s="17">
        <f t="shared" si="385"/>
        <v>0.42857142857142855</v>
      </c>
      <c r="AC820" s="17">
        <f t="shared" si="386"/>
        <v>0.8571428571428571</v>
      </c>
      <c r="AD820" s="18">
        <f t="shared" si="387"/>
        <v>0.5</v>
      </c>
      <c r="AE820">
        <v>15</v>
      </c>
      <c r="AF820" s="17">
        <f t="shared" si="388"/>
        <v>2.1428571428571428</v>
      </c>
      <c r="AG820">
        <v>4</v>
      </c>
      <c r="AH820" s="17">
        <f t="shared" si="389"/>
        <v>0.5714285714285714</v>
      </c>
      <c r="AI820">
        <v>11</v>
      </c>
      <c r="AJ820" s="17">
        <f t="shared" si="390"/>
        <v>1.5714285714285714</v>
      </c>
      <c r="AK820">
        <v>6</v>
      </c>
      <c r="AL820" s="17">
        <f t="shared" si="391"/>
        <v>0.8571428571428571</v>
      </c>
      <c r="AM820">
        <v>3</v>
      </c>
      <c r="AN820" s="17">
        <f t="shared" si="392"/>
        <v>0.42857142857142855</v>
      </c>
      <c r="AO820">
        <v>1</v>
      </c>
      <c r="AQ820">
        <v>11</v>
      </c>
      <c r="AR820" s="17">
        <f t="shared" si="393"/>
        <v>1.5714285714285714</v>
      </c>
      <c r="AS820">
        <v>12</v>
      </c>
      <c r="AT820" s="17">
        <f t="shared" si="394"/>
        <v>1.7142857142857142</v>
      </c>
      <c r="BD820" s="65">
        <f t="shared" si="395"/>
        <v>40.075034106412005</v>
      </c>
      <c r="BE820" s="65">
        <f t="shared" si="396"/>
        <v>39.285714285714285</v>
      </c>
      <c r="BF820" s="66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22.127113339497409</v>
      </c>
      <c r="BG820" s="38">
        <f t="shared" si="397"/>
        <v>0.5535714285714286</v>
      </c>
      <c r="BH820" s="38">
        <f t="shared" si="398"/>
        <v>0.10714285714285714</v>
      </c>
      <c r="BI820" s="67">
        <f>IFERROR(((AG820*(12000/5))/((F820*60+G820)*(SUMIFS(팀공격력!X:X,팀공격력!A:A,B820,팀공격력!B:B,D820)+SUMIFS(팀수비력!X:X,팀수비력!A:A,B820,팀수비력!B:B,D820))))*100,"")</f>
        <v>1.6006402561024411</v>
      </c>
      <c r="BJ820" s="67">
        <f>IFERROR(((AI820*(12000/5))/((F820*60+G820)*(SUMIFS(팀공격력!V:V,팀공격력!A:A,B820,팀공격력!B:B,D820)+SUMIFS(팀수비력!W:W,팀수비력!A:A,B820,팀수비력!B:B,D820))))*100,"")</f>
        <v>8.0246575842133101</v>
      </c>
      <c r="BK820" s="67">
        <f>IFERROR(((AE820*(12000/5))/((F820*60+G820)*(SUMIFS(팀공격력!X:X,팀공격력!A:A,B820,팀공격력!B:B,D820)+SUMIFS(팀수비력!X:X,팀수비력!A:A,B820,팀수비력!B:B,D820))))*100,"")</f>
        <v>6.0024009603841533</v>
      </c>
      <c r="BL820" s="67">
        <f>IFERROR(100*AK820/(((((F820*60+G820)/(12000/5))*SUMIFS(팀공격력!P:P,팀공격력!A:A,B820,팀공격력!B:B,D820))-K820)),"")</f>
        <v>6.7537145429986492</v>
      </c>
      <c r="BM820" s="67">
        <f>IFERROR(100*((AM820/E820*(2400))/((F820*60+G820)*SUMIFS(팀공격력!AR:AR,팀공격력!A:A,B820,팀공격력!B:B,D820))),"")</f>
        <v>1.4194086620756377</v>
      </c>
      <c r="BN820" s="67">
        <f>IFERROR((AO820*40)/(((F820*60+G820)/60)*(SUMIFS(팀수비력!Q:Q,팀수비력!A:A,B820,팀수비력!B:B,D820)-SUMIFS(팀수비력!N:N,팀수비력!A:A,B820,팀수비력!B:B,D820)))*100,"")</f>
        <v>0.6342863485720629</v>
      </c>
      <c r="BO820" s="67">
        <f t="shared" si="399"/>
        <v>15.795519816197588</v>
      </c>
      <c r="BT820" t="s">
        <v>96</v>
      </c>
      <c r="BV820" t="s">
        <v>93</v>
      </c>
      <c r="CF820">
        <v>1</v>
      </c>
      <c r="CG820">
        <v>6</v>
      </c>
    </row>
    <row r="821" spans="1:85" x14ac:dyDescent="0.4">
      <c r="A821" s="11" t="s">
        <v>85</v>
      </c>
      <c r="B821" t="s">
        <v>99</v>
      </c>
      <c r="C821" t="s">
        <v>108</v>
      </c>
      <c r="D821" s="46" t="s">
        <v>312</v>
      </c>
      <c r="E821">
        <v>3</v>
      </c>
      <c r="F821">
        <v>1</v>
      </c>
      <c r="G821" s="1">
        <v>20</v>
      </c>
      <c r="H821" s="16">
        <f t="shared" si="374"/>
        <v>240</v>
      </c>
      <c r="I821">
        <v>0</v>
      </c>
      <c r="J821" s="17">
        <f t="shared" si="375"/>
        <v>0</v>
      </c>
      <c r="K821">
        <v>0</v>
      </c>
      <c r="L821">
        <v>2</v>
      </c>
      <c r="M821" s="17">
        <f t="shared" si="376"/>
        <v>0</v>
      </c>
      <c r="N821" s="17">
        <f t="shared" si="377"/>
        <v>0.66666666666666663</v>
      </c>
      <c r="O821" s="18">
        <f t="shared" si="378"/>
        <v>0</v>
      </c>
      <c r="P821">
        <v>0</v>
      </c>
      <c r="Q821">
        <v>0</v>
      </c>
      <c r="R821" s="17">
        <f t="shared" si="379"/>
        <v>0</v>
      </c>
      <c r="S821" s="17">
        <f t="shared" si="380"/>
        <v>0</v>
      </c>
      <c r="T821" s="18" t="e">
        <f t="shared" si="381"/>
        <v>#DIV/0!</v>
      </c>
      <c r="U821">
        <v>0</v>
      </c>
      <c r="V821">
        <v>2</v>
      </c>
      <c r="W821" s="17">
        <f t="shared" si="382"/>
        <v>0</v>
      </c>
      <c r="X821" s="17">
        <f t="shared" si="383"/>
        <v>0.66666666666666663</v>
      </c>
      <c r="Y821" s="18">
        <f t="shared" si="384"/>
        <v>0</v>
      </c>
      <c r="Z821">
        <v>0</v>
      </c>
      <c r="AA821">
        <v>0</v>
      </c>
      <c r="AB821" s="17">
        <f t="shared" si="385"/>
        <v>0</v>
      </c>
      <c r="AC821" s="17">
        <f t="shared" si="386"/>
        <v>0</v>
      </c>
      <c r="AD821" s="18" t="e">
        <f t="shared" si="387"/>
        <v>#DIV/0!</v>
      </c>
      <c r="AE821">
        <v>0</v>
      </c>
      <c r="AF821" s="17">
        <f t="shared" si="388"/>
        <v>0</v>
      </c>
      <c r="AG821">
        <v>0</v>
      </c>
      <c r="AH821" s="17">
        <f t="shared" si="389"/>
        <v>0</v>
      </c>
      <c r="AI821">
        <v>0</v>
      </c>
      <c r="AJ821" s="17">
        <f t="shared" si="390"/>
        <v>0</v>
      </c>
      <c r="AK821">
        <v>0</v>
      </c>
      <c r="AL821" s="17">
        <f t="shared" si="391"/>
        <v>0</v>
      </c>
      <c r="AM821">
        <v>0</v>
      </c>
      <c r="AN821" s="17">
        <f t="shared" si="392"/>
        <v>0</v>
      </c>
      <c r="AO821">
        <v>0</v>
      </c>
      <c r="AQ821">
        <v>0</v>
      </c>
      <c r="AR821" s="17">
        <f t="shared" si="393"/>
        <v>0</v>
      </c>
      <c r="AS821">
        <v>2</v>
      </c>
      <c r="AT821" s="17">
        <f t="shared" si="394"/>
        <v>0.66666666666666663</v>
      </c>
      <c r="BD821" s="65">
        <f t="shared" si="395"/>
        <v>0</v>
      </c>
      <c r="BE821" s="65">
        <f t="shared" si="396"/>
        <v>0</v>
      </c>
      <c r="BF821" s="66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7.0060719290051381</v>
      </c>
      <c r="BG821" s="38">
        <f t="shared" si="397"/>
        <v>1</v>
      </c>
      <c r="BH821" s="38">
        <f t="shared" si="398"/>
        <v>0</v>
      </c>
      <c r="BI821" s="67">
        <f>IFERROR(((AG821*(12000/5))/((F821*60+G821)*(SUMIFS(팀공격력!X:X,팀공격력!A:A,B821,팀공격력!B:B,D821)+SUMIFS(팀수비력!X:X,팀수비력!A:A,B821,팀수비력!B:B,D821))))*100,"")</f>
        <v>0</v>
      </c>
      <c r="BJ821" s="67">
        <f>IFERROR(((AI821*(12000/5))/((F821*60+G821)*(SUMIFS(팀공격력!V:V,팀공격력!A:A,B821,팀공격력!B:B,D821)+SUMIFS(팀수비력!W:W,팀수비력!A:A,B821,팀수비력!B:B,D821))))*100,"")</f>
        <v>0</v>
      </c>
      <c r="BK821" s="67">
        <f>IFERROR(((AE821*(12000/5))/((F821*60+G821)*(SUMIFS(팀공격력!X:X,팀공격력!A:A,B821,팀공격력!B:B,D821)+SUMIFS(팀수비력!X:X,팀수비력!A:A,B821,팀수비력!B:B,D821))))*100,"")</f>
        <v>0</v>
      </c>
      <c r="BL821" s="67">
        <f>IFERROR(100*AK821/(((((F821*60+G821)/(12000/5))*SUMIFS(팀공격력!P:P,팀공격력!A:A,B821,팀공격력!B:B,D821))-K821)),"")</f>
        <v>0</v>
      </c>
      <c r="BM821" s="67">
        <f>IFERROR(100*((AM821/E821*(2400))/((F821*60+G821)*SUMIFS(팀공격력!AR:AR,팀공격력!A:A,B821,팀공격력!B:B,D821))),"")</f>
        <v>0</v>
      </c>
      <c r="BN821" s="67">
        <f>IFERROR((AO821*40)/(((F821*60+G821)/60)*(SUMIFS(팀수비력!Q:Q,팀수비력!A:A,B821,팀수비력!B:B,D821)-SUMIFS(팀수비력!N:N,팀수비력!A:A,B821,팀수비력!B:B,D821)))*100,"")</f>
        <v>0</v>
      </c>
      <c r="BO821" s="67">
        <f t="shared" si="399"/>
        <v>0</v>
      </c>
      <c r="BT821" t="s">
        <v>89</v>
      </c>
      <c r="BV821" t="s">
        <v>90</v>
      </c>
      <c r="CF821">
        <v>0</v>
      </c>
      <c r="CG821">
        <v>3</v>
      </c>
    </row>
    <row r="822" spans="1:85" x14ac:dyDescent="0.4">
      <c r="A822" s="11" t="s">
        <v>85</v>
      </c>
      <c r="B822" t="s">
        <v>99</v>
      </c>
      <c r="C822" t="s">
        <v>109</v>
      </c>
      <c r="D822" s="46" t="s">
        <v>312</v>
      </c>
      <c r="E822">
        <v>4</v>
      </c>
      <c r="F822">
        <v>17</v>
      </c>
      <c r="G822" s="1">
        <v>30</v>
      </c>
      <c r="H822" s="16">
        <f t="shared" si="374"/>
        <v>4200</v>
      </c>
      <c r="I822">
        <v>20</v>
      </c>
      <c r="J822" s="17">
        <f t="shared" si="375"/>
        <v>5</v>
      </c>
      <c r="K822">
        <v>7</v>
      </c>
      <c r="L822">
        <v>18</v>
      </c>
      <c r="M822" s="17">
        <f t="shared" si="376"/>
        <v>1.75</v>
      </c>
      <c r="N822" s="17">
        <f t="shared" si="377"/>
        <v>4.5</v>
      </c>
      <c r="O822" s="18">
        <f t="shared" si="378"/>
        <v>0.3888888888888889</v>
      </c>
      <c r="P822">
        <v>5</v>
      </c>
      <c r="Q822">
        <v>7</v>
      </c>
      <c r="R822" s="17">
        <f t="shared" si="379"/>
        <v>1.25</v>
      </c>
      <c r="S822" s="17">
        <f t="shared" si="380"/>
        <v>1.75</v>
      </c>
      <c r="T822" s="18">
        <f t="shared" si="381"/>
        <v>0.7142857142857143</v>
      </c>
      <c r="U822">
        <v>2</v>
      </c>
      <c r="V822">
        <v>11</v>
      </c>
      <c r="W822" s="17">
        <f t="shared" si="382"/>
        <v>0.5</v>
      </c>
      <c r="X822" s="17">
        <f t="shared" si="383"/>
        <v>2.75</v>
      </c>
      <c r="Y822" s="18">
        <f t="shared" si="384"/>
        <v>0.18181818181818182</v>
      </c>
      <c r="Z822">
        <v>4</v>
      </c>
      <c r="AA822">
        <v>6</v>
      </c>
      <c r="AB822" s="17">
        <f t="shared" si="385"/>
        <v>1</v>
      </c>
      <c r="AC822" s="17">
        <f t="shared" si="386"/>
        <v>1.5</v>
      </c>
      <c r="AD822" s="18">
        <f t="shared" si="387"/>
        <v>0.66666666666666663</v>
      </c>
      <c r="AE822">
        <v>8</v>
      </c>
      <c r="AF822" s="17">
        <f t="shared" si="388"/>
        <v>2</v>
      </c>
      <c r="AG822">
        <v>3</v>
      </c>
      <c r="AH822" s="17">
        <f t="shared" si="389"/>
        <v>0.75</v>
      </c>
      <c r="AI822">
        <v>5</v>
      </c>
      <c r="AJ822" s="17">
        <f t="shared" si="390"/>
        <v>1.25</v>
      </c>
      <c r="AK822">
        <v>2</v>
      </c>
      <c r="AL822" s="17">
        <f t="shared" si="391"/>
        <v>0.5</v>
      </c>
      <c r="AM822">
        <v>0</v>
      </c>
      <c r="AN822" s="17">
        <f t="shared" si="392"/>
        <v>0</v>
      </c>
      <c r="AO822">
        <v>0</v>
      </c>
      <c r="AQ822">
        <v>4</v>
      </c>
      <c r="AR822" s="17">
        <f t="shared" si="393"/>
        <v>1</v>
      </c>
      <c r="AS822">
        <v>8</v>
      </c>
      <c r="AT822" s="17">
        <f t="shared" si="394"/>
        <v>2</v>
      </c>
      <c r="BD822" s="65">
        <f t="shared" si="395"/>
        <v>48.449612403100772</v>
      </c>
      <c r="BE822" s="65">
        <f t="shared" si="396"/>
        <v>44.444444444444443</v>
      </c>
      <c r="BF822" s="66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6.5763661840261562</v>
      </c>
      <c r="BG822" s="38">
        <f t="shared" si="397"/>
        <v>0.61111111111111116</v>
      </c>
      <c r="BH822" s="38">
        <f t="shared" si="398"/>
        <v>0.33333333333333331</v>
      </c>
      <c r="BI822" s="67">
        <f>IFERROR(((AG822*(12000/5))/((F822*60+G822)*(SUMIFS(팀공격력!X:X,팀공격력!A:A,B822,팀공격력!B:B,D822)+SUMIFS(팀수비력!X:X,팀수비력!A:A,B822,팀수비력!B:B,D822))))*100,"")</f>
        <v>1.0084033613445378</v>
      </c>
      <c r="BJ822" s="67">
        <f>IFERROR(((AI822*(12000/5))/((F822*60+G822)*(SUMIFS(팀공격력!V:V,팀공격력!A:A,B822,팀공격력!B:B,D822)+SUMIFS(팀수비력!W:W,팀수비력!A:A,B822,팀수비력!B:B,D822))))*100,"")</f>
        <v>3.0639601685178093</v>
      </c>
      <c r="BK822" s="67">
        <f>IFERROR(((AE822*(12000/5))/((F822*60+G822)*(SUMIFS(팀공격력!X:X,팀공격력!A:A,B822,팀공격력!B:B,D822)+SUMIFS(팀수비력!X:X,팀수비력!A:A,B822,팀수비력!B:B,D822))))*100,"")</f>
        <v>2.6890756302521011</v>
      </c>
      <c r="BL822" s="67">
        <f>IFERROR(100*AK822/(((((F822*60+G822)/(12000/5))*SUMIFS(팀공격력!P:P,팀공격력!A:A,B822,팀공격력!B:B,D822))-K822)),"")</f>
        <v>1.680672268907563</v>
      </c>
      <c r="BM822" s="67">
        <f>IFERROR(100*((AM822/E822*(2400))/((F822*60+G822)*SUMIFS(팀공격력!AR:AR,팀공격력!A:A,B822,팀공격력!B:B,D822))),"")</f>
        <v>0</v>
      </c>
      <c r="BN822" s="67">
        <f>IFERROR((AO822*40)/(((F822*60+G822)/60)*(SUMIFS(팀수비력!Q:Q,팀수비력!A:A,B822,팀수비력!B:B,D822)-SUMIFS(팀수비력!N:N,팀수비력!A:A,B822,팀수비력!B:B,D822)))*100,"")</f>
        <v>0</v>
      </c>
      <c r="BO822" s="67">
        <f t="shared" si="399"/>
        <v>16.233766233766232</v>
      </c>
      <c r="BT822" t="s">
        <v>89</v>
      </c>
      <c r="BV822" t="s">
        <v>90</v>
      </c>
      <c r="CF822">
        <v>0</v>
      </c>
      <c r="CG822">
        <v>4</v>
      </c>
    </row>
    <row r="823" spans="1:85" x14ac:dyDescent="0.4">
      <c r="A823" s="11" t="s">
        <v>85</v>
      </c>
      <c r="B823" t="s">
        <v>99</v>
      </c>
      <c r="C823" t="s">
        <v>110</v>
      </c>
      <c r="D823" s="46" t="s">
        <v>312</v>
      </c>
      <c r="E823">
        <v>10</v>
      </c>
      <c r="F823">
        <v>9</v>
      </c>
      <c r="G823" s="1">
        <v>41</v>
      </c>
      <c r="H823" s="16">
        <f t="shared" si="374"/>
        <v>5810</v>
      </c>
      <c r="I823">
        <v>20</v>
      </c>
      <c r="J823" s="17">
        <f t="shared" si="375"/>
        <v>2</v>
      </c>
      <c r="K823">
        <v>7</v>
      </c>
      <c r="L823">
        <v>18</v>
      </c>
      <c r="M823" s="17">
        <f t="shared" si="376"/>
        <v>0.7</v>
      </c>
      <c r="N823" s="17">
        <f t="shared" si="377"/>
        <v>1.8</v>
      </c>
      <c r="O823" s="18">
        <f t="shared" si="378"/>
        <v>0.3888888888888889</v>
      </c>
      <c r="P823">
        <v>2</v>
      </c>
      <c r="Q823">
        <v>2</v>
      </c>
      <c r="R823" s="17">
        <f t="shared" si="379"/>
        <v>0.2</v>
      </c>
      <c r="S823" s="17">
        <f t="shared" si="380"/>
        <v>0.2</v>
      </c>
      <c r="T823" s="18">
        <f t="shared" si="381"/>
        <v>1</v>
      </c>
      <c r="U823">
        <v>5</v>
      </c>
      <c r="V823">
        <v>16</v>
      </c>
      <c r="W823" s="17">
        <f t="shared" si="382"/>
        <v>0.5</v>
      </c>
      <c r="X823" s="17">
        <f t="shared" si="383"/>
        <v>1.6</v>
      </c>
      <c r="Y823" s="18">
        <f t="shared" si="384"/>
        <v>0.3125</v>
      </c>
      <c r="Z823">
        <v>1</v>
      </c>
      <c r="AA823">
        <v>2</v>
      </c>
      <c r="AB823" s="17">
        <f t="shared" si="385"/>
        <v>0.1</v>
      </c>
      <c r="AC823" s="17">
        <f t="shared" si="386"/>
        <v>0.2</v>
      </c>
      <c r="AD823" s="18">
        <f t="shared" si="387"/>
        <v>0.5</v>
      </c>
      <c r="AE823">
        <v>9</v>
      </c>
      <c r="AF823" s="17">
        <f t="shared" si="388"/>
        <v>0.9</v>
      </c>
      <c r="AG823">
        <v>4</v>
      </c>
      <c r="AH823" s="17">
        <f t="shared" si="389"/>
        <v>0.4</v>
      </c>
      <c r="AI823">
        <v>5</v>
      </c>
      <c r="AJ823" s="17">
        <f t="shared" si="390"/>
        <v>0.5</v>
      </c>
      <c r="AK823">
        <v>1</v>
      </c>
      <c r="AL823" s="17">
        <f t="shared" si="391"/>
        <v>0.1</v>
      </c>
      <c r="AM823">
        <v>1</v>
      </c>
      <c r="AN823" s="17">
        <f t="shared" si="392"/>
        <v>0.1</v>
      </c>
      <c r="AO823">
        <v>0</v>
      </c>
      <c r="AQ823">
        <v>2</v>
      </c>
      <c r="AR823" s="17">
        <f t="shared" si="393"/>
        <v>0.2</v>
      </c>
      <c r="AS823">
        <v>18</v>
      </c>
      <c r="AT823" s="17">
        <f t="shared" si="394"/>
        <v>1.8</v>
      </c>
      <c r="BD823" s="65">
        <f t="shared" si="395"/>
        <v>52.96610169491526</v>
      </c>
      <c r="BE823" s="65">
        <f t="shared" si="396"/>
        <v>52.777777777777779</v>
      </c>
      <c r="BF823" s="66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10.071379130989831</v>
      </c>
      <c r="BG823" s="38">
        <f t="shared" si="397"/>
        <v>0.88888888888888884</v>
      </c>
      <c r="BH823" s="38">
        <f t="shared" si="398"/>
        <v>0.1111111111111111</v>
      </c>
      <c r="BI823" s="67">
        <f>IFERROR(((AG823*(12000/5))/((F823*60+G823)*(SUMIFS(팀공격력!X:X,팀공격력!A:A,B823,팀공격력!B:B,D823)+SUMIFS(팀수비력!X:X,팀수비력!A:A,B823,팀수비력!B:B,D823))))*100,"")</f>
        <v>2.4298876176976814</v>
      </c>
      <c r="BJ823" s="67">
        <f>IFERROR(((AI823*(12000/5))/((F823*60+G823)*(SUMIFS(팀공격력!V:V,팀공격력!A:A,B823,팀공격력!B:B,D823)+SUMIFS(팀수비력!W:W,팀수비력!A:A,B823,팀수비력!B:B,D823))))*100,"")</f>
        <v>5.5372774129839923</v>
      </c>
      <c r="BK823" s="67">
        <f>IFERROR(((AE823*(12000/5))/((F823*60+G823)*(SUMIFS(팀공격력!X:X,팀공격력!A:A,B823,팀공격력!B:B,D823)+SUMIFS(팀수비력!X:X,팀수비력!A:A,B823,팀수비력!B:B,D823))))*100,"")</f>
        <v>5.4672471398197837</v>
      </c>
      <c r="BL823" s="67">
        <f>IFERROR(100*AK823/(((((F823*60+G823)/(12000/5))*SUMIFS(팀공격력!P:P,팀공격력!A:A,B823,팀공격력!B:B,D823))-K823)),"")</f>
        <v>1.5943877551020409</v>
      </c>
      <c r="BM823" s="67">
        <f>IFERROR(100*((AM823/E823*(2400))/((F823*60+G823)*SUMIFS(팀공격력!AR:AR,팀공격력!A:A,B823,팀공격력!B:B,D823))),"")</f>
        <v>0.50277848994004526</v>
      </c>
      <c r="BN823" s="67">
        <f>IFERROR((AO823*40)/(((F823*60+G823)/60)*(SUMIFS(팀수비력!Q:Q,팀수비력!A:A,B823,팀수비력!B:B,D823)-SUMIFS(팀수비력!N:N,팀수비력!A:A,B823,팀수비력!B:B,D823)))*100,"")</f>
        <v>0</v>
      </c>
      <c r="BO823" s="67">
        <f t="shared" si="399"/>
        <v>9.5785440613026829</v>
      </c>
      <c r="BT823" t="s">
        <v>89</v>
      </c>
      <c r="BV823" t="s">
        <v>90</v>
      </c>
      <c r="CF823">
        <v>2</v>
      </c>
      <c r="CG823">
        <v>8</v>
      </c>
    </row>
    <row r="824" spans="1:85" x14ac:dyDescent="0.4">
      <c r="A824" s="11" t="s">
        <v>85</v>
      </c>
      <c r="B824" t="s">
        <v>99</v>
      </c>
      <c r="C824" t="s">
        <v>111</v>
      </c>
      <c r="D824" s="46" t="s">
        <v>312</v>
      </c>
      <c r="E824">
        <v>8</v>
      </c>
      <c r="F824">
        <v>6</v>
      </c>
      <c r="G824" s="1">
        <v>44</v>
      </c>
      <c r="H824" s="16">
        <f t="shared" si="374"/>
        <v>3232</v>
      </c>
      <c r="I824">
        <v>8</v>
      </c>
      <c r="J824" s="17">
        <f t="shared" si="375"/>
        <v>1</v>
      </c>
      <c r="K824">
        <v>3</v>
      </c>
      <c r="L824">
        <v>8</v>
      </c>
      <c r="M824" s="17">
        <f t="shared" si="376"/>
        <v>0.375</v>
      </c>
      <c r="N824" s="17">
        <f t="shared" si="377"/>
        <v>1</v>
      </c>
      <c r="O824" s="18">
        <f t="shared" si="378"/>
        <v>0.375</v>
      </c>
      <c r="P824">
        <v>1</v>
      </c>
      <c r="Q824">
        <v>2</v>
      </c>
      <c r="R824" s="17">
        <f t="shared" si="379"/>
        <v>0.125</v>
      </c>
      <c r="S824" s="17">
        <f t="shared" si="380"/>
        <v>0.25</v>
      </c>
      <c r="T824" s="18">
        <f t="shared" si="381"/>
        <v>0.5</v>
      </c>
      <c r="U824">
        <v>2</v>
      </c>
      <c r="V824">
        <v>6</v>
      </c>
      <c r="W824" s="17">
        <f t="shared" si="382"/>
        <v>0.25</v>
      </c>
      <c r="X824" s="17">
        <f t="shared" si="383"/>
        <v>0.75</v>
      </c>
      <c r="Y824" s="18">
        <f t="shared" si="384"/>
        <v>0.33333333333333331</v>
      </c>
      <c r="Z824">
        <v>0</v>
      </c>
      <c r="AA824">
        <v>0</v>
      </c>
      <c r="AB824" s="17">
        <f t="shared" si="385"/>
        <v>0</v>
      </c>
      <c r="AC824" s="17">
        <f t="shared" si="386"/>
        <v>0</v>
      </c>
      <c r="AD824" s="18" t="e">
        <f t="shared" si="387"/>
        <v>#DIV/0!</v>
      </c>
      <c r="AE824">
        <v>1</v>
      </c>
      <c r="AF824" s="17">
        <f t="shared" si="388"/>
        <v>0.125</v>
      </c>
      <c r="AG824">
        <v>0</v>
      </c>
      <c r="AH824" s="17">
        <f t="shared" si="389"/>
        <v>0</v>
      </c>
      <c r="AI824">
        <v>1</v>
      </c>
      <c r="AJ824" s="17">
        <f t="shared" si="390"/>
        <v>0.125</v>
      </c>
      <c r="AK824">
        <v>1</v>
      </c>
      <c r="AL824" s="17">
        <f t="shared" si="391"/>
        <v>0.125</v>
      </c>
      <c r="AM824">
        <v>1</v>
      </c>
      <c r="AN824" s="17">
        <f t="shared" si="392"/>
        <v>0.125</v>
      </c>
      <c r="AO824">
        <v>0</v>
      </c>
      <c r="AQ824">
        <v>2</v>
      </c>
      <c r="AR824" s="17">
        <f t="shared" si="393"/>
        <v>0.25</v>
      </c>
      <c r="AS824">
        <v>5</v>
      </c>
      <c r="AT824" s="17">
        <f t="shared" si="394"/>
        <v>0.625</v>
      </c>
      <c r="BD824" s="65">
        <f t="shared" si="395"/>
        <v>50</v>
      </c>
      <c r="BE824" s="65">
        <f t="shared" si="396"/>
        <v>50</v>
      </c>
      <c r="BF824" s="66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6.9367048802031075</v>
      </c>
      <c r="BG824" s="38">
        <f t="shared" si="397"/>
        <v>0.75</v>
      </c>
      <c r="BH824" s="38">
        <f t="shared" si="398"/>
        <v>0</v>
      </c>
      <c r="BI824" s="67">
        <f>IFERROR(((AG824*(12000/5))/((F824*60+G824)*(SUMIFS(팀공격력!X:X,팀공격력!A:A,B824,팀공격력!B:B,D824)+SUMIFS(팀수비력!X:X,팀수비력!A:A,B824,팀수비력!B:B,D824))))*100,"")</f>
        <v>0</v>
      </c>
      <c r="BJ824" s="67">
        <f>IFERROR(((AI824*(12000/5))/((F824*60+G824)*(SUMIFS(팀공격력!V:V,팀공격력!A:A,B824,팀공격력!B:B,D824)+SUMIFS(팀수비력!W:W,팀수비력!A:A,B824,팀수비력!B:B,D824))))*100,"")</f>
        <v>1.5926525628434156</v>
      </c>
      <c r="BK824" s="67">
        <f>IFERROR(((AE824*(12000/5))/((F824*60+G824)*(SUMIFS(팀공격력!X:X,팀공격력!A:A,B824,팀공격력!B:B,D824)+SUMIFS(팀수비력!X:X,팀수비력!A:A,B824,팀수비력!B:B,D824))))*100,"")</f>
        <v>0.87361677344205013</v>
      </c>
      <c r="BL824" s="67">
        <f>IFERROR(100*AK824/(((((F824*60+G824)/(12000/5))*SUMIFS(팀공격력!P:P,팀공격력!A:A,B824,팀공격력!B:B,D824))-K824)),"")</f>
        <v>2.198768689533861</v>
      </c>
      <c r="BM824" s="67">
        <f>IFERROR(100*((AM824/E824*(2400))/((F824*60+G824)*SUMIFS(팀공격력!AR:AR,팀공격력!A:A,B824,팀공격력!B:B,D824))),"")</f>
        <v>0.90381900573999474</v>
      </c>
      <c r="BN824" s="67">
        <f>IFERROR((AO824*40)/(((F824*60+G824)/60)*(SUMIFS(팀수비력!Q:Q,팀수비력!A:A,B824,팀수비력!B:B,D824)-SUMIFS(팀수비력!N:N,팀수비력!A:A,B824,팀수비력!B:B,D824)))*100,"")</f>
        <v>0</v>
      </c>
      <c r="BO824" s="67">
        <f t="shared" si="399"/>
        <v>20</v>
      </c>
      <c r="BT824" t="s">
        <v>89</v>
      </c>
      <c r="BV824" t="s">
        <v>93</v>
      </c>
      <c r="CF824">
        <v>2</v>
      </c>
      <c r="CG824">
        <v>6</v>
      </c>
    </row>
    <row r="825" spans="1:85" x14ac:dyDescent="0.4">
      <c r="A825" s="11" t="s">
        <v>85</v>
      </c>
      <c r="B825" t="s">
        <v>99</v>
      </c>
      <c r="C825" t="s">
        <v>112</v>
      </c>
      <c r="D825" s="46" t="s">
        <v>312</v>
      </c>
      <c r="E825">
        <v>1</v>
      </c>
      <c r="F825">
        <v>1</v>
      </c>
      <c r="G825" s="1">
        <v>44</v>
      </c>
      <c r="H825" s="16">
        <f t="shared" si="374"/>
        <v>104</v>
      </c>
      <c r="I825">
        <v>0</v>
      </c>
      <c r="J825" s="17">
        <f t="shared" si="375"/>
        <v>0</v>
      </c>
      <c r="K825">
        <v>0</v>
      </c>
      <c r="L825">
        <v>1</v>
      </c>
      <c r="M825" s="17">
        <f t="shared" si="376"/>
        <v>0</v>
      </c>
      <c r="N825" s="17">
        <f t="shared" si="377"/>
        <v>1</v>
      </c>
      <c r="O825" s="18">
        <f t="shared" si="378"/>
        <v>0</v>
      </c>
      <c r="P825">
        <v>0</v>
      </c>
      <c r="Q825">
        <v>1</v>
      </c>
      <c r="R825" s="17">
        <f t="shared" si="379"/>
        <v>0</v>
      </c>
      <c r="S825" s="17">
        <f t="shared" si="380"/>
        <v>1</v>
      </c>
      <c r="T825" s="18">
        <f t="shared" si="381"/>
        <v>0</v>
      </c>
      <c r="U825">
        <v>0</v>
      </c>
      <c r="V825">
        <v>0</v>
      </c>
      <c r="W825" s="17">
        <f t="shared" si="382"/>
        <v>0</v>
      </c>
      <c r="X825" s="17">
        <f t="shared" si="383"/>
        <v>0</v>
      </c>
      <c r="Y825" s="18" t="e">
        <f t="shared" si="384"/>
        <v>#DIV/0!</v>
      </c>
      <c r="Z825">
        <v>0</v>
      </c>
      <c r="AA825">
        <v>0</v>
      </c>
      <c r="AB825" s="17">
        <f t="shared" si="385"/>
        <v>0</v>
      </c>
      <c r="AC825" s="17">
        <f t="shared" si="386"/>
        <v>0</v>
      </c>
      <c r="AD825" s="18" t="e">
        <f t="shared" si="387"/>
        <v>#DIV/0!</v>
      </c>
      <c r="AE825">
        <v>0</v>
      </c>
      <c r="AF825" s="17">
        <f t="shared" si="388"/>
        <v>0</v>
      </c>
      <c r="AG825">
        <v>0</v>
      </c>
      <c r="AH825" s="17">
        <f t="shared" si="389"/>
        <v>0</v>
      </c>
      <c r="AI825">
        <v>0</v>
      </c>
      <c r="AJ825" s="17">
        <f t="shared" si="390"/>
        <v>0</v>
      </c>
      <c r="AK825">
        <v>0</v>
      </c>
      <c r="AL825" s="17">
        <f t="shared" si="391"/>
        <v>0</v>
      </c>
      <c r="AM825">
        <v>0</v>
      </c>
      <c r="AN825" s="17">
        <f t="shared" si="392"/>
        <v>0</v>
      </c>
      <c r="AO825">
        <v>0</v>
      </c>
      <c r="AQ825">
        <v>1</v>
      </c>
      <c r="AR825" s="17">
        <f t="shared" si="393"/>
        <v>1</v>
      </c>
      <c r="AS825">
        <v>0</v>
      </c>
      <c r="AT825" s="17">
        <f t="shared" si="394"/>
        <v>0</v>
      </c>
      <c r="BD825" s="65">
        <f t="shared" si="395"/>
        <v>0</v>
      </c>
      <c r="BE825" s="65">
        <f t="shared" si="396"/>
        <v>0</v>
      </c>
      <c r="BF825" s="66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5.389286099234722</v>
      </c>
      <c r="BG825" s="38">
        <f t="shared" si="397"/>
        <v>0</v>
      </c>
      <c r="BH825" s="38">
        <f t="shared" si="398"/>
        <v>0</v>
      </c>
      <c r="BI825" s="67">
        <f>IFERROR(((AG825*(12000/5))/((F825*60+G825)*(SUMIFS(팀공격력!X:X,팀공격력!A:A,B825,팀공격력!B:B,D825)+SUMIFS(팀수비력!X:X,팀수비력!A:A,B825,팀수비력!B:B,D825))))*100,"")</f>
        <v>0</v>
      </c>
      <c r="BJ825" s="67">
        <f>IFERROR(((AI825*(12000/5))/((F825*60+G825)*(SUMIFS(팀공격력!V:V,팀공격력!A:A,B825,팀공격력!B:B,D825)+SUMIFS(팀수비력!W:W,팀수비력!A:A,B825,팀수비력!B:B,D825))))*100,"")</f>
        <v>0</v>
      </c>
      <c r="BK825" s="67">
        <f>IFERROR(((AE825*(12000/5))/((F825*60+G825)*(SUMIFS(팀공격력!X:X,팀공격력!A:A,B825,팀공격력!B:B,D825)+SUMIFS(팀수비력!X:X,팀수비력!A:A,B825,팀수비력!B:B,D825))))*100,"")</f>
        <v>0</v>
      </c>
      <c r="BL825" s="67">
        <f>IFERROR(100*AK825/(((((F825*60+G825)/(12000/5))*SUMIFS(팀공격력!P:P,팀공격력!A:A,B825,팀공격력!B:B,D825))-K825)),"")</f>
        <v>0</v>
      </c>
      <c r="BM825" s="67">
        <f>IFERROR(100*((AM825/E825*(2400))/((F825*60+G825)*SUMIFS(팀공격력!AR:AR,팀공격력!A:A,B825,팀공격력!B:B,D825))),"")</f>
        <v>0</v>
      </c>
      <c r="BN825" s="67">
        <f>IFERROR((AO825*40)/(((F825*60+G825)/60)*(SUMIFS(팀수비력!Q:Q,팀수비력!A:A,B825,팀수비력!B:B,D825)-SUMIFS(팀수비력!N:N,팀수비력!A:A,B825,팀수비력!B:B,D825)))*100,"")</f>
        <v>0</v>
      </c>
      <c r="BO825" s="67">
        <f t="shared" si="399"/>
        <v>50</v>
      </c>
      <c r="BT825" t="s">
        <v>113</v>
      </c>
      <c r="BV825" t="s">
        <v>90</v>
      </c>
      <c r="CF825">
        <v>0</v>
      </c>
      <c r="CG825">
        <v>1</v>
      </c>
    </row>
    <row r="826" spans="1:85" x14ac:dyDescent="0.4">
      <c r="A826" s="11" t="s">
        <v>85</v>
      </c>
      <c r="B826" t="s">
        <v>99</v>
      </c>
      <c r="C826" s="11" t="s">
        <v>114</v>
      </c>
      <c r="D826" s="46" t="s">
        <v>312</v>
      </c>
      <c r="E826">
        <v>9</v>
      </c>
      <c r="F826">
        <v>34</v>
      </c>
      <c r="G826" s="1">
        <v>33</v>
      </c>
      <c r="H826" s="16">
        <f t="shared" si="374"/>
        <v>18657</v>
      </c>
      <c r="I826">
        <v>216</v>
      </c>
      <c r="J826" s="17">
        <f t="shared" si="375"/>
        <v>24</v>
      </c>
      <c r="K826">
        <v>71</v>
      </c>
      <c r="L826">
        <v>150</v>
      </c>
      <c r="M826" s="17">
        <f t="shared" si="376"/>
        <v>7.8888888888888893</v>
      </c>
      <c r="N826" s="17">
        <f t="shared" si="377"/>
        <v>16.666666666666668</v>
      </c>
      <c r="O826" s="18">
        <f t="shared" si="378"/>
        <v>0.47333333333333333</v>
      </c>
      <c r="P826">
        <v>48</v>
      </c>
      <c r="Q826">
        <v>84</v>
      </c>
      <c r="R826" s="17">
        <f t="shared" si="379"/>
        <v>5.333333333333333</v>
      </c>
      <c r="S826" s="17">
        <f t="shared" si="380"/>
        <v>9.3333333333333339</v>
      </c>
      <c r="T826" s="18">
        <f t="shared" si="381"/>
        <v>0.5714285714285714</v>
      </c>
      <c r="U826">
        <v>23</v>
      </c>
      <c r="V826">
        <v>66</v>
      </c>
      <c r="W826" s="17">
        <f t="shared" si="382"/>
        <v>2.5555555555555554</v>
      </c>
      <c r="X826" s="17">
        <f t="shared" si="383"/>
        <v>7.333333333333333</v>
      </c>
      <c r="Y826" s="18">
        <f t="shared" si="384"/>
        <v>0.34848484848484851</v>
      </c>
      <c r="Z826">
        <v>51</v>
      </c>
      <c r="AA826">
        <v>58</v>
      </c>
      <c r="AB826" s="17">
        <f t="shared" si="385"/>
        <v>5.666666666666667</v>
      </c>
      <c r="AC826" s="17">
        <f t="shared" si="386"/>
        <v>6.4444444444444446</v>
      </c>
      <c r="AD826" s="18">
        <f t="shared" si="387"/>
        <v>0.87931034482758619</v>
      </c>
      <c r="AE826">
        <v>34</v>
      </c>
      <c r="AF826" s="17">
        <f t="shared" si="388"/>
        <v>3.7777777777777777</v>
      </c>
      <c r="AG826">
        <v>9</v>
      </c>
      <c r="AH826" s="17">
        <f t="shared" si="389"/>
        <v>1</v>
      </c>
      <c r="AI826">
        <v>25</v>
      </c>
      <c r="AJ826" s="17">
        <f t="shared" si="390"/>
        <v>2.7777777777777777</v>
      </c>
      <c r="AK826">
        <v>60</v>
      </c>
      <c r="AL826" s="17">
        <f t="shared" si="391"/>
        <v>6.666666666666667</v>
      </c>
      <c r="AM826">
        <v>19</v>
      </c>
      <c r="AN826" s="17">
        <f t="shared" si="392"/>
        <v>2.1111111111111112</v>
      </c>
      <c r="AO826">
        <v>1</v>
      </c>
      <c r="AQ826">
        <v>26</v>
      </c>
      <c r="AR826" s="17">
        <f t="shared" si="393"/>
        <v>2.8888888888888888</v>
      </c>
      <c r="AS826">
        <v>20</v>
      </c>
      <c r="AT826" s="17">
        <f t="shared" si="394"/>
        <v>2.2222222222222223</v>
      </c>
      <c r="BD826" s="65">
        <f t="shared" si="395"/>
        <v>61.531449407474923</v>
      </c>
      <c r="BE826" s="65">
        <f t="shared" si="396"/>
        <v>55.000000000000007</v>
      </c>
      <c r="BF826" s="66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27.24290622543397</v>
      </c>
      <c r="BG826" s="38">
        <f t="shared" si="397"/>
        <v>0.44</v>
      </c>
      <c r="BH826" s="38">
        <f t="shared" si="398"/>
        <v>0.38666666666666666</v>
      </c>
      <c r="BI826" s="67">
        <f>IFERROR(((AG826*(12000/5))/((F826*60+G826)*(SUMIFS(팀공격력!X:X,팀공격력!A:A,B826,팀공격력!B:B,D826)+SUMIFS(팀수비력!X:X,팀수비력!A:A,B826,팀수비력!B:B,D826))))*100,"")</f>
        <v>1.532306120711671</v>
      </c>
      <c r="BJ826" s="67">
        <f>IFERROR(((AI826*(12000/5))/((F826*60+G826)*(SUMIFS(팀공격력!V:V,팀공격력!A:A,B826,팀공격력!B:B,D826)+SUMIFS(팀수비력!W:W,팀수비력!A:A,B826,팀수비력!B:B,D826))))*100,"")</f>
        <v>7.7596675758410507</v>
      </c>
      <c r="BK826" s="67">
        <f>IFERROR(((AE826*(12000/5))/((F826*60+G826)*(SUMIFS(팀공격력!X:X,팀공격력!A:A,B826,팀공격력!B:B,D826)+SUMIFS(팀수비력!X:X,팀수비력!A:A,B826,팀수비력!B:B,D826))))*100,"")</f>
        <v>5.7887120115774238</v>
      </c>
      <c r="BL826" s="67">
        <f>IFERROR(100*AK826/(((((F826*60+G826)/(12000/5))*SUMIFS(팀공격력!P:P,팀공격력!A:A,B826,팀공격력!B:B,D826))-K826)),"")</f>
        <v>33.753375337533754</v>
      </c>
      <c r="BM826" s="67">
        <f>IFERROR(100*((AM826/E826*(2400))/((F826*60+G826)*SUMIFS(팀공격력!AR:AR,팀공격력!A:A,B826,팀공격력!B:B,D826))),"")</f>
        <v>2.9748468405682367</v>
      </c>
      <c r="BN826" s="67">
        <f>IFERROR((AO826*40)/(((F826*60+G826)/60)*(SUMIFS(팀수비력!Q:Q,팀수비력!A:A,B826,팀수비력!B:B,D826)-SUMIFS(팀수비력!N:N,팀수비력!A:A,B826,팀수비력!B:B,D826)))*100,"")</f>
        <v>0.26987002384976339</v>
      </c>
      <c r="BO826" s="67">
        <f t="shared" si="399"/>
        <v>12.901945216355696</v>
      </c>
      <c r="BT826" t="s">
        <v>89</v>
      </c>
      <c r="BV826" t="s">
        <v>90</v>
      </c>
      <c r="CF826">
        <v>2</v>
      </c>
      <c r="CG826">
        <v>7</v>
      </c>
    </row>
    <row r="827" spans="1:85" x14ac:dyDescent="0.4">
      <c r="A827" s="11" t="s">
        <v>85</v>
      </c>
      <c r="B827" t="s">
        <v>99</v>
      </c>
      <c r="C827" t="s">
        <v>115</v>
      </c>
      <c r="D827" s="46" t="s">
        <v>312</v>
      </c>
      <c r="E827">
        <v>2</v>
      </c>
      <c r="F827">
        <v>5</v>
      </c>
      <c r="G827" s="1">
        <v>48</v>
      </c>
      <c r="H827" s="16">
        <f t="shared" si="374"/>
        <v>696</v>
      </c>
      <c r="I827">
        <v>1</v>
      </c>
      <c r="J827" s="17">
        <f t="shared" si="375"/>
        <v>0.5</v>
      </c>
      <c r="K827">
        <v>0</v>
      </c>
      <c r="L827">
        <v>0</v>
      </c>
      <c r="M827" s="17">
        <f t="shared" si="376"/>
        <v>0</v>
      </c>
      <c r="N827" s="17">
        <f t="shared" si="377"/>
        <v>0</v>
      </c>
      <c r="O827" s="18" t="e">
        <f t="shared" si="378"/>
        <v>#DIV/0!</v>
      </c>
      <c r="P827">
        <v>0</v>
      </c>
      <c r="Q827">
        <v>0</v>
      </c>
      <c r="R827" s="17">
        <f t="shared" si="379"/>
        <v>0</v>
      </c>
      <c r="S827" s="17">
        <f t="shared" si="380"/>
        <v>0</v>
      </c>
      <c r="T827" s="18" t="e">
        <f t="shared" si="381"/>
        <v>#DIV/0!</v>
      </c>
      <c r="U827">
        <v>0</v>
      </c>
      <c r="V827">
        <v>0</v>
      </c>
      <c r="W827" s="17">
        <f t="shared" si="382"/>
        <v>0</v>
      </c>
      <c r="X827" s="17">
        <f t="shared" si="383"/>
        <v>0</v>
      </c>
      <c r="Y827" s="18" t="e">
        <f t="shared" si="384"/>
        <v>#DIV/0!</v>
      </c>
      <c r="Z827">
        <v>1</v>
      </c>
      <c r="AA827">
        <v>2</v>
      </c>
      <c r="AB827" s="17">
        <f t="shared" si="385"/>
        <v>0.5</v>
      </c>
      <c r="AC827" s="17">
        <f t="shared" si="386"/>
        <v>1</v>
      </c>
      <c r="AD827" s="18">
        <f t="shared" si="387"/>
        <v>0.5</v>
      </c>
      <c r="AE827">
        <v>1</v>
      </c>
      <c r="AF827" s="17">
        <f t="shared" si="388"/>
        <v>0.5</v>
      </c>
      <c r="AG827">
        <v>0</v>
      </c>
      <c r="AH827" s="17">
        <f t="shared" si="389"/>
        <v>0</v>
      </c>
      <c r="AI827">
        <v>1</v>
      </c>
      <c r="AJ827" s="17">
        <f t="shared" si="390"/>
        <v>0.5</v>
      </c>
      <c r="AK827">
        <v>1</v>
      </c>
      <c r="AL827" s="17">
        <f t="shared" si="391"/>
        <v>0.5</v>
      </c>
      <c r="AM827">
        <v>0</v>
      </c>
      <c r="AN827" s="17">
        <f t="shared" si="392"/>
        <v>0</v>
      </c>
      <c r="AO827">
        <v>0</v>
      </c>
      <c r="AQ827">
        <v>3</v>
      </c>
      <c r="AR827" s="17">
        <f t="shared" si="393"/>
        <v>1.5</v>
      </c>
      <c r="AS827">
        <v>0</v>
      </c>
      <c r="AT827" s="17">
        <f t="shared" si="394"/>
        <v>0</v>
      </c>
      <c r="BD827" s="65">
        <f t="shared" si="395"/>
        <v>56.81818181818182</v>
      </c>
      <c r="BE827" s="65" t="str">
        <f t="shared" si="396"/>
        <v/>
      </c>
      <c r="BF827" s="66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3.1245470212114865</v>
      </c>
      <c r="BG827" s="38" t="str">
        <f t="shared" si="397"/>
        <v/>
      </c>
      <c r="BH827" s="38" t="str">
        <f t="shared" si="398"/>
        <v/>
      </c>
      <c r="BI827" s="67">
        <f>IFERROR(((AG827*(12000/5))/((F827*60+G827)*(SUMIFS(팀공격력!X:X,팀공격력!A:A,B827,팀공격력!B:B,D827)+SUMIFS(팀수비력!X:X,팀수비력!A:A,B827,팀수비력!B:B,D827))))*100,"")</f>
        <v>0</v>
      </c>
      <c r="BJ827" s="67">
        <f>IFERROR(((AI827*(12000/5))/((F827*60+G827)*(SUMIFS(팀공격력!V:V,팀공격력!A:A,B827,팀공격력!B:B,D827)+SUMIFS(팀수비력!W:W,팀수비력!A:A,B827,팀수비력!B:B,D827))))*100,"")</f>
        <v>1.8489414810021265</v>
      </c>
      <c r="BK827" s="67">
        <f>IFERROR(((AE827*(12000/5))/((F827*60+G827)*(SUMIFS(팀공격력!X:X,팀공격력!A:A,B827,팀공격력!B:B,D827)+SUMIFS(팀수비력!X:X,팀수비력!A:A,B827,팀수비력!B:B,D827))))*100,"")</f>
        <v>1.0141987829614605</v>
      </c>
      <c r="BL827" s="67">
        <f>IFERROR(100*AK827/(((((F827*60+G827)/(12000/5))*SUMIFS(팀공격력!P:P,팀공격력!A:A,B827,팀공격력!B:B,D827))-K827)),"")</f>
        <v>2.3946360153256707</v>
      </c>
      <c r="BM827" s="67">
        <f>IFERROR(100*((AM827/E827*(2400))/((F827*60+G827)*SUMIFS(팀공격력!AR:AR,팀공격력!A:A,B827,팀공격력!B:B,D827))),"")</f>
        <v>0</v>
      </c>
      <c r="BN827" s="67">
        <f>IFERROR((AO827*40)/(((F827*60+G827)/60)*(SUMIFS(팀수비력!Q:Q,팀수비력!A:A,B827,팀수비력!B:B,D827)-SUMIFS(팀수비력!N:N,팀수비력!A:A,B827,팀수비력!B:B,D827)))*100,"")</f>
        <v>0</v>
      </c>
      <c r="BO827" s="67">
        <f t="shared" si="399"/>
        <v>77.319587628865975</v>
      </c>
      <c r="BT827" t="s">
        <v>89</v>
      </c>
      <c r="BV827" t="s">
        <v>93</v>
      </c>
      <c r="CF827">
        <v>0</v>
      </c>
      <c r="CG827">
        <v>2</v>
      </c>
    </row>
    <row r="828" spans="1:85" x14ac:dyDescent="0.4">
      <c r="A828" s="11" t="s">
        <v>85</v>
      </c>
      <c r="B828" t="s">
        <v>99</v>
      </c>
      <c r="C828" t="s">
        <v>117</v>
      </c>
      <c r="D828" s="46" t="s">
        <v>312</v>
      </c>
      <c r="E828">
        <v>3</v>
      </c>
      <c r="F828">
        <v>25</v>
      </c>
      <c r="G828" s="1">
        <v>9</v>
      </c>
      <c r="H828" s="16">
        <f t="shared" si="374"/>
        <v>4527</v>
      </c>
      <c r="I828">
        <v>34</v>
      </c>
      <c r="J828" s="17">
        <f t="shared" si="375"/>
        <v>11.333333333333334</v>
      </c>
      <c r="K828">
        <v>12</v>
      </c>
      <c r="L828">
        <v>25</v>
      </c>
      <c r="M828" s="17">
        <f t="shared" si="376"/>
        <v>4</v>
      </c>
      <c r="N828" s="17">
        <f t="shared" si="377"/>
        <v>8.3333333333333339</v>
      </c>
      <c r="O828" s="18">
        <f t="shared" si="378"/>
        <v>0.48</v>
      </c>
      <c r="P828">
        <v>3</v>
      </c>
      <c r="Q828">
        <v>7</v>
      </c>
      <c r="R828" s="17">
        <f t="shared" si="379"/>
        <v>1</v>
      </c>
      <c r="S828" s="17">
        <f t="shared" si="380"/>
        <v>2.3333333333333335</v>
      </c>
      <c r="T828" s="18">
        <f t="shared" si="381"/>
        <v>0.42857142857142855</v>
      </c>
      <c r="U828">
        <v>9</v>
      </c>
      <c r="V828">
        <v>18</v>
      </c>
      <c r="W828" s="17">
        <f t="shared" si="382"/>
        <v>3</v>
      </c>
      <c r="X828" s="17">
        <f t="shared" si="383"/>
        <v>6</v>
      </c>
      <c r="Y828" s="18">
        <f t="shared" si="384"/>
        <v>0.5</v>
      </c>
      <c r="Z828">
        <v>1</v>
      </c>
      <c r="AA828">
        <v>2</v>
      </c>
      <c r="AB828" s="17">
        <f t="shared" si="385"/>
        <v>0.33333333333333331</v>
      </c>
      <c r="AC828" s="17">
        <f t="shared" si="386"/>
        <v>0.66666666666666663</v>
      </c>
      <c r="AD828" s="18">
        <f t="shared" si="387"/>
        <v>0.5</v>
      </c>
      <c r="AE828">
        <v>1</v>
      </c>
      <c r="AF828" s="17">
        <f t="shared" si="388"/>
        <v>0.33333333333333331</v>
      </c>
      <c r="AG828">
        <v>0</v>
      </c>
      <c r="AH828" s="17">
        <f t="shared" si="389"/>
        <v>0</v>
      </c>
      <c r="AI828">
        <v>1</v>
      </c>
      <c r="AJ828" s="17">
        <f t="shared" si="390"/>
        <v>0.33333333333333331</v>
      </c>
      <c r="AK828">
        <v>3</v>
      </c>
      <c r="AL828" s="17">
        <f t="shared" si="391"/>
        <v>1</v>
      </c>
      <c r="AM828">
        <v>0</v>
      </c>
      <c r="AN828" s="17">
        <f t="shared" si="392"/>
        <v>0</v>
      </c>
      <c r="AO828">
        <v>0</v>
      </c>
      <c r="AQ828">
        <v>2</v>
      </c>
      <c r="AR828" s="17">
        <f t="shared" si="393"/>
        <v>0.66666666666666663</v>
      </c>
      <c r="AS828">
        <v>3</v>
      </c>
      <c r="AT828" s="17">
        <f t="shared" si="394"/>
        <v>1</v>
      </c>
      <c r="BD828" s="65">
        <f t="shared" si="395"/>
        <v>65.687789799072647</v>
      </c>
      <c r="BE828" s="65">
        <f t="shared" si="396"/>
        <v>66</v>
      </c>
      <c r="BF828" s="66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5.1777146555510472</v>
      </c>
      <c r="BG828" s="38">
        <f t="shared" si="397"/>
        <v>0.72</v>
      </c>
      <c r="BH828" s="38">
        <f t="shared" si="398"/>
        <v>0.08</v>
      </c>
      <c r="BI828" s="67">
        <f>IFERROR(((AG828*(12000/5))/((F828*60+G828)*(SUMIFS(팀공격력!X:X,팀공격력!A:A,B828,팀공격력!B:B,D828)+SUMIFS(팀수비력!X:X,팀수비력!A:A,B828,팀수비력!B:B,D828))))*100,"")</f>
        <v>0</v>
      </c>
      <c r="BJ828" s="67">
        <f>IFERROR(((AI828*(12000/5))/((F828*60+G828)*(SUMIFS(팀공격력!V:V,팀공격력!A:A,B828,팀공격력!B:B,D828)+SUMIFS(팀수비력!W:W,팀수비력!A:A,B828,팀수비력!B:B,D828))))*100,"")</f>
        <v>0.42639604730864145</v>
      </c>
      <c r="BK828" s="67">
        <f>IFERROR(((AE828*(12000/5))/((F828*60+G828)*(SUMIFS(팀공격력!X:X,팀공격력!A:A,B828,팀공격력!B:B,D828)+SUMIFS(팀수비력!X:X,팀수비력!A:A,B828,팀수비력!B:B,D828))))*100,"")</f>
        <v>0.23389077300900477</v>
      </c>
      <c r="BL828" s="67">
        <f>IFERROR(100*AK828/(((((F828*60+G828)/(12000/5))*SUMIFS(팀공격력!P:P,팀공격력!A:A,B828,팀공격력!B:B,D828))-K828)),"")</f>
        <v>1.7743080198722496</v>
      </c>
      <c r="BM828" s="67">
        <f>IFERROR(100*((AM828/E828*(2400))/((F828*60+G828)*SUMIFS(팀공격력!AR:AR,팀공격력!A:A,B828,팀공격력!B:B,D828))),"")</f>
        <v>0</v>
      </c>
      <c r="BN828" s="67">
        <f>IFERROR((AO828*40)/(((F828*60+G828)/60)*(SUMIFS(팀수비력!Q:Q,팀수비력!A:A,B828,팀수비력!B:B,D828)-SUMIFS(팀수비력!N:N,팀수비력!A:A,B828,팀수비력!B:B,D828)))*100,"")</f>
        <v>0</v>
      </c>
      <c r="BO828" s="67">
        <f t="shared" si="399"/>
        <v>7.1736011477761839</v>
      </c>
      <c r="BT828" t="s">
        <v>89</v>
      </c>
      <c r="BV828" t="s">
        <v>93</v>
      </c>
      <c r="CF828">
        <v>0</v>
      </c>
      <c r="CG828">
        <v>3</v>
      </c>
    </row>
    <row r="829" spans="1:85" x14ac:dyDescent="0.4">
      <c r="A829" s="11" t="s">
        <v>85</v>
      </c>
      <c r="B829" t="s">
        <v>99</v>
      </c>
      <c r="C829" t="s">
        <v>98</v>
      </c>
      <c r="D829" s="46" t="s">
        <v>312</v>
      </c>
      <c r="E829">
        <v>3</v>
      </c>
      <c r="F829">
        <v>1</v>
      </c>
      <c r="G829" s="1">
        <v>18</v>
      </c>
      <c r="H829" s="16">
        <f t="shared" si="374"/>
        <v>234</v>
      </c>
      <c r="I829">
        <v>0</v>
      </c>
      <c r="J829" s="17">
        <f t="shared" si="375"/>
        <v>0</v>
      </c>
      <c r="K829">
        <v>0</v>
      </c>
      <c r="L829">
        <v>0</v>
      </c>
      <c r="M829" s="17">
        <f t="shared" si="376"/>
        <v>0</v>
      </c>
      <c r="N829" s="17">
        <f t="shared" si="377"/>
        <v>0</v>
      </c>
      <c r="O829" s="18" t="e">
        <f t="shared" si="378"/>
        <v>#DIV/0!</v>
      </c>
      <c r="P829">
        <v>0</v>
      </c>
      <c r="Q829">
        <v>0</v>
      </c>
      <c r="R829" s="17">
        <f t="shared" si="379"/>
        <v>0</v>
      </c>
      <c r="S829" s="17">
        <f t="shared" si="380"/>
        <v>0</v>
      </c>
      <c r="T829" s="18" t="e">
        <f t="shared" si="381"/>
        <v>#DIV/0!</v>
      </c>
      <c r="U829">
        <v>0</v>
      </c>
      <c r="V829">
        <v>0</v>
      </c>
      <c r="W829" s="17">
        <f t="shared" si="382"/>
        <v>0</v>
      </c>
      <c r="X829" s="17">
        <f t="shared" si="383"/>
        <v>0</v>
      </c>
      <c r="Y829" s="18" t="e">
        <f t="shared" si="384"/>
        <v>#DIV/0!</v>
      </c>
      <c r="Z829">
        <v>0</v>
      </c>
      <c r="AA829">
        <v>0</v>
      </c>
      <c r="AB829" s="17">
        <f t="shared" si="385"/>
        <v>0</v>
      </c>
      <c r="AC829" s="17">
        <f t="shared" si="386"/>
        <v>0</v>
      </c>
      <c r="AD829" s="18" t="e">
        <f t="shared" si="387"/>
        <v>#DIV/0!</v>
      </c>
      <c r="AE829">
        <v>0</v>
      </c>
      <c r="AF829" s="17">
        <f t="shared" si="388"/>
        <v>0</v>
      </c>
      <c r="AG829">
        <v>0</v>
      </c>
      <c r="AH829" s="17">
        <f t="shared" si="389"/>
        <v>0</v>
      </c>
      <c r="AI829">
        <v>0</v>
      </c>
      <c r="AJ829" s="17">
        <f t="shared" si="390"/>
        <v>0</v>
      </c>
      <c r="AK829">
        <v>0</v>
      </c>
      <c r="AL829" s="17">
        <f t="shared" si="391"/>
        <v>0</v>
      </c>
      <c r="AM829">
        <v>0</v>
      </c>
      <c r="AN829" s="17">
        <f t="shared" si="392"/>
        <v>0</v>
      </c>
      <c r="AO829">
        <v>0</v>
      </c>
      <c r="AQ829">
        <v>0</v>
      </c>
      <c r="AR829" s="17">
        <f t="shared" si="393"/>
        <v>0</v>
      </c>
      <c r="AS829">
        <v>0</v>
      </c>
      <c r="AT829" s="17">
        <f t="shared" si="394"/>
        <v>0</v>
      </c>
      <c r="BD829" s="65" t="str">
        <f t="shared" si="395"/>
        <v/>
      </c>
      <c r="BE829" s="65" t="str">
        <f t="shared" si="396"/>
        <v/>
      </c>
      <c r="BF829" s="66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0</v>
      </c>
      <c r="BG829" s="38" t="str">
        <f t="shared" si="397"/>
        <v/>
      </c>
      <c r="BH829" s="38" t="str">
        <f t="shared" si="398"/>
        <v/>
      </c>
      <c r="BI829" s="67">
        <f>IFERROR(((AG829*(12000/5))/((F829*60+G829)*(SUMIFS(팀공격력!X:X,팀공격력!A:A,B829,팀공격력!B:B,D829)+SUMIFS(팀수비력!X:X,팀수비력!A:A,B829,팀수비력!B:B,D829))))*100,"")</f>
        <v>0</v>
      </c>
      <c r="BJ829" s="67">
        <f>IFERROR(((AI829*(12000/5))/((F829*60+G829)*(SUMIFS(팀공격력!V:V,팀공격력!A:A,B829,팀공격력!B:B,D829)+SUMIFS(팀수비력!W:W,팀수비력!A:A,B829,팀수비력!B:B,D829))))*100,"")</f>
        <v>0</v>
      </c>
      <c r="BK829" s="67">
        <f>IFERROR(((AE829*(12000/5))/((F829*60+G829)*(SUMIFS(팀공격력!X:X,팀공격력!A:A,B829,팀공격력!B:B,D829)+SUMIFS(팀수비력!X:X,팀수비력!A:A,B829,팀수비력!B:B,D829))))*100,"")</f>
        <v>0</v>
      </c>
      <c r="BL829" s="67">
        <f>IFERROR(100*AK829/(((((F829*60+G829)/(12000/5))*SUMIFS(팀공격력!P:P,팀공격력!A:A,B829,팀공격력!B:B,D829))-K829)),"")</f>
        <v>0</v>
      </c>
      <c r="BM829" s="67">
        <f>IFERROR(100*((AM829/E829*(2400))/((F829*60+G829)*SUMIFS(팀공격력!AR:AR,팀공격력!A:A,B829,팀공격력!B:B,D829))),"")</f>
        <v>0</v>
      </c>
      <c r="BN829" s="67">
        <f>IFERROR((AO829*40)/(((F829*60+G829)/60)*(SUMIFS(팀수비력!Q:Q,팀수비력!A:A,B829,팀수비력!B:B,D829)-SUMIFS(팀수비력!N:N,팀수비력!A:A,B829,팀수비력!B:B,D829)))*100,"")</f>
        <v>0</v>
      </c>
      <c r="BO829" s="67" t="str">
        <f t="shared" si="399"/>
        <v/>
      </c>
      <c r="BT829" t="s">
        <v>89</v>
      </c>
      <c r="BV829" t="s">
        <v>90</v>
      </c>
      <c r="CF829">
        <v>1</v>
      </c>
      <c r="CG829">
        <v>2</v>
      </c>
    </row>
    <row r="830" spans="1:85" x14ac:dyDescent="0.4">
      <c r="A830" s="11" t="s">
        <v>85</v>
      </c>
      <c r="B830" t="s">
        <v>99</v>
      </c>
      <c r="C830" t="s">
        <v>308</v>
      </c>
      <c r="D830" s="46" t="s">
        <v>312</v>
      </c>
      <c r="E830">
        <v>2</v>
      </c>
      <c r="F830">
        <v>2</v>
      </c>
      <c r="G830" s="1">
        <v>55</v>
      </c>
      <c r="H830" s="16">
        <f t="shared" si="374"/>
        <v>350</v>
      </c>
      <c r="I830">
        <v>0</v>
      </c>
      <c r="J830" s="17">
        <f t="shared" si="375"/>
        <v>0</v>
      </c>
      <c r="K830">
        <v>0</v>
      </c>
      <c r="L830">
        <v>1</v>
      </c>
      <c r="M830" s="17">
        <f t="shared" si="376"/>
        <v>0</v>
      </c>
      <c r="N830" s="17">
        <f t="shared" si="377"/>
        <v>0.5</v>
      </c>
      <c r="O830" s="18">
        <f t="shared" si="378"/>
        <v>0</v>
      </c>
      <c r="P830">
        <v>0</v>
      </c>
      <c r="Q830">
        <v>1</v>
      </c>
      <c r="R830" s="17">
        <f t="shared" si="379"/>
        <v>0</v>
      </c>
      <c r="S830" s="17">
        <f t="shared" si="380"/>
        <v>0.5</v>
      </c>
      <c r="T830" s="18">
        <f t="shared" si="381"/>
        <v>0</v>
      </c>
      <c r="U830">
        <v>0</v>
      </c>
      <c r="V830">
        <v>0</v>
      </c>
      <c r="W830" s="17">
        <f t="shared" si="382"/>
        <v>0</v>
      </c>
      <c r="X830" s="17">
        <f t="shared" si="383"/>
        <v>0</v>
      </c>
      <c r="Y830" s="18" t="e">
        <f t="shared" si="384"/>
        <v>#DIV/0!</v>
      </c>
      <c r="Z830">
        <v>0</v>
      </c>
      <c r="AA830">
        <v>0</v>
      </c>
      <c r="AB830" s="17">
        <f t="shared" si="385"/>
        <v>0</v>
      </c>
      <c r="AC830" s="17">
        <f t="shared" si="386"/>
        <v>0</v>
      </c>
      <c r="AD830" s="18" t="e">
        <f t="shared" si="387"/>
        <v>#DIV/0!</v>
      </c>
      <c r="AE830">
        <v>0</v>
      </c>
      <c r="AF830" s="17">
        <f t="shared" si="388"/>
        <v>0</v>
      </c>
      <c r="AG830">
        <v>0</v>
      </c>
      <c r="AH830" s="17">
        <f t="shared" si="389"/>
        <v>0</v>
      </c>
      <c r="AI830">
        <v>0</v>
      </c>
      <c r="AJ830" s="17">
        <f t="shared" si="390"/>
        <v>0</v>
      </c>
      <c r="AK830">
        <v>0</v>
      </c>
      <c r="AL830" s="17">
        <f t="shared" si="391"/>
        <v>0</v>
      </c>
      <c r="AM830">
        <v>0</v>
      </c>
      <c r="AN830" s="17">
        <f t="shared" si="392"/>
        <v>0</v>
      </c>
      <c r="AO830">
        <v>0</v>
      </c>
      <c r="AQ830">
        <v>0</v>
      </c>
      <c r="AR830" s="17">
        <f t="shared" si="393"/>
        <v>0</v>
      </c>
      <c r="AS830">
        <v>0</v>
      </c>
      <c r="AT830" s="17">
        <f t="shared" si="394"/>
        <v>0</v>
      </c>
      <c r="BD830" s="65">
        <f t="shared" si="395"/>
        <v>0</v>
      </c>
      <c r="BE830" s="65">
        <f t="shared" si="396"/>
        <v>0</v>
      </c>
      <c r="BF830" s="66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1.6013878694868886</v>
      </c>
      <c r="BG830" s="38">
        <f t="shared" si="397"/>
        <v>0</v>
      </c>
      <c r="BH830" s="38">
        <f t="shared" si="398"/>
        <v>0</v>
      </c>
      <c r="BI830" s="67">
        <f>IFERROR(((AG830*(12000/5))/((F830*60+G830)*(SUMIFS(팀공격력!X:X,팀공격력!A:A,B830,팀공격력!B:B,D830)+SUMIFS(팀수비력!X:X,팀수비력!A:A,B830,팀수비력!B:B,D830))))*100,"")</f>
        <v>0</v>
      </c>
      <c r="BJ830" s="67">
        <f>IFERROR(((AI830*(12000/5))/((F830*60+G830)*(SUMIFS(팀공격력!V:V,팀공격력!A:A,B830,팀공격력!B:B,D830)+SUMIFS(팀수비력!W:W,팀수비력!A:A,B830,팀수비력!B:B,D830))))*100,"")</f>
        <v>0</v>
      </c>
      <c r="BK830" s="67">
        <f>IFERROR(((AE830*(12000/5))/((F830*60+G830)*(SUMIFS(팀공격력!X:X,팀공격력!A:A,B830,팀공격력!B:B,D830)+SUMIFS(팀수비력!X:X,팀수비력!A:A,B830,팀수비력!B:B,D830))))*100,"")</f>
        <v>0</v>
      </c>
      <c r="BL830" s="67">
        <f>IFERROR(100*AK830/(((((F830*60+G830)/(12000/5))*SUMIFS(팀공격력!P:P,팀공격력!A:A,B830,팀공격력!B:B,D830))-K830)),"")</f>
        <v>0</v>
      </c>
      <c r="BM830" s="67">
        <f>IFERROR(100*((AM830/E830*(2400))/((F830*60+G830)*SUMIFS(팀공격력!AR:AR,팀공격력!A:A,B830,팀공격력!B:B,D830))),"")</f>
        <v>0</v>
      </c>
      <c r="BN830" s="67">
        <f>IFERROR((AO830*40)/(((F830*60+G830)/60)*(SUMIFS(팀수비력!Q:Q,팀수비력!A:A,B830,팀수비력!B:B,D830)-SUMIFS(팀수비력!N:N,팀수비력!A:A,B830,팀수비력!B:B,D830)))*100,"")</f>
        <v>0</v>
      </c>
      <c r="BO830" s="67">
        <f t="shared" si="399"/>
        <v>0</v>
      </c>
      <c r="BT830" t="s">
        <v>89</v>
      </c>
      <c r="BV830" t="s">
        <v>102</v>
      </c>
      <c r="CF830">
        <v>0</v>
      </c>
      <c r="CG830">
        <v>2</v>
      </c>
    </row>
    <row r="831" spans="1:85" x14ac:dyDescent="0.4">
      <c r="A831" s="11" t="s">
        <v>85</v>
      </c>
      <c r="B831" t="s">
        <v>99</v>
      </c>
      <c r="C831" t="s">
        <v>119</v>
      </c>
      <c r="D831" s="46" t="s">
        <v>312</v>
      </c>
      <c r="E831">
        <v>6</v>
      </c>
      <c r="F831">
        <v>20</v>
      </c>
      <c r="G831" s="1">
        <v>53</v>
      </c>
      <c r="H831" s="16">
        <f t="shared" si="374"/>
        <v>7518</v>
      </c>
      <c r="I831">
        <v>29</v>
      </c>
      <c r="J831" s="17">
        <f t="shared" si="375"/>
        <v>4.833333333333333</v>
      </c>
      <c r="K831">
        <v>11</v>
      </c>
      <c r="L831">
        <v>30</v>
      </c>
      <c r="M831" s="17">
        <f t="shared" si="376"/>
        <v>1.8333333333333333</v>
      </c>
      <c r="N831" s="17">
        <f t="shared" si="377"/>
        <v>5</v>
      </c>
      <c r="O831" s="18">
        <f t="shared" si="378"/>
        <v>0.36666666666666664</v>
      </c>
      <c r="P831">
        <v>6</v>
      </c>
      <c r="Q831">
        <v>13</v>
      </c>
      <c r="R831" s="17">
        <f t="shared" si="379"/>
        <v>1</v>
      </c>
      <c r="S831" s="17">
        <f t="shared" si="380"/>
        <v>2.1666666666666665</v>
      </c>
      <c r="T831" s="18">
        <f t="shared" si="381"/>
        <v>0.46153846153846156</v>
      </c>
      <c r="U831">
        <v>5</v>
      </c>
      <c r="V831">
        <v>17</v>
      </c>
      <c r="W831" s="17">
        <f t="shared" si="382"/>
        <v>0.83333333333333337</v>
      </c>
      <c r="X831" s="17">
        <f t="shared" si="383"/>
        <v>2.8333333333333335</v>
      </c>
      <c r="Y831" s="18">
        <f t="shared" si="384"/>
        <v>0.29411764705882354</v>
      </c>
      <c r="Z831">
        <v>2</v>
      </c>
      <c r="AA831">
        <v>4</v>
      </c>
      <c r="AB831" s="17">
        <f t="shared" si="385"/>
        <v>0.33333333333333331</v>
      </c>
      <c r="AC831" s="17">
        <f t="shared" si="386"/>
        <v>0.66666666666666663</v>
      </c>
      <c r="AD831" s="18">
        <f t="shared" si="387"/>
        <v>0.5</v>
      </c>
      <c r="AE831">
        <v>14</v>
      </c>
      <c r="AF831" s="17">
        <f t="shared" si="388"/>
        <v>2.3333333333333335</v>
      </c>
      <c r="AG831">
        <v>7</v>
      </c>
      <c r="AH831" s="17">
        <f t="shared" si="389"/>
        <v>1.1666666666666667</v>
      </c>
      <c r="AI831">
        <v>7</v>
      </c>
      <c r="AJ831" s="17">
        <f t="shared" si="390"/>
        <v>1.1666666666666667</v>
      </c>
      <c r="AK831">
        <v>7</v>
      </c>
      <c r="AL831" s="17">
        <f t="shared" si="391"/>
        <v>1.1666666666666667</v>
      </c>
      <c r="AM831">
        <v>1</v>
      </c>
      <c r="AN831" s="17">
        <f t="shared" si="392"/>
        <v>0.16666666666666666</v>
      </c>
      <c r="AO831">
        <v>0</v>
      </c>
      <c r="AQ831">
        <v>2</v>
      </c>
      <c r="AR831" s="17">
        <f t="shared" si="393"/>
        <v>0.33333333333333331</v>
      </c>
      <c r="AS831">
        <v>13</v>
      </c>
      <c r="AT831" s="17">
        <f t="shared" si="394"/>
        <v>2.1666666666666665</v>
      </c>
      <c r="BD831" s="65">
        <f t="shared" si="395"/>
        <v>45.65491183879093</v>
      </c>
      <c r="BE831" s="65">
        <f t="shared" si="396"/>
        <v>45</v>
      </c>
      <c r="BF831" s="66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7.5506779991448845</v>
      </c>
      <c r="BG831" s="38">
        <f t="shared" si="397"/>
        <v>0.56666666666666665</v>
      </c>
      <c r="BH831" s="38">
        <f t="shared" si="398"/>
        <v>0.13333333333333333</v>
      </c>
      <c r="BI831" s="67">
        <f>IFERROR(((AG831*(12000/5))/((F831*60+G831)*(SUMIFS(팀공격력!X:X,팀공격력!A:A,B831,팀공격력!B:B,D831)+SUMIFS(팀수비력!X:X,팀수비력!A:A,B831,팀수비력!B:B,D831))))*100,"")</f>
        <v>1.9717384160368057</v>
      </c>
      <c r="BJ831" s="67">
        <f>IFERROR(((AI831*(12000/5))/((F831*60+G831)*(SUMIFS(팀공격력!V:V,팀공격력!A:A,B831,팀공격력!B:B,D831)+SUMIFS(팀수비력!W:W,팀수비력!A:A,B831,팀수비력!B:B,D831))))*100,"")</f>
        <v>3.594590141836536</v>
      </c>
      <c r="BK831" s="67">
        <f>IFERROR(((AE831*(12000/5))/((F831*60+G831)*(SUMIFS(팀공격력!X:X,팀공격력!A:A,B831,팀공격력!B:B,D831)+SUMIFS(팀수비력!X:X,팀수비력!A:A,B831,팀수비력!B:B,D831))))*100,"")</f>
        <v>3.9434768320736113</v>
      </c>
      <c r="BL831" s="67">
        <f>IFERROR(100*AK831/(((((F831*60+G831)/(12000/5))*SUMIFS(팀공격력!P:P,팀공격력!A:A,B831,팀공격력!B:B,D831))-K831)),"")</f>
        <v>5.0229621125143504</v>
      </c>
      <c r="BM831" s="67">
        <f>IFERROR(100*((AM831/E831*(2400))/((F831*60+G831)*SUMIFS(팀공격력!AR:AR,팀공격력!A:A,B831,팀공격력!B:B,D831))),"")</f>
        <v>0.38855320917154329</v>
      </c>
      <c r="BN831" s="67">
        <f>IFERROR((AO831*40)/(((F831*60+G831)/60)*(SUMIFS(팀수비력!Q:Q,팀수비력!A:A,B831,팀수비력!B:B,D831)-SUMIFS(팀수비력!N:N,팀수비력!A:A,B831,팀수비력!B:B,D831)))*100,"")</f>
        <v>0</v>
      </c>
      <c r="BO831" s="67">
        <f t="shared" si="399"/>
        <v>5.9241706161137433</v>
      </c>
      <c r="BT831" t="s">
        <v>89</v>
      </c>
      <c r="BV831" t="s">
        <v>93</v>
      </c>
      <c r="CF831">
        <v>2</v>
      </c>
      <c r="CG831">
        <v>4</v>
      </c>
    </row>
    <row r="832" spans="1:85" x14ac:dyDescent="0.4">
      <c r="A832" s="11" t="s">
        <v>85</v>
      </c>
      <c r="B832" t="s">
        <v>99</v>
      </c>
      <c r="C832" t="s">
        <v>120</v>
      </c>
      <c r="D832" s="46" t="s">
        <v>312</v>
      </c>
      <c r="E832">
        <v>9</v>
      </c>
      <c r="F832">
        <v>29</v>
      </c>
      <c r="G832" s="1">
        <v>12</v>
      </c>
      <c r="H832" s="16">
        <f t="shared" si="374"/>
        <v>15768</v>
      </c>
      <c r="I832">
        <v>159</v>
      </c>
      <c r="J832" s="17">
        <f t="shared" si="375"/>
        <v>17.666666666666668</v>
      </c>
      <c r="K832">
        <v>60</v>
      </c>
      <c r="L832">
        <v>126</v>
      </c>
      <c r="M832" s="17">
        <f t="shared" si="376"/>
        <v>6.666666666666667</v>
      </c>
      <c r="N832" s="17">
        <f t="shared" si="377"/>
        <v>14</v>
      </c>
      <c r="O832" s="18">
        <f t="shared" si="378"/>
        <v>0.47619047619047616</v>
      </c>
      <c r="P832">
        <v>49</v>
      </c>
      <c r="Q832">
        <v>90</v>
      </c>
      <c r="R832" s="17">
        <f t="shared" si="379"/>
        <v>5.4444444444444446</v>
      </c>
      <c r="S832" s="17">
        <f t="shared" si="380"/>
        <v>10</v>
      </c>
      <c r="T832" s="18">
        <f t="shared" si="381"/>
        <v>0.5444444444444444</v>
      </c>
      <c r="U832">
        <v>11</v>
      </c>
      <c r="V832">
        <v>36</v>
      </c>
      <c r="W832" s="17">
        <f t="shared" si="382"/>
        <v>1.2222222222222223</v>
      </c>
      <c r="X832" s="17">
        <f t="shared" si="383"/>
        <v>4</v>
      </c>
      <c r="Y832" s="18">
        <f t="shared" si="384"/>
        <v>0.30555555555555558</v>
      </c>
      <c r="Z832">
        <v>28</v>
      </c>
      <c r="AA832">
        <v>38</v>
      </c>
      <c r="AB832" s="17">
        <f t="shared" si="385"/>
        <v>3.1111111111111112</v>
      </c>
      <c r="AC832" s="17">
        <f t="shared" si="386"/>
        <v>4.2222222222222223</v>
      </c>
      <c r="AD832" s="18">
        <f t="shared" si="387"/>
        <v>0.73684210526315785</v>
      </c>
      <c r="AE832">
        <v>83</v>
      </c>
      <c r="AF832" s="17">
        <f t="shared" si="388"/>
        <v>9.2222222222222214</v>
      </c>
      <c r="AG832">
        <v>27</v>
      </c>
      <c r="AH832" s="17">
        <f t="shared" si="389"/>
        <v>3</v>
      </c>
      <c r="AI832">
        <v>56</v>
      </c>
      <c r="AJ832" s="17">
        <f t="shared" si="390"/>
        <v>6.2222222222222223</v>
      </c>
      <c r="AK832">
        <v>26</v>
      </c>
      <c r="AL832" s="17">
        <f t="shared" si="391"/>
        <v>2.8888888888888888</v>
      </c>
      <c r="AM832">
        <v>16</v>
      </c>
      <c r="AN832" s="17">
        <f t="shared" si="392"/>
        <v>1.7777777777777777</v>
      </c>
      <c r="AO832">
        <v>7</v>
      </c>
      <c r="AQ832">
        <v>28</v>
      </c>
      <c r="AR832" s="17">
        <f t="shared" si="393"/>
        <v>3.1111111111111112</v>
      </c>
      <c r="AS832">
        <v>29</v>
      </c>
      <c r="AT832" s="17">
        <f t="shared" si="394"/>
        <v>3.2222222222222223</v>
      </c>
      <c r="BD832" s="65">
        <f t="shared" si="395"/>
        <v>55.703475336322875</v>
      </c>
      <c r="BE832" s="65">
        <f t="shared" si="396"/>
        <v>51.984126984126988</v>
      </c>
      <c r="BF832" s="66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27.30768492510861</v>
      </c>
      <c r="BG832" s="38">
        <f t="shared" si="397"/>
        <v>0.2857142857142857</v>
      </c>
      <c r="BH832" s="38">
        <f t="shared" si="398"/>
        <v>0.30158730158730157</v>
      </c>
      <c r="BI832" s="67">
        <f>IFERROR(((AG832*(12000/5))/((F832*60+G832)*(SUMIFS(팀공격력!X:X,팀공격력!A:A,B832,팀공격력!B:B,D832)+SUMIFS(팀수비력!X:X,팀수비력!A:A,B832,팀수비력!B:B,D832))))*100,"")</f>
        <v>5.439161966156326</v>
      </c>
      <c r="BJ832" s="67">
        <f>IFERROR(((AI832*(12000/5))/((F832*60+G832)*(SUMIFS(팀공격력!V:V,팀공격력!A:A,B832,팀공격력!B:B,D832)+SUMIFS(팀수비력!W:W,팀수비력!A:A,B832,팀수비력!B:B,D832))))*100,"")</f>
        <v>20.566307980462007</v>
      </c>
      <c r="BK832" s="67">
        <f>IFERROR(((AE832*(12000/5))/((F832*60+G832)*(SUMIFS(팀공격력!X:X,팀공격력!A:A,B832,팀공격력!B:B,D832)+SUMIFS(팀수비력!X:X,팀수비력!A:A,B832,팀수비력!B:B,D832))))*100,"")</f>
        <v>16.720386784850927</v>
      </c>
      <c r="BL832" s="67">
        <f>IFERROR(100*AK832/(((((F832*60+G832)/(12000/5))*SUMIFS(팀공격력!P:P,팀공격력!A:A,B832,팀공격력!B:B,D832))-K832)),"")</f>
        <v>17.305644302449412</v>
      </c>
      <c r="BM832" s="67">
        <f>IFERROR(100*((AM832/E832*(2400))/((F832*60+G832)*SUMIFS(팀공격력!AR:AR,팀공격력!A:A,B832,팀공격력!B:B,D832))),"")</f>
        <v>2.9641228072568868</v>
      </c>
      <c r="BN832" s="67">
        <f>IFERROR((AO832*40)/(((F832*60+G832)/60)*(SUMIFS(팀수비력!Q:Q,팀수비력!A:A,B832,팀수비력!B:B,D832)-SUMIFS(팀수비력!N:N,팀수비력!A:A,B832,팀수비력!B:B,D832)))*100,"")</f>
        <v>2.2352077146597695</v>
      </c>
      <c r="BO832" s="67">
        <f t="shared" si="399"/>
        <v>16.401124648547331</v>
      </c>
      <c r="BT832" t="s">
        <v>96</v>
      </c>
      <c r="BV832" t="s">
        <v>102</v>
      </c>
      <c r="CF832">
        <v>2</v>
      </c>
      <c r="CG832">
        <v>7</v>
      </c>
    </row>
    <row r="833" spans="1:85" x14ac:dyDescent="0.4">
      <c r="A833" s="11" t="s">
        <v>85</v>
      </c>
      <c r="B833" t="s">
        <v>99</v>
      </c>
      <c r="C833" t="s">
        <v>121</v>
      </c>
      <c r="D833" s="46" t="s">
        <v>312</v>
      </c>
      <c r="E833">
        <v>9</v>
      </c>
      <c r="F833">
        <v>24</v>
      </c>
      <c r="G833" s="1">
        <v>3</v>
      </c>
      <c r="H833" s="16">
        <f t="shared" si="374"/>
        <v>12987</v>
      </c>
      <c r="I833">
        <v>71</v>
      </c>
      <c r="J833" s="17">
        <f t="shared" si="375"/>
        <v>7.8888888888888893</v>
      </c>
      <c r="K833">
        <v>24</v>
      </c>
      <c r="L833">
        <v>63</v>
      </c>
      <c r="M833" s="17">
        <f t="shared" si="376"/>
        <v>2.6666666666666665</v>
      </c>
      <c r="N833" s="17">
        <f t="shared" si="377"/>
        <v>7</v>
      </c>
      <c r="O833" s="18">
        <f t="shared" si="378"/>
        <v>0.38095238095238093</v>
      </c>
      <c r="P833">
        <v>15</v>
      </c>
      <c r="Q833">
        <v>25</v>
      </c>
      <c r="R833" s="17">
        <f t="shared" si="379"/>
        <v>1.6666666666666667</v>
      </c>
      <c r="S833" s="17">
        <f t="shared" si="380"/>
        <v>2.7777777777777777</v>
      </c>
      <c r="T833" s="18">
        <f t="shared" si="381"/>
        <v>0.6</v>
      </c>
      <c r="U833">
        <v>9</v>
      </c>
      <c r="V833">
        <v>38</v>
      </c>
      <c r="W833" s="17">
        <f t="shared" si="382"/>
        <v>1</v>
      </c>
      <c r="X833" s="17">
        <f t="shared" si="383"/>
        <v>4.2222222222222223</v>
      </c>
      <c r="Y833" s="18">
        <f t="shared" si="384"/>
        <v>0.23684210526315788</v>
      </c>
      <c r="Z833">
        <v>14</v>
      </c>
      <c r="AA833">
        <v>16</v>
      </c>
      <c r="AB833" s="17">
        <f t="shared" si="385"/>
        <v>1.5555555555555556</v>
      </c>
      <c r="AC833" s="17">
        <f t="shared" si="386"/>
        <v>1.7777777777777777</v>
      </c>
      <c r="AD833" s="18">
        <f t="shared" si="387"/>
        <v>0.875</v>
      </c>
      <c r="AE833">
        <v>19</v>
      </c>
      <c r="AF833" s="17">
        <f t="shared" si="388"/>
        <v>2.1111111111111112</v>
      </c>
      <c r="AG833">
        <v>4</v>
      </c>
      <c r="AH833" s="17">
        <f t="shared" si="389"/>
        <v>0.44444444444444442</v>
      </c>
      <c r="AI833">
        <v>15</v>
      </c>
      <c r="AJ833" s="17">
        <f t="shared" si="390"/>
        <v>1.6666666666666667</v>
      </c>
      <c r="AK833">
        <v>36</v>
      </c>
      <c r="AL833" s="17">
        <f t="shared" si="391"/>
        <v>4</v>
      </c>
      <c r="AM833">
        <v>8</v>
      </c>
      <c r="AN833" s="17">
        <f t="shared" si="392"/>
        <v>0.88888888888888884</v>
      </c>
      <c r="AO833">
        <v>0</v>
      </c>
      <c r="AQ833">
        <v>8</v>
      </c>
      <c r="AR833" s="17">
        <f t="shared" si="393"/>
        <v>0.88888888888888884</v>
      </c>
      <c r="AS833">
        <v>21</v>
      </c>
      <c r="AT833" s="17">
        <f t="shared" si="394"/>
        <v>2.3333333333333335</v>
      </c>
      <c r="BD833" s="65">
        <f t="shared" si="395"/>
        <v>50.685322672758417</v>
      </c>
      <c r="BE833" s="65">
        <f t="shared" si="396"/>
        <v>45.238095238095241</v>
      </c>
      <c r="BF833" s="66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15.156031970604603</v>
      </c>
      <c r="BG833" s="38">
        <f t="shared" si="397"/>
        <v>0.60317460317460314</v>
      </c>
      <c r="BH833" s="38">
        <f t="shared" si="398"/>
        <v>0.25396825396825395</v>
      </c>
      <c r="BI833" s="67">
        <f>IFERROR(((AG833*(12000/5))/((F833*60+G833)*(SUMIFS(팀공격력!X:X,팀공격력!A:A,B833,팀공격력!B:B,D833)+SUMIFS(팀수비력!X:X,팀수비력!A:A,B833,팀수비력!B:B,D833))))*100,"")</f>
        <v>0.97835391953039008</v>
      </c>
      <c r="BJ833" s="67">
        <f>IFERROR(((AI833*(12000/5))/((F833*60+G833)*(SUMIFS(팀공격력!V:V,팀공격력!A:A,B833,팀공격력!B:B,D833)+SUMIFS(팀수비력!W:W,팀수비력!A:A,B833,팀수비력!B:B,D833))))*100,"")</f>
        <v>6.6884785383444907</v>
      </c>
      <c r="BK833" s="67">
        <f>IFERROR(((AE833*(12000/5))/((F833*60+G833)*(SUMIFS(팀공격력!X:X,팀공격력!A:A,B833,팀공격력!B:B,D833)+SUMIFS(팀수비력!X:X,팀수비력!A:A,B833,팀수비력!B:B,D833))))*100,"")</f>
        <v>4.6471811177693532</v>
      </c>
      <c r="BL833" s="67">
        <f>IFERROR(100*AK833/(((((F833*60+G833)/(12000/5))*SUMIFS(팀공격력!P:P,팀공격력!A:A,B833,팀공격력!B:B,D833))-K833)),"")</f>
        <v>24.135156878519712</v>
      </c>
      <c r="BM833" s="67">
        <f>IFERROR(100*((AM833/E833*(2400))/((F833*60+G833)*SUMIFS(팀공격력!AR:AR,팀공격력!A:A,B833,팀공격력!B:B,D833))),"")</f>
        <v>1.7994259037817275</v>
      </c>
      <c r="BN833" s="67">
        <f>IFERROR((AO833*40)/(((F833*60+G833)/60)*(SUMIFS(팀수비력!Q:Q,팀수비력!A:A,B833,팀수비력!B:B,D833)-SUMIFS(팀수비력!N:N,팀수비력!A:A,B833,팀수비력!B:B,D833)))*100,"")</f>
        <v>0</v>
      </c>
      <c r="BO833" s="67">
        <f t="shared" si="399"/>
        <v>10.251153254741158</v>
      </c>
      <c r="BT833" t="s">
        <v>89</v>
      </c>
      <c r="BV833" t="s">
        <v>90</v>
      </c>
      <c r="CF833">
        <v>2</v>
      </c>
      <c r="CG833">
        <v>7</v>
      </c>
    </row>
    <row r="834" spans="1:85" x14ac:dyDescent="0.4">
      <c r="A834" s="11" t="s">
        <v>85</v>
      </c>
      <c r="B834" t="s">
        <v>99</v>
      </c>
      <c r="C834" t="s">
        <v>122</v>
      </c>
      <c r="D834" s="46" t="s">
        <v>312</v>
      </c>
      <c r="E834">
        <v>5</v>
      </c>
      <c r="F834">
        <v>1</v>
      </c>
      <c r="G834" s="1">
        <v>15</v>
      </c>
      <c r="H834" s="16">
        <f t="shared" ref="H834:H897" si="400">(F834*60+G834)*E834</f>
        <v>375</v>
      </c>
      <c r="I834">
        <v>0</v>
      </c>
      <c r="J834" s="17">
        <f t="shared" ref="J834:J897" si="401">I834/$E834</f>
        <v>0</v>
      </c>
      <c r="K834">
        <v>0</v>
      </c>
      <c r="L834">
        <v>0</v>
      </c>
      <c r="M834" s="17">
        <f t="shared" ref="M834:M897" si="402">K834/$E834</f>
        <v>0</v>
      </c>
      <c r="N834" s="17">
        <f t="shared" ref="N834:N897" si="403">L834/$E834</f>
        <v>0</v>
      </c>
      <c r="O834" s="18" t="e">
        <f t="shared" ref="O834:O897" si="404">K834/L834</f>
        <v>#DIV/0!</v>
      </c>
      <c r="P834">
        <v>0</v>
      </c>
      <c r="Q834">
        <v>0</v>
      </c>
      <c r="R834" s="17">
        <f t="shared" ref="R834:R897" si="405">P834/$E834</f>
        <v>0</v>
      </c>
      <c r="S834" s="17">
        <f t="shared" ref="S834:S897" si="406">Q834/$E834</f>
        <v>0</v>
      </c>
      <c r="T834" s="18" t="e">
        <f t="shared" ref="T834:T897" si="407">P834/Q834</f>
        <v>#DIV/0!</v>
      </c>
      <c r="U834">
        <v>0</v>
      </c>
      <c r="V834">
        <v>0</v>
      </c>
      <c r="W834" s="17">
        <f t="shared" ref="W834:W897" si="408">U834/$E834</f>
        <v>0</v>
      </c>
      <c r="X834" s="17">
        <f t="shared" ref="X834:X897" si="409">V834/$E834</f>
        <v>0</v>
      </c>
      <c r="Y834" s="18" t="e">
        <f t="shared" ref="Y834:Y897" si="410">U834/V834</f>
        <v>#DIV/0!</v>
      </c>
      <c r="Z834">
        <v>0</v>
      </c>
      <c r="AA834">
        <v>0</v>
      </c>
      <c r="AB834" s="17">
        <f t="shared" ref="AB834:AB897" si="411">Z834/$E834</f>
        <v>0</v>
      </c>
      <c r="AC834" s="17">
        <f t="shared" ref="AC834:AC897" si="412">AA834/$E834</f>
        <v>0</v>
      </c>
      <c r="AD834" s="18" t="e">
        <f t="shared" ref="AD834:AD897" si="413">Z834/AA834</f>
        <v>#DIV/0!</v>
      </c>
      <c r="AE834">
        <v>0</v>
      </c>
      <c r="AF834" s="17">
        <f t="shared" ref="AF834:AF897" si="414">AE834/$E834</f>
        <v>0</v>
      </c>
      <c r="AG834">
        <v>0</v>
      </c>
      <c r="AH834" s="17">
        <f t="shared" ref="AH834:AH897" si="415">AG834/$E834</f>
        <v>0</v>
      </c>
      <c r="AI834">
        <v>0</v>
      </c>
      <c r="AJ834" s="17">
        <f t="shared" ref="AJ834:AJ897" si="416">AI834/$E834</f>
        <v>0</v>
      </c>
      <c r="AK834">
        <v>0</v>
      </c>
      <c r="AL834" s="17">
        <f t="shared" ref="AL834:AL897" si="417">AK834/$E834</f>
        <v>0</v>
      </c>
      <c r="AM834">
        <v>1</v>
      </c>
      <c r="AN834" s="17">
        <f t="shared" ref="AN834:AN897" si="418">AM834/$E834</f>
        <v>0.2</v>
      </c>
      <c r="AO834">
        <v>0</v>
      </c>
      <c r="AQ834">
        <v>0</v>
      </c>
      <c r="AR834" s="17">
        <f t="shared" ref="AR834:AR897" si="419">AQ834/$E834</f>
        <v>0</v>
      </c>
      <c r="AS834">
        <v>1</v>
      </c>
      <c r="AT834" s="17">
        <f t="shared" ref="AT834:AT897" si="420">AS834/$E834</f>
        <v>0.2</v>
      </c>
      <c r="BD834" s="65" t="str">
        <f t="shared" ref="BD834:BD897" si="421">IFERROR((I834/(2*(L834+(0.44*AA834))))*100,"")</f>
        <v/>
      </c>
      <c r="BE834" s="65" t="str">
        <f t="shared" ref="BE834:BE897" si="422">IFERROR(((P834+(1.5*U834))/L834)*100,"")</f>
        <v/>
      </c>
      <c r="BF834" s="66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0</v>
      </c>
      <c r="BG834" s="38" t="str">
        <f t="shared" ref="BG834:BG897" si="423">IFERROR(V834/L834,"")</f>
        <v/>
      </c>
      <c r="BH834" s="38" t="str">
        <f t="shared" ref="BH834:BH897" si="424">IFERROR(AA834/L834,"")</f>
        <v/>
      </c>
      <c r="BI834" s="67">
        <f>IFERROR(((AG834*(12000/5))/((F834*60+G834)*(SUMIFS(팀공격력!X:X,팀공격력!A:A,B834,팀공격력!B:B,D834)+SUMIFS(팀수비력!X:X,팀수비력!A:A,B834,팀수비력!B:B,D834))))*100,"")</f>
        <v>0</v>
      </c>
      <c r="BJ834" s="67">
        <f>IFERROR(((AI834*(12000/5))/((F834*60+G834)*(SUMIFS(팀공격력!V:V,팀공격력!A:A,B834,팀공격력!B:B,D834)+SUMIFS(팀수비력!W:W,팀수비력!A:A,B834,팀수비력!B:B,D834))))*100,"")</f>
        <v>0</v>
      </c>
      <c r="BK834" s="67">
        <f>IFERROR(((AE834*(12000/5))/((F834*60+G834)*(SUMIFS(팀공격력!X:X,팀공격력!A:A,B834,팀공격력!B:B,D834)+SUMIFS(팀수비력!X:X,팀수비력!A:A,B834,팀수비력!B:B,D834))))*100,"")</f>
        <v>0</v>
      </c>
      <c r="BL834" s="67">
        <f>IFERROR(100*AK834/(((((F834*60+G834)/(12000/5))*SUMIFS(팀공격력!P:P,팀공격력!A:A,B834,팀공격력!B:B,D834))-K834)),"")</f>
        <v>0</v>
      </c>
      <c r="BM834" s="67">
        <f>IFERROR(100*((AM834/E834*(2400))/((F834*60+G834)*SUMIFS(팀공격력!AR:AR,팀공격력!A:A,B834,팀공격력!B:B,D834))),"")</f>
        <v>7.7897147374711002</v>
      </c>
      <c r="BN834" s="67">
        <f>IFERROR((AO834*40)/(((F834*60+G834)/60)*(SUMIFS(팀수비력!Q:Q,팀수비력!A:A,B834,팀수비력!B:B,D834)-SUMIFS(팀수비력!N:N,팀수비력!A:A,B834,팀수비력!B:B,D834)))*100,"")</f>
        <v>0</v>
      </c>
      <c r="BO834" s="67" t="str">
        <f t="shared" ref="BO834:BO897" si="425">IFERROR(100*AQ834/(L834+0.44*AA834+AQ834),"")</f>
        <v/>
      </c>
      <c r="BT834" t="s">
        <v>89</v>
      </c>
      <c r="BV834" t="s">
        <v>93</v>
      </c>
      <c r="CF834">
        <v>1</v>
      </c>
      <c r="CG834">
        <v>4</v>
      </c>
    </row>
    <row r="835" spans="1:85" x14ac:dyDescent="0.4">
      <c r="A835" s="11" t="s">
        <v>85</v>
      </c>
      <c r="B835" t="s">
        <v>123</v>
      </c>
      <c r="C835" t="s">
        <v>124</v>
      </c>
      <c r="D835" s="46" t="s">
        <v>312</v>
      </c>
      <c r="E835">
        <v>9</v>
      </c>
      <c r="F835">
        <v>18</v>
      </c>
      <c r="G835" s="1">
        <v>17</v>
      </c>
      <c r="H835" s="16">
        <f t="shared" si="400"/>
        <v>9873</v>
      </c>
      <c r="I835">
        <v>89</v>
      </c>
      <c r="J835" s="17">
        <f t="shared" si="401"/>
        <v>9.8888888888888893</v>
      </c>
      <c r="K835">
        <v>28</v>
      </c>
      <c r="L835">
        <v>71</v>
      </c>
      <c r="M835" s="17">
        <f t="shared" si="402"/>
        <v>3.1111111111111112</v>
      </c>
      <c r="N835" s="17">
        <f t="shared" si="403"/>
        <v>7.8888888888888893</v>
      </c>
      <c r="O835" s="18">
        <f t="shared" si="404"/>
        <v>0.39436619718309857</v>
      </c>
      <c r="P835">
        <v>10</v>
      </c>
      <c r="Q835">
        <v>24</v>
      </c>
      <c r="R835" s="17">
        <f t="shared" si="405"/>
        <v>1.1111111111111112</v>
      </c>
      <c r="S835" s="17">
        <f t="shared" si="406"/>
        <v>2.6666666666666665</v>
      </c>
      <c r="T835" s="18">
        <f t="shared" si="407"/>
        <v>0.41666666666666669</v>
      </c>
      <c r="U835">
        <v>18</v>
      </c>
      <c r="V835">
        <v>47</v>
      </c>
      <c r="W835" s="17">
        <f t="shared" si="408"/>
        <v>2</v>
      </c>
      <c r="X835" s="17">
        <f t="shared" si="409"/>
        <v>5.2222222222222223</v>
      </c>
      <c r="Y835" s="18">
        <f t="shared" si="410"/>
        <v>0.38297872340425532</v>
      </c>
      <c r="Z835">
        <v>15</v>
      </c>
      <c r="AA835">
        <v>18</v>
      </c>
      <c r="AB835" s="17">
        <f t="shared" si="411"/>
        <v>1.6666666666666667</v>
      </c>
      <c r="AC835" s="17">
        <f t="shared" si="412"/>
        <v>2</v>
      </c>
      <c r="AD835" s="18">
        <f t="shared" si="413"/>
        <v>0.83333333333333337</v>
      </c>
      <c r="AE835">
        <v>23</v>
      </c>
      <c r="AF835" s="17">
        <f t="shared" si="414"/>
        <v>2.5555555555555554</v>
      </c>
      <c r="AG835">
        <v>6</v>
      </c>
      <c r="AH835" s="17">
        <f t="shared" si="415"/>
        <v>0.66666666666666663</v>
      </c>
      <c r="AI835">
        <v>17</v>
      </c>
      <c r="AJ835" s="17">
        <f t="shared" si="416"/>
        <v>1.8888888888888888</v>
      </c>
      <c r="AK835">
        <v>14</v>
      </c>
      <c r="AL835" s="17">
        <f t="shared" si="417"/>
        <v>1.5555555555555556</v>
      </c>
      <c r="AM835">
        <v>7</v>
      </c>
      <c r="AN835" s="17">
        <f t="shared" si="418"/>
        <v>0.77777777777777779</v>
      </c>
      <c r="AO835">
        <v>0</v>
      </c>
      <c r="AQ835">
        <v>6</v>
      </c>
      <c r="AR835" s="17">
        <f t="shared" si="419"/>
        <v>0.66666666666666663</v>
      </c>
      <c r="AS835">
        <v>15</v>
      </c>
      <c r="AT835" s="17">
        <f t="shared" si="420"/>
        <v>1.6666666666666667</v>
      </c>
      <c r="BD835" s="65">
        <f t="shared" si="421"/>
        <v>56.386213887480999</v>
      </c>
      <c r="BE835" s="65">
        <f t="shared" si="422"/>
        <v>52.112676056338024</v>
      </c>
      <c r="BF835" s="66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25.416806798646633</v>
      </c>
      <c r="BG835" s="38">
        <f t="shared" si="423"/>
        <v>0.6619718309859155</v>
      </c>
      <c r="BH835" s="38">
        <f t="shared" si="424"/>
        <v>0.25352112676056338</v>
      </c>
      <c r="BI835" s="67">
        <f>IFERROR(((AG835*(12000/5))/((F835*60+G835)*(SUMIFS(팀공격력!X:X,팀공격력!A:A,B835,팀공격력!B:B,D835)+SUMIFS(팀수비력!X:X,팀수비력!A:A,B835,팀수비력!B:B,D835))))*100,"")</f>
        <v>2.2362366621683107</v>
      </c>
      <c r="BJ835" s="67">
        <f>IFERROR(((AI835*(12000/5))/((F835*60+G835)*(SUMIFS(팀공격력!V:V,팀공격력!A:A,B835,팀공격력!B:B,D835)+SUMIFS(팀수비력!W:W,팀수비력!A:A,B835,팀수비력!B:B,D835))))*100,"")</f>
        <v>12.522674327596844</v>
      </c>
      <c r="BK835" s="67">
        <f>IFERROR(((AE835*(12000/5))/((F835*60+G835)*(SUMIFS(팀공격력!X:X,팀공격력!A:A,B835,팀공격력!B:B,D835)+SUMIFS(팀수비력!X:X,팀수비력!A:A,B835,팀수비력!B:B,D835))))*100,"")</f>
        <v>8.5722405383118598</v>
      </c>
      <c r="BL835" s="67">
        <f>IFERROR(100*AK835/(((((F835*60+G835)/(12000/5))*SUMIFS(팀공격력!P:P,팀공격력!A:A,B835,팀공격력!B:B,D835))-K835)),"")</f>
        <v>15.334273470337765</v>
      </c>
      <c r="BM835" s="67">
        <f>IFERROR(100*((AM835/E835*(2400))/((F835*60+G835)*SUMIFS(팀공격력!AR:AR,팀공격력!A:A,B835,팀공격력!B:B,D835))),"")</f>
        <v>2.4418709399020706</v>
      </c>
      <c r="BN835" s="67">
        <f>IFERROR((AO835*40)/(((F835*60+G835)/60)*(SUMIFS(팀수비력!Q:Q,팀수비력!A:A,B835,팀수비력!B:B,D835)-SUMIFS(팀수비력!N:N,팀수비력!A:A,B835,팀수비력!B:B,D835)))*100,"")</f>
        <v>0</v>
      </c>
      <c r="BO835" s="67">
        <f t="shared" si="425"/>
        <v>7.0654733867169099</v>
      </c>
      <c r="BT835" t="s">
        <v>89</v>
      </c>
      <c r="BV835" t="s">
        <v>90</v>
      </c>
      <c r="CF835">
        <v>5</v>
      </c>
      <c r="CG835">
        <v>4</v>
      </c>
    </row>
    <row r="836" spans="1:85" x14ac:dyDescent="0.4">
      <c r="A836" s="11" t="s">
        <v>85</v>
      </c>
      <c r="B836" t="s">
        <v>123</v>
      </c>
      <c r="C836" t="s">
        <v>125</v>
      </c>
      <c r="D836" s="46" t="s">
        <v>312</v>
      </c>
      <c r="E836">
        <v>3</v>
      </c>
      <c r="F836">
        <v>4</v>
      </c>
      <c r="G836" s="1">
        <v>39</v>
      </c>
      <c r="H836" s="16">
        <f t="shared" si="400"/>
        <v>837</v>
      </c>
      <c r="I836">
        <v>6</v>
      </c>
      <c r="J836" s="17">
        <f t="shared" si="401"/>
        <v>2</v>
      </c>
      <c r="K836">
        <v>3</v>
      </c>
      <c r="L836">
        <v>5</v>
      </c>
      <c r="M836" s="17">
        <f t="shared" si="402"/>
        <v>1</v>
      </c>
      <c r="N836" s="17">
        <f t="shared" si="403"/>
        <v>1.6666666666666667</v>
      </c>
      <c r="O836" s="18">
        <f t="shared" si="404"/>
        <v>0.6</v>
      </c>
      <c r="P836">
        <v>3</v>
      </c>
      <c r="Q836">
        <v>5</v>
      </c>
      <c r="R836" s="17">
        <f t="shared" si="405"/>
        <v>1</v>
      </c>
      <c r="S836" s="17">
        <f t="shared" si="406"/>
        <v>1.6666666666666667</v>
      </c>
      <c r="T836" s="18">
        <f t="shared" si="407"/>
        <v>0.6</v>
      </c>
      <c r="U836">
        <v>0</v>
      </c>
      <c r="V836">
        <v>0</v>
      </c>
      <c r="W836" s="17">
        <f t="shared" si="408"/>
        <v>0</v>
      </c>
      <c r="X836" s="17">
        <f t="shared" si="409"/>
        <v>0</v>
      </c>
      <c r="Y836" s="18" t="e">
        <f t="shared" si="410"/>
        <v>#DIV/0!</v>
      </c>
      <c r="Z836">
        <v>0</v>
      </c>
      <c r="AA836">
        <v>0</v>
      </c>
      <c r="AB836" s="17">
        <f t="shared" si="411"/>
        <v>0</v>
      </c>
      <c r="AC836" s="17">
        <f t="shared" si="412"/>
        <v>0</v>
      </c>
      <c r="AD836" s="18" t="e">
        <f t="shared" si="413"/>
        <v>#DIV/0!</v>
      </c>
      <c r="AE836">
        <v>1</v>
      </c>
      <c r="AF836" s="17">
        <f t="shared" si="414"/>
        <v>0.33333333333333331</v>
      </c>
      <c r="AG836">
        <v>1</v>
      </c>
      <c r="AH836" s="17">
        <f t="shared" si="415"/>
        <v>0.33333333333333331</v>
      </c>
      <c r="AI836">
        <v>0</v>
      </c>
      <c r="AJ836" s="17">
        <f t="shared" si="416"/>
        <v>0</v>
      </c>
      <c r="AK836">
        <v>2</v>
      </c>
      <c r="AL836" s="17">
        <f t="shared" si="417"/>
        <v>0.66666666666666663</v>
      </c>
      <c r="AM836">
        <v>1</v>
      </c>
      <c r="AN836" s="17">
        <f t="shared" si="418"/>
        <v>0.33333333333333331</v>
      </c>
      <c r="AO836">
        <v>0</v>
      </c>
      <c r="AQ836">
        <v>1</v>
      </c>
      <c r="AR836" s="17">
        <f t="shared" si="419"/>
        <v>0.33333333333333331</v>
      </c>
      <c r="AS836">
        <v>1</v>
      </c>
      <c r="AT836" s="17">
        <f t="shared" si="420"/>
        <v>0.33333333333333331</v>
      </c>
      <c r="BD836" s="65">
        <f t="shared" si="421"/>
        <v>60</v>
      </c>
      <c r="BE836" s="65">
        <f t="shared" si="422"/>
        <v>60</v>
      </c>
      <c r="BF836" s="66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7.0609750500446609</v>
      </c>
      <c r="BG836" s="38">
        <f t="shared" si="423"/>
        <v>0</v>
      </c>
      <c r="BH836" s="38">
        <f t="shared" si="424"/>
        <v>0</v>
      </c>
      <c r="BI836" s="67">
        <f>IFERROR(((AG836*(12000/5))/((F836*60+G836)*(SUMIFS(팀공격력!X:X,팀공격력!A:A,B836,팀공격력!B:B,D836)+SUMIFS(팀수비력!X:X,팀수비력!A:A,B836,팀수비력!B:B,D836))))*100,"")</f>
        <v>1.4654430217435108</v>
      </c>
      <c r="BJ836" s="67">
        <f>IFERROR(((AI836*(12000/5))/((F836*60+G836)*(SUMIFS(팀공격력!V:V,팀공격력!A:A,B836,팀공격력!B:B,D836)+SUMIFS(팀수비력!W:W,팀수비력!A:A,B836,팀수비력!B:B,D836))))*100,"")</f>
        <v>0</v>
      </c>
      <c r="BK836" s="67">
        <f>IFERROR(((AE836*(12000/5))/((F836*60+G836)*(SUMIFS(팀공격력!X:X,팀공격력!A:A,B836,팀공격력!B:B,D836)+SUMIFS(팀수비력!X:X,팀수비력!A:A,B836,팀수비력!B:B,D836))))*100,"")</f>
        <v>1.4654430217435108</v>
      </c>
      <c r="BL836" s="67">
        <f>IFERROR(100*AK836/(((((F836*60+G836)/(12000/5))*SUMIFS(팀공격력!P:P,팀공격력!A:A,B836,팀공격력!B:B,D836))-K836)),"")</f>
        <v>7.3149545101266398</v>
      </c>
      <c r="BM836" s="67">
        <f>IFERROR(100*((AM836/E836*(2400))/((F836*60+G836)*SUMIFS(팀공격력!AR:AR,팀공격력!A:A,B836,팀공격력!B:B,D836))),"")</f>
        <v>4.1147963457335965</v>
      </c>
      <c r="BN836" s="67">
        <f>IFERROR((AO836*40)/(((F836*60+G836)/60)*(SUMIFS(팀수비력!Q:Q,팀수비력!A:A,B836,팀수비력!B:B,D836)-SUMIFS(팀수비력!N:N,팀수비력!A:A,B836,팀수비력!B:B,D836)))*100,"")</f>
        <v>0</v>
      </c>
      <c r="BO836" s="67">
        <f t="shared" si="425"/>
        <v>16.666666666666668</v>
      </c>
      <c r="BT836" t="s">
        <v>89</v>
      </c>
      <c r="BV836" t="s">
        <v>102</v>
      </c>
      <c r="CF836">
        <v>2</v>
      </c>
      <c r="CG836">
        <v>1</v>
      </c>
    </row>
    <row r="837" spans="1:85" x14ac:dyDescent="0.4">
      <c r="A837" s="11" t="s">
        <v>85</v>
      </c>
      <c r="B837" t="s">
        <v>123</v>
      </c>
      <c r="C837" t="s">
        <v>95</v>
      </c>
      <c r="D837" s="46" t="s">
        <v>312</v>
      </c>
      <c r="E837">
        <v>9</v>
      </c>
      <c r="F837">
        <v>22</v>
      </c>
      <c r="G837" s="1">
        <v>55</v>
      </c>
      <c r="H837" s="16">
        <f t="shared" si="400"/>
        <v>12375</v>
      </c>
      <c r="I837">
        <v>104</v>
      </c>
      <c r="J837" s="17">
        <f t="shared" si="401"/>
        <v>11.555555555555555</v>
      </c>
      <c r="K837">
        <v>48</v>
      </c>
      <c r="L837">
        <v>77</v>
      </c>
      <c r="M837" s="17">
        <f t="shared" si="402"/>
        <v>5.333333333333333</v>
      </c>
      <c r="N837" s="17">
        <f t="shared" si="403"/>
        <v>8.5555555555555554</v>
      </c>
      <c r="O837" s="18">
        <f t="shared" si="404"/>
        <v>0.62337662337662336</v>
      </c>
      <c r="P837">
        <v>48</v>
      </c>
      <c r="Q837">
        <v>74</v>
      </c>
      <c r="R837" s="17">
        <f t="shared" si="405"/>
        <v>5.333333333333333</v>
      </c>
      <c r="S837" s="17">
        <f t="shared" si="406"/>
        <v>8.2222222222222214</v>
      </c>
      <c r="T837" s="18">
        <f t="shared" si="407"/>
        <v>0.64864864864864868</v>
      </c>
      <c r="U837">
        <v>0</v>
      </c>
      <c r="V837">
        <v>3</v>
      </c>
      <c r="W837" s="17">
        <f t="shared" si="408"/>
        <v>0</v>
      </c>
      <c r="X837" s="17">
        <f t="shared" si="409"/>
        <v>0.33333333333333331</v>
      </c>
      <c r="Y837" s="18">
        <f t="shared" si="410"/>
        <v>0</v>
      </c>
      <c r="Z837">
        <v>8</v>
      </c>
      <c r="AA837">
        <v>24</v>
      </c>
      <c r="AB837" s="17">
        <f t="shared" si="411"/>
        <v>0.88888888888888884</v>
      </c>
      <c r="AC837" s="17">
        <f t="shared" si="412"/>
        <v>2.6666666666666665</v>
      </c>
      <c r="AD837" s="18">
        <f t="shared" si="413"/>
        <v>0.33333333333333331</v>
      </c>
      <c r="AE837">
        <v>57</v>
      </c>
      <c r="AF837" s="17">
        <f t="shared" si="414"/>
        <v>6.333333333333333</v>
      </c>
      <c r="AG837">
        <v>15</v>
      </c>
      <c r="AH837" s="17">
        <f t="shared" si="415"/>
        <v>1.6666666666666667</v>
      </c>
      <c r="AI837">
        <v>42</v>
      </c>
      <c r="AJ837" s="17">
        <f t="shared" si="416"/>
        <v>4.666666666666667</v>
      </c>
      <c r="AK837">
        <v>16</v>
      </c>
      <c r="AL837" s="17">
        <f t="shared" si="417"/>
        <v>1.7777777777777777</v>
      </c>
      <c r="AM837">
        <v>11</v>
      </c>
      <c r="AN837" s="17">
        <f t="shared" si="418"/>
        <v>1.2222222222222223</v>
      </c>
      <c r="AO837">
        <v>15</v>
      </c>
      <c r="AQ837">
        <v>16</v>
      </c>
      <c r="AR837" s="17">
        <f t="shared" si="419"/>
        <v>1.7777777777777777</v>
      </c>
      <c r="AS837">
        <v>24</v>
      </c>
      <c r="AT837" s="17">
        <f t="shared" si="420"/>
        <v>2.6666666666666665</v>
      </c>
      <c r="BD837" s="65">
        <f t="shared" si="421"/>
        <v>59.387848332571949</v>
      </c>
      <c r="BE837" s="65">
        <f t="shared" si="422"/>
        <v>62.337662337662337</v>
      </c>
      <c r="BF837" s="66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24.729023849085138</v>
      </c>
      <c r="BG837" s="38">
        <f t="shared" si="423"/>
        <v>3.896103896103896E-2</v>
      </c>
      <c r="BH837" s="38">
        <f t="shared" si="424"/>
        <v>0.31168831168831168</v>
      </c>
      <c r="BI837" s="67">
        <f>IFERROR(((AG837*(12000/5))/((F837*60+G837)*(SUMIFS(팀공격력!X:X,팀공격력!A:A,B837,팀공격력!B:B,D837)+SUMIFS(팀수비력!X:X,팀수비력!A:A,B837,팀수비력!B:B,D837))))*100,"")</f>
        <v>4.4602756698157036</v>
      </c>
      <c r="BJ837" s="67">
        <f>IFERROR(((AI837*(12000/5))/((F837*60+G837)*(SUMIFS(팀공격력!V:V,팀공격력!A:A,B837,팀공격력!B:B,D837)+SUMIFS(팀수비력!W:W,팀수비력!A:A,B837,팀수비력!B:B,D837))))*100,"")</f>
        <v>24.683195592286502</v>
      </c>
      <c r="BK837" s="67">
        <f>IFERROR(((AE837*(12000/5))/((F837*60+G837)*(SUMIFS(팀공격력!X:X,팀공격력!A:A,B837,팀공격력!B:B,D837)+SUMIFS(팀수비력!X:X,팀수비력!A:A,B837,팀수비력!B:B,D837))))*100,"")</f>
        <v>16.949047545299674</v>
      </c>
      <c r="BL837" s="67">
        <f>IFERROR(100*AK837/(((((F837*60+G837)/(12000/5))*SUMIFS(팀공격력!P:P,팀공격력!A:A,B837,팀공격력!B:B,D837))-K837)),"")</f>
        <v>15.758694983071715</v>
      </c>
      <c r="BM837" s="67">
        <f>IFERROR(100*((AM837/E837*(2400))/((F837*60+G837)*SUMIFS(팀공격력!AR:AR,팀공격력!A:A,B837,팀공격력!B:B,D837))),"")</f>
        <v>3.0614084812257958</v>
      </c>
      <c r="BN837" s="67">
        <f>IFERROR((AO837*40)/(((F837*60+G837)/60)*(SUMIFS(팀수비력!Q:Q,팀수비력!A:A,B837,팀수비력!B:B,D837)-SUMIFS(팀수비력!N:N,팀수비력!A:A,B837,팀수비력!B:B,D837)))*100,"")</f>
        <v>7.8624078624078626</v>
      </c>
      <c r="BO837" s="67">
        <f t="shared" si="425"/>
        <v>15.449980687524141</v>
      </c>
      <c r="BT837" t="s">
        <v>96</v>
      </c>
      <c r="BV837" t="s">
        <v>93</v>
      </c>
      <c r="CF837">
        <v>5</v>
      </c>
      <c r="CG837">
        <v>4</v>
      </c>
    </row>
    <row r="838" spans="1:85" x14ac:dyDescent="0.4">
      <c r="A838" s="11" t="s">
        <v>85</v>
      </c>
      <c r="B838" t="s">
        <v>123</v>
      </c>
      <c r="C838" t="s">
        <v>128</v>
      </c>
      <c r="D838" s="46" t="s">
        <v>312</v>
      </c>
      <c r="E838">
        <v>8</v>
      </c>
      <c r="F838">
        <v>12</v>
      </c>
      <c r="G838" s="1">
        <v>34</v>
      </c>
      <c r="H838" s="16">
        <f t="shared" si="400"/>
        <v>6032</v>
      </c>
      <c r="I838">
        <v>26</v>
      </c>
      <c r="J838" s="17">
        <f t="shared" si="401"/>
        <v>3.25</v>
      </c>
      <c r="K838">
        <v>9</v>
      </c>
      <c r="L838">
        <v>21</v>
      </c>
      <c r="M838" s="17">
        <f t="shared" si="402"/>
        <v>1.125</v>
      </c>
      <c r="N838" s="17">
        <f t="shared" si="403"/>
        <v>2.625</v>
      </c>
      <c r="O838" s="18">
        <f t="shared" si="404"/>
        <v>0.42857142857142855</v>
      </c>
      <c r="P838">
        <v>1</v>
      </c>
      <c r="Q838">
        <v>3</v>
      </c>
      <c r="R838" s="17">
        <f t="shared" si="405"/>
        <v>0.125</v>
      </c>
      <c r="S838" s="17">
        <f t="shared" si="406"/>
        <v>0.375</v>
      </c>
      <c r="T838" s="18">
        <f t="shared" si="407"/>
        <v>0.33333333333333331</v>
      </c>
      <c r="U838">
        <v>8</v>
      </c>
      <c r="V838">
        <v>18</v>
      </c>
      <c r="W838" s="17">
        <f t="shared" si="408"/>
        <v>1</v>
      </c>
      <c r="X838" s="17">
        <f t="shared" si="409"/>
        <v>2.25</v>
      </c>
      <c r="Y838" s="18">
        <f t="shared" si="410"/>
        <v>0.44444444444444442</v>
      </c>
      <c r="Z838">
        <v>0</v>
      </c>
      <c r="AA838">
        <v>0</v>
      </c>
      <c r="AB838" s="17">
        <f t="shared" si="411"/>
        <v>0</v>
      </c>
      <c r="AC838" s="17">
        <f t="shared" si="412"/>
        <v>0</v>
      </c>
      <c r="AD838" s="18" t="e">
        <f t="shared" si="413"/>
        <v>#DIV/0!</v>
      </c>
      <c r="AE838">
        <v>15</v>
      </c>
      <c r="AF838" s="17">
        <f t="shared" si="414"/>
        <v>1.875</v>
      </c>
      <c r="AG838">
        <v>9</v>
      </c>
      <c r="AH838" s="17">
        <f t="shared" si="415"/>
        <v>1.125</v>
      </c>
      <c r="AI838">
        <v>6</v>
      </c>
      <c r="AJ838" s="17">
        <f t="shared" si="416"/>
        <v>0.75</v>
      </c>
      <c r="AK838">
        <v>9</v>
      </c>
      <c r="AL838" s="17">
        <f t="shared" si="417"/>
        <v>1.125</v>
      </c>
      <c r="AM838">
        <v>5</v>
      </c>
      <c r="AN838" s="17">
        <f t="shared" si="418"/>
        <v>0.625</v>
      </c>
      <c r="AO838">
        <v>1</v>
      </c>
      <c r="AQ838">
        <v>1</v>
      </c>
      <c r="AR838" s="17">
        <f t="shared" si="419"/>
        <v>0.125</v>
      </c>
      <c r="AS838">
        <v>12</v>
      </c>
      <c r="AT838" s="17">
        <f t="shared" si="420"/>
        <v>1.5</v>
      </c>
      <c r="BD838" s="65">
        <f t="shared" si="421"/>
        <v>61.904761904761905</v>
      </c>
      <c r="BE838" s="65">
        <f t="shared" si="422"/>
        <v>61.904761904761905</v>
      </c>
      <c r="BF838" s="66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9.5800762283762424</v>
      </c>
      <c r="BG838" s="38">
        <f t="shared" si="423"/>
        <v>0.8571428571428571</v>
      </c>
      <c r="BH838" s="38">
        <f t="shared" si="424"/>
        <v>0</v>
      </c>
      <c r="BI838" s="67">
        <f>IFERROR(((AG838*(12000/5))/((F838*60+G838)*(SUMIFS(팀공격력!X:X,팀공격력!A:A,B838,팀공격력!B:B,D838)+SUMIFS(팀수비력!X:X,팀수비력!A:A,B838,팀수비력!B:B,D838))))*100,"")</f>
        <v>4.8802751029150606</v>
      </c>
      <c r="BJ838" s="67">
        <f>IFERROR(((AI838*(12000/5))/((F838*60+G838)*(SUMIFS(팀공격력!V:V,팀공격력!A:A,B838,팀공격력!B:B,D838)+SUMIFS(팀수비력!W:W,팀수비력!A:A,B838,팀수비력!B:B,D838))))*100,"")</f>
        <v>6.4303512579374651</v>
      </c>
      <c r="BK838" s="67">
        <f>IFERROR(((AE838*(12000/5))/((F838*60+G838)*(SUMIFS(팀공격력!X:X,팀공격력!A:A,B838,팀공격력!B:B,D838)+SUMIFS(팀수비력!X:X,팀수비력!A:A,B838,팀수비력!B:B,D838))))*100,"")</f>
        <v>8.1337918381917671</v>
      </c>
      <c r="BL838" s="67">
        <f>IFERROR(100*AK838/(((((F838*60+G838)/(12000/5))*SUMIFS(팀공격력!P:P,팀공격력!A:A,B838,팀공격력!B:B,D838))-K838)),"")</f>
        <v>12.329189355799857</v>
      </c>
      <c r="BM838" s="67">
        <f>IFERROR(100*((AM838/E838*(2400))/((F838*60+G838)*SUMIFS(팀공격력!AR:AR,팀공격력!A:A,B838,팀공격력!B:B,D838))),"")</f>
        <v>2.8548446132120526</v>
      </c>
      <c r="BN838" s="67">
        <f>IFERROR((AO838*40)/(((F838*60+G838)/60)*(SUMIFS(팀수비력!Q:Q,팀수비력!A:A,B838,팀수비력!B:B,D838)-SUMIFS(팀수비력!N:N,팀수비력!A:A,B838,팀수비력!B:B,D838)))*100,"")</f>
        <v>0.95586302482854202</v>
      </c>
      <c r="BO838" s="67">
        <f t="shared" si="425"/>
        <v>4.5454545454545459</v>
      </c>
      <c r="BT838" t="s">
        <v>89</v>
      </c>
      <c r="BV838" t="s">
        <v>93</v>
      </c>
      <c r="CF838">
        <v>4</v>
      </c>
      <c r="CG838">
        <v>4</v>
      </c>
    </row>
    <row r="839" spans="1:85" x14ac:dyDescent="0.4">
      <c r="A839" s="11" t="s">
        <v>85</v>
      </c>
      <c r="B839" t="s">
        <v>123</v>
      </c>
      <c r="C839" t="s">
        <v>129</v>
      </c>
      <c r="D839" s="46" t="s">
        <v>312</v>
      </c>
      <c r="E839">
        <v>4</v>
      </c>
      <c r="F839">
        <v>14</v>
      </c>
      <c r="G839" s="1">
        <v>20</v>
      </c>
      <c r="H839" s="16">
        <f t="shared" si="400"/>
        <v>3440</v>
      </c>
      <c r="I839">
        <v>9</v>
      </c>
      <c r="J839" s="17">
        <f t="shared" si="401"/>
        <v>2.25</v>
      </c>
      <c r="K839">
        <v>3</v>
      </c>
      <c r="L839">
        <v>10</v>
      </c>
      <c r="M839" s="17">
        <f t="shared" si="402"/>
        <v>0.75</v>
      </c>
      <c r="N839" s="17">
        <f t="shared" si="403"/>
        <v>2.5</v>
      </c>
      <c r="O839" s="18">
        <f t="shared" si="404"/>
        <v>0.3</v>
      </c>
      <c r="P839">
        <v>0</v>
      </c>
      <c r="Q839">
        <v>2</v>
      </c>
      <c r="R839" s="17">
        <f t="shared" si="405"/>
        <v>0</v>
      </c>
      <c r="S839" s="17">
        <f t="shared" si="406"/>
        <v>0.5</v>
      </c>
      <c r="T839" s="18">
        <f t="shared" si="407"/>
        <v>0</v>
      </c>
      <c r="U839">
        <v>3</v>
      </c>
      <c r="V839">
        <v>8</v>
      </c>
      <c r="W839" s="17">
        <f t="shared" si="408"/>
        <v>0.75</v>
      </c>
      <c r="X839" s="17">
        <f t="shared" si="409"/>
        <v>2</v>
      </c>
      <c r="Y839" s="18">
        <f t="shared" si="410"/>
        <v>0.375</v>
      </c>
      <c r="Z839">
        <v>0</v>
      </c>
      <c r="AA839">
        <v>2</v>
      </c>
      <c r="AB839" s="17">
        <f t="shared" si="411"/>
        <v>0</v>
      </c>
      <c r="AC839" s="17">
        <f t="shared" si="412"/>
        <v>0.5</v>
      </c>
      <c r="AD839" s="18">
        <f t="shared" si="413"/>
        <v>0</v>
      </c>
      <c r="AE839">
        <v>11</v>
      </c>
      <c r="AF839" s="17">
        <f t="shared" si="414"/>
        <v>2.75</v>
      </c>
      <c r="AG839">
        <v>1</v>
      </c>
      <c r="AH839" s="17">
        <f t="shared" si="415"/>
        <v>0.25</v>
      </c>
      <c r="AI839">
        <v>10</v>
      </c>
      <c r="AJ839" s="17">
        <f t="shared" si="416"/>
        <v>2.5</v>
      </c>
      <c r="AK839">
        <v>1</v>
      </c>
      <c r="AL839" s="17">
        <f t="shared" si="417"/>
        <v>0.25</v>
      </c>
      <c r="AM839">
        <v>0</v>
      </c>
      <c r="AN839" s="17">
        <f t="shared" si="418"/>
        <v>0</v>
      </c>
      <c r="AO839">
        <v>1</v>
      </c>
      <c r="AQ839">
        <v>0</v>
      </c>
      <c r="AR839" s="17">
        <f t="shared" si="419"/>
        <v>0</v>
      </c>
      <c r="AS839">
        <v>10</v>
      </c>
      <c r="AT839" s="17">
        <f t="shared" si="420"/>
        <v>2.5</v>
      </c>
      <c r="BD839" s="65">
        <f t="shared" si="421"/>
        <v>41.360294117647058</v>
      </c>
      <c r="BE839" s="65">
        <f t="shared" si="422"/>
        <v>45</v>
      </c>
      <c r="BF839" s="66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4.1538238340913898</v>
      </c>
      <c r="BG839" s="38">
        <f t="shared" si="423"/>
        <v>0.8</v>
      </c>
      <c r="BH839" s="38">
        <f t="shared" si="424"/>
        <v>0.2</v>
      </c>
      <c r="BI839" s="67">
        <f>IFERROR(((AG839*(12000/5))/((F839*60+G839)*(SUMIFS(팀공격력!X:X,팀공격력!A:A,B839,팀공격력!B:B,D839)+SUMIFS(팀수비력!X:X,팀수비력!A:A,B839,팀수비력!B:B,D839))))*100,"")</f>
        <v>0.47541698030981339</v>
      </c>
      <c r="BJ839" s="67">
        <f>IFERROR(((AI839*(12000/5))/((F839*60+G839)*(SUMIFS(팀공격력!V:V,팀공격력!A:A,B839,팀공격력!B:B,D839)+SUMIFS(팀수비력!W:W,팀수비력!A:A,B839,팀수비력!B:B,D839))))*100,"")</f>
        <v>9.396288466055907</v>
      </c>
      <c r="BK839" s="67">
        <f>IFERROR(((AE839*(12000/5))/((F839*60+G839)*(SUMIFS(팀공격력!X:X,팀공격력!A:A,B839,팀공격력!B:B,D839)+SUMIFS(팀수비력!X:X,팀수비력!A:A,B839,팀수비력!B:B,D839))))*100,"")</f>
        <v>5.2295867834079477</v>
      </c>
      <c r="BL839" s="67">
        <f>IFERROR(100*AK839/(((((F839*60+G839)/(12000/5))*SUMIFS(팀공격력!P:P,팀공격력!A:A,B839,팀공격력!B:B,D839))-K839)),"")</f>
        <v>1.1046672190002762</v>
      </c>
      <c r="BM839" s="67">
        <f>IFERROR(100*((AM839/E839*(2400))/((F839*60+G839)*SUMIFS(팀공격력!AR:AR,팀공격력!A:A,B839,팀공격력!B:B,D839))),"")</f>
        <v>0</v>
      </c>
      <c r="BN839" s="67">
        <f>IFERROR((AO839*40)/(((F839*60+G839)/60)*(SUMIFS(팀수비력!Q:Q,팀수비력!A:A,B839,팀수비력!B:B,D839)-SUMIFS(팀수비력!N:N,팀수비력!A:A,B839,팀수비력!B:B,D839)))*100,"")</f>
        <v>0.83804734967525674</v>
      </c>
      <c r="BO839" s="67">
        <f t="shared" si="425"/>
        <v>0</v>
      </c>
      <c r="BT839" t="s">
        <v>89</v>
      </c>
      <c r="BV839" t="s">
        <v>93</v>
      </c>
      <c r="CF839">
        <v>3</v>
      </c>
      <c r="CG839">
        <v>1</v>
      </c>
    </row>
    <row r="840" spans="1:85" x14ac:dyDescent="0.4">
      <c r="A840" s="11" t="s">
        <v>85</v>
      </c>
      <c r="B840" t="s">
        <v>123</v>
      </c>
      <c r="C840" t="s">
        <v>130</v>
      </c>
      <c r="D840" s="46" t="s">
        <v>312</v>
      </c>
      <c r="E840">
        <v>9</v>
      </c>
      <c r="F840">
        <v>29</v>
      </c>
      <c r="G840" s="1">
        <v>58</v>
      </c>
      <c r="H840" s="16">
        <f t="shared" si="400"/>
        <v>16182</v>
      </c>
      <c r="I840">
        <v>116</v>
      </c>
      <c r="J840" s="17">
        <f t="shared" si="401"/>
        <v>12.888888888888889</v>
      </c>
      <c r="K840">
        <v>41</v>
      </c>
      <c r="L840">
        <v>103</v>
      </c>
      <c r="M840" s="17">
        <f t="shared" si="402"/>
        <v>4.5555555555555554</v>
      </c>
      <c r="N840" s="17">
        <f t="shared" si="403"/>
        <v>11.444444444444445</v>
      </c>
      <c r="O840" s="18">
        <f t="shared" si="404"/>
        <v>0.39805825242718446</v>
      </c>
      <c r="P840">
        <v>31</v>
      </c>
      <c r="Q840">
        <v>63</v>
      </c>
      <c r="R840" s="17">
        <f t="shared" si="405"/>
        <v>3.4444444444444446</v>
      </c>
      <c r="S840" s="17">
        <f t="shared" si="406"/>
        <v>7</v>
      </c>
      <c r="T840" s="18">
        <f t="shared" si="407"/>
        <v>0.49206349206349204</v>
      </c>
      <c r="U840">
        <v>10</v>
      </c>
      <c r="V840">
        <v>40</v>
      </c>
      <c r="W840" s="17">
        <f t="shared" si="408"/>
        <v>1.1111111111111112</v>
      </c>
      <c r="X840" s="17">
        <f t="shared" si="409"/>
        <v>4.4444444444444446</v>
      </c>
      <c r="Y840" s="18">
        <f t="shared" si="410"/>
        <v>0.25</v>
      </c>
      <c r="Z840">
        <v>24</v>
      </c>
      <c r="AA840">
        <v>30</v>
      </c>
      <c r="AB840" s="17">
        <f t="shared" si="411"/>
        <v>2.6666666666666665</v>
      </c>
      <c r="AC840" s="17">
        <f t="shared" si="412"/>
        <v>3.3333333333333335</v>
      </c>
      <c r="AD840" s="18">
        <f t="shared" si="413"/>
        <v>0.8</v>
      </c>
      <c r="AE840">
        <v>20</v>
      </c>
      <c r="AF840" s="17">
        <f t="shared" si="414"/>
        <v>2.2222222222222223</v>
      </c>
      <c r="AG840">
        <v>1</v>
      </c>
      <c r="AH840" s="17">
        <f t="shared" si="415"/>
        <v>0.1111111111111111</v>
      </c>
      <c r="AI840">
        <v>19</v>
      </c>
      <c r="AJ840" s="17">
        <f t="shared" si="416"/>
        <v>2.1111111111111112</v>
      </c>
      <c r="AK840">
        <v>39</v>
      </c>
      <c r="AL840" s="17">
        <f t="shared" si="417"/>
        <v>4.333333333333333</v>
      </c>
      <c r="AM840">
        <v>12</v>
      </c>
      <c r="AN840" s="17">
        <f t="shared" si="418"/>
        <v>1.3333333333333333</v>
      </c>
      <c r="AO840">
        <v>0</v>
      </c>
      <c r="AQ840">
        <v>10</v>
      </c>
      <c r="AR840" s="17">
        <f t="shared" si="419"/>
        <v>1.1111111111111112</v>
      </c>
      <c r="AS840">
        <v>22</v>
      </c>
      <c r="AT840" s="17">
        <f t="shared" si="420"/>
        <v>2.4444444444444446</v>
      </c>
      <c r="BD840" s="65">
        <f t="shared" si="421"/>
        <v>49.913941480206539</v>
      </c>
      <c r="BE840" s="65">
        <f t="shared" si="422"/>
        <v>44.660194174757287</v>
      </c>
      <c r="BF840" s="66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23.045561671956108</v>
      </c>
      <c r="BG840" s="38">
        <f t="shared" si="423"/>
        <v>0.38834951456310679</v>
      </c>
      <c r="BH840" s="38">
        <f t="shared" si="424"/>
        <v>0.29126213592233008</v>
      </c>
      <c r="BI840" s="67">
        <f>IFERROR(((AG840*(12000/5))/((F840*60+G840)*(SUMIFS(팀공격력!X:X,팀공격력!A:A,B840,팀공격력!B:B,D840)+SUMIFS(팀수비력!X:X,팀수비력!A:A,B840,팀수비력!B:B,D840))))*100,"")</f>
        <v>0.22739633096019993</v>
      </c>
      <c r="BJ840" s="67">
        <f>IFERROR(((AI840*(12000/5))/((F840*60+G840)*(SUMIFS(팀공격력!V:V,팀공격력!A:A,B840,팀공격력!B:B,D840)+SUMIFS(팀수비력!W:W,팀수비력!A:A,B840,팀수비력!B:B,D840))))*100,"")</f>
        <v>8.5392298962932998</v>
      </c>
      <c r="BK840" s="67">
        <f>IFERROR(((AE840*(12000/5))/((F840*60+G840)*(SUMIFS(팀공격력!X:X,팀공격력!A:A,B840,팀공격력!B:B,D840)+SUMIFS(팀수비력!X:X,팀수비력!A:A,B840,팀수비력!B:B,D840))))*100,"")</f>
        <v>4.5479266192039995</v>
      </c>
      <c r="BL840" s="67">
        <f>IFERROR(100*AK840/(((((F840*60+G840)/(12000/5))*SUMIFS(팀공격력!P:P,팀공격력!A:A,B840,팀공격력!B:B,D840))-K840)),"")</f>
        <v>25.237409606393477</v>
      </c>
      <c r="BM840" s="67">
        <f>IFERROR(100*((AM840/E840*(2400))/((F840*60+G840)*SUMIFS(팀공격력!AR:AR,팀공격력!A:A,B840,팀공격력!B:B,D840))),"")</f>
        <v>2.5540115249380944</v>
      </c>
      <c r="BN840" s="67">
        <f>IFERROR((AO840*40)/(((F840*60+G840)/60)*(SUMIFS(팀수비력!Q:Q,팀수비력!A:A,B840,팀수비력!B:B,D840)-SUMIFS(팀수비력!N:N,팀수비력!A:A,B840,팀수비력!B:B,D840)))*100,"")</f>
        <v>0</v>
      </c>
      <c r="BO840" s="67">
        <f t="shared" si="425"/>
        <v>7.9239302694136287</v>
      </c>
      <c r="BT840" t="s">
        <v>113</v>
      </c>
      <c r="BV840" t="s">
        <v>90</v>
      </c>
      <c r="CF840">
        <v>5</v>
      </c>
      <c r="CG840">
        <v>4</v>
      </c>
    </row>
    <row r="841" spans="1:85" x14ac:dyDescent="0.4">
      <c r="A841" s="11" t="s">
        <v>85</v>
      </c>
      <c r="B841" t="s">
        <v>123</v>
      </c>
      <c r="C841" t="s">
        <v>131</v>
      </c>
      <c r="D841" s="46" t="s">
        <v>312</v>
      </c>
      <c r="E841">
        <v>9</v>
      </c>
      <c r="F841">
        <v>29</v>
      </c>
      <c r="G841" s="1">
        <v>29</v>
      </c>
      <c r="H841" s="16">
        <f t="shared" si="400"/>
        <v>15921</v>
      </c>
      <c r="I841">
        <v>75</v>
      </c>
      <c r="J841" s="17">
        <f t="shared" si="401"/>
        <v>8.3333333333333339</v>
      </c>
      <c r="K841">
        <v>21</v>
      </c>
      <c r="L841">
        <v>60</v>
      </c>
      <c r="M841" s="17">
        <f t="shared" si="402"/>
        <v>2.3333333333333335</v>
      </c>
      <c r="N841" s="17">
        <f t="shared" si="403"/>
        <v>6.666666666666667</v>
      </c>
      <c r="O841" s="18">
        <f t="shared" si="404"/>
        <v>0.35</v>
      </c>
      <c r="P841">
        <v>11</v>
      </c>
      <c r="Q841">
        <v>30</v>
      </c>
      <c r="R841" s="17">
        <f t="shared" si="405"/>
        <v>1.2222222222222223</v>
      </c>
      <c r="S841" s="17">
        <f t="shared" si="406"/>
        <v>3.3333333333333335</v>
      </c>
      <c r="T841" s="18">
        <f t="shared" si="407"/>
        <v>0.36666666666666664</v>
      </c>
      <c r="U841">
        <v>10</v>
      </c>
      <c r="V841">
        <v>30</v>
      </c>
      <c r="W841" s="17">
        <f t="shared" si="408"/>
        <v>1.1111111111111112</v>
      </c>
      <c r="X841" s="17">
        <f t="shared" si="409"/>
        <v>3.3333333333333335</v>
      </c>
      <c r="Y841" s="18">
        <f t="shared" si="410"/>
        <v>0.33333333333333331</v>
      </c>
      <c r="Z841">
        <v>23</v>
      </c>
      <c r="AA841">
        <v>29</v>
      </c>
      <c r="AB841" s="17">
        <f t="shared" si="411"/>
        <v>2.5555555555555554</v>
      </c>
      <c r="AC841" s="17">
        <f t="shared" si="412"/>
        <v>3.2222222222222223</v>
      </c>
      <c r="AD841" s="18">
        <f t="shared" si="413"/>
        <v>0.7931034482758621</v>
      </c>
      <c r="AE841">
        <v>30</v>
      </c>
      <c r="AF841" s="17">
        <f t="shared" si="414"/>
        <v>3.3333333333333335</v>
      </c>
      <c r="AG841">
        <v>12</v>
      </c>
      <c r="AH841" s="17">
        <f t="shared" si="415"/>
        <v>1.3333333333333333</v>
      </c>
      <c r="AI841">
        <v>18</v>
      </c>
      <c r="AJ841" s="17">
        <f t="shared" si="416"/>
        <v>2</v>
      </c>
      <c r="AK841">
        <v>15</v>
      </c>
      <c r="AL841" s="17">
        <f t="shared" si="417"/>
        <v>1.6666666666666667</v>
      </c>
      <c r="AM841">
        <v>10</v>
      </c>
      <c r="AN841" s="17">
        <f t="shared" si="418"/>
        <v>1.1111111111111112</v>
      </c>
      <c r="AO841">
        <v>3</v>
      </c>
      <c r="AQ841">
        <v>9</v>
      </c>
      <c r="AR841" s="17">
        <f t="shared" si="419"/>
        <v>1</v>
      </c>
      <c r="AS841">
        <v>31</v>
      </c>
      <c r="AT841" s="17">
        <f t="shared" si="420"/>
        <v>3.4444444444444446</v>
      </c>
      <c r="BD841" s="65">
        <f t="shared" si="421"/>
        <v>51.539307311709727</v>
      </c>
      <c r="BE841" s="65">
        <f t="shared" si="422"/>
        <v>43.333333333333336</v>
      </c>
      <c r="BF841" s="66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15.175069182737023</v>
      </c>
      <c r="BG841" s="38">
        <f t="shared" si="423"/>
        <v>0.5</v>
      </c>
      <c r="BH841" s="38">
        <f t="shared" si="424"/>
        <v>0.48333333333333334</v>
      </c>
      <c r="BI841" s="67">
        <f>IFERROR(((AG841*(12000/5))/((F841*60+G841)*(SUMIFS(팀공격력!X:X,팀공격력!A:A,B841,팀공격력!B:B,D841)+SUMIFS(팀수비력!X:X,팀수비력!A:A,B841,팀수비력!B:B,D841))))*100,"")</f>
        <v>2.7734896759735861</v>
      </c>
      <c r="BJ841" s="67">
        <f>IFERROR(((AI841*(12000/5))/((F841*60+G841)*(SUMIFS(팀공격력!V:V,팀공격력!A:A,B841,팀공격력!B:B,D841)+SUMIFS(팀수비력!W:W,팀수비력!A:A,B841,팀수비력!B:B,D841))))*100,"")</f>
        <v>8.2224163626085609</v>
      </c>
      <c r="BK841" s="67">
        <f>IFERROR(((AE841*(12000/5))/((F841*60+G841)*(SUMIFS(팀공격력!X:X,팀공격력!A:A,B841,팀공격력!B:B,D841)+SUMIFS(팀수비력!X:X,팀수비력!A:A,B841,팀수비력!B:B,D841))))*100,"")</f>
        <v>6.9337241899339652</v>
      </c>
      <c r="BL841" s="67">
        <f>IFERROR(100*AK841/(((((F841*60+G841)/(12000/5))*SUMIFS(팀공격력!P:P,팀공격력!A:A,B841,팀공격력!B:B,D841))-K841)),"")</f>
        <v>8.7525437080151427</v>
      </c>
      <c r="BM841" s="67">
        <f>IFERROR(100*((AM841/E841*(2400))/((F841*60+G841)*SUMIFS(팀공격력!AR:AR,팀공격력!A:A,B841,팀공격력!B:B,D841))),"")</f>
        <v>2.1632338052754352</v>
      </c>
      <c r="BN841" s="67">
        <f>IFERROR((AO841*40)/(((F841*60+G841)/60)*(SUMIFS(팀수비력!Q:Q,팀수비력!A:A,B841,팀수비력!B:B,D841)-SUMIFS(팀수비력!N:N,팀수비력!A:A,B841,팀수비력!B:B,D841)))*100,"")</f>
        <v>1.2222510809282996</v>
      </c>
      <c r="BO841" s="67">
        <f t="shared" si="425"/>
        <v>11.007827788649706</v>
      </c>
      <c r="BT841" t="s">
        <v>89</v>
      </c>
      <c r="BV841" t="s">
        <v>93</v>
      </c>
      <c r="CF841">
        <v>5</v>
      </c>
      <c r="CG841">
        <v>4</v>
      </c>
    </row>
    <row r="842" spans="1:85" x14ac:dyDescent="0.4">
      <c r="A842" s="11" t="s">
        <v>85</v>
      </c>
      <c r="B842" t="s">
        <v>123</v>
      </c>
      <c r="C842" t="s">
        <v>133</v>
      </c>
      <c r="D842" s="46" t="s">
        <v>312</v>
      </c>
      <c r="E842">
        <v>6</v>
      </c>
      <c r="F842">
        <v>6</v>
      </c>
      <c r="G842" s="1">
        <v>15</v>
      </c>
      <c r="H842" s="16">
        <f t="shared" si="400"/>
        <v>2250</v>
      </c>
      <c r="I842">
        <v>4</v>
      </c>
      <c r="J842" s="17">
        <f t="shared" si="401"/>
        <v>0.66666666666666663</v>
      </c>
      <c r="K842">
        <v>1</v>
      </c>
      <c r="L842">
        <v>3</v>
      </c>
      <c r="M842" s="17">
        <f t="shared" si="402"/>
        <v>0.16666666666666666</v>
      </c>
      <c r="N842" s="17">
        <f t="shared" si="403"/>
        <v>0.5</v>
      </c>
      <c r="O842" s="18">
        <f t="shared" si="404"/>
        <v>0.33333333333333331</v>
      </c>
      <c r="P842">
        <v>1</v>
      </c>
      <c r="Q842">
        <v>2</v>
      </c>
      <c r="R842" s="17">
        <f t="shared" si="405"/>
        <v>0.16666666666666666</v>
      </c>
      <c r="S842" s="17">
        <f t="shared" si="406"/>
        <v>0.33333333333333331</v>
      </c>
      <c r="T842" s="18">
        <f t="shared" si="407"/>
        <v>0.5</v>
      </c>
      <c r="U842">
        <v>0</v>
      </c>
      <c r="V842">
        <v>1</v>
      </c>
      <c r="W842" s="17">
        <f t="shared" si="408"/>
        <v>0</v>
      </c>
      <c r="X842" s="17">
        <f t="shared" si="409"/>
        <v>0.16666666666666666</v>
      </c>
      <c r="Y842" s="18">
        <f t="shared" si="410"/>
        <v>0</v>
      </c>
      <c r="Z842">
        <v>2</v>
      </c>
      <c r="AA842">
        <v>2</v>
      </c>
      <c r="AB842" s="17">
        <f t="shared" si="411"/>
        <v>0.33333333333333331</v>
      </c>
      <c r="AC842" s="17">
        <f t="shared" si="412"/>
        <v>0.33333333333333331</v>
      </c>
      <c r="AD842" s="18">
        <f t="shared" si="413"/>
        <v>1</v>
      </c>
      <c r="AE842">
        <v>2</v>
      </c>
      <c r="AF842" s="17">
        <f t="shared" si="414"/>
        <v>0.33333333333333331</v>
      </c>
      <c r="AG842">
        <v>0</v>
      </c>
      <c r="AH842" s="17">
        <f t="shared" si="415"/>
        <v>0</v>
      </c>
      <c r="AI842">
        <v>2</v>
      </c>
      <c r="AJ842" s="17">
        <f t="shared" si="416"/>
        <v>0.33333333333333331</v>
      </c>
      <c r="AK842">
        <v>1</v>
      </c>
      <c r="AL842" s="17">
        <f t="shared" si="417"/>
        <v>0.16666666666666666</v>
      </c>
      <c r="AM842">
        <v>1</v>
      </c>
      <c r="AN842" s="17">
        <f t="shared" si="418"/>
        <v>0.16666666666666666</v>
      </c>
      <c r="AO842">
        <v>0</v>
      </c>
      <c r="AQ842">
        <v>2</v>
      </c>
      <c r="AR842" s="17">
        <f t="shared" si="419"/>
        <v>0.33333333333333331</v>
      </c>
      <c r="AS842">
        <v>11</v>
      </c>
      <c r="AT842" s="17">
        <f t="shared" si="420"/>
        <v>1.8333333333333333</v>
      </c>
      <c r="BD842" s="65">
        <f t="shared" si="421"/>
        <v>51.546391752577328</v>
      </c>
      <c r="BE842" s="65">
        <f t="shared" si="422"/>
        <v>33.333333333333329</v>
      </c>
      <c r="BF842" s="66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5.1482981284885634</v>
      </c>
      <c r="BG842" s="38">
        <f t="shared" si="423"/>
        <v>0.33333333333333331</v>
      </c>
      <c r="BH842" s="38">
        <f t="shared" si="424"/>
        <v>0.66666666666666663</v>
      </c>
      <c r="BI842" s="67">
        <f>IFERROR(((AG842*(12000/5))/((F842*60+G842)*(SUMIFS(팀공격력!X:X,팀공격력!A:A,B842,팀공격력!B:B,D842)+SUMIFS(팀수비력!X:X,팀수비력!A:A,B842,팀수비력!B:B,D842))))*100,"")</f>
        <v>0</v>
      </c>
      <c r="BJ842" s="67">
        <f>IFERROR(((AI842*(12000/5))/((F842*60+G842)*(SUMIFS(팀공격력!V:V,팀공격력!A:A,B842,팀공격력!B:B,D842)+SUMIFS(팀수비력!W:W,팀수비력!A:A,B842,팀수비력!B:B,D842))))*100,"")</f>
        <v>4.3097643097643097</v>
      </c>
      <c r="BK842" s="67">
        <f>IFERROR(((AE842*(12000/5))/((F842*60+G842)*(SUMIFS(팀공격력!X:X,팀공격력!A:A,B842,팀공격력!B:B,D842)+SUMIFS(팀수비력!X:X,팀수비력!A:A,B842,팀수비력!B:B,D842))))*100,"")</f>
        <v>2.180579216354344</v>
      </c>
      <c r="BL842" s="67">
        <f>IFERROR(100*AK842/(((((F842*60+G842)/(12000/5))*SUMIFS(팀공격력!P:P,팀공격력!A:A,B842,팀공격력!B:B,D842))-K842)),"")</f>
        <v>2.5137470542026707</v>
      </c>
      <c r="BM842" s="67">
        <f>IFERROR(100*((AM842/E842*(2400))/((F842*60+G842)*SUMIFS(팀공격력!AR:AR,팀공격력!A:A,B842,팀공격력!B:B,D842))),"")</f>
        <v>1.5307042406128979</v>
      </c>
      <c r="BN842" s="67">
        <f>IFERROR((AO842*40)/(((F842*60+G842)/60)*(SUMIFS(팀수비력!Q:Q,팀수비력!A:A,B842,팀수비력!B:B,D842)-SUMIFS(팀수비력!N:N,팀수비력!A:A,B842,팀수비력!B:B,D842)))*100,"")</f>
        <v>0</v>
      </c>
      <c r="BO842" s="67">
        <f t="shared" si="425"/>
        <v>34.013605442176875</v>
      </c>
      <c r="BT842" t="s">
        <v>89</v>
      </c>
      <c r="BV842" t="s">
        <v>90</v>
      </c>
      <c r="CF842">
        <v>3</v>
      </c>
      <c r="CG842">
        <v>3</v>
      </c>
    </row>
    <row r="843" spans="1:85" x14ac:dyDescent="0.4">
      <c r="A843" s="11" t="s">
        <v>85</v>
      </c>
      <c r="B843" t="s">
        <v>123</v>
      </c>
      <c r="C843" t="s">
        <v>134</v>
      </c>
      <c r="D843" s="46" t="s">
        <v>312</v>
      </c>
      <c r="E843">
        <v>6</v>
      </c>
      <c r="F843">
        <v>23</v>
      </c>
      <c r="G843" s="1">
        <v>54</v>
      </c>
      <c r="H843" s="16">
        <f t="shared" si="400"/>
        <v>8604</v>
      </c>
      <c r="I843">
        <v>119</v>
      </c>
      <c r="J843" s="17">
        <f t="shared" si="401"/>
        <v>19.833333333333332</v>
      </c>
      <c r="K843">
        <v>44</v>
      </c>
      <c r="L843">
        <v>93</v>
      </c>
      <c r="M843" s="17">
        <f t="shared" si="402"/>
        <v>7.333333333333333</v>
      </c>
      <c r="N843" s="17">
        <f t="shared" si="403"/>
        <v>15.5</v>
      </c>
      <c r="O843" s="18">
        <f t="shared" si="404"/>
        <v>0.4731182795698925</v>
      </c>
      <c r="P843">
        <v>32</v>
      </c>
      <c r="Q843">
        <v>63</v>
      </c>
      <c r="R843" s="17">
        <f t="shared" si="405"/>
        <v>5.333333333333333</v>
      </c>
      <c r="S843" s="17">
        <f t="shared" si="406"/>
        <v>10.5</v>
      </c>
      <c r="T843" s="18">
        <f t="shared" si="407"/>
        <v>0.50793650793650791</v>
      </c>
      <c r="U843">
        <v>12</v>
      </c>
      <c r="V843">
        <v>30</v>
      </c>
      <c r="W843" s="17">
        <f t="shared" si="408"/>
        <v>2</v>
      </c>
      <c r="X843" s="17">
        <f t="shared" si="409"/>
        <v>5</v>
      </c>
      <c r="Y843" s="18">
        <f t="shared" si="410"/>
        <v>0.4</v>
      </c>
      <c r="Z843">
        <v>19</v>
      </c>
      <c r="AA843">
        <v>23</v>
      </c>
      <c r="AB843" s="17">
        <f t="shared" si="411"/>
        <v>3.1666666666666665</v>
      </c>
      <c r="AC843" s="17">
        <f t="shared" si="412"/>
        <v>3.8333333333333335</v>
      </c>
      <c r="AD843" s="18">
        <f t="shared" si="413"/>
        <v>0.82608695652173914</v>
      </c>
      <c r="AE843">
        <v>44</v>
      </c>
      <c r="AF843" s="17">
        <f t="shared" si="414"/>
        <v>7.333333333333333</v>
      </c>
      <c r="AG843">
        <v>7</v>
      </c>
      <c r="AH843" s="17">
        <f t="shared" si="415"/>
        <v>1.1666666666666667</v>
      </c>
      <c r="AI843">
        <v>37</v>
      </c>
      <c r="AJ843" s="17">
        <f t="shared" si="416"/>
        <v>6.166666666666667</v>
      </c>
      <c r="AK843">
        <v>6</v>
      </c>
      <c r="AL843" s="17">
        <f t="shared" si="417"/>
        <v>1</v>
      </c>
      <c r="AM843">
        <v>6</v>
      </c>
      <c r="AN843" s="17">
        <f t="shared" si="418"/>
        <v>1</v>
      </c>
      <c r="AO843">
        <v>3</v>
      </c>
      <c r="AQ843">
        <v>14</v>
      </c>
      <c r="AR843" s="17">
        <f t="shared" si="419"/>
        <v>2.3333333333333335</v>
      </c>
      <c r="AS843">
        <v>11</v>
      </c>
      <c r="AT843" s="17">
        <f t="shared" si="420"/>
        <v>1.8333333333333333</v>
      </c>
      <c r="BD843" s="65">
        <f t="shared" si="421"/>
        <v>57.699767261442979</v>
      </c>
      <c r="BE843" s="65">
        <f t="shared" si="422"/>
        <v>53.763440860215049</v>
      </c>
      <c r="BF843" s="66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26.816342399265846</v>
      </c>
      <c r="BG843" s="38">
        <f t="shared" si="423"/>
        <v>0.32258064516129031</v>
      </c>
      <c r="BH843" s="38">
        <f t="shared" si="424"/>
        <v>0.24731182795698925</v>
      </c>
      <c r="BI843" s="67">
        <f>IFERROR(((AG843*(12000/5))/((F843*60+G843)*(SUMIFS(팀공격력!X:X,팀공격력!A:A,B843,팀공격력!B:B,D843)+SUMIFS(팀수비력!X:X,팀수비력!A:A,B843,팀수비력!B:B,D843))))*100,"")</f>
        <v>1.9958230275209741</v>
      </c>
      <c r="BJ843" s="67">
        <f>IFERROR(((AI843*(12000/5))/((F843*60+G843)*(SUMIFS(팀공격력!V:V,팀공격력!A:A,B843,팀공격력!B:B,D843)+SUMIFS(팀수비력!W:W,팀수비력!A:A,B843,팀수비력!B:B,D843))))*100,"")</f>
        <v>20.850062691066874</v>
      </c>
      <c r="BK843" s="67">
        <f>IFERROR(((AE843*(12000/5))/((F843*60+G843)*(SUMIFS(팀공격력!X:X,팀공격력!A:A,B843,팀공격력!B:B,D843)+SUMIFS(팀수비력!X:X,팀수비력!A:A,B843,팀수비력!B:B,D843))))*100,"")</f>
        <v>12.545173315846123</v>
      </c>
      <c r="BL843" s="67">
        <f>IFERROR(100*AK843/(((((F843*60+G843)/(12000/5))*SUMIFS(팀공격력!P:P,팀공격력!A:A,B843,팀공격력!B:B,D843))-K843)),"")</f>
        <v>5.3596551955157539</v>
      </c>
      <c r="BM843" s="67">
        <f>IFERROR(100*((AM843/E843*(2400))/((F843*60+G843)*SUMIFS(팀공격력!AR:AR,팀공격력!A:A,B843,팀공격력!B:B,D843))),"")</f>
        <v>2.4017325951039195</v>
      </c>
      <c r="BN843" s="67">
        <f>IFERROR((AO843*40)/(((F843*60+G843)/60)*(SUMIFS(팀수비력!Q:Q,팀수비력!A:A,B843,팀수비력!B:B,D843)-SUMIFS(팀수비력!N:N,팀수비력!A:A,B843,팀수비력!B:B,D843)))*100,"")</f>
        <v>1.5077839345621773</v>
      </c>
      <c r="BO843" s="67">
        <f t="shared" si="425"/>
        <v>11.953551912568306</v>
      </c>
      <c r="BT843" t="s">
        <v>96</v>
      </c>
      <c r="BV843" t="s">
        <v>93</v>
      </c>
      <c r="CF843">
        <v>3</v>
      </c>
      <c r="CG843">
        <v>3</v>
      </c>
    </row>
    <row r="844" spans="1:85" x14ac:dyDescent="0.4">
      <c r="A844" s="11" t="s">
        <v>85</v>
      </c>
      <c r="B844" t="s">
        <v>123</v>
      </c>
      <c r="C844" t="s">
        <v>137</v>
      </c>
      <c r="D844" s="46" t="s">
        <v>312</v>
      </c>
      <c r="E844">
        <v>4</v>
      </c>
      <c r="F844">
        <v>2</v>
      </c>
      <c r="G844" s="1">
        <v>53</v>
      </c>
      <c r="H844" s="16">
        <f t="shared" si="400"/>
        <v>692</v>
      </c>
      <c r="I844">
        <v>0</v>
      </c>
      <c r="J844" s="17">
        <f t="shared" si="401"/>
        <v>0</v>
      </c>
      <c r="K844">
        <v>0</v>
      </c>
      <c r="L844">
        <v>4</v>
      </c>
      <c r="M844" s="17">
        <f t="shared" si="402"/>
        <v>0</v>
      </c>
      <c r="N844" s="17">
        <f t="shared" si="403"/>
        <v>1</v>
      </c>
      <c r="O844" s="18">
        <f t="shared" si="404"/>
        <v>0</v>
      </c>
      <c r="P844">
        <v>0</v>
      </c>
      <c r="Q844">
        <v>2</v>
      </c>
      <c r="R844" s="17">
        <f t="shared" si="405"/>
        <v>0</v>
      </c>
      <c r="S844" s="17">
        <f t="shared" si="406"/>
        <v>0.5</v>
      </c>
      <c r="T844" s="18">
        <f t="shared" si="407"/>
        <v>0</v>
      </c>
      <c r="U844">
        <v>0</v>
      </c>
      <c r="V844">
        <v>2</v>
      </c>
      <c r="W844" s="17">
        <f t="shared" si="408"/>
        <v>0</v>
      </c>
      <c r="X844" s="17">
        <f t="shared" si="409"/>
        <v>0.5</v>
      </c>
      <c r="Y844" s="18">
        <f t="shared" si="410"/>
        <v>0</v>
      </c>
      <c r="Z844">
        <v>0</v>
      </c>
      <c r="AA844">
        <v>2</v>
      </c>
      <c r="AB844" s="17">
        <f t="shared" si="411"/>
        <v>0</v>
      </c>
      <c r="AC844" s="17">
        <f t="shared" si="412"/>
        <v>0.5</v>
      </c>
      <c r="AD844" s="18">
        <f t="shared" si="413"/>
        <v>0</v>
      </c>
      <c r="AE844">
        <v>2</v>
      </c>
      <c r="AF844" s="17">
        <f t="shared" si="414"/>
        <v>0.5</v>
      </c>
      <c r="AG844">
        <v>0</v>
      </c>
      <c r="AH844" s="17">
        <f t="shared" si="415"/>
        <v>0</v>
      </c>
      <c r="AI844">
        <v>2</v>
      </c>
      <c r="AJ844" s="17">
        <f t="shared" si="416"/>
        <v>0.5</v>
      </c>
      <c r="AK844">
        <v>0</v>
      </c>
      <c r="AL844" s="17">
        <f t="shared" si="417"/>
        <v>0</v>
      </c>
      <c r="AM844">
        <v>1</v>
      </c>
      <c r="AN844" s="17">
        <f t="shared" si="418"/>
        <v>0.25</v>
      </c>
      <c r="AO844">
        <v>0</v>
      </c>
      <c r="AQ844">
        <v>0</v>
      </c>
      <c r="AR844" s="17">
        <f t="shared" si="419"/>
        <v>0</v>
      </c>
      <c r="AS844">
        <v>1</v>
      </c>
      <c r="AT844" s="17">
        <f t="shared" si="420"/>
        <v>0.25</v>
      </c>
      <c r="BD844" s="65">
        <f t="shared" si="421"/>
        <v>0</v>
      </c>
      <c r="BE844" s="65">
        <f t="shared" si="422"/>
        <v>0</v>
      </c>
      <c r="BF844" s="66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9.2617136321163844</v>
      </c>
      <c r="BG844" s="38">
        <f t="shared" si="423"/>
        <v>0.5</v>
      </c>
      <c r="BH844" s="38">
        <f t="shared" si="424"/>
        <v>0.5</v>
      </c>
      <c r="BI844" s="67">
        <f>IFERROR(((AG844*(12000/5))/((F844*60+G844)*(SUMIFS(팀공격력!X:X,팀공격력!A:A,B844,팀공격력!B:B,D844)+SUMIFS(팀수비력!X:X,팀수비력!A:A,B844,팀수비력!B:B,D844))))*100,"")</f>
        <v>0</v>
      </c>
      <c r="BJ844" s="67">
        <f>IFERROR(((AI844*(12000/5))/((F844*60+G844)*(SUMIFS(팀공격력!V:V,팀공격력!A:A,B844,팀공격력!B:B,D844)+SUMIFS(팀수비력!W:W,팀수비력!A:A,B844,팀수비력!B:B,D844))))*100,"")</f>
        <v>9.3419746598937348</v>
      </c>
      <c r="BK844" s="67">
        <f>IFERROR(((AE844*(12000/5))/((F844*60+G844)*(SUMIFS(팀공격력!X:X,팀공격력!A:A,B844,팀공격력!B:B,D844)+SUMIFS(팀수비력!X:X,팀수비력!A:A,B844,팀수비력!B:B,D844))))*100,"")</f>
        <v>4.7266890527912082</v>
      </c>
      <c r="BL844" s="67">
        <f>IFERROR(100*AK844/(((((F844*60+G844)/(12000/5))*SUMIFS(팀공격력!P:P,팀공격력!A:A,B844,팀공격력!B:B,D844))-K844)),"")</f>
        <v>0</v>
      </c>
      <c r="BM844" s="67">
        <f>IFERROR(100*((AM844/E844*(2400))/((F844*60+G844)*SUMIFS(팀공격력!AR:AR,팀공격력!A:A,B844,팀공격력!B:B,D844))),"")</f>
        <v>4.9770007823396254</v>
      </c>
      <c r="BN844" s="67">
        <f>IFERROR((AO844*40)/(((F844*60+G844)/60)*(SUMIFS(팀수비력!Q:Q,팀수비력!A:A,B844,팀수비력!B:B,D844)-SUMIFS(팀수비력!N:N,팀수비력!A:A,B844,팀수비력!B:B,D844)))*100,"")</f>
        <v>0</v>
      </c>
      <c r="BO844" s="67">
        <f t="shared" si="425"/>
        <v>0</v>
      </c>
      <c r="BT844" t="s">
        <v>89</v>
      </c>
      <c r="BV844" t="s">
        <v>90</v>
      </c>
      <c r="CF844">
        <v>1</v>
      </c>
      <c r="CG844">
        <v>3</v>
      </c>
    </row>
    <row r="845" spans="1:85" x14ac:dyDescent="0.4">
      <c r="A845" s="11" t="s">
        <v>85</v>
      </c>
      <c r="B845" t="s">
        <v>123</v>
      </c>
      <c r="C845" t="s">
        <v>139</v>
      </c>
      <c r="D845" s="46" t="s">
        <v>312</v>
      </c>
      <c r="E845">
        <v>9</v>
      </c>
      <c r="F845">
        <v>28</v>
      </c>
      <c r="G845" s="1">
        <v>57</v>
      </c>
      <c r="H845" s="16">
        <f t="shared" si="400"/>
        <v>15633</v>
      </c>
      <c r="I845">
        <v>104</v>
      </c>
      <c r="J845" s="17">
        <f t="shared" si="401"/>
        <v>11.555555555555555</v>
      </c>
      <c r="K845">
        <v>42</v>
      </c>
      <c r="L845">
        <v>82</v>
      </c>
      <c r="M845" s="17">
        <f t="shared" si="402"/>
        <v>4.666666666666667</v>
      </c>
      <c r="N845" s="17">
        <f t="shared" si="403"/>
        <v>9.1111111111111107</v>
      </c>
      <c r="O845" s="18">
        <f t="shared" si="404"/>
        <v>0.51219512195121952</v>
      </c>
      <c r="P845">
        <v>36</v>
      </c>
      <c r="Q845">
        <v>63</v>
      </c>
      <c r="R845" s="17">
        <f t="shared" si="405"/>
        <v>4</v>
      </c>
      <c r="S845" s="17">
        <f t="shared" si="406"/>
        <v>7</v>
      </c>
      <c r="T845" s="18">
        <f t="shared" si="407"/>
        <v>0.5714285714285714</v>
      </c>
      <c r="U845">
        <v>6</v>
      </c>
      <c r="V845">
        <v>19</v>
      </c>
      <c r="W845" s="17">
        <f t="shared" si="408"/>
        <v>0.66666666666666663</v>
      </c>
      <c r="X845" s="17">
        <f t="shared" si="409"/>
        <v>2.1111111111111112</v>
      </c>
      <c r="Y845" s="18">
        <f t="shared" si="410"/>
        <v>0.31578947368421051</v>
      </c>
      <c r="Z845">
        <v>14</v>
      </c>
      <c r="AA845">
        <v>22</v>
      </c>
      <c r="AB845" s="17">
        <f t="shared" si="411"/>
        <v>1.5555555555555556</v>
      </c>
      <c r="AC845" s="17">
        <f t="shared" si="412"/>
        <v>2.4444444444444446</v>
      </c>
      <c r="AD845" s="18">
        <f t="shared" si="413"/>
        <v>0.63636363636363635</v>
      </c>
      <c r="AE845">
        <v>42</v>
      </c>
      <c r="AF845" s="17">
        <f t="shared" si="414"/>
        <v>4.666666666666667</v>
      </c>
      <c r="AG845">
        <v>18</v>
      </c>
      <c r="AH845" s="17">
        <f t="shared" si="415"/>
        <v>2</v>
      </c>
      <c r="AI845">
        <v>24</v>
      </c>
      <c r="AJ845" s="17">
        <f t="shared" si="416"/>
        <v>2.6666666666666665</v>
      </c>
      <c r="AK845">
        <v>13</v>
      </c>
      <c r="AL845" s="17">
        <f t="shared" si="417"/>
        <v>1.4444444444444444</v>
      </c>
      <c r="AM845">
        <v>7</v>
      </c>
      <c r="AN845" s="17">
        <f t="shared" si="418"/>
        <v>0.77777777777777779</v>
      </c>
      <c r="AO845">
        <v>1</v>
      </c>
      <c r="AQ845">
        <v>8</v>
      </c>
      <c r="AR845" s="17">
        <f t="shared" si="419"/>
        <v>0.88888888888888884</v>
      </c>
      <c r="AS845">
        <v>20</v>
      </c>
      <c r="AT845" s="17">
        <f t="shared" si="420"/>
        <v>2.2222222222222223</v>
      </c>
      <c r="BD845" s="65">
        <f t="shared" si="421"/>
        <v>56.719022687609069</v>
      </c>
      <c r="BE845" s="65">
        <f t="shared" si="422"/>
        <v>54.878048780487809</v>
      </c>
      <c r="BF845" s="66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18.841949725943014</v>
      </c>
      <c r="BG845" s="38">
        <f t="shared" si="423"/>
        <v>0.23170731707317074</v>
      </c>
      <c r="BH845" s="38">
        <f t="shared" si="424"/>
        <v>0.26829268292682928</v>
      </c>
      <c r="BI845" s="67">
        <f>IFERROR(((AG845*(12000/5))/((F845*60+G845)*(SUMIFS(팀공격력!X:X,팀공격력!A:A,B845,팀공격력!B:B,D845)+SUMIFS(팀수비력!X:X,팀수비력!A:A,B845,팀수비력!B:B,D845))))*100,"")</f>
        <v>4.2368767157143994</v>
      </c>
      <c r="BJ845" s="67">
        <f>IFERROR(((AI845*(12000/5))/((F845*60+G845)*(SUMIFS(팀공격력!V:V,팀공격력!A:A,B845,팀공격력!B:B,D845)+SUMIFS(팀수비력!W:W,팀수비력!A:A,B845,팀수비력!B:B,D845))))*100,"")</f>
        <v>11.165192512342772</v>
      </c>
      <c r="BK845" s="67">
        <f>IFERROR(((AE845*(12000/5))/((F845*60+G845)*(SUMIFS(팀공격력!X:X,팀공격력!A:A,B845,팀공격력!B:B,D845)+SUMIFS(팀수비력!X:X,팀수비력!A:A,B845,팀수비력!B:B,D845))))*100,"")</f>
        <v>9.8860456700002644</v>
      </c>
      <c r="BL845" s="67">
        <f>IFERROR(100*AK845/(((((F845*60+G845)/(12000/5))*SUMIFS(팀공격력!P:P,팀공격력!A:A,B845,팀공격력!B:B,D845))-K845)),"")</f>
        <v>8.8496328253303709</v>
      </c>
      <c r="BM845" s="67">
        <f>IFERROR(100*((AM845/E845*(2400))/((F845*60+G845)*SUMIFS(팀공격력!AR:AR,팀공격력!A:A,B845,팀공격력!B:B,D845))),"")</f>
        <v>1.5421602884701044</v>
      </c>
      <c r="BN845" s="67">
        <f>IFERROR((AO845*40)/(((F845*60+G845)/60)*(SUMIFS(팀수비력!Q:Q,팀수비력!A:A,B845,팀수비력!B:B,D845)-SUMIFS(팀수비력!N:N,팀수비력!A:A,B845,팀수비력!B:B,D845)))*100,"")</f>
        <v>0.41492269471544085</v>
      </c>
      <c r="BO845" s="67">
        <f t="shared" si="425"/>
        <v>8.0256821829855536</v>
      </c>
      <c r="BT845" t="s">
        <v>89</v>
      </c>
      <c r="BV845" t="s">
        <v>93</v>
      </c>
      <c r="CF845">
        <v>5</v>
      </c>
      <c r="CG845">
        <v>4</v>
      </c>
    </row>
    <row r="846" spans="1:85" x14ac:dyDescent="0.4">
      <c r="A846" s="11" t="s">
        <v>85</v>
      </c>
      <c r="B846" t="s">
        <v>123</v>
      </c>
      <c r="C846" t="s">
        <v>140</v>
      </c>
      <c r="D846" s="46" t="s">
        <v>312</v>
      </c>
      <c r="E846">
        <v>4</v>
      </c>
      <c r="F846">
        <v>0</v>
      </c>
      <c r="G846" s="1">
        <v>43</v>
      </c>
      <c r="H846" s="16">
        <f t="shared" si="400"/>
        <v>172</v>
      </c>
      <c r="I846">
        <v>4</v>
      </c>
      <c r="J846" s="17">
        <f t="shared" si="401"/>
        <v>1</v>
      </c>
      <c r="K846">
        <v>1</v>
      </c>
      <c r="L846">
        <v>1</v>
      </c>
      <c r="M846" s="17">
        <f t="shared" si="402"/>
        <v>0.25</v>
      </c>
      <c r="N846" s="17">
        <f t="shared" si="403"/>
        <v>0.25</v>
      </c>
      <c r="O846" s="18">
        <f t="shared" si="404"/>
        <v>1</v>
      </c>
      <c r="P846">
        <v>0</v>
      </c>
      <c r="Q846">
        <v>0</v>
      </c>
      <c r="R846" s="17">
        <f t="shared" si="405"/>
        <v>0</v>
      </c>
      <c r="S846" s="17">
        <f t="shared" si="406"/>
        <v>0</v>
      </c>
      <c r="T846" s="18" t="e">
        <f t="shared" si="407"/>
        <v>#DIV/0!</v>
      </c>
      <c r="U846">
        <v>1</v>
      </c>
      <c r="V846">
        <v>1</v>
      </c>
      <c r="W846" s="17">
        <f t="shared" si="408"/>
        <v>0.25</v>
      </c>
      <c r="X846" s="17">
        <f t="shared" si="409"/>
        <v>0.25</v>
      </c>
      <c r="Y846" s="18">
        <f t="shared" si="410"/>
        <v>1</v>
      </c>
      <c r="Z846">
        <v>1</v>
      </c>
      <c r="AA846">
        <v>2</v>
      </c>
      <c r="AB846" s="17">
        <f t="shared" si="411"/>
        <v>0.25</v>
      </c>
      <c r="AC846" s="17">
        <f t="shared" si="412"/>
        <v>0.5</v>
      </c>
      <c r="AD846" s="18">
        <f t="shared" si="413"/>
        <v>0.5</v>
      </c>
      <c r="AE846">
        <v>0</v>
      </c>
      <c r="AF846" s="17">
        <f t="shared" si="414"/>
        <v>0</v>
      </c>
      <c r="AG846">
        <v>0</v>
      </c>
      <c r="AH846" s="17">
        <f t="shared" si="415"/>
        <v>0</v>
      </c>
      <c r="AI846">
        <v>0</v>
      </c>
      <c r="AJ846" s="17">
        <f t="shared" si="416"/>
        <v>0</v>
      </c>
      <c r="AK846">
        <v>0</v>
      </c>
      <c r="AL846" s="17">
        <f t="shared" si="417"/>
        <v>0</v>
      </c>
      <c r="AM846">
        <v>1</v>
      </c>
      <c r="AN846" s="17">
        <f t="shared" si="418"/>
        <v>0.25</v>
      </c>
      <c r="AO846">
        <v>0</v>
      </c>
      <c r="AQ846">
        <v>0</v>
      </c>
      <c r="AR846" s="17">
        <f t="shared" si="419"/>
        <v>0</v>
      </c>
      <c r="AS846">
        <v>0</v>
      </c>
      <c r="AT846" s="17">
        <f t="shared" si="420"/>
        <v>0</v>
      </c>
      <c r="BD846" s="65">
        <f t="shared" si="421"/>
        <v>106.38297872340425</v>
      </c>
      <c r="BE846" s="65">
        <f t="shared" si="422"/>
        <v>150</v>
      </c>
      <c r="BF846" s="66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14.355126485462888</v>
      </c>
      <c r="BG846" s="38">
        <f t="shared" si="423"/>
        <v>1</v>
      </c>
      <c r="BH846" s="38">
        <f t="shared" si="424"/>
        <v>2</v>
      </c>
      <c r="BI846" s="67">
        <f>IFERROR(((AG846*(12000/5))/((F846*60+G846)*(SUMIFS(팀공격력!X:X,팀공격력!A:A,B846,팀공격력!B:B,D846)+SUMIFS(팀수비력!X:X,팀수비력!A:A,B846,팀수비력!B:B,D846))))*100,"")</f>
        <v>0</v>
      </c>
      <c r="BJ846" s="67">
        <f>IFERROR(((AI846*(12000/5))/((F846*60+G846)*(SUMIFS(팀공격력!V:V,팀공격력!A:A,B846,팀공격력!B:B,D846)+SUMIFS(팀수비력!W:W,팀수비력!A:A,B846,팀수비력!B:B,D846))))*100,"")</f>
        <v>0</v>
      </c>
      <c r="BK846" s="67">
        <f>IFERROR(((AE846*(12000/5))/((F846*60+G846)*(SUMIFS(팀공격력!X:X,팀공격력!A:A,B846,팀공격력!B:B,D846)+SUMIFS(팀수비력!X:X,팀수비력!A:A,B846,팀수비력!B:B,D846))))*100,"")</f>
        <v>0</v>
      </c>
      <c r="BL846" s="67">
        <f>IFERROR(100*AK846/(((((F846*60+G846)/(12000/5))*SUMIFS(팀공격력!P:P,팀공격력!A:A,B846,팀공격력!B:B,D846))-K846)),"")</f>
        <v>0</v>
      </c>
      <c r="BM846" s="67">
        <f>IFERROR(100*((AM846/E846*(2400))/((F846*60+G846)*SUMIFS(팀공격력!AR:AR,팀공격력!A:A,B846,팀공격력!B:B,D846))),"")</f>
        <v>20.023747333598955</v>
      </c>
      <c r="BN846" s="67">
        <f>IFERROR((AO846*40)/(((F846*60+G846)/60)*(SUMIFS(팀수비력!Q:Q,팀수비력!A:A,B846,팀수비력!B:B,D846)-SUMIFS(팀수비력!N:N,팀수비력!A:A,B846,팀수비력!B:B,D846)))*100,"")</f>
        <v>0</v>
      </c>
      <c r="BO846" s="67">
        <f t="shared" si="425"/>
        <v>0</v>
      </c>
      <c r="BT846" t="s">
        <v>89</v>
      </c>
      <c r="BV846" t="s">
        <v>90</v>
      </c>
      <c r="CF846">
        <v>2</v>
      </c>
      <c r="CG846">
        <v>2</v>
      </c>
    </row>
    <row r="847" spans="1:85" x14ac:dyDescent="0.4">
      <c r="A847" s="11" t="s">
        <v>85</v>
      </c>
      <c r="B847" t="s">
        <v>123</v>
      </c>
      <c r="C847" t="s">
        <v>142</v>
      </c>
      <c r="D847" s="46" t="s">
        <v>312</v>
      </c>
      <c r="E847">
        <v>4</v>
      </c>
      <c r="F847">
        <v>5</v>
      </c>
      <c r="G847" s="1">
        <v>8</v>
      </c>
      <c r="H847" s="16">
        <f t="shared" si="400"/>
        <v>1232</v>
      </c>
      <c r="I847">
        <v>10</v>
      </c>
      <c r="J847" s="17">
        <f t="shared" si="401"/>
        <v>2.5</v>
      </c>
      <c r="K847">
        <v>4</v>
      </c>
      <c r="L847">
        <v>8</v>
      </c>
      <c r="M847" s="17">
        <f t="shared" si="402"/>
        <v>1</v>
      </c>
      <c r="N847" s="17">
        <f t="shared" si="403"/>
        <v>2</v>
      </c>
      <c r="O847" s="18">
        <f t="shared" si="404"/>
        <v>0.5</v>
      </c>
      <c r="P847">
        <v>2</v>
      </c>
      <c r="Q847">
        <v>2</v>
      </c>
      <c r="R847" s="17">
        <f t="shared" si="405"/>
        <v>0.5</v>
      </c>
      <c r="S847" s="17">
        <f t="shared" si="406"/>
        <v>0.5</v>
      </c>
      <c r="T847" s="18">
        <f t="shared" si="407"/>
        <v>1</v>
      </c>
      <c r="U847">
        <v>2</v>
      </c>
      <c r="V847">
        <v>6</v>
      </c>
      <c r="W847" s="17">
        <f t="shared" si="408"/>
        <v>0.5</v>
      </c>
      <c r="X847" s="17">
        <f t="shared" si="409"/>
        <v>1.5</v>
      </c>
      <c r="Y847" s="18">
        <f t="shared" si="410"/>
        <v>0.33333333333333331</v>
      </c>
      <c r="Z847">
        <v>0</v>
      </c>
      <c r="AA847">
        <v>0</v>
      </c>
      <c r="AB847" s="17">
        <f t="shared" si="411"/>
        <v>0</v>
      </c>
      <c r="AC847" s="17">
        <f t="shared" si="412"/>
        <v>0</v>
      </c>
      <c r="AD847" s="18" t="e">
        <f t="shared" si="413"/>
        <v>#DIV/0!</v>
      </c>
      <c r="AE847">
        <v>1</v>
      </c>
      <c r="AF847" s="17">
        <f t="shared" si="414"/>
        <v>0.25</v>
      </c>
      <c r="AG847">
        <v>1</v>
      </c>
      <c r="AH847" s="17">
        <f t="shared" si="415"/>
        <v>0.25</v>
      </c>
      <c r="AI847">
        <v>0</v>
      </c>
      <c r="AJ847" s="17">
        <f t="shared" si="416"/>
        <v>0</v>
      </c>
      <c r="AK847">
        <v>1</v>
      </c>
      <c r="AL847" s="17">
        <f t="shared" si="417"/>
        <v>0.25</v>
      </c>
      <c r="AM847">
        <v>0</v>
      </c>
      <c r="AN847" s="17">
        <f t="shared" si="418"/>
        <v>0</v>
      </c>
      <c r="AO847">
        <v>0</v>
      </c>
      <c r="AQ847">
        <v>1</v>
      </c>
      <c r="AR847" s="17">
        <f t="shared" si="419"/>
        <v>0.25</v>
      </c>
      <c r="AS847">
        <v>2</v>
      </c>
      <c r="AT847" s="17">
        <f t="shared" si="420"/>
        <v>0.5</v>
      </c>
      <c r="BD847" s="65">
        <f t="shared" si="421"/>
        <v>62.5</v>
      </c>
      <c r="BE847" s="65">
        <f t="shared" si="422"/>
        <v>62.5</v>
      </c>
      <c r="BF847" s="66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9.5942144754665275</v>
      </c>
      <c r="BG847" s="38">
        <f t="shared" si="423"/>
        <v>0.75</v>
      </c>
      <c r="BH847" s="38">
        <f t="shared" si="424"/>
        <v>0</v>
      </c>
      <c r="BI847" s="67">
        <f>IFERROR(((AG847*(12000/5))/((F847*60+G847)*(SUMIFS(팀공격력!X:X,팀공격력!A:A,B847,팀공격력!B:B,D847)+SUMIFS(팀수비력!X:X,팀수비력!A:A,B847,팀수비력!B:B,D847))))*100,"")</f>
        <v>1.3274629969689595</v>
      </c>
      <c r="BJ847" s="67">
        <f>IFERROR(((AI847*(12000/5))/((F847*60+G847)*(SUMIFS(팀공격력!V:V,팀공격력!A:A,B847,팀공격력!B:B,D847)+SUMIFS(팀수비력!W:W,팀수비력!A:A,B847,팀수비력!B:B,D847))))*100,"")</f>
        <v>0</v>
      </c>
      <c r="BK847" s="67">
        <f>IFERROR(((AE847*(12000/5))/((F847*60+G847)*(SUMIFS(팀공격력!X:X,팀공격력!A:A,B847,팀공격력!B:B,D847)+SUMIFS(팀수비력!X:X,팀수비력!A:A,B847,팀수비력!B:B,D847))))*100,"")</f>
        <v>1.3274629969689595</v>
      </c>
      <c r="BL847" s="67">
        <f>IFERROR(100*AK847/(((((F847*60+G847)/(12000/5))*SUMIFS(팀공격력!P:P,팀공격력!A:A,B847,팀공격력!B:B,D847))-K847)),"")</f>
        <v>3.3904051534158337</v>
      </c>
      <c r="BM847" s="67">
        <f>IFERROR(100*((AM847/E847*(2400))/((F847*60+G847)*SUMIFS(팀공격력!AR:AR,팀공격력!A:A,B847,팀공격력!B:B,D847))),"")</f>
        <v>0</v>
      </c>
      <c r="BN847" s="67">
        <f>IFERROR((AO847*40)/(((F847*60+G847)/60)*(SUMIFS(팀수비력!Q:Q,팀수비력!A:A,B847,팀수비력!B:B,D847)-SUMIFS(팀수비력!N:N,팀수비력!A:A,B847,팀수비력!B:B,D847)))*100,"")</f>
        <v>0</v>
      </c>
      <c r="BO847" s="67">
        <f t="shared" si="425"/>
        <v>11.111111111111111</v>
      </c>
      <c r="BT847" t="s">
        <v>89</v>
      </c>
      <c r="BV847" t="s">
        <v>90</v>
      </c>
      <c r="CF847">
        <v>1</v>
      </c>
      <c r="CG847">
        <v>3</v>
      </c>
    </row>
    <row r="848" spans="1:85" x14ac:dyDescent="0.4">
      <c r="A848" s="11" t="s">
        <v>85</v>
      </c>
      <c r="B848" t="s">
        <v>123</v>
      </c>
      <c r="C848" t="s">
        <v>143</v>
      </c>
      <c r="D848" s="46" t="s">
        <v>312</v>
      </c>
      <c r="E848">
        <v>9</v>
      </c>
      <c r="F848">
        <v>27</v>
      </c>
      <c r="G848" s="1">
        <v>10</v>
      </c>
      <c r="H848" s="16">
        <f t="shared" si="400"/>
        <v>14670</v>
      </c>
      <c r="I848">
        <v>44</v>
      </c>
      <c r="J848" s="17">
        <f t="shared" si="401"/>
        <v>4.8888888888888893</v>
      </c>
      <c r="K848">
        <v>16</v>
      </c>
      <c r="L848">
        <v>44</v>
      </c>
      <c r="M848" s="17">
        <f t="shared" si="402"/>
        <v>1.7777777777777777</v>
      </c>
      <c r="N848" s="17">
        <f t="shared" si="403"/>
        <v>4.8888888888888893</v>
      </c>
      <c r="O848" s="18">
        <f t="shared" si="404"/>
        <v>0.36363636363636365</v>
      </c>
      <c r="P848">
        <v>9</v>
      </c>
      <c r="Q848">
        <v>14</v>
      </c>
      <c r="R848" s="17">
        <f t="shared" si="405"/>
        <v>1</v>
      </c>
      <c r="S848" s="17">
        <f t="shared" si="406"/>
        <v>1.5555555555555556</v>
      </c>
      <c r="T848" s="18">
        <f t="shared" si="407"/>
        <v>0.6428571428571429</v>
      </c>
      <c r="U848">
        <v>7</v>
      </c>
      <c r="V848">
        <v>30</v>
      </c>
      <c r="W848" s="17">
        <f t="shared" si="408"/>
        <v>0.77777777777777779</v>
      </c>
      <c r="X848" s="17">
        <f t="shared" si="409"/>
        <v>3.3333333333333335</v>
      </c>
      <c r="Y848" s="18">
        <f t="shared" si="410"/>
        <v>0.23333333333333334</v>
      </c>
      <c r="Z848">
        <v>5</v>
      </c>
      <c r="AA848">
        <v>5</v>
      </c>
      <c r="AB848" s="17">
        <f t="shared" si="411"/>
        <v>0.55555555555555558</v>
      </c>
      <c r="AC848" s="17">
        <f t="shared" si="412"/>
        <v>0.55555555555555558</v>
      </c>
      <c r="AD848" s="18">
        <f t="shared" si="413"/>
        <v>1</v>
      </c>
      <c r="AE848">
        <v>46</v>
      </c>
      <c r="AF848" s="17">
        <f t="shared" si="414"/>
        <v>5.1111111111111107</v>
      </c>
      <c r="AG848">
        <v>16</v>
      </c>
      <c r="AH848" s="17">
        <f t="shared" si="415"/>
        <v>1.7777777777777777</v>
      </c>
      <c r="AI848">
        <v>30</v>
      </c>
      <c r="AJ848" s="17">
        <f t="shared" si="416"/>
        <v>3.3333333333333335</v>
      </c>
      <c r="AK848">
        <v>16</v>
      </c>
      <c r="AL848" s="17">
        <f t="shared" si="417"/>
        <v>1.7777777777777777</v>
      </c>
      <c r="AM848">
        <v>4</v>
      </c>
      <c r="AN848" s="17">
        <f t="shared" si="418"/>
        <v>0.44444444444444442</v>
      </c>
      <c r="AO848">
        <v>0</v>
      </c>
      <c r="AQ848">
        <v>11</v>
      </c>
      <c r="AR848" s="17">
        <f t="shared" si="419"/>
        <v>1.2222222222222223</v>
      </c>
      <c r="AS848">
        <v>26</v>
      </c>
      <c r="AT848" s="17">
        <f t="shared" si="420"/>
        <v>2.8888888888888888</v>
      </c>
      <c r="BD848" s="65">
        <f t="shared" si="421"/>
        <v>47.619047619047613</v>
      </c>
      <c r="BE848" s="65">
        <f t="shared" si="422"/>
        <v>44.31818181818182</v>
      </c>
      <c r="BF848" s="66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11.521951802520729</v>
      </c>
      <c r="BG848" s="38">
        <f t="shared" si="423"/>
        <v>0.68181818181818177</v>
      </c>
      <c r="BH848" s="38">
        <f t="shared" si="424"/>
        <v>0.11363636363636363</v>
      </c>
      <c r="BI848" s="67">
        <f>IFERROR(((AG848*(12000/5))/((F848*60+G848)*(SUMIFS(팀공격력!X:X,팀공격력!A:A,B848,팀공격력!B:B,D848)+SUMIFS(팀수비력!X:X,팀수비력!A:A,B848,팀수비력!B:B,D848))))*100,"")</f>
        <v>4.0133359810202656</v>
      </c>
      <c r="BJ848" s="67">
        <f>IFERROR(((AI848*(12000/5))/((F848*60+G848)*(SUMIFS(팀공격력!V:V,팀공격력!A:A,B848,팀공격력!B:B,D848)+SUMIFS(팀수비력!W:W,팀수비력!A:A,B848,팀수비력!B:B,D848))))*100,"")</f>
        <v>14.872652909462724</v>
      </c>
      <c r="BK848" s="67">
        <f>IFERROR(((AE848*(12000/5))/((F848*60+G848)*(SUMIFS(팀공격력!X:X,팀공격력!A:A,B848,팀공격력!B:B,D848)+SUMIFS(팀수비력!X:X,팀수비력!A:A,B848,팀수비력!B:B,D848))))*100,"")</f>
        <v>11.538340945433262</v>
      </c>
      <c r="BL848" s="67">
        <f>IFERROR(100*AK848/(((((F848*60+G848)/(12000/5))*SUMIFS(팀공격력!P:P,팀공격력!A:A,B848,팀공격력!B:B,D848))-K848)),"")</f>
        <v>9.9217114952329268</v>
      </c>
      <c r="BM848" s="67">
        <f>IFERROR(100*((AM848/E848*(2400))/((F848*60+G848)*SUMIFS(팀공격력!AR:AR,팀공격력!A:A,B848,팀공격력!B:B,D848))),"")</f>
        <v>0.93908235620423164</v>
      </c>
      <c r="BN848" s="67">
        <f>IFERROR((AO848*40)/(((F848*60+G848)/60)*(SUMIFS(팀수비력!Q:Q,팀수비력!A:A,B848,팀수비력!B:B,D848)-SUMIFS(팀수비력!N:N,팀수비력!A:A,B848,팀수비력!B:B,D848)))*100,"")</f>
        <v>0</v>
      </c>
      <c r="BO848" s="67">
        <f t="shared" si="425"/>
        <v>19.23076923076923</v>
      </c>
      <c r="BT848" t="s">
        <v>89</v>
      </c>
      <c r="BV848" t="s">
        <v>93</v>
      </c>
      <c r="CF848">
        <v>5</v>
      </c>
      <c r="CG848">
        <v>4</v>
      </c>
    </row>
    <row r="849" spans="1:85" x14ac:dyDescent="0.4">
      <c r="A849" s="11" t="s">
        <v>85</v>
      </c>
      <c r="B849" t="s">
        <v>123</v>
      </c>
      <c r="C849" t="s">
        <v>144</v>
      </c>
      <c r="D849" s="46" t="s">
        <v>312</v>
      </c>
      <c r="E849">
        <v>1</v>
      </c>
      <c r="F849">
        <v>1</v>
      </c>
      <c r="G849" s="1">
        <v>32</v>
      </c>
      <c r="H849" s="16">
        <f t="shared" si="400"/>
        <v>92</v>
      </c>
      <c r="I849">
        <v>0</v>
      </c>
      <c r="J849" s="17">
        <f t="shared" si="401"/>
        <v>0</v>
      </c>
      <c r="K849">
        <v>0</v>
      </c>
      <c r="L849">
        <v>0</v>
      </c>
      <c r="M849" s="17">
        <f t="shared" si="402"/>
        <v>0</v>
      </c>
      <c r="N849" s="17">
        <f t="shared" si="403"/>
        <v>0</v>
      </c>
      <c r="O849" s="18" t="e">
        <f t="shared" si="404"/>
        <v>#DIV/0!</v>
      </c>
      <c r="P849">
        <v>0</v>
      </c>
      <c r="Q849">
        <v>0</v>
      </c>
      <c r="R849" s="17">
        <f t="shared" si="405"/>
        <v>0</v>
      </c>
      <c r="S849" s="17">
        <f t="shared" si="406"/>
        <v>0</v>
      </c>
      <c r="T849" s="18" t="e">
        <f t="shared" si="407"/>
        <v>#DIV/0!</v>
      </c>
      <c r="U849">
        <v>0</v>
      </c>
      <c r="V849">
        <v>0</v>
      </c>
      <c r="W849" s="17">
        <f t="shared" si="408"/>
        <v>0</v>
      </c>
      <c r="X849" s="17">
        <f t="shared" si="409"/>
        <v>0</v>
      </c>
      <c r="Y849" s="18" t="e">
        <f t="shared" si="410"/>
        <v>#DIV/0!</v>
      </c>
      <c r="Z849">
        <v>0</v>
      </c>
      <c r="AA849">
        <v>0</v>
      </c>
      <c r="AB849" s="17">
        <f t="shared" si="411"/>
        <v>0</v>
      </c>
      <c r="AC849" s="17">
        <f t="shared" si="412"/>
        <v>0</v>
      </c>
      <c r="AD849" s="18" t="e">
        <f t="shared" si="413"/>
        <v>#DIV/0!</v>
      </c>
      <c r="AE849">
        <v>1</v>
      </c>
      <c r="AF849" s="17">
        <f t="shared" si="414"/>
        <v>1</v>
      </c>
      <c r="AG849">
        <v>0</v>
      </c>
      <c r="AH849" s="17">
        <f t="shared" si="415"/>
        <v>0</v>
      </c>
      <c r="AI849">
        <v>1</v>
      </c>
      <c r="AJ849" s="17">
        <f t="shared" si="416"/>
        <v>1</v>
      </c>
      <c r="AK849">
        <v>0</v>
      </c>
      <c r="AL849" s="17">
        <f t="shared" si="417"/>
        <v>0</v>
      </c>
      <c r="AM849">
        <v>0</v>
      </c>
      <c r="AN849" s="17">
        <f t="shared" si="418"/>
        <v>0</v>
      </c>
      <c r="AO849">
        <v>0</v>
      </c>
      <c r="AQ849">
        <v>0</v>
      </c>
      <c r="AR849" s="17">
        <f t="shared" si="419"/>
        <v>0</v>
      </c>
      <c r="AS849">
        <v>0</v>
      </c>
      <c r="AT849" s="17">
        <f t="shared" si="420"/>
        <v>0</v>
      </c>
      <c r="BD849" s="65" t="str">
        <f t="shared" si="421"/>
        <v/>
      </c>
      <c r="BE849" s="65" t="str">
        <f t="shared" si="422"/>
        <v/>
      </c>
      <c r="BF849" s="66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0</v>
      </c>
      <c r="BG849" s="38" t="str">
        <f t="shared" si="423"/>
        <v/>
      </c>
      <c r="BH849" s="38" t="str">
        <f t="shared" si="424"/>
        <v/>
      </c>
      <c r="BI849" s="67">
        <f>IFERROR(((AG849*(12000/5))/((F849*60+G849)*(SUMIFS(팀공격력!X:X,팀공격력!A:A,B849,팀공격력!B:B,D849)+SUMIFS(팀수비력!X:X,팀수비력!A:A,B849,팀수비력!B:B,D849))))*100,"")</f>
        <v>0</v>
      </c>
      <c r="BJ849" s="67">
        <f>IFERROR(((AI849*(12000/5))/((F849*60+G849)*(SUMIFS(팀공격력!V:V,팀공격력!A:A,B849,팀공격력!B:B,D849)+SUMIFS(팀수비력!W:W,팀수비력!A:A,B849,팀수비력!B:B,D849))))*100,"")</f>
        <v>8.78348704435661</v>
      </c>
      <c r="BK849" s="67">
        <f>IFERROR(((AE849*(12000/5))/((F849*60+G849)*(SUMIFS(팀공격력!X:X,팀공격력!A:A,B849,팀공격력!B:B,D849)+SUMIFS(팀수비력!X:X,팀수비력!A:A,B849,팀수비력!B:B,D849))))*100,"")</f>
        <v>4.4441152507221684</v>
      </c>
      <c r="BL849" s="67">
        <f>IFERROR(100*AK849/(((((F849*60+G849)/(12000/5))*SUMIFS(팀공격력!P:P,팀공격력!A:A,B849,팀공격력!B:B,D849))-K849)),"")</f>
        <v>0</v>
      </c>
      <c r="BM849" s="67">
        <f>IFERROR(100*((AM849/E849*(2400))/((F849*60+G849)*SUMIFS(팀공격력!AR:AR,팀공격력!A:A,B849,팀공격력!B:B,D849))),"")</f>
        <v>0</v>
      </c>
      <c r="BN849" s="67">
        <f>IFERROR((AO849*40)/(((F849*60+G849)/60)*(SUMIFS(팀수비력!Q:Q,팀수비력!A:A,B849,팀수비력!B:B,D849)-SUMIFS(팀수비력!N:N,팀수비력!A:A,B849,팀수비력!B:B,D849)))*100,"")</f>
        <v>0</v>
      </c>
      <c r="BO849" s="67" t="str">
        <f t="shared" si="425"/>
        <v/>
      </c>
      <c r="BT849" t="s">
        <v>89</v>
      </c>
      <c r="BV849" t="s">
        <v>102</v>
      </c>
      <c r="CF849">
        <v>0</v>
      </c>
      <c r="CG849">
        <v>1</v>
      </c>
    </row>
    <row r="850" spans="1:85" x14ac:dyDescent="0.4">
      <c r="A850" s="11" t="s">
        <v>85</v>
      </c>
      <c r="B850" t="s">
        <v>145</v>
      </c>
      <c r="C850" t="s">
        <v>146</v>
      </c>
      <c r="D850" s="46" t="s">
        <v>312</v>
      </c>
      <c r="E850">
        <v>6</v>
      </c>
      <c r="F850">
        <v>12</v>
      </c>
      <c r="G850" s="1">
        <v>23</v>
      </c>
      <c r="H850" s="16">
        <f t="shared" si="400"/>
        <v>4458</v>
      </c>
      <c r="I850">
        <v>31</v>
      </c>
      <c r="J850" s="17">
        <f t="shared" si="401"/>
        <v>5.166666666666667</v>
      </c>
      <c r="K850">
        <v>10</v>
      </c>
      <c r="L850">
        <v>20</v>
      </c>
      <c r="M850" s="17">
        <f t="shared" si="402"/>
        <v>1.6666666666666667</v>
      </c>
      <c r="N850" s="17">
        <f t="shared" si="403"/>
        <v>3.3333333333333335</v>
      </c>
      <c r="O850" s="18">
        <f t="shared" si="404"/>
        <v>0.5</v>
      </c>
      <c r="P850">
        <v>1</v>
      </c>
      <c r="Q850">
        <v>2</v>
      </c>
      <c r="R850" s="17">
        <f t="shared" si="405"/>
        <v>0.16666666666666666</v>
      </c>
      <c r="S850" s="17">
        <f t="shared" si="406"/>
        <v>0.33333333333333331</v>
      </c>
      <c r="T850" s="18">
        <f t="shared" si="407"/>
        <v>0.5</v>
      </c>
      <c r="U850">
        <v>9</v>
      </c>
      <c r="V850">
        <v>18</v>
      </c>
      <c r="W850" s="17">
        <f t="shared" si="408"/>
        <v>1.5</v>
      </c>
      <c r="X850" s="17">
        <f t="shared" si="409"/>
        <v>3</v>
      </c>
      <c r="Y850" s="18">
        <f t="shared" si="410"/>
        <v>0.5</v>
      </c>
      <c r="Z850">
        <v>2</v>
      </c>
      <c r="AA850">
        <v>2</v>
      </c>
      <c r="AB850" s="17">
        <f t="shared" si="411"/>
        <v>0.33333333333333331</v>
      </c>
      <c r="AC850" s="17">
        <f t="shared" si="412"/>
        <v>0.33333333333333331</v>
      </c>
      <c r="AD850" s="18">
        <f t="shared" si="413"/>
        <v>1</v>
      </c>
      <c r="AE850">
        <v>23</v>
      </c>
      <c r="AF850" s="17">
        <f t="shared" si="414"/>
        <v>3.8333333333333335</v>
      </c>
      <c r="AG850">
        <v>7</v>
      </c>
      <c r="AH850" s="17">
        <f t="shared" si="415"/>
        <v>1.1666666666666667</v>
      </c>
      <c r="AI850">
        <v>16</v>
      </c>
      <c r="AJ850" s="17">
        <f t="shared" si="416"/>
        <v>2.6666666666666665</v>
      </c>
      <c r="AK850">
        <v>1</v>
      </c>
      <c r="AL850" s="17">
        <f t="shared" si="417"/>
        <v>0.16666666666666666</v>
      </c>
      <c r="AM850">
        <v>1</v>
      </c>
      <c r="AN850" s="17">
        <f t="shared" si="418"/>
        <v>0.16666666666666666</v>
      </c>
      <c r="AO850">
        <v>0</v>
      </c>
      <c r="AQ850">
        <v>0</v>
      </c>
      <c r="AR850" s="17">
        <f t="shared" si="419"/>
        <v>0</v>
      </c>
      <c r="AS850">
        <v>10</v>
      </c>
      <c r="AT850" s="17">
        <f t="shared" si="420"/>
        <v>1.6666666666666667</v>
      </c>
      <c r="BD850" s="65">
        <f t="shared" si="421"/>
        <v>74.23371647509579</v>
      </c>
      <c r="BE850" s="65">
        <f t="shared" si="422"/>
        <v>72.5</v>
      </c>
      <c r="BF850" s="66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7.655213299246614</v>
      </c>
      <c r="BG850" s="38">
        <f t="shared" si="423"/>
        <v>0.9</v>
      </c>
      <c r="BH850" s="38">
        <f t="shared" si="424"/>
        <v>0.1</v>
      </c>
      <c r="BI850" s="67">
        <f>IFERROR(((AG850*(12000/5))/((F850*60+G850)*(SUMIFS(팀공격력!X:X,팀공격력!A:A,B850,팀공격력!B:B,D850)+SUMIFS(팀수비력!X:X,팀수비력!A:A,B850,팀수비력!B:B,D850))))*100,"")</f>
        <v>3.0107904579448128</v>
      </c>
      <c r="BJ850" s="67">
        <f>IFERROR(((AI850*(12000/5))/((F850*60+G850)*(SUMIFS(팀공격력!V:V,팀공격력!A:A,B850,팀공격력!B:B,D850)+SUMIFS(팀수비력!W:W,팀수비력!A:A,B850,팀수비력!B:B,D850))))*100,"")</f>
        <v>13.672584332072892</v>
      </c>
      <c r="BK850" s="67">
        <f>IFERROR(((AE850*(12000/5))/((F850*60+G850)*(SUMIFS(팀공격력!X:X,팀공격력!A:A,B850,팀공격력!B:B,D850)+SUMIFS(팀수비력!X:X,팀수비력!A:A,B850,팀수비력!B:B,D850))))*100,"")</f>
        <v>9.8925972189615283</v>
      </c>
      <c r="BL850" s="67">
        <f>IFERROR(100*AK850/(((((F850*60+G850)/(12000/5))*SUMIFS(팀공격력!P:P,팀공격력!A:A,B850,팀공격력!B:B,D850))-K850)),"")</f>
        <v>1.1111676983550089</v>
      </c>
      <c r="BM850" s="67">
        <f>IFERROR(100*((AM850/E850*(2400))/((F850*60+G850)*SUMIFS(팀공격력!AR:AR,팀공격력!A:A,B850,팀공격력!B:B,D850))),"")</f>
        <v>0.65052603496458039</v>
      </c>
      <c r="BN850" s="67">
        <f>IFERROR((AO850*40)/(((F850*60+G850)/60)*(SUMIFS(팀수비력!Q:Q,팀수비력!A:A,B850,팀수비력!B:B,D850)-SUMIFS(팀수비력!N:N,팀수비력!A:A,B850,팀수비력!B:B,D850)))*100,"")</f>
        <v>0</v>
      </c>
      <c r="BO850" s="67">
        <f t="shared" si="425"/>
        <v>0</v>
      </c>
      <c r="BT850" t="s">
        <v>89</v>
      </c>
      <c r="BV850" t="s">
        <v>93</v>
      </c>
      <c r="CF850">
        <v>4</v>
      </c>
      <c r="CG850">
        <v>2</v>
      </c>
    </row>
    <row r="851" spans="1:85" x14ac:dyDescent="0.4">
      <c r="A851" s="11" t="s">
        <v>85</v>
      </c>
      <c r="B851" t="s">
        <v>145</v>
      </c>
      <c r="C851" t="s">
        <v>148</v>
      </c>
      <c r="D851" s="46" t="s">
        <v>312</v>
      </c>
      <c r="E851">
        <v>10</v>
      </c>
      <c r="F851">
        <v>21</v>
      </c>
      <c r="G851" s="1">
        <v>58</v>
      </c>
      <c r="H851" s="16">
        <f t="shared" si="400"/>
        <v>13180</v>
      </c>
      <c r="I851">
        <v>146</v>
      </c>
      <c r="J851" s="17">
        <f t="shared" si="401"/>
        <v>14.6</v>
      </c>
      <c r="K851">
        <v>61</v>
      </c>
      <c r="L851">
        <v>112</v>
      </c>
      <c r="M851" s="17">
        <f t="shared" si="402"/>
        <v>6.1</v>
      </c>
      <c r="N851" s="17">
        <f t="shared" si="403"/>
        <v>11.2</v>
      </c>
      <c r="O851" s="18">
        <f t="shared" si="404"/>
        <v>0.5446428571428571</v>
      </c>
      <c r="P851">
        <v>56</v>
      </c>
      <c r="Q851">
        <v>97</v>
      </c>
      <c r="R851" s="17">
        <f t="shared" si="405"/>
        <v>5.6</v>
      </c>
      <c r="S851" s="17">
        <f t="shared" si="406"/>
        <v>9.6999999999999993</v>
      </c>
      <c r="T851" s="18">
        <f t="shared" si="407"/>
        <v>0.57731958762886593</v>
      </c>
      <c r="U851">
        <v>5</v>
      </c>
      <c r="V851">
        <v>15</v>
      </c>
      <c r="W851" s="17">
        <f t="shared" si="408"/>
        <v>0.5</v>
      </c>
      <c r="X851" s="17">
        <f t="shared" si="409"/>
        <v>1.5</v>
      </c>
      <c r="Y851" s="18">
        <f t="shared" si="410"/>
        <v>0.33333333333333331</v>
      </c>
      <c r="Z851">
        <v>19</v>
      </c>
      <c r="AA851">
        <v>26</v>
      </c>
      <c r="AB851" s="17">
        <f t="shared" si="411"/>
        <v>1.9</v>
      </c>
      <c r="AC851" s="17">
        <f t="shared" si="412"/>
        <v>2.6</v>
      </c>
      <c r="AD851" s="18">
        <f t="shared" si="413"/>
        <v>0.73076923076923073</v>
      </c>
      <c r="AE851">
        <v>90</v>
      </c>
      <c r="AF851" s="17">
        <f t="shared" si="414"/>
        <v>9</v>
      </c>
      <c r="AG851">
        <v>37</v>
      </c>
      <c r="AH851" s="17">
        <f t="shared" si="415"/>
        <v>3.7</v>
      </c>
      <c r="AI851">
        <v>53</v>
      </c>
      <c r="AJ851" s="17">
        <f t="shared" si="416"/>
        <v>5.3</v>
      </c>
      <c r="AK851">
        <v>14</v>
      </c>
      <c r="AL851" s="17">
        <f t="shared" si="417"/>
        <v>1.4</v>
      </c>
      <c r="AM851">
        <v>4</v>
      </c>
      <c r="AN851" s="17">
        <f t="shared" si="418"/>
        <v>0.4</v>
      </c>
      <c r="AO851">
        <v>9</v>
      </c>
      <c r="AQ851">
        <v>8</v>
      </c>
      <c r="AR851" s="17">
        <f t="shared" si="419"/>
        <v>0.8</v>
      </c>
      <c r="AS851">
        <v>15</v>
      </c>
      <c r="AT851" s="17">
        <f t="shared" si="420"/>
        <v>1.5</v>
      </c>
      <c r="BD851" s="65">
        <f t="shared" si="421"/>
        <v>59.138042773817247</v>
      </c>
      <c r="BE851" s="65">
        <f t="shared" si="422"/>
        <v>56.696428571428569</v>
      </c>
      <c r="BF851" s="66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27.16612881424312</v>
      </c>
      <c r="BG851" s="38">
        <f t="shared" si="423"/>
        <v>0.13392857142857142</v>
      </c>
      <c r="BH851" s="38">
        <f t="shared" si="424"/>
        <v>0.23214285714285715</v>
      </c>
      <c r="BI851" s="67">
        <f>IFERROR(((AG851*(12000/5))/((F851*60+G851)*(SUMIFS(팀공격력!X:X,팀공격력!A:A,B851,팀공격력!B:B,D851)+SUMIFS(팀수비력!X:X,팀수비력!A:A,B851,팀수비력!B:B,D851))))*100,"")</f>
        <v>8.9713462474919616</v>
      </c>
      <c r="BJ851" s="67">
        <f>IFERROR(((AI851*(12000/5))/((F851*60+G851)*(SUMIFS(팀공격력!V:V,팀공격력!A:A,B851,팀공격력!B:B,D851)+SUMIFS(팀수비력!W:W,팀수비력!A:A,B851,팀수비력!B:B,D851))))*100,"")</f>
        <v>25.531709901967869</v>
      </c>
      <c r="BK851" s="67">
        <f>IFERROR(((AE851*(12000/5))/((F851*60+G851)*(SUMIFS(팀공격력!X:X,팀공격력!A:A,B851,팀공격력!B:B,D851)+SUMIFS(팀수비력!X:X,팀수비력!A:A,B851,팀수비력!B:B,D851))))*100,"")</f>
        <v>21.822193574980449</v>
      </c>
      <c r="BL851" s="67">
        <f>IFERROR(100*AK851/(((((F851*60+G851)/(12000/5))*SUMIFS(팀공격력!P:P,팀공격력!A:A,B851,팀공격력!B:B,D851))-K851)),"")</f>
        <v>12.029472206906922</v>
      </c>
      <c r="BM851" s="67">
        <f>IFERROR(100*((AM851/E851*(2400))/((F851*60+G851)*SUMIFS(팀공격력!AR:AR,팀공격력!A:A,B851,팀공격력!B:B,D851))),"")</f>
        <v>0.88013507249532597</v>
      </c>
      <c r="BN851" s="67">
        <f>IFERROR((AO851*40)/(((F851*60+G851)/60)*(SUMIFS(팀수비력!Q:Q,팀수비력!A:A,B851,팀수비력!B:B,D851)-SUMIFS(팀수비력!N:N,팀수비력!A:A,B851,팀수비력!B:B,D851)))*100,"")</f>
        <v>3.7588227923876878</v>
      </c>
      <c r="BO851" s="67">
        <f t="shared" si="425"/>
        <v>6.0864272671941571</v>
      </c>
      <c r="BT851" t="s">
        <v>96</v>
      </c>
      <c r="BV851" t="s">
        <v>102</v>
      </c>
      <c r="CF851">
        <v>5</v>
      </c>
      <c r="CG851">
        <v>5</v>
      </c>
    </row>
    <row r="852" spans="1:85" x14ac:dyDescent="0.4">
      <c r="A852" s="11" t="s">
        <v>85</v>
      </c>
      <c r="B852" t="s">
        <v>145</v>
      </c>
      <c r="C852" t="s">
        <v>150</v>
      </c>
      <c r="D852" s="46" t="s">
        <v>312</v>
      </c>
      <c r="E852">
        <v>8</v>
      </c>
      <c r="F852">
        <v>35</v>
      </c>
      <c r="G852" s="1">
        <v>18</v>
      </c>
      <c r="H852" s="16">
        <f t="shared" si="400"/>
        <v>16944</v>
      </c>
      <c r="I852">
        <v>108</v>
      </c>
      <c r="J852" s="17">
        <f t="shared" si="401"/>
        <v>13.5</v>
      </c>
      <c r="K852">
        <v>36</v>
      </c>
      <c r="L852">
        <v>85</v>
      </c>
      <c r="M852" s="17">
        <f t="shared" si="402"/>
        <v>4.5</v>
      </c>
      <c r="N852" s="17">
        <f t="shared" si="403"/>
        <v>10.625</v>
      </c>
      <c r="O852" s="18">
        <f t="shared" si="404"/>
        <v>0.42352941176470588</v>
      </c>
      <c r="P852">
        <v>24</v>
      </c>
      <c r="Q852">
        <v>49</v>
      </c>
      <c r="R852" s="17">
        <f t="shared" si="405"/>
        <v>3</v>
      </c>
      <c r="S852" s="17">
        <f t="shared" si="406"/>
        <v>6.125</v>
      </c>
      <c r="T852" s="18">
        <f t="shared" si="407"/>
        <v>0.48979591836734693</v>
      </c>
      <c r="U852">
        <v>12</v>
      </c>
      <c r="V852">
        <v>36</v>
      </c>
      <c r="W852" s="17">
        <f t="shared" si="408"/>
        <v>1.5</v>
      </c>
      <c r="X852" s="17">
        <f t="shared" si="409"/>
        <v>4.5</v>
      </c>
      <c r="Y852" s="18">
        <f t="shared" si="410"/>
        <v>0.33333333333333331</v>
      </c>
      <c r="Z852">
        <v>24</v>
      </c>
      <c r="AA852">
        <v>30</v>
      </c>
      <c r="AB852" s="17">
        <f t="shared" si="411"/>
        <v>3</v>
      </c>
      <c r="AC852" s="17">
        <f t="shared" si="412"/>
        <v>3.75</v>
      </c>
      <c r="AD852" s="18">
        <f t="shared" si="413"/>
        <v>0.8</v>
      </c>
      <c r="AE852">
        <v>37</v>
      </c>
      <c r="AF852" s="17">
        <f t="shared" si="414"/>
        <v>4.625</v>
      </c>
      <c r="AG852">
        <v>9</v>
      </c>
      <c r="AH852" s="17">
        <f t="shared" si="415"/>
        <v>1.125</v>
      </c>
      <c r="AI852">
        <v>28</v>
      </c>
      <c r="AJ852" s="17">
        <f t="shared" si="416"/>
        <v>3.5</v>
      </c>
      <c r="AK852">
        <v>37</v>
      </c>
      <c r="AL852" s="17">
        <f t="shared" si="417"/>
        <v>4.625</v>
      </c>
      <c r="AM852">
        <v>7</v>
      </c>
      <c r="AN852" s="17">
        <f t="shared" si="418"/>
        <v>0.875</v>
      </c>
      <c r="AO852">
        <v>9</v>
      </c>
      <c r="AQ852">
        <v>12</v>
      </c>
      <c r="AR852" s="17">
        <f t="shared" si="419"/>
        <v>1.5</v>
      </c>
      <c r="AS852">
        <v>20</v>
      </c>
      <c r="AT852" s="17">
        <f t="shared" si="420"/>
        <v>2.5</v>
      </c>
      <c r="BD852" s="65">
        <f t="shared" si="421"/>
        <v>54.989816700610994</v>
      </c>
      <c r="BE852" s="65">
        <f t="shared" si="422"/>
        <v>49.411764705882355</v>
      </c>
      <c r="BF852" s="66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14.173308958328672</v>
      </c>
      <c r="BG852" s="38">
        <f t="shared" si="423"/>
        <v>0.42352941176470588</v>
      </c>
      <c r="BH852" s="38">
        <f t="shared" si="424"/>
        <v>0.35294117647058826</v>
      </c>
      <c r="BI852" s="67">
        <f>IFERROR(((AG852*(12000/5))/((F852*60+G852)*(SUMIFS(팀공격력!X:X,팀공격력!A:A,B852,팀공격력!B:B,D852)+SUMIFS(팀수비력!X:X,팀수비력!A:A,B852,팀수비력!B:B,D852))))*100,"")</f>
        <v>1.35796275409935</v>
      </c>
      <c r="BJ852" s="67">
        <f>IFERROR(((AI852*(12000/5))/((F852*60+G852)*(SUMIFS(팀공격력!V:V,팀공격력!A:A,B852,팀공격력!B:B,D852)+SUMIFS(팀수비력!W:W,팀수비력!A:A,B852,팀수비력!B:B,D852))))*100,"")</f>
        <v>8.3936627845976286</v>
      </c>
      <c r="BK852" s="67">
        <f>IFERROR(((AE852*(12000/5))/((F852*60+G852)*(SUMIFS(팀공격력!X:X,팀공격력!A:A,B852,팀공격력!B:B,D852)+SUMIFS(팀수비력!X:X,팀수비력!A:A,B852,팀수비력!B:B,D852))))*100,"")</f>
        <v>5.5827357668528839</v>
      </c>
      <c r="BL852" s="67">
        <f>IFERROR(100*AK852/(((((F852*60+G852)/(12000/5))*SUMIFS(팀공격력!P:P,팀공격력!A:A,B852,팀공격력!B:B,D852))-K852)),"")</f>
        <v>14.85660365994439</v>
      </c>
      <c r="BM852" s="67">
        <f>IFERROR(100*((AM852/E852*(2400))/((F852*60+G852)*SUMIFS(팀공격력!AR:AR,팀공격력!A:A,B852,팀공격력!B:B,D852))),"")</f>
        <v>1.198082828559059</v>
      </c>
      <c r="BN852" s="67">
        <f>IFERROR((AO852*40)/(((F852*60+G852)/60)*(SUMIFS(팀수비력!Q:Q,팀수비력!A:A,B852,팀수비력!B:B,D852)-SUMIFS(팀수비력!N:N,팀수비력!A:A,B852,팀수비력!B:B,D852)))*100,"")</f>
        <v>2.3390596980014036</v>
      </c>
      <c r="BO852" s="67">
        <f t="shared" si="425"/>
        <v>10.88929219600726</v>
      </c>
      <c r="BT852" t="s">
        <v>89</v>
      </c>
      <c r="BV852" t="s">
        <v>93</v>
      </c>
      <c r="CF852">
        <v>4</v>
      </c>
      <c r="CG852">
        <v>4</v>
      </c>
    </row>
    <row r="853" spans="1:85" x14ac:dyDescent="0.4">
      <c r="A853" s="11" t="s">
        <v>85</v>
      </c>
      <c r="B853" t="s">
        <v>145</v>
      </c>
      <c r="C853" t="s">
        <v>151</v>
      </c>
      <c r="D853" s="46" t="s">
        <v>312</v>
      </c>
      <c r="E853">
        <v>1</v>
      </c>
      <c r="F853">
        <v>13</v>
      </c>
      <c r="G853" s="1">
        <v>8</v>
      </c>
      <c r="H853" s="16">
        <f t="shared" si="400"/>
        <v>788</v>
      </c>
      <c r="I853">
        <v>0</v>
      </c>
      <c r="J853" s="17">
        <f t="shared" si="401"/>
        <v>0</v>
      </c>
      <c r="K853">
        <v>0</v>
      </c>
      <c r="L853">
        <v>1</v>
      </c>
      <c r="M853" s="17">
        <f t="shared" si="402"/>
        <v>0</v>
      </c>
      <c r="N853" s="17">
        <f t="shared" si="403"/>
        <v>1</v>
      </c>
      <c r="O853" s="18">
        <f t="shared" si="404"/>
        <v>0</v>
      </c>
      <c r="P853">
        <v>0</v>
      </c>
      <c r="Q853">
        <v>0</v>
      </c>
      <c r="R853" s="17">
        <f t="shared" si="405"/>
        <v>0</v>
      </c>
      <c r="S853" s="17">
        <f t="shared" si="406"/>
        <v>0</v>
      </c>
      <c r="T853" s="18" t="e">
        <f t="shared" si="407"/>
        <v>#DIV/0!</v>
      </c>
      <c r="U853">
        <v>0</v>
      </c>
      <c r="V853">
        <v>1</v>
      </c>
      <c r="W853" s="17">
        <f t="shared" si="408"/>
        <v>0</v>
      </c>
      <c r="X853" s="17">
        <f t="shared" si="409"/>
        <v>1</v>
      </c>
      <c r="Y853" s="18">
        <f t="shared" si="410"/>
        <v>0</v>
      </c>
      <c r="Z853">
        <v>0</v>
      </c>
      <c r="AA853">
        <v>0</v>
      </c>
      <c r="AB853" s="17">
        <f t="shared" si="411"/>
        <v>0</v>
      </c>
      <c r="AC853" s="17">
        <f t="shared" si="412"/>
        <v>0</v>
      </c>
      <c r="AD853" s="18" t="e">
        <f t="shared" si="413"/>
        <v>#DIV/0!</v>
      </c>
      <c r="AE853">
        <v>2</v>
      </c>
      <c r="AF853" s="17">
        <f t="shared" si="414"/>
        <v>2</v>
      </c>
      <c r="AG853">
        <v>2</v>
      </c>
      <c r="AH853" s="17">
        <f t="shared" si="415"/>
        <v>2</v>
      </c>
      <c r="AI853">
        <v>0</v>
      </c>
      <c r="AJ853" s="17">
        <f t="shared" si="416"/>
        <v>0</v>
      </c>
      <c r="AK853">
        <v>0</v>
      </c>
      <c r="AL853" s="17">
        <f t="shared" si="417"/>
        <v>0</v>
      </c>
      <c r="AM853">
        <v>0</v>
      </c>
      <c r="AN853" s="17">
        <f t="shared" si="418"/>
        <v>0</v>
      </c>
      <c r="AO853">
        <v>0</v>
      </c>
      <c r="AQ853">
        <v>0</v>
      </c>
      <c r="AR853" s="17">
        <f t="shared" si="419"/>
        <v>0</v>
      </c>
      <c r="AS853">
        <v>3</v>
      </c>
      <c r="AT853" s="17">
        <f t="shared" si="420"/>
        <v>3</v>
      </c>
      <c r="BD853" s="65">
        <f t="shared" si="421"/>
        <v>0</v>
      </c>
      <c r="BE853" s="65">
        <f t="shared" si="422"/>
        <v>0</v>
      </c>
      <c r="BF853" s="66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0.34569205475209042</v>
      </c>
      <c r="BG853" s="38">
        <f t="shared" si="423"/>
        <v>1</v>
      </c>
      <c r="BH853" s="38">
        <f t="shared" si="424"/>
        <v>0</v>
      </c>
      <c r="BI853" s="67">
        <f>IFERROR(((AG853*(12000/5))/((F853*60+G853)*(SUMIFS(팀공격력!X:X,팀공격력!A:A,B853,팀공격력!B:B,D853)+SUMIFS(팀수비력!X:X,팀수비력!A:A,B853,팀수비력!B:B,D853))))*100,"")</f>
        <v>0.81110127275308053</v>
      </c>
      <c r="BJ853" s="67">
        <f>IFERROR(((AI853*(12000/5))/((F853*60+G853)*(SUMIFS(팀공격력!V:V,팀공격력!A:A,B853,팀공격력!B:B,D853)+SUMIFS(팀수비력!W:W,팀수비력!A:A,B853,팀수비력!B:B,D853))))*100,"")</f>
        <v>0</v>
      </c>
      <c r="BK853" s="67">
        <f>IFERROR(((AE853*(12000/5))/((F853*60+G853)*(SUMIFS(팀공격력!X:X,팀공격력!A:A,B853,팀공격력!B:B,D853)+SUMIFS(팀수비력!X:X,팀수비력!A:A,B853,팀수비력!B:B,D853))))*100,"")</f>
        <v>0.81110127275308053</v>
      </c>
      <c r="BL853" s="67">
        <f>IFERROR(100*AK853/(((((F853*60+G853)/(12000/5))*SUMIFS(팀공격력!P:P,팀공격력!A:A,B853,팀공격력!B:B,D853))-K853)),"")</f>
        <v>0</v>
      </c>
      <c r="BM853" s="67">
        <f>IFERROR(100*((AM853/E853*(2400))/((F853*60+G853)*SUMIFS(팀공격력!AR:AR,팀공격력!A:A,B853,팀공격력!B:B,D853))),"")</f>
        <v>0</v>
      </c>
      <c r="BN853" s="67">
        <f>IFERROR((AO853*40)/(((F853*60+G853)/60)*(SUMIFS(팀수비력!Q:Q,팀수비력!A:A,B853,팀수비력!B:B,D853)-SUMIFS(팀수비력!N:N,팀수비력!A:A,B853,팀수비력!B:B,D853)))*100,"")</f>
        <v>0</v>
      </c>
      <c r="BO853" s="67">
        <f t="shared" si="425"/>
        <v>0</v>
      </c>
      <c r="BT853" t="s">
        <v>89</v>
      </c>
      <c r="BV853" t="s">
        <v>90</v>
      </c>
      <c r="CF853">
        <v>0</v>
      </c>
      <c r="CG853">
        <v>1</v>
      </c>
    </row>
    <row r="854" spans="1:85" x14ac:dyDescent="0.4">
      <c r="A854" s="11" t="s">
        <v>85</v>
      </c>
      <c r="B854" t="s">
        <v>145</v>
      </c>
      <c r="C854" t="s">
        <v>152</v>
      </c>
      <c r="D854" s="46" t="s">
        <v>312</v>
      </c>
      <c r="E854">
        <v>10</v>
      </c>
      <c r="F854">
        <v>17</v>
      </c>
      <c r="G854" s="1">
        <v>43</v>
      </c>
      <c r="H854" s="16">
        <f t="shared" si="400"/>
        <v>10630</v>
      </c>
      <c r="I854">
        <v>118</v>
      </c>
      <c r="J854" s="17">
        <f t="shared" si="401"/>
        <v>11.8</v>
      </c>
      <c r="K854">
        <v>48</v>
      </c>
      <c r="L854">
        <v>81</v>
      </c>
      <c r="M854" s="17">
        <f t="shared" si="402"/>
        <v>4.8</v>
      </c>
      <c r="N854" s="17">
        <f t="shared" si="403"/>
        <v>8.1</v>
      </c>
      <c r="O854" s="18">
        <f t="shared" si="404"/>
        <v>0.59259259259259256</v>
      </c>
      <c r="P854">
        <v>43</v>
      </c>
      <c r="Q854">
        <v>63</v>
      </c>
      <c r="R854" s="17">
        <f t="shared" si="405"/>
        <v>4.3</v>
      </c>
      <c r="S854" s="17">
        <f t="shared" si="406"/>
        <v>6.3</v>
      </c>
      <c r="T854" s="18">
        <f t="shared" si="407"/>
        <v>0.68253968253968256</v>
      </c>
      <c r="U854">
        <v>5</v>
      </c>
      <c r="V854">
        <v>18</v>
      </c>
      <c r="W854" s="17">
        <f t="shared" si="408"/>
        <v>0.5</v>
      </c>
      <c r="X854" s="17">
        <f t="shared" si="409"/>
        <v>1.8</v>
      </c>
      <c r="Y854" s="18">
        <f t="shared" si="410"/>
        <v>0.27777777777777779</v>
      </c>
      <c r="Z854">
        <v>17</v>
      </c>
      <c r="AA854">
        <v>26</v>
      </c>
      <c r="AB854" s="17">
        <f t="shared" si="411"/>
        <v>1.7</v>
      </c>
      <c r="AC854" s="17">
        <f t="shared" si="412"/>
        <v>2.6</v>
      </c>
      <c r="AD854" s="18">
        <f t="shared" si="413"/>
        <v>0.65384615384615385</v>
      </c>
      <c r="AE854">
        <v>95</v>
      </c>
      <c r="AF854" s="17">
        <f t="shared" si="414"/>
        <v>9.5</v>
      </c>
      <c r="AG854">
        <v>31</v>
      </c>
      <c r="AH854" s="17">
        <f t="shared" si="415"/>
        <v>3.1</v>
      </c>
      <c r="AI854">
        <v>64</v>
      </c>
      <c r="AJ854" s="17">
        <f t="shared" si="416"/>
        <v>6.4</v>
      </c>
      <c r="AK854">
        <v>25</v>
      </c>
      <c r="AL854" s="17">
        <f t="shared" si="417"/>
        <v>2.5</v>
      </c>
      <c r="AM854">
        <v>3</v>
      </c>
      <c r="AN854" s="17">
        <f t="shared" si="418"/>
        <v>0.3</v>
      </c>
      <c r="AO854">
        <v>0</v>
      </c>
      <c r="AQ854">
        <v>11</v>
      </c>
      <c r="AR854" s="17">
        <f t="shared" si="419"/>
        <v>1.1000000000000001</v>
      </c>
      <c r="AS854">
        <v>22</v>
      </c>
      <c r="AT854" s="17">
        <f t="shared" si="420"/>
        <v>2.2000000000000002</v>
      </c>
      <c r="BD854" s="65">
        <f t="shared" si="421"/>
        <v>63.825183903072272</v>
      </c>
      <c r="BE854" s="65">
        <f t="shared" si="422"/>
        <v>62.345679012345677</v>
      </c>
      <c r="BF854" s="66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26.507627733887404</v>
      </c>
      <c r="BG854" s="38">
        <f t="shared" si="423"/>
        <v>0.22222222222222221</v>
      </c>
      <c r="BH854" s="38">
        <f t="shared" si="424"/>
        <v>0.32098765432098764</v>
      </c>
      <c r="BI854" s="67">
        <f>IFERROR(((AG854*(12000/5))/((F854*60+G854)*(SUMIFS(팀공격력!X:X,팀공격력!A:A,B854,팀공격력!B:B,D854)+SUMIFS(팀수비력!X:X,팀수비력!A:A,B854,팀수비력!B:B,D854))))*100,"")</f>
        <v>9.3196528178797031</v>
      </c>
      <c r="BJ854" s="67">
        <f>IFERROR(((AI854*(12000/5))/((F854*60+G854)*(SUMIFS(팀공격력!V:V,팀공격력!A:A,B854,팀공격력!B:B,D854)+SUMIFS(팀수비력!W:W,팀수비력!A:A,B854,팀수비력!B:B,D854))))*100,"")</f>
        <v>38.226642177724024</v>
      </c>
      <c r="BK854" s="67">
        <f>IFERROR(((AE854*(12000/5))/((F854*60+G854)*(SUMIFS(팀공격력!X:X,팀공격력!A:A,B854,팀공격력!B:B,D854)+SUMIFS(팀수비력!X:X,팀수비력!A:A,B854,팀수비력!B:B,D854))))*100,"")</f>
        <v>28.560226377373287</v>
      </c>
      <c r="BL854" s="67">
        <f>IFERROR(100*AK854/(((((F854*60+G854)/(12000/5))*SUMIFS(팀공격력!P:P,팀공격력!A:A,B854,팀공격력!B:B,D854))-K854)),"")</f>
        <v>26.298603105865027</v>
      </c>
      <c r="BM854" s="67">
        <f>IFERROR(100*((AM854/E854*(2400))/((F854*60+G854)*SUMIFS(팀공격력!AR:AR,팀공격력!A:A,B854,팀공격력!B:B,D854))),"")</f>
        <v>0.81845109986983056</v>
      </c>
      <c r="BN854" s="67">
        <f>IFERROR((AO854*40)/(((F854*60+G854)/60)*(SUMIFS(팀수비력!Q:Q,팀수비력!A:A,B854,팀수비력!B:B,D854)-SUMIFS(팀수비력!N:N,팀수비력!A:A,B854,팀수비력!B:B,D854)))*100,"")</f>
        <v>0</v>
      </c>
      <c r="BO854" s="67">
        <f t="shared" si="425"/>
        <v>10.634184068058778</v>
      </c>
      <c r="BT854" t="s">
        <v>96</v>
      </c>
      <c r="BV854" t="s">
        <v>102</v>
      </c>
      <c r="CF854">
        <v>5</v>
      </c>
      <c r="CG854">
        <v>5</v>
      </c>
    </row>
    <row r="855" spans="1:85" x14ac:dyDescent="0.4">
      <c r="A855" s="11" t="s">
        <v>85</v>
      </c>
      <c r="B855" t="s">
        <v>145</v>
      </c>
      <c r="C855" t="s">
        <v>153</v>
      </c>
      <c r="D855" s="46" t="s">
        <v>312</v>
      </c>
      <c r="E855">
        <v>5</v>
      </c>
      <c r="F855">
        <v>4</v>
      </c>
      <c r="G855" s="1">
        <v>23</v>
      </c>
      <c r="H855" s="16">
        <f t="shared" si="400"/>
        <v>1315</v>
      </c>
      <c r="I855">
        <v>7</v>
      </c>
      <c r="J855" s="17">
        <f t="shared" si="401"/>
        <v>1.4</v>
      </c>
      <c r="K855">
        <v>3</v>
      </c>
      <c r="L855">
        <v>7</v>
      </c>
      <c r="M855" s="17">
        <f t="shared" si="402"/>
        <v>0.6</v>
      </c>
      <c r="N855" s="17">
        <f t="shared" si="403"/>
        <v>1.4</v>
      </c>
      <c r="O855" s="18">
        <f t="shared" si="404"/>
        <v>0.42857142857142855</v>
      </c>
      <c r="P855">
        <v>2</v>
      </c>
      <c r="Q855">
        <v>5</v>
      </c>
      <c r="R855" s="17">
        <f t="shared" si="405"/>
        <v>0.4</v>
      </c>
      <c r="S855" s="17">
        <f t="shared" si="406"/>
        <v>1</v>
      </c>
      <c r="T855" s="18">
        <f t="shared" si="407"/>
        <v>0.4</v>
      </c>
      <c r="U855">
        <v>1</v>
      </c>
      <c r="V855">
        <v>2</v>
      </c>
      <c r="W855" s="17">
        <f t="shared" si="408"/>
        <v>0.2</v>
      </c>
      <c r="X855" s="17">
        <f t="shared" si="409"/>
        <v>0.4</v>
      </c>
      <c r="Y855" s="18">
        <f t="shared" si="410"/>
        <v>0.5</v>
      </c>
      <c r="Z855">
        <v>0</v>
      </c>
      <c r="AA855">
        <v>0</v>
      </c>
      <c r="AB855" s="17">
        <f t="shared" si="411"/>
        <v>0</v>
      </c>
      <c r="AC855" s="17">
        <f t="shared" si="412"/>
        <v>0</v>
      </c>
      <c r="AD855" s="18" t="e">
        <f t="shared" si="413"/>
        <v>#DIV/0!</v>
      </c>
      <c r="AE855">
        <v>2</v>
      </c>
      <c r="AF855" s="17">
        <f t="shared" si="414"/>
        <v>0.4</v>
      </c>
      <c r="AG855">
        <v>2</v>
      </c>
      <c r="AH855" s="17">
        <f t="shared" si="415"/>
        <v>0.4</v>
      </c>
      <c r="AI855">
        <v>0</v>
      </c>
      <c r="AJ855" s="17">
        <f t="shared" si="416"/>
        <v>0</v>
      </c>
      <c r="AK855">
        <v>0</v>
      </c>
      <c r="AL855" s="17">
        <f t="shared" si="417"/>
        <v>0</v>
      </c>
      <c r="AM855">
        <v>0</v>
      </c>
      <c r="AN855" s="17">
        <f t="shared" si="418"/>
        <v>0</v>
      </c>
      <c r="AO855">
        <v>0</v>
      </c>
      <c r="AQ855">
        <v>0</v>
      </c>
      <c r="AR855" s="17">
        <f t="shared" si="419"/>
        <v>0</v>
      </c>
      <c r="AS855">
        <v>2</v>
      </c>
      <c r="AT855" s="17">
        <f t="shared" si="420"/>
        <v>0.4</v>
      </c>
      <c r="BD855" s="65">
        <f t="shared" si="421"/>
        <v>50</v>
      </c>
      <c r="BE855" s="65">
        <f t="shared" si="422"/>
        <v>50</v>
      </c>
      <c r="BF855" s="66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7.2503322205799652</v>
      </c>
      <c r="BG855" s="38">
        <f t="shared" si="423"/>
        <v>0.2857142857142857</v>
      </c>
      <c r="BH855" s="38">
        <f t="shared" si="424"/>
        <v>0</v>
      </c>
      <c r="BI855" s="67">
        <f>IFERROR(((AG855*(12000/5))/((F855*60+G855)*(SUMIFS(팀공격력!X:X,팀공격력!A:A,B855,팀공격력!B:B,D855)+SUMIFS(팀수비력!X:X,팀수비력!A:A,B855,팀수비력!B:B,D855))))*100,"")</f>
        <v>2.430219783001625</v>
      </c>
      <c r="BJ855" s="67">
        <f>IFERROR(((AI855*(12000/5))/((F855*60+G855)*(SUMIFS(팀공격력!V:V,팀공격력!A:A,B855,팀공격력!B:B,D855)+SUMIFS(팀수비력!W:W,팀수비력!A:A,B855,팀수비력!B:B,D855))))*100,"")</f>
        <v>0</v>
      </c>
      <c r="BK855" s="67">
        <f>IFERROR(((AE855*(12000/5))/((F855*60+G855)*(SUMIFS(팀공격력!X:X,팀공격력!A:A,B855,팀공격력!B:B,D855)+SUMIFS(팀수비력!X:X,팀수비력!A:A,B855,팀수비력!B:B,D855))))*100,"")</f>
        <v>2.430219783001625</v>
      </c>
      <c r="BL855" s="67">
        <f>IFERROR(100*AK855/(((((F855*60+G855)/(12000/5))*SUMIFS(팀공격력!P:P,팀공격력!A:A,B855,팀공격력!B:B,D855))-K855)),"")</f>
        <v>0</v>
      </c>
      <c r="BM855" s="67">
        <f>IFERROR(100*((AM855/E855*(2400))/((F855*60+G855)*SUMIFS(팀공격력!AR:AR,팀공격력!A:A,B855,팀공격력!B:B,D855))),"")</f>
        <v>0</v>
      </c>
      <c r="BN855" s="67">
        <f>IFERROR((AO855*40)/(((F855*60+G855)/60)*(SUMIFS(팀수비력!Q:Q,팀수비력!A:A,B855,팀수비력!B:B,D855)-SUMIFS(팀수비력!N:N,팀수비력!A:A,B855,팀수비력!B:B,D855)))*100,"")</f>
        <v>0</v>
      </c>
      <c r="BO855" s="67">
        <f t="shared" si="425"/>
        <v>0</v>
      </c>
      <c r="BT855" t="s">
        <v>89</v>
      </c>
      <c r="BV855" t="s">
        <v>93</v>
      </c>
      <c r="CF855">
        <v>2</v>
      </c>
      <c r="CG855">
        <v>3</v>
      </c>
    </row>
    <row r="856" spans="1:85" x14ac:dyDescent="0.4">
      <c r="A856" s="11" t="s">
        <v>85</v>
      </c>
      <c r="B856" t="s">
        <v>145</v>
      </c>
      <c r="C856" t="s">
        <v>154</v>
      </c>
      <c r="D856" s="46" t="s">
        <v>312</v>
      </c>
      <c r="E856">
        <v>10</v>
      </c>
      <c r="F856">
        <v>11</v>
      </c>
      <c r="G856" s="1">
        <v>52</v>
      </c>
      <c r="H856" s="16">
        <f t="shared" si="400"/>
        <v>7120</v>
      </c>
      <c r="I856">
        <v>36</v>
      </c>
      <c r="J856" s="17">
        <f t="shared" si="401"/>
        <v>3.6</v>
      </c>
      <c r="K856">
        <v>13</v>
      </c>
      <c r="L856">
        <v>35</v>
      </c>
      <c r="M856" s="17">
        <f t="shared" si="402"/>
        <v>1.3</v>
      </c>
      <c r="N856" s="17">
        <f t="shared" si="403"/>
        <v>3.5</v>
      </c>
      <c r="O856" s="18">
        <f t="shared" si="404"/>
        <v>0.37142857142857144</v>
      </c>
      <c r="P856">
        <v>4</v>
      </c>
      <c r="Q856">
        <v>8</v>
      </c>
      <c r="R856" s="17">
        <f t="shared" si="405"/>
        <v>0.4</v>
      </c>
      <c r="S856" s="17">
        <f t="shared" si="406"/>
        <v>0.8</v>
      </c>
      <c r="T856" s="18">
        <f t="shared" si="407"/>
        <v>0.5</v>
      </c>
      <c r="U856">
        <v>9</v>
      </c>
      <c r="V856">
        <v>27</v>
      </c>
      <c r="W856" s="17">
        <f t="shared" si="408"/>
        <v>0.9</v>
      </c>
      <c r="X856" s="17">
        <f t="shared" si="409"/>
        <v>2.7</v>
      </c>
      <c r="Y856" s="18">
        <f t="shared" si="410"/>
        <v>0.33333333333333331</v>
      </c>
      <c r="Z856">
        <v>1</v>
      </c>
      <c r="AA856">
        <v>2</v>
      </c>
      <c r="AB856" s="17">
        <f t="shared" si="411"/>
        <v>0.1</v>
      </c>
      <c r="AC856" s="17">
        <f t="shared" si="412"/>
        <v>0.2</v>
      </c>
      <c r="AD856" s="18">
        <f t="shared" si="413"/>
        <v>0.5</v>
      </c>
      <c r="AE856">
        <v>7</v>
      </c>
      <c r="AF856" s="17">
        <f t="shared" si="414"/>
        <v>0.7</v>
      </c>
      <c r="AG856">
        <v>4</v>
      </c>
      <c r="AH856" s="17">
        <f t="shared" si="415"/>
        <v>0.4</v>
      </c>
      <c r="AI856">
        <v>3</v>
      </c>
      <c r="AJ856" s="17">
        <f t="shared" si="416"/>
        <v>0.3</v>
      </c>
      <c r="AK856">
        <v>3</v>
      </c>
      <c r="AL856" s="17">
        <f t="shared" si="417"/>
        <v>0.3</v>
      </c>
      <c r="AM856">
        <v>5</v>
      </c>
      <c r="AN856" s="17">
        <f t="shared" si="418"/>
        <v>0.5</v>
      </c>
      <c r="AO856">
        <v>0</v>
      </c>
      <c r="AQ856">
        <v>4</v>
      </c>
      <c r="AR856" s="17">
        <f t="shared" si="419"/>
        <v>0.4</v>
      </c>
      <c r="AS856">
        <v>6</v>
      </c>
      <c r="AT856" s="17">
        <f t="shared" si="420"/>
        <v>0.6</v>
      </c>
      <c r="BD856" s="65">
        <f t="shared" si="421"/>
        <v>50.167224080267559</v>
      </c>
      <c r="BE856" s="65">
        <f t="shared" si="422"/>
        <v>50</v>
      </c>
      <c r="BF856" s="66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15.257759726247938</v>
      </c>
      <c r="BG856" s="38">
        <f t="shared" si="423"/>
        <v>0.77142857142857146</v>
      </c>
      <c r="BH856" s="38">
        <f t="shared" si="424"/>
        <v>5.7142857142857141E-2</v>
      </c>
      <c r="BI856" s="67">
        <f>IFERROR(((AG856*(12000/5))/((F856*60+G856)*(SUMIFS(팀공격력!X:X,팀공격력!A:A,B856,팀공격력!B:B,D856)+SUMIFS(팀수비력!X:X,팀수비력!A:A,B856,팀수비력!B:B,D856))))*100,"")</f>
        <v>1.7953589969927737</v>
      </c>
      <c r="BJ856" s="67">
        <f>IFERROR(((AI856*(12000/5))/((F856*60+G856)*(SUMIFS(팀공격력!V:V,팀공격력!A:A,B856,팀공격력!B:B,D856)+SUMIFS(팀수비력!W:W,팀수비력!A:A,B856,팀수비력!B:B,D856))))*100,"")</f>
        <v>2.6752273943285179</v>
      </c>
      <c r="BK856" s="67">
        <f>IFERROR(((AE856*(12000/5))/((F856*60+G856)*(SUMIFS(팀공격력!X:X,팀공격력!A:A,B856,팀공격력!B:B,D856)+SUMIFS(팀수비력!X:X,팀수비력!A:A,B856,팀수비력!B:B,D856))))*100,"")</f>
        <v>3.1418782447373541</v>
      </c>
      <c r="BL856" s="67">
        <f>IFERROR(100*AK856/(((((F856*60+G856)/(12000/5))*SUMIFS(팀공격력!P:P,팀공격력!A:A,B856,팀공격력!B:B,D856))-K856)),"")</f>
        <v>3.6221676661166335</v>
      </c>
      <c r="BM856" s="67">
        <f>IFERROR(100*((AM856/E856*(2400))/((F856*60+G856)*SUMIFS(팀공격력!AR:AR,팀공격력!A:A,B856,팀공격력!B:B,D856))),"")</f>
        <v>2.0365484999101824</v>
      </c>
      <c r="BN856" s="67">
        <f>IFERROR((AO856*40)/(((F856*60+G856)/60)*(SUMIFS(팀수비력!Q:Q,팀수비력!A:A,B856,팀수비력!B:B,D856)-SUMIFS(팀수비력!N:N,팀수비력!A:A,B856,팀수비력!B:B,D856)))*100,"")</f>
        <v>0</v>
      </c>
      <c r="BO856" s="67">
        <f t="shared" si="425"/>
        <v>10.030090270812437</v>
      </c>
      <c r="BT856" t="s">
        <v>89</v>
      </c>
      <c r="BV856" t="s">
        <v>93</v>
      </c>
      <c r="CF856">
        <v>5</v>
      </c>
      <c r="CG856">
        <v>5</v>
      </c>
    </row>
    <row r="857" spans="1:85" x14ac:dyDescent="0.4">
      <c r="A857" s="11" t="s">
        <v>85</v>
      </c>
      <c r="B857" t="s">
        <v>145</v>
      </c>
      <c r="C857" t="s">
        <v>155</v>
      </c>
      <c r="D857" s="46" t="s">
        <v>312</v>
      </c>
      <c r="E857">
        <v>10</v>
      </c>
      <c r="F857">
        <v>29</v>
      </c>
      <c r="G857" s="1">
        <v>24</v>
      </c>
      <c r="H857" s="16">
        <f t="shared" si="400"/>
        <v>17640</v>
      </c>
      <c r="I857">
        <v>85</v>
      </c>
      <c r="J857" s="17">
        <f t="shared" si="401"/>
        <v>8.5</v>
      </c>
      <c r="K857">
        <v>39</v>
      </c>
      <c r="L857">
        <v>71</v>
      </c>
      <c r="M857" s="17">
        <f t="shared" si="402"/>
        <v>3.9</v>
      </c>
      <c r="N857" s="17">
        <f t="shared" si="403"/>
        <v>7.1</v>
      </c>
      <c r="O857" s="18">
        <f t="shared" si="404"/>
        <v>0.54929577464788737</v>
      </c>
      <c r="P857">
        <v>38</v>
      </c>
      <c r="Q857">
        <v>65</v>
      </c>
      <c r="R857" s="17">
        <f t="shared" si="405"/>
        <v>3.8</v>
      </c>
      <c r="S857" s="17">
        <f t="shared" si="406"/>
        <v>6.5</v>
      </c>
      <c r="T857" s="18">
        <f t="shared" si="407"/>
        <v>0.58461538461538465</v>
      </c>
      <c r="U857">
        <v>1</v>
      </c>
      <c r="V857">
        <v>6</v>
      </c>
      <c r="W857" s="17">
        <f t="shared" si="408"/>
        <v>0.1</v>
      </c>
      <c r="X857" s="17">
        <f t="shared" si="409"/>
        <v>0.6</v>
      </c>
      <c r="Y857" s="18">
        <f t="shared" si="410"/>
        <v>0.16666666666666666</v>
      </c>
      <c r="Z857">
        <v>6</v>
      </c>
      <c r="AA857">
        <v>7</v>
      </c>
      <c r="AB857" s="17">
        <f t="shared" si="411"/>
        <v>0.6</v>
      </c>
      <c r="AC857" s="17">
        <f t="shared" si="412"/>
        <v>0.7</v>
      </c>
      <c r="AD857" s="18">
        <f t="shared" si="413"/>
        <v>0.8571428571428571</v>
      </c>
      <c r="AE857">
        <v>40</v>
      </c>
      <c r="AF857" s="17">
        <f t="shared" si="414"/>
        <v>4</v>
      </c>
      <c r="AG857">
        <v>12</v>
      </c>
      <c r="AH857" s="17">
        <f t="shared" si="415"/>
        <v>1.2</v>
      </c>
      <c r="AI857">
        <v>28</v>
      </c>
      <c r="AJ857" s="17">
        <f t="shared" si="416"/>
        <v>2.8</v>
      </c>
      <c r="AK857">
        <v>20</v>
      </c>
      <c r="AL857" s="17">
        <f t="shared" si="417"/>
        <v>2</v>
      </c>
      <c r="AM857">
        <v>4</v>
      </c>
      <c r="AN857" s="17">
        <f t="shared" si="418"/>
        <v>0.4</v>
      </c>
      <c r="AO857">
        <v>5</v>
      </c>
      <c r="AQ857">
        <v>5</v>
      </c>
      <c r="AR857" s="17">
        <f t="shared" si="419"/>
        <v>0.5</v>
      </c>
      <c r="AS857">
        <v>22</v>
      </c>
      <c r="AT857" s="17">
        <f t="shared" si="420"/>
        <v>2.2000000000000002</v>
      </c>
      <c r="BD857" s="65">
        <f t="shared" si="421"/>
        <v>57.370410367170635</v>
      </c>
      <c r="BE857" s="65">
        <f t="shared" si="422"/>
        <v>55.633802816901415</v>
      </c>
      <c r="BF857" s="66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12.211912822879086</v>
      </c>
      <c r="BG857" s="38">
        <f t="shared" si="423"/>
        <v>8.4507042253521125E-2</v>
      </c>
      <c r="BH857" s="38">
        <f t="shared" si="424"/>
        <v>9.8591549295774641E-2</v>
      </c>
      <c r="BI857" s="67">
        <f>IFERROR(((AG857*(12000/5))/((F857*60+G857)*(SUMIFS(팀공격력!X:X,팀공격력!A:A,B857,팀공격력!B:B,D857)+SUMIFS(팀수비력!X:X,팀수비력!A:A,B857,팀수비력!B:B,D857))))*100,"")</f>
        <v>2.1739721188075762</v>
      </c>
      <c r="BJ857" s="67">
        <f>IFERROR(((AI857*(12000/5))/((F857*60+G857)*(SUMIFS(팀공격력!V:V,팀공격력!A:A,B857,팀공격력!B:B,D857)+SUMIFS(팀수비력!W:W,팀수비력!A:A,B857,팀수비력!B:B,D857))))*100,"")</f>
        <v>10.078105316200554</v>
      </c>
      <c r="BK857" s="67">
        <f>IFERROR(((AE857*(12000/5))/((F857*60+G857)*(SUMIFS(팀공격력!X:X,팀공격력!A:A,B857,팀공격력!B:B,D857)+SUMIFS(팀수비력!X:X,팀수비력!A:A,B857,팀수비력!B:B,D857))))*100,"")</f>
        <v>7.2465737293585883</v>
      </c>
      <c r="BL857" s="67">
        <f>IFERROR(100*AK857/(((((F857*60+G857)/(12000/5))*SUMIFS(팀공격력!P:P,팀공격력!A:A,B857,팀공격력!B:B,D857))-K857)),"")</f>
        <v>10.080391119175424</v>
      </c>
      <c r="BM857" s="67">
        <f>IFERROR(100*((AM857/E857*(2400))/((F857*60+G857)*SUMIFS(팀공격력!AR:AR,팀공격력!A:A,B857,팀공격력!B:B,D857))),"")</f>
        <v>0.65760659044718806</v>
      </c>
      <c r="BN857" s="67">
        <f>IFERROR((AO857*40)/(((F857*60+G857)/60)*(SUMIFS(팀수비력!Q:Q,팀수비력!A:A,B857,팀수비력!B:B,D857)-SUMIFS(팀수비력!N:N,팀수비력!A:A,B857,팀수비력!B:B,D857)))*100,"")</f>
        <v>1.5602571303750858</v>
      </c>
      <c r="BO857" s="67">
        <f t="shared" si="425"/>
        <v>6.3227111785533641</v>
      </c>
      <c r="BT857" t="s">
        <v>89</v>
      </c>
      <c r="BV857" t="s">
        <v>93</v>
      </c>
      <c r="CF857">
        <v>5</v>
      </c>
      <c r="CG857">
        <v>5</v>
      </c>
    </row>
    <row r="858" spans="1:85" x14ac:dyDescent="0.4">
      <c r="A858" s="11" t="s">
        <v>85</v>
      </c>
      <c r="B858" t="s">
        <v>145</v>
      </c>
      <c r="C858" t="s">
        <v>156</v>
      </c>
      <c r="D858" s="46" t="s">
        <v>312</v>
      </c>
      <c r="E858">
        <v>1</v>
      </c>
      <c r="F858">
        <v>2</v>
      </c>
      <c r="G858" s="1">
        <v>9</v>
      </c>
      <c r="H858" s="16">
        <f t="shared" si="400"/>
        <v>129</v>
      </c>
      <c r="I858">
        <v>2</v>
      </c>
      <c r="J858" s="17">
        <f t="shared" si="401"/>
        <v>2</v>
      </c>
      <c r="K858">
        <v>1</v>
      </c>
      <c r="L858">
        <v>2</v>
      </c>
      <c r="M858" s="17">
        <f t="shared" si="402"/>
        <v>1</v>
      </c>
      <c r="N858" s="17">
        <f t="shared" si="403"/>
        <v>2</v>
      </c>
      <c r="O858" s="18">
        <f t="shared" si="404"/>
        <v>0.5</v>
      </c>
      <c r="P858">
        <v>1</v>
      </c>
      <c r="Q858">
        <v>2</v>
      </c>
      <c r="R858" s="17">
        <f t="shared" si="405"/>
        <v>1</v>
      </c>
      <c r="S858" s="17">
        <f t="shared" si="406"/>
        <v>2</v>
      </c>
      <c r="T858" s="18">
        <f t="shared" si="407"/>
        <v>0.5</v>
      </c>
      <c r="U858">
        <v>0</v>
      </c>
      <c r="V858">
        <v>0</v>
      </c>
      <c r="W858" s="17">
        <f t="shared" si="408"/>
        <v>0</v>
      </c>
      <c r="X858" s="17">
        <f t="shared" si="409"/>
        <v>0</v>
      </c>
      <c r="Y858" s="18" t="e">
        <f t="shared" si="410"/>
        <v>#DIV/0!</v>
      </c>
      <c r="Z858">
        <v>0</v>
      </c>
      <c r="AA858">
        <v>0</v>
      </c>
      <c r="AB858" s="17">
        <f t="shared" si="411"/>
        <v>0</v>
      </c>
      <c r="AC858" s="17">
        <f t="shared" si="412"/>
        <v>0</v>
      </c>
      <c r="AD858" s="18" t="e">
        <f t="shared" si="413"/>
        <v>#DIV/0!</v>
      </c>
      <c r="AE858">
        <v>0</v>
      </c>
      <c r="AF858" s="17">
        <f t="shared" si="414"/>
        <v>0</v>
      </c>
      <c r="AG858">
        <v>0</v>
      </c>
      <c r="AH858" s="17">
        <f t="shared" si="415"/>
        <v>0</v>
      </c>
      <c r="AI858">
        <v>0</v>
      </c>
      <c r="AJ858" s="17">
        <f t="shared" si="416"/>
        <v>0</v>
      </c>
      <c r="AK858">
        <v>0</v>
      </c>
      <c r="AL858" s="17">
        <f t="shared" si="417"/>
        <v>0</v>
      </c>
      <c r="AM858">
        <v>1</v>
      </c>
      <c r="AN858" s="17">
        <f t="shared" si="418"/>
        <v>1</v>
      </c>
      <c r="AO858">
        <v>0</v>
      </c>
      <c r="AQ858">
        <v>0</v>
      </c>
      <c r="AR858" s="17">
        <f t="shared" si="419"/>
        <v>0</v>
      </c>
      <c r="AS858">
        <v>0</v>
      </c>
      <c r="AT858" s="17">
        <f t="shared" si="420"/>
        <v>0</v>
      </c>
      <c r="BD858" s="65">
        <f t="shared" si="421"/>
        <v>50</v>
      </c>
      <c r="BE858" s="65">
        <f t="shared" si="422"/>
        <v>50</v>
      </c>
      <c r="BF858" s="66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4.2233385913898802</v>
      </c>
      <c r="BG858" s="38">
        <f t="shared" si="423"/>
        <v>0</v>
      </c>
      <c r="BH858" s="38">
        <f t="shared" si="424"/>
        <v>0</v>
      </c>
      <c r="BI858" s="67">
        <f>IFERROR(((AG858*(12000/5))/((F858*60+G858)*(SUMIFS(팀공격력!X:X,팀공격력!A:A,B858,팀공격력!B:B,D858)+SUMIFS(팀수비력!X:X,팀수비력!A:A,B858,팀수비력!B:B,D858))))*100,"")</f>
        <v>0</v>
      </c>
      <c r="BJ858" s="67">
        <f>IFERROR(((AI858*(12000/5))/((F858*60+G858)*(SUMIFS(팀공격력!V:V,팀공격력!A:A,B858,팀공격력!B:B,D858)+SUMIFS(팀수비력!W:W,팀수비력!A:A,B858,팀수비력!B:B,D858))))*100,"")</f>
        <v>0</v>
      </c>
      <c r="BK858" s="67">
        <f>IFERROR(((AE858*(12000/5))/((F858*60+G858)*(SUMIFS(팀공격력!X:X,팀공격력!A:A,B858,팀공격력!B:B,D858)+SUMIFS(팀수비력!X:X,팀수비력!A:A,B858,팀수비력!B:B,D858))))*100,"")</f>
        <v>0</v>
      </c>
      <c r="BL858" s="67">
        <f>IFERROR(100*AK858/(((((F858*60+G858)/(12000/5))*SUMIFS(팀공격력!P:P,팀공격력!A:A,B858,팀공격력!B:B,D858))-K858)),"")</f>
        <v>0</v>
      </c>
      <c r="BM858" s="67">
        <f>IFERROR(100*((AM858/E858*(2400))/((F858*60+G858)*SUMIFS(팀공격력!AR:AR,팀공격력!A:A,B858,팀공격력!B:B,D858))),"")</f>
        <v>22.480969487380616</v>
      </c>
      <c r="BN858" s="67">
        <f>IFERROR((AO858*40)/(((F858*60+G858)/60)*(SUMIFS(팀수비력!Q:Q,팀수비력!A:A,B858,팀수비력!B:B,D858)-SUMIFS(팀수비력!N:N,팀수비력!A:A,B858,팀수비력!B:B,D858)))*100,"")</f>
        <v>0</v>
      </c>
      <c r="BO858" s="67">
        <f t="shared" si="425"/>
        <v>0</v>
      </c>
      <c r="BT858" t="s">
        <v>89</v>
      </c>
      <c r="BV858" t="s">
        <v>90</v>
      </c>
      <c r="CF858">
        <v>1</v>
      </c>
      <c r="CG858">
        <v>0</v>
      </c>
    </row>
    <row r="859" spans="1:85" x14ac:dyDescent="0.4">
      <c r="A859" s="11" t="s">
        <v>85</v>
      </c>
      <c r="B859" t="s">
        <v>145</v>
      </c>
      <c r="C859" t="s">
        <v>158</v>
      </c>
      <c r="D859" s="46" t="s">
        <v>312</v>
      </c>
      <c r="E859">
        <v>8</v>
      </c>
      <c r="F859">
        <v>20</v>
      </c>
      <c r="G859" s="1">
        <v>55</v>
      </c>
      <c r="H859" s="16">
        <f t="shared" si="400"/>
        <v>10040</v>
      </c>
      <c r="I859">
        <v>57</v>
      </c>
      <c r="J859" s="17">
        <f t="shared" si="401"/>
        <v>7.125</v>
      </c>
      <c r="K859">
        <v>23</v>
      </c>
      <c r="L859">
        <v>59</v>
      </c>
      <c r="M859" s="17">
        <f t="shared" si="402"/>
        <v>2.875</v>
      </c>
      <c r="N859" s="17">
        <f t="shared" si="403"/>
        <v>7.375</v>
      </c>
      <c r="O859" s="18">
        <f t="shared" si="404"/>
        <v>0.38983050847457629</v>
      </c>
      <c r="P859">
        <v>19</v>
      </c>
      <c r="Q859">
        <v>42</v>
      </c>
      <c r="R859" s="17">
        <f t="shared" si="405"/>
        <v>2.375</v>
      </c>
      <c r="S859" s="17">
        <f t="shared" si="406"/>
        <v>5.25</v>
      </c>
      <c r="T859" s="18">
        <f t="shared" si="407"/>
        <v>0.45238095238095238</v>
      </c>
      <c r="U859">
        <v>4</v>
      </c>
      <c r="V859">
        <v>17</v>
      </c>
      <c r="W859" s="17">
        <f t="shared" si="408"/>
        <v>0.5</v>
      </c>
      <c r="X859" s="17">
        <f t="shared" si="409"/>
        <v>2.125</v>
      </c>
      <c r="Y859" s="18">
        <f t="shared" si="410"/>
        <v>0.23529411764705882</v>
      </c>
      <c r="Z859">
        <v>7</v>
      </c>
      <c r="AA859">
        <v>9</v>
      </c>
      <c r="AB859" s="17">
        <f t="shared" si="411"/>
        <v>0.875</v>
      </c>
      <c r="AC859" s="17">
        <f t="shared" si="412"/>
        <v>1.125</v>
      </c>
      <c r="AD859" s="18">
        <f t="shared" si="413"/>
        <v>0.77777777777777779</v>
      </c>
      <c r="AE859">
        <v>14</v>
      </c>
      <c r="AF859" s="17">
        <f t="shared" si="414"/>
        <v>1.75</v>
      </c>
      <c r="AG859">
        <v>4</v>
      </c>
      <c r="AH859" s="17">
        <f t="shared" si="415"/>
        <v>0.5</v>
      </c>
      <c r="AI859">
        <v>10</v>
      </c>
      <c r="AJ859" s="17">
        <f t="shared" si="416"/>
        <v>1.25</v>
      </c>
      <c r="AK859">
        <v>9</v>
      </c>
      <c r="AL859" s="17">
        <f t="shared" si="417"/>
        <v>1.125</v>
      </c>
      <c r="AM859">
        <v>3</v>
      </c>
      <c r="AN859" s="17">
        <f t="shared" si="418"/>
        <v>0.375</v>
      </c>
      <c r="AO859">
        <v>0</v>
      </c>
      <c r="AQ859">
        <v>3</v>
      </c>
      <c r="AR859" s="17">
        <f t="shared" si="419"/>
        <v>0.375</v>
      </c>
      <c r="AS859">
        <v>18</v>
      </c>
      <c r="AT859" s="17">
        <f t="shared" si="420"/>
        <v>2.25</v>
      </c>
      <c r="BD859" s="65">
        <f t="shared" si="421"/>
        <v>45.266836086404069</v>
      </c>
      <c r="BE859" s="65">
        <f t="shared" si="422"/>
        <v>42.372881355932201</v>
      </c>
      <c r="BF859" s="66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14.317016868510706</v>
      </c>
      <c r="BG859" s="38">
        <f t="shared" si="423"/>
        <v>0.28813559322033899</v>
      </c>
      <c r="BH859" s="38">
        <f t="shared" si="424"/>
        <v>0.15254237288135594</v>
      </c>
      <c r="BI859" s="67">
        <f>IFERROR(((AG859*(12000/5))/((F859*60+G859)*(SUMIFS(팀공격력!X:X,팀공격력!A:A,B859,팀공격력!B:B,D859)+SUMIFS(팀수비력!X:X,팀수비력!A:A,B859,팀수비력!B:B,D859))))*100,"")</f>
        <v>1.0185622357441075</v>
      </c>
      <c r="BJ859" s="67">
        <f>IFERROR(((AI859*(12000/5))/((F859*60+G859)*(SUMIFS(팀공격력!V:V,팀공격력!A:A,B859,팀공격력!B:B,D859)+SUMIFS(팀수비력!W:W,팀수비력!A:A,B859,팀수비력!B:B,D859))))*100,"")</f>
        <v>5.0591285651046602</v>
      </c>
      <c r="BK859" s="67">
        <f>IFERROR(((AE859*(12000/5))/((F859*60+G859)*(SUMIFS(팀공격력!X:X,팀공격력!A:A,B859,팀공격력!B:B,D859)+SUMIFS(팀수비력!X:X,팀수비력!A:A,B859,팀수비력!B:B,D859))))*100,"")</f>
        <v>3.5649678251043762</v>
      </c>
      <c r="BL859" s="67">
        <f>IFERROR(100*AK859/(((((F859*60+G859)/(12000/5))*SUMIFS(팀공격력!P:P,팀공격력!A:A,B859,팀공격력!B:B,D859))-K859)),"")</f>
        <v>6.1685205545956903</v>
      </c>
      <c r="BM859" s="67">
        <f>IFERROR(100*((AM859/E859*(2400))/((F859*60+G859)*SUMIFS(팀공격력!AR:AR,팀공격력!A:A,B859,팀공격력!B:B,D859))),"")</f>
        <v>0.86654732984226079</v>
      </c>
      <c r="BN859" s="67">
        <f>IFERROR((AO859*40)/(((F859*60+G859)/60)*(SUMIFS(팀수비력!Q:Q,팀수비력!A:A,B859,팀수비력!B:B,D859)-SUMIFS(팀수비력!N:N,팀수비력!A:A,B859,팀수비력!B:B,D859)))*100,"")</f>
        <v>0</v>
      </c>
      <c r="BO859" s="67">
        <f t="shared" si="425"/>
        <v>4.5482110369921163</v>
      </c>
      <c r="BT859" t="s">
        <v>89</v>
      </c>
      <c r="BV859" t="s">
        <v>90</v>
      </c>
      <c r="CF859">
        <v>4</v>
      </c>
      <c r="CG859">
        <v>4</v>
      </c>
    </row>
    <row r="860" spans="1:85" x14ac:dyDescent="0.4">
      <c r="A860" s="11" t="s">
        <v>85</v>
      </c>
      <c r="B860" t="s">
        <v>145</v>
      </c>
      <c r="C860" t="s">
        <v>159</v>
      </c>
      <c r="D860" s="46" t="s">
        <v>312</v>
      </c>
      <c r="E860">
        <v>8</v>
      </c>
      <c r="F860">
        <v>11</v>
      </c>
      <c r="G860" s="1">
        <v>20</v>
      </c>
      <c r="H860" s="16">
        <f t="shared" si="400"/>
        <v>5440</v>
      </c>
      <c r="I860">
        <v>5</v>
      </c>
      <c r="J860" s="17">
        <f t="shared" si="401"/>
        <v>0.625</v>
      </c>
      <c r="K860">
        <v>0</v>
      </c>
      <c r="L860">
        <v>15</v>
      </c>
      <c r="M860" s="17">
        <f t="shared" si="402"/>
        <v>0</v>
      </c>
      <c r="N860" s="17">
        <f t="shared" si="403"/>
        <v>1.875</v>
      </c>
      <c r="O860" s="18">
        <f t="shared" si="404"/>
        <v>0</v>
      </c>
      <c r="P860">
        <v>0</v>
      </c>
      <c r="Q860">
        <v>3</v>
      </c>
      <c r="R860" s="17">
        <f t="shared" si="405"/>
        <v>0</v>
      </c>
      <c r="S860" s="17">
        <f t="shared" si="406"/>
        <v>0.375</v>
      </c>
      <c r="T860" s="18">
        <f t="shared" si="407"/>
        <v>0</v>
      </c>
      <c r="U860">
        <v>0</v>
      </c>
      <c r="V860">
        <v>12</v>
      </c>
      <c r="W860" s="17">
        <f t="shared" si="408"/>
        <v>0</v>
      </c>
      <c r="X860" s="17">
        <f t="shared" si="409"/>
        <v>1.5</v>
      </c>
      <c r="Y860" s="18">
        <f t="shared" si="410"/>
        <v>0</v>
      </c>
      <c r="Z860">
        <v>5</v>
      </c>
      <c r="AA860">
        <v>6</v>
      </c>
      <c r="AB860" s="17">
        <f t="shared" si="411"/>
        <v>0.625</v>
      </c>
      <c r="AC860" s="17">
        <f t="shared" si="412"/>
        <v>0.75</v>
      </c>
      <c r="AD860" s="18">
        <f t="shared" si="413"/>
        <v>0.83333333333333337</v>
      </c>
      <c r="AE860">
        <v>11</v>
      </c>
      <c r="AF860" s="17">
        <f t="shared" si="414"/>
        <v>1.375</v>
      </c>
      <c r="AG860">
        <v>1</v>
      </c>
      <c r="AH860" s="17">
        <f t="shared" si="415"/>
        <v>0.125</v>
      </c>
      <c r="AI860">
        <v>10</v>
      </c>
      <c r="AJ860" s="17">
        <f t="shared" si="416"/>
        <v>1.25</v>
      </c>
      <c r="AK860">
        <v>5</v>
      </c>
      <c r="AL860" s="17">
        <f t="shared" si="417"/>
        <v>0.625</v>
      </c>
      <c r="AM860">
        <v>2</v>
      </c>
      <c r="AN860" s="17">
        <f t="shared" si="418"/>
        <v>0.25</v>
      </c>
      <c r="AO860">
        <v>1</v>
      </c>
      <c r="AQ860">
        <v>5</v>
      </c>
      <c r="AR860" s="17">
        <f t="shared" si="419"/>
        <v>0.625</v>
      </c>
      <c r="AS860">
        <v>10</v>
      </c>
      <c r="AT860" s="17">
        <f t="shared" si="420"/>
        <v>1.25</v>
      </c>
      <c r="BD860" s="65">
        <f t="shared" si="421"/>
        <v>14.172335600907029</v>
      </c>
      <c r="BE860" s="65">
        <f t="shared" si="422"/>
        <v>0</v>
      </c>
      <c r="BF860" s="66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9.0694954091688444</v>
      </c>
      <c r="BG860" s="38">
        <f t="shared" si="423"/>
        <v>0.8</v>
      </c>
      <c r="BH860" s="38">
        <f t="shared" si="424"/>
        <v>0.4</v>
      </c>
      <c r="BI860" s="67">
        <f>IFERROR(((AG860*(12000/5))/((F860*60+G860)*(SUMIFS(팀공격력!X:X,팀공격력!A:A,B860,팀공격력!B:B,D860)+SUMIFS(팀수비력!X:X,팀수비력!A:A,B860,팀수비력!B:B,D860))))*100,"")</f>
        <v>0.46996161980104961</v>
      </c>
      <c r="BJ860" s="67">
        <f>IFERROR(((AI860*(12000/5))/((F860*60+G860)*(SUMIFS(팀공격력!V:V,팀공격력!A:A,B860,팀공격력!B:B,D860)+SUMIFS(팀수비력!W:W,팀수비력!A:A,B860,팀수비력!B:B,D860))))*100,"")</f>
        <v>9.3370681605975729</v>
      </c>
      <c r="BK860" s="67">
        <f>IFERROR(((AE860*(12000/5))/((F860*60+G860)*(SUMIFS(팀공격력!X:X,팀공격력!A:A,B860,팀공격력!B:B,D860)+SUMIFS(팀수비력!X:X,팀수비력!A:A,B860,팀수비력!B:B,D860))))*100,"")</f>
        <v>5.169577817811545</v>
      </c>
      <c r="BL860" s="67">
        <f>IFERROR(100*AK860/(((((F860*60+G860)/(12000/5))*SUMIFS(팀공격력!P:P,팀공격력!A:A,B860,팀공격력!B:B,D860))-K860)),"")</f>
        <v>5.4634857038790745</v>
      </c>
      <c r="BM860" s="67">
        <f>IFERROR(100*((AM860/E860*(2400))/((F860*60+G860)*SUMIFS(팀공격력!AR:AR,팀공격력!A:A,B860,팀공격력!B:B,D860))),"")</f>
        <v>1.0661930381882718</v>
      </c>
      <c r="BN860" s="67">
        <f>IFERROR((AO860*40)/(((F860*60+G860)/60)*(SUMIFS(팀수비력!Q:Q,팀수비력!A:A,B860,팀수비력!B:B,D860)-SUMIFS(팀수비력!N:N,팀수비력!A:A,B860,팀수비력!B:B,D860)))*100,"")</f>
        <v>0.80949811117107395</v>
      </c>
      <c r="BO860" s="67">
        <f t="shared" si="425"/>
        <v>22.084805653710248</v>
      </c>
      <c r="BT860" t="s">
        <v>89</v>
      </c>
      <c r="BV860" t="s">
        <v>93</v>
      </c>
      <c r="CF860">
        <v>3</v>
      </c>
      <c r="CG860">
        <v>5</v>
      </c>
    </row>
    <row r="861" spans="1:85" x14ac:dyDescent="0.4">
      <c r="A861" s="11" t="s">
        <v>85</v>
      </c>
      <c r="B861" t="s">
        <v>145</v>
      </c>
      <c r="C861" t="s">
        <v>160</v>
      </c>
      <c r="D861" s="46" t="s">
        <v>312</v>
      </c>
      <c r="E861">
        <v>8</v>
      </c>
      <c r="F861">
        <v>16</v>
      </c>
      <c r="G861" s="1">
        <v>3</v>
      </c>
      <c r="H861" s="16">
        <f t="shared" si="400"/>
        <v>7704</v>
      </c>
      <c r="I861">
        <v>31</v>
      </c>
      <c r="J861" s="17">
        <f t="shared" si="401"/>
        <v>3.875</v>
      </c>
      <c r="K861">
        <v>12</v>
      </c>
      <c r="L861">
        <v>23</v>
      </c>
      <c r="M861" s="17">
        <f t="shared" si="402"/>
        <v>1.5</v>
      </c>
      <c r="N861" s="17">
        <f t="shared" si="403"/>
        <v>2.875</v>
      </c>
      <c r="O861" s="18">
        <f t="shared" si="404"/>
        <v>0.52173913043478259</v>
      </c>
      <c r="P861">
        <v>8</v>
      </c>
      <c r="Q861">
        <v>13</v>
      </c>
      <c r="R861" s="17">
        <f t="shared" si="405"/>
        <v>1</v>
      </c>
      <c r="S861" s="17">
        <f t="shared" si="406"/>
        <v>1.625</v>
      </c>
      <c r="T861" s="18">
        <f t="shared" si="407"/>
        <v>0.61538461538461542</v>
      </c>
      <c r="U861">
        <v>4</v>
      </c>
      <c r="V861">
        <v>10</v>
      </c>
      <c r="W861" s="17">
        <f t="shared" si="408"/>
        <v>0.5</v>
      </c>
      <c r="X861" s="17">
        <f t="shared" si="409"/>
        <v>1.25</v>
      </c>
      <c r="Y861" s="18">
        <f t="shared" si="410"/>
        <v>0.4</v>
      </c>
      <c r="Z861">
        <v>3</v>
      </c>
      <c r="AA861">
        <v>8</v>
      </c>
      <c r="AB861" s="17">
        <f t="shared" si="411"/>
        <v>0.375</v>
      </c>
      <c r="AC861" s="17">
        <f t="shared" si="412"/>
        <v>1</v>
      </c>
      <c r="AD861" s="18">
        <f t="shared" si="413"/>
        <v>0.375</v>
      </c>
      <c r="AE861">
        <v>14</v>
      </c>
      <c r="AF861" s="17">
        <f t="shared" si="414"/>
        <v>1.75</v>
      </c>
      <c r="AG861">
        <v>2</v>
      </c>
      <c r="AH861" s="17">
        <f t="shared" si="415"/>
        <v>0.25</v>
      </c>
      <c r="AI861">
        <v>12</v>
      </c>
      <c r="AJ861" s="17">
        <f t="shared" si="416"/>
        <v>1.5</v>
      </c>
      <c r="AK861">
        <v>9</v>
      </c>
      <c r="AL861" s="17">
        <f t="shared" si="417"/>
        <v>1.125</v>
      </c>
      <c r="AM861">
        <v>1</v>
      </c>
      <c r="AN861" s="17">
        <f t="shared" si="418"/>
        <v>0.125</v>
      </c>
      <c r="AO861">
        <v>0</v>
      </c>
      <c r="AQ861">
        <v>9</v>
      </c>
      <c r="AR861" s="17">
        <f t="shared" si="419"/>
        <v>1.125</v>
      </c>
      <c r="AS861">
        <v>15</v>
      </c>
      <c r="AT861" s="17">
        <f t="shared" si="420"/>
        <v>1.875</v>
      </c>
      <c r="BD861" s="65">
        <f t="shared" si="421"/>
        <v>58.44645550527904</v>
      </c>
      <c r="BE861" s="65">
        <f t="shared" si="422"/>
        <v>60.869565217391312</v>
      </c>
      <c r="BF861" s="66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10.047598802095397</v>
      </c>
      <c r="BG861" s="38">
        <f t="shared" si="423"/>
        <v>0.43478260869565216</v>
      </c>
      <c r="BH861" s="38">
        <f t="shared" si="424"/>
        <v>0.34782608695652173</v>
      </c>
      <c r="BI861" s="67">
        <f>IFERROR(((AG861*(12000/5))/((F861*60+G861)*(SUMIFS(팀공격력!X:X,팀공격력!A:A,B861,팀공격력!B:B,D861)+SUMIFS(팀수비력!X:X,팀수비력!A:A,B861,팀수비력!B:B,D861))))*100,"")</f>
        <v>0.66370488362349678</v>
      </c>
      <c r="BJ861" s="67">
        <f>IFERROR(((AI861*(12000/5))/((F861*60+G861)*(SUMIFS(팀공격력!V:V,팀공격력!A:A,B861,팀공격력!B:B,D861)+SUMIFS(팀수비력!W:W,팀수비력!A:A,B861,팀수비력!B:B,D861))))*100,"")</f>
        <v>7.9117836127181915</v>
      </c>
      <c r="BK861" s="67">
        <f>IFERROR(((AE861*(12000/5))/((F861*60+G861)*(SUMIFS(팀공격력!X:X,팀공격력!A:A,B861,팀공격력!B:B,D861)+SUMIFS(팀수비력!X:X,팀수비력!A:A,B861,팀수비력!B:B,D861))))*100,"")</f>
        <v>4.6459341853644771</v>
      </c>
      <c r="BL861" s="67">
        <f>IFERROR(100*AK861/(((((F861*60+G861)/(12000/5))*SUMIFS(팀공격력!P:P,팀공격력!A:A,B861,팀공격력!B:B,D861))-K861)),"")</f>
        <v>7.6528171933292946</v>
      </c>
      <c r="BM861" s="67">
        <f>IFERROR(100*((AM861/E861*(2400))/((F861*60+G861)*SUMIFS(팀공격력!AR:AR,팀공격력!A:A,B861,팀공격력!B:B,D861))),"")</f>
        <v>0.37643367911112402</v>
      </c>
      <c r="BN861" s="67">
        <f>IFERROR((AO861*40)/(((F861*60+G861)/60)*(SUMIFS(팀수비력!Q:Q,팀수비력!A:A,B861,팀수비력!B:B,D861)-SUMIFS(팀수비력!N:N,팀수비력!A:A,B861,팀수비력!B:B,D861)))*100,"")</f>
        <v>0</v>
      </c>
      <c r="BO861" s="67">
        <f t="shared" si="425"/>
        <v>25.337837837837842</v>
      </c>
      <c r="BT861" t="s">
        <v>89</v>
      </c>
      <c r="BV861" t="s">
        <v>90</v>
      </c>
      <c r="CF861">
        <v>4</v>
      </c>
      <c r="CG861">
        <v>4</v>
      </c>
    </row>
    <row r="862" spans="1:85" x14ac:dyDescent="0.4">
      <c r="A862" s="11" t="s">
        <v>85</v>
      </c>
      <c r="B862" t="s">
        <v>145</v>
      </c>
      <c r="C862" t="s">
        <v>161</v>
      </c>
      <c r="D862" s="46" t="s">
        <v>312</v>
      </c>
      <c r="E862">
        <v>4</v>
      </c>
      <c r="F862">
        <v>25</v>
      </c>
      <c r="G862" s="1">
        <v>29</v>
      </c>
      <c r="H862" s="16">
        <f t="shared" si="400"/>
        <v>6116</v>
      </c>
      <c r="I862">
        <v>51</v>
      </c>
      <c r="J862" s="17">
        <f t="shared" si="401"/>
        <v>12.75</v>
      </c>
      <c r="K862">
        <v>18</v>
      </c>
      <c r="L862">
        <v>52</v>
      </c>
      <c r="M862" s="17">
        <f t="shared" si="402"/>
        <v>4.5</v>
      </c>
      <c r="N862" s="17">
        <f t="shared" si="403"/>
        <v>13</v>
      </c>
      <c r="O862" s="18">
        <f t="shared" si="404"/>
        <v>0.34615384615384615</v>
      </c>
      <c r="P862">
        <v>12</v>
      </c>
      <c r="Q862">
        <v>30</v>
      </c>
      <c r="R862" s="17">
        <f t="shared" si="405"/>
        <v>3</v>
      </c>
      <c r="S862" s="17">
        <f t="shared" si="406"/>
        <v>7.5</v>
      </c>
      <c r="T862" s="18">
        <f t="shared" si="407"/>
        <v>0.4</v>
      </c>
      <c r="U862">
        <v>6</v>
      </c>
      <c r="V862">
        <v>22</v>
      </c>
      <c r="W862" s="17">
        <f t="shared" si="408"/>
        <v>1.5</v>
      </c>
      <c r="X862" s="17">
        <f t="shared" si="409"/>
        <v>5.5</v>
      </c>
      <c r="Y862" s="18">
        <f t="shared" si="410"/>
        <v>0.27272727272727271</v>
      </c>
      <c r="Z862">
        <v>9</v>
      </c>
      <c r="AA862">
        <v>9</v>
      </c>
      <c r="AB862" s="17">
        <f t="shared" si="411"/>
        <v>2.25</v>
      </c>
      <c r="AC862" s="17">
        <f t="shared" si="412"/>
        <v>2.25</v>
      </c>
      <c r="AD862" s="18">
        <f t="shared" si="413"/>
        <v>1</v>
      </c>
      <c r="AE862">
        <v>20</v>
      </c>
      <c r="AF862" s="17">
        <f t="shared" si="414"/>
        <v>5</v>
      </c>
      <c r="AG862">
        <v>0</v>
      </c>
      <c r="AH862" s="17">
        <f t="shared" si="415"/>
        <v>0</v>
      </c>
      <c r="AI862">
        <v>20</v>
      </c>
      <c r="AJ862" s="17">
        <f t="shared" si="416"/>
        <v>5</v>
      </c>
      <c r="AK862">
        <v>13</v>
      </c>
      <c r="AL862" s="17">
        <f t="shared" si="417"/>
        <v>3.25</v>
      </c>
      <c r="AM862">
        <v>1</v>
      </c>
      <c r="AN862" s="17">
        <f t="shared" si="418"/>
        <v>0.25</v>
      </c>
      <c r="AO862">
        <v>5</v>
      </c>
      <c r="AQ862">
        <v>9</v>
      </c>
      <c r="AR862" s="17">
        <f t="shared" si="419"/>
        <v>2.25</v>
      </c>
      <c r="AS862">
        <v>11</v>
      </c>
      <c r="AT862" s="17">
        <f t="shared" si="420"/>
        <v>2.75</v>
      </c>
      <c r="BD862" s="65">
        <f t="shared" si="421"/>
        <v>45.568263045032168</v>
      </c>
      <c r="BE862" s="65">
        <f t="shared" si="422"/>
        <v>40.384615384615387</v>
      </c>
      <c r="BF862" s="66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11.573218332790248</v>
      </c>
      <c r="BG862" s="38">
        <f t="shared" si="423"/>
        <v>0.42307692307692307</v>
      </c>
      <c r="BH862" s="38">
        <f t="shared" si="424"/>
        <v>0.17307692307692307</v>
      </c>
      <c r="BI862" s="67">
        <f>IFERROR(((AG862*(12000/5))/((F862*60+G862)*(SUMIFS(팀공격력!X:X,팀공격력!A:A,B862,팀공격력!B:B,D862)+SUMIFS(팀수비력!X:X,팀수비력!A:A,B862,팀수비력!B:B,D862))))*100,"")</f>
        <v>0</v>
      </c>
      <c r="BJ862" s="67">
        <f>IFERROR(((AI862*(12000/5))/((F862*60+G862)*(SUMIFS(팀공격력!V:V,팀공격력!A:A,B862,팀공격력!B:B,D862)+SUMIFS(팀수비력!W:W,팀수비력!A:A,B862,팀수비력!B:B,D862))))*100,"")</f>
        <v>8.3050442762672976</v>
      </c>
      <c r="BK862" s="67">
        <f>IFERROR(((AE862*(12000/5))/((F862*60+G862)*(SUMIFS(팀공격력!X:X,팀공격력!A:A,B862,팀공격력!B:B,D862)+SUMIFS(팀수비력!X:X,팀수비력!A:A,B862,팀수비력!B:B,D862))))*100,"")</f>
        <v>4.1801687568961894</v>
      </c>
      <c r="BL862" s="67">
        <f>IFERROR(100*AK862/(((((F862*60+G862)/(12000/5))*SUMIFS(팀공격력!P:P,팀공격력!A:A,B862,팀공격력!B:B,D862))-K862)),"")</f>
        <v>6.9230718024616849</v>
      </c>
      <c r="BM862" s="67">
        <f>IFERROR(100*((AM862/E862*(2400))/((F862*60+G862)*SUMIFS(팀공격력!AR:AR,팀공격력!A:A,B862,팀공격력!B:B,D862))),"")</f>
        <v>0.4741734898417429</v>
      </c>
      <c r="BN862" s="67">
        <f>IFERROR((AO862*40)/(((F862*60+G862)/60)*(SUMIFS(팀수비력!Q:Q,팀수비력!A:A,B862,팀수비력!B:B,D862)-SUMIFS(팀수비력!N:N,팀수비력!A:A,B862,팀수비력!B:B,D862)))*100,"")</f>
        <v>1.8000612020808708</v>
      </c>
      <c r="BO862" s="67">
        <f t="shared" si="425"/>
        <v>13.854679802955664</v>
      </c>
      <c r="BT862" t="s">
        <v>89</v>
      </c>
      <c r="BV862" t="s">
        <v>93</v>
      </c>
      <c r="CF862">
        <v>2</v>
      </c>
      <c r="CG862">
        <v>2</v>
      </c>
    </row>
    <row r="863" spans="1:85" x14ac:dyDescent="0.4">
      <c r="A863" s="11" t="s">
        <v>85</v>
      </c>
      <c r="B863" t="s">
        <v>145</v>
      </c>
      <c r="C863" t="s">
        <v>162</v>
      </c>
      <c r="D863" s="46" t="s">
        <v>312</v>
      </c>
      <c r="E863">
        <v>5</v>
      </c>
      <c r="F863">
        <v>7</v>
      </c>
      <c r="G863" s="1">
        <v>12</v>
      </c>
      <c r="H863" s="16">
        <f t="shared" si="400"/>
        <v>2160</v>
      </c>
      <c r="I863">
        <v>9</v>
      </c>
      <c r="J863" s="17">
        <f t="shared" si="401"/>
        <v>1.8</v>
      </c>
      <c r="K863">
        <v>4</v>
      </c>
      <c r="L863">
        <v>9</v>
      </c>
      <c r="M863" s="17">
        <f t="shared" si="402"/>
        <v>0.8</v>
      </c>
      <c r="N863" s="17">
        <f t="shared" si="403"/>
        <v>1.8</v>
      </c>
      <c r="O863" s="18">
        <f t="shared" si="404"/>
        <v>0.44444444444444442</v>
      </c>
      <c r="P863">
        <v>3</v>
      </c>
      <c r="Q863">
        <v>6</v>
      </c>
      <c r="R863" s="17">
        <f t="shared" si="405"/>
        <v>0.6</v>
      </c>
      <c r="S863" s="17">
        <f t="shared" si="406"/>
        <v>1.2</v>
      </c>
      <c r="T863" s="18">
        <f t="shared" si="407"/>
        <v>0.5</v>
      </c>
      <c r="U863">
        <v>1</v>
      </c>
      <c r="V863">
        <v>3</v>
      </c>
      <c r="W863" s="17">
        <f t="shared" si="408"/>
        <v>0.2</v>
      </c>
      <c r="X863" s="17">
        <f t="shared" si="409"/>
        <v>0.6</v>
      </c>
      <c r="Y863" s="18">
        <f t="shared" si="410"/>
        <v>0.33333333333333331</v>
      </c>
      <c r="Z863">
        <v>0</v>
      </c>
      <c r="AA863">
        <v>0</v>
      </c>
      <c r="AB863" s="17">
        <f t="shared" si="411"/>
        <v>0</v>
      </c>
      <c r="AC863" s="17">
        <f t="shared" si="412"/>
        <v>0</v>
      </c>
      <c r="AD863" s="18" t="e">
        <f t="shared" si="413"/>
        <v>#DIV/0!</v>
      </c>
      <c r="AE863">
        <v>7</v>
      </c>
      <c r="AF863" s="17">
        <f t="shared" si="414"/>
        <v>1.4</v>
      </c>
      <c r="AG863">
        <v>2</v>
      </c>
      <c r="AH863" s="17">
        <f t="shared" si="415"/>
        <v>0.4</v>
      </c>
      <c r="AI863">
        <v>5</v>
      </c>
      <c r="AJ863" s="17">
        <f t="shared" si="416"/>
        <v>1</v>
      </c>
      <c r="AK863">
        <v>5</v>
      </c>
      <c r="AL863" s="17">
        <f t="shared" si="417"/>
        <v>1</v>
      </c>
      <c r="AM863">
        <v>1</v>
      </c>
      <c r="AN863" s="17">
        <f t="shared" si="418"/>
        <v>0.2</v>
      </c>
      <c r="AO863">
        <v>0</v>
      </c>
      <c r="AQ863">
        <v>3</v>
      </c>
      <c r="AR863" s="17">
        <f t="shared" si="419"/>
        <v>0.6</v>
      </c>
      <c r="AS863">
        <v>8</v>
      </c>
      <c r="AT863" s="17">
        <f t="shared" si="420"/>
        <v>1.6</v>
      </c>
      <c r="BD863" s="65">
        <f t="shared" si="421"/>
        <v>50</v>
      </c>
      <c r="BE863" s="65">
        <f t="shared" si="422"/>
        <v>50</v>
      </c>
      <c r="BF863" s="66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7.5668149762402015</v>
      </c>
      <c r="BG863" s="38">
        <f t="shared" si="423"/>
        <v>0.33333333333333331</v>
      </c>
      <c r="BH863" s="38">
        <f t="shared" si="424"/>
        <v>0</v>
      </c>
      <c r="BI863" s="67">
        <f>IFERROR(((AG863*(12000/5))/((F863*60+G863)*(SUMIFS(팀공격력!X:X,팀공격력!A:A,B863,팀공격력!B:B,D863)+SUMIFS(팀수비력!X:X,팀수비력!A:A,B863,팀수비력!B:B,D863))))*100,"")</f>
        <v>1.4795088030773782</v>
      </c>
      <c r="BJ863" s="67">
        <f>IFERROR(((AI863*(12000/5))/((F863*60+G863)*(SUMIFS(팀공격력!V:V,팀공격력!A:A,B863,팀공격력!B:B,D863)+SUMIFS(팀수비력!W:W,팀수비력!A:A,B863,팀수비력!B:B,D863))))*100,"")</f>
        <v>7.348618459729571</v>
      </c>
      <c r="BK863" s="67">
        <f>IFERROR(((AE863*(12000/5))/((F863*60+G863)*(SUMIFS(팀공격력!X:X,팀공격력!A:A,B863,팀공격력!B:B,D863)+SUMIFS(팀수비력!X:X,팀수비력!A:A,B863,팀수비력!B:B,D863))))*100,"")</f>
        <v>5.1782808107708238</v>
      </c>
      <c r="BL863" s="67">
        <f>IFERROR(100*AK863/(((((F863*60+G863)/(12000/5))*SUMIFS(팀공격력!P:P,팀공격력!A:A,B863,팀공격력!B:B,D863))-K863)),"")</f>
        <v>9.2353158478019939</v>
      </c>
      <c r="BM863" s="67">
        <f>IFERROR(100*((AM863/E863*(2400))/((F863*60+G863)*SUMIFS(팀공격력!AR:AR,팀공격력!A:A,B863,팀공격력!B:B,D863))),"")</f>
        <v>1.3426134554963423</v>
      </c>
      <c r="BN863" s="67">
        <f>IFERROR((AO863*40)/(((F863*60+G863)/60)*(SUMIFS(팀수비력!Q:Q,팀수비력!A:A,B863,팀수비력!B:B,D863)-SUMIFS(팀수비력!N:N,팀수비력!A:A,B863,팀수비력!B:B,D863)))*100,"")</f>
        <v>0</v>
      </c>
      <c r="BO863" s="67">
        <f t="shared" si="425"/>
        <v>25</v>
      </c>
      <c r="BT863" t="s">
        <v>113</v>
      </c>
      <c r="BV863" t="s">
        <v>90</v>
      </c>
      <c r="CF863">
        <v>3</v>
      </c>
      <c r="CG863">
        <v>2</v>
      </c>
    </row>
    <row r="864" spans="1:85" x14ac:dyDescent="0.4">
      <c r="A864" s="11" t="s">
        <v>85</v>
      </c>
      <c r="B864" t="s">
        <v>145</v>
      </c>
      <c r="C864" t="s">
        <v>163</v>
      </c>
      <c r="D864" s="46" t="s">
        <v>312</v>
      </c>
      <c r="E864">
        <v>10</v>
      </c>
      <c r="F864">
        <v>32</v>
      </c>
      <c r="G864" s="1">
        <v>14</v>
      </c>
      <c r="H864" s="16">
        <f t="shared" si="400"/>
        <v>19340</v>
      </c>
      <c r="I864">
        <v>173</v>
      </c>
      <c r="J864" s="17">
        <f t="shared" si="401"/>
        <v>17.3</v>
      </c>
      <c r="K864">
        <v>55</v>
      </c>
      <c r="L864">
        <v>143</v>
      </c>
      <c r="M864" s="17">
        <f t="shared" si="402"/>
        <v>5.5</v>
      </c>
      <c r="N864" s="17">
        <f t="shared" si="403"/>
        <v>14.3</v>
      </c>
      <c r="O864" s="18">
        <f t="shared" si="404"/>
        <v>0.38461538461538464</v>
      </c>
      <c r="P864">
        <v>27</v>
      </c>
      <c r="Q864">
        <v>60</v>
      </c>
      <c r="R864" s="17">
        <f t="shared" si="405"/>
        <v>2.7</v>
      </c>
      <c r="S864" s="17">
        <f t="shared" si="406"/>
        <v>6</v>
      </c>
      <c r="T864" s="18">
        <f t="shared" si="407"/>
        <v>0.45</v>
      </c>
      <c r="U864">
        <v>28</v>
      </c>
      <c r="V864">
        <v>83</v>
      </c>
      <c r="W864" s="17">
        <f t="shared" si="408"/>
        <v>2.8</v>
      </c>
      <c r="X864" s="17">
        <f t="shared" si="409"/>
        <v>8.3000000000000007</v>
      </c>
      <c r="Y864" s="18">
        <f t="shared" si="410"/>
        <v>0.33734939759036142</v>
      </c>
      <c r="Z864">
        <v>35</v>
      </c>
      <c r="AA864">
        <v>41</v>
      </c>
      <c r="AB864" s="17">
        <f t="shared" si="411"/>
        <v>3.5</v>
      </c>
      <c r="AC864" s="17">
        <f t="shared" si="412"/>
        <v>4.0999999999999996</v>
      </c>
      <c r="AD864" s="18">
        <f t="shared" si="413"/>
        <v>0.85365853658536583</v>
      </c>
      <c r="AE864">
        <v>17</v>
      </c>
      <c r="AF864" s="17">
        <f t="shared" si="414"/>
        <v>1.7</v>
      </c>
      <c r="AG864">
        <v>3</v>
      </c>
      <c r="AH864" s="17">
        <f t="shared" si="415"/>
        <v>0.3</v>
      </c>
      <c r="AI864">
        <v>14</v>
      </c>
      <c r="AJ864" s="17">
        <f t="shared" si="416"/>
        <v>1.4</v>
      </c>
      <c r="AK864">
        <v>40</v>
      </c>
      <c r="AL864" s="17">
        <f t="shared" si="417"/>
        <v>4</v>
      </c>
      <c r="AM864">
        <v>5</v>
      </c>
      <c r="AN864" s="17">
        <f t="shared" si="418"/>
        <v>0.5</v>
      </c>
      <c r="AO864">
        <v>1</v>
      </c>
      <c r="AQ864">
        <v>24</v>
      </c>
      <c r="AR864" s="17">
        <f t="shared" si="419"/>
        <v>2.4</v>
      </c>
      <c r="AS864">
        <v>23</v>
      </c>
      <c r="AT864" s="17">
        <f t="shared" si="420"/>
        <v>2.2999999999999998</v>
      </c>
      <c r="BD864" s="65">
        <f t="shared" si="421"/>
        <v>53.713363139592651</v>
      </c>
      <c r="BE864" s="65">
        <f t="shared" si="422"/>
        <v>48.251748251748253</v>
      </c>
      <c r="BF864" s="66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26.06302169354991</v>
      </c>
      <c r="BG864" s="38">
        <f t="shared" si="423"/>
        <v>0.58041958041958042</v>
      </c>
      <c r="BH864" s="38">
        <f t="shared" si="424"/>
        <v>0.28671328671328672</v>
      </c>
      <c r="BI864" s="67">
        <f>IFERROR(((AG864*(12000/5))/((F864*60+G864)*(SUMIFS(팀공격력!X:X,팀공격력!A:A,B864,팀공격력!B:B,D864)+SUMIFS(팀수비력!X:X,팀수비력!A:A,B864,팀수비력!B:B,D864))))*100,"")</f>
        <v>0.49571959896284445</v>
      </c>
      <c r="BJ864" s="67">
        <f>IFERROR(((AI864*(12000/5))/((F864*60+G864)*(SUMIFS(팀공격력!V:V,팀공격력!A:A,B864,팀공격력!B:B,D864)+SUMIFS(팀수비력!W:W,팀수비력!A:A,B864,팀수비력!B:B,D864))))*100,"")</f>
        <v>4.5961162817419279</v>
      </c>
      <c r="BK864" s="67">
        <f>IFERROR(((AE864*(12000/5))/((F864*60+G864)*(SUMIFS(팀공격력!X:X,팀공격력!A:A,B864,팀공격력!B:B,D864)+SUMIFS(팀수비력!X:X,팀수비력!A:A,B864,팀수비력!B:B,D864))))*100,"")</f>
        <v>2.8090777274561183</v>
      </c>
      <c r="BL864" s="67">
        <f>IFERROR(100*AK864/(((((F864*60+G864)/(12000/5))*SUMIFS(팀공격력!P:P,팀공격력!A:A,B864,팀공격력!B:B,D864))-K864)),"")</f>
        <v>19.485185170150324</v>
      </c>
      <c r="BM864" s="67">
        <f>IFERROR(100*((AM864/E864*(2400))/((F864*60+G864)*SUMIFS(팀공격력!AR:AR,팀공격력!A:A,B864,팀공격력!B:B,D864))),"")</f>
        <v>0.74975311889144236</v>
      </c>
      <c r="BN864" s="67">
        <f>IFERROR((AO864*40)/(((F864*60+G864)/60)*(SUMIFS(팀수비력!Q:Q,팀수비력!A:A,B864,팀수비력!B:B,D864)-SUMIFS(팀수비력!N:N,팀수비력!A:A,B864,팀수비력!B:B,D864)))*100,"")</f>
        <v>0.28462187983264231</v>
      </c>
      <c r="BO864" s="67">
        <f t="shared" si="425"/>
        <v>12.970168612191959</v>
      </c>
      <c r="BT864" t="s">
        <v>89</v>
      </c>
      <c r="BV864" t="s">
        <v>90</v>
      </c>
      <c r="CF864">
        <v>5</v>
      </c>
      <c r="CG864">
        <v>5</v>
      </c>
    </row>
    <row r="865" spans="1:85" x14ac:dyDescent="0.4">
      <c r="A865" s="11" t="s">
        <v>85</v>
      </c>
      <c r="B865" t="s">
        <v>164</v>
      </c>
      <c r="C865" t="s">
        <v>168</v>
      </c>
      <c r="D865" s="46" t="s">
        <v>312</v>
      </c>
      <c r="E865">
        <v>5</v>
      </c>
      <c r="F865">
        <v>3</v>
      </c>
      <c r="G865" s="1">
        <v>18</v>
      </c>
      <c r="H865" s="16">
        <f t="shared" si="400"/>
        <v>990</v>
      </c>
      <c r="I865">
        <v>9</v>
      </c>
      <c r="J865" s="17">
        <f t="shared" si="401"/>
        <v>1.8</v>
      </c>
      <c r="K865">
        <v>3</v>
      </c>
      <c r="L865">
        <v>7</v>
      </c>
      <c r="M865" s="17">
        <f t="shared" si="402"/>
        <v>0.6</v>
      </c>
      <c r="N865" s="17">
        <f t="shared" si="403"/>
        <v>1.4</v>
      </c>
      <c r="O865" s="18">
        <f t="shared" si="404"/>
        <v>0.42857142857142855</v>
      </c>
      <c r="P865">
        <v>3</v>
      </c>
      <c r="Q865">
        <v>7</v>
      </c>
      <c r="R865" s="17">
        <f t="shared" si="405"/>
        <v>0.6</v>
      </c>
      <c r="S865" s="17">
        <f t="shared" si="406"/>
        <v>1.4</v>
      </c>
      <c r="T865" s="18">
        <f t="shared" si="407"/>
        <v>0.42857142857142855</v>
      </c>
      <c r="U865">
        <v>0</v>
      </c>
      <c r="V865">
        <v>0</v>
      </c>
      <c r="W865" s="17">
        <f t="shared" si="408"/>
        <v>0</v>
      </c>
      <c r="X865" s="17">
        <f t="shared" si="409"/>
        <v>0</v>
      </c>
      <c r="Y865" s="18" t="e">
        <f t="shared" si="410"/>
        <v>#DIV/0!</v>
      </c>
      <c r="Z865">
        <v>3</v>
      </c>
      <c r="AA865">
        <v>5</v>
      </c>
      <c r="AB865" s="17">
        <f t="shared" si="411"/>
        <v>0.6</v>
      </c>
      <c r="AC865" s="17">
        <f t="shared" si="412"/>
        <v>1</v>
      </c>
      <c r="AD865" s="18">
        <f t="shared" si="413"/>
        <v>0.6</v>
      </c>
      <c r="AE865">
        <v>3</v>
      </c>
      <c r="AF865" s="17">
        <f t="shared" si="414"/>
        <v>0.6</v>
      </c>
      <c r="AG865">
        <v>1</v>
      </c>
      <c r="AH865" s="17">
        <f t="shared" si="415"/>
        <v>0.2</v>
      </c>
      <c r="AI865">
        <v>2</v>
      </c>
      <c r="AJ865" s="17">
        <f t="shared" si="416"/>
        <v>0.4</v>
      </c>
      <c r="AK865">
        <v>0</v>
      </c>
      <c r="AL865" s="17">
        <f t="shared" si="417"/>
        <v>0</v>
      </c>
      <c r="AM865">
        <v>0</v>
      </c>
      <c r="AN865" s="17">
        <f t="shared" si="418"/>
        <v>0</v>
      </c>
      <c r="AO865">
        <v>1</v>
      </c>
      <c r="AQ865">
        <v>0</v>
      </c>
      <c r="AR865" s="17">
        <f t="shared" si="419"/>
        <v>0</v>
      </c>
      <c r="AS865">
        <v>0</v>
      </c>
      <c r="AT865" s="17">
        <f t="shared" si="420"/>
        <v>0</v>
      </c>
      <c r="BD865" s="65">
        <f t="shared" si="421"/>
        <v>48.913043478260875</v>
      </c>
      <c r="BE865" s="65">
        <f t="shared" si="422"/>
        <v>42.857142857142854</v>
      </c>
      <c r="BF865" s="66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14.627623631243969</v>
      </c>
      <c r="BG865" s="38">
        <f t="shared" si="423"/>
        <v>0</v>
      </c>
      <c r="BH865" s="38">
        <f t="shared" si="424"/>
        <v>0.7142857142857143</v>
      </c>
      <c r="BI865" s="67">
        <f>IFERROR(((AG865*(12000/5))/((F865*60+G865)*(SUMIFS(팀공격력!X:X,팀공격력!A:A,B865,팀공격력!B:B,D865)+SUMIFS(팀수비력!X:X,팀수비력!A:A,B865,팀수비력!B:B,D865))))*100,"")</f>
        <v>1.9362958660083263</v>
      </c>
      <c r="BJ865" s="67">
        <f>IFERROR(((AI865*(12000/5))/((F865*60+G865)*(SUMIFS(팀공격력!V:V,팀공격력!A:A,B865,팀공격력!B:B,D865)+SUMIFS(팀수비력!W:W,팀수비력!A:A,B865,팀수비력!B:B,D865))))*100,"")</f>
        <v>7.3461891643709825</v>
      </c>
      <c r="BK865" s="67">
        <f>IFERROR(((AE865*(12000/5))/((F865*60+G865)*(SUMIFS(팀공격력!X:X,팀공격력!A:A,B865,팀공격력!B:B,D865)+SUMIFS(팀수비력!X:X,팀수비력!A:A,B865,팀수비력!B:B,D865))))*100,"")</f>
        <v>5.8088875980249783</v>
      </c>
      <c r="BL865" s="67">
        <f>IFERROR(100*AK865/(((((F865*60+G865)/(12000/5))*SUMIFS(팀공격력!P:P,팀공격력!A:A,B865,팀공격력!B:B,D865))-K865)),"")</f>
        <v>0</v>
      </c>
      <c r="BM865" s="67">
        <f>IFERROR(100*((AM865/E865*(2400))/((F865*60+G865)*SUMIFS(팀공격력!AR:AR,팀공격력!A:A,B865,팀공격력!B:B,D865))),"")</f>
        <v>0</v>
      </c>
      <c r="BN865" s="67">
        <f>IFERROR((AO865*40)/(((F865*60+G865)/60)*(SUMIFS(팀수비력!Q:Q,팀수비력!A:A,B865,팀수비력!B:B,D865)-SUMIFS(팀수비력!N:N,팀수비력!A:A,B865,팀수비력!B:B,D865)))*100,"")</f>
        <v>3.4533367866701199</v>
      </c>
      <c r="BO865" s="67">
        <f t="shared" si="425"/>
        <v>0</v>
      </c>
      <c r="BT865" t="s">
        <v>89</v>
      </c>
      <c r="BV865" t="s">
        <v>93</v>
      </c>
      <c r="CF865">
        <v>3</v>
      </c>
      <c r="CG865">
        <v>2</v>
      </c>
    </row>
    <row r="866" spans="1:85" x14ac:dyDescent="0.4">
      <c r="A866" s="11" t="s">
        <v>85</v>
      </c>
      <c r="B866" t="s">
        <v>164</v>
      </c>
      <c r="C866" t="s">
        <v>169</v>
      </c>
      <c r="D866" s="46" t="s">
        <v>312</v>
      </c>
      <c r="E866">
        <v>7</v>
      </c>
      <c r="F866">
        <v>10</v>
      </c>
      <c r="G866" s="1">
        <v>27</v>
      </c>
      <c r="H866" s="16">
        <f t="shared" si="400"/>
        <v>4389</v>
      </c>
      <c r="I866">
        <v>26</v>
      </c>
      <c r="J866" s="17">
        <f t="shared" si="401"/>
        <v>3.7142857142857144</v>
      </c>
      <c r="K866">
        <v>11</v>
      </c>
      <c r="L866">
        <v>25</v>
      </c>
      <c r="M866" s="17">
        <f t="shared" si="402"/>
        <v>1.5714285714285714</v>
      </c>
      <c r="N866" s="17">
        <f t="shared" si="403"/>
        <v>3.5714285714285716</v>
      </c>
      <c r="O866" s="18">
        <f t="shared" si="404"/>
        <v>0.44</v>
      </c>
      <c r="P866">
        <v>10</v>
      </c>
      <c r="Q866">
        <v>21</v>
      </c>
      <c r="R866" s="17">
        <f t="shared" si="405"/>
        <v>1.4285714285714286</v>
      </c>
      <c r="S866" s="17">
        <f t="shared" si="406"/>
        <v>3</v>
      </c>
      <c r="T866" s="18">
        <f t="shared" si="407"/>
        <v>0.47619047619047616</v>
      </c>
      <c r="U866">
        <v>1</v>
      </c>
      <c r="V866">
        <v>4</v>
      </c>
      <c r="W866" s="17">
        <f t="shared" si="408"/>
        <v>0.14285714285714285</v>
      </c>
      <c r="X866" s="17">
        <f t="shared" si="409"/>
        <v>0.5714285714285714</v>
      </c>
      <c r="Y866" s="18">
        <f t="shared" si="410"/>
        <v>0.25</v>
      </c>
      <c r="Z866">
        <v>3</v>
      </c>
      <c r="AA866">
        <v>10</v>
      </c>
      <c r="AB866" s="17">
        <f t="shared" si="411"/>
        <v>0.42857142857142855</v>
      </c>
      <c r="AC866" s="17">
        <f t="shared" si="412"/>
        <v>1.4285714285714286</v>
      </c>
      <c r="AD866" s="18">
        <f t="shared" si="413"/>
        <v>0.3</v>
      </c>
      <c r="AE866">
        <v>22</v>
      </c>
      <c r="AF866" s="17">
        <f t="shared" si="414"/>
        <v>3.1428571428571428</v>
      </c>
      <c r="AG866">
        <v>7</v>
      </c>
      <c r="AH866" s="17">
        <f t="shared" si="415"/>
        <v>1</v>
      </c>
      <c r="AI866">
        <v>15</v>
      </c>
      <c r="AJ866" s="17">
        <f t="shared" si="416"/>
        <v>2.1428571428571428</v>
      </c>
      <c r="AK866">
        <v>2</v>
      </c>
      <c r="AL866" s="17">
        <f t="shared" si="417"/>
        <v>0.2857142857142857</v>
      </c>
      <c r="AM866">
        <v>3</v>
      </c>
      <c r="AN866" s="17">
        <f t="shared" si="418"/>
        <v>0.42857142857142855</v>
      </c>
      <c r="AO866">
        <v>3</v>
      </c>
      <c r="AQ866">
        <v>1</v>
      </c>
      <c r="AR866" s="17">
        <f t="shared" si="419"/>
        <v>0.14285714285714285</v>
      </c>
      <c r="AS866">
        <v>13</v>
      </c>
      <c r="AT866" s="17">
        <f t="shared" si="420"/>
        <v>1.8571428571428572</v>
      </c>
      <c r="BD866" s="65">
        <f t="shared" si="421"/>
        <v>44.217687074829939</v>
      </c>
      <c r="BE866" s="65">
        <f t="shared" si="422"/>
        <v>46</v>
      </c>
      <c r="BF866" s="66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15.263607267385009</v>
      </c>
      <c r="BG866" s="38">
        <f t="shared" si="423"/>
        <v>0.16</v>
      </c>
      <c r="BH866" s="38">
        <f t="shared" si="424"/>
        <v>0.4</v>
      </c>
      <c r="BI866" s="67">
        <f>IFERROR(((AG866*(12000/5))/((F866*60+G866)*(SUMIFS(팀공격력!X:X,팀공격력!A:A,B866,팀공격력!B:B,D866)+SUMIFS(팀수비력!X:X,팀수비력!A:A,B866,팀수비력!B:B,D866))))*100,"")</f>
        <v>4.280232966965773</v>
      </c>
      <c r="BJ866" s="67">
        <f>IFERROR(((AI866*(12000/5))/((F866*60+G866)*(SUMIFS(팀공격력!V:V,팀공격력!A:A,B866,팀공격력!B:B,D866)+SUMIFS(팀수비력!W:W,팀수비력!A:A,B866,팀수비력!B:B,D866))))*100,"")</f>
        <v>17.398869073510223</v>
      </c>
      <c r="BK866" s="67">
        <f>IFERROR(((AE866*(12000/5))/((F866*60+G866)*(SUMIFS(팀공격력!X:X,팀공격력!A:A,B866,팀공격력!B:B,D866)+SUMIFS(팀수비력!X:X,팀수비력!A:A,B866,팀수비력!B:B,D866))))*100,"")</f>
        <v>13.452160753321001</v>
      </c>
      <c r="BL866" s="67">
        <f>IFERROR(100*AK866/(((((F866*60+G866)/(12000/5))*SUMIFS(팀공격력!P:P,팀공격력!A:A,B866,팀공격력!B:B,D866))-K866)),"")</f>
        <v>3.2871083718541345</v>
      </c>
      <c r="BM866" s="67">
        <f>IFERROR(100*((AM866/E866*(2400))/((F866*60+G866)*SUMIFS(팀공격력!AR:AR,팀공격력!A:A,B866,팀공격력!B:B,D866))),"")</f>
        <v>2.2849508616739138</v>
      </c>
      <c r="BN866" s="67">
        <f>IFERROR((AO866*40)/(((F866*60+G866)/60)*(SUMIFS(팀수비력!Q:Q,팀수비력!A:A,B866,팀수비력!B:B,D866)-SUMIFS(팀수비력!N:N,팀수비력!A:A,B866,팀수비력!B:B,D866)))*100,"")</f>
        <v>3.2715822189506403</v>
      </c>
      <c r="BO866" s="67">
        <f t="shared" si="425"/>
        <v>3.2894736842105265</v>
      </c>
      <c r="BT866" t="s">
        <v>96</v>
      </c>
      <c r="BV866" t="s">
        <v>102</v>
      </c>
      <c r="CF866">
        <v>4</v>
      </c>
      <c r="CG866">
        <v>3</v>
      </c>
    </row>
    <row r="867" spans="1:85" x14ac:dyDescent="0.4">
      <c r="A867" s="11" t="s">
        <v>85</v>
      </c>
      <c r="B867" t="s">
        <v>164</v>
      </c>
      <c r="C867" t="s">
        <v>170</v>
      </c>
      <c r="D867" s="46" t="s">
        <v>312</v>
      </c>
      <c r="E867">
        <v>3</v>
      </c>
      <c r="F867">
        <v>3</v>
      </c>
      <c r="G867" s="1">
        <v>0</v>
      </c>
      <c r="H867" s="16">
        <f t="shared" si="400"/>
        <v>540</v>
      </c>
      <c r="I867">
        <v>4</v>
      </c>
      <c r="J867" s="17">
        <f t="shared" si="401"/>
        <v>1.3333333333333333</v>
      </c>
      <c r="K867">
        <v>1</v>
      </c>
      <c r="L867">
        <v>2</v>
      </c>
      <c r="M867" s="17">
        <f t="shared" si="402"/>
        <v>0.33333333333333331</v>
      </c>
      <c r="N867" s="17">
        <f t="shared" si="403"/>
        <v>0.66666666666666663</v>
      </c>
      <c r="O867" s="18">
        <f t="shared" si="404"/>
        <v>0.5</v>
      </c>
      <c r="P867">
        <v>1</v>
      </c>
      <c r="Q867">
        <v>2</v>
      </c>
      <c r="R867" s="17">
        <f t="shared" si="405"/>
        <v>0.33333333333333331</v>
      </c>
      <c r="S867" s="17">
        <f t="shared" si="406"/>
        <v>0.66666666666666663</v>
      </c>
      <c r="T867" s="18">
        <f t="shared" si="407"/>
        <v>0.5</v>
      </c>
      <c r="U867">
        <v>0</v>
      </c>
      <c r="V867">
        <v>0</v>
      </c>
      <c r="W867" s="17">
        <f t="shared" si="408"/>
        <v>0</v>
      </c>
      <c r="X867" s="17">
        <f t="shared" si="409"/>
        <v>0</v>
      </c>
      <c r="Y867" s="18" t="e">
        <f t="shared" si="410"/>
        <v>#DIV/0!</v>
      </c>
      <c r="Z867">
        <v>2</v>
      </c>
      <c r="AA867">
        <v>2</v>
      </c>
      <c r="AB867" s="17">
        <f t="shared" si="411"/>
        <v>0.66666666666666663</v>
      </c>
      <c r="AC867" s="17">
        <f t="shared" si="412"/>
        <v>0.66666666666666663</v>
      </c>
      <c r="AD867" s="18">
        <f t="shared" si="413"/>
        <v>1</v>
      </c>
      <c r="AE867">
        <v>1</v>
      </c>
      <c r="AF867" s="17">
        <f t="shared" si="414"/>
        <v>0.33333333333333331</v>
      </c>
      <c r="AG867">
        <v>1</v>
      </c>
      <c r="AH867" s="17">
        <f t="shared" si="415"/>
        <v>0.33333333333333331</v>
      </c>
      <c r="AI867">
        <v>0</v>
      </c>
      <c r="AJ867" s="17">
        <f t="shared" si="416"/>
        <v>0</v>
      </c>
      <c r="AK867">
        <v>0</v>
      </c>
      <c r="AL867" s="17">
        <f t="shared" si="417"/>
        <v>0</v>
      </c>
      <c r="AM867">
        <v>0</v>
      </c>
      <c r="AN867" s="17">
        <f t="shared" si="418"/>
        <v>0</v>
      </c>
      <c r="AO867">
        <v>0</v>
      </c>
      <c r="AQ867">
        <v>1</v>
      </c>
      <c r="AR867" s="17">
        <f t="shared" si="419"/>
        <v>0.33333333333333331</v>
      </c>
      <c r="AS867">
        <v>0</v>
      </c>
      <c r="AT867" s="17">
        <f t="shared" si="420"/>
        <v>0</v>
      </c>
      <c r="BD867" s="65">
        <f t="shared" si="421"/>
        <v>69.444444444444443</v>
      </c>
      <c r="BE867" s="65">
        <f t="shared" si="422"/>
        <v>50</v>
      </c>
      <c r="BF867" s="66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6.7859453976249196</v>
      </c>
      <c r="BG867" s="38">
        <f t="shared" si="423"/>
        <v>0</v>
      </c>
      <c r="BH867" s="38">
        <f t="shared" si="424"/>
        <v>1</v>
      </c>
      <c r="BI867" s="67">
        <f>IFERROR(((AG867*(12000/5))/((F867*60+G867)*(SUMIFS(팀공격력!X:X,팀공격력!A:A,B867,팀공격력!B:B,D867)+SUMIFS(팀수비력!X:X,팀수비력!A:A,B867,팀수비력!B:B,D867))))*100,"")</f>
        <v>2.1299254526091587</v>
      </c>
      <c r="BJ867" s="67">
        <f>IFERROR(((AI867*(12000/5))/((F867*60+G867)*(SUMIFS(팀공격력!V:V,팀공격력!A:A,B867,팀공격력!B:B,D867)+SUMIFS(팀수비력!W:W,팀수비력!A:A,B867,팀수비력!B:B,D867))))*100,"")</f>
        <v>0</v>
      </c>
      <c r="BK867" s="67">
        <f>IFERROR(((AE867*(12000/5))/((F867*60+G867)*(SUMIFS(팀공격력!X:X,팀공격력!A:A,B867,팀공격력!B:B,D867)+SUMIFS(팀수비력!X:X,팀수비력!A:A,B867,팀수비력!B:B,D867))))*100,"")</f>
        <v>2.1299254526091587</v>
      </c>
      <c r="BL867" s="67">
        <f>IFERROR(100*AK867/(((((F867*60+G867)/(12000/5))*SUMIFS(팀공격력!P:P,팀공격력!A:A,B867,팀공격력!B:B,D867))-K867)),"")</f>
        <v>0</v>
      </c>
      <c r="BM867" s="67">
        <f>IFERROR(100*((AM867/E867*(2400))/((F867*60+G867)*SUMIFS(팀공격력!AR:AR,팀공격력!A:A,B867,팀공격력!B:B,D867))),"")</f>
        <v>0</v>
      </c>
      <c r="BN867" s="67">
        <f>IFERROR((AO867*40)/(((F867*60+G867)/60)*(SUMIFS(팀수비력!Q:Q,팀수비력!A:A,B867,팀수비력!B:B,D867)-SUMIFS(팀수비력!N:N,팀수비력!A:A,B867,팀수비력!B:B,D867)))*100,"")</f>
        <v>0</v>
      </c>
      <c r="BO867" s="67">
        <f t="shared" si="425"/>
        <v>25.773195876288661</v>
      </c>
      <c r="BT867" t="s">
        <v>89</v>
      </c>
      <c r="BV867" t="s">
        <v>90</v>
      </c>
      <c r="CF867">
        <v>2</v>
      </c>
      <c r="CG867">
        <v>1</v>
      </c>
    </row>
    <row r="868" spans="1:85" x14ac:dyDescent="0.4">
      <c r="A868" s="11" t="s">
        <v>85</v>
      </c>
      <c r="B868" t="s">
        <v>164</v>
      </c>
      <c r="C868" t="s">
        <v>92</v>
      </c>
      <c r="D868" s="46" t="s">
        <v>312</v>
      </c>
      <c r="E868">
        <v>1</v>
      </c>
      <c r="F868">
        <v>3</v>
      </c>
      <c r="G868" s="1">
        <v>24</v>
      </c>
      <c r="H868" s="16">
        <f t="shared" si="400"/>
        <v>204</v>
      </c>
      <c r="I868">
        <v>0</v>
      </c>
      <c r="J868" s="17">
        <f t="shared" si="401"/>
        <v>0</v>
      </c>
      <c r="K868">
        <v>0</v>
      </c>
      <c r="L868">
        <v>0</v>
      </c>
      <c r="M868" s="17">
        <f t="shared" si="402"/>
        <v>0</v>
      </c>
      <c r="N868" s="17">
        <f t="shared" si="403"/>
        <v>0</v>
      </c>
      <c r="O868" s="18" t="e">
        <f t="shared" si="404"/>
        <v>#DIV/0!</v>
      </c>
      <c r="P868">
        <v>0</v>
      </c>
      <c r="Q868">
        <v>0</v>
      </c>
      <c r="R868" s="17">
        <f t="shared" si="405"/>
        <v>0</v>
      </c>
      <c r="S868" s="17">
        <f t="shared" si="406"/>
        <v>0</v>
      </c>
      <c r="T868" s="18" t="e">
        <f t="shared" si="407"/>
        <v>#DIV/0!</v>
      </c>
      <c r="U868">
        <v>0</v>
      </c>
      <c r="V868">
        <v>0</v>
      </c>
      <c r="W868" s="17">
        <f t="shared" si="408"/>
        <v>0</v>
      </c>
      <c r="X868" s="17">
        <f t="shared" si="409"/>
        <v>0</v>
      </c>
      <c r="Y868" s="18" t="e">
        <f t="shared" si="410"/>
        <v>#DIV/0!</v>
      </c>
      <c r="Z868">
        <v>0</v>
      </c>
      <c r="AA868">
        <v>0</v>
      </c>
      <c r="AB868" s="17">
        <f t="shared" si="411"/>
        <v>0</v>
      </c>
      <c r="AC868" s="17">
        <f t="shared" si="412"/>
        <v>0</v>
      </c>
      <c r="AD868" s="18" t="e">
        <f t="shared" si="413"/>
        <v>#DIV/0!</v>
      </c>
      <c r="AE868">
        <v>0</v>
      </c>
      <c r="AF868" s="17">
        <f t="shared" si="414"/>
        <v>0</v>
      </c>
      <c r="AG868">
        <v>0</v>
      </c>
      <c r="AH868" s="17">
        <f t="shared" si="415"/>
        <v>0</v>
      </c>
      <c r="AI868">
        <v>0</v>
      </c>
      <c r="AJ868" s="17">
        <f t="shared" si="416"/>
        <v>0</v>
      </c>
      <c r="AK868">
        <v>0</v>
      </c>
      <c r="AL868" s="17">
        <f t="shared" si="417"/>
        <v>0</v>
      </c>
      <c r="AM868">
        <v>0</v>
      </c>
      <c r="AN868" s="17">
        <f t="shared" si="418"/>
        <v>0</v>
      </c>
      <c r="AO868">
        <v>0</v>
      </c>
      <c r="AQ868">
        <v>0</v>
      </c>
      <c r="AR868" s="17">
        <f t="shared" si="419"/>
        <v>0</v>
      </c>
      <c r="AS868">
        <v>0</v>
      </c>
      <c r="AT868" s="17">
        <f t="shared" si="420"/>
        <v>0</v>
      </c>
      <c r="BD868" s="65" t="str">
        <f t="shared" si="421"/>
        <v/>
      </c>
      <c r="BE868" s="65" t="str">
        <f t="shared" si="422"/>
        <v/>
      </c>
      <c r="BF868" s="66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0</v>
      </c>
      <c r="BG868" s="38" t="str">
        <f t="shared" si="423"/>
        <v/>
      </c>
      <c r="BH868" s="38" t="str">
        <f t="shared" si="424"/>
        <v/>
      </c>
      <c r="BI868" s="67">
        <f>IFERROR(((AG868*(12000/5))/((F868*60+G868)*(SUMIFS(팀공격력!X:X,팀공격력!A:A,B868,팀공격력!B:B,D868)+SUMIFS(팀수비력!X:X,팀수비력!A:A,B868,팀수비력!B:B,D868))))*100,"")</f>
        <v>0</v>
      </c>
      <c r="BJ868" s="67">
        <f>IFERROR(((AI868*(12000/5))/((F868*60+G868)*(SUMIFS(팀공격력!V:V,팀공격력!A:A,B868,팀공격력!B:B,D868)+SUMIFS(팀수비력!W:W,팀수비력!A:A,B868,팀수비력!B:B,D868))))*100,"")</f>
        <v>0</v>
      </c>
      <c r="BK868" s="67">
        <f>IFERROR(((AE868*(12000/5))/((F868*60+G868)*(SUMIFS(팀공격력!X:X,팀공격력!A:A,B868,팀공격력!B:B,D868)+SUMIFS(팀수비력!X:X,팀수비력!A:A,B868,팀수비력!B:B,D868))))*100,"")</f>
        <v>0</v>
      </c>
      <c r="BL868" s="67">
        <f>IFERROR(100*AK868/(((((F868*60+G868)/(12000/5))*SUMIFS(팀공격력!P:P,팀공격력!A:A,B868,팀공격력!B:B,D868))-K868)),"")</f>
        <v>0</v>
      </c>
      <c r="BM868" s="67">
        <f>IFERROR(100*((AM868/E868*(2400))/((F868*60+G868)*SUMIFS(팀공격력!AR:AR,팀공격력!A:A,B868,팀공격력!B:B,D868))),"")</f>
        <v>0</v>
      </c>
      <c r="BN868" s="67">
        <f>IFERROR((AO868*40)/(((F868*60+G868)/60)*(SUMIFS(팀수비력!Q:Q,팀수비력!A:A,B868,팀수비력!B:B,D868)-SUMIFS(팀수비력!N:N,팀수비력!A:A,B868,팀수비력!B:B,D868)))*100,"")</f>
        <v>0</v>
      </c>
      <c r="BO868" s="67" t="str">
        <f t="shared" si="425"/>
        <v/>
      </c>
      <c r="BT868" t="s">
        <v>89</v>
      </c>
      <c r="BV868" t="s">
        <v>93</v>
      </c>
      <c r="CF868">
        <v>0</v>
      </c>
      <c r="CG868">
        <v>1</v>
      </c>
    </row>
    <row r="869" spans="1:85" x14ac:dyDescent="0.4">
      <c r="A869" s="11" t="s">
        <v>85</v>
      </c>
      <c r="B869" t="s">
        <v>164</v>
      </c>
      <c r="C869" t="s">
        <v>172</v>
      </c>
      <c r="D869" s="46" t="s">
        <v>312</v>
      </c>
      <c r="E869">
        <v>9</v>
      </c>
      <c r="F869">
        <v>13</v>
      </c>
      <c r="G869" s="1">
        <v>51</v>
      </c>
      <c r="H869" s="16">
        <f t="shared" si="400"/>
        <v>7479</v>
      </c>
      <c r="I869">
        <v>19</v>
      </c>
      <c r="J869" s="17">
        <f t="shared" si="401"/>
        <v>2.1111111111111112</v>
      </c>
      <c r="K869">
        <v>8</v>
      </c>
      <c r="L869">
        <v>22</v>
      </c>
      <c r="M869" s="17">
        <f t="shared" si="402"/>
        <v>0.88888888888888884</v>
      </c>
      <c r="N869" s="17">
        <f t="shared" si="403"/>
        <v>2.4444444444444446</v>
      </c>
      <c r="O869" s="18">
        <f t="shared" si="404"/>
        <v>0.36363636363636365</v>
      </c>
      <c r="P869">
        <v>5</v>
      </c>
      <c r="Q869">
        <v>9</v>
      </c>
      <c r="R869" s="17">
        <f t="shared" si="405"/>
        <v>0.55555555555555558</v>
      </c>
      <c r="S869" s="17">
        <f t="shared" si="406"/>
        <v>1</v>
      </c>
      <c r="T869" s="18">
        <f t="shared" si="407"/>
        <v>0.55555555555555558</v>
      </c>
      <c r="U869">
        <v>3</v>
      </c>
      <c r="V869">
        <v>13</v>
      </c>
      <c r="W869" s="17">
        <f t="shared" si="408"/>
        <v>0.33333333333333331</v>
      </c>
      <c r="X869" s="17">
        <f t="shared" si="409"/>
        <v>1.4444444444444444</v>
      </c>
      <c r="Y869" s="18">
        <f t="shared" si="410"/>
        <v>0.23076923076923078</v>
      </c>
      <c r="Z869">
        <v>0</v>
      </c>
      <c r="AA869">
        <v>2</v>
      </c>
      <c r="AB869" s="17">
        <f t="shared" si="411"/>
        <v>0</v>
      </c>
      <c r="AC869" s="17">
        <f t="shared" si="412"/>
        <v>0.22222222222222221</v>
      </c>
      <c r="AD869" s="18">
        <f t="shared" si="413"/>
        <v>0</v>
      </c>
      <c r="AE869">
        <v>11</v>
      </c>
      <c r="AF869" s="17">
        <f t="shared" si="414"/>
        <v>1.2222222222222223</v>
      </c>
      <c r="AG869">
        <v>3</v>
      </c>
      <c r="AH869" s="17">
        <f t="shared" si="415"/>
        <v>0.33333333333333331</v>
      </c>
      <c r="AI869">
        <v>8</v>
      </c>
      <c r="AJ869" s="17">
        <f t="shared" si="416"/>
        <v>0.88888888888888884</v>
      </c>
      <c r="AK869">
        <v>4</v>
      </c>
      <c r="AL869" s="17">
        <f t="shared" si="417"/>
        <v>0.44444444444444442</v>
      </c>
      <c r="AM869">
        <v>6</v>
      </c>
      <c r="AN869" s="17">
        <f t="shared" si="418"/>
        <v>0.66666666666666663</v>
      </c>
      <c r="AO869">
        <v>0</v>
      </c>
      <c r="AQ869">
        <v>3</v>
      </c>
      <c r="AR869" s="17">
        <f t="shared" si="419"/>
        <v>0.33333333333333331</v>
      </c>
      <c r="AS869">
        <v>14</v>
      </c>
      <c r="AT869" s="17">
        <f t="shared" si="420"/>
        <v>1.5555555555555556</v>
      </c>
      <c r="BD869" s="65">
        <f t="shared" si="421"/>
        <v>41.52097902097902</v>
      </c>
      <c r="BE869" s="65">
        <f t="shared" si="422"/>
        <v>43.18181818181818</v>
      </c>
      <c r="BF869" s="66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9.8042502637165256</v>
      </c>
      <c r="BG869" s="38">
        <f t="shared" si="423"/>
        <v>0.59090909090909094</v>
      </c>
      <c r="BH869" s="38">
        <f t="shared" si="424"/>
        <v>9.0909090909090912E-2</v>
      </c>
      <c r="BI869" s="67">
        <f>IFERROR(((AG869*(12000/5))/((F869*60+G869)*(SUMIFS(팀공격력!X:X,팀공격력!A:A,B869,팀공격력!B:B,D869)+SUMIFS(팀수비력!X:X,팀수비력!A:A,B869,팀수비력!B:B,D869))))*100,"")</f>
        <v>1.3840670811178648</v>
      </c>
      <c r="BJ869" s="67">
        <f>IFERROR(((AI869*(12000/5))/((F869*60+G869)*(SUMIFS(팀공격력!V:V,팀공격력!A:A,B869,팀공격력!B:B,D869)+SUMIFS(팀수비력!W:W,팀수비력!A:A,B869,팀수비력!B:B,D869))))*100,"")</f>
        <v>7.0014221638770371</v>
      </c>
      <c r="BK869" s="67">
        <f>IFERROR(((AE869*(12000/5))/((F869*60+G869)*(SUMIFS(팀공격력!X:X,팀공격력!A:A,B869,팀공격력!B:B,D869)+SUMIFS(팀수비력!X:X,팀수비력!A:A,B869,팀수비력!B:B,D869))))*100,"")</f>
        <v>5.074912630765505</v>
      </c>
      <c r="BL869" s="67">
        <f>IFERROR(100*AK869/(((((F869*60+G869)/(12000/5))*SUMIFS(팀공격력!P:P,팀공격력!A:A,B869,팀공격력!B:B,D869))-K869)),"")</f>
        <v>4.5861698316015769</v>
      </c>
      <c r="BM869" s="67">
        <f>IFERROR(100*((AM869/E869*(2400))/((F869*60+G869)*SUMIFS(팀공격력!AR:AR,팀공격력!A:A,B869,팀공격력!B:B,D869))),"")</f>
        <v>2.6818155721050436</v>
      </c>
      <c r="BN869" s="67">
        <f>IFERROR((AO869*40)/(((F869*60+G869)/60)*(SUMIFS(팀수비력!Q:Q,팀수비력!A:A,B869,팀수비력!B:B,D869)-SUMIFS(팀수비력!N:N,팀수비력!A:A,B869,팀수비력!B:B,D869)))*100,"")</f>
        <v>0</v>
      </c>
      <c r="BO869" s="67">
        <f t="shared" si="425"/>
        <v>11.591962905718702</v>
      </c>
      <c r="BT869" t="s">
        <v>89</v>
      </c>
      <c r="BV869" t="s">
        <v>93</v>
      </c>
      <c r="CF869">
        <v>4</v>
      </c>
      <c r="CG869">
        <v>5</v>
      </c>
    </row>
    <row r="870" spans="1:85" x14ac:dyDescent="0.4">
      <c r="A870" s="11" t="s">
        <v>85</v>
      </c>
      <c r="B870" t="s">
        <v>164</v>
      </c>
      <c r="C870" t="s">
        <v>173</v>
      </c>
      <c r="D870" s="46" t="s">
        <v>312</v>
      </c>
      <c r="E870">
        <v>2</v>
      </c>
      <c r="F870">
        <v>28</v>
      </c>
      <c r="G870" s="1">
        <v>42</v>
      </c>
      <c r="H870" s="16">
        <f t="shared" si="400"/>
        <v>3444</v>
      </c>
      <c r="I870">
        <v>32</v>
      </c>
      <c r="J870" s="17">
        <f t="shared" si="401"/>
        <v>16</v>
      </c>
      <c r="K870">
        <v>11</v>
      </c>
      <c r="L870">
        <v>20</v>
      </c>
      <c r="M870" s="17">
        <f t="shared" si="402"/>
        <v>5.5</v>
      </c>
      <c r="N870" s="17">
        <f t="shared" si="403"/>
        <v>10</v>
      </c>
      <c r="O870" s="18">
        <f t="shared" si="404"/>
        <v>0.55000000000000004</v>
      </c>
      <c r="P870">
        <v>5</v>
      </c>
      <c r="Q870">
        <v>9</v>
      </c>
      <c r="R870" s="17">
        <f t="shared" si="405"/>
        <v>2.5</v>
      </c>
      <c r="S870" s="17">
        <f t="shared" si="406"/>
        <v>4.5</v>
      </c>
      <c r="T870" s="18">
        <f t="shared" si="407"/>
        <v>0.55555555555555558</v>
      </c>
      <c r="U870">
        <v>6</v>
      </c>
      <c r="V870">
        <v>11</v>
      </c>
      <c r="W870" s="17">
        <f t="shared" si="408"/>
        <v>3</v>
      </c>
      <c r="X870" s="17">
        <f t="shared" si="409"/>
        <v>5.5</v>
      </c>
      <c r="Y870" s="18">
        <f t="shared" si="410"/>
        <v>0.54545454545454541</v>
      </c>
      <c r="Z870">
        <v>4</v>
      </c>
      <c r="AA870">
        <v>6</v>
      </c>
      <c r="AB870" s="17">
        <f t="shared" si="411"/>
        <v>2</v>
      </c>
      <c r="AC870" s="17">
        <f t="shared" si="412"/>
        <v>3</v>
      </c>
      <c r="AD870" s="18">
        <f t="shared" si="413"/>
        <v>0.66666666666666663</v>
      </c>
      <c r="AE870">
        <v>10</v>
      </c>
      <c r="AF870" s="17">
        <f t="shared" si="414"/>
        <v>5</v>
      </c>
      <c r="AG870">
        <v>1</v>
      </c>
      <c r="AH870" s="17">
        <f t="shared" si="415"/>
        <v>0.5</v>
      </c>
      <c r="AI870">
        <v>9</v>
      </c>
      <c r="AJ870" s="17">
        <f t="shared" si="416"/>
        <v>4.5</v>
      </c>
      <c r="AK870">
        <v>4</v>
      </c>
      <c r="AL870" s="17">
        <f t="shared" si="417"/>
        <v>2</v>
      </c>
      <c r="AM870">
        <v>6</v>
      </c>
      <c r="AN870" s="17">
        <f t="shared" si="418"/>
        <v>3</v>
      </c>
      <c r="AO870">
        <v>2</v>
      </c>
      <c r="AQ870">
        <v>7</v>
      </c>
      <c r="AR870" s="17">
        <f t="shared" si="419"/>
        <v>3.5</v>
      </c>
      <c r="AS870">
        <v>3</v>
      </c>
      <c r="AT870" s="17">
        <f t="shared" si="420"/>
        <v>1.5</v>
      </c>
      <c r="BD870" s="65">
        <f t="shared" si="421"/>
        <v>70.671378091872796</v>
      </c>
      <c r="BE870" s="65">
        <f t="shared" si="422"/>
        <v>70</v>
      </c>
      <c r="BF870" s="66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5.4187135381731366</v>
      </c>
      <c r="BG870" s="38">
        <f t="shared" si="423"/>
        <v>0.55000000000000004</v>
      </c>
      <c r="BH870" s="38">
        <f t="shared" si="424"/>
        <v>0.3</v>
      </c>
      <c r="BI870" s="67">
        <f>IFERROR(((AG870*(12000/5))/((F870*60+G870)*(SUMIFS(팀공격력!X:X,팀공격력!A:A,B870,팀공격력!B:B,D870)+SUMIFS(팀수비력!X:X,팀수비력!A:A,B870,팀수비력!B:B,D870))))*100,"")</f>
        <v>0.22264029121350093</v>
      </c>
      <c r="BJ870" s="67">
        <f>IFERROR(((AI870*(12000/5))/((F870*60+G870)*(SUMIFS(팀공격력!V:V,팀공격력!A:A,B870,팀공격력!B:B,D870)+SUMIFS(팀수비력!W:W,팀수비력!A:A,B870,팀수비력!B:B,D870))))*100,"")</f>
        <v>3.801076971808679</v>
      </c>
      <c r="BK870" s="67">
        <f>IFERROR(((AE870*(12000/5))/((F870*60+G870)*(SUMIFS(팀공격력!X:X,팀공격력!A:A,B870,팀공격력!B:B,D870)+SUMIFS(팀수비력!X:X,팀수비력!A:A,B870,팀수비력!B:B,D870))))*100,"")</f>
        <v>2.2264029121350091</v>
      </c>
      <c r="BL870" s="67">
        <f>IFERROR(100*AK870/(((((F870*60+G870)/(12000/5))*SUMIFS(팀공격력!P:P,팀공격력!A:A,B870,팀공격력!B:B,D870))-K870)),"")</f>
        <v>2.1469305602146931</v>
      </c>
      <c r="BM870" s="67">
        <f>IFERROR(100*((AM870/E870*(2400))/((F870*60+G870)*SUMIFS(팀공격력!AR:AR,팀공격력!A:A,B870,팀공격력!B:B,D870))),"")</f>
        <v>5.8238381718274157</v>
      </c>
      <c r="BN870" s="67">
        <f>IFERROR((AO870*40)/(((F870*60+G870)/60)*(SUMIFS(팀수비력!Q:Q,팀수비력!A:A,B870,팀수비력!B:B,D870)-SUMIFS(팀수비력!N:N,팀수비력!A:A,B870,팀수비력!B:B,D870)))*100,"")</f>
        <v>0.79414713561055028</v>
      </c>
      <c r="BO870" s="67">
        <f t="shared" si="425"/>
        <v>23.616734143049932</v>
      </c>
      <c r="BT870" t="s">
        <v>89</v>
      </c>
      <c r="BV870" t="s">
        <v>93</v>
      </c>
      <c r="CF870">
        <v>1</v>
      </c>
      <c r="CG870">
        <v>1</v>
      </c>
    </row>
    <row r="871" spans="1:85" x14ac:dyDescent="0.4">
      <c r="A871" s="11" t="s">
        <v>85</v>
      </c>
      <c r="B871" t="s">
        <v>164</v>
      </c>
      <c r="C871" t="s">
        <v>174</v>
      </c>
      <c r="D871" s="46" t="s">
        <v>312</v>
      </c>
      <c r="E871">
        <v>9</v>
      </c>
      <c r="F871">
        <v>14</v>
      </c>
      <c r="G871" s="1">
        <v>39</v>
      </c>
      <c r="H871" s="16">
        <f t="shared" si="400"/>
        <v>7911</v>
      </c>
      <c r="I871">
        <v>21</v>
      </c>
      <c r="J871" s="17">
        <f t="shared" si="401"/>
        <v>2.3333333333333335</v>
      </c>
      <c r="K871">
        <v>8</v>
      </c>
      <c r="L871">
        <v>26</v>
      </c>
      <c r="M871" s="17">
        <f t="shared" si="402"/>
        <v>0.88888888888888884</v>
      </c>
      <c r="N871" s="17">
        <f t="shared" si="403"/>
        <v>2.8888888888888888</v>
      </c>
      <c r="O871" s="18">
        <f t="shared" si="404"/>
        <v>0.30769230769230771</v>
      </c>
      <c r="P871">
        <v>5</v>
      </c>
      <c r="Q871">
        <v>11</v>
      </c>
      <c r="R871" s="17">
        <f t="shared" si="405"/>
        <v>0.55555555555555558</v>
      </c>
      <c r="S871" s="17">
        <f t="shared" si="406"/>
        <v>1.2222222222222223</v>
      </c>
      <c r="T871" s="18">
        <f t="shared" si="407"/>
        <v>0.45454545454545453</v>
      </c>
      <c r="U871">
        <v>3</v>
      </c>
      <c r="V871">
        <v>15</v>
      </c>
      <c r="W871" s="17">
        <f t="shared" si="408"/>
        <v>0.33333333333333331</v>
      </c>
      <c r="X871" s="17">
        <f t="shared" si="409"/>
        <v>1.6666666666666667</v>
      </c>
      <c r="Y871" s="18">
        <f t="shared" si="410"/>
        <v>0.2</v>
      </c>
      <c r="Z871">
        <v>2</v>
      </c>
      <c r="AA871">
        <v>4</v>
      </c>
      <c r="AB871" s="17">
        <f t="shared" si="411"/>
        <v>0.22222222222222221</v>
      </c>
      <c r="AC871" s="17">
        <f t="shared" si="412"/>
        <v>0.44444444444444442</v>
      </c>
      <c r="AD871" s="18">
        <f t="shared" si="413"/>
        <v>0.5</v>
      </c>
      <c r="AE871">
        <v>18</v>
      </c>
      <c r="AF871" s="17">
        <f t="shared" si="414"/>
        <v>2</v>
      </c>
      <c r="AG871">
        <v>5</v>
      </c>
      <c r="AH871" s="17">
        <f t="shared" si="415"/>
        <v>0.55555555555555558</v>
      </c>
      <c r="AI871">
        <v>13</v>
      </c>
      <c r="AJ871" s="17">
        <f t="shared" si="416"/>
        <v>1.4444444444444444</v>
      </c>
      <c r="AK871">
        <v>17</v>
      </c>
      <c r="AL871" s="17">
        <f t="shared" si="417"/>
        <v>1.8888888888888888</v>
      </c>
      <c r="AM871">
        <v>6</v>
      </c>
      <c r="AN871" s="17">
        <f t="shared" si="418"/>
        <v>0.66666666666666663</v>
      </c>
      <c r="AO871">
        <v>1</v>
      </c>
      <c r="AQ871">
        <v>3</v>
      </c>
      <c r="AR871" s="17">
        <f t="shared" si="419"/>
        <v>0.33333333333333331</v>
      </c>
      <c r="AS871">
        <v>13</v>
      </c>
      <c r="AT871" s="17">
        <f t="shared" si="420"/>
        <v>1.4444444444444444</v>
      </c>
      <c r="BD871" s="65">
        <f t="shared" si="421"/>
        <v>37.824207492795388</v>
      </c>
      <c r="BE871" s="65">
        <f t="shared" si="422"/>
        <v>36.538461538461533</v>
      </c>
      <c r="BF871" s="66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11.01662575723633</v>
      </c>
      <c r="BG871" s="38">
        <f t="shared" si="423"/>
        <v>0.57692307692307687</v>
      </c>
      <c r="BH871" s="38">
        <f t="shared" si="424"/>
        <v>0.15384615384615385</v>
      </c>
      <c r="BI871" s="67">
        <f>IFERROR(((AG871*(12000/5))/((F871*60+G871)*(SUMIFS(팀공격력!X:X,팀공격력!A:A,B871,팀공격력!B:B,D871)+SUMIFS(팀수비력!X:X,팀수비력!A:A,B871,팀수비력!B:B,D871))))*100,"")</f>
        <v>2.1808110436271249</v>
      </c>
      <c r="BJ871" s="67">
        <f>IFERROR(((AI871*(12000/5))/((F871*60+G871)*(SUMIFS(팀공격력!V:V,팀공격력!A:A,B871,팀공격력!B:B,D871)+SUMIFS(팀수비력!W:W,팀수비력!A:A,B871,팀수비력!B:B,D871))))*100,"")</f>
        <v>10.75602440790154</v>
      </c>
      <c r="BK871" s="67">
        <f>IFERROR(((AE871*(12000/5))/((F871*60+G871)*(SUMIFS(팀공격력!X:X,팀공격력!A:A,B871,팀공격력!B:B,D871)+SUMIFS(팀수비력!X:X,팀수비력!A:A,B871,팀수비력!B:B,D871))))*100,"")</f>
        <v>7.8509197570576488</v>
      </c>
      <c r="BL871" s="67">
        <f>IFERROR(100*AK871/(((((F871*60+G871)/(12000/5))*SUMIFS(팀공격력!P:P,팀공격력!A:A,B871,팀공격력!B:B,D871))-K871)),"")</f>
        <v>18.335018537243005</v>
      </c>
      <c r="BM871" s="67">
        <f>IFERROR(100*((AM871/E871*(2400))/((F871*60+G871)*SUMIFS(팀공격력!AR:AR,팀공격력!A:A,B871,팀공격력!B:B,D871))),"")</f>
        <v>2.535368305368932</v>
      </c>
      <c r="BN871" s="67">
        <f>IFERROR((AO871*40)/(((F871*60+G871)/60)*(SUMIFS(팀수비력!Q:Q,팀수비력!A:A,B871,팀수비력!B:B,D871)-SUMIFS(팀수비력!N:N,팀수비력!A:A,B871,팀수비력!B:B,D871)))*100,"")</f>
        <v>0.77788473692910542</v>
      </c>
      <c r="BO871" s="67">
        <f t="shared" si="425"/>
        <v>9.7529258777633281</v>
      </c>
      <c r="BT871" t="s">
        <v>89</v>
      </c>
      <c r="BV871" t="s">
        <v>90</v>
      </c>
      <c r="CF871">
        <v>4</v>
      </c>
      <c r="CG871">
        <v>5</v>
      </c>
    </row>
    <row r="872" spans="1:85" x14ac:dyDescent="0.4">
      <c r="A872" s="11" t="s">
        <v>85</v>
      </c>
      <c r="B872" t="s">
        <v>164</v>
      </c>
      <c r="C872" t="s">
        <v>175</v>
      </c>
      <c r="D872" s="46" t="s">
        <v>312</v>
      </c>
      <c r="E872">
        <v>9</v>
      </c>
      <c r="F872">
        <v>19</v>
      </c>
      <c r="G872" s="1">
        <v>22</v>
      </c>
      <c r="H872" s="16">
        <f t="shared" si="400"/>
        <v>10458</v>
      </c>
      <c r="I872">
        <v>85</v>
      </c>
      <c r="J872" s="17">
        <f t="shared" si="401"/>
        <v>9.4444444444444446</v>
      </c>
      <c r="K872">
        <v>31</v>
      </c>
      <c r="L872">
        <v>71</v>
      </c>
      <c r="M872" s="17">
        <f t="shared" si="402"/>
        <v>3.4444444444444446</v>
      </c>
      <c r="N872" s="17">
        <f t="shared" si="403"/>
        <v>7.8888888888888893</v>
      </c>
      <c r="O872" s="18">
        <f t="shared" si="404"/>
        <v>0.43661971830985913</v>
      </c>
      <c r="P872">
        <v>29</v>
      </c>
      <c r="Q872">
        <v>62</v>
      </c>
      <c r="R872" s="17">
        <f t="shared" si="405"/>
        <v>3.2222222222222223</v>
      </c>
      <c r="S872" s="17">
        <f t="shared" si="406"/>
        <v>6.8888888888888893</v>
      </c>
      <c r="T872" s="18">
        <f t="shared" si="407"/>
        <v>0.46774193548387094</v>
      </c>
      <c r="U872">
        <v>2</v>
      </c>
      <c r="V872">
        <v>9</v>
      </c>
      <c r="W872" s="17">
        <f t="shared" si="408"/>
        <v>0.22222222222222221</v>
      </c>
      <c r="X872" s="17">
        <f t="shared" si="409"/>
        <v>1</v>
      </c>
      <c r="Y872" s="18">
        <f t="shared" si="410"/>
        <v>0.22222222222222221</v>
      </c>
      <c r="Z872">
        <v>21</v>
      </c>
      <c r="AA872">
        <v>27</v>
      </c>
      <c r="AB872" s="17">
        <f t="shared" si="411"/>
        <v>2.3333333333333335</v>
      </c>
      <c r="AC872" s="17">
        <f t="shared" si="412"/>
        <v>3</v>
      </c>
      <c r="AD872" s="18">
        <f t="shared" si="413"/>
        <v>0.77777777777777779</v>
      </c>
      <c r="AE872">
        <v>39</v>
      </c>
      <c r="AF872" s="17">
        <f t="shared" si="414"/>
        <v>4.333333333333333</v>
      </c>
      <c r="AG872">
        <v>12</v>
      </c>
      <c r="AH872" s="17">
        <f t="shared" si="415"/>
        <v>1.3333333333333333</v>
      </c>
      <c r="AI872">
        <v>27</v>
      </c>
      <c r="AJ872" s="17">
        <f t="shared" si="416"/>
        <v>3</v>
      </c>
      <c r="AK872">
        <v>12</v>
      </c>
      <c r="AL872" s="17">
        <f t="shared" si="417"/>
        <v>1.3333333333333333</v>
      </c>
      <c r="AM872">
        <v>7</v>
      </c>
      <c r="AN872" s="17">
        <f t="shared" si="418"/>
        <v>0.77777777777777779</v>
      </c>
      <c r="AO872">
        <v>2</v>
      </c>
      <c r="AQ872">
        <v>3</v>
      </c>
      <c r="AR872" s="17">
        <f t="shared" si="419"/>
        <v>0.33333333333333331</v>
      </c>
      <c r="AS872">
        <v>16</v>
      </c>
      <c r="AT872" s="17">
        <f t="shared" si="420"/>
        <v>1.7777777777777777</v>
      </c>
      <c r="BD872" s="65">
        <f t="shared" si="421"/>
        <v>51.278957528957534</v>
      </c>
      <c r="BE872" s="65">
        <f t="shared" si="422"/>
        <v>45.070422535211272</v>
      </c>
      <c r="BF872" s="66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23.266820966039056</v>
      </c>
      <c r="BG872" s="38">
        <f t="shared" si="423"/>
        <v>0.12676056338028169</v>
      </c>
      <c r="BH872" s="38">
        <f t="shared" si="424"/>
        <v>0.38028169014084506</v>
      </c>
      <c r="BI872" s="67">
        <f>IFERROR(((AG872*(12000/5))/((F872*60+G872)*(SUMIFS(팀공격력!X:X,팀공격력!A:A,B872,팀공격력!B:B,D872)+SUMIFS(팀수비력!X:X,팀수비력!A:A,B872,팀수비력!B:B,D872))))*100,"")</f>
        <v>3.959241805194305</v>
      </c>
      <c r="BJ872" s="67">
        <f>IFERROR(((AI872*(12000/5))/((F872*60+G872)*(SUMIFS(팀공격력!V:V,팀공격력!A:A,B872,팀공격력!B:B,D872)+SUMIFS(팀수비력!W:W,팀수비력!A:A,B872,팀수비력!B:B,D872))))*100,"")</f>
        <v>16.898763886715695</v>
      </c>
      <c r="BK872" s="67">
        <f>IFERROR(((AE872*(12000/5))/((F872*60+G872)*(SUMIFS(팀공격력!X:X,팀공격력!A:A,B872,팀공격력!B:B,D872)+SUMIFS(팀수비력!X:X,팀수비력!A:A,B872,팀수비력!B:B,D872))))*100,"")</f>
        <v>12.867535866881491</v>
      </c>
      <c r="BL872" s="67">
        <f>IFERROR(100*AK872/(((((F872*60+G872)/(12000/5))*SUMIFS(팀공격력!P:P,팀공격력!A:A,B872,팀공격력!B:B,D872))-K872)),"")</f>
        <v>11.747909443198042</v>
      </c>
      <c r="BM872" s="67">
        <f>IFERROR(100*((AM872/E872*(2400))/((F872*60+G872)*SUMIFS(팀공격력!AR:AR,팀공격력!A:A,B872,팀공격력!B:B,D872))),"")</f>
        <v>2.2375388960033047</v>
      </c>
      <c r="BN872" s="67">
        <f>IFERROR((AO872*40)/(((F872*60+G872)/60)*(SUMIFS(팀수비력!Q:Q,팀수비력!A:A,B872,팀수비력!B:B,D872)-SUMIFS(팀수비력!N:N,팀수비력!A:A,B872,팀수비력!B:B,D872)))*100,"")</f>
        <v>1.1768686467481648</v>
      </c>
      <c r="BO872" s="67">
        <f t="shared" si="425"/>
        <v>3.4932463903120636</v>
      </c>
      <c r="BT872" t="s">
        <v>89</v>
      </c>
      <c r="BV872" t="s">
        <v>102</v>
      </c>
      <c r="CF872">
        <v>4</v>
      </c>
      <c r="CG872">
        <v>5</v>
      </c>
    </row>
    <row r="873" spans="1:85" x14ac:dyDescent="0.4">
      <c r="A873" s="11" t="s">
        <v>85</v>
      </c>
      <c r="B873" t="s">
        <v>164</v>
      </c>
      <c r="C873" t="s">
        <v>176</v>
      </c>
      <c r="D873" s="46" t="s">
        <v>312</v>
      </c>
      <c r="E873">
        <v>9</v>
      </c>
      <c r="F873">
        <v>33</v>
      </c>
      <c r="G873" s="1">
        <v>56</v>
      </c>
      <c r="H873" s="16">
        <f t="shared" si="400"/>
        <v>18324</v>
      </c>
      <c r="I873">
        <v>140</v>
      </c>
      <c r="J873" s="17">
        <f t="shared" si="401"/>
        <v>15.555555555555555</v>
      </c>
      <c r="K873">
        <v>56</v>
      </c>
      <c r="L873">
        <v>119</v>
      </c>
      <c r="M873" s="17">
        <f t="shared" si="402"/>
        <v>6.2222222222222223</v>
      </c>
      <c r="N873" s="17">
        <f t="shared" si="403"/>
        <v>13.222222222222221</v>
      </c>
      <c r="O873" s="18">
        <f t="shared" si="404"/>
        <v>0.47058823529411764</v>
      </c>
      <c r="P873">
        <v>45</v>
      </c>
      <c r="Q873">
        <v>87</v>
      </c>
      <c r="R873" s="17">
        <f t="shared" si="405"/>
        <v>5</v>
      </c>
      <c r="S873" s="17">
        <f t="shared" si="406"/>
        <v>9.6666666666666661</v>
      </c>
      <c r="T873" s="18">
        <f t="shared" si="407"/>
        <v>0.51724137931034486</v>
      </c>
      <c r="U873">
        <v>11</v>
      </c>
      <c r="V873">
        <v>32</v>
      </c>
      <c r="W873" s="17">
        <f t="shared" si="408"/>
        <v>1.2222222222222223</v>
      </c>
      <c r="X873" s="17">
        <f t="shared" si="409"/>
        <v>3.5555555555555554</v>
      </c>
      <c r="Y873" s="18">
        <f t="shared" si="410"/>
        <v>0.34375</v>
      </c>
      <c r="Z873">
        <v>17</v>
      </c>
      <c r="AA873">
        <v>20</v>
      </c>
      <c r="AB873" s="17">
        <f t="shared" si="411"/>
        <v>1.8888888888888888</v>
      </c>
      <c r="AC873" s="17">
        <f t="shared" si="412"/>
        <v>2.2222222222222223</v>
      </c>
      <c r="AD873" s="18">
        <f t="shared" si="413"/>
        <v>0.85</v>
      </c>
      <c r="AE873">
        <v>32</v>
      </c>
      <c r="AF873" s="17">
        <f t="shared" si="414"/>
        <v>3.5555555555555554</v>
      </c>
      <c r="AG873">
        <v>6</v>
      </c>
      <c r="AH873" s="17">
        <f t="shared" si="415"/>
        <v>0.66666666666666663</v>
      </c>
      <c r="AI873">
        <v>26</v>
      </c>
      <c r="AJ873" s="17">
        <f t="shared" si="416"/>
        <v>2.8888888888888888</v>
      </c>
      <c r="AK873">
        <v>35</v>
      </c>
      <c r="AL873" s="17">
        <f t="shared" si="417"/>
        <v>3.8888888888888888</v>
      </c>
      <c r="AM873">
        <v>23</v>
      </c>
      <c r="AN873" s="17">
        <f t="shared" si="418"/>
        <v>2.5555555555555554</v>
      </c>
      <c r="AO873">
        <v>1</v>
      </c>
      <c r="AQ873">
        <v>19</v>
      </c>
      <c r="AR873" s="17">
        <f t="shared" si="419"/>
        <v>2.1111111111111112</v>
      </c>
      <c r="AS873">
        <v>28</v>
      </c>
      <c r="AT873" s="17">
        <f t="shared" si="420"/>
        <v>3.1111111111111112</v>
      </c>
      <c r="BD873" s="65">
        <f t="shared" si="421"/>
        <v>54.773082942097027</v>
      </c>
      <c r="BE873" s="65">
        <f t="shared" si="422"/>
        <v>51.680672268907571</v>
      </c>
      <c r="BF873" s="66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22.698618322114424</v>
      </c>
      <c r="BG873" s="38">
        <f t="shared" si="423"/>
        <v>0.26890756302521007</v>
      </c>
      <c r="BH873" s="38">
        <f t="shared" si="424"/>
        <v>0.16806722689075632</v>
      </c>
      <c r="BI873" s="67">
        <f>IFERROR(((AG873*(12000/5))/((F873*60+G873)*(SUMIFS(팀공격력!X:X,팀공격력!A:A,B873,팀공격력!B:B,D873)+SUMIFS(팀수비력!X:X,팀수비력!A:A,B873,팀수비력!B:B,D873))))*100,"")</f>
        <v>1.1298229316394359</v>
      </c>
      <c r="BJ873" s="67">
        <f>IFERROR(((AI873*(12000/5))/((F873*60+G873)*(SUMIFS(팀공격력!V:V,팀공격력!A:A,B873,팀공격력!B:B,D873)+SUMIFS(팀수비력!W:W,팀수비력!A:A,B873,팀수비력!B:B,D873))))*100,"")</f>
        <v>9.2873727451330605</v>
      </c>
      <c r="BK873" s="67">
        <f>IFERROR(((AE873*(12000/5))/((F873*60+G873)*(SUMIFS(팀공격력!X:X,팀공격력!A:A,B873,팀공격력!B:B,D873)+SUMIFS(팀수비력!X:X,팀수비력!A:A,B873,팀수비력!B:B,D873))))*100,"")</f>
        <v>6.025722302076991</v>
      </c>
      <c r="BL873" s="67">
        <f>IFERROR(100*AK873/(((((F873*60+G873)/(12000/5))*SUMIFS(팀공격력!P:P,팀공격력!A:A,B873,팀공격력!B:B,D873))-K873)),"")</f>
        <v>19.741480611045827</v>
      </c>
      <c r="BM873" s="67">
        <f>IFERROR(100*((AM873/E873*(2400))/((F873*60+G873)*SUMIFS(팀공격력!AR:AR,팀공격력!A:A,B873,팀공격력!B:B,D873))),"")</f>
        <v>4.1959349238411665</v>
      </c>
      <c r="BN873" s="67">
        <f>IFERROR((AO873*40)/(((F873*60+G873)/60)*(SUMIFS(팀수비력!Q:Q,팀수비력!A:A,B873,팀수비력!B:B,D873)-SUMIFS(팀수비력!N:N,팀수비력!A:A,B873,팀수비력!B:B,D873)))*100,"")</f>
        <v>0.33583530636575826</v>
      </c>
      <c r="BO873" s="67">
        <f t="shared" si="425"/>
        <v>12.942779291553132</v>
      </c>
      <c r="BT873" t="s">
        <v>89</v>
      </c>
      <c r="BV873" t="s">
        <v>90</v>
      </c>
      <c r="CF873">
        <v>4</v>
      </c>
      <c r="CG873">
        <v>5</v>
      </c>
    </row>
    <row r="874" spans="1:85" x14ac:dyDescent="0.4">
      <c r="A874" s="11" t="s">
        <v>85</v>
      </c>
      <c r="B874" t="s">
        <v>164</v>
      </c>
      <c r="C874" t="s">
        <v>177</v>
      </c>
      <c r="D874" s="46" t="s">
        <v>312</v>
      </c>
      <c r="E874">
        <v>2</v>
      </c>
      <c r="F874">
        <v>1</v>
      </c>
      <c r="G874" s="1">
        <v>54</v>
      </c>
      <c r="H874" s="16">
        <f t="shared" si="400"/>
        <v>228</v>
      </c>
      <c r="I874">
        <v>2</v>
      </c>
      <c r="J874" s="17">
        <f t="shared" si="401"/>
        <v>1</v>
      </c>
      <c r="K874">
        <v>1</v>
      </c>
      <c r="L874">
        <v>1</v>
      </c>
      <c r="M874" s="17">
        <f t="shared" si="402"/>
        <v>0.5</v>
      </c>
      <c r="N874" s="17">
        <f t="shared" si="403"/>
        <v>0.5</v>
      </c>
      <c r="O874" s="18">
        <f t="shared" si="404"/>
        <v>1</v>
      </c>
      <c r="P874">
        <v>1</v>
      </c>
      <c r="Q874">
        <v>1</v>
      </c>
      <c r="R874" s="17">
        <f t="shared" si="405"/>
        <v>0.5</v>
      </c>
      <c r="S874" s="17">
        <f t="shared" si="406"/>
        <v>0.5</v>
      </c>
      <c r="T874" s="18">
        <f t="shared" si="407"/>
        <v>1</v>
      </c>
      <c r="U874">
        <v>0</v>
      </c>
      <c r="V874">
        <v>0</v>
      </c>
      <c r="W874" s="17">
        <f t="shared" si="408"/>
        <v>0</v>
      </c>
      <c r="X874" s="17">
        <f t="shared" si="409"/>
        <v>0</v>
      </c>
      <c r="Y874" s="18" t="e">
        <f t="shared" si="410"/>
        <v>#DIV/0!</v>
      </c>
      <c r="Z874">
        <v>0</v>
      </c>
      <c r="AA874">
        <v>0</v>
      </c>
      <c r="AB874" s="17">
        <f t="shared" si="411"/>
        <v>0</v>
      </c>
      <c r="AC874" s="17">
        <f t="shared" si="412"/>
        <v>0</v>
      </c>
      <c r="AD874" s="18" t="e">
        <f t="shared" si="413"/>
        <v>#DIV/0!</v>
      </c>
      <c r="AE874">
        <v>1</v>
      </c>
      <c r="AF874" s="17">
        <f t="shared" si="414"/>
        <v>0.5</v>
      </c>
      <c r="AG874">
        <v>1</v>
      </c>
      <c r="AH874" s="17">
        <f t="shared" si="415"/>
        <v>0.5</v>
      </c>
      <c r="AI874">
        <v>0</v>
      </c>
      <c r="AJ874" s="17">
        <f t="shared" si="416"/>
        <v>0</v>
      </c>
      <c r="AK874">
        <v>0</v>
      </c>
      <c r="AL874" s="17">
        <f t="shared" si="417"/>
        <v>0</v>
      </c>
      <c r="AM874">
        <v>0</v>
      </c>
      <c r="AN874" s="17">
        <f t="shared" si="418"/>
        <v>0</v>
      </c>
      <c r="AO874">
        <v>1</v>
      </c>
      <c r="AQ874">
        <v>0</v>
      </c>
      <c r="AR874" s="17">
        <f t="shared" si="419"/>
        <v>0</v>
      </c>
      <c r="AS874">
        <v>1</v>
      </c>
      <c r="AT874" s="17">
        <f t="shared" si="420"/>
        <v>0.5</v>
      </c>
      <c r="BD874" s="65">
        <f t="shared" si="421"/>
        <v>100</v>
      </c>
      <c r="BE874" s="65">
        <f t="shared" si="422"/>
        <v>100</v>
      </c>
      <c r="BF874" s="66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2.7615078937703141</v>
      </c>
      <c r="BG874" s="38">
        <f t="shared" si="423"/>
        <v>0</v>
      </c>
      <c r="BH874" s="38">
        <f t="shared" si="424"/>
        <v>0</v>
      </c>
      <c r="BI874" s="67">
        <f>IFERROR(((AG874*(12000/5))/((F874*60+G874)*(SUMIFS(팀공격력!X:X,팀공격력!A:A,B874,팀공격력!B:B,D874)+SUMIFS(팀수비력!X:X,팀수비력!A:A,B874,팀수비력!B:B,D874))))*100,"")</f>
        <v>3.3630401883302503</v>
      </c>
      <c r="BJ874" s="67">
        <f>IFERROR(((AI874*(12000/5))/((F874*60+G874)*(SUMIFS(팀공격력!V:V,팀공격력!A:A,B874,팀공격력!B:B,D874)+SUMIFS(팀수비력!W:W,팀수비력!A:A,B874,팀수비력!B:B,D874))))*100,"")</f>
        <v>0</v>
      </c>
      <c r="BK874" s="67">
        <f>IFERROR(((AE874*(12000/5))/((F874*60+G874)*(SUMIFS(팀공격력!X:X,팀공격력!A:A,B874,팀공격력!B:B,D874)+SUMIFS(팀수비력!X:X,팀수비력!A:A,B874,팀수비력!B:B,D874))))*100,"")</f>
        <v>3.3630401883302503</v>
      </c>
      <c r="BL874" s="67">
        <f>IFERROR(100*AK874/(((((F874*60+G874)/(12000/5))*SUMIFS(팀공격력!P:P,팀공격력!A:A,B874,팀공격력!B:B,D874))-K874)),"")</f>
        <v>0</v>
      </c>
      <c r="BM874" s="67">
        <f>IFERROR(100*((AM874/E874*(2400))/((F874*60+G874)*SUMIFS(팀공격력!AR:AR,팀공격력!A:A,B874,팀공격력!B:B,D874))),"")</f>
        <v>0</v>
      </c>
      <c r="BN874" s="67">
        <f>IFERROR((AO874*40)/(((F874*60+G874)/60)*(SUMIFS(팀수비력!Q:Q,팀수비력!A:A,B874,팀수비력!B:B,D874)-SUMIFS(팀수비력!N:N,팀수비력!A:A,B874,팀수비력!B:B,D874)))*100,"")</f>
        <v>5.9979007347428404</v>
      </c>
      <c r="BO874" s="67">
        <f t="shared" si="425"/>
        <v>0</v>
      </c>
      <c r="BT874" t="s">
        <v>89</v>
      </c>
      <c r="BV874" t="s">
        <v>90</v>
      </c>
      <c r="CF874">
        <v>2</v>
      </c>
      <c r="CG874">
        <v>0</v>
      </c>
    </row>
    <row r="875" spans="1:85" x14ac:dyDescent="0.4">
      <c r="A875" s="11" t="s">
        <v>85</v>
      </c>
      <c r="B875" t="s">
        <v>164</v>
      </c>
      <c r="C875" t="s">
        <v>178</v>
      </c>
      <c r="D875" s="46" t="s">
        <v>312</v>
      </c>
      <c r="E875">
        <v>9</v>
      </c>
      <c r="F875">
        <v>31</v>
      </c>
      <c r="G875" s="1">
        <v>32</v>
      </c>
      <c r="H875" s="16">
        <f t="shared" si="400"/>
        <v>17028</v>
      </c>
      <c r="I875">
        <v>172</v>
      </c>
      <c r="J875" s="17">
        <f t="shared" si="401"/>
        <v>19.111111111111111</v>
      </c>
      <c r="K875">
        <v>72</v>
      </c>
      <c r="L875">
        <v>165</v>
      </c>
      <c r="M875" s="17">
        <f t="shared" si="402"/>
        <v>8</v>
      </c>
      <c r="N875" s="17">
        <f t="shared" si="403"/>
        <v>18.333333333333332</v>
      </c>
      <c r="O875" s="18">
        <f t="shared" si="404"/>
        <v>0.43636363636363634</v>
      </c>
      <c r="P875">
        <v>62</v>
      </c>
      <c r="Q875">
        <v>134</v>
      </c>
      <c r="R875" s="17">
        <f t="shared" si="405"/>
        <v>6.8888888888888893</v>
      </c>
      <c r="S875" s="17">
        <f t="shared" si="406"/>
        <v>14.888888888888889</v>
      </c>
      <c r="T875" s="18">
        <f t="shared" si="407"/>
        <v>0.46268656716417911</v>
      </c>
      <c r="U875">
        <v>10</v>
      </c>
      <c r="V875">
        <v>31</v>
      </c>
      <c r="W875" s="17">
        <f t="shared" si="408"/>
        <v>1.1111111111111112</v>
      </c>
      <c r="X875" s="17">
        <f t="shared" si="409"/>
        <v>3.4444444444444446</v>
      </c>
      <c r="Y875" s="18">
        <f t="shared" si="410"/>
        <v>0.32258064516129031</v>
      </c>
      <c r="Z875">
        <v>18</v>
      </c>
      <c r="AA875">
        <v>32</v>
      </c>
      <c r="AB875" s="17">
        <f t="shared" si="411"/>
        <v>2</v>
      </c>
      <c r="AC875" s="17">
        <f t="shared" si="412"/>
        <v>3.5555555555555554</v>
      </c>
      <c r="AD875" s="18">
        <f t="shared" si="413"/>
        <v>0.5625</v>
      </c>
      <c r="AE875">
        <v>86</v>
      </c>
      <c r="AF875" s="17">
        <f t="shared" si="414"/>
        <v>9.5555555555555554</v>
      </c>
      <c r="AG875">
        <v>29</v>
      </c>
      <c r="AH875" s="17">
        <f t="shared" si="415"/>
        <v>3.2222222222222223</v>
      </c>
      <c r="AI875">
        <v>57</v>
      </c>
      <c r="AJ875" s="17">
        <f t="shared" si="416"/>
        <v>6.333333333333333</v>
      </c>
      <c r="AK875">
        <v>41</v>
      </c>
      <c r="AL875" s="17">
        <f t="shared" si="417"/>
        <v>4.5555555555555554</v>
      </c>
      <c r="AM875">
        <v>3</v>
      </c>
      <c r="AN875" s="17">
        <f t="shared" si="418"/>
        <v>0.33333333333333331</v>
      </c>
      <c r="AO875">
        <v>7</v>
      </c>
      <c r="AQ875">
        <v>12</v>
      </c>
      <c r="AR875" s="17">
        <f t="shared" si="419"/>
        <v>1.3333333333333333</v>
      </c>
      <c r="AS875">
        <v>9</v>
      </c>
      <c r="AT875" s="17">
        <f t="shared" si="420"/>
        <v>1</v>
      </c>
      <c r="BD875" s="65">
        <f t="shared" si="421"/>
        <v>48.023229841411656</v>
      </c>
      <c r="BE875" s="65">
        <f t="shared" si="422"/>
        <v>46.666666666666664</v>
      </c>
      <c r="BF875" s="66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31.794005196060262</v>
      </c>
      <c r="BG875" s="38">
        <f t="shared" si="423"/>
        <v>0.18787878787878787</v>
      </c>
      <c r="BH875" s="38">
        <f t="shared" si="424"/>
        <v>0.19393939393939394</v>
      </c>
      <c r="BI875" s="67">
        <f>IFERROR(((AG875*(12000/5))/((F875*60+G875)*(SUMIFS(팀공격력!X:X,팀공격력!A:A,B875,팀공격력!B:B,D875)+SUMIFS(팀수비력!X:X,팀수비력!A:A,B875,팀수비력!B:B,D875))))*100,"")</f>
        <v>5.8764328026531754</v>
      </c>
      <c r="BJ875" s="67">
        <f>IFERROR(((AI875*(12000/5))/((F875*60+G875)*(SUMIFS(팀공격력!V:V,팀공격력!A:A,B875,팀공격력!B:B,D875)+SUMIFS(팀수비력!W:W,팀수비력!A:A,B875,팀수비력!B:B,D875))))*100,"")</f>
        <v>21.910436286757641</v>
      </c>
      <c r="BK875" s="67">
        <f>IFERROR(((AE875*(12000/5))/((F875*60+G875)*(SUMIFS(팀공격력!X:X,팀공격력!A:A,B875,팀공격력!B:B,D875)+SUMIFS(팀수비력!X:X,팀수비력!A:A,B875,팀수비력!B:B,D875))))*100,"")</f>
        <v>17.426662794074936</v>
      </c>
      <c r="BL875" s="67">
        <f>IFERROR(100*AK875/(((((F875*60+G875)/(12000/5))*SUMIFS(팀공격력!P:P,팀공격력!A:A,B875,팀공격력!B:B,D875))-K875)),"")</f>
        <v>28.31654676258993</v>
      </c>
      <c r="BM875" s="67">
        <f>IFERROR(100*((AM875/E875*(2400))/((F875*60+G875)*SUMIFS(팀공격력!AR:AR,팀공격력!A:A,B875,팀공격력!B:B,D875))),"")</f>
        <v>0.58895051279579569</v>
      </c>
      <c r="BN875" s="67">
        <f>IFERROR((AO875*40)/(((F875*60+G875)/60)*(SUMIFS(팀수비력!Q:Q,팀수비력!A:A,B875,팀수비력!B:B,D875)-SUMIFS(팀수비력!N:N,팀수비력!A:A,B875,팀수비력!B:B,D875)))*100,"")</f>
        <v>2.5297699716304365</v>
      </c>
      <c r="BO875" s="67">
        <f t="shared" si="425"/>
        <v>6.280092108017584</v>
      </c>
      <c r="BT875" t="s">
        <v>96</v>
      </c>
      <c r="BV875" t="s">
        <v>102</v>
      </c>
      <c r="CF875">
        <v>4</v>
      </c>
      <c r="CG875">
        <v>5</v>
      </c>
    </row>
    <row r="876" spans="1:85" x14ac:dyDescent="0.4">
      <c r="A876" s="11" t="s">
        <v>85</v>
      </c>
      <c r="B876" t="s">
        <v>164</v>
      </c>
      <c r="C876" t="s">
        <v>180</v>
      </c>
      <c r="D876" s="46" t="s">
        <v>312</v>
      </c>
      <c r="E876">
        <v>9</v>
      </c>
      <c r="F876">
        <v>21</v>
      </c>
      <c r="G876" s="1">
        <v>53</v>
      </c>
      <c r="H876" s="16">
        <f t="shared" si="400"/>
        <v>11817</v>
      </c>
      <c r="I876">
        <v>71</v>
      </c>
      <c r="J876" s="17">
        <f t="shared" si="401"/>
        <v>7.8888888888888893</v>
      </c>
      <c r="K876">
        <v>24</v>
      </c>
      <c r="L876">
        <v>63</v>
      </c>
      <c r="M876" s="17">
        <f t="shared" si="402"/>
        <v>2.6666666666666665</v>
      </c>
      <c r="N876" s="17">
        <f t="shared" si="403"/>
        <v>7</v>
      </c>
      <c r="O876" s="18">
        <f t="shared" si="404"/>
        <v>0.38095238095238093</v>
      </c>
      <c r="P876">
        <v>24</v>
      </c>
      <c r="Q876">
        <v>62</v>
      </c>
      <c r="R876" s="17">
        <f t="shared" si="405"/>
        <v>2.6666666666666665</v>
      </c>
      <c r="S876" s="17">
        <f t="shared" si="406"/>
        <v>6.8888888888888893</v>
      </c>
      <c r="T876" s="18">
        <f t="shared" si="407"/>
        <v>0.38709677419354838</v>
      </c>
      <c r="U876">
        <v>0</v>
      </c>
      <c r="V876">
        <v>1</v>
      </c>
      <c r="W876" s="17">
        <f t="shared" si="408"/>
        <v>0</v>
      </c>
      <c r="X876" s="17">
        <f t="shared" si="409"/>
        <v>0.1111111111111111</v>
      </c>
      <c r="Y876" s="18">
        <f t="shared" si="410"/>
        <v>0</v>
      </c>
      <c r="Z876">
        <v>23</v>
      </c>
      <c r="AA876">
        <v>26</v>
      </c>
      <c r="AB876" s="17">
        <f t="shared" si="411"/>
        <v>2.5555555555555554</v>
      </c>
      <c r="AC876" s="17">
        <f t="shared" si="412"/>
        <v>2.8888888888888888</v>
      </c>
      <c r="AD876" s="18">
        <f t="shared" si="413"/>
        <v>0.88461538461538458</v>
      </c>
      <c r="AE876">
        <v>44</v>
      </c>
      <c r="AF876" s="17">
        <f t="shared" si="414"/>
        <v>4.8888888888888893</v>
      </c>
      <c r="AG876">
        <v>12</v>
      </c>
      <c r="AH876" s="17">
        <f t="shared" si="415"/>
        <v>1.3333333333333333</v>
      </c>
      <c r="AI876">
        <v>32</v>
      </c>
      <c r="AJ876" s="17">
        <f t="shared" si="416"/>
        <v>3.5555555555555554</v>
      </c>
      <c r="AK876">
        <v>8</v>
      </c>
      <c r="AL876" s="17">
        <f t="shared" si="417"/>
        <v>0.88888888888888884</v>
      </c>
      <c r="AM876">
        <v>5</v>
      </c>
      <c r="AN876" s="17">
        <f t="shared" si="418"/>
        <v>0.55555555555555558</v>
      </c>
      <c r="AO876">
        <v>0</v>
      </c>
      <c r="AQ876">
        <v>4</v>
      </c>
      <c r="AR876" s="17">
        <f t="shared" si="419"/>
        <v>0.44444444444444442</v>
      </c>
      <c r="AS876">
        <v>26</v>
      </c>
      <c r="AT876" s="17">
        <f t="shared" si="420"/>
        <v>2.8888888888888888</v>
      </c>
      <c r="BD876" s="65">
        <f t="shared" si="421"/>
        <v>47.689414293390655</v>
      </c>
      <c r="BE876" s="65">
        <f t="shared" si="422"/>
        <v>38.095238095238095</v>
      </c>
      <c r="BF876" s="66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18.807193775595699</v>
      </c>
      <c r="BG876" s="38">
        <f t="shared" si="423"/>
        <v>1.5873015873015872E-2</v>
      </c>
      <c r="BH876" s="38">
        <f t="shared" si="424"/>
        <v>0.41269841269841268</v>
      </c>
      <c r="BI876" s="67">
        <f>IFERROR(((AG876*(12000/5))/((F876*60+G876)*(SUMIFS(팀공격력!X:X,팀공격력!A:A,B876,팀공격력!B:B,D876)+SUMIFS(팀수비력!X:X,팀수비력!A:A,B876,팀수비력!B:B,D876))))*100,"")</f>
        <v>3.5039139205146861</v>
      </c>
      <c r="BJ876" s="67">
        <f>IFERROR(((AI876*(12000/5))/((F876*60+G876)*(SUMIFS(팀공격력!V:V,팀공격력!A:A,B876,팀공격력!B:B,D876)+SUMIFS(팀수비력!W:W,팀수비력!A:A,B876,팀수비력!B:B,D876))))*100,"")</f>
        <v>17.724849408017725</v>
      </c>
      <c r="BK876" s="67">
        <f>IFERROR(((AE876*(12000/5))/((F876*60+G876)*(SUMIFS(팀공격력!X:X,팀공격력!A:A,B876,팀공격력!B:B,D876)+SUMIFS(팀수비력!X:X,팀수비력!A:A,B876,팀수비력!B:B,D876))))*100,"")</f>
        <v>12.847684375220517</v>
      </c>
      <c r="BL876" s="67">
        <f>IFERROR(100*AK876/(((((F876*60+G876)/(12000/5))*SUMIFS(팀공격력!P:P,팀공격력!A:A,B876,팀공격력!B:B,D876))-K876)),"")</f>
        <v>6.3267155449378025</v>
      </c>
      <c r="BM876" s="67">
        <f>IFERROR(100*((AM876/E876*(2400))/((F876*60+G876)*SUMIFS(팀공격력!AR:AR,팀공격력!A:A,B876,팀공격력!B:B,D876))),"")</f>
        <v>1.4144381444651506</v>
      </c>
      <c r="BN876" s="67">
        <f>IFERROR((AO876*40)/(((F876*60+G876)/60)*(SUMIFS(팀수비력!Q:Q,팀수비력!A:A,B876,팀수비력!B:B,D876)-SUMIFS(팀수비력!N:N,팀수비력!A:A,B876,팀수비력!B:B,D876)))*100,"")</f>
        <v>0</v>
      </c>
      <c r="BO876" s="67">
        <f t="shared" si="425"/>
        <v>5.0994390617032126</v>
      </c>
      <c r="BT876" t="s">
        <v>89</v>
      </c>
      <c r="BV876" t="s">
        <v>93</v>
      </c>
      <c r="CF876">
        <v>4</v>
      </c>
      <c r="CG876">
        <v>5</v>
      </c>
    </row>
    <row r="877" spans="1:85" x14ac:dyDescent="0.4">
      <c r="A877" s="11" t="s">
        <v>85</v>
      </c>
      <c r="B877" t="s">
        <v>164</v>
      </c>
      <c r="C877" t="s">
        <v>181</v>
      </c>
      <c r="D877" s="46" t="s">
        <v>312</v>
      </c>
      <c r="E877">
        <v>9</v>
      </c>
      <c r="F877">
        <v>27</v>
      </c>
      <c r="G877" s="1">
        <v>55</v>
      </c>
      <c r="H877" s="16">
        <f t="shared" si="400"/>
        <v>15075</v>
      </c>
      <c r="I877">
        <v>42</v>
      </c>
      <c r="J877" s="17">
        <f t="shared" si="401"/>
        <v>4.666666666666667</v>
      </c>
      <c r="K877">
        <v>15</v>
      </c>
      <c r="L877">
        <v>43</v>
      </c>
      <c r="M877" s="17">
        <f t="shared" si="402"/>
        <v>1.6666666666666667</v>
      </c>
      <c r="N877" s="17">
        <f t="shared" si="403"/>
        <v>4.7777777777777777</v>
      </c>
      <c r="O877" s="18">
        <f t="shared" si="404"/>
        <v>0.34883720930232559</v>
      </c>
      <c r="P877">
        <v>7</v>
      </c>
      <c r="Q877">
        <v>21</v>
      </c>
      <c r="R877" s="17">
        <f t="shared" si="405"/>
        <v>0.77777777777777779</v>
      </c>
      <c r="S877" s="17">
        <f t="shared" si="406"/>
        <v>2.3333333333333335</v>
      </c>
      <c r="T877" s="18">
        <f t="shared" si="407"/>
        <v>0.33333333333333331</v>
      </c>
      <c r="U877">
        <v>8</v>
      </c>
      <c r="V877">
        <v>22</v>
      </c>
      <c r="W877" s="17">
        <f t="shared" si="408"/>
        <v>0.88888888888888884</v>
      </c>
      <c r="X877" s="17">
        <f t="shared" si="409"/>
        <v>2.4444444444444446</v>
      </c>
      <c r="Y877" s="18">
        <f t="shared" si="410"/>
        <v>0.36363636363636365</v>
      </c>
      <c r="Z877">
        <v>4</v>
      </c>
      <c r="AA877">
        <v>5</v>
      </c>
      <c r="AB877" s="17">
        <f t="shared" si="411"/>
        <v>0.44444444444444442</v>
      </c>
      <c r="AC877" s="17">
        <f t="shared" si="412"/>
        <v>0.55555555555555558</v>
      </c>
      <c r="AD877" s="18">
        <f t="shared" si="413"/>
        <v>0.8</v>
      </c>
      <c r="AE877">
        <v>23</v>
      </c>
      <c r="AF877" s="17">
        <f t="shared" si="414"/>
        <v>2.5555555555555554</v>
      </c>
      <c r="AG877">
        <v>8</v>
      </c>
      <c r="AH877" s="17">
        <f t="shared" si="415"/>
        <v>0.88888888888888884</v>
      </c>
      <c r="AI877">
        <v>15</v>
      </c>
      <c r="AJ877" s="17">
        <f t="shared" si="416"/>
        <v>1.6666666666666667</v>
      </c>
      <c r="AK877">
        <v>34</v>
      </c>
      <c r="AL877" s="17">
        <f t="shared" si="417"/>
        <v>3.7777777777777777</v>
      </c>
      <c r="AM877">
        <v>9</v>
      </c>
      <c r="AN877" s="17">
        <f t="shared" si="418"/>
        <v>1</v>
      </c>
      <c r="AO877">
        <v>0</v>
      </c>
      <c r="AQ877">
        <v>17</v>
      </c>
      <c r="AR877" s="17">
        <f t="shared" si="419"/>
        <v>1.8888888888888888</v>
      </c>
      <c r="AS877">
        <v>25</v>
      </c>
      <c r="AT877" s="17">
        <f t="shared" si="420"/>
        <v>2.7777777777777777</v>
      </c>
      <c r="BD877" s="65">
        <f t="shared" si="421"/>
        <v>46.460176991150433</v>
      </c>
      <c r="BE877" s="65">
        <f t="shared" si="422"/>
        <v>44.186046511627907</v>
      </c>
      <c r="BF877" s="66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11.690328461580027</v>
      </c>
      <c r="BG877" s="38">
        <f t="shared" si="423"/>
        <v>0.51162790697674421</v>
      </c>
      <c r="BH877" s="38">
        <f t="shared" si="424"/>
        <v>0.11627906976744186</v>
      </c>
      <c r="BI877" s="67">
        <f>IFERROR(((AG877*(12000/5))/((F877*60+G877)*(SUMIFS(팀공격력!X:X,팀공격력!A:A,B877,팀공격력!B:B,D877)+SUMIFS(팀수비력!X:X,팀수비력!A:A,B877,팀수비력!B:B,D877))))*100,"")</f>
        <v>1.8311000906013064</v>
      </c>
      <c r="BJ877" s="67">
        <f>IFERROR(((AI877*(12000/5))/((F877*60+G877)*(SUMIFS(팀공격력!V:V,팀공격력!A:A,B877,팀공격력!B:B,D877)+SUMIFS(팀수비력!W:W,팀수비력!A:A,B877,팀수비력!B:B,D877))))*100,"")</f>
        <v>6.5128900949796469</v>
      </c>
      <c r="BK877" s="67">
        <f>IFERROR(((AE877*(12000/5))/((F877*60+G877)*(SUMIFS(팀공격력!X:X,팀공격력!A:A,B877,팀공격력!B:B,D877)+SUMIFS(팀수비력!X:X,팀수비력!A:A,B877,팀수비력!B:B,D877))))*100,"")</f>
        <v>5.2644127604787565</v>
      </c>
      <c r="BL877" s="67">
        <f>IFERROR(100*AK877/(((((F877*60+G877)/(12000/5))*SUMIFS(팀공격력!P:P,팀공격력!A:A,B877,팀공격력!B:B,D877))-K877)),"")</f>
        <v>19.216956137768623</v>
      </c>
      <c r="BM877" s="67">
        <f>IFERROR(100*((AM877/E877*(2400))/((F877*60+G877)*SUMIFS(팀공격력!AR:AR,팀공격력!A:A,B877,팀공격력!B:B,D877))),"")</f>
        <v>1.9957511108232457</v>
      </c>
      <c r="BN877" s="67">
        <f>IFERROR((AO877*40)/(((F877*60+G877)/60)*(SUMIFS(팀수비력!Q:Q,팀수비력!A:A,B877,팀수비력!B:B,D877)-SUMIFS(팀수비력!N:N,팀수비력!A:A,B877,팀수비력!B:B,D877)))*100,"")</f>
        <v>0</v>
      </c>
      <c r="BO877" s="67">
        <f t="shared" si="425"/>
        <v>27.331189710610932</v>
      </c>
      <c r="BT877" t="s">
        <v>89</v>
      </c>
      <c r="BV877" t="s">
        <v>90</v>
      </c>
      <c r="CF877">
        <v>4</v>
      </c>
      <c r="CG877">
        <v>5</v>
      </c>
    </row>
    <row r="878" spans="1:85" x14ac:dyDescent="0.4">
      <c r="A878" s="11" t="s">
        <v>85</v>
      </c>
      <c r="B878" t="s">
        <v>164</v>
      </c>
      <c r="C878" t="s">
        <v>182</v>
      </c>
      <c r="D878" s="46" t="s">
        <v>312</v>
      </c>
      <c r="E878">
        <v>9</v>
      </c>
      <c r="F878">
        <v>21</v>
      </c>
      <c r="G878" s="1">
        <v>30</v>
      </c>
      <c r="H878" s="16">
        <f t="shared" si="400"/>
        <v>11610</v>
      </c>
      <c r="I878">
        <v>86</v>
      </c>
      <c r="J878" s="17">
        <f t="shared" si="401"/>
        <v>9.5555555555555554</v>
      </c>
      <c r="K878">
        <v>34</v>
      </c>
      <c r="L878">
        <v>61</v>
      </c>
      <c r="M878" s="17">
        <f t="shared" si="402"/>
        <v>3.7777777777777777</v>
      </c>
      <c r="N878" s="17">
        <f t="shared" si="403"/>
        <v>6.7777777777777777</v>
      </c>
      <c r="O878" s="18">
        <f t="shared" si="404"/>
        <v>0.55737704918032782</v>
      </c>
      <c r="P878">
        <v>21</v>
      </c>
      <c r="Q878">
        <v>34</v>
      </c>
      <c r="R878" s="17">
        <f t="shared" si="405"/>
        <v>2.3333333333333335</v>
      </c>
      <c r="S878" s="17">
        <f t="shared" si="406"/>
        <v>3.7777777777777777</v>
      </c>
      <c r="T878" s="18">
        <f t="shared" si="407"/>
        <v>0.61764705882352944</v>
      </c>
      <c r="U878">
        <v>13</v>
      </c>
      <c r="V878">
        <v>27</v>
      </c>
      <c r="W878" s="17">
        <f t="shared" si="408"/>
        <v>1.4444444444444444</v>
      </c>
      <c r="X878" s="17">
        <f t="shared" si="409"/>
        <v>3</v>
      </c>
      <c r="Y878" s="18">
        <f t="shared" si="410"/>
        <v>0.48148148148148145</v>
      </c>
      <c r="Z878">
        <v>5</v>
      </c>
      <c r="AA878">
        <v>5</v>
      </c>
      <c r="AB878" s="17">
        <f t="shared" si="411"/>
        <v>0.55555555555555558</v>
      </c>
      <c r="AC878" s="17">
        <f t="shared" si="412"/>
        <v>0.55555555555555558</v>
      </c>
      <c r="AD878" s="18">
        <f t="shared" si="413"/>
        <v>1</v>
      </c>
      <c r="AE878">
        <v>25</v>
      </c>
      <c r="AF878" s="17">
        <f t="shared" si="414"/>
        <v>2.7777777777777777</v>
      </c>
      <c r="AG878">
        <v>10</v>
      </c>
      <c r="AH878" s="17">
        <f t="shared" si="415"/>
        <v>1.1111111111111112</v>
      </c>
      <c r="AI878">
        <v>15</v>
      </c>
      <c r="AJ878" s="17">
        <f t="shared" si="416"/>
        <v>1.6666666666666667</v>
      </c>
      <c r="AK878">
        <v>10</v>
      </c>
      <c r="AL878" s="17">
        <f t="shared" si="417"/>
        <v>1.1111111111111112</v>
      </c>
      <c r="AM878">
        <v>5</v>
      </c>
      <c r="AN878" s="17">
        <f t="shared" si="418"/>
        <v>0.55555555555555558</v>
      </c>
      <c r="AO878">
        <v>1</v>
      </c>
      <c r="AQ878">
        <v>4</v>
      </c>
      <c r="AR878" s="17">
        <f t="shared" si="419"/>
        <v>0.44444444444444442</v>
      </c>
      <c r="AS878">
        <v>21</v>
      </c>
      <c r="AT878" s="17">
        <f t="shared" si="420"/>
        <v>2.3333333333333335</v>
      </c>
      <c r="BD878" s="65">
        <f t="shared" si="421"/>
        <v>68.037974683544306</v>
      </c>
      <c r="BE878" s="65">
        <f t="shared" si="422"/>
        <v>66.393442622950815</v>
      </c>
      <c r="BF878" s="66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16.399503622167149</v>
      </c>
      <c r="BG878" s="38">
        <f t="shared" si="423"/>
        <v>0.44262295081967212</v>
      </c>
      <c r="BH878" s="38">
        <f t="shared" si="424"/>
        <v>8.1967213114754092E-2</v>
      </c>
      <c r="BI878" s="67">
        <f>IFERROR(((AG878*(12000/5))/((F878*60+G878)*(SUMIFS(팀공격력!X:X,팀공격력!A:A,B878,팀공격력!B:B,D878)+SUMIFS(팀수비력!X:X,팀수비력!A:A,B878,팀수비력!B:B,D878))))*100,"")</f>
        <v>2.9719890036406866</v>
      </c>
      <c r="BJ878" s="67">
        <f>IFERROR(((AI878*(12000/5))/((F878*60+G878)*(SUMIFS(팀공격력!V:V,팀공격력!A:A,B878,팀공격력!B:B,D878)+SUMIFS(팀수비력!W:W,팀수비력!A:A,B878,팀수비력!B:B,D878))))*100,"")</f>
        <v>8.456659619450317</v>
      </c>
      <c r="BK878" s="67">
        <f>IFERROR(((AE878*(12000/5))/((F878*60+G878)*(SUMIFS(팀공격력!X:X,팀공격력!A:A,B878,팀공격력!B:B,D878)+SUMIFS(팀수비력!X:X,팀수비력!A:A,B878,팀수비력!B:B,D878))))*100,"")</f>
        <v>7.4299725091017166</v>
      </c>
      <c r="BL878" s="67">
        <f>IFERROR(100*AK878/(((((F878*60+G878)/(12000/5))*SUMIFS(팀공격력!P:P,팀공격력!A:A,B878,팀공격력!B:B,D878))-K878)),"")</f>
        <v>8.7863811092806152</v>
      </c>
      <c r="BM878" s="67">
        <f>IFERROR(100*((AM878/E878*(2400))/((F878*60+G878)*SUMIFS(팀공격력!AR:AR,팀공격력!A:A,B878,팀공격력!B:B,D878))),"")</f>
        <v>1.4396568090563899</v>
      </c>
      <c r="BN878" s="67">
        <f>IFERROR((AO878*40)/(((F878*60+G878)/60)*(SUMIFS(팀수비력!Q:Q,팀수비력!A:A,B878,팀수비력!B:B,D878)-SUMIFS(팀수비력!N:N,팀수비력!A:A,B878,팀수비력!B:B,D878)))*100,"")</f>
        <v>0.53004704167494865</v>
      </c>
      <c r="BO878" s="67">
        <f t="shared" si="425"/>
        <v>5.9523809523809526</v>
      </c>
      <c r="BT878" t="s">
        <v>89</v>
      </c>
      <c r="BV878" t="s">
        <v>93</v>
      </c>
      <c r="CF878">
        <v>4</v>
      </c>
      <c r="CG878">
        <v>5</v>
      </c>
    </row>
    <row r="879" spans="1:85" x14ac:dyDescent="0.4">
      <c r="A879" s="11" t="s">
        <v>85</v>
      </c>
      <c r="B879" t="s">
        <v>183</v>
      </c>
      <c r="C879" t="s">
        <v>185</v>
      </c>
      <c r="D879" s="46" t="s">
        <v>312</v>
      </c>
      <c r="E879">
        <v>3</v>
      </c>
      <c r="F879">
        <v>1</v>
      </c>
      <c r="G879" s="1">
        <v>45</v>
      </c>
      <c r="H879" s="16">
        <f t="shared" si="400"/>
        <v>315</v>
      </c>
      <c r="I879">
        <v>0</v>
      </c>
      <c r="J879" s="17">
        <f t="shared" si="401"/>
        <v>0</v>
      </c>
      <c r="K879">
        <v>0</v>
      </c>
      <c r="L879">
        <v>2</v>
      </c>
      <c r="M879" s="17">
        <f t="shared" si="402"/>
        <v>0</v>
      </c>
      <c r="N879" s="17">
        <f t="shared" si="403"/>
        <v>0.66666666666666663</v>
      </c>
      <c r="O879" s="18">
        <f t="shared" si="404"/>
        <v>0</v>
      </c>
      <c r="P879">
        <v>0</v>
      </c>
      <c r="Q879">
        <v>0</v>
      </c>
      <c r="R879" s="17">
        <f t="shared" si="405"/>
        <v>0</v>
      </c>
      <c r="S879" s="17">
        <f t="shared" si="406"/>
        <v>0</v>
      </c>
      <c r="T879" s="18" t="e">
        <f t="shared" si="407"/>
        <v>#DIV/0!</v>
      </c>
      <c r="U879">
        <v>0</v>
      </c>
      <c r="V879">
        <v>2</v>
      </c>
      <c r="W879" s="17">
        <f t="shared" si="408"/>
        <v>0</v>
      </c>
      <c r="X879" s="17">
        <f t="shared" si="409"/>
        <v>0.66666666666666663</v>
      </c>
      <c r="Y879" s="18">
        <f t="shared" si="410"/>
        <v>0</v>
      </c>
      <c r="Z879">
        <v>0</v>
      </c>
      <c r="AA879">
        <v>0</v>
      </c>
      <c r="AB879" s="17">
        <f t="shared" si="411"/>
        <v>0</v>
      </c>
      <c r="AC879" s="17">
        <f t="shared" si="412"/>
        <v>0</v>
      </c>
      <c r="AD879" s="18" t="e">
        <f t="shared" si="413"/>
        <v>#DIV/0!</v>
      </c>
      <c r="AE879">
        <v>0</v>
      </c>
      <c r="AF879" s="17">
        <f t="shared" si="414"/>
        <v>0</v>
      </c>
      <c r="AG879">
        <v>0</v>
      </c>
      <c r="AH879" s="17">
        <f t="shared" si="415"/>
        <v>0</v>
      </c>
      <c r="AI879">
        <v>0</v>
      </c>
      <c r="AJ879" s="17">
        <f t="shared" si="416"/>
        <v>0</v>
      </c>
      <c r="AK879">
        <v>0</v>
      </c>
      <c r="AL879" s="17">
        <f t="shared" si="417"/>
        <v>0</v>
      </c>
      <c r="AM879">
        <v>0</v>
      </c>
      <c r="AN879" s="17">
        <f t="shared" si="418"/>
        <v>0</v>
      </c>
      <c r="AO879">
        <v>0</v>
      </c>
      <c r="AQ879">
        <v>0</v>
      </c>
      <c r="AR879" s="17">
        <f t="shared" si="419"/>
        <v>0</v>
      </c>
      <c r="AS879">
        <v>0</v>
      </c>
      <c r="AT879" s="17">
        <f t="shared" si="420"/>
        <v>0</v>
      </c>
      <c r="BD879" s="65">
        <f t="shared" si="421"/>
        <v>0</v>
      </c>
      <c r="BE879" s="65">
        <f t="shared" si="422"/>
        <v>0</v>
      </c>
      <c r="BF879" s="66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5.8578018598520902</v>
      </c>
      <c r="BG879" s="38">
        <f t="shared" si="423"/>
        <v>1</v>
      </c>
      <c r="BH879" s="38">
        <f t="shared" si="424"/>
        <v>0</v>
      </c>
      <c r="BI879" s="67">
        <f>IFERROR(((AG879*(12000/5))/((F879*60+G879)*(SUMIFS(팀공격력!X:X,팀공격력!A:A,B879,팀공격력!B:B,D879)+SUMIFS(팀수비력!X:X,팀수비력!A:A,B879,팀수비력!B:B,D879))))*100,"")</f>
        <v>0</v>
      </c>
      <c r="BJ879" s="67">
        <f>IFERROR(((AI879*(12000/5))/((F879*60+G879)*(SUMIFS(팀공격력!V:V,팀공격력!A:A,B879,팀공격력!B:B,D879)+SUMIFS(팀수비력!W:W,팀수비력!A:A,B879,팀수비력!B:B,D879))))*100,"")</f>
        <v>0</v>
      </c>
      <c r="BK879" s="67">
        <f>IFERROR(((AE879*(12000/5))/((F879*60+G879)*(SUMIFS(팀공격력!X:X,팀공격력!A:A,B879,팀공격력!B:B,D879)+SUMIFS(팀수비력!X:X,팀수비력!A:A,B879,팀수비력!B:B,D879))))*100,"")</f>
        <v>0</v>
      </c>
      <c r="BL879" s="67">
        <f>IFERROR(100*AK879/(((((F879*60+G879)/(12000/5))*SUMIFS(팀공격력!P:P,팀공격력!A:A,B879,팀공격력!B:B,D879))-K879)),"")</f>
        <v>0</v>
      </c>
      <c r="BM879" s="67">
        <f>IFERROR(100*((AM879/E879*(2400))/((F879*60+G879)*SUMIFS(팀공격력!AR:AR,팀공격력!A:A,B879,팀공격력!B:B,D879))),"")</f>
        <v>0</v>
      </c>
      <c r="BN879" s="67">
        <f>IFERROR((AO879*40)/(((F879*60+G879)/60)*(SUMIFS(팀수비력!Q:Q,팀수비력!A:A,B879,팀수비력!B:B,D879)-SUMIFS(팀수비력!N:N,팀수비력!A:A,B879,팀수비력!B:B,D879)))*100,"")</f>
        <v>0</v>
      </c>
      <c r="BO879" s="67">
        <f t="shared" si="425"/>
        <v>0</v>
      </c>
      <c r="BT879" t="s">
        <v>89</v>
      </c>
      <c r="BV879" t="s">
        <v>90</v>
      </c>
      <c r="CF879">
        <v>2</v>
      </c>
      <c r="CG879">
        <v>1</v>
      </c>
    </row>
    <row r="880" spans="1:85" x14ac:dyDescent="0.4">
      <c r="A880" s="11" t="s">
        <v>85</v>
      </c>
      <c r="B880" t="s">
        <v>183</v>
      </c>
      <c r="C880" t="s">
        <v>191</v>
      </c>
      <c r="D880" s="46" t="s">
        <v>312</v>
      </c>
      <c r="E880">
        <v>9</v>
      </c>
      <c r="F880">
        <v>30</v>
      </c>
      <c r="G880" s="1">
        <v>24</v>
      </c>
      <c r="H880" s="16">
        <f t="shared" si="400"/>
        <v>16416</v>
      </c>
      <c r="I880">
        <v>75</v>
      </c>
      <c r="J880" s="17">
        <f t="shared" si="401"/>
        <v>8.3333333333333339</v>
      </c>
      <c r="K880">
        <v>28</v>
      </c>
      <c r="L880">
        <v>56</v>
      </c>
      <c r="M880" s="17">
        <f t="shared" si="402"/>
        <v>3.1111111111111112</v>
      </c>
      <c r="N880" s="17">
        <f t="shared" si="403"/>
        <v>6.2222222222222223</v>
      </c>
      <c r="O880" s="18">
        <f t="shared" si="404"/>
        <v>0.5</v>
      </c>
      <c r="P880">
        <v>12</v>
      </c>
      <c r="Q880">
        <v>22</v>
      </c>
      <c r="R880" s="17">
        <f t="shared" si="405"/>
        <v>1.3333333333333333</v>
      </c>
      <c r="S880" s="17">
        <f t="shared" si="406"/>
        <v>2.4444444444444446</v>
      </c>
      <c r="T880" s="18">
        <f t="shared" si="407"/>
        <v>0.54545454545454541</v>
      </c>
      <c r="U880">
        <v>16</v>
      </c>
      <c r="V880">
        <v>34</v>
      </c>
      <c r="W880" s="17">
        <f t="shared" si="408"/>
        <v>1.7777777777777777</v>
      </c>
      <c r="X880" s="17">
        <f t="shared" si="409"/>
        <v>3.7777777777777777</v>
      </c>
      <c r="Y880" s="18">
        <f t="shared" si="410"/>
        <v>0.47058823529411764</v>
      </c>
      <c r="Z880">
        <v>3</v>
      </c>
      <c r="AA880">
        <v>6</v>
      </c>
      <c r="AB880" s="17">
        <f t="shared" si="411"/>
        <v>0.33333333333333331</v>
      </c>
      <c r="AC880" s="17">
        <f t="shared" si="412"/>
        <v>0.66666666666666663</v>
      </c>
      <c r="AD880" s="18">
        <f t="shared" si="413"/>
        <v>0.5</v>
      </c>
      <c r="AE880">
        <v>26</v>
      </c>
      <c r="AF880" s="17">
        <f t="shared" si="414"/>
        <v>2.8888888888888888</v>
      </c>
      <c r="AG880">
        <v>3</v>
      </c>
      <c r="AH880" s="17">
        <f t="shared" si="415"/>
        <v>0.33333333333333331</v>
      </c>
      <c r="AI880">
        <v>23</v>
      </c>
      <c r="AJ880" s="17">
        <f t="shared" si="416"/>
        <v>2.5555555555555554</v>
      </c>
      <c r="AK880">
        <v>7</v>
      </c>
      <c r="AL880" s="17">
        <f t="shared" si="417"/>
        <v>0.77777777777777779</v>
      </c>
      <c r="AM880">
        <v>6</v>
      </c>
      <c r="AN880" s="17">
        <f t="shared" si="418"/>
        <v>0.66666666666666663</v>
      </c>
      <c r="AO880">
        <v>0</v>
      </c>
      <c r="AQ880">
        <v>6</v>
      </c>
      <c r="AR880" s="17">
        <f t="shared" si="419"/>
        <v>0.66666666666666663</v>
      </c>
      <c r="AS880">
        <v>21</v>
      </c>
      <c r="AT880" s="17">
        <f t="shared" si="420"/>
        <v>2.3333333333333335</v>
      </c>
      <c r="BD880" s="65">
        <f t="shared" si="421"/>
        <v>63.94952251023193</v>
      </c>
      <c r="BE880" s="65">
        <f t="shared" si="422"/>
        <v>64.285714285714292</v>
      </c>
      <c r="BF880" s="66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10.898594512935338</v>
      </c>
      <c r="BG880" s="38">
        <f t="shared" si="423"/>
        <v>0.6071428571428571</v>
      </c>
      <c r="BH880" s="38">
        <f t="shared" si="424"/>
        <v>0.10714285714285714</v>
      </c>
      <c r="BI880" s="67">
        <f>IFERROR(((AG880*(12000/5))/((F880*60+G880)*(SUMIFS(팀공격력!X:X,팀공격력!A:A,B880,팀공격력!B:B,D880)+SUMIFS(팀수비력!X:X,팀수비력!A:A,B880,팀수비력!B:B,D880))))*100,"")</f>
        <v>0.61010331082730018</v>
      </c>
      <c r="BJ880" s="67">
        <f>IFERROR(((AI880*(12000/5))/((F880*60+G880)*(SUMIFS(팀공격력!V:V,팀공격력!A:A,B880,팀공격력!B:B,D880)+SUMIFS(팀수비력!W:W,팀수비력!A:A,B880,팀수비력!B:B,D880))))*100,"")</f>
        <v>9.9223468507333905</v>
      </c>
      <c r="BK880" s="67">
        <f>IFERROR(((AE880*(12000/5))/((F880*60+G880)*(SUMIFS(팀공격력!X:X,팀공격력!A:A,B880,팀공격력!B:B,D880)+SUMIFS(팀수비력!X:X,팀수비력!A:A,B880,팀수비력!B:B,D880))))*100,"")</f>
        <v>5.2875620271699342</v>
      </c>
      <c r="BL880" s="67">
        <f>IFERROR(100*AK880/(((((F880*60+G880)/(12000/5))*SUMIFS(팀공격력!P:P,팀공격력!A:A,B880,팀공격력!B:B,D880))-K880)),"")</f>
        <v>3.8035209737013695</v>
      </c>
      <c r="BM880" s="67">
        <f>IFERROR(100*((AM880/E880*(2400))/((F880*60+G880)*SUMIFS(팀공격력!AR:AR,팀공격력!A:A,B880,팀공격력!B:B,D880))),"")</f>
        <v>1.1744779320690113</v>
      </c>
      <c r="BN880" s="67">
        <f>IFERROR((AO880*40)/(((F880*60+G880)/60)*(SUMIFS(팀수비력!Q:Q,팀수비력!A:A,B880,팀수비력!B:B,D880)-SUMIFS(팀수비력!N:N,팀수비력!A:A,B880,팀수비력!B:B,D880)))*100,"")</f>
        <v>0</v>
      </c>
      <c r="BO880" s="67">
        <f t="shared" si="425"/>
        <v>9.282178217821782</v>
      </c>
      <c r="BT880" t="s">
        <v>89</v>
      </c>
      <c r="BV880" t="s">
        <v>93</v>
      </c>
      <c r="CF880">
        <v>5</v>
      </c>
      <c r="CG880">
        <v>4</v>
      </c>
    </row>
    <row r="881" spans="1:85" x14ac:dyDescent="0.4">
      <c r="A881" s="11" t="s">
        <v>85</v>
      </c>
      <c r="B881" t="s">
        <v>183</v>
      </c>
      <c r="C881" t="s">
        <v>192</v>
      </c>
      <c r="D881" s="46" t="s">
        <v>312</v>
      </c>
      <c r="E881">
        <v>2</v>
      </c>
      <c r="F881">
        <v>5</v>
      </c>
      <c r="G881" s="1">
        <v>55</v>
      </c>
      <c r="H881" s="16">
        <f t="shared" si="400"/>
        <v>710</v>
      </c>
      <c r="I881">
        <v>3</v>
      </c>
      <c r="J881" s="17">
        <f t="shared" si="401"/>
        <v>1.5</v>
      </c>
      <c r="K881">
        <v>1</v>
      </c>
      <c r="L881">
        <v>2</v>
      </c>
      <c r="M881" s="17">
        <f t="shared" si="402"/>
        <v>0.5</v>
      </c>
      <c r="N881" s="17">
        <f t="shared" si="403"/>
        <v>1</v>
      </c>
      <c r="O881" s="18">
        <f t="shared" si="404"/>
        <v>0.5</v>
      </c>
      <c r="P881">
        <v>0</v>
      </c>
      <c r="Q881">
        <v>0</v>
      </c>
      <c r="R881" s="17">
        <f t="shared" si="405"/>
        <v>0</v>
      </c>
      <c r="S881" s="17">
        <f t="shared" si="406"/>
        <v>0</v>
      </c>
      <c r="T881" s="18" t="e">
        <f t="shared" si="407"/>
        <v>#DIV/0!</v>
      </c>
      <c r="U881">
        <v>1</v>
      </c>
      <c r="V881">
        <v>2</v>
      </c>
      <c r="W881" s="17">
        <f t="shared" si="408"/>
        <v>0.5</v>
      </c>
      <c r="X881" s="17">
        <f t="shared" si="409"/>
        <v>1</v>
      </c>
      <c r="Y881" s="18">
        <f t="shared" si="410"/>
        <v>0.5</v>
      </c>
      <c r="Z881">
        <v>0</v>
      </c>
      <c r="AA881">
        <v>0</v>
      </c>
      <c r="AB881" s="17">
        <f t="shared" si="411"/>
        <v>0</v>
      </c>
      <c r="AC881" s="17">
        <f t="shared" si="412"/>
        <v>0</v>
      </c>
      <c r="AD881" s="18" t="e">
        <f t="shared" si="413"/>
        <v>#DIV/0!</v>
      </c>
      <c r="AE881">
        <v>0</v>
      </c>
      <c r="AF881" s="17">
        <f t="shared" si="414"/>
        <v>0</v>
      </c>
      <c r="AG881">
        <v>0</v>
      </c>
      <c r="AH881" s="17">
        <f t="shared" si="415"/>
        <v>0</v>
      </c>
      <c r="AI881">
        <v>0</v>
      </c>
      <c r="AJ881" s="17">
        <f t="shared" si="416"/>
        <v>0</v>
      </c>
      <c r="AK881">
        <v>1</v>
      </c>
      <c r="AL881" s="17">
        <f t="shared" si="417"/>
        <v>0.5</v>
      </c>
      <c r="AM881">
        <v>0</v>
      </c>
      <c r="AN881" s="17">
        <f t="shared" si="418"/>
        <v>0</v>
      </c>
      <c r="AO881">
        <v>0</v>
      </c>
      <c r="AQ881">
        <v>0</v>
      </c>
      <c r="AR881" s="17">
        <f t="shared" si="419"/>
        <v>0</v>
      </c>
      <c r="AS881">
        <v>3</v>
      </c>
      <c r="AT881" s="17">
        <f t="shared" si="420"/>
        <v>1.5</v>
      </c>
      <c r="BD881" s="65">
        <f t="shared" si="421"/>
        <v>75</v>
      </c>
      <c r="BE881" s="65">
        <f t="shared" si="422"/>
        <v>75</v>
      </c>
      <c r="BF881" s="66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1.7325892824914635</v>
      </c>
      <c r="BG881" s="38">
        <f t="shared" si="423"/>
        <v>1</v>
      </c>
      <c r="BH881" s="38">
        <f t="shared" si="424"/>
        <v>0</v>
      </c>
      <c r="BI881" s="67">
        <f>IFERROR(((AG881*(12000/5))/((F881*60+G881)*(SUMIFS(팀공격력!X:X,팀공격력!A:A,B881,팀공격력!B:B,D881)+SUMIFS(팀수비력!X:X,팀수비력!A:A,B881,팀수비력!B:B,D881))))*100,"")</f>
        <v>0</v>
      </c>
      <c r="BJ881" s="67">
        <f>IFERROR(((AI881*(12000/5))/((F881*60+G881)*(SUMIFS(팀공격력!V:V,팀공격력!A:A,B881,팀공격력!B:B,D881)+SUMIFS(팀수비력!W:W,팀수비력!A:A,B881,팀수비력!B:B,D881))))*100,"")</f>
        <v>0</v>
      </c>
      <c r="BK881" s="67">
        <f>IFERROR(((AE881*(12000/5))/((F881*60+G881)*(SUMIFS(팀공격력!X:X,팀공격력!A:A,B881,팀공격력!B:B,D881)+SUMIFS(팀수비력!X:X,팀수비력!A:A,B881,팀수비력!B:B,D881))))*100,"")</f>
        <v>0</v>
      </c>
      <c r="BL881" s="67">
        <f>IFERROR(100*AK881/(((((F881*60+G881)/(12000/5))*SUMIFS(팀공격력!P:P,팀공격력!A:A,B881,팀공격력!B:B,D881))-K881)),"")</f>
        <v>2.4833152258264786</v>
      </c>
      <c r="BM881" s="67">
        <f>IFERROR(100*((AM881/E881*(2400))/((F881*60+G881)*SUMIFS(팀공격력!AR:AR,팀공격력!A:A,B881,팀공격력!B:B,D881))),"")</f>
        <v>0</v>
      </c>
      <c r="BN881" s="67">
        <f>IFERROR((AO881*40)/(((F881*60+G881)/60)*(SUMIFS(팀수비력!Q:Q,팀수비력!A:A,B881,팀수비력!B:B,D881)-SUMIFS(팀수비력!N:N,팀수비력!A:A,B881,팀수비력!B:B,D881)))*100,"")</f>
        <v>0</v>
      </c>
      <c r="BO881" s="67">
        <f t="shared" si="425"/>
        <v>0</v>
      </c>
      <c r="BT881" t="s">
        <v>113</v>
      </c>
      <c r="BV881" t="s">
        <v>90</v>
      </c>
      <c r="CF881">
        <v>1</v>
      </c>
      <c r="CG881">
        <v>1</v>
      </c>
    </row>
    <row r="882" spans="1:85" x14ac:dyDescent="0.4">
      <c r="A882" s="11" t="s">
        <v>85</v>
      </c>
      <c r="B882" t="s">
        <v>183</v>
      </c>
      <c r="C882" t="s">
        <v>193</v>
      </c>
      <c r="D882" s="46" t="s">
        <v>312</v>
      </c>
      <c r="E882">
        <v>4</v>
      </c>
      <c r="F882">
        <v>2</v>
      </c>
      <c r="G882" s="1">
        <v>10</v>
      </c>
      <c r="H882" s="16">
        <f t="shared" si="400"/>
        <v>520</v>
      </c>
      <c r="I882">
        <v>3</v>
      </c>
      <c r="J882" s="17">
        <f t="shared" si="401"/>
        <v>0.75</v>
      </c>
      <c r="K882">
        <v>1</v>
      </c>
      <c r="L882">
        <v>1</v>
      </c>
      <c r="M882" s="17">
        <f t="shared" si="402"/>
        <v>0.25</v>
      </c>
      <c r="N882" s="17">
        <f t="shared" si="403"/>
        <v>0.25</v>
      </c>
      <c r="O882" s="18">
        <f t="shared" si="404"/>
        <v>1</v>
      </c>
      <c r="P882">
        <v>0</v>
      </c>
      <c r="Q882">
        <v>0</v>
      </c>
      <c r="R882" s="17">
        <f t="shared" si="405"/>
        <v>0</v>
      </c>
      <c r="S882" s="17">
        <f t="shared" si="406"/>
        <v>0</v>
      </c>
      <c r="T882" s="18" t="e">
        <f t="shared" si="407"/>
        <v>#DIV/0!</v>
      </c>
      <c r="U882">
        <v>1</v>
      </c>
      <c r="V882">
        <v>1</v>
      </c>
      <c r="W882" s="17">
        <f t="shared" si="408"/>
        <v>0.25</v>
      </c>
      <c r="X882" s="17">
        <f t="shared" si="409"/>
        <v>0.25</v>
      </c>
      <c r="Y882" s="18">
        <f t="shared" si="410"/>
        <v>1</v>
      </c>
      <c r="Z882">
        <v>0</v>
      </c>
      <c r="AA882">
        <v>0</v>
      </c>
      <c r="AB882" s="17">
        <f t="shared" si="411"/>
        <v>0</v>
      </c>
      <c r="AC882" s="17">
        <f t="shared" si="412"/>
        <v>0</v>
      </c>
      <c r="AD882" s="18" t="e">
        <f t="shared" si="413"/>
        <v>#DIV/0!</v>
      </c>
      <c r="AE882">
        <v>1</v>
      </c>
      <c r="AF882" s="17">
        <f t="shared" si="414"/>
        <v>0.25</v>
      </c>
      <c r="AG882">
        <v>0</v>
      </c>
      <c r="AH882" s="17">
        <f t="shared" si="415"/>
        <v>0</v>
      </c>
      <c r="AI882">
        <v>1</v>
      </c>
      <c r="AJ882" s="17">
        <f t="shared" si="416"/>
        <v>0.25</v>
      </c>
      <c r="AK882">
        <v>0</v>
      </c>
      <c r="AL882" s="17">
        <f t="shared" si="417"/>
        <v>0</v>
      </c>
      <c r="AM882">
        <v>0</v>
      </c>
      <c r="AN882" s="17">
        <f t="shared" si="418"/>
        <v>0</v>
      </c>
      <c r="AO882">
        <v>0</v>
      </c>
      <c r="AQ882">
        <v>0</v>
      </c>
      <c r="AR882" s="17">
        <f t="shared" si="419"/>
        <v>0</v>
      </c>
      <c r="AS882">
        <v>0</v>
      </c>
      <c r="AT882" s="17">
        <f t="shared" si="420"/>
        <v>0</v>
      </c>
      <c r="BD882" s="65">
        <f t="shared" si="421"/>
        <v>150</v>
      </c>
      <c r="BE882" s="65">
        <f t="shared" si="422"/>
        <v>150</v>
      </c>
      <c r="BF882" s="66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2.3656507510941136</v>
      </c>
      <c r="BG882" s="38">
        <f t="shared" si="423"/>
        <v>1</v>
      </c>
      <c r="BH882" s="38">
        <f t="shared" si="424"/>
        <v>0</v>
      </c>
      <c r="BI882" s="67">
        <f>IFERROR(((AG882*(12000/5))/((F882*60+G882)*(SUMIFS(팀공격력!X:X,팀공격력!A:A,B882,팀공격력!B:B,D882)+SUMIFS(팀수비력!X:X,팀수비력!A:A,B882,팀수비력!B:B,D882))))*100,"")</f>
        <v>0</v>
      </c>
      <c r="BJ882" s="67">
        <f>IFERROR(((AI882*(12000/5))/((F882*60+G882)*(SUMIFS(팀공격력!V:V,팀공격력!A:A,B882,팀공격력!B:B,D882)+SUMIFS(팀수비력!W:W,팀수비력!A:A,B882,팀수비력!B:B,D882))))*100,"")</f>
        <v>6.0529634300126105</v>
      </c>
      <c r="BK882" s="67">
        <f>IFERROR(((AE882*(12000/5))/((F882*60+G882)*(SUMIFS(팀공격력!X:X,팀공격력!A:A,B882,팀공격력!B:B,D882)+SUMIFS(팀수비력!X:X,팀수비력!A:A,B882,팀수비력!B:B,D882))))*100,"")</f>
        <v>2.8534062537153728</v>
      </c>
      <c r="BL882" s="67">
        <f>IFERROR(100*AK882/(((((F882*60+G882)/(12000/5))*SUMIFS(팀공격력!P:P,팀공격력!A:A,B882,팀공격력!B:B,D882))-K882)),"")</f>
        <v>0</v>
      </c>
      <c r="BM882" s="67">
        <f>IFERROR(100*((AM882/E882*(2400))/((F882*60+G882)*SUMIFS(팀공격력!AR:AR,팀공격력!A:A,B882,팀공격력!B:B,D882))),"")</f>
        <v>0</v>
      </c>
      <c r="BN882" s="67">
        <f>IFERROR((AO882*40)/(((F882*60+G882)/60)*(SUMIFS(팀수비력!Q:Q,팀수비력!A:A,B882,팀수비력!B:B,D882)-SUMIFS(팀수비력!N:N,팀수비력!A:A,B882,팀수비력!B:B,D882)))*100,"")</f>
        <v>0</v>
      </c>
      <c r="BO882" s="67">
        <f t="shared" si="425"/>
        <v>0</v>
      </c>
      <c r="BT882" t="s">
        <v>89</v>
      </c>
      <c r="BV882" t="s">
        <v>93</v>
      </c>
      <c r="CF882">
        <v>3</v>
      </c>
      <c r="CG882">
        <v>1</v>
      </c>
    </row>
    <row r="883" spans="1:85" x14ac:dyDescent="0.4">
      <c r="A883" s="11" t="s">
        <v>85</v>
      </c>
      <c r="B883" t="s">
        <v>183</v>
      </c>
      <c r="C883" t="s">
        <v>194</v>
      </c>
      <c r="D883" s="46" t="s">
        <v>312</v>
      </c>
      <c r="E883">
        <v>9</v>
      </c>
      <c r="F883">
        <v>20</v>
      </c>
      <c r="G883" s="1">
        <v>22</v>
      </c>
      <c r="H883" s="16">
        <f t="shared" si="400"/>
        <v>10998</v>
      </c>
      <c r="I883">
        <v>42</v>
      </c>
      <c r="J883" s="17">
        <f t="shared" si="401"/>
        <v>4.666666666666667</v>
      </c>
      <c r="K883">
        <v>13</v>
      </c>
      <c r="L883">
        <v>55</v>
      </c>
      <c r="M883" s="17">
        <f t="shared" si="402"/>
        <v>1.4444444444444444</v>
      </c>
      <c r="N883" s="17">
        <f t="shared" si="403"/>
        <v>6.1111111111111107</v>
      </c>
      <c r="O883" s="18">
        <f t="shared" si="404"/>
        <v>0.23636363636363636</v>
      </c>
      <c r="P883">
        <v>7</v>
      </c>
      <c r="Q883">
        <v>22</v>
      </c>
      <c r="R883" s="17">
        <f t="shared" si="405"/>
        <v>0.77777777777777779</v>
      </c>
      <c r="S883" s="17">
        <f t="shared" si="406"/>
        <v>2.4444444444444446</v>
      </c>
      <c r="T883" s="18">
        <f t="shared" si="407"/>
        <v>0.31818181818181818</v>
      </c>
      <c r="U883">
        <v>6</v>
      </c>
      <c r="V883">
        <v>33</v>
      </c>
      <c r="W883" s="17">
        <f t="shared" si="408"/>
        <v>0.66666666666666663</v>
      </c>
      <c r="X883" s="17">
        <f t="shared" si="409"/>
        <v>3.6666666666666665</v>
      </c>
      <c r="Y883" s="18">
        <f t="shared" si="410"/>
        <v>0.18181818181818182</v>
      </c>
      <c r="Z883">
        <v>10</v>
      </c>
      <c r="AA883">
        <v>12</v>
      </c>
      <c r="AB883" s="17">
        <f t="shared" si="411"/>
        <v>1.1111111111111112</v>
      </c>
      <c r="AC883" s="17">
        <f t="shared" si="412"/>
        <v>1.3333333333333333</v>
      </c>
      <c r="AD883" s="18">
        <f t="shared" si="413"/>
        <v>0.83333333333333337</v>
      </c>
      <c r="AE883">
        <v>19</v>
      </c>
      <c r="AF883" s="17">
        <f t="shared" si="414"/>
        <v>2.1111111111111112</v>
      </c>
      <c r="AG883">
        <v>3</v>
      </c>
      <c r="AH883" s="17">
        <f t="shared" si="415"/>
        <v>0.33333333333333331</v>
      </c>
      <c r="AI883">
        <v>16</v>
      </c>
      <c r="AJ883" s="17">
        <f t="shared" si="416"/>
        <v>1.7777777777777777</v>
      </c>
      <c r="AK883">
        <v>20</v>
      </c>
      <c r="AL883" s="17">
        <f t="shared" si="417"/>
        <v>2.2222222222222223</v>
      </c>
      <c r="AM883">
        <v>10</v>
      </c>
      <c r="AN883" s="17">
        <f t="shared" si="418"/>
        <v>1.1111111111111112</v>
      </c>
      <c r="AO883">
        <v>1</v>
      </c>
      <c r="AQ883">
        <v>10</v>
      </c>
      <c r="AR883" s="17">
        <f t="shared" si="419"/>
        <v>1.1111111111111112</v>
      </c>
      <c r="AS883">
        <v>20</v>
      </c>
      <c r="AT883" s="17">
        <f t="shared" si="420"/>
        <v>2.2222222222222223</v>
      </c>
      <c r="BD883" s="65">
        <f t="shared" si="421"/>
        <v>34.837425348374254</v>
      </c>
      <c r="BE883" s="65">
        <f t="shared" si="422"/>
        <v>29.09090909090909</v>
      </c>
      <c r="BF883" s="66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17.687014339031307</v>
      </c>
      <c r="BG883" s="38">
        <f t="shared" si="423"/>
        <v>0.6</v>
      </c>
      <c r="BH883" s="38">
        <f t="shared" si="424"/>
        <v>0.21818181818181817</v>
      </c>
      <c r="BI883" s="67">
        <f>IFERROR(((AG883*(12000/5))/((F883*60+G883)*(SUMIFS(팀공격력!X:X,팀공격력!A:A,B883,팀공격력!B:B,D883)+SUMIFS(팀수비력!X:X,팀수비력!A:A,B883,팀수비력!B:B,D883))))*100,"")</f>
        <v>0.91066157033469342</v>
      </c>
      <c r="BJ883" s="67">
        <f>IFERROR(((AI883*(12000/5))/((F883*60+G883)*(SUMIFS(팀공격력!V:V,팀공격력!A:A,B883,팀공격력!B:B,D883)+SUMIFS(팀수비력!W:W,팀수비력!A:A,B883,팀수비력!B:B,D883))))*100,"")</f>
        <v>10.302916476617209</v>
      </c>
      <c r="BK883" s="67">
        <f>IFERROR(((AE883*(12000/5))/((F883*60+G883)*(SUMIFS(팀공격력!X:X,팀공격력!A:A,B883,팀공격력!B:B,D883)+SUMIFS(팀수비력!X:X,팀수비력!A:A,B883,팀수비력!B:B,D883))))*100,"")</f>
        <v>5.7675232787863919</v>
      </c>
      <c r="BL883" s="67">
        <f>IFERROR(100*AK883/(((((F883*60+G883)/(12000/5))*SUMIFS(팀공격력!P:P,팀공격력!A:A,B883,팀공격력!B:B,D883))-K883)),"")</f>
        <v>15.496968405555663</v>
      </c>
      <c r="BM883" s="67">
        <f>IFERROR(100*((AM883/E883*(2400))/((F883*60+G883)*SUMIFS(팀공격력!AR:AR,팀공격력!A:A,B883,팀공격력!B:B,D883))),"")</f>
        <v>2.9217781616119436</v>
      </c>
      <c r="BN883" s="67">
        <f>IFERROR((AO883*40)/(((F883*60+G883)/60)*(SUMIFS(팀수비력!Q:Q,팀수비력!A:A,B883,팀수비력!B:B,D883)-SUMIFS(팀수비력!N:N,팀수비력!A:A,B883,팀수비력!B:B,D883)))*100,"")</f>
        <v>0.49470867842699129</v>
      </c>
      <c r="BO883" s="67">
        <f t="shared" si="425"/>
        <v>14.228799089356858</v>
      </c>
      <c r="BT883" t="s">
        <v>89</v>
      </c>
      <c r="BV883" t="s">
        <v>90</v>
      </c>
      <c r="CF883">
        <v>5</v>
      </c>
      <c r="CG883">
        <v>4</v>
      </c>
    </row>
    <row r="884" spans="1:85" x14ac:dyDescent="0.4">
      <c r="A884" s="11" t="s">
        <v>85</v>
      </c>
      <c r="B884" t="s">
        <v>183</v>
      </c>
      <c r="C884" t="s">
        <v>195</v>
      </c>
      <c r="D884" s="46" t="s">
        <v>312</v>
      </c>
      <c r="E884">
        <v>9</v>
      </c>
      <c r="F884">
        <v>8</v>
      </c>
      <c r="G884" s="1">
        <v>36</v>
      </c>
      <c r="H884" s="16">
        <f t="shared" si="400"/>
        <v>4644</v>
      </c>
      <c r="I884">
        <v>59</v>
      </c>
      <c r="J884" s="17">
        <f t="shared" si="401"/>
        <v>6.5555555555555554</v>
      </c>
      <c r="K884">
        <v>22</v>
      </c>
      <c r="L884">
        <v>44</v>
      </c>
      <c r="M884" s="17">
        <f t="shared" si="402"/>
        <v>2.4444444444444446</v>
      </c>
      <c r="N884" s="17">
        <f t="shared" si="403"/>
        <v>4.8888888888888893</v>
      </c>
      <c r="O884" s="18">
        <f t="shared" si="404"/>
        <v>0.5</v>
      </c>
      <c r="P884">
        <v>17</v>
      </c>
      <c r="Q884">
        <v>33</v>
      </c>
      <c r="R884" s="17">
        <f t="shared" si="405"/>
        <v>1.8888888888888888</v>
      </c>
      <c r="S884" s="17">
        <f t="shared" si="406"/>
        <v>3.6666666666666665</v>
      </c>
      <c r="T884" s="18">
        <f t="shared" si="407"/>
        <v>0.51515151515151514</v>
      </c>
      <c r="U884">
        <v>5</v>
      </c>
      <c r="V884">
        <v>11</v>
      </c>
      <c r="W884" s="17">
        <f t="shared" si="408"/>
        <v>0.55555555555555558</v>
      </c>
      <c r="X884" s="17">
        <f t="shared" si="409"/>
        <v>1.2222222222222223</v>
      </c>
      <c r="Y884" s="18">
        <f t="shared" si="410"/>
        <v>0.45454545454545453</v>
      </c>
      <c r="Z884">
        <v>10</v>
      </c>
      <c r="AA884">
        <v>16</v>
      </c>
      <c r="AB884" s="17">
        <f t="shared" si="411"/>
        <v>1.1111111111111112</v>
      </c>
      <c r="AC884" s="17">
        <f t="shared" si="412"/>
        <v>1.7777777777777777</v>
      </c>
      <c r="AD884" s="18">
        <f t="shared" si="413"/>
        <v>0.625</v>
      </c>
      <c r="AE884">
        <v>24</v>
      </c>
      <c r="AF884" s="17">
        <f t="shared" si="414"/>
        <v>2.6666666666666665</v>
      </c>
      <c r="AG884">
        <v>7</v>
      </c>
      <c r="AH884" s="17">
        <f t="shared" si="415"/>
        <v>0.77777777777777779</v>
      </c>
      <c r="AI884">
        <v>17</v>
      </c>
      <c r="AJ884" s="17">
        <f t="shared" si="416"/>
        <v>1.8888888888888888</v>
      </c>
      <c r="AK884">
        <v>4</v>
      </c>
      <c r="AL884" s="17">
        <f t="shared" si="417"/>
        <v>0.44444444444444442</v>
      </c>
      <c r="AM884">
        <v>1</v>
      </c>
      <c r="AN884" s="17">
        <f t="shared" si="418"/>
        <v>0.1111111111111111</v>
      </c>
      <c r="AO884">
        <v>1</v>
      </c>
      <c r="AQ884">
        <v>3</v>
      </c>
      <c r="AR884" s="17">
        <f t="shared" si="419"/>
        <v>0.33333333333333331</v>
      </c>
      <c r="AS884">
        <v>9</v>
      </c>
      <c r="AT884" s="17">
        <f t="shared" si="420"/>
        <v>1</v>
      </c>
      <c r="BD884" s="65">
        <f t="shared" si="421"/>
        <v>57.797805642633229</v>
      </c>
      <c r="BE884" s="65">
        <f t="shared" si="422"/>
        <v>55.68181818181818</v>
      </c>
      <c r="BF884" s="66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32.207693132919317</v>
      </c>
      <c r="BG884" s="38">
        <f t="shared" si="423"/>
        <v>0.25</v>
      </c>
      <c r="BH884" s="38">
        <f t="shared" si="424"/>
        <v>0.36363636363636365</v>
      </c>
      <c r="BI884" s="67">
        <f>IFERROR(((AG884*(12000/5))/((F884*60+G884)*(SUMIFS(팀공격력!X:X,팀공격력!A:A,B884,팀공격력!B:B,D884)+SUMIFS(팀수비력!X:X,팀수비력!A:A,B884,팀수비력!B:B,D884))))*100,"")</f>
        <v>5.0321699435678084</v>
      </c>
      <c r="BJ884" s="67">
        <f>IFERROR(((AI884*(12000/5))/((F884*60+G884)*(SUMIFS(팀공격력!V:V,팀공격력!A:A,B884,팀공격력!B:B,D884)+SUMIFS(팀수비력!W:W,팀수비력!A:A,B884,팀수비력!B:B,D884))))*100,"")</f>
        <v>25.924513915364088</v>
      </c>
      <c r="BK884" s="67">
        <f>IFERROR(((AE884*(12000/5))/((F884*60+G884)*(SUMIFS(팀공격력!X:X,팀공격력!A:A,B884,팀공격력!B:B,D884)+SUMIFS(팀수비력!X:X,팀수비력!A:A,B884,팀수비력!B:B,D884))))*100,"")</f>
        <v>17.253154092232485</v>
      </c>
      <c r="BL884" s="67">
        <f>IFERROR(100*AK884/(((((F884*60+G884)/(12000/5))*SUMIFS(팀공격력!P:P,팀공격력!A:A,B884,팀공격력!B:B,D884))-K884)),"")</f>
        <v>10.530472554955903</v>
      </c>
      <c r="BM884" s="67">
        <f>IFERROR(100*((AM884/E884*(2400))/((F884*60+G884)*SUMIFS(팀공격력!AR:AR,팀공격력!A:A,B884,팀공격력!B:B,D884))),"")</f>
        <v>0.69194048711042511</v>
      </c>
      <c r="BN884" s="67">
        <f>IFERROR((AO884*40)/(((F884*60+G884)/60)*(SUMIFS(팀수비력!Q:Q,팀수비력!A:A,B884,팀수비력!B:B,D884)-SUMIFS(팀수비력!N:N,팀수비력!A:A,B884,팀수비력!B:B,D884)))*100,"")</f>
        <v>1.1715775291429911</v>
      </c>
      <c r="BO884" s="67">
        <f t="shared" si="425"/>
        <v>5.5514433752775725</v>
      </c>
      <c r="BT884" t="s">
        <v>96</v>
      </c>
      <c r="BV884" t="s">
        <v>93</v>
      </c>
      <c r="CF884">
        <v>5</v>
      </c>
      <c r="CG884">
        <v>4</v>
      </c>
    </row>
    <row r="885" spans="1:85" x14ac:dyDescent="0.4">
      <c r="A885" s="11" t="s">
        <v>85</v>
      </c>
      <c r="B885" t="s">
        <v>183</v>
      </c>
      <c r="C885" t="s">
        <v>196</v>
      </c>
      <c r="D885" s="46" t="s">
        <v>312</v>
      </c>
      <c r="E885">
        <v>9</v>
      </c>
      <c r="F885">
        <v>22</v>
      </c>
      <c r="G885" s="1">
        <v>21</v>
      </c>
      <c r="H885" s="16">
        <f t="shared" si="400"/>
        <v>12069</v>
      </c>
      <c r="I885">
        <v>79</v>
      </c>
      <c r="J885" s="17">
        <f t="shared" si="401"/>
        <v>8.7777777777777786</v>
      </c>
      <c r="K885">
        <v>30</v>
      </c>
      <c r="L885">
        <v>56</v>
      </c>
      <c r="M885" s="17">
        <f t="shared" si="402"/>
        <v>3.3333333333333335</v>
      </c>
      <c r="N885" s="17">
        <f t="shared" si="403"/>
        <v>6.2222222222222223</v>
      </c>
      <c r="O885" s="18">
        <f t="shared" si="404"/>
        <v>0.5357142857142857</v>
      </c>
      <c r="P885">
        <v>29</v>
      </c>
      <c r="Q885">
        <v>50</v>
      </c>
      <c r="R885" s="17">
        <f t="shared" si="405"/>
        <v>3.2222222222222223</v>
      </c>
      <c r="S885" s="17">
        <f t="shared" si="406"/>
        <v>5.5555555555555554</v>
      </c>
      <c r="T885" s="18">
        <f t="shared" si="407"/>
        <v>0.57999999999999996</v>
      </c>
      <c r="U885">
        <v>1</v>
      </c>
      <c r="V885">
        <v>6</v>
      </c>
      <c r="W885" s="17">
        <f t="shared" si="408"/>
        <v>0.1111111111111111</v>
      </c>
      <c r="X885" s="17">
        <f t="shared" si="409"/>
        <v>0.66666666666666663</v>
      </c>
      <c r="Y885" s="18">
        <f t="shared" si="410"/>
        <v>0.16666666666666666</v>
      </c>
      <c r="Z885">
        <v>18</v>
      </c>
      <c r="AA885">
        <v>27</v>
      </c>
      <c r="AB885" s="17">
        <f t="shared" si="411"/>
        <v>2</v>
      </c>
      <c r="AC885" s="17">
        <f t="shared" si="412"/>
        <v>3</v>
      </c>
      <c r="AD885" s="18">
        <f t="shared" si="413"/>
        <v>0.66666666666666663</v>
      </c>
      <c r="AE885">
        <v>57</v>
      </c>
      <c r="AF885" s="17">
        <f t="shared" si="414"/>
        <v>6.333333333333333</v>
      </c>
      <c r="AG885">
        <v>22</v>
      </c>
      <c r="AH885" s="17">
        <f t="shared" si="415"/>
        <v>2.4444444444444446</v>
      </c>
      <c r="AI885">
        <v>35</v>
      </c>
      <c r="AJ885" s="17">
        <f t="shared" si="416"/>
        <v>3.8888888888888888</v>
      </c>
      <c r="AK885">
        <v>11</v>
      </c>
      <c r="AL885" s="17">
        <f t="shared" si="417"/>
        <v>1.2222222222222223</v>
      </c>
      <c r="AM885">
        <v>3</v>
      </c>
      <c r="AN885" s="17">
        <f t="shared" si="418"/>
        <v>0.33333333333333331</v>
      </c>
      <c r="AO885">
        <v>7</v>
      </c>
      <c r="AQ885">
        <v>8</v>
      </c>
      <c r="AR885" s="17">
        <f t="shared" si="419"/>
        <v>0.88888888888888884</v>
      </c>
      <c r="AS885">
        <v>27</v>
      </c>
      <c r="AT885" s="17">
        <f t="shared" si="420"/>
        <v>3</v>
      </c>
      <c r="BD885" s="65">
        <f t="shared" si="421"/>
        <v>58.190925162050675</v>
      </c>
      <c r="BE885" s="65">
        <f t="shared" si="422"/>
        <v>54.464285714285708</v>
      </c>
      <c r="BF885" s="66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17.401733981426379</v>
      </c>
      <c r="BG885" s="38">
        <f t="shared" si="423"/>
        <v>0.10714285714285714</v>
      </c>
      <c r="BH885" s="38">
        <f t="shared" si="424"/>
        <v>0.48214285714285715</v>
      </c>
      <c r="BI885" s="67">
        <f>IFERROR(((AG885*(12000/5))/((F885*60+G885)*(SUMIFS(팀공격력!X:X,팀공격력!A:A,B885,팀공격력!B:B,D885)+SUMIFS(팀수비력!X:X,팀수비력!A:A,B885,팀수비력!B:B,D885))))*100,"")</f>
        <v>6.0855644188113098</v>
      </c>
      <c r="BJ885" s="67">
        <f>IFERROR(((AI885*(12000/5))/((F885*60+G885)*(SUMIFS(팀공격력!V:V,팀공격력!A:A,B885,팀공격력!B:B,D885)+SUMIFS(팀수비력!W:W,팀수비력!A:A,B885,팀수비력!B:B,D885))))*100,"")</f>
        <v>20.537646239043532</v>
      </c>
      <c r="BK885" s="67">
        <f>IFERROR(((AE885*(12000/5))/((F885*60+G885)*(SUMIFS(팀공격력!X:X,팀공격력!A:A,B885,팀공격력!B:B,D885)+SUMIFS(팀수비력!X:X,팀수비력!A:A,B885,팀수비력!B:B,D885))))*100,"")</f>
        <v>15.767144176011119</v>
      </c>
      <c r="BL885" s="67">
        <f>IFERROR(100*AK885/(((((F885*60+G885)/(12000/5))*SUMIFS(팀공격력!P:P,팀공격력!A:A,B885,팀공격력!B:B,D885))-K885)),"")</f>
        <v>8.7377001975911757</v>
      </c>
      <c r="BM885" s="67">
        <f>IFERROR(100*((AM885/E885*(2400))/((F885*60+G885)*SUMIFS(팀공격력!AR:AR,팀공격력!A:A,B885,팀공격력!B:B,D885))),"")</f>
        <v>0.79875009250330964</v>
      </c>
      <c r="BN885" s="67">
        <f>IFERROR((AO885*40)/(((F885*60+G885)/60)*(SUMIFS(팀수비력!Q:Q,팀수비력!A:A,B885,팀수비력!B:B,D885)-SUMIFS(팀수비력!N:N,팀수비력!A:A,B885,팀수비력!B:B,D885)))*100,"")</f>
        <v>3.1556584901301141</v>
      </c>
      <c r="BO885" s="67">
        <f t="shared" si="425"/>
        <v>10.542962572482868</v>
      </c>
      <c r="BT885" t="s">
        <v>89</v>
      </c>
      <c r="BV885" t="s">
        <v>102</v>
      </c>
      <c r="CF885">
        <v>5</v>
      </c>
      <c r="CG885">
        <v>4</v>
      </c>
    </row>
    <row r="886" spans="1:85" x14ac:dyDescent="0.4">
      <c r="A886" s="11" t="s">
        <v>85</v>
      </c>
      <c r="B886" t="s">
        <v>183</v>
      </c>
      <c r="C886" t="s">
        <v>197</v>
      </c>
      <c r="D886" s="46" t="s">
        <v>312</v>
      </c>
      <c r="E886">
        <v>9</v>
      </c>
      <c r="F886">
        <v>31</v>
      </c>
      <c r="G886" s="1">
        <v>26</v>
      </c>
      <c r="H886" s="16">
        <f t="shared" si="400"/>
        <v>16974</v>
      </c>
      <c r="I886">
        <v>124</v>
      </c>
      <c r="J886" s="17">
        <f t="shared" si="401"/>
        <v>13.777777777777779</v>
      </c>
      <c r="K886">
        <v>42</v>
      </c>
      <c r="L886">
        <v>93</v>
      </c>
      <c r="M886" s="17">
        <f t="shared" si="402"/>
        <v>4.666666666666667</v>
      </c>
      <c r="N886" s="17">
        <f t="shared" si="403"/>
        <v>10.333333333333334</v>
      </c>
      <c r="O886" s="18">
        <f t="shared" si="404"/>
        <v>0.45161290322580644</v>
      </c>
      <c r="P886">
        <v>30</v>
      </c>
      <c r="Q886">
        <v>51</v>
      </c>
      <c r="R886" s="17">
        <f t="shared" si="405"/>
        <v>3.3333333333333335</v>
      </c>
      <c r="S886" s="17">
        <f t="shared" si="406"/>
        <v>5.666666666666667</v>
      </c>
      <c r="T886" s="18">
        <f t="shared" si="407"/>
        <v>0.58823529411764708</v>
      </c>
      <c r="U886">
        <v>12</v>
      </c>
      <c r="V886">
        <v>42</v>
      </c>
      <c r="W886" s="17">
        <f t="shared" si="408"/>
        <v>1.3333333333333333</v>
      </c>
      <c r="X886" s="17">
        <f t="shared" si="409"/>
        <v>4.666666666666667</v>
      </c>
      <c r="Y886" s="18">
        <f t="shared" si="410"/>
        <v>0.2857142857142857</v>
      </c>
      <c r="Z886">
        <v>28</v>
      </c>
      <c r="AA886">
        <v>37</v>
      </c>
      <c r="AB886" s="17">
        <f t="shared" si="411"/>
        <v>3.1111111111111112</v>
      </c>
      <c r="AC886" s="17">
        <f t="shared" si="412"/>
        <v>4.1111111111111107</v>
      </c>
      <c r="AD886" s="18">
        <f t="shared" si="413"/>
        <v>0.7567567567567568</v>
      </c>
      <c r="AE886">
        <v>28</v>
      </c>
      <c r="AF886" s="17">
        <f t="shared" si="414"/>
        <v>3.1111111111111112</v>
      </c>
      <c r="AG886">
        <v>1</v>
      </c>
      <c r="AH886" s="17">
        <f t="shared" si="415"/>
        <v>0.1111111111111111</v>
      </c>
      <c r="AI886">
        <v>27</v>
      </c>
      <c r="AJ886" s="17">
        <f t="shared" si="416"/>
        <v>3</v>
      </c>
      <c r="AK886">
        <v>58</v>
      </c>
      <c r="AL886" s="17">
        <f t="shared" si="417"/>
        <v>6.4444444444444446</v>
      </c>
      <c r="AM886">
        <v>10</v>
      </c>
      <c r="AN886" s="17">
        <f t="shared" si="418"/>
        <v>1.1111111111111112</v>
      </c>
      <c r="AO886">
        <v>1</v>
      </c>
      <c r="AQ886">
        <v>31</v>
      </c>
      <c r="AR886" s="17">
        <f t="shared" si="419"/>
        <v>3.4444444444444446</v>
      </c>
      <c r="AS886">
        <v>25</v>
      </c>
      <c r="AT886" s="17">
        <f t="shared" si="420"/>
        <v>2.7777777777777777</v>
      </c>
      <c r="BD886" s="65">
        <f t="shared" si="421"/>
        <v>56.734992679355777</v>
      </c>
      <c r="BE886" s="65">
        <f t="shared" si="422"/>
        <v>51.612903225806448</v>
      </c>
      <c r="BF886" s="66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22.874312490589976</v>
      </c>
      <c r="BG886" s="38">
        <f t="shared" si="423"/>
        <v>0.45161290322580644</v>
      </c>
      <c r="BH886" s="38">
        <f t="shared" si="424"/>
        <v>0.39784946236559138</v>
      </c>
      <c r="BI886" s="67">
        <f>IFERROR(((AG886*(12000/5))/((F886*60+G886)*(SUMIFS(팀공격력!X:X,팀공격력!A:A,B886,팀공격력!B:B,D886)+SUMIFS(팀수비력!X:X,팀수비력!A:A,B886,팀수비력!B:B,D886))))*100,"")</f>
        <v>0.19668229744591648</v>
      </c>
      <c r="BJ886" s="67">
        <f>IFERROR(((AI886*(12000/5))/((F886*60+G886)*(SUMIFS(팀공격력!V:V,팀공격력!A:A,B886,팀공격력!B:B,D886)+SUMIFS(팀수비력!W:W,팀수비력!A:A,B886,팀수비력!B:B,D886))))*100,"")</f>
        <v>11.265059193713819</v>
      </c>
      <c r="BK886" s="67">
        <f>IFERROR(((AE886*(12000/5))/((F886*60+G886)*(SUMIFS(팀공격력!X:X,팀공격력!A:A,B886,팀공격력!B:B,D886)+SUMIFS(팀수비력!X:X,팀수비력!A:A,B886,팀수비력!B:B,D886))))*100,"")</f>
        <v>5.5071043284856609</v>
      </c>
      <c r="BL886" s="67">
        <f>IFERROR(100*AK886/(((((F886*60+G886)/(12000/5))*SUMIFS(팀공격력!P:P,팀공격력!A:A,B886,팀공격력!B:B,D886))-K886)),"")</f>
        <v>32.722605396408973</v>
      </c>
      <c r="BM886" s="67">
        <f>IFERROR(100*((AM886/E886*(2400))/((F886*60+G886)*SUMIFS(팀공격력!AR:AR,팀공격력!A:A,B886,팀공격력!B:B,D886))),"")</f>
        <v>1.8931139520094349</v>
      </c>
      <c r="BN886" s="67">
        <f>IFERROR((AO886*40)/(((F886*60+G886)/60)*(SUMIFS(팀수비력!Q:Q,팀수비력!A:A,B886,팀수비력!B:B,D886)-SUMIFS(팀수비력!N:N,팀수비력!A:A,B886,팀수비력!B:B,D886)))*100,"")</f>
        <v>0.3205376484823878</v>
      </c>
      <c r="BO886" s="67">
        <f t="shared" si="425"/>
        <v>22.098659823210721</v>
      </c>
      <c r="BT886" t="s">
        <v>89</v>
      </c>
      <c r="BV886" t="s">
        <v>90</v>
      </c>
      <c r="CF886">
        <v>5</v>
      </c>
      <c r="CG886">
        <v>4</v>
      </c>
    </row>
    <row r="887" spans="1:85" x14ac:dyDescent="0.4">
      <c r="A887" s="11" t="s">
        <v>85</v>
      </c>
      <c r="B887" t="s">
        <v>183</v>
      </c>
      <c r="C887" t="s">
        <v>199</v>
      </c>
      <c r="D887" s="46" t="s">
        <v>312</v>
      </c>
      <c r="E887">
        <v>3</v>
      </c>
      <c r="F887">
        <v>4</v>
      </c>
      <c r="G887" s="1">
        <v>38</v>
      </c>
      <c r="H887" s="16">
        <f t="shared" si="400"/>
        <v>834</v>
      </c>
      <c r="I887">
        <v>3</v>
      </c>
      <c r="J887" s="17">
        <f t="shared" si="401"/>
        <v>1</v>
      </c>
      <c r="K887">
        <v>0</v>
      </c>
      <c r="L887">
        <v>0</v>
      </c>
      <c r="M887" s="17">
        <f t="shared" si="402"/>
        <v>0</v>
      </c>
      <c r="N887" s="17">
        <f t="shared" si="403"/>
        <v>0</v>
      </c>
      <c r="O887" s="18" t="e">
        <f t="shared" si="404"/>
        <v>#DIV/0!</v>
      </c>
      <c r="P887">
        <v>0</v>
      </c>
      <c r="Q887">
        <v>0</v>
      </c>
      <c r="R887" s="17">
        <f t="shared" si="405"/>
        <v>0</v>
      </c>
      <c r="S887" s="17">
        <f t="shared" si="406"/>
        <v>0</v>
      </c>
      <c r="T887" s="18" t="e">
        <f t="shared" si="407"/>
        <v>#DIV/0!</v>
      </c>
      <c r="U887">
        <v>0</v>
      </c>
      <c r="V887">
        <v>0</v>
      </c>
      <c r="W887" s="17">
        <f t="shared" si="408"/>
        <v>0</v>
      </c>
      <c r="X887" s="17">
        <f t="shared" si="409"/>
        <v>0</v>
      </c>
      <c r="Y887" s="18" t="e">
        <f t="shared" si="410"/>
        <v>#DIV/0!</v>
      </c>
      <c r="Z887">
        <v>3</v>
      </c>
      <c r="AA887">
        <v>4</v>
      </c>
      <c r="AB887" s="17">
        <f t="shared" si="411"/>
        <v>1</v>
      </c>
      <c r="AC887" s="17">
        <f t="shared" si="412"/>
        <v>1.3333333333333333</v>
      </c>
      <c r="AD887" s="18">
        <f t="shared" si="413"/>
        <v>0.75</v>
      </c>
      <c r="AE887">
        <v>3</v>
      </c>
      <c r="AF887" s="17">
        <f t="shared" si="414"/>
        <v>1</v>
      </c>
      <c r="AG887">
        <v>1</v>
      </c>
      <c r="AH887" s="17">
        <f t="shared" si="415"/>
        <v>0.33333333333333331</v>
      </c>
      <c r="AI887">
        <v>2</v>
      </c>
      <c r="AJ887" s="17">
        <f t="shared" si="416"/>
        <v>0.66666666666666663</v>
      </c>
      <c r="AK887">
        <v>0</v>
      </c>
      <c r="AL887" s="17">
        <f t="shared" si="417"/>
        <v>0</v>
      </c>
      <c r="AM887">
        <v>0</v>
      </c>
      <c r="AN887" s="17">
        <f t="shared" si="418"/>
        <v>0</v>
      </c>
      <c r="AO887">
        <v>0</v>
      </c>
      <c r="AQ887">
        <v>2</v>
      </c>
      <c r="AR887" s="17">
        <f t="shared" si="419"/>
        <v>0.66666666666666663</v>
      </c>
      <c r="AS887">
        <v>2</v>
      </c>
      <c r="AT887" s="17">
        <f t="shared" si="420"/>
        <v>0.66666666666666663</v>
      </c>
      <c r="BD887" s="65">
        <f t="shared" si="421"/>
        <v>85.227272727272734</v>
      </c>
      <c r="BE887" s="65" t="str">
        <f t="shared" si="422"/>
        <v/>
      </c>
      <c r="BF887" s="66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4.1594607450892189</v>
      </c>
      <c r="BG887" s="38" t="str">
        <f t="shared" si="423"/>
        <v/>
      </c>
      <c r="BH887" s="38" t="str">
        <f t="shared" si="424"/>
        <v/>
      </c>
      <c r="BI887" s="67">
        <f>IFERROR(((AG887*(12000/5))/((F887*60+G887)*(SUMIFS(팀공격력!X:X,팀공격력!A:A,B887,팀공격력!B:B,D887)+SUMIFS(팀수비력!X:X,팀수비력!A:A,B887,팀수비력!B:B,D887))))*100,"")</f>
        <v>1.3343266654064692</v>
      </c>
      <c r="BJ887" s="67">
        <f>IFERROR(((AI887*(12000/5))/((F887*60+G887)*(SUMIFS(팀공격력!V:V,팀공격력!A:A,B887,팀공격력!B:B,D887)+SUMIFS(팀수비력!W:W,팀수비력!A:A,B887,팀수비력!B:B,D887))))*100,"")</f>
        <v>5.6610449345441687</v>
      </c>
      <c r="BK887" s="67">
        <f>IFERROR(((AE887*(12000/5))/((F887*60+G887)*(SUMIFS(팀공격력!X:X,팀공격력!A:A,B887,팀공격력!B:B,D887)+SUMIFS(팀수비력!X:X,팀수비력!A:A,B887,팀수비력!B:B,D887))))*100,"")</f>
        <v>4.0029799962194081</v>
      </c>
      <c r="BL887" s="67">
        <f>IFERROR(100*AK887/(((((F887*60+G887)/(12000/5))*SUMIFS(팀공격력!P:P,팀공격력!A:A,B887,팀공격력!B:B,D887))-K887)),"")</f>
        <v>0</v>
      </c>
      <c r="BM887" s="67">
        <f>IFERROR(100*((AM887/E887*(2400))/((F887*60+G887)*SUMIFS(팀공격력!AR:AR,팀공격력!A:A,B887,팀공격력!B:B,D887))),"")</f>
        <v>0</v>
      </c>
      <c r="BN887" s="67">
        <f>IFERROR((AO887*40)/(((F887*60+G887)/60)*(SUMIFS(팀수비력!Q:Q,팀수비력!A:A,B887,팀수비력!B:B,D887)-SUMIFS(팀수비력!N:N,팀수비력!A:A,B887,팀수비력!B:B,D887)))*100,"")</f>
        <v>0</v>
      </c>
      <c r="BO887" s="67">
        <f t="shared" si="425"/>
        <v>53.191489361702132</v>
      </c>
      <c r="BT887" t="s">
        <v>89</v>
      </c>
      <c r="BV887" t="s">
        <v>90</v>
      </c>
      <c r="CF887">
        <v>2</v>
      </c>
      <c r="CG887">
        <v>1</v>
      </c>
    </row>
    <row r="888" spans="1:85" x14ac:dyDescent="0.4">
      <c r="A888" s="11" t="s">
        <v>85</v>
      </c>
      <c r="B888" t="s">
        <v>183</v>
      </c>
      <c r="C888" t="s">
        <v>200</v>
      </c>
      <c r="D888" s="46" t="s">
        <v>312</v>
      </c>
      <c r="E888">
        <v>9</v>
      </c>
      <c r="F888">
        <v>18</v>
      </c>
      <c r="G888" s="1">
        <v>5</v>
      </c>
      <c r="H888" s="16">
        <f t="shared" si="400"/>
        <v>9765</v>
      </c>
      <c r="I888">
        <v>46</v>
      </c>
      <c r="J888" s="17">
        <f t="shared" si="401"/>
        <v>5.1111111111111107</v>
      </c>
      <c r="K888">
        <v>15</v>
      </c>
      <c r="L888">
        <v>37</v>
      </c>
      <c r="M888" s="17">
        <f t="shared" si="402"/>
        <v>1.6666666666666667</v>
      </c>
      <c r="N888" s="17">
        <f t="shared" si="403"/>
        <v>4.1111111111111107</v>
      </c>
      <c r="O888" s="18">
        <f t="shared" si="404"/>
        <v>0.40540540540540543</v>
      </c>
      <c r="P888">
        <v>13</v>
      </c>
      <c r="Q888">
        <v>27</v>
      </c>
      <c r="R888" s="17">
        <f t="shared" si="405"/>
        <v>1.4444444444444444</v>
      </c>
      <c r="S888" s="17">
        <f t="shared" si="406"/>
        <v>3</v>
      </c>
      <c r="T888" s="18">
        <f t="shared" si="407"/>
        <v>0.48148148148148145</v>
      </c>
      <c r="U888">
        <v>2</v>
      </c>
      <c r="V888">
        <v>10</v>
      </c>
      <c r="W888" s="17">
        <f t="shared" si="408"/>
        <v>0.22222222222222221</v>
      </c>
      <c r="X888" s="17">
        <f t="shared" si="409"/>
        <v>1.1111111111111112</v>
      </c>
      <c r="Y888" s="18">
        <f t="shared" si="410"/>
        <v>0.2</v>
      </c>
      <c r="Z888">
        <v>14</v>
      </c>
      <c r="AA888">
        <v>20</v>
      </c>
      <c r="AB888" s="17">
        <f t="shared" si="411"/>
        <v>1.5555555555555556</v>
      </c>
      <c r="AC888" s="17">
        <f t="shared" si="412"/>
        <v>2.2222222222222223</v>
      </c>
      <c r="AD888" s="18">
        <f t="shared" si="413"/>
        <v>0.7</v>
      </c>
      <c r="AE888">
        <v>29</v>
      </c>
      <c r="AF888" s="17">
        <f t="shared" si="414"/>
        <v>3.2222222222222223</v>
      </c>
      <c r="AG888">
        <v>12</v>
      </c>
      <c r="AH888" s="17">
        <f t="shared" si="415"/>
        <v>1.3333333333333333</v>
      </c>
      <c r="AI888">
        <v>17</v>
      </c>
      <c r="AJ888" s="17">
        <f t="shared" si="416"/>
        <v>1.8888888888888888</v>
      </c>
      <c r="AK888">
        <v>7</v>
      </c>
      <c r="AL888" s="17">
        <f t="shared" si="417"/>
        <v>0.77777777777777779</v>
      </c>
      <c r="AM888">
        <v>2</v>
      </c>
      <c r="AN888" s="17">
        <f t="shared" si="418"/>
        <v>0.22222222222222221</v>
      </c>
      <c r="AO888">
        <v>0</v>
      </c>
      <c r="AQ888">
        <v>6</v>
      </c>
      <c r="AR888" s="17">
        <f t="shared" si="419"/>
        <v>0.66666666666666663</v>
      </c>
      <c r="AS888">
        <v>25</v>
      </c>
      <c r="AT888" s="17">
        <f t="shared" si="420"/>
        <v>2.7777777777777777</v>
      </c>
      <c r="BD888" s="65">
        <f t="shared" si="421"/>
        <v>50.218340611353717</v>
      </c>
      <c r="BE888" s="65">
        <f t="shared" si="422"/>
        <v>43.243243243243242</v>
      </c>
      <c r="BF888" s="66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14.682296919693789</v>
      </c>
      <c r="BG888" s="38">
        <f t="shared" si="423"/>
        <v>0.27027027027027029</v>
      </c>
      <c r="BH888" s="38">
        <f t="shared" si="424"/>
        <v>0.54054054054054057</v>
      </c>
      <c r="BI888" s="67">
        <f>IFERROR(((AG888*(12000/5))/((F888*60+G888)*(SUMIFS(팀공격력!X:X,팀공격력!A:A,B888,팀공격력!B:B,D888)+SUMIFS(팀수비력!X:X,팀수비력!A:A,B888,팀수비력!B:B,D888))))*100,"")</f>
        <v>4.1025933233142684</v>
      </c>
      <c r="BJ888" s="67">
        <f>IFERROR(((AI888*(12000/5))/((F888*60+G888)*(SUMIFS(팀공격력!V:V,팀공격력!A:A,B888,팀공격력!B:B,D888)+SUMIFS(팀수비력!W:W,팀수비력!A:A,B888,팀수비력!B:B,D888))))*100,"")</f>
        <v>12.329077585555639</v>
      </c>
      <c r="BK888" s="67">
        <f>IFERROR(((AE888*(12000/5))/((F888*60+G888)*(SUMIFS(팀공격력!X:X,팀공격력!A:A,B888,팀공격력!B:B,D888)+SUMIFS(팀수비력!X:X,팀수비력!A:A,B888,팀수비력!B:B,D888))))*100,"")</f>
        <v>9.9146005313428152</v>
      </c>
      <c r="BL888" s="67">
        <f>IFERROR(100*AK888/(((((F888*60+G888)/(12000/5))*SUMIFS(팀공격력!P:P,팀공격력!A:A,B888,팀공격력!B:B,D888))-K888)),"")</f>
        <v>6.2988583319273381</v>
      </c>
      <c r="BM888" s="67">
        <f>IFERROR(100*((AM888/E888*(2400))/((F888*60+G888)*SUMIFS(팀공격력!AR:AR,팀공격력!A:A,B888,팀공격력!B:B,D888))),"")</f>
        <v>0.65814062921470851</v>
      </c>
      <c r="BN888" s="67">
        <f>IFERROR((AO888*40)/(((F888*60+G888)/60)*(SUMIFS(팀수비력!Q:Q,팀수비력!A:A,B888,팀수비력!B:B,D888)-SUMIFS(팀수비력!N:N,팀수비력!A:A,B888,팀수비력!B:B,D888)))*100,"")</f>
        <v>0</v>
      </c>
      <c r="BO888" s="67">
        <f t="shared" si="425"/>
        <v>11.583011583011583</v>
      </c>
      <c r="BT888" t="s">
        <v>89</v>
      </c>
      <c r="BV888" t="s">
        <v>93</v>
      </c>
      <c r="CF888">
        <v>5</v>
      </c>
      <c r="CG888">
        <v>4</v>
      </c>
    </row>
    <row r="889" spans="1:85" x14ac:dyDescent="0.4">
      <c r="A889" s="11" t="s">
        <v>85</v>
      </c>
      <c r="B889" t="s">
        <v>183</v>
      </c>
      <c r="C889" t="s">
        <v>285</v>
      </c>
      <c r="D889" s="46" t="s">
        <v>312</v>
      </c>
      <c r="E889">
        <v>7</v>
      </c>
      <c r="F889">
        <v>13</v>
      </c>
      <c r="G889" s="1">
        <v>57</v>
      </c>
      <c r="H889" s="16">
        <f t="shared" si="400"/>
        <v>5859</v>
      </c>
      <c r="I889">
        <v>23</v>
      </c>
      <c r="J889" s="17">
        <f t="shared" si="401"/>
        <v>3.2857142857142856</v>
      </c>
      <c r="K889">
        <v>9</v>
      </c>
      <c r="L889">
        <v>17</v>
      </c>
      <c r="M889" s="17">
        <f t="shared" si="402"/>
        <v>1.2857142857142858</v>
      </c>
      <c r="N889" s="17">
        <f t="shared" si="403"/>
        <v>2.4285714285714284</v>
      </c>
      <c r="O889" s="18">
        <f t="shared" si="404"/>
        <v>0.52941176470588236</v>
      </c>
      <c r="P889">
        <v>6</v>
      </c>
      <c r="Q889">
        <v>9</v>
      </c>
      <c r="R889" s="17">
        <f t="shared" si="405"/>
        <v>0.8571428571428571</v>
      </c>
      <c r="S889" s="17">
        <f t="shared" si="406"/>
        <v>1.2857142857142858</v>
      </c>
      <c r="T889" s="18">
        <f t="shared" si="407"/>
        <v>0.66666666666666663</v>
      </c>
      <c r="U889">
        <v>3</v>
      </c>
      <c r="V889">
        <v>8</v>
      </c>
      <c r="W889" s="17">
        <f t="shared" si="408"/>
        <v>0.42857142857142855</v>
      </c>
      <c r="X889" s="17">
        <f t="shared" si="409"/>
        <v>1.1428571428571428</v>
      </c>
      <c r="Y889" s="18">
        <f t="shared" si="410"/>
        <v>0.375</v>
      </c>
      <c r="Z889">
        <v>2</v>
      </c>
      <c r="AA889">
        <v>6</v>
      </c>
      <c r="AB889" s="17">
        <f t="shared" si="411"/>
        <v>0.2857142857142857</v>
      </c>
      <c r="AC889" s="17">
        <f t="shared" si="412"/>
        <v>0.8571428571428571</v>
      </c>
      <c r="AD889" s="18">
        <f t="shared" si="413"/>
        <v>0.33333333333333331</v>
      </c>
      <c r="AE889">
        <v>19</v>
      </c>
      <c r="AF889" s="17">
        <f t="shared" si="414"/>
        <v>2.7142857142857144</v>
      </c>
      <c r="AG889">
        <v>6</v>
      </c>
      <c r="AH889" s="17">
        <f t="shared" si="415"/>
        <v>0.8571428571428571</v>
      </c>
      <c r="AI889">
        <v>13</v>
      </c>
      <c r="AJ889" s="17">
        <f t="shared" si="416"/>
        <v>1.8571428571428572</v>
      </c>
      <c r="AK889">
        <v>9</v>
      </c>
      <c r="AL889" s="17">
        <f t="shared" si="417"/>
        <v>1.2857142857142858</v>
      </c>
      <c r="AM889">
        <v>7</v>
      </c>
      <c r="AN889" s="17">
        <f t="shared" si="418"/>
        <v>1</v>
      </c>
      <c r="AO889">
        <v>2</v>
      </c>
      <c r="AQ889">
        <v>4</v>
      </c>
      <c r="AR889" s="17">
        <f t="shared" si="419"/>
        <v>0.5714285714285714</v>
      </c>
      <c r="AS889">
        <v>18</v>
      </c>
      <c r="AT889" s="17">
        <f t="shared" si="420"/>
        <v>2.5714285714285716</v>
      </c>
      <c r="BD889" s="65">
        <f t="shared" si="421"/>
        <v>58.553971486761711</v>
      </c>
      <c r="BE889" s="65">
        <f t="shared" si="422"/>
        <v>61.764705882352942</v>
      </c>
      <c r="BF889" s="66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8.6859234029419721</v>
      </c>
      <c r="BG889" s="38">
        <f t="shared" si="423"/>
        <v>0.47058823529411764</v>
      </c>
      <c r="BH889" s="38">
        <f t="shared" si="424"/>
        <v>0.35294117647058826</v>
      </c>
      <c r="BI889" s="67">
        <f>IFERROR(((AG889*(12000/5))/((F889*60+G889)*(SUMIFS(팀공격력!X:X,팀공격력!A:A,B889,팀공격력!B:B,D889)+SUMIFS(팀수비력!X:X,팀수비력!A:A,B889,팀수비력!B:B,D889))))*100,"")</f>
        <v>2.6590882651111003</v>
      </c>
      <c r="BJ889" s="67">
        <f>IFERROR(((AI889*(12000/5))/((F889*60+G889)*(SUMIFS(팀공격력!V:V,팀공격력!A:A,B889,팀공격력!B:B,D889)+SUMIFS(팀수비력!W:W,팀수비력!A:A,B889,팀수비력!B:B,D889))))*100,"")</f>
        <v>12.221634643633585</v>
      </c>
      <c r="BK889" s="67">
        <f>IFERROR(((AE889*(12000/5))/((F889*60+G889)*(SUMIFS(팀공격력!X:X,팀공격력!A:A,B889,팀공격력!B:B,D889)+SUMIFS(팀수비력!X:X,팀수비력!A:A,B889,팀수비력!B:B,D889))))*100,"")</f>
        <v>8.4204461728518165</v>
      </c>
      <c r="BL889" s="67">
        <f>IFERROR(100*AK889/(((((F889*60+G889)/(12000/5))*SUMIFS(팀공격력!P:P,팀공격력!A:A,B889,팀공격력!B:B,D889))-K889)),"")</f>
        <v>10.192381195056695</v>
      </c>
      <c r="BM889" s="67">
        <f>IFERROR(100*((AM889/E889*(2400))/((F889*60+G889)*SUMIFS(팀공격력!AR:AR,팀공격력!A:A,B889,팀공격력!B:B,D889))),"")</f>
        <v>3.8391536704191336</v>
      </c>
      <c r="BN889" s="67">
        <f>IFERROR((AO889*40)/(((F889*60+G889)/60)*(SUMIFS(팀수비력!Q:Q,팀수비력!A:A,B889,팀수비력!B:B,D889)-SUMIFS(팀수비력!N:N,팀수비력!A:A,B889,팀수비력!B:B,D889)))*100,"")</f>
        <v>1.4445256990150142</v>
      </c>
      <c r="BO889" s="67">
        <f t="shared" si="425"/>
        <v>16.920473773265652</v>
      </c>
      <c r="BT889" t="s">
        <v>89</v>
      </c>
      <c r="BV889" t="s">
        <v>93</v>
      </c>
      <c r="CF889">
        <v>4</v>
      </c>
      <c r="CG889">
        <v>3</v>
      </c>
    </row>
    <row r="890" spans="1:85" x14ac:dyDescent="0.4">
      <c r="A890" s="11" t="s">
        <v>85</v>
      </c>
      <c r="B890" t="s">
        <v>183</v>
      </c>
      <c r="C890" t="s">
        <v>202</v>
      </c>
      <c r="D890" s="46" t="s">
        <v>312</v>
      </c>
      <c r="E890">
        <v>9</v>
      </c>
      <c r="F890">
        <v>32</v>
      </c>
      <c r="G890" s="1">
        <v>30</v>
      </c>
      <c r="H890" s="16">
        <f t="shared" si="400"/>
        <v>17550</v>
      </c>
      <c r="I890">
        <v>238</v>
      </c>
      <c r="J890" s="17">
        <f t="shared" si="401"/>
        <v>26.444444444444443</v>
      </c>
      <c r="K890">
        <v>96</v>
      </c>
      <c r="L890">
        <v>166</v>
      </c>
      <c r="M890" s="17">
        <f t="shared" si="402"/>
        <v>10.666666666666666</v>
      </c>
      <c r="N890" s="17">
        <f t="shared" si="403"/>
        <v>18.444444444444443</v>
      </c>
      <c r="O890" s="18">
        <f t="shared" si="404"/>
        <v>0.57831325301204817</v>
      </c>
      <c r="P890">
        <v>96</v>
      </c>
      <c r="Q890">
        <v>166</v>
      </c>
      <c r="R890" s="17">
        <f t="shared" si="405"/>
        <v>10.666666666666666</v>
      </c>
      <c r="S890" s="17">
        <f t="shared" si="406"/>
        <v>18.444444444444443</v>
      </c>
      <c r="T890" s="18">
        <f t="shared" si="407"/>
        <v>0.57831325301204817</v>
      </c>
      <c r="U890">
        <v>0</v>
      </c>
      <c r="V890">
        <v>0</v>
      </c>
      <c r="W890" s="17">
        <f t="shared" si="408"/>
        <v>0</v>
      </c>
      <c r="X890" s="17">
        <f t="shared" si="409"/>
        <v>0</v>
      </c>
      <c r="Y890" s="18" t="e">
        <f t="shared" si="410"/>
        <v>#DIV/0!</v>
      </c>
      <c r="Z890">
        <v>46</v>
      </c>
      <c r="AA890">
        <v>73</v>
      </c>
      <c r="AB890" s="17">
        <f t="shared" si="411"/>
        <v>5.1111111111111107</v>
      </c>
      <c r="AC890" s="17">
        <f t="shared" si="412"/>
        <v>8.1111111111111107</v>
      </c>
      <c r="AD890" s="18">
        <f t="shared" si="413"/>
        <v>0.63013698630136983</v>
      </c>
      <c r="AE890">
        <v>115</v>
      </c>
      <c r="AF890" s="17">
        <f t="shared" si="414"/>
        <v>12.777777777777779</v>
      </c>
      <c r="AG890">
        <v>49</v>
      </c>
      <c r="AH890" s="17">
        <f t="shared" si="415"/>
        <v>5.4444444444444446</v>
      </c>
      <c r="AI890">
        <v>66</v>
      </c>
      <c r="AJ890" s="17">
        <f t="shared" si="416"/>
        <v>7.333333333333333</v>
      </c>
      <c r="AK890">
        <v>25</v>
      </c>
      <c r="AL890" s="17">
        <f t="shared" si="417"/>
        <v>2.7777777777777777</v>
      </c>
      <c r="AM890">
        <v>1</v>
      </c>
      <c r="AN890" s="17">
        <f t="shared" si="418"/>
        <v>0.1111111111111111</v>
      </c>
      <c r="AO890">
        <v>6</v>
      </c>
      <c r="AQ890">
        <v>22</v>
      </c>
      <c r="AR890" s="17">
        <f t="shared" si="419"/>
        <v>2.4444444444444446</v>
      </c>
      <c r="AS890">
        <v>22</v>
      </c>
      <c r="AT890" s="17">
        <f t="shared" si="420"/>
        <v>2.4444444444444446</v>
      </c>
      <c r="BD890" s="65">
        <f t="shared" si="421"/>
        <v>60.064607308701802</v>
      </c>
      <c r="BE890" s="65">
        <f t="shared" si="422"/>
        <v>57.831325301204814</v>
      </c>
      <c r="BF890" s="66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34.715136222055747</v>
      </c>
      <c r="BG890" s="38">
        <f t="shared" si="423"/>
        <v>0</v>
      </c>
      <c r="BH890" s="38">
        <f t="shared" si="424"/>
        <v>0.43975903614457829</v>
      </c>
      <c r="BI890" s="67">
        <f>IFERROR(((AG890*(12000/5))/((F890*60+G890)*(SUMIFS(팀공격력!X:X,팀공격력!A:A,B890,팀공격력!B:B,D890)+SUMIFS(팀수비력!X:X,팀수비력!A:A,B890,팀수비력!B:B,D890))))*100,"")</f>
        <v>9.3211270954702172</v>
      </c>
      <c r="BJ890" s="67">
        <f>IFERROR(((AI890*(12000/5))/((F890*60+G890)*(SUMIFS(팀공격력!V:V,팀공격력!A:A,B890,팀공격력!B:B,D890)+SUMIFS(팀수비력!W:W,팀수비력!A:A,B890,팀수비력!B:B,D890))))*100,"")</f>
        <v>26.633039092055487</v>
      </c>
      <c r="BK890" s="67">
        <f>IFERROR(((AE890*(12000/5))/((F890*60+G890)*(SUMIFS(팀공격력!X:X,팀공격력!A:A,B890,팀공격력!B:B,D890)+SUMIFS(팀수비력!X:X,팀수비력!A:A,B890,팀수비력!B:B,D890))))*100,"")</f>
        <v>21.876114611817858</v>
      </c>
      <c r="BL890" s="67">
        <f>IFERROR(100*AK890/(((((F890*60+G890)/(12000/5))*SUMIFS(팀공격력!P:P,팀공격력!A:A,B890,팀공격력!B:B,D890))-K890)),"")</f>
        <v>19.129603060736489</v>
      </c>
      <c r="BM890" s="67">
        <f>IFERROR(100*((AM890/E890*(2400))/((F890*60+G890)*SUMIFS(팀공격력!AR:AR,팀공격력!A:A,B890,팀공격력!B:B,D890))),"")</f>
        <v>0.18309809812768174</v>
      </c>
      <c r="BN890" s="67">
        <f>IFERROR((AO890*40)/(((F890*60+G890)/60)*(SUMIFS(팀수비력!Q:Q,팀수비력!A:A,B890,팀수비력!B:B,D890)-SUMIFS(팀수비력!N:N,팀수비력!A:A,B890,팀수비력!B:B,D890)))*100,"")</f>
        <v>1.8601046308854872</v>
      </c>
      <c r="BO890" s="67">
        <f t="shared" si="425"/>
        <v>9.9945484281301109</v>
      </c>
      <c r="BT890" t="s">
        <v>96</v>
      </c>
      <c r="BV890" t="s">
        <v>102</v>
      </c>
      <c r="CF890">
        <v>5</v>
      </c>
      <c r="CG890">
        <v>4</v>
      </c>
    </row>
    <row r="891" spans="1:85" x14ac:dyDescent="0.4">
      <c r="A891" s="11" t="s">
        <v>85</v>
      </c>
      <c r="B891" t="s">
        <v>183</v>
      </c>
      <c r="C891" t="s">
        <v>87</v>
      </c>
      <c r="D891" s="46" t="s">
        <v>312</v>
      </c>
      <c r="E891">
        <v>9</v>
      </c>
      <c r="F891">
        <v>26</v>
      </c>
      <c r="G891" s="1">
        <v>34</v>
      </c>
      <c r="H891" s="16">
        <f t="shared" si="400"/>
        <v>14346</v>
      </c>
      <c r="I891">
        <v>64</v>
      </c>
      <c r="J891" s="17">
        <f t="shared" si="401"/>
        <v>7.1111111111111107</v>
      </c>
      <c r="K891">
        <v>22</v>
      </c>
      <c r="L891">
        <v>54</v>
      </c>
      <c r="M891" s="17">
        <f t="shared" si="402"/>
        <v>2.4444444444444446</v>
      </c>
      <c r="N891" s="17">
        <f t="shared" si="403"/>
        <v>6</v>
      </c>
      <c r="O891" s="18">
        <f t="shared" si="404"/>
        <v>0.40740740740740738</v>
      </c>
      <c r="P891">
        <v>10</v>
      </c>
      <c r="Q891">
        <v>20</v>
      </c>
      <c r="R891" s="17">
        <f t="shared" si="405"/>
        <v>1.1111111111111112</v>
      </c>
      <c r="S891" s="17">
        <f t="shared" si="406"/>
        <v>2.2222222222222223</v>
      </c>
      <c r="T891" s="18">
        <f t="shared" si="407"/>
        <v>0.5</v>
      </c>
      <c r="U891">
        <v>12</v>
      </c>
      <c r="V891">
        <v>34</v>
      </c>
      <c r="W891" s="17">
        <f t="shared" si="408"/>
        <v>1.3333333333333333</v>
      </c>
      <c r="X891" s="17">
        <f t="shared" si="409"/>
        <v>3.7777777777777777</v>
      </c>
      <c r="Y891" s="18">
        <f t="shared" si="410"/>
        <v>0.35294117647058826</v>
      </c>
      <c r="Z891">
        <v>8</v>
      </c>
      <c r="AA891">
        <v>9</v>
      </c>
      <c r="AB891" s="17">
        <f t="shared" si="411"/>
        <v>0.88888888888888884</v>
      </c>
      <c r="AC891" s="17">
        <f t="shared" si="412"/>
        <v>1</v>
      </c>
      <c r="AD891" s="18">
        <f t="shared" si="413"/>
        <v>0.88888888888888884</v>
      </c>
      <c r="AE891">
        <v>15</v>
      </c>
      <c r="AF891" s="17">
        <f t="shared" si="414"/>
        <v>1.6666666666666667</v>
      </c>
      <c r="AG891">
        <v>1</v>
      </c>
      <c r="AH891" s="17">
        <f t="shared" si="415"/>
        <v>0.1111111111111111</v>
      </c>
      <c r="AI891">
        <v>14</v>
      </c>
      <c r="AJ891" s="17">
        <f t="shared" si="416"/>
        <v>1.5555555555555556</v>
      </c>
      <c r="AK891">
        <v>23</v>
      </c>
      <c r="AL891" s="17">
        <f t="shared" si="417"/>
        <v>2.5555555555555554</v>
      </c>
      <c r="AM891">
        <v>6</v>
      </c>
      <c r="AN891" s="17">
        <f t="shared" si="418"/>
        <v>0.66666666666666663</v>
      </c>
      <c r="AO891">
        <v>1</v>
      </c>
      <c r="AQ891">
        <v>13</v>
      </c>
      <c r="AR891" s="17">
        <f t="shared" si="419"/>
        <v>1.4444444444444444</v>
      </c>
      <c r="AS891">
        <v>24</v>
      </c>
      <c r="AT891" s="17">
        <f t="shared" si="420"/>
        <v>2.6666666666666665</v>
      </c>
      <c r="BD891" s="65">
        <f t="shared" si="421"/>
        <v>55.21048999309869</v>
      </c>
      <c r="BE891" s="65">
        <f t="shared" si="422"/>
        <v>51.851851851851848</v>
      </c>
      <c r="BF891" s="66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13.690498775842526</v>
      </c>
      <c r="BG891" s="38">
        <f t="shared" si="423"/>
        <v>0.62962962962962965</v>
      </c>
      <c r="BH891" s="38">
        <f t="shared" si="424"/>
        <v>0.16666666666666666</v>
      </c>
      <c r="BI891" s="67">
        <f>IFERROR(((AG891*(12000/5))/((F891*60+G891)*(SUMIFS(팀공격력!X:X,팀공격력!A:A,B891,팀공격력!B:B,D891)+SUMIFS(팀수비력!X:X,팀수비력!A:A,B891,팀수비력!B:B,D891))))*100,"")</f>
        <v>0.23271192784378825</v>
      </c>
      <c r="BJ891" s="67">
        <f>IFERROR(((AI891*(12000/5))/((F891*60+G891)*(SUMIFS(팀공격력!V:V,팀공격력!A:A,B891,팀공격력!B:B,D891)+SUMIFS(팀수비력!W:W,팀수비력!A:A,B891,팀수비력!B:B,D891))))*100,"")</f>
        <v>6.9111627619968319</v>
      </c>
      <c r="BK891" s="67">
        <f>IFERROR(((AE891*(12000/5))/((F891*60+G891)*(SUMIFS(팀공격력!X:X,팀공격력!A:A,B891,팀공격력!B:B,D891)+SUMIFS(팀수비력!X:X,팀수비력!A:A,B891,팀수비력!B:B,D891))))*100,"")</f>
        <v>3.4906789176568234</v>
      </c>
      <c r="BL891" s="67">
        <f>IFERROR(100*AK891/(((((F891*60+G891)/(12000/5))*SUMIFS(팀공격력!P:P,팀공격력!A:A,B891,팀공격력!B:B,D891))-K891)),"")</f>
        <v>14.084291422360343</v>
      </c>
      <c r="BM891" s="67">
        <f>IFERROR(100*((AM891/E891*(2400))/((F891*60+G891)*SUMIFS(팀공격력!AR:AR,팀공격력!A:A,B891,팀공격력!B:B,D891))),"")</f>
        <v>1.3439446349396966</v>
      </c>
      <c r="BN891" s="67">
        <f>IFERROR((AO891*40)/(((F891*60+G891)/60)*(SUMIFS(팀수비력!Q:Q,팀수비력!A:A,B891,팀수비력!B:B,D891)-SUMIFS(팀수비력!N:N,팀수비력!A:A,B891,팀수비력!B:B,D891)))*100,"")</f>
        <v>0.37925596300990172</v>
      </c>
      <c r="BO891" s="67">
        <f t="shared" si="425"/>
        <v>18.32018038331454</v>
      </c>
      <c r="BT891" t="s">
        <v>89</v>
      </c>
      <c r="BV891" t="s">
        <v>90</v>
      </c>
      <c r="CF891">
        <v>5</v>
      </c>
      <c r="CG891">
        <v>4</v>
      </c>
    </row>
    <row r="892" spans="1:85" x14ac:dyDescent="0.4">
      <c r="A892" s="11" t="s">
        <v>85</v>
      </c>
      <c r="B892" t="s">
        <v>203</v>
      </c>
      <c r="C892" t="s">
        <v>205</v>
      </c>
      <c r="D892" s="46" t="s">
        <v>312</v>
      </c>
      <c r="E892">
        <v>8</v>
      </c>
      <c r="F892">
        <v>8</v>
      </c>
      <c r="G892" s="1">
        <v>16</v>
      </c>
      <c r="H892" s="16">
        <f t="shared" si="400"/>
        <v>3968</v>
      </c>
      <c r="I892">
        <v>28</v>
      </c>
      <c r="J892" s="17">
        <f t="shared" si="401"/>
        <v>3.5</v>
      </c>
      <c r="K892">
        <v>13</v>
      </c>
      <c r="L892">
        <v>21</v>
      </c>
      <c r="M892" s="17">
        <f t="shared" si="402"/>
        <v>1.625</v>
      </c>
      <c r="N892" s="17">
        <f t="shared" si="403"/>
        <v>2.625</v>
      </c>
      <c r="O892" s="18">
        <f t="shared" si="404"/>
        <v>0.61904761904761907</v>
      </c>
      <c r="P892">
        <v>13</v>
      </c>
      <c r="Q892">
        <v>21</v>
      </c>
      <c r="R892" s="17">
        <f t="shared" si="405"/>
        <v>1.625</v>
      </c>
      <c r="S892" s="17">
        <f t="shared" si="406"/>
        <v>2.625</v>
      </c>
      <c r="T892" s="18">
        <f t="shared" si="407"/>
        <v>0.61904761904761907</v>
      </c>
      <c r="U892">
        <v>0</v>
      </c>
      <c r="V892">
        <v>0</v>
      </c>
      <c r="W892" s="17">
        <f t="shared" si="408"/>
        <v>0</v>
      </c>
      <c r="X892" s="17">
        <f t="shared" si="409"/>
        <v>0</v>
      </c>
      <c r="Y892" s="18" t="e">
        <f t="shared" si="410"/>
        <v>#DIV/0!</v>
      </c>
      <c r="Z892">
        <v>2</v>
      </c>
      <c r="AA892">
        <v>8</v>
      </c>
      <c r="AB892" s="17">
        <f t="shared" si="411"/>
        <v>0.25</v>
      </c>
      <c r="AC892" s="17">
        <f t="shared" si="412"/>
        <v>1</v>
      </c>
      <c r="AD892" s="18">
        <f t="shared" si="413"/>
        <v>0.25</v>
      </c>
      <c r="AE892">
        <v>24</v>
      </c>
      <c r="AF892" s="17">
        <f t="shared" si="414"/>
        <v>3</v>
      </c>
      <c r="AG892">
        <v>8</v>
      </c>
      <c r="AH892" s="17">
        <f t="shared" si="415"/>
        <v>1</v>
      </c>
      <c r="AI892">
        <v>16</v>
      </c>
      <c r="AJ892" s="17">
        <f t="shared" si="416"/>
        <v>2</v>
      </c>
      <c r="AK892">
        <v>1</v>
      </c>
      <c r="AL892" s="17">
        <f t="shared" si="417"/>
        <v>0.125</v>
      </c>
      <c r="AM892">
        <v>4</v>
      </c>
      <c r="AN892" s="17">
        <f t="shared" si="418"/>
        <v>0.5</v>
      </c>
      <c r="AO892">
        <v>3</v>
      </c>
      <c r="AQ892">
        <v>6</v>
      </c>
      <c r="AR892" s="17">
        <f t="shared" si="419"/>
        <v>0.75</v>
      </c>
      <c r="AS892">
        <v>8</v>
      </c>
      <c r="AT892" s="17">
        <f t="shared" si="420"/>
        <v>1</v>
      </c>
      <c r="BD892" s="65">
        <f t="shared" si="421"/>
        <v>57.096247960848288</v>
      </c>
      <c r="BE892" s="65">
        <f t="shared" si="422"/>
        <v>61.904761904761905</v>
      </c>
      <c r="BF892" s="66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18.93494452698209</v>
      </c>
      <c r="BG892" s="38">
        <f t="shared" si="423"/>
        <v>0</v>
      </c>
      <c r="BH892" s="38">
        <f t="shared" si="424"/>
        <v>0.38095238095238093</v>
      </c>
      <c r="BI892" s="67">
        <f>IFERROR(((AG892*(12000/5))/((F892*60+G892)*(SUMIFS(팀공격력!X:X,팀공격력!A:A,B892,팀공격력!B:B,D892)+SUMIFS(팀수비력!X:X,팀수비력!A:A,B892,팀수비력!B:B,D892))))*100,"")</f>
        <v>6.1836545398330411</v>
      </c>
      <c r="BJ892" s="67">
        <f>IFERROR(((AI892*(12000/5))/((F892*60+G892)*(SUMIFS(팀공격력!V:V,팀공격력!A:A,B892,팀공격력!B:B,D892)+SUMIFS(팀수비력!W:W,팀수비력!A:A,B892,팀수비력!B:B,D892))))*100,"")</f>
        <v>27.453671928620455</v>
      </c>
      <c r="BK892" s="67">
        <f>IFERROR(((AE892*(12000/5))/((F892*60+G892)*(SUMIFS(팀공격력!X:X,팀공격력!A:A,B892,팀공격력!B:B,D892)+SUMIFS(팀수비력!X:X,팀수비력!A:A,B892,팀수비력!B:B,D892))))*100,"")</f>
        <v>18.550963619499125</v>
      </c>
      <c r="BL892" s="67">
        <f>IFERROR(100*AK892/(((((F892*60+G892)/(12000/5))*SUMIFS(팀공격력!P:P,팀공격력!A:A,B892,팀공격력!B:B,D892))-K892)),"")</f>
        <v>2.0322449532583664</v>
      </c>
      <c r="BM892" s="67">
        <f>IFERROR(100*((AM892/E892*(2400))/((F892*60+G892)*SUMIFS(팀공격력!AR:AR,팀공격력!A:A,B892,팀공격력!B:B,D892))),"")</f>
        <v>3.4591329536060975</v>
      </c>
      <c r="BN892" s="67">
        <f>IFERROR((AO892*40)/(((F892*60+G892)/60)*(SUMIFS(팀수비력!Q:Q,팀수비력!A:A,B892,팀수비력!B:B,D892)-SUMIFS(팀수비력!N:N,팀수비력!A:A,B892,팀수비력!B:B,D892)))*100,"")</f>
        <v>4.2075736325385682</v>
      </c>
      <c r="BO892" s="67">
        <f t="shared" si="425"/>
        <v>19.65923984272608</v>
      </c>
      <c r="BT892" t="s">
        <v>96</v>
      </c>
      <c r="BV892" t="s">
        <v>102</v>
      </c>
      <c r="CF892">
        <v>6</v>
      </c>
      <c r="CG892">
        <v>2</v>
      </c>
    </row>
    <row r="893" spans="1:85" x14ac:dyDescent="0.4">
      <c r="A893" s="11" t="s">
        <v>85</v>
      </c>
      <c r="B893" t="s">
        <v>203</v>
      </c>
      <c r="C893" t="s">
        <v>206</v>
      </c>
      <c r="D893" s="46" t="s">
        <v>312</v>
      </c>
      <c r="E893">
        <v>8</v>
      </c>
      <c r="F893">
        <v>22</v>
      </c>
      <c r="G893" s="1">
        <v>53</v>
      </c>
      <c r="H893" s="16">
        <f t="shared" si="400"/>
        <v>10984</v>
      </c>
      <c r="I893">
        <v>57</v>
      </c>
      <c r="J893" s="17">
        <f t="shared" si="401"/>
        <v>7.125</v>
      </c>
      <c r="K893">
        <v>20</v>
      </c>
      <c r="L893">
        <v>47</v>
      </c>
      <c r="M893" s="17">
        <f t="shared" si="402"/>
        <v>2.5</v>
      </c>
      <c r="N893" s="17">
        <f t="shared" si="403"/>
        <v>5.875</v>
      </c>
      <c r="O893" s="18">
        <f t="shared" si="404"/>
        <v>0.42553191489361702</v>
      </c>
      <c r="P893">
        <v>8</v>
      </c>
      <c r="Q893">
        <v>9</v>
      </c>
      <c r="R893" s="17">
        <f t="shared" si="405"/>
        <v>1</v>
      </c>
      <c r="S893" s="17">
        <f t="shared" si="406"/>
        <v>1.125</v>
      </c>
      <c r="T893" s="18">
        <f t="shared" si="407"/>
        <v>0.88888888888888884</v>
      </c>
      <c r="U893">
        <v>12</v>
      </c>
      <c r="V893">
        <v>38</v>
      </c>
      <c r="W893" s="17">
        <f t="shared" si="408"/>
        <v>1.5</v>
      </c>
      <c r="X893" s="17">
        <f t="shared" si="409"/>
        <v>4.75</v>
      </c>
      <c r="Y893" s="18">
        <f t="shared" si="410"/>
        <v>0.31578947368421051</v>
      </c>
      <c r="Z893">
        <v>5</v>
      </c>
      <c r="AA893">
        <v>6</v>
      </c>
      <c r="AB893" s="17">
        <f t="shared" si="411"/>
        <v>0.625</v>
      </c>
      <c r="AC893" s="17">
        <f t="shared" si="412"/>
        <v>0.75</v>
      </c>
      <c r="AD893" s="18">
        <f t="shared" si="413"/>
        <v>0.83333333333333337</v>
      </c>
      <c r="AE893">
        <v>22</v>
      </c>
      <c r="AF893" s="17">
        <f t="shared" si="414"/>
        <v>2.75</v>
      </c>
      <c r="AG893">
        <v>11</v>
      </c>
      <c r="AH893" s="17">
        <f t="shared" si="415"/>
        <v>1.375</v>
      </c>
      <c r="AI893">
        <v>11</v>
      </c>
      <c r="AJ893" s="17">
        <f t="shared" si="416"/>
        <v>1.375</v>
      </c>
      <c r="AK893">
        <v>20</v>
      </c>
      <c r="AL893" s="17">
        <f t="shared" si="417"/>
        <v>2.5</v>
      </c>
      <c r="AM893">
        <v>12</v>
      </c>
      <c r="AN893" s="17">
        <f t="shared" si="418"/>
        <v>1.5</v>
      </c>
      <c r="AO893">
        <v>2</v>
      </c>
      <c r="AQ893">
        <v>7</v>
      </c>
      <c r="AR893" s="17">
        <f t="shared" si="419"/>
        <v>0.875</v>
      </c>
      <c r="AS893">
        <v>24</v>
      </c>
      <c r="AT893" s="17">
        <f t="shared" si="420"/>
        <v>3</v>
      </c>
      <c r="BD893" s="65">
        <f t="shared" si="421"/>
        <v>57.413376309427875</v>
      </c>
      <c r="BE893" s="65">
        <f t="shared" si="422"/>
        <v>55.319148936170215</v>
      </c>
      <c r="BF893" s="66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12.694450070401455</v>
      </c>
      <c r="BG893" s="38">
        <f t="shared" si="423"/>
        <v>0.80851063829787229</v>
      </c>
      <c r="BH893" s="38">
        <f t="shared" si="424"/>
        <v>0.1276595744680851</v>
      </c>
      <c r="BI893" s="67">
        <f>IFERROR(((AG893*(12000/5))/((F893*60+G893)*(SUMIFS(팀공격력!X:X,팀공격력!A:A,B893,팀공격력!B:B,D893)+SUMIFS(팀수비력!X:X,팀수비력!A:A,B893,팀수비력!B:B,D893))))*100,"")</f>
        <v>3.0715603759403747</v>
      </c>
      <c r="BJ893" s="67">
        <f>IFERROR(((AI893*(12000/5))/((F893*60+G893)*(SUMIFS(팀공격력!V:V,팀공격력!A:A,B893,팀공격력!B:B,D893)+SUMIFS(팀수비력!W:W,팀수비력!A:A,B893,팀수비력!B:B,D893))))*100,"")</f>
        <v>6.818428352264803</v>
      </c>
      <c r="BK893" s="67">
        <f>IFERROR(((AE893*(12000/5))/((F893*60+G893)*(SUMIFS(팀공격력!X:X,팀공격력!A:A,B893,팀공격력!B:B,D893)+SUMIFS(팀수비력!X:X,팀수비력!A:A,B893,팀수비력!B:B,D893))))*100,"")</f>
        <v>6.1431207518807494</v>
      </c>
      <c r="BL893" s="67">
        <f>IFERROR(100*AK893/(((((F893*60+G893)/(12000/5))*SUMIFS(팀공격력!P:P,팀공격력!A:A,B893,팀공격력!B:B,D893))-K893)),"")</f>
        <v>13.140856291048063</v>
      </c>
      <c r="BM893" s="67">
        <f>IFERROR(100*((AM893/E893*(2400))/((F893*60+G893)*SUMIFS(팀공격력!AR:AR,팀공격력!A:A,B893,팀공격력!B:B,D893))),"")</f>
        <v>3.7488636816940084</v>
      </c>
      <c r="BN893" s="67">
        <f>IFERROR((AO893*40)/(((F893*60+G893)/60)*(SUMIFS(팀수비력!Q:Q,팀수비력!A:A,B893,팀수비력!B:B,D893)-SUMIFS(팀수비력!N:N,팀수비력!A:A,B893,팀수비력!B:B,D893)))*100,"")</f>
        <v>1.0133316444472593</v>
      </c>
      <c r="BO893" s="67">
        <f t="shared" si="425"/>
        <v>12.358757062146893</v>
      </c>
      <c r="BT893" t="s">
        <v>89</v>
      </c>
      <c r="BV893" t="s">
        <v>93</v>
      </c>
      <c r="CF893">
        <v>6</v>
      </c>
      <c r="CG893">
        <v>2</v>
      </c>
    </row>
    <row r="894" spans="1:85" x14ac:dyDescent="0.4">
      <c r="A894" s="11" t="s">
        <v>85</v>
      </c>
      <c r="B894" t="s">
        <v>203</v>
      </c>
      <c r="C894" t="s">
        <v>207</v>
      </c>
      <c r="D894" s="46" t="s">
        <v>312</v>
      </c>
      <c r="E894">
        <v>8</v>
      </c>
      <c r="F894">
        <v>15</v>
      </c>
      <c r="G894" s="1">
        <v>44</v>
      </c>
      <c r="H894" s="16">
        <f t="shared" si="400"/>
        <v>7552</v>
      </c>
      <c r="I894">
        <v>41</v>
      </c>
      <c r="J894" s="17">
        <f t="shared" si="401"/>
        <v>5.125</v>
      </c>
      <c r="K894">
        <v>14</v>
      </c>
      <c r="L894">
        <v>31</v>
      </c>
      <c r="M894" s="17">
        <f t="shared" si="402"/>
        <v>1.75</v>
      </c>
      <c r="N894" s="17">
        <f t="shared" si="403"/>
        <v>3.875</v>
      </c>
      <c r="O894" s="18">
        <f t="shared" si="404"/>
        <v>0.45161290322580644</v>
      </c>
      <c r="P894">
        <v>7</v>
      </c>
      <c r="Q894">
        <v>17</v>
      </c>
      <c r="R894" s="17">
        <f t="shared" si="405"/>
        <v>0.875</v>
      </c>
      <c r="S894" s="17">
        <f t="shared" si="406"/>
        <v>2.125</v>
      </c>
      <c r="T894" s="18">
        <f t="shared" si="407"/>
        <v>0.41176470588235292</v>
      </c>
      <c r="U894">
        <v>7</v>
      </c>
      <c r="V894">
        <v>14</v>
      </c>
      <c r="W894" s="17">
        <f t="shared" si="408"/>
        <v>0.875</v>
      </c>
      <c r="X894" s="17">
        <f t="shared" si="409"/>
        <v>1.75</v>
      </c>
      <c r="Y894" s="18">
        <f t="shared" si="410"/>
        <v>0.5</v>
      </c>
      <c r="Z894">
        <v>6</v>
      </c>
      <c r="AA894">
        <v>7</v>
      </c>
      <c r="AB894" s="17">
        <f t="shared" si="411"/>
        <v>0.75</v>
      </c>
      <c r="AC894" s="17">
        <f t="shared" si="412"/>
        <v>0.875</v>
      </c>
      <c r="AD894" s="18">
        <f t="shared" si="413"/>
        <v>0.8571428571428571</v>
      </c>
      <c r="AE894">
        <v>22</v>
      </c>
      <c r="AF894" s="17">
        <f t="shared" si="414"/>
        <v>2.75</v>
      </c>
      <c r="AG894">
        <v>11</v>
      </c>
      <c r="AH894" s="17">
        <f t="shared" si="415"/>
        <v>1.375</v>
      </c>
      <c r="AI894">
        <v>11</v>
      </c>
      <c r="AJ894" s="17">
        <f t="shared" si="416"/>
        <v>1.375</v>
      </c>
      <c r="AK894">
        <v>7</v>
      </c>
      <c r="AL894" s="17">
        <f t="shared" si="417"/>
        <v>0.875</v>
      </c>
      <c r="AM894">
        <v>5</v>
      </c>
      <c r="AN894" s="17">
        <f t="shared" si="418"/>
        <v>0.625</v>
      </c>
      <c r="AO894">
        <v>0</v>
      </c>
      <c r="AQ894">
        <v>4</v>
      </c>
      <c r="AR894" s="17">
        <f t="shared" si="419"/>
        <v>0.5</v>
      </c>
      <c r="AS894">
        <v>17</v>
      </c>
      <c r="AT894" s="17">
        <f t="shared" si="420"/>
        <v>2.125</v>
      </c>
      <c r="BD894" s="65">
        <f t="shared" si="421"/>
        <v>60.152582159624416</v>
      </c>
      <c r="BE894" s="65">
        <f t="shared" si="422"/>
        <v>56.451612903225815</v>
      </c>
      <c r="BF894" s="66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12.413267940562353</v>
      </c>
      <c r="BG894" s="38">
        <f t="shared" si="423"/>
        <v>0.45161290322580644</v>
      </c>
      <c r="BH894" s="38">
        <f t="shared" si="424"/>
        <v>0.22580645161290322</v>
      </c>
      <c r="BI894" s="67">
        <f>IFERROR(((AG894*(12000/5))/((F894*60+G894)*(SUMIFS(팀공격력!X:X,팀공격력!A:A,B894,팀공격력!B:B,D894)+SUMIFS(팀수비력!X:X,팀수비력!A:A,B894,팀수비력!B:B,D894))))*100,"")</f>
        <v>4.4674283857692103</v>
      </c>
      <c r="BJ894" s="67">
        <f>IFERROR(((AI894*(12000/5))/((F894*60+G894)*(SUMIFS(팀공격력!V:V,팀공격력!A:A,B894,팀공격력!B:B,D894)+SUMIFS(팀수비력!W:W,팀수비력!A:A,B894,팀수비력!B:B,D894))))*100,"")</f>
        <v>9.9170573386224294</v>
      </c>
      <c r="BK894" s="67">
        <f>IFERROR(((AE894*(12000/5))/((F894*60+G894)*(SUMIFS(팀공격력!X:X,팀공격력!A:A,B894,팀공격력!B:B,D894)+SUMIFS(팀수비력!X:X,팀수비력!A:A,B894,팀수비력!B:B,D894))))*100,"")</f>
        <v>8.9348567715384206</v>
      </c>
      <c r="BL894" s="67">
        <f>IFERROR(100*AK894/(((((F894*60+G894)/(12000/5))*SUMIFS(팀공격력!P:P,팀공격력!A:A,B894,팀공격력!B:B,D894))-K894)),"")</f>
        <v>6.7054090299508271</v>
      </c>
      <c r="BM894" s="67">
        <f>IFERROR(100*((AM894/E894*(2400))/((F894*60+G894)*SUMIFS(팀공격력!AR:AR,팀공격력!A:A,B894,팀공격력!B:B,D894))),"")</f>
        <v>2.2718881686819712</v>
      </c>
      <c r="BN894" s="67">
        <f>IFERROR((AO894*40)/(((F894*60+G894)/60)*(SUMIFS(팀수비력!Q:Q,팀수비력!A:A,B894,팀수비력!B:B,D894)-SUMIFS(팀수비력!N:N,팀수비력!A:A,B894,팀수비력!B:B,D894)))*100,"")</f>
        <v>0</v>
      </c>
      <c r="BO894" s="67">
        <f t="shared" si="425"/>
        <v>10.504201680672269</v>
      </c>
      <c r="BT894" t="s">
        <v>89</v>
      </c>
      <c r="BV894" t="s">
        <v>93</v>
      </c>
      <c r="CF894">
        <v>6</v>
      </c>
      <c r="CG894">
        <v>2</v>
      </c>
    </row>
    <row r="895" spans="1:85" x14ac:dyDescent="0.4">
      <c r="A895" s="11" t="s">
        <v>85</v>
      </c>
      <c r="B895" t="s">
        <v>203</v>
      </c>
      <c r="C895" t="s">
        <v>212</v>
      </c>
      <c r="D895" s="46" t="s">
        <v>312</v>
      </c>
      <c r="E895">
        <v>6</v>
      </c>
      <c r="F895">
        <v>7</v>
      </c>
      <c r="G895" s="1">
        <v>32</v>
      </c>
      <c r="H895" s="16">
        <f t="shared" si="400"/>
        <v>2712</v>
      </c>
      <c r="I895">
        <v>13</v>
      </c>
      <c r="J895" s="17">
        <f t="shared" si="401"/>
        <v>2.1666666666666665</v>
      </c>
      <c r="K895">
        <v>5</v>
      </c>
      <c r="L895">
        <v>13</v>
      </c>
      <c r="M895" s="17">
        <f t="shared" si="402"/>
        <v>0.83333333333333337</v>
      </c>
      <c r="N895" s="17">
        <f t="shared" si="403"/>
        <v>2.1666666666666665</v>
      </c>
      <c r="O895" s="18">
        <f t="shared" si="404"/>
        <v>0.38461538461538464</v>
      </c>
      <c r="P895">
        <v>5</v>
      </c>
      <c r="Q895">
        <v>13</v>
      </c>
      <c r="R895" s="17">
        <f t="shared" si="405"/>
        <v>0.83333333333333337</v>
      </c>
      <c r="S895" s="17">
        <f t="shared" si="406"/>
        <v>2.1666666666666665</v>
      </c>
      <c r="T895" s="18">
        <f t="shared" si="407"/>
        <v>0.38461538461538464</v>
      </c>
      <c r="U895">
        <v>0</v>
      </c>
      <c r="V895">
        <v>0</v>
      </c>
      <c r="W895" s="17">
        <f t="shared" si="408"/>
        <v>0</v>
      </c>
      <c r="X895" s="17">
        <f t="shared" si="409"/>
        <v>0</v>
      </c>
      <c r="Y895" s="18" t="e">
        <f t="shared" si="410"/>
        <v>#DIV/0!</v>
      </c>
      <c r="Z895">
        <v>3</v>
      </c>
      <c r="AA895">
        <v>6</v>
      </c>
      <c r="AB895" s="17">
        <f t="shared" si="411"/>
        <v>0.5</v>
      </c>
      <c r="AC895" s="17">
        <f t="shared" si="412"/>
        <v>1</v>
      </c>
      <c r="AD895" s="18">
        <f t="shared" si="413"/>
        <v>0.5</v>
      </c>
      <c r="AE895">
        <v>9</v>
      </c>
      <c r="AF895" s="17">
        <f t="shared" si="414"/>
        <v>1.5</v>
      </c>
      <c r="AG895">
        <v>2</v>
      </c>
      <c r="AH895" s="17">
        <f t="shared" si="415"/>
        <v>0.33333333333333331</v>
      </c>
      <c r="AI895">
        <v>7</v>
      </c>
      <c r="AJ895" s="17">
        <f t="shared" si="416"/>
        <v>1.1666666666666667</v>
      </c>
      <c r="AK895">
        <v>2</v>
      </c>
      <c r="AL895" s="17">
        <f t="shared" si="417"/>
        <v>0.33333333333333331</v>
      </c>
      <c r="AM895">
        <v>2</v>
      </c>
      <c r="AN895" s="17">
        <f t="shared" si="418"/>
        <v>0.33333333333333331</v>
      </c>
      <c r="AO895">
        <v>0</v>
      </c>
      <c r="AQ895">
        <v>3</v>
      </c>
      <c r="AR895" s="17">
        <f t="shared" si="419"/>
        <v>0.5</v>
      </c>
      <c r="AS895">
        <v>7</v>
      </c>
      <c r="AT895" s="17">
        <f t="shared" si="420"/>
        <v>1.1666666666666667</v>
      </c>
      <c r="BD895" s="65">
        <f t="shared" si="421"/>
        <v>41.56010230179028</v>
      </c>
      <c r="BE895" s="65">
        <f t="shared" si="422"/>
        <v>38.461538461538467</v>
      </c>
      <c r="BF895" s="66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12.690205575883891</v>
      </c>
      <c r="BG895" s="38">
        <f t="shared" si="423"/>
        <v>0</v>
      </c>
      <c r="BH895" s="38">
        <f t="shared" si="424"/>
        <v>0.46153846153846156</v>
      </c>
      <c r="BI895" s="67">
        <f>IFERROR(((AG895*(12000/5))/((F895*60+G895)*(SUMIFS(팀공격력!X:X,팀공격력!A:A,B895,팀공격력!B:B,D895)+SUMIFS(팀수비력!X:X,팀수비력!A:A,B895,팀수비력!B:B,D895))))*100,"")</f>
        <v>1.6964008029630468</v>
      </c>
      <c r="BJ895" s="67">
        <f>IFERROR(((AI895*(12000/5))/((F895*60+G895)*(SUMIFS(팀공격력!V:V,팀공격력!A:A,B895,팀공격력!B:B,D895)+SUMIFS(팀수비력!W:W,팀수비력!A:A,B895,팀수비력!B:B,D895))))*100,"")</f>
        <v>13.180192054227074</v>
      </c>
      <c r="BK895" s="67">
        <f>IFERROR(((AE895*(12000/5))/((F895*60+G895)*(SUMIFS(팀공격력!X:X,팀공격력!A:A,B895,팀공격력!B:B,D895)+SUMIFS(팀수비력!X:X,팀수비력!A:A,B895,팀수비력!B:B,D895))))*100,"")</f>
        <v>7.6338036133337104</v>
      </c>
      <c r="BL895" s="67">
        <f>IFERROR(100*AK895/(((((F895*60+G895)/(12000/5))*SUMIFS(팀공격력!P:P,팀공격력!A:A,B895,팀공격력!B:B,D895))-K895)),"")</f>
        <v>3.8693451133395675</v>
      </c>
      <c r="BM895" s="67">
        <f>IFERROR(100*((AM895/E895*(2400))/((F895*60+G895)*SUMIFS(팀공격력!AR:AR,팀공격력!A:A,B895,팀공격력!B:B,D895))),"")</f>
        <v>2.5305751401012162</v>
      </c>
      <c r="BN895" s="67">
        <f>IFERROR((AO895*40)/(((F895*60+G895)/60)*(SUMIFS(팀수비력!Q:Q,팀수비력!A:A,B895,팀수비력!B:B,D895)-SUMIFS(팀수비력!N:N,팀수비력!A:A,B895,팀수비력!B:B,D895)))*100,"")</f>
        <v>0</v>
      </c>
      <c r="BO895" s="67">
        <f t="shared" si="425"/>
        <v>16.094420600858367</v>
      </c>
      <c r="BT895" t="s">
        <v>89</v>
      </c>
      <c r="BV895" t="s">
        <v>102</v>
      </c>
      <c r="CF895">
        <v>4</v>
      </c>
      <c r="CG895">
        <v>2</v>
      </c>
    </row>
    <row r="896" spans="1:85" x14ac:dyDescent="0.4">
      <c r="A896" s="11" t="s">
        <v>85</v>
      </c>
      <c r="B896" t="s">
        <v>203</v>
      </c>
      <c r="C896" t="s">
        <v>213</v>
      </c>
      <c r="D896" s="46" t="s">
        <v>312</v>
      </c>
      <c r="E896">
        <v>4</v>
      </c>
      <c r="F896">
        <v>3</v>
      </c>
      <c r="G896" s="1">
        <v>16</v>
      </c>
      <c r="H896" s="16">
        <f t="shared" si="400"/>
        <v>784</v>
      </c>
      <c r="I896">
        <v>0</v>
      </c>
      <c r="J896" s="17">
        <f t="shared" si="401"/>
        <v>0</v>
      </c>
      <c r="K896">
        <v>0</v>
      </c>
      <c r="L896">
        <v>3</v>
      </c>
      <c r="M896" s="17">
        <f t="shared" si="402"/>
        <v>0</v>
      </c>
      <c r="N896" s="17">
        <f t="shared" si="403"/>
        <v>0.75</v>
      </c>
      <c r="O896" s="18">
        <f t="shared" si="404"/>
        <v>0</v>
      </c>
      <c r="P896">
        <v>0</v>
      </c>
      <c r="Q896">
        <v>0</v>
      </c>
      <c r="R896" s="17">
        <f t="shared" si="405"/>
        <v>0</v>
      </c>
      <c r="S896" s="17">
        <f t="shared" si="406"/>
        <v>0</v>
      </c>
      <c r="T896" s="18" t="e">
        <f t="shared" si="407"/>
        <v>#DIV/0!</v>
      </c>
      <c r="U896">
        <v>0</v>
      </c>
      <c r="V896">
        <v>3</v>
      </c>
      <c r="W896" s="17">
        <f t="shared" si="408"/>
        <v>0</v>
      </c>
      <c r="X896" s="17">
        <f t="shared" si="409"/>
        <v>0.75</v>
      </c>
      <c r="Y896" s="18">
        <f t="shared" si="410"/>
        <v>0</v>
      </c>
      <c r="Z896">
        <v>0</v>
      </c>
      <c r="AA896">
        <v>0</v>
      </c>
      <c r="AB896" s="17">
        <f t="shared" si="411"/>
        <v>0</v>
      </c>
      <c r="AC896" s="17">
        <f t="shared" si="412"/>
        <v>0</v>
      </c>
      <c r="AD896" s="18" t="e">
        <f t="shared" si="413"/>
        <v>#DIV/0!</v>
      </c>
      <c r="AE896">
        <v>2</v>
      </c>
      <c r="AF896" s="17">
        <f t="shared" si="414"/>
        <v>0.5</v>
      </c>
      <c r="AG896">
        <v>1</v>
      </c>
      <c r="AH896" s="17">
        <f t="shared" si="415"/>
        <v>0.25</v>
      </c>
      <c r="AI896">
        <v>1</v>
      </c>
      <c r="AJ896" s="17">
        <f t="shared" si="416"/>
        <v>0.25</v>
      </c>
      <c r="AK896">
        <v>0</v>
      </c>
      <c r="AL896" s="17">
        <f t="shared" si="417"/>
        <v>0</v>
      </c>
      <c r="AM896">
        <v>0</v>
      </c>
      <c r="AN896" s="17">
        <f t="shared" si="418"/>
        <v>0</v>
      </c>
      <c r="AO896">
        <v>0</v>
      </c>
      <c r="AQ896">
        <v>0</v>
      </c>
      <c r="AR896" s="17">
        <f t="shared" si="419"/>
        <v>0</v>
      </c>
      <c r="AS896">
        <v>3</v>
      </c>
      <c r="AT896" s="17">
        <f t="shared" si="420"/>
        <v>0.75</v>
      </c>
      <c r="BD896" s="65">
        <f t="shared" si="421"/>
        <v>0</v>
      </c>
      <c r="BE896" s="65">
        <f t="shared" si="422"/>
        <v>0</v>
      </c>
      <c r="BF896" s="66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4.7100592211446077</v>
      </c>
      <c r="BG896" s="38">
        <f t="shared" si="423"/>
        <v>1</v>
      </c>
      <c r="BH896" s="38">
        <f t="shared" si="424"/>
        <v>0</v>
      </c>
      <c r="BI896" s="67">
        <f>IFERROR(((AG896*(12000/5))/((F896*60+G896)*(SUMIFS(팀공격력!X:X,팀공격력!A:A,B896,팀공격력!B:B,D896)+SUMIFS(팀수비력!X:X,팀수비력!A:A,B896,팀수비력!B:B,D896))))*100,"")</f>
        <v>1.9560539870900437</v>
      </c>
      <c r="BJ896" s="67">
        <f>IFERROR(((AI896*(12000/5))/((F896*60+G896)*(SUMIFS(팀공격력!V:V,팀공격력!A:A,B896,팀공격력!B:B,D896)+SUMIFS(팀수비력!W:W,팀수비력!A:A,B896,팀수비력!B:B,D896))))*100,"")</f>
        <v>4.3421623968736434</v>
      </c>
      <c r="BK896" s="67">
        <f>IFERROR(((AE896*(12000/5))/((F896*60+G896)*(SUMIFS(팀공격력!X:X,팀공격력!A:A,B896,팀공격력!B:B,D896)+SUMIFS(팀수비력!X:X,팀수비력!A:A,B896,팀수비력!B:B,D896))))*100,"")</f>
        <v>3.9121079741800875</v>
      </c>
      <c r="BL896" s="67">
        <f>IFERROR(100*AK896/(((((F896*60+G896)/(12000/5))*SUMIFS(팀공격력!P:P,팀공격력!A:A,B896,팀공격력!B:B,D896))-K896)),"")</f>
        <v>0</v>
      </c>
      <c r="BM896" s="67">
        <f>IFERROR(100*((AM896/E896*(2400))/((F896*60+G896)*SUMIFS(팀공격력!AR:AR,팀공격력!A:A,B896,팀공격력!B:B,D896))),"")</f>
        <v>0</v>
      </c>
      <c r="BN896" s="67">
        <f>IFERROR((AO896*40)/(((F896*60+G896)/60)*(SUMIFS(팀수비력!Q:Q,팀수비력!A:A,B896,팀수비력!B:B,D896)-SUMIFS(팀수비력!N:N,팀수비력!A:A,B896,팀수비력!B:B,D896)))*100,"")</f>
        <v>0</v>
      </c>
      <c r="BO896" s="67">
        <f t="shared" si="425"/>
        <v>0</v>
      </c>
      <c r="BT896" t="s">
        <v>89</v>
      </c>
      <c r="BV896" t="s">
        <v>93</v>
      </c>
      <c r="CF896">
        <v>3</v>
      </c>
      <c r="CG896">
        <v>1</v>
      </c>
    </row>
    <row r="897" spans="1:85" x14ac:dyDescent="0.4">
      <c r="A897" s="11" t="s">
        <v>85</v>
      </c>
      <c r="B897" t="s">
        <v>203</v>
      </c>
      <c r="C897" t="s">
        <v>214</v>
      </c>
      <c r="D897" s="46" t="s">
        <v>312</v>
      </c>
      <c r="E897">
        <v>2</v>
      </c>
      <c r="F897">
        <v>5</v>
      </c>
      <c r="G897" s="1">
        <v>8</v>
      </c>
      <c r="H897" s="16">
        <f t="shared" si="400"/>
        <v>616</v>
      </c>
      <c r="I897">
        <v>3</v>
      </c>
      <c r="J897" s="17">
        <f t="shared" si="401"/>
        <v>1.5</v>
      </c>
      <c r="K897">
        <v>1</v>
      </c>
      <c r="L897">
        <v>3</v>
      </c>
      <c r="M897" s="17">
        <f t="shared" si="402"/>
        <v>0.5</v>
      </c>
      <c r="N897" s="17">
        <f t="shared" si="403"/>
        <v>1.5</v>
      </c>
      <c r="O897" s="18">
        <f t="shared" si="404"/>
        <v>0.33333333333333331</v>
      </c>
      <c r="P897">
        <v>1</v>
      </c>
      <c r="Q897">
        <v>2</v>
      </c>
      <c r="R897" s="17">
        <f t="shared" si="405"/>
        <v>0.5</v>
      </c>
      <c r="S897" s="17">
        <f t="shared" si="406"/>
        <v>1</v>
      </c>
      <c r="T897" s="18">
        <f t="shared" si="407"/>
        <v>0.5</v>
      </c>
      <c r="U897">
        <v>0</v>
      </c>
      <c r="V897">
        <v>1</v>
      </c>
      <c r="W897" s="17">
        <f t="shared" si="408"/>
        <v>0</v>
      </c>
      <c r="X897" s="17">
        <f t="shared" si="409"/>
        <v>0.5</v>
      </c>
      <c r="Y897" s="18">
        <f t="shared" si="410"/>
        <v>0</v>
      </c>
      <c r="Z897">
        <v>1</v>
      </c>
      <c r="AA897">
        <v>1</v>
      </c>
      <c r="AB897" s="17">
        <f t="shared" si="411"/>
        <v>0.5</v>
      </c>
      <c r="AC897" s="17">
        <f t="shared" si="412"/>
        <v>0.5</v>
      </c>
      <c r="AD897" s="18">
        <f t="shared" si="413"/>
        <v>1</v>
      </c>
      <c r="AE897">
        <v>2</v>
      </c>
      <c r="AF897" s="17">
        <f t="shared" si="414"/>
        <v>1</v>
      </c>
      <c r="AG897">
        <v>0</v>
      </c>
      <c r="AH897" s="17">
        <f t="shared" si="415"/>
        <v>0</v>
      </c>
      <c r="AI897">
        <v>2</v>
      </c>
      <c r="AJ897" s="17">
        <f t="shared" si="416"/>
        <v>1</v>
      </c>
      <c r="AK897">
        <v>0</v>
      </c>
      <c r="AL897" s="17">
        <f t="shared" si="417"/>
        <v>0</v>
      </c>
      <c r="AM897">
        <v>1</v>
      </c>
      <c r="AN897" s="17">
        <f t="shared" si="418"/>
        <v>0.5</v>
      </c>
      <c r="AO897">
        <v>0</v>
      </c>
      <c r="AQ897">
        <v>0</v>
      </c>
      <c r="AR897" s="17">
        <f t="shared" si="419"/>
        <v>0</v>
      </c>
      <c r="AS897">
        <v>0</v>
      </c>
      <c r="AT897" s="17">
        <f t="shared" si="420"/>
        <v>0</v>
      </c>
      <c r="BD897" s="65">
        <f t="shared" si="421"/>
        <v>43.604651162790695</v>
      </c>
      <c r="BE897" s="65">
        <f t="shared" si="422"/>
        <v>33.333333333333329</v>
      </c>
      <c r="BF897" s="66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3.4369159407624892</v>
      </c>
      <c r="BG897" s="38">
        <f t="shared" si="423"/>
        <v>0.33333333333333331</v>
      </c>
      <c r="BH897" s="38">
        <f t="shared" si="424"/>
        <v>0.33333333333333331</v>
      </c>
      <c r="BI897" s="67">
        <f>IFERROR(((AG897*(12000/5))/((F897*60+G897)*(SUMIFS(팀공격력!X:X,팀공격력!A:A,B897,팀공격력!B:B,D897)+SUMIFS(팀수비력!X:X,팀수비력!A:A,B897,팀수비력!B:B,D897))))*100,"")</f>
        <v>0</v>
      </c>
      <c r="BJ897" s="67">
        <f>IFERROR(((AI897*(12000/5))/((F897*60+G897)*(SUMIFS(팀공격력!V:V,팀공격력!A:A,B897,팀공격력!B:B,D897)+SUMIFS(팀수비력!W:W,팀수비력!A:A,B897,팀수비력!B:B,D897))))*100,"")</f>
        <v>5.5263885051119095</v>
      </c>
      <c r="BK897" s="67">
        <f>IFERROR(((AE897*(12000/5))/((F897*60+G897)*(SUMIFS(팀공격력!X:X,팀공격력!A:A,B897,팀공격력!B:B,D897)+SUMIFS(팀수비력!X:X,팀수비력!A:A,B897,팀수비력!B:B,D897))))*100,"")</f>
        <v>2.4895232562964194</v>
      </c>
      <c r="BL897" s="67">
        <f>IFERROR(100*AK897/(((((F897*60+G897)/(12000/5))*SUMIFS(팀공격력!P:P,팀공격력!A:A,B897,팀공격력!B:B,D897))-K897)),"")</f>
        <v>0</v>
      </c>
      <c r="BM897" s="67">
        <f>IFERROR(100*((AM897/E897*(2400))/((F897*60+G897)*SUMIFS(팀공격력!AR:AR,팀공격력!A:A,B897,팀공격력!B:B,D897))),"")</f>
        <v>5.5705517694435862</v>
      </c>
      <c r="BN897" s="67">
        <f>IFERROR((AO897*40)/(((F897*60+G897)/60)*(SUMIFS(팀수비력!Q:Q,팀수비력!A:A,B897,팀수비력!B:B,D897)-SUMIFS(팀수비력!N:N,팀수비력!A:A,B897,팀수비력!B:B,D897)))*100,"")</f>
        <v>0</v>
      </c>
      <c r="BO897" s="67">
        <f t="shared" si="425"/>
        <v>0</v>
      </c>
      <c r="BT897" t="s">
        <v>89</v>
      </c>
      <c r="BV897" t="s">
        <v>90</v>
      </c>
      <c r="CF897">
        <v>2</v>
      </c>
      <c r="CG897">
        <v>0</v>
      </c>
    </row>
    <row r="898" spans="1:85" x14ac:dyDescent="0.4">
      <c r="A898" s="11" t="s">
        <v>85</v>
      </c>
      <c r="B898" t="s">
        <v>203</v>
      </c>
      <c r="C898" t="s">
        <v>216</v>
      </c>
      <c r="D898" s="46" t="s">
        <v>312</v>
      </c>
      <c r="E898">
        <v>8</v>
      </c>
      <c r="F898">
        <v>29</v>
      </c>
      <c r="G898" s="1">
        <v>6</v>
      </c>
      <c r="H898" s="16">
        <f t="shared" ref="H898:H961" si="426">(F898*60+G898)*E898</f>
        <v>13968</v>
      </c>
      <c r="I898">
        <v>95</v>
      </c>
      <c r="J898" s="17">
        <f t="shared" ref="J898:J961" si="427">I898/$E898</f>
        <v>11.875</v>
      </c>
      <c r="K898">
        <v>37</v>
      </c>
      <c r="L898">
        <v>69</v>
      </c>
      <c r="M898" s="17">
        <f t="shared" ref="M898:M961" si="428">K898/$E898</f>
        <v>4.625</v>
      </c>
      <c r="N898" s="17">
        <f t="shared" ref="N898:N961" si="429">L898/$E898</f>
        <v>8.625</v>
      </c>
      <c r="O898" s="18">
        <f t="shared" ref="O898:O961" si="430">K898/L898</f>
        <v>0.53623188405797106</v>
      </c>
      <c r="P898">
        <v>26</v>
      </c>
      <c r="Q898">
        <v>40</v>
      </c>
      <c r="R898" s="17">
        <f t="shared" ref="R898:R961" si="431">P898/$E898</f>
        <v>3.25</v>
      </c>
      <c r="S898" s="17">
        <f t="shared" ref="S898:S961" si="432">Q898/$E898</f>
        <v>5</v>
      </c>
      <c r="T898" s="18">
        <f t="shared" ref="T898:T961" si="433">P898/Q898</f>
        <v>0.65</v>
      </c>
      <c r="U898">
        <v>11</v>
      </c>
      <c r="V898">
        <v>29</v>
      </c>
      <c r="W898" s="17">
        <f t="shared" ref="W898:W961" si="434">U898/$E898</f>
        <v>1.375</v>
      </c>
      <c r="X898" s="17">
        <f t="shared" ref="X898:X961" si="435">V898/$E898</f>
        <v>3.625</v>
      </c>
      <c r="Y898" s="18">
        <f t="shared" ref="Y898:Y961" si="436">U898/V898</f>
        <v>0.37931034482758619</v>
      </c>
      <c r="Z898">
        <v>10</v>
      </c>
      <c r="AA898">
        <v>13</v>
      </c>
      <c r="AB898" s="17">
        <f t="shared" ref="AB898:AB961" si="437">Z898/$E898</f>
        <v>1.25</v>
      </c>
      <c r="AC898" s="17">
        <f t="shared" ref="AC898:AC961" si="438">AA898/$E898</f>
        <v>1.625</v>
      </c>
      <c r="AD898" s="18">
        <f t="shared" ref="AD898:AD961" si="439">Z898/AA898</f>
        <v>0.76923076923076927</v>
      </c>
      <c r="AE898">
        <v>21</v>
      </c>
      <c r="AF898" s="17">
        <f t="shared" ref="AF898:AF961" si="440">AE898/$E898</f>
        <v>2.625</v>
      </c>
      <c r="AG898">
        <v>2</v>
      </c>
      <c r="AH898" s="17">
        <f t="shared" ref="AH898:AH961" si="441">AG898/$E898</f>
        <v>0.25</v>
      </c>
      <c r="AI898">
        <v>19</v>
      </c>
      <c r="AJ898" s="17">
        <f t="shared" ref="AJ898:AJ961" si="442">AI898/$E898</f>
        <v>2.375</v>
      </c>
      <c r="AK898">
        <v>41</v>
      </c>
      <c r="AL898" s="17">
        <f t="shared" ref="AL898:AL961" si="443">AK898/$E898</f>
        <v>5.125</v>
      </c>
      <c r="AM898">
        <v>12</v>
      </c>
      <c r="AN898" s="17">
        <f t="shared" ref="AN898:AN961" si="444">AM898/$E898</f>
        <v>1.5</v>
      </c>
      <c r="AO898">
        <v>1</v>
      </c>
      <c r="AQ898">
        <v>11</v>
      </c>
      <c r="AR898" s="17">
        <f t="shared" ref="AR898:AR961" si="445">AQ898/$E898</f>
        <v>1.375</v>
      </c>
      <c r="AS898">
        <v>22</v>
      </c>
      <c r="AT898" s="17">
        <f t="shared" ref="AT898:AT961" si="446">AS898/$E898</f>
        <v>2.75</v>
      </c>
      <c r="BD898" s="65">
        <f t="shared" ref="BD898:BD961" si="447">IFERROR((I898/(2*(L898+(0.44*AA898))))*100,"")</f>
        <v>63.570663811563165</v>
      </c>
      <c r="BE898" s="65">
        <f t="shared" ref="BE898:BE961" si="448">IFERROR(((P898+(1.5*U898))/L898)*100,"")</f>
        <v>61.594202898550719</v>
      </c>
      <c r="BF898" s="66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15.107726266047555</v>
      </c>
      <c r="BG898" s="38">
        <f t="shared" ref="BG898:BG961" si="449">IFERROR(V898/L898,"")</f>
        <v>0.42028985507246375</v>
      </c>
      <c r="BH898" s="38">
        <f t="shared" ref="BH898:BH961" si="450">IFERROR(AA898/L898,"")</f>
        <v>0.18840579710144928</v>
      </c>
      <c r="BI898" s="67">
        <f>IFERROR(((AG898*(12000/5))/((F898*60+G898)*(SUMIFS(팀공격력!X:X,팀공격력!A:A,B898,팀공격력!B:B,D898)+SUMIFS(팀수비력!X:X,팀수비력!A:A,B898,팀수비력!B:B,D898))))*100,"")</f>
        <v>0.43915988713590898</v>
      </c>
      <c r="BJ898" s="67">
        <f>IFERROR(((AI898*(12000/5))/((F898*60+G898)*(SUMIFS(팀공격력!V:V,팀공격력!A:A,B898,팀공격력!B:B,D898)+SUMIFS(팀수비력!W:W,팀수비력!A:A,B898,팀수비력!B:B,D898))))*100,"")</f>
        <v>9.2612902439618825</v>
      </c>
      <c r="BK898" s="67">
        <f>IFERROR(((AE898*(12000/5))/((F898*60+G898)*(SUMIFS(팀공격력!X:X,팀공격력!A:A,B898,팀공격력!B:B,D898)+SUMIFS(팀수비력!X:X,팀수비력!A:A,B898,팀수비력!B:B,D898))))*100,"")</f>
        <v>4.6111788149270447</v>
      </c>
      <c r="BL898" s="67">
        <f>IFERROR(100*AK898/(((((F898*60+G898)/(12000/5))*SUMIFS(팀공격력!P:P,팀공격력!A:A,B898,팀공격력!B:B,D898))-K898)),"")</f>
        <v>22.530257861548815</v>
      </c>
      <c r="BM898" s="67">
        <f>IFERROR(100*((AM898/E898*(2400))/((F898*60+G898)*SUMIFS(팀공격력!AR:AR,팀공격력!A:A,B898,팀공격력!B:B,D898))),"")</f>
        <v>2.9479895962003857</v>
      </c>
      <c r="BN898" s="67">
        <f>IFERROR((AO898*40)/(((F898*60+G898)/60)*(SUMIFS(팀수비력!Q:Q,팀수비력!A:A,B898,팀수비력!B:B,D898)-SUMIFS(팀수비력!N:N,팀수비력!A:A,B898,팀수비력!B:B,D898)))*100,"")</f>
        <v>0.39842621644504206</v>
      </c>
      <c r="BO898" s="67">
        <f t="shared" ref="BO898:BO961" si="451">IFERROR(100*AQ898/(L898+0.44*AA898+AQ898),"")</f>
        <v>12.832477834811012</v>
      </c>
      <c r="BT898" t="s">
        <v>89</v>
      </c>
      <c r="BV898" t="s">
        <v>90</v>
      </c>
      <c r="CF898">
        <v>6</v>
      </c>
      <c r="CG898">
        <v>2</v>
      </c>
    </row>
    <row r="899" spans="1:85" x14ac:dyDescent="0.4">
      <c r="A899" s="11" t="s">
        <v>85</v>
      </c>
      <c r="B899" t="s">
        <v>203</v>
      </c>
      <c r="C899" t="s">
        <v>217</v>
      </c>
      <c r="D899" s="46" t="s">
        <v>312</v>
      </c>
      <c r="E899">
        <v>8</v>
      </c>
      <c r="F899">
        <v>13</v>
      </c>
      <c r="G899" s="1">
        <v>57</v>
      </c>
      <c r="H899" s="16">
        <f t="shared" si="426"/>
        <v>6696</v>
      </c>
      <c r="I899">
        <v>16</v>
      </c>
      <c r="J899" s="17">
        <f t="shared" si="427"/>
        <v>2</v>
      </c>
      <c r="K899">
        <v>5</v>
      </c>
      <c r="L899">
        <v>23</v>
      </c>
      <c r="M899" s="17">
        <f t="shared" si="428"/>
        <v>0.625</v>
      </c>
      <c r="N899" s="17">
        <f t="shared" si="429"/>
        <v>2.875</v>
      </c>
      <c r="O899" s="18">
        <f t="shared" si="430"/>
        <v>0.21739130434782608</v>
      </c>
      <c r="P899">
        <v>3</v>
      </c>
      <c r="Q899">
        <v>11</v>
      </c>
      <c r="R899" s="17">
        <f t="shared" si="431"/>
        <v>0.375</v>
      </c>
      <c r="S899" s="17">
        <f t="shared" si="432"/>
        <v>1.375</v>
      </c>
      <c r="T899" s="18">
        <f t="shared" si="433"/>
        <v>0.27272727272727271</v>
      </c>
      <c r="U899">
        <v>2</v>
      </c>
      <c r="V899">
        <v>12</v>
      </c>
      <c r="W899" s="17">
        <f t="shared" si="434"/>
        <v>0.25</v>
      </c>
      <c r="X899" s="17">
        <f t="shared" si="435"/>
        <v>1.5</v>
      </c>
      <c r="Y899" s="18">
        <f t="shared" si="436"/>
        <v>0.16666666666666666</v>
      </c>
      <c r="Z899">
        <v>4</v>
      </c>
      <c r="AA899">
        <v>8</v>
      </c>
      <c r="AB899" s="17">
        <f t="shared" si="437"/>
        <v>0.5</v>
      </c>
      <c r="AC899" s="17">
        <f t="shared" si="438"/>
        <v>1</v>
      </c>
      <c r="AD899" s="18">
        <f t="shared" si="439"/>
        <v>0.5</v>
      </c>
      <c r="AE899">
        <v>19</v>
      </c>
      <c r="AF899" s="17">
        <f t="shared" si="440"/>
        <v>2.375</v>
      </c>
      <c r="AG899">
        <v>4</v>
      </c>
      <c r="AH899" s="17">
        <f t="shared" si="441"/>
        <v>0.5</v>
      </c>
      <c r="AI899">
        <v>15</v>
      </c>
      <c r="AJ899" s="17">
        <f t="shared" si="442"/>
        <v>1.875</v>
      </c>
      <c r="AK899">
        <v>13</v>
      </c>
      <c r="AL899" s="17">
        <f t="shared" si="443"/>
        <v>1.625</v>
      </c>
      <c r="AM899">
        <v>2</v>
      </c>
      <c r="AN899" s="17">
        <f t="shared" si="444"/>
        <v>0.25</v>
      </c>
      <c r="AO899">
        <v>0</v>
      </c>
      <c r="AQ899">
        <v>2</v>
      </c>
      <c r="AR899" s="17">
        <f t="shared" si="445"/>
        <v>0.25</v>
      </c>
      <c r="AS899">
        <v>14</v>
      </c>
      <c r="AT899" s="17">
        <f t="shared" si="446"/>
        <v>1.75</v>
      </c>
      <c r="BD899" s="65">
        <f t="shared" si="447"/>
        <v>30.165912518853695</v>
      </c>
      <c r="BE899" s="65">
        <f t="shared" si="448"/>
        <v>26.086956521739129</v>
      </c>
      <c r="BF899" s="66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10.485405910577724</v>
      </c>
      <c r="BG899" s="38">
        <f t="shared" si="449"/>
        <v>0.52173913043478259</v>
      </c>
      <c r="BH899" s="38">
        <f t="shared" si="450"/>
        <v>0.34782608695652173</v>
      </c>
      <c r="BI899" s="67">
        <f>IFERROR(((AG899*(12000/5))/((F899*60+G899)*(SUMIFS(팀공격력!X:X,팀공격력!A:A,B899,팀공격력!B:B,D899)+SUMIFS(팀수비력!X:X,팀수비력!A:A,B899,팀수비력!B:B,D899))))*100,"")</f>
        <v>1.8321939377283085</v>
      </c>
      <c r="BJ899" s="67">
        <f>IFERROR(((AI899*(12000/5))/((F899*60+G899)*(SUMIFS(팀공격력!V:V,팀공격력!A:A,B899,팀공격력!B:B,D899)+SUMIFS(팀수비력!W:W,팀수비력!A:A,B899,팀수비력!B:B,D899))))*100,"")</f>
        <v>15.252039960344696</v>
      </c>
      <c r="BK899" s="67">
        <f>IFERROR(((AE899*(12000/5))/((F899*60+G899)*(SUMIFS(팀공격력!X:X,팀공격력!A:A,B899,팀공격력!B:B,D899)+SUMIFS(팀수비력!X:X,팀수비력!A:A,B899,팀수비력!B:B,D899))))*100,"")</f>
        <v>8.7029212042094652</v>
      </c>
      <c r="BL899" s="67">
        <f>IFERROR(100*AK899/(((((F899*60+G899)/(12000/5))*SUMIFS(팀공격력!P:P,팀공격력!A:A,B899,팀공격력!B:B,D899))-K899)),"")</f>
        <v>13.003413396016455</v>
      </c>
      <c r="BM899" s="67">
        <f>IFERROR(100*((AM899/E899*(2400))/((F899*60+G899)*SUMIFS(팀공격력!AR:AR,팀공격력!A:A,B899,팀공격력!B:B,D899))),"")</f>
        <v>1.0249282825499548</v>
      </c>
      <c r="BN899" s="67">
        <f>IFERROR((AO899*40)/(((F899*60+G899)/60)*(SUMIFS(팀수비력!Q:Q,팀수비력!A:A,B899,팀수비력!B:B,D899)-SUMIFS(팀수비력!N:N,팀수비력!A:A,B899,팀수비력!B:B,D899)))*100,"")</f>
        <v>0</v>
      </c>
      <c r="BO899" s="67">
        <f t="shared" si="451"/>
        <v>7.0126227208976157</v>
      </c>
      <c r="BT899" t="s">
        <v>89</v>
      </c>
      <c r="BV899" t="s">
        <v>90</v>
      </c>
      <c r="CF899">
        <v>6</v>
      </c>
      <c r="CG899">
        <v>2</v>
      </c>
    </row>
    <row r="900" spans="1:85" x14ac:dyDescent="0.4">
      <c r="A900" s="11" t="s">
        <v>85</v>
      </c>
      <c r="B900" t="s">
        <v>203</v>
      </c>
      <c r="C900" t="s">
        <v>219</v>
      </c>
      <c r="D900" s="46" t="s">
        <v>312</v>
      </c>
      <c r="E900">
        <v>6</v>
      </c>
      <c r="F900">
        <v>4</v>
      </c>
      <c r="G900" s="1">
        <v>27</v>
      </c>
      <c r="H900" s="16">
        <f t="shared" si="426"/>
        <v>1602</v>
      </c>
      <c r="I900">
        <v>5</v>
      </c>
      <c r="J900" s="17">
        <f t="shared" si="427"/>
        <v>0.83333333333333337</v>
      </c>
      <c r="K900">
        <v>2</v>
      </c>
      <c r="L900">
        <v>3</v>
      </c>
      <c r="M900" s="17">
        <f t="shared" si="428"/>
        <v>0.33333333333333331</v>
      </c>
      <c r="N900" s="17">
        <f t="shared" si="429"/>
        <v>0.5</v>
      </c>
      <c r="O900" s="18">
        <f t="shared" si="430"/>
        <v>0.66666666666666663</v>
      </c>
      <c r="P900">
        <v>2</v>
      </c>
      <c r="Q900">
        <v>3</v>
      </c>
      <c r="R900" s="17">
        <f t="shared" si="431"/>
        <v>0.33333333333333331</v>
      </c>
      <c r="S900" s="17">
        <f t="shared" si="432"/>
        <v>0.5</v>
      </c>
      <c r="T900" s="18">
        <f t="shared" si="433"/>
        <v>0.66666666666666663</v>
      </c>
      <c r="U900">
        <v>0</v>
      </c>
      <c r="V900">
        <v>0</v>
      </c>
      <c r="W900" s="17">
        <f t="shared" si="434"/>
        <v>0</v>
      </c>
      <c r="X900" s="17">
        <f t="shared" si="435"/>
        <v>0</v>
      </c>
      <c r="Y900" s="18" t="e">
        <f t="shared" si="436"/>
        <v>#DIV/0!</v>
      </c>
      <c r="Z900">
        <v>1</v>
      </c>
      <c r="AA900">
        <v>2</v>
      </c>
      <c r="AB900" s="17">
        <f t="shared" si="437"/>
        <v>0.16666666666666666</v>
      </c>
      <c r="AC900" s="17">
        <f t="shared" si="438"/>
        <v>0.33333333333333331</v>
      </c>
      <c r="AD900" s="18">
        <f t="shared" si="439"/>
        <v>0.5</v>
      </c>
      <c r="AE900">
        <v>4</v>
      </c>
      <c r="AF900" s="17">
        <f t="shared" si="440"/>
        <v>0.66666666666666663</v>
      </c>
      <c r="AG900">
        <v>1</v>
      </c>
      <c r="AH900" s="17">
        <f t="shared" si="441"/>
        <v>0.16666666666666666</v>
      </c>
      <c r="AI900">
        <v>3</v>
      </c>
      <c r="AJ900" s="17">
        <f t="shared" si="442"/>
        <v>0.5</v>
      </c>
      <c r="AK900">
        <v>6</v>
      </c>
      <c r="AL900" s="17">
        <f t="shared" si="443"/>
        <v>1</v>
      </c>
      <c r="AM900">
        <v>2</v>
      </c>
      <c r="AN900" s="17">
        <f t="shared" si="444"/>
        <v>0.33333333333333331</v>
      </c>
      <c r="AO900">
        <v>0</v>
      </c>
      <c r="AQ900">
        <v>3</v>
      </c>
      <c r="AR900" s="17">
        <f t="shared" si="445"/>
        <v>0.5</v>
      </c>
      <c r="AS900">
        <v>6</v>
      </c>
      <c r="AT900" s="17">
        <f t="shared" si="446"/>
        <v>1</v>
      </c>
      <c r="BD900" s="65">
        <f t="shared" si="447"/>
        <v>64.432989690721655</v>
      </c>
      <c r="BE900" s="65">
        <f t="shared" si="448"/>
        <v>66.666666666666657</v>
      </c>
      <c r="BF900" s="66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7.929364118013833</v>
      </c>
      <c r="BG900" s="38">
        <f t="shared" si="449"/>
        <v>0</v>
      </c>
      <c r="BH900" s="38">
        <f t="shared" si="450"/>
        <v>0.66666666666666663</v>
      </c>
      <c r="BI900" s="67">
        <f>IFERROR(((AG900*(12000/5))/((F900*60+G900)*(SUMIFS(팀공격력!X:X,팀공격력!A:A,B900,팀공격력!B:B,D900)+SUMIFS(팀수비력!X:X,팀수비력!A:A,B900,팀수비력!B:B,D900))))*100,"")</f>
        <v>1.4359047995117924</v>
      </c>
      <c r="BJ900" s="67">
        <f>IFERROR(((AI900*(12000/5))/((F900*60+G900)*(SUMIFS(팀공격력!V:V,팀공격력!A:A,B900,팀공격력!B:B,D900)+SUMIFS(팀수비력!W:W,팀수비력!A:A,B900,팀수비력!B:B,D900))))*100,"")</f>
        <v>9.5625149414295958</v>
      </c>
      <c r="BK900" s="67">
        <f>IFERROR(((AE900*(12000/5))/((F900*60+G900)*(SUMIFS(팀공격력!X:X,팀공격력!A:A,B900,팀공격력!B:B,D900)+SUMIFS(팀수비력!X:X,팀수비력!A:A,B900,팀수비력!B:B,D900))))*100,"")</f>
        <v>5.7436191980471696</v>
      </c>
      <c r="BL900" s="67">
        <f>IFERROR(100*AK900/(((((F900*60+G900)/(12000/5))*SUMIFS(팀공격력!P:P,팀공격력!A:A,B900,팀공격력!B:B,D900))-K900)),"")</f>
        <v>19.05593711540752</v>
      </c>
      <c r="BM900" s="67">
        <f>IFERROR(100*((AM900/E900*(2400))/((F900*60+G900)*SUMIFS(팀공격력!AR:AR,팀공격력!A:A,B900,팀공격력!B:B,D900))),"")</f>
        <v>4.2839699000964409</v>
      </c>
      <c r="BN900" s="67">
        <f>IFERROR((AO900*40)/(((F900*60+G900)/60)*(SUMIFS(팀수비력!Q:Q,팀수비력!A:A,B900,팀수비력!B:B,D900)-SUMIFS(팀수비력!N:N,팀수비력!A:A,B900,팀수비력!B:B,D900)))*100,"")</f>
        <v>0</v>
      </c>
      <c r="BO900" s="67">
        <f t="shared" si="451"/>
        <v>43.604651162790695</v>
      </c>
      <c r="BT900" t="s">
        <v>89</v>
      </c>
      <c r="BV900" t="s">
        <v>90</v>
      </c>
      <c r="CF900">
        <v>5</v>
      </c>
      <c r="CG900">
        <v>1</v>
      </c>
    </row>
    <row r="901" spans="1:85" x14ac:dyDescent="0.4">
      <c r="A901" s="11" t="s">
        <v>85</v>
      </c>
      <c r="B901" t="s">
        <v>203</v>
      </c>
      <c r="C901" t="s">
        <v>220</v>
      </c>
      <c r="D901" s="46" t="s">
        <v>312</v>
      </c>
      <c r="E901">
        <v>8</v>
      </c>
      <c r="F901">
        <v>30</v>
      </c>
      <c r="G901" s="1">
        <v>55</v>
      </c>
      <c r="H901" s="16">
        <f t="shared" si="426"/>
        <v>14840</v>
      </c>
      <c r="I901">
        <v>221</v>
      </c>
      <c r="J901" s="17">
        <f t="shared" si="427"/>
        <v>27.625</v>
      </c>
      <c r="K901">
        <v>83</v>
      </c>
      <c r="L901">
        <v>161</v>
      </c>
      <c r="M901" s="17">
        <f t="shared" si="428"/>
        <v>10.375</v>
      </c>
      <c r="N901" s="17">
        <f t="shared" si="429"/>
        <v>20.125</v>
      </c>
      <c r="O901" s="18">
        <f t="shared" si="430"/>
        <v>0.51552795031055898</v>
      </c>
      <c r="P901">
        <v>65</v>
      </c>
      <c r="Q901">
        <v>109</v>
      </c>
      <c r="R901" s="17">
        <f t="shared" si="431"/>
        <v>8.125</v>
      </c>
      <c r="S901" s="17">
        <f t="shared" si="432"/>
        <v>13.625</v>
      </c>
      <c r="T901" s="18">
        <f t="shared" si="433"/>
        <v>0.59633027522935778</v>
      </c>
      <c r="U901">
        <v>18</v>
      </c>
      <c r="V901">
        <v>52</v>
      </c>
      <c r="W901" s="17">
        <f t="shared" si="434"/>
        <v>2.25</v>
      </c>
      <c r="X901" s="17">
        <f t="shared" si="435"/>
        <v>6.5</v>
      </c>
      <c r="Y901" s="18">
        <f t="shared" si="436"/>
        <v>0.34615384615384615</v>
      </c>
      <c r="Z901">
        <v>37</v>
      </c>
      <c r="AA901">
        <v>57</v>
      </c>
      <c r="AB901" s="17">
        <f t="shared" si="437"/>
        <v>4.625</v>
      </c>
      <c r="AC901" s="17">
        <f t="shared" si="438"/>
        <v>7.125</v>
      </c>
      <c r="AD901" s="18">
        <f t="shared" si="439"/>
        <v>0.64912280701754388</v>
      </c>
      <c r="AE901">
        <v>85</v>
      </c>
      <c r="AF901" s="17">
        <f t="shared" si="440"/>
        <v>10.625</v>
      </c>
      <c r="AG901">
        <v>21</v>
      </c>
      <c r="AH901" s="17">
        <f t="shared" si="441"/>
        <v>2.625</v>
      </c>
      <c r="AI901">
        <v>64</v>
      </c>
      <c r="AJ901" s="17">
        <f t="shared" si="442"/>
        <v>8</v>
      </c>
      <c r="AK901">
        <v>45</v>
      </c>
      <c r="AL901" s="17">
        <f t="shared" si="443"/>
        <v>5.625</v>
      </c>
      <c r="AM901">
        <v>12</v>
      </c>
      <c r="AN901" s="17">
        <f t="shared" si="444"/>
        <v>1.5</v>
      </c>
      <c r="AO901">
        <v>1</v>
      </c>
      <c r="AQ901">
        <v>28</v>
      </c>
      <c r="AR901" s="17">
        <f t="shared" si="445"/>
        <v>3.5</v>
      </c>
      <c r="AS901">
        <v>24</v>
      </c>
      <c r="AT901" s="17">
        <f t="shared" si="446"/>
        <v>3</v>
      </c>
      <c r="BD901" s="65">
        <f t="shared" si="447"/>
        <v>59.383061049011175</v>
      </c>
      <c r="BE901" s="65">
        <f t="shared" si="448"/>
        <v>57.142857142857139</v>
      </c>
      <c r="BF901" s="66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35.513491051262712</v>
      </c>
      <c r="BG901" s="38">
        <f t="shared" si="449"/>
        <v>0.32298136645962733</v>
      </c>
      <c r="BH901" s="38">
        <f t="shared" si="450"/>
        <v>0.35403726708074534</v>
      </c>
      <c r="BI901" s="67">
        <f>IFERROR(((AG901*(12000/5))/((F901*60+G901)*(SUMIFS(팀공격력!X:X,팀공격력!A:A,B901,팀공격력!B:B,D901)+SUMIFS(팀수비력!X:X,팀수비력!A:A,B901,팀수비력!B:B,D901))))*100,"")</f>
        <v>4.340225450599795</v>
      </c>
      <c r="BJ901" s="67">
        <f>IFERROR(((AI901*(12000/5))/((F901*60+G901)*(SUMIFS(팀공격력!V:V,팀공격력!A:A,B901,팀공격력!B:B,D901)+SUMIFS(팀수비력!W:W,팀수비력!A:A,B901,팀수비력!B:B,D901))))*100,"")</f>
        <v>29.362849113953089</v>
      </c>
      <c r="BK901" s="67">
        <f>IFERROR(((AE901*(12000/5))/((F901*60+G901)*(SUMIFS(팀공격력!X:X,팀공격력!A:A,B901,팀공격력!B:B,D901)+SUMIFS(팀수비력!X:X,팀수비력!A:A,B901,팀수비력!B:B,D901))))*100,"")</f>
        <v>17.567579204808695</v>
      </c>
      <c r="BL901" s="67">
        <f>IFERROR(100*AK901/(((((F901*60+G901)/(12000/5))*SUMIFS(팀공격력!P:P,팀공격력!A:A,B901,팀공격력!B:B,D901))-K901)),"")</f>
        <v>30.070582339101502</v>
      </c>
      <c r="BM901" s="67">
        <f>IFERROR(100*((AM901/E901*(2400))/((F901*60+G901)*SUMIFS(팀공격력!AR:AR,팀공격력!A:A,B901,팀공격력!B:B,D901))),"")</f>
        <v>2.7747654096851071</v>
      </c>
      <c r="BN901" s="67">
        <f>IFERROR((AO901*40)/(((F901*60+G901)/60)*(SUMIFS(팀수비력!Q:Q,팀수비력!A:A,B901,팀수비력!B:B,D901)-SUMIFS(팀수비력!N:N,팀수비력!A:A,B901,팀수비력!B:B,D901)))*100,"")</f>
        <v>0.37501464900972692</v>
      </c>
      <c r="BO901" s="67">
        <f t="shared" si="451"/>
        <v>13.079222720478326</v>
      </c>
      <c r="BT901" t="s">
        <v>96</v>
      </c>
      <c r="BV901" t="s">
        <v>93</v>
      </c>
      <c r="CF901">
        <v>6</v>
      </c>
      <c r="CG901">
        <v>2</v>
      </c>
    </row>
    <row r="902" spans="1:85" x14ac:dyDescent="0.4">
      <c r="A902" s="11" t="s">
        <v>85</v>
      </c>
      <c r="B902" t="s">
        <v>203</v>
      </c>
      <c r="C902" t="s">
        <v>221</v>
      </c>
      <c r="D902" s="46" t="s">
        <v>312</v>
      </c>
      <c r="E902">
        <v>8</v>
      </c>
      <c r="F902">
        <v>33</v>
      </c>
      <c r="G902" s="1">
        <v>23</v>
      </c>
      <c r="H902" s="16">
        <f t="shared" si="426"/>
        <v>16024</v>
      </c>
      <c r="I902">
        <v>134</v>
      </c>
      <c r="J902" s="17">
        <f t="shared" si="427"/>
        <v>16.75</v>
      </c>
      <c r="K902">
        <v>53</v>
      </c>
      <c r="L902">
        <v>91</v>
      </c>
      <c r="M902" s="17">
        <f t="shared" si="428"/>
        <v>6.625</v>
      </c>
      <c r="N902" s="17">
        <f t="shared" si="429"/>
        <v>11.375</v>
      </c>
      <c r="O902" s="18">
        <f t="shared" si="430"/>
        <v>0.58241758241758246</v>
      </c>
      <c r="P902">
        <v>53</v>
      </c>
      <c r="Q902">
        <v>91</v>
      </c>
      <c r="R902" s="17">
        <f t="shared" si="431"/>
        <v>6.625</v>
      </c>
      <c r="S902" s="17">
        <f t="shared" si="432"/>
        <v>11.375</v>
      </c>
      <c r="T902" s="18">
        <f t="shared" si="433"/>
        <v>0.58241758241758246</v>
      </c>
      <c r="U902">
        <v>0</v>
      </c>
      <c r="V902">
        <v>0</v>
      </c>
      <c r="W902" s="17">
        <f t="shared" si="434"/>
        <v>0</v>
      </c>
      <c r="X902" s="17">
        <f t="shared" si="435"/>
        <v>0</v>
      </c>
      <c r="Y902" s="18" t="e">
        <f t="shared" si="436"/>
        <v>#DIV/0!</v>
      </c>
      <c r="Z902">
        <v>28</v>
      </c>
      <c r="AA902">
        <v>39</v>
      </c>
      <c r="AB902" s="17">
        <f t="shared" si="437"/>
        <v>3.5</v>
      </c>
      <c r="AC902" s="17">
        <f t="shared" si="438"/>
        <v>4.875</v>
      </c>
      <c r="AD902" s="18">
        <f t="shared" si="439"/>
        <v>0.71794871794871795</v>
      </c>
      <c r="AE902">
        <v>55</v>
      </c>
      <c r="AF902" s="17">
        <f t="shared" si="440"/>
        <v>6.875</v>
      </c>
      <c r="AG902">
        <v>18</v>
      </c>
      <c r="AH902" s="17">
        <f t="shared" si="441"/>
        <v>2.25</v>
      </c>
      <c r="AI902">
        <v>37</v>
      </c>
      <c r="AJ902" s="17">
        <f t="shared" si="442"/>
        <v>4.625</v>
      </c>
      <c r="AK902">
        <v>13</v>
      </c>
      <c r="AL902" s="17">
        <f t="shared" si="443"/>
        <v>1.625</v>
      </c>
      <c r="AM902">
        <v>0</v>
      </c>
      <c r="AN902" s="17">
        <f t="shared" si="444"/>
        <v>0</v>
      </c>
      <c r="AO902">
        <v>1</v>
      </c>
      <c r="AQ902">
        <v>13</v>
      </c>
      <c r="AR902" s="17">
        <f t="shared" si="445"/>
        <v>1.625</v>
      </c>
      <c r="AS902">
        <v>21</v>
      </c>
      <c r="AT902" s="17">
        <f t="shared" si="446"/>
        <v>2.625</v>
      </c>
      <c r="BD902" s="65">
        <f t="shared" si="447"/>
        <v>61.94526627218935</v>
      </c>
      <c r="BE902" s="65">
        <f t="shared" si="448"/>
        <v>58.241758241758248</v>
      </c>
      <c r="BF902" s="66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18.613991004466733</v>
      </c>
      <c r="BG902" s="38">
        <f t="shared" si="449"/>
        <v>0</v>
      </c>
      <c r="BH902" s="38">
        <f t="shared" si="450"/>
        <v>0.42857142857142855</v>
      </c>
      <c r="BI902" s="67">
        <f>IFERROR(((AG902*(12000/5))/((F902*60+G902)*(SUMIFS(팀공격력!X:X,팀공격력!A:A,B902,팀공격력!B:B,D902)+SUMIFS(팀수비력!X:X,팀수비력!A:A,B902,팀수비력!B:B,D902))))*100,"")</f>
        <v>3.4453112663273457</v>
      </c>
      <c r="BJ902" s="67">
        <f>IFERROR(((AI902*(12000/5))/((F902*60+G902)*(SUMIFS(팀공격력!V:V,팀공격력!A:A,B902,팀공격력!B:B,D902)+SUMIFS(팀수비력!W:W,팀수비력!A:A,B902,팀수비력!B:B,D902))))*100,"")</f>
        <v>15.721099202260438</v>
      </c>
      <c r="BK902" s="67">
        <f>IFERROR(((AE902*(12000/5))/((F902*60+G902)*(SUMIFS(팀공격력!X:X,팀공격력!A:A,B902,팀공격력!B:B,D902)+SUMIFS(팀수비력!X:X,팀수비력!A:A,B902,팀수비력!B:B,D902))))*100,"")</f>
        <v>10.527339980444667</v>
      </c>
      <c r="BL902" s="67">
        <f>IFERROR(100*AK902/(((((F902*60+G902)/(12000/5))*SUMIFS(팀공격력!P:P,팀공격력!A:A,B902,팀공격력!B:B,D902))-K902)),"")</f>
        <v>6.5587141556811703</v>
      </c>
      <c r="BM902" s="67">
        <f>IFERROR(100*((AM902/E902*(2400))/((F902*60+G902)*SUMIFS(팀공격력!AR:AR,팀공격력!A:A,B902,팀공격력!B:B,D902))),"")</f>
        <v>0</v>
      </c>
      <c r="BN902" s="67">
        <f>IFERROR((AO902*40)/(((F902*60+G902)/60)*(SUMIFS(팀수비력!Q:Q,팀수비력!A:A,B902,팀수비력!B:B,D902)-SUMIFS(팀수비력!N:N,팀수비력!A:A,B902,팀수비력!B:B,D902)))*100,"")</f>
        <v>0.3473051292626278</v>
      </c>
      <c r="BO902" s="67">
        <f t="shared" si="451"/>
        <v>10.72961373390558</v>
      </c>
      <c r="BT902" t="s">
        <v>89</v>
      </c>
      <c r="BV902" t="s">
        <v>102</v>
      </c>
      <c r="CF902">
        <v>6</v>
      </c>
      <c r="CG902">
        <v>2</v>
      </c>
    </row>
    <row r="903" spans="1:85" x14ac:dyDescent="0.4">
      <c r="A903" s="11" t="s">
        <v>85</v>
      </c>
      <c r="B903" t="s">
        <v>203</v>
      </c>
      <c r="C903" t="s">
        <v>222</v>
      </c>
      <c r="D903" s="46" t="s">
        <v>312</v>
      </c>
      <c r="E903">
        <v>8</v>
      </c>
      <c r="F903">
        <v>27</v>
      </c>
      <c r="G903" s="1">
        <v>1</v>
      </c>
      <c r="H903" s="16">
        <f t="shared" si="426"/>
        <v>12968</v>
      </c>
      <c r="I903">
        <v>54</v>
      </c>
      <c r="J903" s="17">
        <f t="shared" si="427"/>
        <v>6.75</v>
      </c>
      <c r="K903">
        <v>20</v>
      </c>
      <c r="L903">
        <v>49</v>
      </c>
      <c r="M903" s="17">
        <f t="shared" si="428"/>
        <v>2.5</v>
      </c>
      <c r="N903" s="17">
        <f t="shared" si="429"/>
        <v>6.125</v>
      </c>
      <c r="O903" s="18">
        <f t="shared" si="430"/>
        <v>0.40816326530612246</v>
      </c>
      <c r="P903">
        <v>10</v>
      </c>
      <c r="Q903">
        <v>18</v>
      </c>
      <c r="R903" s="17">
        <f t="shared" si="431"/>
        <v>1.25</v>
      </c>
      <c r="S903" s="17">
        <f t="shared" si="432"/>
        <v>2.25</v>
      </c>
      <c r="T903" s="18">
        <f t="shared" si="433"/>
        <v>0.55555555555555558</v>
      </c>
      <c r="U903">
        <v>10</v>
      </c>
      <c r="V903">
        <v>31</v>
      </c>
      <c r="W903" s="17">
        <f t="shared" si="434"/>
        <v>1.25</v>
      </c>
      <c r="X903" s="17">
        <f t="shared" si="435"/>
        <v>3.875</v>
      </c>
      <c r="Y903" s="18">
        <f t="shared" si="436"/>
        <v>0.32258064516129031</v>
      </c>
      <c r="Z903">
        <v>4</v>
      </c>
      <c r="AA903">
        <v>9</v>
      </c>
      <c r="AB903" s="17">
        <f t="shared" si="437"/>
        <v>0.5</v>
      </c>
      <c r="AC903" s="17">
        <f t="shared" si="438"/>
        <v>1.125</v>
      </c>
      <c r="AD903" s="18">
        <f t="shared" si="439"/>
        <v>0.44444444444444442</v>
      </c>
      <c r="AE903">
        <v>21</v>
      </c>
      <c r="AF903" s="17">
        <f t="shared" si="440"/>
        <v>2.625</v>
      </c>
      <c r="AG903">
        <v>0</v>
      </c>
      <c r="AH903" s="17">
        <f t="shared" si="441"/>
        <v>0</v>
      </c>
      <c r="AI903">
        <v>21</v>
      </c>
      <c r="AJ903" s="17">
        <f t="shared" si="442"/>
        <v>2.625</v>
      </c>
      <c r="AK903">
        <v>10</v>
      </c>
      <c r="AL903" s="17">
        <f t="shared" si="443"/>
        <v>1.25</v>
      </c>
      <c r="AM903">
        <v>4</v>
      </c>
      <c r="AN903" s="17">
        <f t="shared" si="444"/>
        <v>0.5</v>
      </c>
      <c r="AO903">
        <v>4</v>
      </c>
      <c r="AQ903">
        <v>7</v>
      </c>
      <c r="AR903" s="17">
        <f t="shared" si="445"/>
        <v>0.875</v>
      </c>
      <c r="AS903">
        <v>17</v>
      </c>
      <c r="AT903" s="17">
        <f t="shared" si="446"/>
        <v>2.125</v>
      </c>
      <c r="BD903" s="65">
        <f t="shared" si="447"/>
        <v>50.98187311178247</v>
      </c>
      <c r="BE903" s="65">
        <f t="shared" si="448"/>
        <v>51.020408163265309</v>
      </c>
      <c r="BF903" s="66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11.382555948255565</v>
      </c>
      <c r="BG903" s="38">
        <f t="shared" si="449"/>
        <v>0.63265306122448983</v>
      </c>
      <c r="BH903" s="38">
        <f t="shared" si="450"/>
        <v>0.18367346938775511</v>
      </c>
      <c r="BI903" s="67">
        <f>IFERROR(((AG903*(12000/5))/((F903*60+G903)*(SUMIFS(팀공격력!X:X,팀공격력!A:A,B903,팀공격력!B:B,D903)+SUMIFS(팀수비력!X:X,팀수비력!A:A,B903,팀수비력!B:B,D903))))*100,"")</f>
        <v>0</v>
      </c>
      <c r="BJ903" s="67">
        <f>IFERROR(((AI903*(12000/5))/((F903*60+G903)*(SUMIFS(팀공격력!V:V,팀공격력!A:A,B903,팀공격력!B:B,D903)+SUMIFS(팀수비력!W:W,팀수비력!A:A,B903,팀수비력!B:B,D903))))*100,"")</f>
        <v>11.025503038576137</v>
      </c>
      <c r="BK903" s="67">
        <f>IFERROR(((AE903*(12000/5))/((F903*60+G903)*(SUMIFS(팀공격력!X:X,팀공격력!A:A,B903,팀공격력!B:B,D903)+SUMIFS(팀수비력!X:X,팀수비력!A:A,B903,팀수비력!B:B,D903))))*100,"")</f>
        <v>4.9667601547579396</v>
      </c>
      <c r="BL903" s="67">
        <f>IFERROR(100*AK903/(((((F903*60+G903)/(12000/5))*SUMIFS(팀공격력!P:P,팀공격력!A:A,B903,팀공격력!B:B,D903))-K903)),"")</f>
        <v>5.4555249692558432</v>
      </c>
      <c r="BM903" s="67">
        <f>IFERROR(100*((AM903/E903*(2400))/((F903*60+G903)*SUMIFS(팀공격력!AR:AR,팀공격력!A:A,B903,팀공격력!B:B,D903))),"")</f>
        <v>1.0584392011034081</v>
      </c>
      <c r="BN903" s="67">
        <f>IFERROR((AO903*40)/(((F903*60+G903)/60)*(SUMIFS(팀수비력!Q:Q,팀수비력!A:A,B903,팀수비력!B:B,D903)-SUMIFS(팀수비력!N:N,팀수비력!A:A,B903,팀수비력!B:B,D903)))*100,"")</f>
        <v>1.716600059008127</v>
      </c>
      <c r="BO903" s="67">
        <f t="shared" si="451"/>
        <v>11.674449633088726</v>
      </c>
      <c r="BT903" t="s">
        <v>89</v>
      </c>
      <c r="BV903" t="s">
        <v>93</v>
      </c>
      <c r="CF903">
        <v>6</v>
      </c>
      <c r="CG903">
        <v>2</v>
      </c>
    </row>
    <row r="904" spans="1:85" x14ac:dyDescent="0.4">
      <c r="A904" s="11" t="s">
        <v>85</v>
      </c>
      <c r="B904" t="s">
        <v>203</v>
      </c>
      <c r="C904" t="s">
        <v>223</v>
      </c>
      <c r="D904" s="46" t="s">
        <v>312</v>
      </c>
      <c r="E904">
        <v>3</v>
      </c>
      <c r="F904">
        <v>18</v>
      </c>
      <c r="G904" s="1">
        <v>15</v>
      </c>
      <c r="H904" s="16">
        <f t="shared" si="426"/>
        <v>3285</v>
      </c>
      <c r="I904">
        <v>35</v>
      </c>
      <c r="J904" s="17">
        <f t="shared" si="427"/>
        <v>11.666666666666666</v>
      </c>
      <c r="K904">
        <v>12</v>
      </c>
      <c r="L904">
        <v>25</v>
      </c>
      <c r="M904" s="17">
        <f t="shared" si="428"/>
        <v>4</v>
      </c>
      <c r="N904" s="17">
        <f t="shared" si="429"/>
        <v>8.3333333333333339</v>
      </c>
      <c r="O904" s="18">
        <f t="shared" si="430"/>
        <v>0.48</v>
      </c>
      <c r="P904">
        <v>4</v>
      </c>
      <c r="Q904">
        <v>9</v>
      </c>
      <c r="R904" s="17">
        <f t="shared" si="431"/>
        <v>1.3333333333333333</v>
      </c>
      <c r="S904" s="17">
        <f t="shared" si="432"/>
        <v>3</v>
      </c>
      <c r="T904" s="18">
        <f t="shared" si="433"/>
        <v>0.44444444444444442</v>
      </c>
      <c r="U904">
        <v>8</v>
      </c>
      <c r="V904">
        <v>16</v>
      </c>
      <c r="W904" s="17">
        <f t="shared" si="434"/>
        <v>2.6666666666666665</v>
      </c>
      <c r="X904" s="17">
        <f t="shared" si="435"/>
        <v>5.333333333333333</v>
      </c>
      <c r="Y904" s="18">
        <f t="shared" si="436"/>
        <v>0.5</v>
      </c>
      <c r="Z904">
        <v>3</v>
      </c>
      <c r="AA904">
        <v>3</v>
      </c>
      <c r="AB904" s="17">
        <f t="shared" si="437"/>
        <v>1</v>
      </c>
      <c r="AC904" s="17">
        <f t="shared" si="438"/>
        <v>1</v>
      </c>
      <c r="AD904" s="18">
        <f t="shared" si="439"/>
        <v>1</v>
      </c>
      <c r="AE904">
        <v>5</v>
      </c>
      <c r="AF904" s="17">
        <f t="shared" si="440"/>
        <v>1.6666666666666667</v>
      </c>
      <c r="AG904">
        <v>3</v>
      </c>
      <c r="AH904" s="17">
        <f t="shared" si="441"/>
        <v>1</v>
      </c>
      <c r="AI904">
        <v>2</v>
      </c>
      <c r="AJ904" s="17">
        <f t="shared" si="442"/>
        <v>0.66666666666666663</v>
      </c>
      <c r="AK904">
        <v>5</v>
      </c>
      <c r="AL904" s="17">
        <f t="shared" si="443"/>
        <v>1.6666666666666667</v>
      </c>
      <c r="AM904">
        <v>1</v>
      </c>
      <c r="AN904" s="17">
        <f t="shared" si="444"/>
        <v>0.33333333333333331</v>
      </c>
      <c r="AO904">
        <v>0</v>
      </c>
      <c r="AQ904">
        <v>4</v>
      </c>
      <c r="AR904" s="17">
        <f t="shared" si="445"/>
        <v>1.3333333333333333</v>
      </c>
      <c r="AS904">
        <v>5</v>
      </c>
      <c r="AT904" s="17">
        <f t="shared" si="446"/>
        <v>1.6666666666666667</v>
      </c>
      <c r="BD904" s="65">
        <f t="shared" si="447"/>
        <v>66.489361702127653</v>
      </c>
      <c r="BE904" s="65">
        <f t="shared" si="448"/>
        <v>64</v>
      </c>
      <c r="BF904" s="66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8.520719371287818</v>
      </c>
      <c r="BG904" s="38">
        <f t="shared" si="449"/>
        <v>0.64</v>
      </c>
      <c r="BH904" s="38">
        <f t="shared" si="450"/>
        <v>0.12</v>
      </c>
      <c r="BI904" s="67">
        <f>IFERROR(((AG904*(12000/5))/((F904*60+G904)*(SUMIFS(팀공격력!X:X,팀공격력!A:A,B904,팀공격력!B:B,D904)+SUMIFS(팀수비력!X:X,팀수비력!A:A,B904,팀수비력!B:B,D904))))*100,"")</f>
        <v>1.0503741958072563</v>
      </c>
      <c r="BJ904" s="67">
        <f>IFERROR(((AI904*(12000/5))/((F904*60+G904)*(SUMIFS(팀공격력!V:V,팀공격력!A:A,B904,팀공격력!B:B,D904)+SUMIFS(팀수비력!W:W,팀수비력!A:A,B904,팀수비력!B:B,D904))))*100,"")</f>
        <v>1.5544544836296512</v>
      </c>
      <c r="BK904" s="67">
        <f>IFERROR(((AE904*(12000/5))/((F904*60+G904)*(SUMIFS(팀공격력!X:X,팀공격력!A:A,B904,팀공격력!B:B,D904)+SUMIFS(팀수비력!X:X,팀수비력!A:A,B904,팀수비력!B:B,D904))))*100,"")</f>
        <v>1.7506236596787608</v>
      </c>
      <c r="BL904" s="67">
        <f>IFERROR(100*AK904/(((((F904*60+G904)/(12000/5))*SUMIFS(팀공격력!P:P,팀공격력!A:A,B904,팀공격력!B:B,D904))-K904)),"")</f>
        <v>3.9894280157582411</v>
      </c>
      <c r="BM904" s="67">
        <f>IFERROR(100*((AM904/E904*(2400))/((F904*60+G904)*SUMIFS(팀공격력!AR:AR,팀공격력!A:A,B904,팀공격력!B:B,D904))),"")</f>
        <v>1.0445844413933787</v>
      </c>
      <c r="BN904" s="67">
        <f>IFERROR((AO904*40)/(((F904*60+G904)/60)*(SUMIFS(팀수비력!Q:Q,팀수비력!A:A,B904,팀수비력!B:B,D904)-SUMIFS(팀수비력!N:N,팀수비력!A:A,B904,팀수비력!B:B,D904)))*100,"")</f>
        <v>0</v>
      </c>
      <c r="BO904" s="67">
        <f t="shared" si="451"/>
        <v>13.192612137203167</v>
      </c>
      <c r="BT904" t="s">
        <v>89</v>
      </c>
      <c r="BV904" t="s">
        <v>90</v>
      </c>
      <c r="CF904">
        <v>1</v>
      </c>
      <c r="CG904">
        <v>2</v>
      </c>
    </row>
    <row r="905" spans="1:85" x14ac:dyDescent="0.4">
      <c r="A905" s="11" t="s">
        <v>85</v>
      </c>
      <c r="B905" t="s">
        <v>224</v>
      </c>
      <c r="C905" t="s">
        <v>225</v>
      </c>
      <c r="D905" s="46" t="s">
        <v>312</v>
      </c>
      <c r="E905">
        <v>7</v>
      </c>
      <c r="F905">
        <v>8</v>
      </c>
      <c r="G905" s="1">
        <v>18</v>
      </c>
      <c r="H905" s="16">
        <f t="shared" si="426"/>
        <v>3486</v>
      </c>
      <c r="I905">
        <v>19</v>
      </c>
      <c r="J905" s="17">
        <f t="shared" si="427"/>
        <v>2.7142857142857144</v>
      </c>
      <c r="K905">
        <v>8</v>
      </c>
      <c r="L905">
        <v>23</v>
      </c>
      <c r="M905" s="17">
        <f t="shared" si="428"/>
        <v>1.1428571428571428</v>
      </c>
      <c r="N905" s="17">
        <f t="shared" si="429"/>
        <v>3.2857142857142856</v>
      </c>
      <c r="O905" s="18">
        <f t="shared" si="430"/>
        <v>0.34782608695652173</v>
      </c>
      <c r="P905">
        <v>6</v>
      </c>
      <c r="Q905">
        <v>12</v>
      </c>
      <c r="R905" s="17">
        <f t="shared" si="431"/>
        <v>0.8571428571428571</v>
      </c>
      <c r="S905" s="17">
        <f t="shared" si="432"/>
        <v>1.7142857142857142</v>
      </c>
      <c r="T905" s="18">
        <f t="shared" si="433"/>
        <v>0.5</v>
      </c>
      <c r="U905">
        <v>2</v>
      </c>
      <c r="V905">
        <v>11</v>
      </c>
      <c r="W905" s="17">
        <f t="shared" si="434"/>
        <v>0.2857142857142857</v>
      </c>
      <c r="X905" s="17">
        <f t="shared" si="435"/>
        <v>1.5714285714285714</v>
      </c>
      <c r="Y905" s="18">
        <f t="shared" si="436"/>
        <v>0.18181818181818182</v>
      </c>
      <c r="Z905">
        <v>1</v>
      </c>
      <c r="AA905">
        <v>1</v>
      </c>
      <c r="AB905" s="17">
        <f t="shared" si="437"/>
        <v>0.14285714285714285</v>
      </c>
      <c r="AC905" s="17">
        <f t="shared" si="438"/>
        <v>0.14285714285714285</v>
      </c>
      <c r="AD905" s="18">
        <f t="shared" si="439"/>
        <v>1</v>
      </c>
      <c r="AE905">
        <v>6</v>
      </c>
      <c r="AF905" s="17">
        <f t="shared" si="440"/>
        <v>0.8571428571428571</v>
      </c>
      <c r="AG905">
        <v>1</v>
      </c>
      <c r="AH905" s="17">
        <f t="shared" si="441"/>
        <v>0.14285714285714285</v>
      </c>
      <c r="AI905">
        <v>5</v>
      </c>
      <c r="AJ905" s="17">
        <f t="shared" si="442"/>
        <v>0.7142857142857143</v>
      </c>
      <c r="AK905">
        <v>0</v>
      </c>
      <c r="AL905" s="17">
        <f t="shared" si="443"/>
        <v>0</v>
      </c>
      <c r="AM905">
        <v>0</v>
      </c>
      <c r="AN905" s="17">
        <f t="shared" si="444"/>
        <v>0</v>
      </c>
      <c r="AO905">
        <v>0</v>
      </c>
      <c r="AQ905">
        <v>1</v>
      </c>
      <c r="AR905" s="17">
        <f t="shared" si="445"/>
        <v>0.14285714285714285</v>
      </c>
      <c r="AS905">
        <v>8</v>
      </c>
      <c r="AT905" s="17">
        <f t="shared" si="446"/>
        <v>1.1428571428571428</v>
      </c>
      <c r="BD905" s="65">
        <f t="shared" si="447"/>
        <v>40.529010238907844</v>
      </c>
      <c r="BE905" s="65">
        <f t="shared" si="448"/>
        <v>39.130434782608695</v>
      </c>
      <c r="BF905" s="66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16.899554139422705</v>
      </c>
      <c r="BG905" s="38">
        <f t="shared" si="449"/>
        <v>0.47826086956521741</v>
      </c>
      <c r="BH905" s="38">
        <f t="shared" si="450"/>
        <v>4.3478260869565216E-2</v>
      </c>
      <c r="BI905" s="67">
        <f>IFERROR(((AG905*(12000/5))/((F905*60+G905)*(SUMIFS(팀공격력!X:X,팀공격력!A:A,B905,팀공격력!B:B,D905)+SUMIFS(팀수비력!X:X,팀수비력!A:A,B905,팀수비력!B:B,D905))))*100,"")</f>
        <v>0.75183730240775903</v>
      </c>
      <c r="BJ905" s="67">
        <f>IFERROR(((AI905*(12000/5))/((F905*60+G905)*(SUMIFS(팀공격력!V:V,팀공격력!A:A,B905,팀공격력!B:B,D905)+SUMIFS(팀수비력!W:W,팀수비력!A:A,B905,팀수비력!B:B,D905))))*100,"")</f>
        <v>7.2361518144650683</v>
      </c>
      <c r="BK905" s="67">
        <f>IFERROR(((AE905*(12000/5))/((F905*60+G905)*(SUMIFS(팀공격력!X:X,팀공격력!A:A,B905,팀공격력!B:B,D905)+SUMIFS(팀수비력!X:X,팀수비력!A:A,B905,팀수비력!B:B,D905))))*100,"")</f>
        <v>4.5110238144465544</v>
      </c>
      <c r="BL905" s="67">
        <f>IFERROR(100*AK905/(((((F905*60+G905)/(12000/5))*SUMIFS(팀공격력!P:P,팀공격력!A:A,B905,팀공격력!B:B,D905))-K905)),"")</f>
        <v>0</v>
      </c>
      <c r="BM905" s="67">
        <f>IFERROR(100*((AM905/E905*(2400))/((F905*60+G905)*SUMIFS(팀공격력!AR:AR,팀공격력!A:A,B905,팀공격력!B:B,D905))),"")</f>
        <v>0</v>
      </c>
      <c r="BN905" s="67">
        <f>IFERROR((AO905*40)/(((F905*60+G905)/60)*(SUMIFS(팀수비력!Q:Q,팀수비력!A:A,B905,팀수비력!B:B,D905)-SUMIFS(팀수비력!N:N,팀수비력!A:A,B905,팀수비력!B:B,D905)))*100,"")</f>
        <v>0</v>
      </c>
      <c r="BO905" s="67">
        <f t="shared" si="451"/>
        <v>4.0916530278232406</v>
      </c>
      <c r="BT905" t="s">
        <v>89</v>
      </c>
      <c r="BV905" t="s">
        <v>90</v>
      </c>
      <c r="CF905">
        <v>1</v>
      </c>
      <c r="CG905">
        <v>6</v>
      </c>
    </row>
    <row r="906" spans="1:85" x14ac:dyDescent="0.4">
      <c r="A906" s="11" t="s">
        <v>85</v>
      </c>
      <c r="B906" t="s">
        <v>224</v>
      </c>
      <c r="C906" t="s">
        <v>226</v>
      </c>
      <c r="D906" s="46" t="s">
        <v>312</v>
      </c>
      <c r="E906">
        <v>7</v>
      </c>
      <c r="F906">
        <v>9</v>
      </c>
      <c r="G906" s="1">
        <v>32</v>
      </c>
      <c r="H906" s="16">
        <f t="shared" si="426"/>
        <v>4004</v>
      </c>
      <c r="I906">
        <v>24</v>
      </c>
      <c r="J906" s="17">
        <f t="shared" si="427"/>
        <v>3.4285714285714284</v>
      </c>
      <c r="K906">
        <v>11</v>
      </c>
      <c r="L906">
        <v>23</v>
      </c>
      <c r="M906" s="17">
        <f t="shared" si="428"/>
        <v>1.5714285714285714</v>
      </c>
      <c r="N906" s="17">
        <f t="shared" si="429"/>
        <v>3.2857142857142856</v>
      </c>
      <c r="O906" s="18">
        <f t="shared" si="430"/>
        <v>0.47826086956521741</v>
      </c>
      <c r="P906">
        <v>9</v>
      </c>
      <c r="Q906">
        <v>16</v>
      </c>
      <c r="R906" s="17">
        <f t="shared" si="431"/>
        <v>1.2857142857142858</v>
      </c>
      <c r="S906" s="17">
        <f t="shared" si="432"/>
        <v>2.2857142857142856</v>
      </c>
      <c r="T906" s="18">
        <f t="shared" si="433"/>
        <v>0.5625</v>
      </c>
      <c r="U906">
        <v>2</v>
      </c>
      <c r="V906">
        <v>7</v>
      </c>
      <c r="W906" s="17">
        <f t="shared" si="434"/>
        <v>0.2857142857142857</v>
      </c>
      <c r="X906" s="17">
        <f t="shared" si="435"/>
        <v>1</v>
      </c>
      <c r="Y906" s="18">
        <f t="shared" si="436"/>
        <v>0.2857142857142857</v>
      </c>
      <c r="Z906">
        <v>0</v>
      </c>
      <c r="AA906">
        <v>2</v>
      </c>
      <c r="AB906" s="17">
        <f t="shared" si="437"/>
        <v>0</v>
      </c>
      <c r="AC906" s="17">
        <f t="shared" si="438"/>
        <v>0.2857142857142857</v>
      </c>
      <c r="AD906" s="18">
        <f t="shared" si="439"/>
        <v>0</v>
      </c>
      <c r="AE906">
        <v>16</v>
      </c>
      <c r="AF906" s="17">
        <f t="shared" si="440"/>
        <v>2.2857142857142856</v>
      </c>
      <c r="AG906">
        <v>8</v>
      </c>
      <c r="AH906" s="17">
        <f t="shared" si="441"/>
        <v>1.1428571428571428</v>
      </c>
      <c r="AI906">
        <v>8</v>
      </c>
      <c r="AJ906" s="17">
        <f t="shared" si="442"/>
        <v>1.1428571428571428</v>
      </c>
      <c r="AK906">
        <v>2</v>
      </c>
      <c r="AL906" s="17">
        <f t="shared" si="443"/>
        <v>0.2857142857142857</v>
      </c>
      <c r="AM906">
        <v>0</v>
      </c>
      <c r="AN906" s="17">
        <f t="shared" si="444"/>
        <v>0</v>
      </c>
      <c r="AO906">
        <v>0</v>
      </c>
      <c r="AQ906">
        <v>2</v>
      </c>
      <c r="AR906" s="17">
        <f t="shared" si="445"/>
        <v>0.2857142857142857</v>
      </c>
      <c r="AS906">
        <v>11</v>
      </c>
      <c r="AT906" s="17">
        <f t="shared" si="446"/>
        <v>1.5714285714285714</v>
      </c>
      <c r="BD906" s="65">
        <f t="shared" si="447"/>
        <v>50.251256281407045</v>
      </c>
      <c r="BE906" s="65">
        <f t="shared" si="448"/>
        <v>52.173913043478258</v>
      </c>
      <c r="BF906" s="66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15.580149877670539</v>
      </c>
      <c r="BG906" s="38">
        <f t="shared" si="449"/>
        <v>0.30434782608695654</v>
      </c>
      <c r="BH906" s="38">
        <f t="shared" si="450"/>
        <v>8.6956521739130432E-2</v>
      </c>
      <c r="BI906" s="67">
        <f>IFERROR(((AG906*(12000/5))/((F906*60+G906)*(SUMIFS(팀공격력!X:X,팀공격력!A:A,B906,팀공격력!B:B,D906)+SUMIFS(팀수비력!X:X,팀수비력!A:A,B906,팀수비력!B:B,D906))))*100,"")</f>
        <v>5.2365730992876083</v>
      </c>
      <c r="BJ906" s="67">
        <f>IFERROR(((AI906*(12000/5))/((F906*60+G906)*(SUMIFS(팀공격력!V:V,팀공격력!A:A,B906,팀공격력!B:B,D906)+SUMIFS(팀수비력!W:W,팀수비력!A:A,B906,팀수비력!B:B,D906))))*100,"")</f>
        <v>10.08001008001008</v>
      </c>
      <c r="BK906" s="67">
        <f>IFERROR(((AE906*(12000/5))/((F906*60+G906)*(SUMIFS(팀공격력!X:X,팀공격력!A:A,B906,팀공격력!B:B,D906)+SUMIFS(팀수비력!X:X,팀수비력!A:A,B906,팀수비력!B:B,D906))))*100,"")</f>
        <v>10.473146198575217</v>
      </c>
      <c r="BL906" s="67">
        <f>IFERROR(100*AK906/(((((F906*60+G906)/(12000/5))*SUMIFS(팀공격력!P:P,팀공격력!A:A,B906,팀공격력!B:B,D906))-K906)),"")</f>
        <v>3.8344783511743086</v>
      </c>
      <c r="BM906" s="67">
        <f>IFERROR(100*((AM906/E906*(2400))/((F906*60+G906)*SUMIFS(팀공격력!AR:AR,팀공격력!A:A,B906,팀공격력!B:B,D906))),"")</f>
        <v>0</v>
      </c>
      <c r="BN906" s="67">
        <f>IFERROR((AO906*40)/(((F906*60+G906)/60)*(SUMIFS(팀수비력!Q:Q,팀수비력!A:A,B906,팀수비력!B:B,D906)-SUMIFS(팀수비력!N:N,팀수비력!A:A,B906,팀수비력!B:B,D906)))*100,"")</f>
        <v>0</v>
      </c>
      <c r="BO906" s="67">
        <f t="shared" si="451"/>
        <v>7.7279752704791349</v>
      </c>
      <c r="BT906" t="s">
        <v>89</v>
      </c>
      <c r="BV906" t="s">
        <v>102</v>
      </c>
      <c r="CF906">
        <v>0</v>
      </c>
      <c r="CG906">
        <v>7</v>
      </c>
    </row>
    <row r="907" spans="1:85" x14ac:dyDescent="0.4">
      <c r="A907" s="11" t="s">
        <v>85</v>
      </c>
      <c r="B907" t="s">
        <v>224</v>
      </c>
      <c r="C907" t="s">
        <v>227</v>
      </c>
      <c r="D907" s="46" t="s">
        <v>312</v>
      </c>
      <c r="E907">
        <v>6</v>
      </c>
      <c r="F907">
        <v>8</v>
      </c>
      <c r="G907" s="1">
        <v>44</v>
      </c>
      <c r="H907" s="16">
        <f t="shared" si="426"/>
        <v>3144</v>
      </c>
      <c r="I907">
        <v>14</v>
      </c>
      <c r="J907" s="17">
        <f t="shared" si="427"/>
        <v>2.3333333333333335</v>
      </c>
      <c r="K907">
        <v>5</v>
      </c>
      <c r="L907">
        <v>7</v>
      </c>
      <c r="M907" s="17">
        <f t="shared" si="428"/>
        <v>0.83333333333333337</v>
      </c>
      <c r="N907" s="17">
        <f t="shared" si="429"/>
        <v>1.1666666666666667</v>
      </c>
      <c r="O907" s="18">
        <f t="shared" si="430"/>
        <v>0.7142857142857143</v>
      </c>
      <c r="P907">
        <v>2</v>
      </c>
      <c r="Q907">
        <v>3</v>
      </c>
      <c r="R907" s="17">
        <f t="shared" si="431"/>
        <v>0.33333333333333331</v>
      </c>
      <c r="S907" s="17">
        <f t="shared" si="432"/>
        <v>0.5</v>
      </c>
      <c r="T907" s="18">
        <f t="shared" si="433"/>
        <v>0.66666666666666663</v>
      </c>
      <c r="U907">
        <v>3</v>
      </c>
      <c r="V907">
        <v>4</v>
      </c>
      <c r="W907" s="17">
        <f t="shared" si="434"/>
        <v>0.5</v>
      </c>
      <c r="X907" s="17">
        <f t="shared" si="435"/>
        <v>0.66666666666666663</v>
      </c>
      <c r="Y907" s="18">
        <f t="shared" si="436"/>
        <v>0.75</v>
      </c>
      <c r="Z907">
        <v>1</v>
      </c>
      <c r="AA907">
        <v>4</v>
      </c>
      <c r="AB907" s="17">
        <f t="shared" si="437"/>
        <v>0.16666666666666666</v>
      </c>
      <c r="AC907" s="17">
        <f t="shared" si="438"/>
        <v>0.66666666666666663</v>
      </c>
      <c r="AD907" s="18">
        <f t="shared" si="439"/>
        <v>0.25</v>
      </c>
      <c r="AE907">
        <v>4</v>
      </c>
      <c r="AF907" s="17">
        <f t="shared" si="440"/>
        <v>0.66666666666666663</v>
      </c>
      <c r="AG907">
        <v>2</v>
      </c>
      <c r="AH907" s="17">
        <f t="shared" si="441"/>
        <v>0.33333333333333331</v>
      </c>
      <c r="AI907">
        <v>2</v>
      </c>
      <c r="AJ907" s="17">
        <f t="shared" si="442"/>
        <v>0.33333333333333331</v>
      </c>
      <c r="AK907">
        <v>3</v>
      </c>
      <c r="AL907" s="17">
        <f t="shared" si="443"/>
        <v>0.5</v>
      </c>
      <c r="AM907">
        <v>0</v>
      </c>
      <c r="AN907" s="17">
        <f t="shared" si="444"/>
        <v>0</v>
      </c>
      <c r="AO907">
        <v>1</v>
      </c>
      <c r="AQ907">
        <v>1</v>
      </c>
      <c r="AR907" s="17">
        <f t="shared" si="445"/>
        <v>0.16666666666666666</v>
      </c>
      <c r="AS907">
        <v>6</v>
      </c>
      <c r="AT907" s="17">
        <f t="shared" si="446"/>
        <v>1</v>
      </c>
      <c r="BD907" s="65">
        <f t="shared" si="447"/>
        <v>79.908675799086765</v>
      </c>
      <c r="BE907" s="65">
        <f t="shared" si="448"/>
        <v>92.857142857142861</v>
      </c>
      <c r="BF907" s="66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6.4138960738544357</v>
      </c>
      <c r="BG907" s="38">
        <f t="shared" si="449"/>
        <v>0.5714285714285714</v>
      </c>
      <c r="BH907" s="38">
        <f t="shared" si="450"/>
        <v>0.5714285714285714</v>
      </c>
      <c r="BI907" s="67">
        <f>IFERROR(((AG907*(12000/5))/((F907*60+G907)*(SUMIFS(팀공격력!X:X,팀공격력!A:A,B907,팀공격력!B:B,D907)+SUMIFS(팀수비력!X:X,팀수비력!A:A,B907,팀수비력!B:B,D907))))*100,"")</f>
        <v>1.4290647961796334</v>
      </c>
      <c r="BJ907" s="67">
        <f>IFERROR(((AI907*(12000/5))/((F907*60+G907)*(SUMIFS(팀공격력!V:V,팀공격력!A:A,B907,팀공격력!B:B,D907)+SUMIFS(팀수비력!W:W,팀수비력!A:A,B907,팀수비력!B:B,D907))))*100,"")</f>
        <v>2.7508424454989342</v>
      </c>
      <c r="BK907" s="67">
        <f>IFERROR(((AE907*(12000/5))/((F907*60+G907)*(SUMIFS(팀공격력!X:X,팀공격력!A:A,B907,팀공격력!B:B,D907)+SUMIFS(팀수비력!X:X,팀수비력!A:A,B907,팀수비력!B:B,D907))))*100,"")</f>
        <v>2.8581295923592669</v>
      </c>
      <c r="BL907" s="67">
        <f>IFERROR(100*AK907/(((((F907*60+G907)/(12000/5))*SUMIFS(팀공격력!P:P,팀공격력!A:A,B907,팀공격력!B:B,D907))-K907)),"")</f>
        <v>5.6755478480214405</v>
      </c>
      <c r="BM907" s="67">
        <f>IFERROR(100*((AM907/E907*(2400))/((F907*60+G907)*SUMIFS(팀공격력!AR:AR,팀공격력!A:A,B907,팀공격력!B:B,D907))),"")</f>
        <v>0</v>
      </c>
      <c r="BN907" s="67">
        <f>IFERROR((AO907*40)/(((F907*60+G907)/60)*(SUMIFS(팀수비력!Q:Q,팀수비력!A:A,B907,팀수비력!B:B,D907)-SUMIFS(팀수비력!N:N,팀수비력!A:A,B907,팀수비력!B:B,D907)))*100,"")</f>
        <v>1.2378791004745204</v>
      </c>
      <c r="BO907" s="67">
        <f t="shared" si="451"/>
        <v>10.245901639344263</v>
      </c>
      <c r="BT907" t="s">
        <v>89</v>
      </c>
      <c r="BV907" t="s">
        <v>93</v>
      </c>
      <c r="CF907">
        <v>0</v>
      </c>
      <c r="CG907">
        <v>6</v>
      </c>
    </row>
    <row r="908" spans="1:85" x14ac:dyDescent="0.4">
      <c r="A908" s="11" t="s">
        <v>85</v>
      </c>
      <c r="B908" t="s">
        <v>224</v>
      </c>
      <c r="C908" t="s">
        <v>228</v>
      </c>
      <c r="D908" s="46" t="s">
        <v>312</v>
      </c>
      <c r="E908">
        <v>1</v>
      </c>
      <c r="F908">
        <v>1</v>
      </c>
      <c r="G908" s="1">
        <v>53</v>
      </c>
      <c r="H908" s="16">
        <f t="shared" si="426"/>
        <v>113</v>
      </c>
      <c r="I908">
        <v>0</v>
      </c>
      <c r="J908" s="17">
        <f t="shared" si="427"/>
        <v>0</v>
      </c>
      <c r="K908">
        <v>0</v>
      </c>
      <c r="L908">
        <v>0</v>
      </c>
      <c r="M908" s="17">
        <f t="shared" si="428"/>
        <v>0</v>
      </c>
      <c r="N908" s="17">
        <f t="shared" si="429"/>
        <v>0</v>
      </c>
      <c r="O908" s="18" t="e">
        <f t="shared" si="430"/>
        <v>#DIV/0!</v>
      </c>
      <c r="P908">
        <v>0</v>
      </c>
      <c r="Q908">
        <v>0</v>
      </c>
      <c r="R908" s="17">
        <f t="shared" si="431"/>
        <v>0</v>
      </c>
      <c r="S908" s="17">
        <f t="shared" si="432"/>
        <v>0</v>
      </c>
      <c r="T908" s="18" t="e">
        <f t="shared" si="433"/>
        <v>#DIV/0!</v>
      </c>
      <c r="U908">
        <v>0</v>
      </c>
      <c r="V908">
        <v>0</v>
      </c>
      <c r="W908" s="17">
        <f t="shared" si="434"/>
        <v>0</v>
      </c>
      <c r="X908" s="17">
        <f t="shared" si="435"/>
        <v>0</v>
      </c>
      <c r="Y908" s="18" t="e">
        <f t="shared" si="436"/>
        <v>#DIV/0!</v>
      </c>
      <c r="Z908">
        <v>0</v>
      </c>
      <c r="AA908">
        <v>0</v>
      </c>
      <c r="AB908" s="17">
        <f t="shared" si="437"/>
        <v>0</v>
      </c>
      <c r="AC908" s="17">
        <f t="shared" si="438"/>
        <v>0</v>
      </c>
      <c r="AD908" s="18" t="e">
        <f t="shared" si="439"/>
        <v>#DIV/0!</v>
      </c>
      <c r="AE908">
        <v>1</v>
      </c>
      <c r="AF908" s="17">
        <f t="shared" si="440"/>
        <v>1</v>
      </c>
      <c r="AG908">
        <v>0</v>
      </c>
      <c r="AH908" s="17">
        <f t="shared" si="441"/>
        <v>0</v>
      </c>
      <c r="AI908">
        <v>1</v>
      </c>
      <c r="AJ908" s="17">
        <f t="shared" si="442"/>
        <v>1</v>
      </c>
      <c r="AK908">
        <v>0</v>
      </c>
      <c r="AL908" s="17">
        <f t="shared" si="443"/>
        <v>0</v>
      </c>
      <c r="AM908">
        <v>0</v>
      </c>
      <c r="AN908" s="17">
        <f t="shared" si="444"/>
        <v>0</v>
      </c>
      <c r="AO908">
        <v>0</v>
      </c>
      <c r="AQ908">
        <v>0</v>
      </c>
      <c r="AR908" s="17">
        <f t="shared" si="445"/>
        <v>0</v>
      </c>
      <c r="AS908">
        <v>0</v>
      </c>
      <c r="AT908" s="17">
        <f t="shared" si="446"/>
        <v>0</v>
      </c>
      <c r="BD908" s="65" t="str">
        <f t="shared" si="447"/>
        <v/>
      </c>
      <c r="BE908" s="65" t="str">
        <f t="shared" si="448"/>
        <v/>
      </c>
      <c r="BF908" s="66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0</v>
      </c>
      <c r="BG908" s="38" t="str">
        <f t="shared" si="449"/>
        <v/>
      </c>
      <c r="BH908" s="38" t="str">
        <f t="shared" si="450"/>
        <v/>
      </c>
      <c r="BI908" s="67">
        <f>IFERROR(((AG908*(12000/5))/((F908*60+G908)*(SUMIFS(팀공격력!X:X,팀공격력!A:A,B908,팀공격력!B:B,D908)+SUMIFS(팀수비력!X:X,팀수비력!A:A,B908,팀수비력!B:B,D908))))*100,"")</f>
        <v>0</v>
      </c>
      <c r="BJ908" s="67">
        <f>IFERROR(((AI908*(12000/5))/((F908*60+G908)*(SUMIFS(팀공격력!V:V,팀공격력!A:A,B908,팀공격력!B:B,D908)+SUMIFS(팀수비력!W:W,팀수비력!A:A,B908,팀수비력!B:B,D908))))*100,"")</f>
        <v>6.3780594754046085</v>
      </c>
      <c r="BK908" s="67">
        <f>IFERROR(((AE908*(12000/5))/((F908*60+G908)*(SUMIFS(팀공격력!X:X,팀공격력!A:A,B908,팀공격력!B:B,D908)+SUMIFS(팀수비력!X:X,팀수비력!A:A,B908,팀수비력!B:B,D908))))*100,"")</f>
        <v>3.3134068725580881</v>
      </c>
      <c r="BL908" s="67">
        <f>IFERROR(100*AK908/(((((F908*60+G908)/(12000/5))*SUMIFS(팀공격력!P:P,팀공격력!A:A,B908,팀공격력!B:B,D908))-K908)),"")</f>
        <v>0</v>
      </c>
      <c r="BM908" s="67">
        <f>IFERROR(100*((AM908/E908*(2400))/((F908*60+G908)*SUMIFS(팀공격력!AR:AR,팀공격력!A:A,B908,팀공격력!B:B,D908))),"")</f>
        <v>0</v>
      </c>
      <c r="BN908" s="67">
        <f>IFERROR((AO908*40)/(((F908*60+G908)/60)*(SUMIFS(팀수비력!Q:Q,팀수비력!A:A,B908,팀수비력!B:B,D908)-SUMIFS(팀수비력!N:N,팀수비력!A:A,B908,팀수비력!B:B,D908)))*100,"")</f>
        <v>0</v>
      </c>
      <c r="BO908" s="67" t="str">
        <f t="shared" si="451"/>
        <v/>
      </c>
      <c r="BT908" t="s">
        <v>89</v>
      </c>
      <c r="BV908" t="s">
        <v>102</v>
      </c>
      <c r="CF908">
        <v>0</v>
      </c>
      <c r="CG908">
        <v>1</v>
      </c>
    </row>
    <row r="909" spans="1:85" x14ac:dyDescent="0.4">
      <c r="A909" s="11" t="s">
        <v>85</v>
      </c>
      <c r="B909" t="s">
        <v>224</v>
      </c>
      <c r="C909" t="s">
        <v>229</v>
      </c>
      <c r="D909" s="46" t="s">
        <v>312</v>
      </c>
      <c r="E909">
        <v>2</v>
      </c>
      <c r="F909">
        <v>1</v>
      </c>
      <c r="G909" s="1">
        <v>0</v>
      </c>
      <c r="H909" s="16">
        <f t="shared" si="426"/>
        <v>120</v>
      </c>
      <c r="I909">
        <v>0</v>
      </c>
      <c r="J909" s="17">
        <f t="shared" si="427"/>
        <v>0</v>
      </c>
      <c r="K909">
        <v>0</v>
      </c>
      <c r="L909">
        <v>0</v>
      </c>
      <c r="M909" s="17">
        <f t="shared" si="428"/>
        <v>0</v>
      </c>
      <c r="N909" s="17">
        <f t="shared" si="429"/>
        <v>0</v>
      </c>
      <c r="O909" s="18" t="e">
        <f t="shared" si="430"/>
        <v>#DIV/0!</v>
      </c>
      <c r="P909">
        <v>0</v>
      </c>
      <c r="Q909">
        <v>0</v>
      </c>
      <c r="R909" s="17">
        <f t="shared" si="431"/>
        <v>0</v>
      </c>
      <c r="S909" s="17">
        <f t="shared" si="432"/>
        <v>0</v>
      </c>
      <c r="T909" s="18" t="e">
        <f t="shared" si="433"/>
        <v>#DIV/0!</v>
      </c>
      <c r="U909">
        <v>0</v>
      </c>
      <c r="V909">
        <v>0</v>
      </c>
      <c r="W909" s="17">
        <f t="shared" si="434"/>
        <v>0</v>
      </c>
      <c r="X909" s="17">
        <f t="shared" si="435"/>
        <v>0</v>
      </c>
      <c r="Y909" s="18" t="e">
        <f t="shared" si="436"/>
        <v>#DIV/0!</v>
      </c>
      <c r="Z909">
        <v>0</v>
      </c>
      <c r="AA909">
        <v>0</v>
      </c>
      <c r="AB909" s="17">
        <f t="shared" si="437"/>
        <v>0</v>
      </c>
      <c r="AC909" s="17">
        <f t="shared" si="438"/>
        <v>0</v>
      </c>
      <c r="AD909" s="18" t="e">
        <f t="shared" si="439"/>
        <v>#DIV/0!</v>
      </c>
      <c r="AE909">
        <v>0</v>
      </c>
      <c r="AF909" s="17">
        <f t="shared" si="440"/>
        <v>0</v>
      </c>
      <c r="AG909">
        <v>0</v>
      </c>
      <c r="AH909" s="17">
        <f t="shared" si="441"/>
        <v>0</v>
      </c>
      <c r="AI909">
        <v>0</v>
      </c>
      <c r="AJ909" s="17">
        <f t="shared" si="442"/>
        <v>0</v>
      </c>
      <c r="AK909">
        <v>0</v>
      </c>
      <c r="AL909" s="17">
        <f t="shared" si="443"/>
        <v>0</v>
      </c>
      <c r="AM909">
        <v>0</v>
      </c>
      <c r="AN909" s="17">
        <f t="shared" si="444"/>
        <v>0</v>
      </c>
      <c r="AO909">
        <v>0</v>
      </c>
      <c r="AQ909">
        <v>0</v>
      </c>
      <c r="AR909" s="17">
        <f t="shared" si="445"/>
        <v>0</v>
      </c>
      <c r="AS909">
        <v>1</v>
      </c>
      <c r="AT909" s="17">
        <f t="shared" si="446"/>
        <v>0.5</v>
      </c>
      <c r="BD909" s="65" t="str">
        <f t="shared" si="447"/>
        <v/>
      </c>
      <c r="BE909" s="65" t="str">
        <f t="shared" si="448"/>
        <v/>
      </c>
      <c r="BF909" s="66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0</v>
      </c>
      <c r="BG909" s="38" t="str">
        <f t="shared" si="449"/>
        <v/>
      </c>
      <c r="BH909" s="38" t="str">
        <f t="shared" si="450"/>
        <v/>
      </c>
      <c r="BI909" s="67">
        <f>IFERROR(((AG909*(12000/5))/((F909*60+G909)*(SUMIFS(팀공격력!X:X,팀공격력!A:A,B909,팀공격력!B:B,D909)+SUMIFS(팀수비력!X:X,팀수비력!A:A,B909,팀수비력!B:B,D909))))*100,"")</f>
        <v>0</v>
      </c>
      <c r="BJ909" s="67">
        <f>IFERROR(((AI909*(12000/5))/((F909*60+G909)*(SUMIFS(팀공격력!V:V,팀공격력!A:A,B909,팀공격력!B:B,D909)+SUMIFS(팀수비력!W:W,팀수비력!A:A,B909,팀수비력!B:B,D909))))*100,"")</f>
        <v>0</v>
      </c>
      <c r="BK909" s="67">
        <f>IFERROR(((AE909*(12000/5))/((F909*60+G909)*(SUMIFS(팀공격력!X:X,팀공격력!A:A,B909,팀공격력!B:B,D909)+SUMIFS(팀수비력!X:X,팀수비력!A:A,B909,팀수비력!B:B,D909))))*100,"")</f>
        <v>0</v>
      </c>
      <c r="BL909" s="67">
        <f>IFERROR(100*AK909/(((((F909*60+G909)/(12000/5))*SUMIFS(팀공격력!P:P,팀공격력!A:A,B909,팀공격력!B:B,D909))-K909)),"")</f>
        <v>0</v>
      </c>
      <c r="BM909" s="67">
        <f>IFERROR(100*((AM909/E909*(2400))/((F909*60+G909)*SUMIFS(팀공격력!AR:AR,팀공격력!A:A,B909,팀공격력!B:B,D909))),"")</f>
        <v>0</v>
      </c>
      <c r="BN909" s="67">
        <f>IFERROR((AO909*40)/(((F909*60+G909)/60)*(SUMIFS(팀수비력!Q:Q,팀수비력!A:A,B909,팀수비력!B:B,D909)-SUMIFS(팀수비력!N:N,팀수비력!A:A,B909,팀수비력!B:B,D909)))*100,"")</f>
        <v>0</v>
      </c>
      <c r="BO909" s="67" t="str">
        <f t="shared" si="451"/>
        <v/>
      </c>
      <c r="BT909" t="s">
        <v>89</v>
      </c>
      <c r="BV909" t="s">
        <v>93</v>
      </c>
      <c r="CF909">
        <v>1</v>
      </c>
      <c r="CG909">
        <v>1</v>
      </c>
    </row>
    <row r="910" spans="1:85" x14ac:dyDescent="0.4">
      <c r="A910" s="11" t="s">
        <v>85</v>
      </c>
      <c r="B910" t="s">
        <v>224</v>
      </c>
      <c r="C910" t="s">
        <v>231</v>
      </c>
      <c r="D910" s="46" t="s">
        <v>312</v>
      </c>
      <c r="E910">
        <v>1</v>
      </c>
      <c r="F910">
        <v>28</v>
      </c>
      <c r="G910" s="1">
        <v>18</v>
      </c>
      <c r="H910" s="16">
        <f t="shared" si="426"/>
        <v>1698</v>
      </c>
      <c r="I910">
        <v>17</v>
      </c>
      <c r="J910" s="17">
        <f t="shared" si="427"/>
        <v>17</v>
      </c>
      <c r="K910">
        <v>6</v>
      </c>
      <c r="L910">
        <v>12</v>
      </c>
      <c r="M910" s="17">
        <f t="shared" si="428"/>
        <v>6</v>
      </c>
      <c r="N910" s="17">
        <f t="shared" si="429"/>
        <v>12</v>
      </c>
      <c r="O910" s="18">
        <f t="shared" si="430"/>
        <v>0.5</v>
      </c>
      <c r="P910">
        <v>5</v>
      </c>
      <c r="Q910">
        <v>9</v>
      </c>
      <c r="R910" s="17">
        <f t="shared" si="431"/>
        <v>5</v>
      </c>
      <c r="S910" s="17">
        <f t="shared" si="432"/>
        <v>9</v>
      </c>
      <c r="T910" s="18">
        <f t="shared" si="433"/>
        <v>0.55555555555555558</v>
      </c>
      <c r="U910">
        <v>1</v>
      </c>
      <c r="V910">
        <v>3</v>
      </c>
      <c r="W910" s="17">
        <f t="shared" si="434"/>
        <v>1</v>
      </c>
      <c r="X910" s="17">
        <f t="shared" si="435"/>
        <v>3</v>
      </c>
      <c r="Y910" s="18">
        <f t="shared" si="436"/>
        <v>0.33333333333333331</v>
      </c>
      <c r="Z910">
        <v>4</v>
      </c>
      <c r="AA910">
        <v>5</v>
      </c>
      <c r="AB910" s="17">
        <f t="shared" si="437"/>
        <v>4</v>
      </c>
      <c r="AC910" s="17">
        <f t="shared" si="438"/>
        <v>5</v>
      </c>
      <c r="AD910" s="18">
        <f t="shared" si="439"/>
        <v>0.8</v>
      </c>
      <c r="AE910">
        <v>4</v>
      </c>
      <c r="AF910" s="17">
        <f t="shared" si="440"/>
        <v>4</v>
      </c>
      <c r="AG910">
        <v>2</v>
      </c>
      <c r="AH910" s="17">
        <f t="shared" si="441"/>
        <v>2</v>
      </c>
      <c r="AI910">
        <v>2</v>
      </c>
      <c r="AJ910" s="17">
        <f t="shared" si="442"/>
        <v>2</v>
      </c>
      <c r="AK910">
        <v>3</v>
      </c>
      <c r="AL910" s="17">
        <f t="shared" si="443"/>
        <v>3</v>
      </c>
      <c r="AM910">
        <v>4</v>
      </c>
      <c r="AN910" s="17">
        <f t="shared" si="444"/>
        <v>4</v>
      </c>
      <c r="AO910">
        <v>1</v>
      </c>
      <c r="AQ910">
        <v>1</v>
      </c>
      <c r="AR910" s="17">
        <f t="shared" si="445"/>
        <v>1</v>
      </c>
      <c r="AS910">
        <v>2</v>
      </c>
      <c r="AT910" s="17">
        <f t="shared" si="446"/>
        <v>2</v>
      </c>
      <c r="BD910" s="65">
        <f t="shared" si="447"/>
        <v>59.859154929577464</v>
      </c>
      <c r="BE910" s="65">
        <f t="shared" si="448"/>
        <v>54.166666666666664</v>
      </c>
      <c r="BF910" s="66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3.0825440398199793</v>
      </c>
      <c r="BG910" s="38">
        <f t="shared" si="449"/>
        <v>0.25</v>
      </c>
      <c r="BH910" s="38">
        <f t="shared" si="450"/>
        <v>0.41666666666666669</v>
      </c>
      <c r="BI910" s="67">
        <f>IFERROR(((AG910*(12000/5))/((F910*60+G910)*(SUMIFS(팀공격력!X:X,팀공격력!A:A,B910,팀공격력!B:B,D910)+SUMIFS(팀수비력!X:X,팀수비력!A:A,B910,팀수비력!B:B,D910))))*100,"")</f>
        <v>0.4410070395748692</v>
      </c>
      <c r="BJ910" s="67">
        <f>IFERROR(((AI910*(12000/5))/((F910*60+G910)*(SUMIFS(팀공격력!V:V,팀공격력!A:A,B910,팀공격력!B:B,D910)+SUMIFS(팀수비력!W:W,팀수비력!A:A,B910,팀수비력!B:B,D910))))*100,"")</f>
        <v>0.84890544254501843</v>
      </c>
      <c r="BK910" s="67">
        <f>IFERROR(((AE910*(12000/5))/((F910*60+G910)*(SUMIFS(팀공격력!X:X,팀공격력!A:A,B910,팀공격력!B:B,D910)+SUMIFS(팀수비력!X:X,팀수비력!A:A,B910,팀수비력!B:B,D910))))*100,"")</f>
        <v>0.88201407914973839</v>
      </c>
      <c r="BL910" s="67">
        <f>IFERROR(100*AK910/(((((F910*60+G910)/(12000/5))*SUMIFS(팀공격력!P:P,팀공격력!A:A,B910,팀공격력!B:B,D910))-K910)),"")</f>
        <v>1.6530064053998208</v>
      </c>
      <c r="BM910" s="67">
        <f>IFERROR(100*((AM910/E910*(2400))/((F910*60+G910)*SUMIFS(팀공격력!AR:AR,팀공격력!A:A,B910,팀공격력!B:B,D910))),"")</f>
        <v>8.0557869123571937</v>
      </c>
      <c r="BN910" s="67">
        <f>IFERROR((AO910*40)/(((F910*60+G910)/60)*(SUMIFS(팀수비력!Q:Q,팀수비력!A:A,B910,팀수비력!B:B,D910)-SUMIFS(팀수비력!N:N,팀수비력!A:A,B910,팀수비력!B:B,D910)))*100,"")</f>
        <v>0.3820074491452583</v>
      </c>
      <c r="BO910" s="67">
        <f t="shared" si="451"/>
        <v>6.5789473684210531</v>
      </c>
      <c r="BT910" t="s">
        <v>113</v>
      </c>
      <c r="BV910" t="s">
        <v>90</v>
      </c>
      <c r="CF910">
        <v>1</v>
      </c>
      <c r="CG910">
        <v>0</v>
      </c>
    </row>
    <row r="911" spans="1:85" x14ac:dyDescent="0.4">
      <c r="A911" s="11" t="s">
        <v>85</v>
      </c>
      <c r="B911" t="s">
        <v>224</v>
      </c>
      <c r="C911" t="s">
        <v>232</v>
      </c>
      <c r="D911" s="46" t="s">
        <v>312</v>
      </c>
      <c r="E911">
        <v>9</v>
      </c>
      <c r="F911">
        <v>22</v>
      </c>
      <c r="G911" s="1">
        <v>57</v>
      </c>
      <c r="H911" s="16">
        <f t="shared" si="426"/>
        <v>12393</v>
      </c>
      <c r="I911">
        <v>141</v>
      </c>
      <c r="J911" s="17">
        <f t="shared" si="427"/>
        <v>15.666666666666666</v>
      </c>
      <c r="K911">
        <v>53</v>
      </c>
      <c r="L911">
        <v>107</v>
      </c>
      <c r="M911" s="17">
        <f t="shared" si="428"/>
        <v>5.8888888888888893</v>
      </c>
      <c r="N911" s="17">
        <f t="shared" si="429"/>
        <v>11.888888888888889</v>
      </c>
      <c r="O911" s="18">
        <f t="shared" si="430"/>
        <v>0.49532710280373832</v>
      </c>
      <c r="P911">
        <v>39</v>
      </c>
      <c r="Q911">
        <v>66</v>
      </c>
      <c r="R911" s="17">
        <f t="shared" si="431"/>
        <v>4.333333333333333</v>
      </c>
      <c r="S911" s="17">
        <f t="shared" si="432"/>
        <v>7.333333333333333</v>
      </c>
      <c r="T911" s="18">
        <f t="shared" si="433"/>
        <v>0.59090909090909094</v>
      </c>
      <c r="U911">
        <v>14</v>
      </c>
      <c r="V911">
        <v>41</v>
      </c>
      <c r="W911" s="17">
        <f t="shared" si="434"/>
        <v>1.5555555555555556</v>
      </c>
      <c r="X911" s="17">
        <f t="shared" si="435"/>
        <v>4.5555555555555554</v>
      </c>
      <c r="Y911" s="18">
        <f t="shared" si="436"/>
        <v>0.34146341463414637</v>
      </c>
      <c r="Z911">
        <v>21</v>
      </c>
      <c r="AA911">
        <v>26</v>
      </c>
      <c r="AB911" s="17">
        <f t="shared" si="437"/>
        <v>2.3333333333333335</v>
      </c>
      <c r="AC911" s="17">
        <f t="shared" si="438"/>
        <v>2.8888888888888888</v>
      </c>
      <c r="AD911" s="18">
        <f t="shared" si="439"/>
        <v>0.80769230769230771</v>
      </c>
      <c r="AE911">
        <v>42</v>
      </c>
      <c r="AF911" s="17">
        <f t="shared" si="440"/>
        <v>4.666666666666667</v>
      </c>
      <c r="AG911">
        <v>6</v>
      </c>
      <c r="AH911" s="17">
        <f t="shared" si="441"/>
        <v>0.66666666666666663</v>
      </c>
      <c r="AI911">
        <v>36</v>
      </c>
      <c r="AJ911" s="17">
        <f t="shared" si="442"/>
        <v>4</v>
      </c>
      <c r="AK911">
        <v>12</v>
      </c>
      <c r="AL911" s="17">
        <f t="shared" si="443"/>
        <v>1.3333333333333333</v>
      </c>
      <c r="AM911">
        <v>5</v>
      </c>
      <c r="AN911" s="17">
        <f t="shared" si="444"/>
        <v>0.55555555555555558</v>
      </c>
      <c r="AO911">
        <v>2</v>
      </c>
      <c r="AQ911">
        <v>16</v>
      </c>
      <c r="AR911" s="17">
        <f t="shared" si="445"/>
        <v>1.7777777777777777</v>
      </c>
      <c r="AS911">
        <v>19</v>
      </c>
      <c r="AT911" s="17">
        <f t="shared" si="446"/>
        <v>2.1111111111111112</v>
      </c>
      <c r="BD911" s="65">
        <f t="shared" si="447"/>
        <v>59.523809523809526</v>
      </c>
      <c r="BE911" s="65">
        <f t="shared" si="448"/>
        <v>56.074766355140184</v>
      </c>
      <c r="BF911" s="66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33.620018765592143</v>
      </c>
      <c r="BG911" s="38">
        <f t="shared" si="449"/>
        <v>0.38317757009345793</v>
      </c>
      <c r="BH911" s="38">
        <f t="shared" si="450"/>
        <v>0.24299065420560748</v>
      </c>
      <c r="BI911" s="67">
        <f>IFERROR(((AG911*(12000/5))/((F911*60+G911)*(SUMIFS(팀공격력!X:X,팀공격력!A:A,B911,팀공격력!B:B,D911)+SUMIFS(팀수비력!X:X,팀수비력!A:A,B911,팀수비력!B:B,D911))))*100,"")</f>
        <v>1.6314378065318693</v>
      </c>
      <c r="BJ911" s="67">
        <f>IFERROR(((AI911*(12000/5))/((F911*60+G911)*(SUMIFS(팀공격력!V:V,팀공격력!A:A,B911,팀공격력!B:B,D911)+SUMIFS(팀수비력!W:W,팀수비력!A:A,B911,팀수비력!B:B,D911))))*100,"")</f>
        <v>18.842371783548252</v>
      </c>
      <c r="BK911" s="67">
        <f>IFERROR(((AE911*(12000/5))/((F911*60+G911)*(SUMIFS(팀공격력!X:X,팀공격력!A:A,B911,팀공격력!B:B,D911)+SUMIFS(팀수비력!X:X,팀수비력!A:A,B911,팀수비력!B:B,D911))))*100,"")</f>
        <v>11.420064645723084</v>
      </c>
      <c r="BL911" s="67">
        <f>IFERROR(100*AK911/(((((F911*60+G911)/(12000/5))*SUMIFS(팀공격력!P:P,팀공격력!A:A,B911,팀공격력!B:B,D911))-K911)),"")</f>
        <v>12.115857891083488</v>
      </c>
      <c r="BM911" s="67">
        <f>IFERROR(100*((AM911/E911*(2400))/((F911*60+G911)*SUMIFS(팀공격력!AR:AR,팀공격력!A:A,B911,팀공격력!B:B,D911))),"")</f>
        <v>1.3796827016443269</v>
      </c>
      <c r="BN911" s="67">
        <f>IFERROR((AO911*40)/(((F911*60+G911)/60)*(SUMIFS(팀수비력!Q:Q,팀수비력!A:A,B911,팀수비력!B:B,D911)-SUMIFS(팀수비력!N:N,팀수비력!A:A,B911,팀수비력!B:B,D911)))*100,"")</f>
        <v>0.94211858917741276</v>
      </c>
      <c r="BO911" s="67">
        <f t="shared" si="451"/>
        <v>11.901219875037192</v>
      </c>
      <c r="BT911" t="s">
        <v>96</v>
      </c>
      <c r="BV911" t="s">
        <v>93</v>
      </c>
      <c r="CF911">
        <v>1</v>
      </c>
      <c r="CG911">
        <v>8</v>
      </c>
    </row>
    <row r="912" spans="1:85" x14ac:dyDescent="0.4">
      <c r="A912" s="11" t="s">
        <v>85</v>
      </c>
      <c r="B912" t="s">
        <v>224</v>
      </c>
      <c r="C912" t="s">
        <v>129</v>
      </c>
      <c r="D912" s="46" t="s">
        <v>312</v>
      </c>
      <c r="E912">
        <v>9</v>
      </c>
      <c r="F912">
        <v>29</v>
      </c>
      <c r="G912" s="1">
        <v>58</v>
      </c>
      <c r="H912" s="16">
        <f t="shared" si="426"/>
        <v>16182</v>
      </c>
      <c r="I912">
        <v>98</v>
      </c>
      <c r="J912" s="17">
        <f t="shared" si="427"/>
        <v>10.888888888888889</v>
      </c>
      <c r="K912">
        <v>39</v>
      </c>
      <c r="L912">
        <v>86</v>
      </c>
      <c r="M912" s="17">
        <f t="shared" si="428"/>
        <v>4.333333333333333</v>
      </c>
      <c r="N912" s="17">
        <f t="shared" si="429"/>
        <v>9.5555555555555554</v>
      </c>
      <c r="O912" s="18">
        <f t="shared" si="430"/>
        <v>0.45348837209302323</v>
      </c>
      <c r="P912">
        <v>29</v>
      </c>
      <c r="Q912">
        <v>54</v>
      </c>
      <c r="R912" s="17">
        <f t="shared" si="431"/>
        <v>3.2222222222222223</v>
      </c>
      <c r="S912" s="17">
        <f t="shared" si="432"/>
        <v>6</v>
      </c>
      <c r="T912" s="18">
        <f t="shared" si="433"/>
        <v>0.53703703703703709</v>
      </c>
      <c r="U912">
        <v>10</v>
      </c>
      <c r="V912">
        <v>32</v>
      </c>
      <c r="W912" s="17">
        <f t="shared" si="434"/>
        <v>1.1111111111111112</v>
      </c>
      <c r="X912" s="17">
        <f t="shared" si="435"/>
        <v>3.5555555555555554</v>
      </c>
      <c r="Y912" s="18">
        <f t="shared" si="436"/>
        <v>0.3125</v>
      </c>
      <c r="Z912">
        <v>10</v>
      </c>
      <c r="AA912">
        <v>11</v>
      </c>
      <c r="AB912" s="17">
        <f t="shared" si="437"/>
        <v>1.1111111111111112</v>
      </c>
      <c r="AC912" s="17">
        <f t="shared" si="438"/>
        <v>1.2222222222222223</v>
      </c>
      <c r="AD912" s="18">
        <f t="shared" si="439"/>
        <v>0.90909090909090906</v>
      </c>
      <c r="AE912">
        <v>27</v>
      </c>
      <c r="AF912" s="17">
        <f t="shared" si="440"/>
        <v>3</v>
      </c>
      <c r="AG912">
        <v>6</v>
      </c>
      <c r="AH912" s="17">
        <f t="shared" si="441"/>
        <v>0.66666666666666663</v>
      </c>
      <c r="AI912">
        <v>21</v>
      </c>
      <c r="AJ912" s="17">
        <f t="shared" si="442"/>
        <v>2.3333333333333335</v>
      </c>
      <c r="AK912">
        <v>31</v>
      </c>
      <c r="AL912" s="17">
        <f t="shared" si="443"/>
        <v>3.4444444444444446</v>
      </c>
      <c r="AM912">
        <v>11</v>
      </c>
      <c r="AN912" s="17">
        <f t="shared" si="444"/>
        <v>1.2222222222222223</v>
      </c>
      <c r="AO912">
        <v>3</v>
      </c>
      <c r="AQ912">
        <v>18</v>
      </c>
      <c r="AR912" s="17">
        <f t="shared" si="445"/>
        <v>2</v>
      </c>
      <c r="AS912">
        <v>30</v>
      </c>
      <c r="AT912" s="17">
        <f t="shared" si="446"/>
        <v>3.3333333333333335</v>
      </c>
      <c r="BD912" s="65">
        <f t="shared" si="447"/>
        <v>53.940995156318806</v>
      </c>
      <c r="BE912" s="65">
        <f t="shared" si="448"/>
        <v>51.162790697674424</v>
      </c>
      <c r="BF912" s="66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20.845016041699225</v>
      </c>
      <c r="BG912" s="38">
        <f t="shared" si="449"/>
        <v>0.37209302325581395</v>
      </c>
      <c r="BH912" s="38">
        <f t="shared" si="450"/>
        <v>0.12790697674418605</v>
      </c>
      <c r="BI912" s="67">
        <f>IFERROR(((AG912*(12000/5))/((F912*60+G912)*(SUMIFS(팀공격력!X:X,팀공격력!A:A,B912,팀공격력!B:B,D912)+SUMIFS(팀수비력!X:X,팀수비력!A:A,B912,팀수비력!B:B,D912))))*100,"")</f>
        <v>1.2494381866487116</v>
      </c>
      <c r="BJ912" s="67">
        <f>IFERROR(((AI912*(12000/5))/((F912*60+G912)*(SUMIFS(팀공격력!V:V,팀공격력!A:A,B912,팀공격력!B:B,D912)+SUMIFS(팀수비력!W:W,팀수비력!A:A,B912,팀수비력!B:B,D912))))*100,"")</f>
        <v>8.4177614767158708</v>
      </c>
      <c r="BK912" s="67">
        <f>IFERROR(((AE912*(12000/5))/((F912*60+G912)*(SUMIFS(팀공격력!X:X,팀공격력!A:A,B912,팀공격력!B:B,D912)+SUMIFS(팀수비력!X:X,팀수비력!A:A,B912,팀수비력!B:B,D912))))*100,"")</f>
        <v>5.6224718399192026</v>
      </c>
      <c r="BL912" s="67">
        <f>IFERROR(100*AK912/(((((F912*60+G912)/(12000/5))*SUMIFS(팀공격력!P:P,팀공격력!A:A,B912,팀공격력!B:B,D912))-K912)),"")</f>
        <v>19.432183247577505</v>
      </c>
      <c r="BM912" s="67">
        <f>IFERROR(100*((AM912/E912*(2400))/((F912*60+G912)*SUMIFS(팀공격력!AR:AR,팀공격력!A:A,B912,팀공격력!B:B,D912))),"")</f>
        <v>2.3245888633822713</v>
      </c>
      <c r="BN912" s="67">
        <f>IFERROR((AO912*40)/(((F912*60+G912)/60)*(SUMIFS(팀수비력!Q:Q,팀수비력!A:A,B912,팀수비력!B:B,D912)-SUMIFS(팀수비력!N:N,팀수비력!A:A,B912,팀수비력!B:B,D912)))*100,"")</f>
        <v>1.0822836184348978</v>
      </c>
      <c r="BO912" s="67">
        <f t="shared" si="451"/>
        <v>16.5380374862183</v>
      </c>
      <c r="BT912" t="s">
        <v>89</v>
      </c>
      <c r="BV912" t="s">
        <v>93</v>
      </c>
      <c r="CF912">
        <v>1</v>
      </c>
      <c r="CG912">
        <v>8</v>
      </c>
    </row>
    <row r="913" spans="1:85" x14ac:dyDescent="0.4">
      <c r="A913" s="11" t="s">
        <v>85</v>
      </c>
      <c r="B913" t="s">
        <v>224</v>
      </c>
      <c r="C913" t="s">
        <v>234</v>
      </c>
      <c r="D913" s="46" t="s">
        <v>312</v>
      </c>
      <c r="E913">
        <v>4</v>
      </c>
      <c r="F913">
        <v>19</v>
      </c>
      <c r="G913" s="1">
        <v>42</v>
      </c>
      <c r="H913" s="16">
        <f t="shared" si="426"/>
        <v>4728</v>
      </c>
      <c r="I913">
        <v>24</v>
      </c>
      <c r="J913" s="17">
        <f t="shared" si="427"/>
        <v>6</v>
      </c>
      <c r="K913">
        <v>9</v>
      </c>
      <c r="L913">
        <v>28</v>
      </c>
      <c r="M913" s="17">
        <f t="shared" si="428"/>
        <v>2.25</v>
      </c>
      <c r="N913" s="17">
        <f t="shared" si="429"/>
        <v>7</v>
      </c>
      <c r="O913" s="18">
        <f t="shared" si="430"/>
        <v>0.32142857142857145</v>
      </c>
      <c r="P913">
        <v>5</v>
      </c>
      <c r="Q913">
        <v>14</v>
      </c>
      <c r="R913" s="17">
        <f t="shared" si="431"/>
        <v>1.25</v>
      </c>
      <c r="S913" s="17">
        <f t="shared" si="432"/>
        <v>3.5</v>
      </c>
      <c r="T913" s="18">
        <f t="shared" si="433"/>
        <v>0.35714285714285715</v>
      </c>
      <c r="U913">
        <v>4</v>
      </c>
      <c r="V913">
        <v>14</v>
      </c>
      <c r="W913" s="17">
        <f t="shared" si="434"/>
        <v>1</v>
      </c>
      <c r="X913" s="17">
        <f t="shared" si="435"/>
        <v>3.5</v>
      </c>
      <c r="Y913" s="18">
        <f t="shared" si="436"/>
        <v>0.2857142857142857</v>
      </c>
      <c r="Z913">
        <v>2</v>
      </c>
      <c r="AA913">
        <v>2</v>
      </c>
      <c r="AB913" s="17">
        <f t="shared" si="437"/>
        <v>0.5</v>
      </c>
      <c r="AC913" s="17">
        <f t="shared" si="438"/>
        <v>0.5</v>
      </c>
      <c r="AD913" s="18">
        <f t="shared" si="439"/>
        <v>1</v>
      </c>
      <c r="AE913">
        <v>5</v>
      </c>
      <c r="AF913" s="17">
        <f t="shared" si="440"/>
        <v>1.25</v>
      </c>
      <c r="AG913">
        <v>2</v>
      </c>
      <c r="AH913" s="17">
        <f t="shared" si="441"/>
        <v>0.5</v>
      </c>
      <c r="AI913">
        <v>3</v>
      </c>
      <c r="AJ913" s="17">
        <f t="shared" si="442"/>
        <v>0.75</v>
      </c>
      <c r="AK913">
        <v>3</v>
      </c>
      <c r="AL913" s="17">
        <f t="shared" si="443"/>
        <v>0.75</v>
      </c>
      <c r="AM913">
        <v>0</v>
      </c>
      <c r="AN913" s="17">
        <f t="shared" si="444"/>
        <v>0</v>
      </c>
      <c r="AO913">
        <v>1</v>
      </c>
      <c r="AQ913">
        <v>3</v>
      </c>
      <c r="AR913" s="17">
        <f t="shared" si="445"/>
        <v>0.75</v>
      </c>
      <c r="AS913">
        <v>5</v>
      </c>
      <c r="AT913" s="17">
        <f t="shared" si="446"/>
        <v>1.25</v>
      </c>
      <c r="BD913" s="65">
        <f t="shared" si="447"/>
        <v>41.551246537396125</v>
      </c>
      <c r="BE913" s="65">
        <f t="shared" si="448"/>
        <v>39.285714285714285</v>
      </c>
      <c r="BF913" s="66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9.2876154251327296</v>
      </c>
      <c r="BG913" s="38">
        <f t="shared" si="449"/>
        <v>0.5</v>
      </c>
      <c r="BH913" s="38">
        <f t="shared" si="450"/>
        <v>7.1428571428571425E-2</v>
      </c>
      <c r="BI913" s="67">
        <f>IFERROR(((AG913*(12000/5))/((F913*60+G913)*(SUMIFS(팀공격력!X:X,팀공격력!A:A,B913,팀공격력!B:B,D913)+SUMIFS(팀수비력!X:X,팀수비력!A:A,B913,팀수비력!B:B,D913))))*100,"")</f>
        <v>0.63352787918623343</v>
      </c>
      <c r="BJ913" s="67">
        <f>IFERROR(((AI913*(12000/5))/((F913*60+G913)*(SUMIFS(팀공격력!V:V,팀공격력!A:A,B913,팀공격력!B:B,D913)+SUMIFS(팀수비력!W:W,팀수비력!A:A,B913,팀수비력!B:B,D913))))*100,"")</f>
        <v>1.8292404079206108</v>
      </c>
      <c r="BK913" s="67">
        <f>IFERROR(((AE913*(12000/5))/((F913*60+G913)*(SUMIFS(팀공격력!X:X,팀공격력!A:A,B913,팀공격력!B:B,D913)+SUMIFS(팀수비력!X:X,팀수비력!A:A,B913,팀수비력!B:B,D913))))*100,"")</f>
        <v>1.5838196979655834</v>
      </c>
      <c r="BL913" s="67">
        <f>IFERROR(100*AK913/(((((F913*60+G913)/(12000/5))*SUMIFS(팀공격력!P:P,팀공격력!A:A,B913,팀공격력!B:B,D913))-K913)),"")</f>
        <v>2.468881802283716</v>
      </c>
      <c r="BM913" s="67">
        <f>IFERROR(100*((AM913/E913*(2400))/((F913*60+G913)*SUMIFS(팀공격력!AR:AR,팀공격력!A:A,B913,팀공격력!B:B,D913))),"")</f>
        <v>0</v>
      </c>
      <c r="BN913" s="67">
        <f>IFERROR((AO913*40)/(((F913*60+G913)/60)*(SUMIFS(팀수비력!Q:Q,팀수비력!A:A,B913,팀수비력!B:B,D913)-SUMIFS(팀수비력!N:N,팀수비력!A:A,B913,팀수비력!B:B,D913)))*100,"")</f>
        <v>0.54877212237618334</v>
      </c>
      <c r="BO913" s="67">
        <f t="shared" si="451"/>
        <v>9.4102885821831865</v>
      </c>
      <c r="BT913" t="s">
        <v>89</v>
      </c>
      <c r="BV913" t="s">
        <v>90</v>
      </c>
      <c r="CF913">
        <v>1</v>
      </c>
      <c r="CG913">
        <v>3</v>
      </c>
    </row>
    <row r="914" spans="1:85" x14ac:dyDescent="0.4">
      <c r="A914" s="11" t="s">
        <v>85</v>
      </c>
      <c r="B914" t="s">
        <v>224</v>
      </c>
      <c r="C914" t="s">
        <v>237</v>
      </c>
      <c r="D914" s="46" t="s">
        <v>312</v>
      </c>
      <c r="E914">
        <v>5</v>
      </c>
      <c r="F914">
        <v>4</v>
      </c>
      <c r="G914" s="1">
        <v>20</v>
      </c>
      <c r="H914" s="16">
        <f t="shared" si="426"/>
        <v>1300</v>
      </c>
      <c r="I914">
        <v>3</v>
      </c>
      <c r="J914" s="17">
        <f t="shared" si="427"/>
        <v>0.6</v>
      </c>
      <c r="K914">
        <v>1</v>
      </c>
      <c r="L914">
        <v>7</v>
      </c>
      <c r="M914" s="17">
        <f t="shared" si="428"/>
        <v>0.2</v>
      </c>
      <c r="N914" s="17">
        <f t="shared" si="429"/>
        <v>1.4</v>
      </c>
      <c r="O914" s="18">
        <f t="shared" si="430"/>
        <v>0.14285714285714285</v>
      </c>
      <c r="P914">
        <v>0</v>
      </c>
      <c r="Q914">
        <v>3</v>
      </c>
      <c r="R914" s="17">
        <f t="shared" si="431"/>
        <v>0</v>
      </c>
      <c r="S914" s="17">
        <f t="shared" si="432"/>
        <v>0.6</v>
      </c>
      <c r="T914" s="18">
        <f t="shared" si="433"/>
        <v>0</v>
      </c>
      <c r="U914">
        <v>1</v>
      </c>
      <c r="V914">
        <v>4</v>
      </c>
      <c r="W914" s="17">
        <f t="shared" si="434"/>
        <v>0.2</v>
      </c>
      <c r="X914" s="17">
        <f t="shared" si="435"/>
        <v>0.8</v>
      </c>
      <c r="Y914" s="18">
        <f t="shared" si="436"/>
        <v>0.25</v>
      </c>
      <c r="Z914">
        <v>0</v>
      </c>
      <c r="AA914">
        <v>0</v>
      </c>
      <c r="AB914" s="17">
        <f t="shared" si="437"/>
        <v>0</v>
      </c>
      <c r="AC914" s="17">
        <f t="shared" si="438"/>
        <v>0</v>
      </c>
      <c r="AD914" s="18" t="e">
        <f t="shared" si="439"/>
        <v>#DIV/0!</v>
      </c>
      <c r="AE914">
        <v>2</v>
      </c>
      <c r="AF914" s="17">
        <f t="shared" si="440"/>
        <v>0.4</v>
      </c>
      <c r="AG914">
        <v>1</v>
      </c>
      <c r="AH914" s="17">
        <f t="shared" si="441"/>
        <v>0.2</v>
      </c>
      <c r="AI914">
        <v>1</v>
      </c>
      <c r="AJ914" s="17">
        <f t="shared" si="442"/>
        <v>0.2</v>
      </c>
      <c r="AK914">
        <v>3</v>
      </c>
      <c r="AL914" s="17">
        <f t="shared" si="443"/>
        <v>0.6</v>
      </c>
      <c r="AM914">
        <v>0</v>
      </c>
      <c r="AN914" s="17">
        <f t="shared" si="444"/>
        <v>0</v>
      </c>
      <c r="AO914">
        <v>0</v>
      </c>
      <c r="AQ914">
        <v>1</v>
      </c>
      <c r="AR914" s="17">
        <f t="shared" si="445"/>
        <v>0.2</v>
      </c>
      <c r="AS914">
        <v>4</v>
      </c>
      <c r="AT914" s="17">
        <f t="shared" si="446"/>
        <v>0.8</v>
      </c>
      <c r="BD914" s="65">
        <f t="shared" si="447"/>
        <v>21.428571428571427</v>
      </c>
      <c r="BE914" s="65">
        <f t="shared" si="448"/>
        <v>21.428571428571427</v>
      </c>
      <c r="BF914" s="66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10.595465140919686</v>
      </c>
      <c r="BG914" s="38">
        <f t="shared" si="449"/>
        <v>0.5714285714285714</v>
      </c>
      <c r="BH914" s="38">
        <f t="shared" si="450"/>
        <v>0</v>
      </c>
      <c r="BI914" s="67">
        <f>IFERROR(((AG914*(12000/5))/((F914*60+G914)*(SUMIFS(팀공격력!X:X,팀공격력!A:A,B914,팀공격력!B:B,D914)+SUMIFS(팀수비력!X:X,팀수비력!A:A,B914,팀수비력!B:B,D914))))*100,"")</f>
        <v>1.4400576023040921</v>
      </c>
      <c r="BJ914" s="67">
        <f>IFERROR(((AI914*(12000/5))/((F914*60+G914)*(SUMIFS(팀공격력!V:V,팀공격력!A:A,B914,팀공격력!B:B,D914)+SUMIFS(팀수비력!W:W,팀수비력!A:A,B914,팀수비력!B:B,D914))))*100,"")</f>
        <v>2.772002772002772</v>
      </c>
      <c r="BK914" s="67">
        <f>IFERROR(((AE914*(12000/5))/((F914*60+G914)*(SUMIFS(팀공격력!X:X,팀공격력!A:A,B914,팀공격력!B:B,D914)+SUMIFS(팀수비력!X:X,팀수비력!A:A,B914,팀수비력!B:B,D914))))*100,"")</f>
        <v>2.8801152046081842</v>
      </c>
      <c r="BL914" s="67">
        <f>IFERROR(100*AK914/(((((F914*60+G914)/(12000/5))*SUMIFS(팀공격력!P:P,팀공격력!A:A,B914,팀공격력!B:B,D914))-K914)),"")</f>
        <v>10.827067669172932</v>
      </c>
      <c r="BM914" s="67">
        <f>IFERROR(100*((AM914/E914*(2400))/((F914*60+G914)*SUMIFS(팀공격력!AR:AR,팀공격력!A:A,B914,팀공격력!B:B,D914))),"")</f>
        <v>0</v>
      </c>
      <c r="BN914" s="67">
        <f>IFERROR((AO914*40)/(((F914*60+G914)/60)*(SUMIFS(팀수비력!Q:Q,팀수비력!A:A,B914,팀수비력!B:B,D914)-SUMIFS(팀수비력!N:N,팀수비력!A:A,B914,팀수비력!B:B,D914)))*100,"")</f>
        <v>0</v>
      </c>
      <c r="BO914" s="67">
        <f t="shared" si="451"/>
        <v>12.5</v>
      </c>
      <c r="BT914" t="s">
        <v>89</v>
      </c>
      <c r="BV914" t="s">
        <v>90</v>
      </c>
      <c r="CF914">
        <v>0</v>
      </c>
      <c r="CG914">
        <v>5</v>
      </c>
    </row>
    <row r="915" spans="1:85" x14ac:dyDescent="0.4">
      <c r="A915" s="11" t="s">
        <v>85</v>
      </c>
      <c r="B915" t="s">
        <v>224</v>
      </c>
      <c r="C915" t="s">
        <v>238</v>
      </c>
      <c r="D915" s="46" t="s">
        <v>312</v>
      </c>
      <c r="E915">
        <v>9</v>
      </c>
      <c r="F915">
        <v>26</v>
      </c>
      <c r="G915" s="1">
        <v>48</v>
      </c>
      <c r="H915" s="16">
        <f t="shared" si="426"/>
        <v>14472</v>
      </c>
      <c r="I915">
        <v>57</v>
      </c>
      <c r="J915" s="17">
        <f t="shared" si="427"/>
        <v>6.333333333333333</v>
      </c>
      <c r="K915">
        <v>27</v>
      </c>
      <c r="L915">
        <v>50</v>
      </c>
      <c r="M915" s="17">
        <f t="shared" si="428"/>
        <v>3</v>
      </c>
      <c r="N915" s="17">
        <f t="shared" si="429"/>
        <v>5.5555555555555554</v>
      </c>
      <c r="O915" s="18">
        <f t="shared" si="430"/>
        <v>0.54</v>
      </c>
      <c r="P915">
        <v>26</v>
      </c>
      <c r="Q915">
        <v>43</v>
      </c>
      <c r="R915" s="17">
        <f t="shared" si="431"/>
        <v>2.8888888888888888</v>
      </c>
      <c r="S915" s="17">
        <f t="shared" si="432"/>
        <v>4.7777777777777777</v>
      </c>
      <c r="T915" s="18">
        <f t="shared" si="433"/>
        <v>0.60465116279069764</v>
      </c>
      <c r="U915">
        <v>1</v>
      </c>
      <c r="V915">
        <v>7</v>
      </c>
      <c r="W915" s="17">
        <f t="shared" si="434"/>
        <v>0.1111111111111111</v>
      </c>
      <c r="X915" s="17">
        <f t="shared" si="435"/>
        <v>0.77777777777777779</v>
      </c>
      <c r="Y915" s="18">
        <f t="shared" si="436"/>
        <v>0.14285714285714285</v>
      </c>
      <c r="Z915">
        <v>2</v>
      </c>
      <c r="AA915">
        <v>3</v>
      </c>
      <c r="AB915" s="17">
        <f t="shared" si="437"/>
        <v>0.22222222222222221</v>
      </c>
      <c r="AC915" s="17">
        <f t="shared" si="438"/>
        <v>0.33333333333333331</v>
      </c>
      <c r="AD915" s="18">
        <f t="shared" si="439"/>
        <v>0.66666666666666663</v>
      </c>
      <c r="AE915">
        <v>60</v>
      </c>
      <c r="AF915" s="17">
        <f t="shared" si="440"/>
        <v>6.666666666666667</v>
      </c>
      <c r="AG915">
        <v>21</v>
      </c>
      <c r="AH915" s="17">
        <f t="shared" si="441"/>
        <v>2.3333333333333335</v>
      </c>
      <c r="AI915">
        <v>39</v>
      </c>
      <c r="AJ915" s="17">
        <f t="shared" si="442"/>
        <v>4.333333333333333</v>
      </c>
      <c r="AK915">
        <v>13</v>
      </c>
      <c r="AL915" s="17">
        <f t="shared" si="443"/>
        <v>1.4444444444444444</v>
      </c>
      <c r="AM915">
        <v>6</v>
      </c>
      <c r="AN915" s="17">
        <f t="shared" si="444"/>
        <v>0.66666666666666663</v>
      </c>
      <c r="AO915">
        <v>10</v>
      </c>
      <c r="AQ915">
        <v>10</v>
      </c>
      <c r="AR915" s="17">
        <f t="shared" si="445"/>
        <v>1.1111111111111112</v>
      </c>
      <c r="AS915">
        <v>21</v>
      </c>
      <c r="AT915" s="17">
        <f t="shared" si="446"/>
        <v>2.3333333333333335</v>
      </c>
      <c r="BD915" s="65">
        <f t="shared" si="447"/>
        <v>55.533904910366324</v>
      </c>
      <c r="BE915" s="65">
        <f t="shared" si="448"/>
        <v>55.000000000000007</v>
      </c>
      <c r="BF915" s="66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13.13165577073311</v>
      </c>
      <c r="BG915" s="38">
        <f t="shared" si="449"/>
        <v>0.14000000000000001</v>
      </c>
      <c r="BH915" s="38">
        <f t="shared" si="450"/>
        <v>0.06</v>
      </c>
      <c r="BI915" s="67">
        <f>IFERROR(((AG915*(12000/5))/((F915*60+G915)*(SUMIFS(팀공격력!X:X,팀공격력!A:A,B915,팀공격력!B:B,D915)+SUMIFS(팀수비력!X:X,팀수비력!A:A,B915,팀수비력!B:B,D915))))*100,"")</f>
        <v>4.8897478287191189</v>
      </c>
      <c r="BJ915" s="67">
        <f>IFERROR(((AI915*(12000/5))/((F915*60+G915)*(SUMIFS(팀공격력!V:V,팀공격력!A:A,B915,팀공격력!B:B,D915)+SUMIFS(팀수비력!W:W,팀수비력!A:A,B915,팀수비력!B:B,D915))))*100,"")</f>
        <v>17.480166733898077</v>
      </c>
      <c r="BK915" s="67">
        <f>IFERROR(((AE915*(12000/5))/((F915*60+G915)*(SUMIFS(팀공격력!X:X,팀공격력!A:A,B915,팀공격력!B:B,D915)+SUMIFS(팀수비력!X:X,팀수비력!A:A,B915,팀수비력!B:B,D915))))*100,"")</f>
        <v>13.970708082054625</v>
      </c>
      <c r="BL915" s="67">
        <f>IFERROR(100*AK915/(((((F915*60+G915)/(12000/5))*SUMIFS(팀공격력!P:P,팀공격력!A:A,B915,팀공격력!B:B,D915))-K915)),"")</f>
        <v>8.6350049817336423</v>
      </c>
      <c r="BM915" s="67">
        <f>IFERROR(100*((AM915/E915*(2400))/((F915*60+G915)*SUMIFS(팀공격력!AR:AR,팀공격력!A:A,B915,팀공격력!B:B,D915))),"")</f>
        <v>1.4177784180330133</v>
      </c>
      <c r="BN915" s="67">
        <f>IFERROR((AO915*40)/(((F915*60+G915)/60)*(SUMIFS(팀수비력!Q:Q,팀수비력!A:A,B915,팀수비력!B:B,D915)-SUMIFS(팀수비력!N:N,팀수비력!A:A,B915,팀수비력!B:B,D915)))*100,"")</f>
        <v>4.0338846308995562</v>
      </c>
      <c r="BO915" s="67">
        <f t="shared" si="451"/>
        <v>16.307893020221787</v>
      </c>
      <c r="BT915" t="s">
        <v>89</v>
      </c>
      <c r="BV915" t="s">
        <v>102</v>
      </c>
      <c r="CF915">
        <v>1</v>
      </c>
      <c r="CG915">
        <v>8</v>
      </c>
    </row>
    <row r="916" spans="1:85" x14ac:dyDescent="0.4">
      <c r="A916" s="11" t="s">
        <v>85</v>
      </c>
      <c r="B916" t="s">
        <v>224</v>
      </c>
      <c r="C916" t="s">
        <v>239</v>
      </c>
      <c r="D916" s="46" t="s">
        <v>312</v>
      </c>
      <c r="E916">
        <v>9</v>
      </c>
      <c r="F916">
        <v>16</v>
      </c>
      <c r="G916" s="1">
        <v>50</v>
      </c>
      <c r="H916" s="16">
        <f t="shared" si="426"/>
        <v>9090</v>
      </c>
      <c r="I916">
        <v>89</v>
      </c>
      <c r="J916" s="17">
        <f t="shared" si="427"/>
        <v>9.8888888888888893</v>
      </c>
      <c r="K916">
        <v>34</v>
      </c>
      <c r="L916">
        <v>70</v>
      </c>
      <c r="M916" s="17">
        <f t="shared" si="428"/>
        <v>3.7777777777777777</v>
      </c>
      <c r="N916" s="17">
        <f t="shared" si="429"/>
        <v>7.7777777777777777</v>
      </c>
      <c r="O916" s="18">
        <f t="shared" si="430"/>
        <v>0.48571428571428571</v>
      </c>
      <c r="P916">
        <v>23</v>
      </c>
      <c r="Q916">
        <v>47</v>
      </c>
      <c r="R916" s="17">
        <f t="shared" si="431"/>
        <v>2.5555555555555554</v>
      </c>
      <c r="S916" s="17">
        <f t="shared" si="432"/>
        <v>5.2222222222222223</v>
      </c>
      <c r="T916" s="18">
        <f t="shared" si="433"/>
        <v>0.48936170212765956</v>
      </c>
      <c r="U916">
        <v>11</v>
      </c>
      <c r="V916">
        <v>23</v>
      </c>
      <c r="W916" s="17">
        <f t="shared" si="434"/>
        <v>1.2222222222222223</v>
      </c>
      <c r="X916" s="17">
        <f t="shared" si="435"/>
        <v>2.5555555555555554</v>
      </c>
      <c r="Y916" s="18">
        <f t="shared" si="436"/>
        <v>0.47826086956521741</v>
      </c>
      <c r="Z916">
        <v>10</v>
      </c>
      <c r="AA916">
        <v>16</v>
      </c>
      <c r="AB916" s="17">
        <f t="shared" si="437"/>
        <v>1.1111111111111112</v>
      </c>
      <c r="AC916" s="17">
        <f t="shared" si="438"/>
        <v>1.7777777777777777</v>
      </c>
      <c r="AD916" s="18">
        <f t="shared" si="439"/>
        <v>0.625</v>
      </c>
      <c r="AE916">
        <v>25</v>
      </c>
      <c r="AF916" s="17">
        <f t="shared" si="440"/>
        <v>2.7777777777777777</v>
      </c>
      <c r="AG916">
        <v>3</v>
      </c>
      <c r="AH916" s="17">
        <f t="shared" si="441"/>
        <v>0.33333333333333331</v>
      </c>
      <c r="AI916">
        <v>22</v>
      </c>
      <c r="AJ916" s="17">
        <f t="shared" si="442"/>
        <v>2.4444444444444446</v>
      </c>
      <c r="AK916">
        <v>12</v>
      </c>
      <c r="AL916" s="17">
        <f t="shared" si="443"/>
        <v>1.3333333333333333</v>
      </c>
      <c r="AM916">
        <v>5</v>
      </c>
      <c r="AN916" s="17">
        <f t="shared" si="444"/>
        <v>0.55555555555555558</v>
      </c>
      <c r="AO916">
        <v>2</v>
      </c>
      <c r="AQ916">
        <v>11</v>
      </c>
      <c r="AR916" s="17">
        <f t="shared" si="445"/>
        <v>1.2222222222222223</v>
      </c>
      <c r="AS916">
        <v>18</v>
      </c>
      <c r="AT916" s="17">
        <f t="shared" si="446"/>
        <v>2</v>
      </c>
      <c r="BD916" s="65">
        <f t="shared" si="447"/>
        <v>57.762201453790226</v>
      </c>
      <c r="BE916" s="65">
        <f t="shared" si="448"/>
        <v>56.428571428571431</v>
      </c>
      <c r="BF916" s="66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30.016638027439107</v>
      </c>
      <c r="BG916" s="38">
        <f t="shared" si="449"/>
        <v>0.32857142857142857</v>
      </c>
      <c r="BH916" s="38">
        <f t="shared" si="450"/>
        <v>0.22857142857142856</v>
      </c>
      <c r="BI916" s="67">
        <f>IFERROR(((AG916*(12000/5))/((F916*60+G916)*(SUMIFS(팀공격력!X:X,팀공격력!A:A,B916,팀공격력!B:B,D916)+SUMIFS(팀수비력!X:X,팀수비력!A:A,B916,팀수비력!B:B,D916))))*100,"")</f>
        <v>1.1121236928685068</v>
      </c>
      <c r="BJ916" s="67">
        <f>IFERROR(((AI916*(12000/5))/((F916*60+G916)*(SUMIFS(팀공격력!V:V,팀공격력!A:A,B916,팀공격력!B:B,D916)+SUMIFS(팀수비력!W:W,팀수비력!A:A,B916,팀수비력!B:B,D916))))*100,"")</f>
        <v>15.6988671840157</v>
      </c>
      <c r="BK916" s="67">
        <f>IFERROR(((AE916*(12000/5))/((F916*60+G916)*(SUMIFS(팀공격력!X:X,팀공격력!A:A,B916,팀공격력!B:B,D916)+SUMIFS(팀수비력!X:X,팀수비력!A:A,B916,팀수비력!B:B,D916))))*100,"")</f>
        <v>9.2676974405708901</v>
      </c>
      <c r="BL916" s="67">
        <f>IFERROR(100*AK916/(((((F916*60+G916)/(12000/5))*SUMIFS(팀공격력!P:P,팀공격력!A:A,B916,팀공격력!B:B,D916))-K916)),"")</f>
        <v>15.479709755442087</v>
      </c>
      <c r="BM916" s="67">
        <f>IFERROR(100*((AM916/E916*(2400))/((F916*60+G916)*SUMIFS(팀공격력!AR:AR,팀공격력!A:A,B916,팀공격력!B:B,D916))),"")</f>
        <v>1.8810129506576616</v>
      </c>
      <c r="BN916" s="67">
        <f>IFERROR((AO916*40)/(((F916*60+G916)/60)*(SUMIFS(팀수비력!Q:Q,팀수비력!A:A,B916,팀수비력!B:B,D916)-SUMIFS(팀수비력!N:N,팀수비력!A:A,B916,팀수비력!B:B,D916)))*100,"")</f>
        <v>1.2844527696012846</v>
      </c>
      <c r="BO916" s="67">
        <f t="shared" si="451"/>
        <v>12.494320763289412</v>
      </c>
      <c r="BT916" t="s">
        <v>96</v>
      </c>
      <c r="BV916" t="s">
        <v>93</v>
      </c>
      <c r="CF916">
        <v>1</v>
      </c>
      <c r="CG916">
        <v>8</v>
      </c>
    </row>
    <row r="917" spans="1:85" x14ac:dyDescent="0.4">
      <c r="A917" s="11" t="s">
        <v>85</v>
      </c>
      <c r="B917" t="s">
        <v>224</v>
      </c>
      <c r="C917" t="s">
        <v>241</v>
      </c>
      <c r="D917" s="46" t="s">
        <v>312</v>
      </c>
      <c r="E917">
        <v>6</v>
      </c>
      <c r="F917">
        <v>18</v>
      </c>
      <c r="G917" s="1">
        <v>7</v>
      </c>
      <c r="H917" s="16">
        <f t="shared" si="426"/>
        <v>6522</v>
      </c>
      <c r="I917">
        <v>31</v>
      </c>
      <c r="J917" s="17">
        <f t="shared" si="427"/>
        <v>5.166666666666667</v>
      </c>
      <c r="K917">
        <v>12</v>
      </c>
      <c r="L917">
        <v>27</v>
      </c>
      <c r="M917" s="17">
        <f t="shared" si="428"/>
        <v>2</v>
      </c>
      <c r="N917" s="17">
        <f t="shared" si="429"/>
        <v>4.5</v>
      </c>
      <c r="O917" s="18">
        <f t="shared" si="430"/>
        <v>0.44444444444444442</v>
      </c>
      <c r="P917">
        <v>10</v>
      </c>
      <c r="Q917">
        <v>17</v>
      </c>
      <c r="R917" s="17">
        <f t="shared" si="431"/>
        <v>1.6666666666666667</v>
      </c>
      <c r="S917" s="17">
        <f t="shared" si="432"/>
        <v>2.8333333333333335</v>
      </c>
      <c r="T917" s="18">
        <f t="shared" si="433"/>
        <v>0.58823529411764708</v>
      </c>
      <c r="U917">
        <v>2</v>
      </c>
      <c r="V917">
        <v>10</v>
      </c>
      <c r="W917" s="17">
        <f t="shared" si="434"/>
        <v>0.33333333333333331</v>
      </c>
      <c r="X917" s="17">
        <f t="shared" si="435"/>
        <v>1.6666666666666667</v>
      </c>
      <c r="Y917" s="18">
        <f t="shared" si="436"/>
        <v>0.2</v>
      </c>
      <c r="Z917">
        <v>5</v>
      </c>
      <c r="AA917">
        <v>9</v>
      </c>
      <c r="AB917" s="17">
        <f t="shared" si="437"/>
        <v>0.83333333333333337</v>
      </c>
      <c r="AC917" s="17">
        <f t="shared" si="438"/>
        <v>1.5</v>
      </c>
      <c r="AD917" s="18">
        <f t="shared" si="439"/>
        <v>0.55555555555555558</v>
      </c>
      <c r="AE917">
        <v>14</v>
      </c>
      <c r="AF917" s="17">
        <f t="shared" si="440"/>
        <v>2.3333333333333335</v>
      </c>
      <c r="AG917">
        <v>7</v>
      </c>
      <c r="AH917" s="17">
        <f t="shared" si="441"/>
        <v>1.1666666666666667</v>
      </c>
      <c r="AI917">
        <v>7</v>
      </c>
      <c r="AJ917" s="17">
        <f t="shared" si="442"/>
        <v>1.1666666666666667</v>
      </c>
      <c r="AK917">
        <v>2</v>
      </c>
      <c r="AL917" s="17">
        <f t="shared" si="443"/>
        <v>0.33333333333333331</v>
      </c>
      <c r="AM917">
        <v>6</v>
      </c>
      <c r="AN917" s="17">
        <f t="shared" si="444"/>
        <v>1</v>
      </c>
      <c r="AO917">
        <v>2</v>
      </c>
      <c r="AQ917">
        <v>3</v>
      </c>
      <c r="AR917" s="17">
        <f t="shared" si="445"/>
        <v>0.5</v>
      </c>
      <c r="AS917">
        <v>14</v>
      </c>
      <c r="AT917" s="17">
        <f t="shared" si="446"/>
        <v>2.3333333333333335</v>
      </c>
      <c r="BD917" s="65">
        <f t="shared" si="447"/>
        <v>50.064599483204134</v>
      </c>
      <c r="BE917" s="65">
        <f t="shared" si="448"/>
        <v>48.148148148148145</v>
      </c>
      <c r="BF917" s="66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10.75824735605617</v>
      </c>
      <c r="BG917" s="38">
        <f t="shared" si="449"/>
        <v>0.37037037037037035</v>
      </c>
      <c r="BH917" s="38">
        <f t="shared" si="450"/>
        <v>0.33333333333333331</v>
      </c>
      <c r="BI917" s="67">
        <f>IFERROR(((AG917*(12000/5))/((F917*60+G917)*(SUMIFS(팀공격력!X:X,팀공격력!A:A,B917,팀공격력!B:B,D917)+SUMIFS(팀수비력!X:X,팀수비력!A:A,B917,팀수비력!B:B,D917))))*100,"")</f>
        <v>2.4111360038578176</v>
      </c>
      <c r="BJ917" s="67">
        <f>IFERROR(((AI917*(12000/5))/((F917*60+G917)*(SUMIFS(팀공격력!V:V,팀공격력!A:A,B917,팀공격력!B:B,D917)+SUMIFS(팀수비력!W:W,팀수비력!A:A,B917,팀수비력!B:B,D917))))*100,"")</f>
        <v>4.6412557912097929</v>
      </c>
      <c r="BK917" s="67">
        <f>IFERROR(((AE917*(12000/5))/((F917*60+G917)*(SUMIFS(팀공격력!X:X,팀공격력!A:A,B917,팀공격력!B:B,D917)+SUMIFS(팀수비력!X:X,팀수비력!A:A,B917,팀수비력!B:B,D917))))*100,"")</f>
        <v>4.8222720077156351</v>
      </c>
      <c r="BL917" s="67">
        <f>IFERROR(100*AK917/(((((F917*60+G917)/(12000/5))*SUMIFS(팀공격력!P:P,팀공격력!A:A,B917,팀공격력!B:B,D917))-K917)),"")</f>
        <v>1.8514589882548069</v>
      </c>
      <c r="BM917" s="67">
        <f>IFERROR(100*((AM917/E917*(2400))/((F917*60+G917)*SUMIFS(팀공격력!AR:AR,팀공격력!A:A,B917,팀공격력!B:B,D917))),"")</f>
        <v>3.1459811815047178</v>
      </c>
      <c r="BN917" s="67">
        <f>IFERROR((AO917*40)/(((F917*60+G917)/60)*(SUMIFS(팀수비력!Q:Q,팀수비력!A:A,B917,팀수비력!B:B,D917)-SUMIFS(팀수비력!N:N,팀수비력!A:A,B917,팀수비력!B:B,D917)))*100,"")</f>
        <v>1.1934657748825181</v>
      </c>
      <c r="BO917" s="67">
        <f t="shared" si="451"/>
        <v>8.8339222614840995</v>
      </c>
      <c r="BT917" t="s">
        <v>89</v>
      </c>
      <c r="BV917" t="s">
        <v>93</v>
      </c>
      <c r="CF917">
        <v>0</v>
      </c>
      <c r="CG917">
        <v>6</v>
      </c>
    </row>
    <row r="918" spans="1:85" x14ac:dyDescent="0.4">
      <c r="A918" s="11" t="s">
        <v>85</v>
      </c>
      <c r="B918" t="s">
        <v>224</v>
      </c>
      <c r="C918" t="s">
        <v>242</v>
      </c>
      <c r="D918" s="46" t="s">
        <v>312</v>
      </c>
      <c r="E918">
        <v>9</v>
      </c>
      <c r="F918">
        <v>25</v>
      </c>
      <c r="G918" s="1">
        <v>24</v>
      </c>
      <c r="H918" s="16">
        <f t="shared" si="426"/>
        <v>13716</v>
      </c>
      <c r="I918">
        <v>55</v>
      </c>
      <c r="J918" s="17">
        <f t="shared" si="427"/>
        <v>6.1111111111111107</v>
      </c>
      <c r="K918">
        <v>19</v>
      </c>
      <c r="L918">
        <v>67</v>
      </c>
      <c r="M918" s="17">
        <f t="shared" si="428"/>
        <v>2.1111111111111112</v>
      </c>
      <c r="N918" s="17">
        <f t="shared" si="429"/>
        <v>7.4444444444444446</v>
      </c>
      <c r="O918" s="18">
        <f t="shared" si="430"/>
        <v>0.28358208955223879</v>
      </c>
      <c r="P918">
        <v>15</v>
      </c>
      <c r="Q918">
        <v>39</v>
      </c>
      <c r="R918" s="17">
        <f t="shared" si="431"/>
        <v>1.6666666666666667</v>
      </c>
      <c r="S918" s="17">
        <f t="shared" si="432"/>
        <v>4.333333333333333</v>
      </c>
      <c r="T918" s="18">
        <f t="shared" si="433"/>
        <v>0.38461538461538464</v>
      </c>
      <c r="U918">
        <v>4</v>
      </c>
      <c r="V918">
        <v>28</v>
      </c>
      <c r="W918" s="17">
        <f t="shared" si="434"/>
        <v>0.44444444444444442</v>
      </c>
      <c r="X918" s="17">
        <f t="shared" si="435"/>
        <v>3.1111111111111112</v>
      </c>
      <c r="Y918" s="18">
        <f t="shared" si="436"/>
        <v>0.14285714285714285</v>
      </c>
      <c r="Z918">
        <v>13</v>
      </c>
      <c r="AA918">
        <v>19</v>
      </c>
      <c r="AB918" s="17">
        <f t="shared" si="437"/>
        <v>1.4444444444444444</v>
      </c>
      <c r="AC918" s="17">
        <f t="shared" si="438"/>
        <v>2.1111111111111112</v>
      </c>
      <c r="AD918" s="18">
        <f t="shared" si="439"/>
        <v>0.68421052631578949</v>
      </c>
      <c r="AE918">
        <v>39</v>
      </c>
      <c r="AF918" s="17">
        <f t="shared" si="440"/>
        <v>4.333333333333333</v>
      </c>
      <c r="AG918">
        <v>5</v>
      </c>
      <c r="AH918" s="17">
        <f t="shared" si="441"/>
        <v>0.55555555555555558</v>
      </c>
      <c r="AI918">
        <v>34</v>
      </c>
      <c r="AJ918" s="17">
        <f t="shared" si="442"/>
        <v>3.7777777777777777</v>
      </c>
      <c r="AK918">
        <v>20</v>
      </c>
      <c r="AL918" s="17">
        <f t="shared" si="443"/>
        <v>2.2222222222222223</v>
      </c>
      <c r="AM918">
        <v>7</v>
      </c>
      <c r="AN918" s="17">
        <f t="shared" si="444"/>
        <v>0.77777777777777779</v>
      </c>
      <c r="AO918">
        <v>3</v>
      </c>
      <c r="AQ918">
        <v>5</v>
      </c>
      <c r="AR918" s="17">
        <f t="shared" si="445"/>
        <v>0.55555555555555558</v>
      </c>
      <c r="AS918">
        <v>24</v>
      </c>
      <c r="AT918" s="17">
        <f t="shared" si="446"/>
        <v>2.6666666666666665</v>
      </c>
      <c r="BD918" s="65">
        <f t="shared" si="447"/>
        <v>36.491507430997878</v>
      </c>
      <c r="BE918" s="65">
        <f t="shared" si="448"/>
        <v>31.343283582089555</v>
      </c>
      <c r="BF918" s="66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18.157596002978966</v>
      </c>
      <c r="BG918" s="38">
        <f t="shared" si="449"/>
        <v>0.41791044776119401</v>
      </c>
      <c r="BH918" s="38">
        <f t="shared" si="450"/>
        <v>0.28358208955223879</v>
      </c>
      <c r="BI918" s="67">
        <f>IFERROR(((AG918*(12000/5))/((F918*60+G918)*(SUMIFS(팀공격력!X:X,팀공격력!A:A,B918,팀공격력!B:B,D918)+SUMIFS(팀수비력!X:X,팀수비력!A:A,B918,팀수비력!B:B,D918))))*100,"")</f>
        <v>1.2283955925166141</v>
      </c>
      <c r="BJ918" s="67">
        <f>IFERROR(((AI918*(12000/5))/((F918*60+G918)*(SUMIFS(팀공격력!V:V,팀공격력!A:A,B918,팀공격력!B:B,D918)+SUMIFS(팀수비력!W:W,팀수비력!A:A,B918,팀수비력!B:B,D918))))*100,"")</f>
        <v>16.079071197181431</v>
      </c>
      <c r="BK918" s="67">
        <f>IFERROR(((AE918*(12000/5))/((F918*60+G918)*(SUMIFS(팀공격력!X:X,팀공격력!A:A,B918,팀공격력!B:B,D918)+SUMIFS(팀수비력!X:X,팀수비력!A:A,B918,팀수비력!B:B,D918))))*100,"")</f>
        <v>9.5814856216295894</v>
      </c>
      <c r="BL918" s="67">
        <f>IFERROR(100*AK918/(((((F918*60+G918)/(12000/5))*SUMIFS(팀공격력!P:P,팀공격력!A:A,B918,팀공격력!B:B,D918))-K918)),"")</f>
        <v>13.398090772064981</v>
      </c>
      <c r="BM918" s="67">
        <f>IFERROR(100*((AM918/E918*(2400))/((F918*60+G918)*SUMIFS(팀공격력!AR:AR,팀공격력!A:A,B918,팀공격력!B:B,D918))),"")</f>
        <v>1.7452442993634731</v>
      </c>
      <c r="BN918" s="67">
        <f>IFERROR((AO918*40)/(((F918*60+G918)/60)*(SUMIFS(팀수비력!Q:Q,팀수비력!A:A,B918,팀수비력!B:B,D918)-SUMIFS(팀수비력!N:N,팀수비력!A:A,B918,팀수비력!B:B,D918)))*100,"")</f>
        <v>1.276867418599702</v>
      </c>
      <c r="BO918" s="67">
        <f t="shared" si="451"/>
        <v>6.2220009955201592</v>
      </c>
      <c r="BT918" t="s">
        <v>89</v>
      </c>
      <c r="BV918" t="s">
        <v>93</v>
      </c>
      <c r="CF918">
        <v>1</v>
      </c>
      <c r="CG918">
        <v>8</v>
      </c>
    </row>
    <row r="919" spans="1:85" x14ac:dyDescent="0.4">
      <c r="A919" s="11" t="s">
        <v>85</v>
      </c>
      <c r="B919" t="s">
        <v>224</v>
      </c>
      <c r="C919" t="s">
        <v>243</v>
      </c>
      <c r="D919" s="46" t="s">
        <v>312</v>
      </c>
      <c r="E919">
        <v>9</v>
      </c>
      <c r="F919">
        <v>30</v>
      </c>
      <c r="G919" s="1">
        <v>46</v>
      </c>
      <c r="H919" s="16">
        <f t="shared" si="426"/>
        <v>16614</v>
      </c>
      <c r="I919">
        <v>99</v>
      </c>
      <c r="J919" s="17">
        <f t="shared" si="427"/>
        <v>11</v>
      </c>
      <c r="K919">
        <v>34</v>
      </c>
      <c r="L919">
        <v>91</v>
      </c>
      <c r="M919" s="17">
        <f t="shared" si="428"/>
        <v>3.7777777777777777</v>
      </c>
      <c r="N919" s="17">
        <f t="shared" si="429"/>
        <v>10.111111111111111</v>
      </c>
      <c r="O919" s="18">
        <f t="shared" si="430"/>
        <v>0.37362637362637363</v>
      </c>
      <c r="P919">
        <v>22</v>
      </c>
      <c r="Q919">
        <v>45</v>
      </c>
      <c r="R919" s="17">
        <f t="shared" si="431"/>
        <v>2.4444444444444446</v>
      </c>
      <c r="S919" s="17">
        <f t="shared" si="432"/>
        <v>5</v>
      </c>
      <c r="T919" s="18">
        <f t="shared" si="433"/>
        <v>0.48888888888888887</v>
      </c>
      <c r="U919">
        <v>12</v>
      </c>
      <c r="V919">
        <v>46</v>
      </c>
      <c r="W919" s="17">
        <f t="shared" si="434"/>
        <v>1.3333333333333333</v>
      </c>
      <c r="X919" s="17">
        <f t="shared" si="435"/>
        <v>5.1111111111111107</v>
      </c>
      <c r="Y919" s="18">
        <f t="shared" si="436"/>
        <v>0.2608695652173913</v>
      </c>
      <c r="Z919">
        <v>19</v>
      </c>
      <c r="AA919">
        <v>22</v>
      </c>
      <c r="AB919" s="17">
        <f t="shared" si="437"/>
        <v>2.1111111111111112</v>
      </c>
      <c r="AC919" s="17">
        <f t="shared" si="438"/>
        <v>2.4444444444444446</v>
      </c>
      <c r="AD919" s="18">
        <f t="shared" si="439"/>
        <v>0.86363636363636365</v>
      </c>
      <c r="AE919">
        <v>17</v>
      </c>
      <c r="AF919" s="17">
        <f t="shared" si="440"/>
        <v>1.8888888888888888</v>
      </c>
      <c r="AG919">
        <v>3</v>
      </c>
      <c r="AH919" s="17">
        <f t="shared" si="441"/>
        <v>0.33333333333333331</v>
      </c>
      <c r="AI919">
        <v>14</v>
      </c>
      <c r="AJ919" s="17">
        <f t="shared" si="442"/>
        <v>1.5555555555555556</v>
      </c>
      <c r="AK919">
        <v>38</v>
      </c>
      <c r="AL919" s="17">
        <f t="shared" si="443"/>
        <v>4.2222222222222223</v>
      </c>
      <c r="AM919">
        <v>5</v>
      </c>
      <c r="AN919" s="17">
        <f t="shared" si="444"/>
        <v>0.55555555555555558</v>
      </c>
      <c r="AO919">
        <v>0</v>
      </c>
      <c r="AQ919">
        <v>8</v>
      </c>
      <c r="AR919" s="17">
        <f t="shared" si="445"/>
        <v>0.88888888888888884</v>
      </c>
      <c r="AS919">
        <v>17</v>
      </c>
      <c r="AT919" s="17">
        <f t="shared" si="446"/>
        <v>1.8888888888888888</v>
      </c>
      <c r="BD919" s="65">
        <f t="shared" si="447"/>
        <v>49.165673420738969</v>
      </c>
      <c r="BE919" s="65">
        <f t="shared" si="448"/>
        <v>43.956043956043956</v>
      </c>
      <c r="BF919" s="66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20.273154075970979</v>
      </c>
      <c r="BG919" s="38">
        <f t="shared" si="449"/>
        <v>0.50549450549450547</v>
      </c>
      <c r="BH919" s="38">
        <f t="shared" si="450"/>
        <v>0.24175824175824176</v>
      </c>
      <c r="BI919" s="67">
        <f>IFERROR(((AG919*(12000/5))/((F919*60+G919)*(SUMIFS(팀공격력!X:X,팀공격력!A:A,B919,팀공격력!B:B,D919)+SUMIFS(팀수비력!X:X,팀수비력!A:A,B919,팀수비력!B:B,D919))))*100,"")</f>
        <v>0.60847504322708124</v>
      </c>
      <c r="BJ919" s="67">
        <f>IFERROR(((AI919*(12000/5))/((F919*60+G919)*(SUMIFS(팀공격력!V:V,팀공격력!A:A,B919,팀공격력!B:B,D919)+SUMIFS(팀수비력!W:W,팀수비력!A:A,B919,팀수비력!B:B,D919))))*100,"")</f>
        <v>5.465920958878705</v>
      </c>
      <c r="BK919" s="67">
        <f>IFERROR(((AE919*(12000/5))/((F919*60+G919)*(SUMIFS(팀공격력!X:X,팀공격력!A:A,B919,팀공격력!B:B,D919)+SUMIFS(팀수비력!X:X,팀수비력!A:A,B919,팀수비력!B:B,D919))))*100,"")</f>
        <v>3.4480252449534601</v>
      </c>
      <c r="BL919" s="67">
        <f>IFERROR(100*AK919/(((((F919*60+G919)/(12000/5))*SUMIFS(팀공격력!P:P,팀공격력!A:A,B919,팀공격력!B:B,D919))-K919)),"")</f>
        <v>22.375426286218993</v>
      </c>
      <c r="BM919" s="67">
        <f>IFERROR(100*((AM919/E919*(2400))/((F919*60+G919)*SUMIFS(팀공격력!AR:AR,팀공격력!A:A,B919,팀공격력!B:B,D919))),"")</f>
        <v>1.0291565981388073</v>
      </c>
      <c r="BN919" s="67">
        <f>IFERROR((AO919*40)/(((F919*60+G919)/60)*(SUMIFS(팀수비력!Q:Q,팀수비력!A:A,B919,팀수비력!B:B,D919)-SUMIFS(팀수비력!N:N,팀수비력!A:A,B919,팀수비력!B:B,D919)))*100,"")</f>
        <v>0</v>
      </c>
      <c r="BO919" s="67">
        <f t="shared" si="451"/>
        <v>7.36105999263894</v>
      </c>
      <c r="BT919" t="s">
        <v>89</v>
      </c>
      <c r="BV919" t="s">
        <v>90</v>
      </c>
      <c r="CF919">
        <v>1</v>
      </c>
      <c r="CG919">
        <v>8</v>
      </c>
    </row>
    <row r="920" spans="1:85" x14ac:dyDescent="0.4">
      <c r="A920" s="11" t="s">
        <v>85</v>
      </c>
      <c r="B920" t="s">
        <v>224</v>
      </c>
      <c r="C920" t="s">
        <v>244</v>
      </c>
      <c r="D920" s="46" t="s">
        <v>312</v>
      </c>
      <c r="E920">
        <v>2</v>
      </c>
      <c r="F920">
        <v>3</v>
      </c>
      <c r="G920" s="1">
        <v>20</v>
      </c>
      <c r="H920" s="16">
        <f t="shared" si="426"/>
        <v>400</v>
      </c>
      <c r="I920">
        <v>0</v>
      </c>
      <c r="J920" s="17">
        <f t="shared" si="427"/>
        <v>0</v>
      </c>
      <c r="K920">
        <v>0</v>
      </c>
      <c r="L920">
        <v>2</v>
      </c>
      <c r="M920" s="17">
        <f t="shared" si="428"/>
        <v>0</v>
      </c>
      <c r="N920" s="17">
        <f t="shared" si="429"/>
        <v>1</v>
      </c>
      <c r="O920" s="18">
        <f t="shared" si="430"/>
        <v>0</v>
      </c>
      <c r="P920">
        <v>0</v>
      </c>
      <c r="Q920">
        <v>2</v>
      </c>
      <c r="R920" s="17">
        <f t="shared" si="431"/>
        <v>0</v>
      </c>
      <c r="S920" s="17">
        <f t="shared" si="432"/>
        <v>1</v>
      </c>
      <c r="T920" s="18">
        <f t="shared" si="433"/>
        <v>0</v>
      </c>
      <c r="U920">
        <v>0</v>
      </c>
      <c r="V920">
        <v>0</v>
      </c>
      <c r="W920" s="17">
        <f t="shared" si="434"/>
        <v>0</v>
      </c>
      <c r="X920" s="17">
        <f t="shared" si="435"/>
        <v>0</v>
      </c>
      <c r="Y920" s="18" t="e">
        <f t="shared" si="436"/>
        <v>#DIV/0!</v>
      </c>
      <c r="Z920">
        <v>0</v>
      </c>
      <c r="AA920">
        <v>0</v>
      </c>
      <c r="AB920" s="17">
        <f t="shared" si="437"/>
        <v>0</v>
      </c>
      <c r="AC920" s="17">
        <f t="shared" si="438"/>
        <v>0</v>
      </c>
      <c r="AD920" s="18" t="e">
        <f t="shared" si="439"/>
        <v>#DIV/0!</v>
      </c>
      <c r="AE920">
        <v>0</v>
      </c>
      <c r="AF920" s="17">
        <f t="shared" si="440"/>
        <v>0</v>
      </c>
      <c r="AG920">
        <v>0</v>
      </c>
      <c r="AH920" s="17">
        <f t="shared" si="441"/>
        <v>0</v>
      </c>
      <c r="AI920">
        <v>0</v>
      </c>
      <c r="AJ920" s="17">
        <f t="shared" si="442"/>
        <v>0</v>
      </c>
      <c r="AK920">
        <v>0</v>
      </c>
      <c r="AL920" s="17">
        <f t="shared" si="443"/>
        <v>0</v>
      </c>
      <c r="AM920">
        <v>1</v>
      </c>
      <c r="AN920" s="17">
        <f t="shared" si="444"/>
        <v>0.5</v>
      </c>
      <c r="AO920">
        <v>0</v>
      </c>
      <c r="AQ920">
        <v>0</v>
      </c>
      <c r="AR920" s="17">
        <f t="shared" si="445"/>
        <v>0</v>
      </c>
      <c r="AS920">
        <v>0</v>
      </c>
      <c r="AT920" s="17">
        <f t="shared" si="446"/>
        <v>0</v>
      </c>
      <c r="BD920" s="65">
        <f t="shared" si="447"/>
        <v>0</v>
      </c>
      <c r="BE920" s="65">
        <f t="shared" si="448"/>
        <v>0</v>
      </c>
      <c r="BF920" s="66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3.443526170798898</v>
      </c>
      <c r="BG920" s="38">
        <f t="shared" si="449"/>
        <v>0</v>
      </c>
      <c r="BH920" s="38">
        <f t="shared" si="450"/>
        <v>0</v>
      </c>
      <c r="BI920" s="67">
        <f>IFERROR(((AG920*(12000/5))/((F920*60+G920)*(SUMIFS(팀공격력!X:X,팀공격력!A:A,B920,팀공격력!B:B,D920)+SUMIFS(팀수비력!X:X,팀수비력!A:A,B920,팀수비력!B:B,D920))))*100,"")</f>
        <v>0</v>
      </c>
      <c r="BJ920" s="67">
        <f>IFERROR(((AI920*(12000/5))/((F920*60+G920)*(SUMIFS(팀공격력!V:V,팀공격력!A:A,B920,팀공격력!B:B,D920)+SUMIFS(팀수비력!W:W,팀수비력!A:A,B920,팀수비력!B:B,D920))))*100,"")</f>
        <v>0</v>
      </c>
      <c r="BK920" s="67">
        <f>IFERROR(((AE920*(12000/5))/((F920*60+G920)*(SUMIFS(팀공격력!X:X,팀공격력!A:A,B920,팀공격력!B:B,D920)+SUMIFS(팀수비력!X:X,팀수비력!A:A,B920,팀수비력!B:B,D920))))*100,"")</f>
        <v>0</v>
      </c>
      <c r="BL920" s="67">
        <f>IFERROR(100*AK920/(((((F920*60+G920)/(12000/5))*SUMIFS(팀공격력!P:P,팀공격력!A:A,B920,팀공격력!B:B,D920))-K920)),"")</f>
        <v>0</v>
      </c>
      <c r="BM920" s="67">
        <f>IFERROR(100*((AM920/E920*(2400))/((F920*60+G920)*SUMIFS(팀공격력!AR:AR,팀공격력!A:A,B920,팀공격력!B:B,D920))),"")</f>
        <v>8.5492038607390715</v>
      </c>
      <c r="BN920" s="67">
        <f>IFERROR((AO920*40)/(((F920*60+G920)/60)*(SUMIFS(팀수비력!Q:Q,팀수비력!A:A,B920,팀수비력!B:B,D920)-SUMIFS(팀수비력!N:N,팀수비력!A:A,B920,팀수비력!B:B,D920)))*100,"")</f>
        <v>0</v>
      </c>
      <c r="BO920" s="67">
        <f t="shared" si="451"/>
        <v>0</v>
      </c>
      <c r="BT920" t="s">
        <v>89</v>
      </c>
      <c r="BV920" t="s">
        <v>93</v>
      </c>
      <c r="CF920">
        <v>0</v>
      </c>
      <c r="CG920">
        <v>2</v>
      </c>
    </row>
    <row r="921" spans="1:85" x14ac:dyDescent="0.4">
      <c r="A921" s="11" t="s">
        <v>85</v>
      </c>
      <c r="B921" t="s">
        <v>245</v>
      </c>
      <c r="C921" t="s">
        <v>246</v>
      </c>
      <c r="D921" s="46" t="s">
        <v>312</v>
      </c>
      <c r="E921">
        <v>9</v>
      </c>
      <c r="F921">
        <v>23</v>
      </c>
      <c r="G921" s="1">
        <v>50</v>
      </c>
      <c r="H921" s="16">
        <f t="shared" si="426"/>
        <v>12870</v>
      </c>
      <c r="I921">
        <v>217</v>
      </c>
      <c r="J921" s="17">
        <f t="shared" si="427"/>
        <v>24.111111111111111</v>
      </c>
      <c r="K921">
        <v>86</v>
      </c>
      <c r="L921">
        <v>132</v>
      </c>
      <c r="M921" s="17">
        <f t="shared" si="428"/>
        <v>9.5555555555555554</v>
      </c>
      <c r="N921" s="17">
        <f t="shared" si="429"/>
        <v>14.666666666666666</v>
      </c>
      <c r="O921" s="18">
        <f t="shared" si="430"/>
        <v>0.65151515151515149</v>
      </c>
      <c r="P921">
        <v>85</v>
      </c>
      <c r="Q921">
        <v>123</v>
      </c>
      <c r="R921" s="17">
        <f t="shared" si="431"/>
        <v>9.4444444444444446</v>
      </c>
      <c r="S921" s="17">
        <f t="shared" si="432"/>
        <v>13.666666666666666</v>
      </c>
      <c r="T921" s="18">
        <f t="shared" si="433"/>
        <v>0.69105691056910568</v>
      </c>
      <c r="U921">
        <v>1</v>
      </c>
      <c r="V921">
        <v>9</v>
      </c>
      <c r="W921" s="17">
        <f t="shared" si="434"/>
        <v>0.1111111111111111</v>
      </c>
      <c r="X921" s="17">
        <f t="shared" si="435"/>
        <v>1</v>
      </c>
      <c r="Y921" s="18">
        <f t="shared" si="436"/>
        <v>0.1111111111111111</v>
      </c>
      <c r="Z921">
        <v>44</v>
      </c>
      <c r="AA921">
        <v>57</v>
      </c>
      <c r="AB921" s="17">
        <f t="shared" si="437"/>
        <v>4.8888888888888893</v>
      </c>
      <c r="AC921" s="17">
        <f t="shared" si="438"/>
        <v>6.333333333333333</v>
      </c>
      <c r="AD921" s="18">
        <f t="shared" si="439"/>
        <v>0.77192982456140347</v>
      </c>
      <c r="AE921">
        <v>76</v>
      </c>
      <c r="AF921" s="17">
        <f t="shared" si="440"/>
        <v>8.4444444444444446</v>
      </c>
      <c r="AG921">
        <v>25</v>
      </c>
      <c r="AH921" s="17">
        <f t="shared" si="441"/>
        <v>2.7777777777777777</v>
      </c>
      <c r="AI921">
        <v>51</v>
      </c>
      <c r="AJ921" s="17">
        <f t="shared" si="442"/>
        <v>5.666666666666667</v>
      </c>
      <c r="AK921">
        <v>8</v>
      </c>
      <c r="AL921" s="17">
        <f t="shared" si="443"/>
        <v>0.88888888888888884</v>
      </c>
      <c r="AM921">
        <v>7</v>
      </c>
      <c r="AN921" s="17">
        <f t="shared" si="444"/>
        <v>0.77777777777777779</v>
      </c>
      <c r="AO921">
        <v>3</v>
      </c>
      <c r="AQ921">
        <v>25</v>
      </c>
      <c r="AR921" s="17">
        <f t="shared" si="445"/>
        <v>2.7777777777777777</v>
      </c>
      <c r="AS921">
        <v>21</v>
      </c>
      <c r="AT921" s="17">
        <f t="shared" si="446"/>
        <v>2.3333333333333335</v>
      </c>
      <c r="BD921" s="65">
        <f t="shared" si="447"/>
        <v>69.073083778966122</v>
      </c>
      <c r="BE921" s="65">
        <f t="shared" si="448"/>
        <v>65.530303030303031</v>
      </c>
      <c r="BF921" s="66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37.181682385361761</v>
      </c>
      <c r="BG921" s="38">
        <f t="shared" si="449"/>
        <v>6.8181818181818177E-2</v>
      </c>
      <c r="BH921" s="38">
        <f t="shared" si="450"/>
        <v>0.43181818181818182</v>
      </c>
      <c r="BI921" s="67">
        <f>IFERROR(((AG921*(12000/5))/((F921*60+G921)*(SUMIFS(팀공격력!X:X,팀공격력!A:A,B921,팀공격력!B:B,D921)+SUMIFS(팀수비력!X:X,팀수비력!A:A,B921,팀수비력!B:B,D921))))*100,"")</f>
        <v>6.6075656626837729</v>
      </c>
      <c r="BJ921" s="67">
        <f>IFERROR(((AI921*(12000/5))/((F921*60+G921)*(SUMIFS(팀공격력!V:V,팀공격력!A:A,B921,팀공격력!B:B,D921)+SUMIFS(팀수비력!W:W,팀수비력!A:A,B921,팀수비력!B:B,D921))))*100,"")</f>
        <v>28.342518408743572</v>
      </c>
      <c r="BK921" s="67">
        <f>IFERROR(((AE921*(12000/5))/((F921*60+G921)*(SUMIFS(팀공격력!X:X,팀공격력!A:A,B921,팀공격력!B:B,D921)+SUMIFS(팀수비력!X:X,팀수비력!A:A,B921,팀수비력!B:B,D921))))*100,"")</f>
        <v>20.086999614558671</v>
      </c>
      <c r="BL921" s="67">
        <f>IFERROR(100*AK921/(((((F921*60+G921)/(12000/5))*SUMIFS(팀공격력!P:P,팀공격력!A:A,B921,팀공격력!B:B,D921))-K921)),"")</f>
        <v>7.7761127536349282</v>
      </c>
      <c r="BM921" s="67">
        <f>IFERROR(100*((AM921/E921*(2400))/((F921*60+G921)*SUMIFS(팀공격력!AR:AR,팀공격력!A:A,B921,팀공격력!B:B,D921))),"")</f>
        <v>1.8726042067639275</v>
      </c>
      <c r="BN921" s="67">
        <f>IFERROR((AO921*40)/(((F921*60+G921)/60)*(SUMIFS(팀수비력!Q:Q,팀수비력!A:A,B921,팀수비력!B:B,D921)-SUMIFS(팀수비력!N:N,팀수비력!A:A,B921,팀수비력!B:B,D921)))*100,"")</f>
        <v>1.3947271565000099</v>
      </c>
      <c r="BO921" s="67">
        <f t="shared" si="451"/>
        <v>13.730228471001757</v>
      </c>
      <c r="BT921" t="s">
        <v>96</v>
      </c>
      <c r="BV921" t="s">
        <v>102</v>
      </c>
      <c r="CF921">
        <v>5</v>
      </c>
      <c r="CG921">
        <v>4</v>
      </c>
    </row>
    <row r="922" spans="1:85" x14ac:dyDescent="0.4">
      <c r="A922" s="11" t="s">
        <v>85</v>
      </c>
      <c r="B922" t="s">
        <v>245</v>
      </c>
      <c r="C922" t="s">
        <v>247</v>
      </c>
      <c r="D922" s="46" t="s">
        <v>312</v>
      </c>
      <c r="E922">
        <v>8</v>
      </c>
      <c r="F922">
        <v>16</v>
      </c>
      <c r="G922" s="1">
        <v>31</v>
      </c>
      <c r="H922" s="16">
        <f t="shared" si="426"/>
        <v>7928</v>
      </c>
      <c r="I922">
        <v>36</v>
      </c>
      <c r="J922" s="17">
        <f t="shared" si="427"/>
        <v>4.5</v>
      </c>
      <c r="K922">
        <v>12</v>
      </c>
      <c r="L922">
        <v>29</v>
      </c>
      <c r="M922" s="17">
        <f t="shared" si="428"/>
        <v>1.5</v>
      </c>
      <c r="N922" s="17">
        <f t="shared" si="429"/>
        <v>3.625</v>
      </c>
      <c r="O922" s="18">
        <f t="shared" si="430"/>
        <v>0.41379310344827586</v>
      </c>
      <c r="P922">
        <v>5</v>
      </c>
      <c r="Q922">
        <v>9</v>
      </c>
      <c r="R922" s="17">
        <f t="shared" si="431"/>
        <v>0.625</v>
      </c>
      <c r="S922" s="17">
        <f t="shared" si="432"/>
        <v>1.125</v>
      </c>
      <c r="T922" s="18">
        <f t="shared" si="433"/>
        <v>0.55555555555555558</v>
      </c>
      <c r="U922">
        <v>7</v>
      </c>
      <c r="V922">
        <v>20</v>
      </c>
      <c r="W922" s="17">
        <f t="shared" si="434"/>
        <v>0.875</v>
      </c>
      <c r="X922" s="17">
        <f t="shared" si="435"/>
        <v>2.5</v>
      </c>
      <c r="Y922" s="18">
        <f t="shared" si="436"/>
        <v>0.35</v>
      </c>
      <c r="Z922">
        <v>5</v>
      </c>
      <c r="AA922">
        <v>8</v>
      </c>
      <c r="AB922" s="17">
        <f t="shared" si="437"/>
        <v>0.625</v>
      </c>
      <c r="AC922" s="17">
        <f t="shared" si="438"/>
        <v>1</v>
      </c>
      <c r="AD922" s="18">
        <f t="shared" si="439"/>
        <v>0.625</v>
      </c>
      <c r="AE922">
        <v>15</v>
      </c>
      <c r="AF922" s="17">
        <f t="shared" si="440"/>
        <v>1.875</v>
      </c>
      <c r="AG922">
        <v>5</v>
      </c>
      <c r="AH922" s="17">
        <f t="shared" si="441"/>
        <v>0.625</v>
      </c>
      <c r="AI922">
        <v>10</v>
      </c>
      <c r="AJ922" s="17">
        <f t="shared" si="442"/>
        <v>1.25</v>
      </c>
      <c r="AK922">
        <v>15</v>
      </c>
      <c r="AL922" s="17">
        <f t="shared" si="443"/>
        <v>1.875</v>
      </c>
      <c r="AM922">
        <v>4</v>
      </c>
      <c r="AN922" s="17">
        <f t="shared" si="444"/>
        <v>0.5</v>
      </c>
      <c r="AO922">
        <v>0</v>
      </c>
      <c r="AQ922">
        <v>8</v>
      </c>
      <c r="AR922" s="17">
        <f t="shared" si="445"/>
        <v>1</v>
      </c>
      <c r="AS922">
        <v>15</v>
      </c>
      <c r="AT922" s="17">
        <f t="shared" si="446"/>
        <v>1.875</v>
      </c>
      <c r="BD922" s="65">
        <f t="shared" si="447"/>
        <v>55.350553505535046</v>
      </c>
      <c r="BE922" s="65">
        <f t="shared" si="448"/>
        <v>53.448275862068961</v>
      </c>
      <c r="BF922" s="66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11.939842875557344</v>
      </c>
      <c r="BG922" s="38">
        <f t="shared" si="449"/>
        <v>0.68965517241379315</v>
      </c>
      <c r="BH922" s="38">
        <f t="shared" si="450"/>
        <v>0.27586206896551724</v>
      </c>
      <c r="BI922" s="67">
        <f>IFERROR(((AG922*(12000/5))/((F922*60+G922)*(SUMIFS(팀공격력!X:X,팀공격력!A:A,B922,팀공격력!B:B,D922)+SUMIFS(팀수비력!X:X,팀수비력!A:A,B922,팀수비력!B:B,D922))))*100,"")</f>
        <v>1.9069261145585863</v>
      </c>
      <c r="BJ922" s="67">
        <f>IFERROR(((AI922*(12000/5))/((F922*60+G922)*(SUMIFS(팀공격력!V:V,팀공격력!A:A,B922,팀공격력!B:B,D922)+SUMIFS(팀수비력!W:W,팀수비력!A:A,B922,팀수비력!B:B,D922))))*100,"")</f>
        <v>8.0191926009582932</v>
      </c>
      <c r="BK922" s="67">
        <f>IFERROR(((AE922*(12000/5))/((F922*60+G922)*(SUMIFS(팀공격력!X:X,팀공격력!A:A,B922,팀공격력!B:B,D922)+SUMIFS(팀수비력!X:X,팀수비력!A:A,B922,팀수비력!B:B,D922))))*100,"")</f>
        <v>5.7207783436757591</v>
      </c>
      <c r="BL922" s="67">
        <f>IFERROR(100*AK922/(((((F922*60+G922)/(12000/5))*SUMIFS(팀공격력!P:P,팀공격력!A:A,B922,팀공격력!B:B,D922))-K922)),"")</f>
        <v>12.616218148429809</v>
      </c>
      <c r="BM922" s="67">
        <f>IFERROR(100*((AM922/E922*(2400))/((F922*60+G922)*SUMIFS(팀공격력!AR:AR,팀공격력!A:A,B922,팀공격력!B:B,D922))),"")</f>
        <v>1.7370921249136326</v>
      </c>
      <c r="BN922" s="67">
        <f>IFERROR((AO922*40)/(((F922*60+G922)/60)*(SUMIFS(팀수비력!Q:Q,팀수비력!A:A,B922,팀수비력!B:B,D922)-SUMIFS(팀수비력!N:N,팀수비력!A:A,B922,팀수비력!B:B,D922)))*100,"")</f>
        <v>0</v>
      </c>
      <c r="BO922" s="67">
        <f t="shared" si="451"/>
        <v>19.743336623889437</v>
      </c>
      <c r="BT922" t="s">
        <v>89</v>
      </c>
      <c r="BV922" t="s">
        <v>93</v>
      </c>
      <c r="CF922">
        <v>5</v>
      </c>
      <c r="CG922">
        <v>3</v>
      </c>
    </row>
    <row r="923" spans="1:85" x14ac:dyDescent="0.4">
      <c r="A923" s="11" t="s">
        <v>85</v>
      </c>
      <c r="B923" t="s">
        <v>245</v>
      </c>
      <c r="C923" t="s">
        <v>248</v>
      </c>
      <c r="D923" s="46" t="s">
        <v>312</v>
      </c>
      <c r="E923">
        <v>6</v>
      </c>
      <c r="F923">
        <v>8</v>
      </c>
      <c r="G923" s="1">
        <v>10</v>
      </c>
      <c r="H923" s="16">
        <f t="shared" si="426"/>
        <v>2940</v>
      </c>
      <c r="I923">
        <v>21</v>
      </c>
      <c r="J923" s="17">
        <f t="shared" si="427"/>
        <v>3.5</v>
      </c>
      <c r="K923">
        <v>8</v>
      </c>
      <c r="L923">
        <v>17</v>
      </c>
      <c r="M923" s="17">
        <f t="shared" si="428"/>
        <v>1.3333333333333333</v>
      </c>
      <c r="N923" s="17">
        <f t="shared" si="429"/>
        <v>2.8333333333333335</v>
      </c>
      <c r="O923" s="18">
        <f t="shared" si="430"/>
        <v>0.47058823529411764</v>
      </c>
      <c r="P923">
        <v>7</v>
      </c>
      <c r="Q923">
        <v>16</v>
      </c>
      <c r="R923" s="17">
        <f t="shared" si="431"/>
        <v>1.1666666666666667</v>
      </c>
      <c r="S923" s="17">
        <f t="shared" si="432"/>
        <v>2.6666666666666665</v>
      </c>
      <c r="T923" s="18">
        <f t="shared" si="433"/>
        <v>0.4375</v>
      </c>
      <c r="U923">
        <v>1</v>
      </c>
      <c r="V923">
        <v>1</v>
      </c>
      <c r="W923" s="17">
        <f t="shared" si="434"/>
        <v>0.16666666666666666</v>
      </c>
      <c r="X923" s="17">
        <f t="shared" si="435"/>
        <v>0.16666666666666666</v>
      </c>
      <c r="Y923" s="18">
        <f t="shared" si="436"/>
        <v>1</v>
      </c>
      <c r="Z923">
        <v>4</v>
      </c>
      <c r="AA923">
        <v>6</v>
      </c>
      <c r="AB923" s="17">
        <f t="shared" si="437"/>
        <v>0.66666666666666663</v>
      </c>
      <c r="AC923" s="17">
        <f t="shared" si="438"/>
        <v>1</v>
      </c>
      <c r="AD923" s="18">
        <f t="shared" si="439"/>
        <v>0.66666666666666663</v>
      </c>
      <c r="AE923">
        <v>13</v>
      </c>
      <c r="AF923" s="17">
        <f t="shared" si="440"/>
        <v>2.1666666666666665</v>
      </c>
      <c r="AG923">
        <v>8</v>
      </c>
      <c r="AH923" s="17">
        <f t="shared" si="441"/>
        <v>1.3333333333333333</v>
      </c>
      <c r="AI923">
        <v>5</v>
      </c>
      <c r="AJ923" s="17">
        <f t="shared" si="442"/>
        <v>0.83333333333333337</v>
      </c>
      <c r="AK923">
        <v>5</v>
      </c>
      <c r="AL923" s="17">
        <f t="shared" si="443"/>
        <v>0.83333333333333337</v>
      </c>
      <c r="AM923">
        <v>3</v>
      </c>
      <c r="AN923" s="17">
        <f t="shared" si="444"/>
        <v>0.5</v>
      </c>
      <c r="AO923">
        <v>0</v>
      </c>
      <c r="AQ923">
        <v>1</v>
      </c>
      <c r="AR923" s="17">
        <f t="shared" si="445"/>
        <v>0.16666666666666666</v>
      </c>
      <c r="AS923">
        <v>7</v>
      </c>
      <c r="AT923" s="17">
        <f t="shared" si="446"/>
        <v>1.1666666666666667</v>
      </c>
      <c r="BD923" s="65">
        <f t="shared" si="447"/>
        <v>53.462321792260695</v>
      </c>
      <c r="BE923" s="65">
        <f t="shared" si="448"/>
        <v>50</v>
      </c>
      <c r="BF923" s="66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12.300320916802988</v>
      </c>
      <c r="BG923" s="38">
        <f t="shared" si="449"/>
        <v>5.8823529411764705E-2</v>
      </c>
      <c r="BH923" s="38">
        <f t="shared" si="450"/>
        <v>0.35294117647058826</v>
      </c>
      <c r="BI923" s="67">
        <f>IFERROR(((AG923*(12000/5))/((F923*60+G923)*(SUMIFS(팀공격력!X:X,팀공격력!A:A,B923,팀공격력!B:B,D923)+SUMIFS(팀수비력!X:X,팀수비력!A:A,B923,팀수비력!B:B,D923))))*100,"")</f>
        <v>6.1706572392736625</v>
      </c>
      <c r="BJ923" s="67">
        <f>IFERROR(((AI923*(12000/5))/((F923*60+G923)*(SUMIFS(팀공격력!V:V,팀공격력!A:A,B923,팀공격력!B:B,D923)+SUMIFS(팀수비력!W:W,팀수비력!A:A,B923,팀수비력!B:B,D923))))*100,"")</f>
        <v>8.1092039464792549</v>
      </c>
      <c r="BK923" s="67">
        <f>IFERROR(((AE923*(12000/5))/((F923*60+G923)*(SUMIFS(팀공격력!X:X,팀공격력!A:A,B923,팀공격력!B:B,D923)+SUMIFS(팀수비력!X:X,팀수비력!A:A,B923,팀수비력!B:B,D923))))*100,"")</f>
        <v>10.027318013819702</v>
      </c>
      <c r="BL923" s="67">
        <f>IFERROR(100*AK923/(((((F923*60+G923)/(12000/5))*SUMIFS(팀공격력!P:P,팀공격력!A:A,B923,팀공격력!B:B,D923))-K923)),"")</f>
        <v>8.8151032101667521</v>
      </c>
      <c r="BM923" s="67">
        <f>IFERROR(100*((AM923/E923*(2400))/((F923*60+G923)*SUMIFS(팀공격력!AR:AR,팀공격력!A:A,B923,팀공격력!B:B,D923))),"")</f>
        <v>3.5131801954885926</v>
      </c>
      <c r="BN923" s="67">
        <f>IFERROR((AO923*40)/(((F923*60+G923)/60)*(SUMIFS(팀수비력!Q:Q,팀수비력!A:A,B923,팀수비력!B:B,D923)-SUMIFS(팀수비력!N:N,팀수비력!A:A,B923,팀수비력!B:B,D923)))*100,"")</f>
        <v>0</v>
      </c>
      <c r="BO923" s="67">
        <f t="shared" si="451"/>
        <v>4.8449612403100772</v>
      </c>
      <c r="BT923" t="s">
        <v>89</v>
      </c>
      <c r="BV923" t="s">
        <v>102</v>
      </c>
      <c r="CF923">
        <v>4</v>
      </c>
      <c r="CG923">
        <v>2</v>
      </c>
    </row>
    <row r="924" spans="1:85" x14ac:dyDescent="0.4">
      <c r="A924" s="11" t="s">
        <v>85</v>
      </c>
      <c r="B924" t="s">
        <v>245</v>
      </c>
      <c r="C924" t="s">
        <v>250</v>
      </c>
      <c r="D924" s="46" t="s">
        <v>312</v>
      </c>
      <c r="E924">
        <v>8</v>
      </c>
      <c r="F924">
        <v>9</v>
      </c>
      <c r="G924" s="1">
        <v>4</v>
      </c>
      <c r="H924" s="16">
        <f t="shared" si="426"/>
        <v>4352</v>
      </c>
      <c r="I924">
        <v>17</v>
      </c>
      <c r="J924" s="17">
        <f t="shared" si="427"/>
        <v>2.125</v>
      </c>
      <c r="K924">
        <v>7</v>
      </c>
      <c r="L924">
        <v>16</v>
      </c>
      <c r="M924" s="17">
        <f t="shared" si="428"/>
        <v>0.875</v>
      </c>
      <c r="N924" s="17">
        <f t="shared" si="429"/>
        <v>2</v>
      </c>
      <c r="O924" s="18">
        <f t="shared" si="430"/>
        <v>0.4375</v>
      </c>
      <c r="P924">
        <v>4</v>
      </c>
      <c r="Q924">
        <v>9</v>
      </c>
      <c r="R924" s="17">
        <f t="shared" si="431"/>
        <v>0.5</v>
      </c>
      <c r="S924" s="17">
        <f t="shared" si="432"/>
        <v>1.125</v>
      </c>
      <c r="T924" s="18">
        <f t="shared" si="433"/>
        <v>0.44444444444444442</v>
      </c>
      <c r="U924">
        <v>3</v>
      </c>
      <c r="V924">
        <v>7</v>
      </c>
      <c r="W924" s="17">
        <f t="shared" si="434"/>
        <v>0.375</v>
      </c>
      <c r="X924" s="17">
        <f t="shared" si="435"/>
        <v>0.875</v>
      </c>
      <c r="Y924" s="18">
        <f t="shared" si="436"/>
        <v>0.42857142857142855</v>
      </c>
      <c r="Z924">
        <v>0</v>
      </c>
      <c r="AA924">
        <v>0</v>
      </c>
      <c r="AB924" s="17">
        <f t="shared" si="437"/>
        <v>0</v>
      </c>
      <c r="AC924" s="17">
        <f t="shared" si="438"/>
        <v>0</v>
      </c>
      <c r="AD924" s="18" t="e">
        <f t="shared" si="439"/>
        <v>#DIV/0!</v>
      </c>
      <c r="AE924">
        <v>4</v>
      </c>
      <c r="AF924" s="17">
        <f t="shared" si="440"/>
        <v>0.5</v>
      </c>
      <c r="AG924">
        <v>2</v>
      </c>
      <c r="AH924" s="17">
        <f t="shared" si="441"/>
        <v>0.25</v>
      </c>
      <c r="AI924">
        <v>2</v>
      </c>
      <c r="AJ924" s="17">
        <f t="shared" si="442"/>
        <v>0.25</v>
      </c>
      <c r="AK924">
        <v>7</v>
      </c>
      <c r="AL924" s="17">
        <f t="shared" si="443"/>
        <v>0.875</v>
      </c>
      <c r="AM924">
        <v>6</v>
      </c>
      <c r="AN924" s="17">
        <f t="shared" si="444"/>
        <v>0.75</v>
      </c>
      <c r="AO924">
        <v>0</v>
      </c>
      <c r="AQ924">
        <v>3</v>
      </c>
      <c r="AR924" s="17">
        <f t="shared" si="445"/>
        <v>0.375</v>
      </c>
      <c r="AS924">
        <v>11</v>
      </c>
      <c r="AT924" s="17">
        <f t="shared" si="446"/>
        <v>1.375</v>
      </c>
      <c r="BD924" s="65">
        <f t="shared" si="447"/>
        <v>53.125</v>
      </c>
      <c r="BE924" s="65">
        <f t="shared" si="448"/>
        <v>53.125</v>
      </c>
      <c r="BF924" s="66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10.198998565698728</v>
      </c>
      <c r="BG924" s="38">
        <f t="shared" si="449"/>
        <v>0.4375</v>
      </c>
      <c r="BH924" s="38">
        <f t="shared" si="450"/>
        <v>0</v>
      </c>
      <c r="BI924" s="67">
        <f>IFERROR(((AG924*(12000/5))/((F924*60+G924)*(SUMIFS(팀공격력!X:X,팀공격력!A:A,B924,팀공격력!B:B,D924)+SUMIFS(팀수비력!X:X,팀수비력!A:A,B924,팀수비력!B:B,D924))))*100,"")</f>
        <v>1.3895321908290876</v>
      </c>
      <c r="BJ924" s="67">
        <f>IFERROR(((AI924*(12000/5))/((F924*60+G924)*(SUMIFS(팀공격력!V:V,팀공격력!A:A,B924,팀공격력!B:B,D924)+SUMIFS(팀수비력!W:W,팀수비력!A:A,B924,팀수비력!B:B,D924))))*100,"")</f>
        <v>2.9216984807167901</v>
      </c>
      <c r="BK924" s="67">
        <f>IFERROR(((AE924*(12000/5))/((F924*60+G924)*(SUMIFS(팀공격력!X:X,팀공격력!A:A,B924,팀공격력!B:B,D924)+SUMIFS(팀수비력!X:X,팀수비력!A:A,B924,팀수비력!B:B,D924))))*100,"")</f>
        <v>2.7790643816581753</v>
      </c>
      <c r="BL924" s="67">
        <f>IFERROR(100*AK924/(((((F924*60+G924)/(12000/5))*SUMIFS(팀공격력!P:P,팀공격력!A:A,B924,팀공격력!B:B,D924))-K924)),"")</f>
        <v>10.793585526315791</v>
      </c>
      <c r="BM924" s="67">
        <f>IFERROR(100*((AM924/E924*(2400))/((F924*60+G924)*SUMIFS(팀공격력!AR:AR,팀공격력!A:A,B924,팀공격력!B:B,D924))),"")</f>
        <v>4.746668095007565</v>
      </c>
      <c r="BN924" s="67">
        <f>IFERROR((AO924*40)/(((F924*60+G924)/60)*(SUMIFS(팀수비력!Q:Q,팀수비력!A:A,B924,팀수비력!B:B,D924)-SUMIFS(팀수비력!N:N,팀수비력!A:A,B924,팀수비력!B:B,D924)))*100,"")</f>
        <v>0</v>
      </c>
      <c r="BO924" s="67">
        <f t="shared" si="451"/>
        <v>15.789473684210526</v>
      </c>
      <c r="BT924" t="s">
        <v>89</v>
      </c>
      <c r="BV924" t="s">
        <v>90</v>
      </c>
      <c r="CF924">
        <v>5</v>
      </c>
      <c r="CG924">
        <v>3</v>
      </c>
    </row>
    <row r="925" spans="1:85" x14ac:dyDescent="0.4">
      <c r="A925" s="11" t="s">
        <v>85</v>
      </c>
      <c r="B925" t="s">
        <v>245</v>
      </c>
      <c r="C925" t="s">
        <v>252</v>
      </c>
      <c r="D925" s="46" t="s">
        <v>312</v>
      </c>
      <c r="E925">
        <v>4</v>
      </c>
      <c r="F925">
        <v>3</v>
      </c>
      <c r="G925" s="1">
        <v>50</v>
      </c>
      <c r="H925" s="16">
        <f t="shared" si="426"/>
        <v>920</v>
      </c>
      <c r="I925">
        <v>6</v>
      </c>
      <c r="J925" s="17">
        <f t="shared" si="427"/>
        <v>1.5</v>
      </c>
      <c r="K925">
        <v>2</v>
      </c>
      <c r="L925">
        <v>4</v>
      </c>
      <c r="M925" s="17">
        <f t="shared" si="428"/>
        <v>0.5</v>
      </c>
      <c r="N925" s="17">
        <f t="shared" si="429"/>
        <v>1</v>
      </c>
      <c r="O925" s="18">
        <f t="shared" si="430"/>
        <v>0.5</v>
      </c>
      <c r="P925">
        <v>0</v>
      </c>
      <c r="Q925">
        <v>1</v>
      </c>
      <c r="R925" s="17">
        <f t="shared" si="431"/>
        <v>0</v>
      </c>
      <c r="S925" s="17">
        <f t="shared" si="432"/>
        <v>0.25</v>
      </c>
      <c r="T925" s="18">
        <f t="shared" si="433"/>
        <v>0</v>
      </c>
      <c r="U925">
        <v>2</v>
      </c>
      <c r="V925">
        <v>3</v>
      </c>
      <c r="W925" s="17">
        <f t="shared" si="434"/>
        <v>0.5</v>
      </c>
      <c r="X925" s="17">
        <f t="shared" si="435"/>
        <v>0.75</v>
      </c>
      <c r="Y925" s="18">
        <f t="shared" si="436"/>
        <v>0.66666666666666663</v>
      </c>
      <c r="Z925">
        <v>0</v>
      </c>
      <c r="AA925">
        <v>0</v>
      </c>
      <c r="AB925" s="17">
        <f t="shared" si="437"/>
        <v>0</v>
      </c>
      <c r="AC925" s="17">
        <f t="shared" si="438"/>
        <v>0</v>
      </c>
      <c r="AD925" s="18" t="e">
        <f t="shared" si="439"/>
        <v>#DIV/0!</v>
      </c>
      <c r="AE925">
        <v>3</v>
      </c>
      <c r="AF925" s="17">
        <f t="shared" si="440"/>
        <v>0.75</v>
      </c>
      <c r="AG925">
        <v>1</v>
      </c>
      <c r="AH925" s="17">
        <f t="shared" si="441"/>
        <v>0.25</v>
      </c>
      <c r="AI925">
        <v>2</v>
      </c>
      <c r="AJ925" s="17">
        <f t="shared" si="442"/>
        <v>0.5</v>
      </c>
      <c r="AK925">
        <v>0</v>
      </c>
      <c r="AL925" s="17">
        <f t="shared" si="443"/>
        <v>0</v>
      </c>
      <c r="AM925">
        <v>0</v>
      </c>
      <c r="AN925" s="17">
        <f t="shared" si="444"/>
        <v>0</v>
      </c>
      <c r="AO925">
        <v>0</v>
      </c>
      <c r="AQ925">
        <v>2</v>
      </c>
      <c r="AR925" s="17">
        <f t="shared" si="445"/>
        <v>0.5</v>
      </c>
      <c r="AS925">
        <v>1</v>
      </c>
      <c r="AT925" s="17">
        <f t="shared" si="446"/>
        <v>0.25</v>
      </c>
      <c r="BD925" s="65">
        <f t="shared" si="447"/>
        <v>75</v>
      </c>
      <c r="BE925" s="65">
        <f t="shared" si="448"/>
        <v>75</v>
      </c>
      <c r="BF925" s="66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7.6177417204669675</v>
      </c>
      <c r="BG925" s="38">
        <f t="shared" si="449"/>
        <v>0.75</v>
      </c>
      <c r="BH925" s="38">
        <f t="shared" si="450"/>
        <v>0</v>
      </c>
      <c r="BI925" s="67">
        <f>IFERROR(((AG925*(12000/5))/((F925*60+G925)*(SUMIFS(팀공격력!X:X,팀공격력!A:A,B925,팀공격력!B:B,D925)+SUMIFS(팀수비력!X:X,팀수비력!A:A,B925,팀수비력!B:B,D925))))*100,"")</f>
        <v>1.643272851763095</v>
      </c>
      <c r="BJ925" s="67">
        <f>IFERROR(((AI925*(12000/5))/((F925*60+G925)*(SUMIFS(팀공격력!V:V,팀공격력!A:A,B925,팀공격력!B:B,D925)+SUMIFS(팀수비력!W:W,팀수비력!A:A,B925,팀수비력!B:B,D925))))*100,"")</f>
        <v>6.9104520587388416</v>
      </c>
      <c r="BK925" s="67">
        <f>IFERROR(((AE925*(12000/5))/((F925*60+G925)*(SUMIFS(팀공격력!X:X,팀공격력!A:A,B925,팀공격력!B:B,D925)+SUMIFS(팀수비력!X:X,팀수비력!A:A,B925,팀수비력!B:B,D925))))*100,"")</f>
        <v>4.9298185552892848</v>
      </c>
      <c r="BL925" s="67">
        <f>IFERROR(100*AK925/(((((F925*60+G925)/(12000/5))*SUMIFS(팀공격력!P:P,팀공격력!A:A,B925,팀공격력!B:B,D925))-K925)),"")</f>
        <v>0</v>
      </c>
      <c r="BM925" s="67">
        <f>IFERROR(100*((AM925/E925*(2400))/((F925*60+G925)*SUMIFS(팀공격력!AR:AR,팀공격력!A:A,B925,팀공격력!B:B,D925))),"")</f>
        <v>0</v>
      </c>
      <c r="BN925" s="67">
        <f>IFERROR((AO925*40)/(((F925*60+G925)/60)*(SUMIFS(팀수비력!Q:Q,팀수비력!A:A,B925,팀수비력!B:B,D925)-SUMIFS(팀수비력!N:N,팀수비력!A:A,B925,팀수비력!B:B,D925)))*100,"")</f>
        <v>0</v>
      </c>
      <c r="BO925" s="67">
        <f t="shared" si="451"/>
        <v>33.333333333333336</v>
      </c>
      <c r="BT925" t="s">
        <v>89</v>
      </c>
      <c r="BV925" t="s">
        <v>90</v>
      </c>
      <c r="CF925">
        <v>3</v>
      </c>
      <c r="CG925">
        <v>1</v>
      </c>
    </row>
    <row r="926" spans="1:85" x14ac:dyDescent="0.4">
      <c r="A926" s="11" t="s">
        <v>85</v>
      </c>
      <c r="B926" t="s">
        <v>245</v>
      </c>
      <c r="C926" t="s">
        <v>253</v>
      </c>
      <c r="D926" s="46" t="s">
        <v>312</v>
      </c>
      <c r="E926">
        <v>5</v>
      </c>
      <c r="F926">
        <v>28</v>
      </c>
      <c r="G926" s="1">
        <v>22</v>
      </c>
      <c r="H926" s="16">
        <f t="shared" si="426"/>
        <v>8510</v>
      </c>
      <c r="I926">
        <v>40</v>
      </c>
      <c r="J926" s="17">
        <f t="shared" si="427"/>
        <v>8</v>
      </c>
      <c r="K926">
        <v>15</v>
      </c>
      <c r="L926">
        <v>49</v>
      </c>
      <c r="M926" s="17">
        <f t="shared" si="428"/>
        <v>3</v>
      </c>
      <c r="N926" s="17">
        <f t="shared" si="429"/>
        <v>9.8000000000000007</v>
      </c>
      <c r="O926" s="18">
        <f t="shared" si="430"/>
        <v>0.30612244897959184</v>
      </c>
      <c r="P926">
        <v>8</v>
      </c>
      <c r="Q926">
        <v>26</v>
      </c>
      <c r="R926" s="17">
        <f t="shared" si="431"/>
        <v>1.6</v>
      </c>
      <c r="S926" s="17">
        <f t="shared" si="432"/>
        <v>5.2</v>
      </c>
      <c r="T926" s="18">
        <f t="shared" si="433"/>
        <v>0.30769230769230771</v>
      </c>
      <c r="U926">
        <v>7</v>
      </c>
      <c r="V926">
        <v>23</v>
      </c>
      <c r="W926" s="17">
        <f t="shared" si="434"/>
        <v>1.4</v>
      </c>
      <c r="X926" s="17">
        <f t="shared" si="435"/>
        <v>4.5999999999999996</v>
      </c>
      <c r="Y926" s="18">
        <f t="shared" si="436"/>
        <v>0.30434782608695654</v>
      </c>
      <c r="Z926">
        <v>3</v>
      </c>
      <c r="AA926">
        <v>5</v>
      </c>
      <c r="AB926" s="17">
        <f t="shared" si="437"/>
        <v>0.6</v>
      </c>
      <c r="AC926" s="17">
        <f t="shared" si="438"/>
        <v>1</v>
      </c>
      <c r="AD926" s="18">
        <f t="shared" si="439"/>
        <v>0.6</v>
      </c>
      <c r="AE926">
        <v>11</v>
      </c>
      <c r="AF926" s="17">
        <f t="shared" si="440"/>
        <v>2.2000000000000002</v>
      </c>
      <c r="AG926">
        <v>4</v>
      </c>
      <c r="AH926" s="17">
        <f t="shared" si="441"/>
        <v>0.8</v>
      </c>
      <c r="AI926">
        <v>7</v>
      </c>
      <c r="AJ926" s="17">
        <f t="shared" si="442"/>
        <v>1.4</v>
      </c>
      <c r="AK926">
        <v>19</v>
      </c>
      <c r="AL926" s="17">
        <f t="shared" si="443"/>
        <v>3.8</v>
      </c>
      <c r="AM926">
        <v>1</v>
      </c>
      <c r="AN926" s="17">
        <f t="shared" si="444"/>
        <v>0.2</v>
      </c>
      <c r="AO926">
        <v>4</v>
      </c>
      <c r="AQ926">
        <v>7</v>
      </c>
      <c r="AR926" s="17">
        <f t="shared" si="445"/>
        <v>1.4</v>
      </c>
      <c r="AS926">
        <v>13</v>
      </c>
      <c r="AT926" s="17">
        <f t="shared" si="446"/>
        <v>2.6</v>
      </c>
      <c r="BD926" s="65">
        <f t="shared" si="447"/>
        <v>39.0625</v>
      </c>
      <c r="BE926" s="65">
        <f t="shared" si="448"/>
        <v>37.755102040816325</v>
      </c>
      <c r="BF926" s="66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9.9854182011526458</v>
      </c>
      <c r="BG926" s="38">
        <f t="shared" si="449"/>
        <v>0.46938775510204084</v>
      </c>
      <c r="BH926" s="38">
        <f t="shared" si="450"/>
        <v>0.10204081632653061</v>
      </c>
      <c r="BI926" s="67">
        <f>IFERROR(((AG926*(12000/5))/((F926*60+G926)*(SUMIFS(팀공격력!X:X,팀공격력!A:A,B926,팀공격력!B:B,D926)+SUMIFS(팀수비력!X:X,팀수비력!A:A,B926,팀수비력!B:B,D926))))*100,"")</f>
        <v>0.88825559554761879</v>
      </c>
      <c r="BJ926" s="67">
        <f>IFERROR(((AI926*(12000/5))/((F926*60+G926)*(SUMIFS(팀공격력!V:V,팀공격력!A:A,B926,팀공격력!B:B,D926)+SUMIFS(팀수비력!W:W,팀수비력!A:A,B926,팀수비력!B:B,D926))))*100,"")</f>
        <v>3.2684570548089118</v>
      </c>
      <c r="BK926" s="67">
        <f>IFERROR(((AE926*(12000/5))/((F926*60+G926)*(SUMIFS(팀공격력!X:X,팀공격력!A:A,B926,팀공격력!B:B,D926)+SUMIFS(팀수비력!X:X,팀수비력!A:A,B926,팀수비력!B:B,D926))))*100,"")</f>
        <v>2.442702887755952</v>
      </c>
      <c r="BL926" s="67">
        <f>IFERROR(100*AK926/(((((F926*60+G926)/(12000/5))*SUMIFS(팀공격력!P:P,팀공격력!A:A,B926,팀공격력!B:B,D926))-K926)),"")</f>
        <v>9.0559922467996206</v>
      </c>
      <c r="BM926" s="67">
        <f>IFERROR(100*((AM926/E926*(2400))/((F926*60+G926)*SUMIFS(팀공격력!AR:AR,팀공격력!A:A,B926,팀공격력!B:B,D926))),"")</f>
        <v>0.40457304248869808</v>
      </c>
      <c r="BN926" s="67">
        <f>IFERROR((AO926*40)/(((F926*60+G926)/60)*(SUMIFS(팀수비력!Q:Q,팀수비력!A:A,B926,팀수비력!B:B,D926)-SUMIFS(팀수비력!N:N,팀수비력!A:A,B926,팀수비력!B:B,D926)))*100,"")</f>
        <v>1.5624440531100774</v>
      </c>
      <c r="BO926" s="67">
        <f t="shared" si="451"/>
        <v>12.027491408934708</v>
      </c>
      <c r="BT926" t="s">
        <v>113</v>
      </c>
      <c r="BV926" t="s">
        <v>90</v>
      </c>
      <c r="CF926">
        <v>3</v>
      </c>
      <c r="CG926">
        <v>2</v>
      </c>
    </row>
    <row r="927" spans="1:85" x14ac:dyDescent="0.4">
      <c r="A927" s="11" t="s">
        <v>85</v>
      </c>
      <c r="B927" t="s">
        <v>245</v>
      </c>
      <c r="C927" t="s">
        <v>254</v>
      </c>
      <c r="D927" s="46" t="s">
        <v>312</v>
      </c>
      <c r="E927">
        <v>8</v>
      </c>
      <c r="F927">
        <v>24</v>
      </c>
      <c r="G927" s="1">
        <v>44</v>
      </c>
      <c r="H927" s="16">
        <f t="shared" si="426"/>
        <v>11872</v>
      </c>
      <c r="I927">
        <v>70</v>
      </c>
      <c r="J927" s="17">
        <f t="shared" si="427"/>
        <v>8.75</v>
      </c>
      <c r="K927">
        <v>27</v>
      </c>
      <c r="L927">
        <v>64</v>
      </c>
      <c r="M927" s="17">
        <f t="shared" si="428"/>
        <v>3.375</v>
      </c>
      <c r="N927" s="17">
        <f t="shared" si="429"/>
        <v>8</v>
      </c>
      <c r="O927" s="18">
        <f t="shared" si="430"/>
        <v>0.421875</v>
      </c>
      <c r="P927">
        <v>22</v>
      </c>
      <c r="Q927">
        <v>41</v>
      </c>
      <c r="R927" s="17">
        <f t="shared" si="431"/>
        <v>2.75</v>
      </c>
      <c r="S927" s="17">
        <f t="shared" si="432"/>
        <v>5.125</v>
      </c>
      <c r="T927" s="18">
        <f t="shared" si="433"/>
        <v>0.53658536585365857</v>
      </c>
      <c r="U927">
        <v>5</v>
      </c>
      <c r="V927">
        <v>23</v>
      </c>
      <c r="W927" s="17">
        <f t="shared" si="434"/>
        <v>0.625</v>
      </c>
      <c r="X927" s="17">
        <f t="shared" si="435"/>
        <v>2.875</v>
      </c>
      <c r="Y927" s="18">
        <f t="shared" si="436"/>
        <v>0.21739130434782608</v>
      </c>
      <c r="Z927">
        <v>11</v>
      </c>
      <c r="AA927">
        <v>15</v>
      </c>
      <c r="AB927" s="17">
        <f t="shared" si="437"/>
        <v>1.375</v>
      </c>
      <c r="AC927" s="17">
        <f t="shared" si="438"/>
        <v>1.875</v>
      </c>
      <c r="AD927" s="18">
        <f t="shared" si="439"/>
        <v>0.73333333333333328</v>
      </c>
      <c r="AE927">
        <v>30</v>
      </c>
      <c r="AF927" s="17">
        <f t="shared" si="440"/>
        <v>3.75</v>
      </c>
      <c r="AG927">
        <v>9</v>
      </c>
      <c r="AH927" s="17">
        <f t="shared" si="441"/>
        <v>1.125</v>
      </c>
      <c r="AI927">
        <v>21</v>
      </c>
      <c r="AJ927" s="17">
        <f t="shared" si="442"/>
        <v>2.625</v>
      </c>
      <c r="AK927">
        <v>39</v>
      </c>
      <c r="AL927" s="17">
        <f t="shared" si="443"/>
        <v>4.875</v>
      </c>
      <c r="AM927">
        <v>4</v>
      </c>
      <c r="AN927" s="17">
        <f t="shared" si="444"/>
        <v>0.5</v>
      </c>
      <c r="AO927">
        <v>0</v>
      </c>
      <c r="AQ927">
        <v>18</v>
      </c>
      <c r="AR927" s="17">
        <f t="shared" si="445"/>
        <v>2.25</v>
      </c>
      <c r="AS927">
        <v>17</v>
      </c>
      <c r="AT927" s="17">
        <f t="shared" si="446"/>
        <v>2.125</v>
      </c>
      <c r="BD927" s="65">
        <f t="shared" si="447"/>
        <v>49.575070821529749</v>
      </c>
      <c r="BE927" s="65">
        <f t="shared" si="448"/>
        <v>46.09375</v>
      </c>
      <c r="BF927" s="66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17.43422515495012</v>
      </c>
      <c r="BG927" s="38">
        <f t="shared" si="449"/>
        <v>0.359375</v>
      </c>
      <c r="BH927" s="38">
        <f t="shared" si="450"/>
        <v>0.234375</v>
      </c>
      <c r="BI927" s="67">
        <f>IFERROR(((AG927*(12000/5))/((F927*60+G927)*(SUMIFS(팀공격력!X:X,팀공격력!A:A,B927,팀공격력!B:B,D927)+SUMIFS(팀수비력!X:X,팀수비력!A:A,B927,팀수비력!B:B,D927))))*100,"")</f>
        <v>2.2921663094000042</v>
      </c>
      <c r="BJ927" s="67">
        <f>IFERROR(((AI927*(12000/5))/((F927*60+G927)*(SUMIFS(팀공격력!V:V,팀공격력!A:A,B927,팀공격력!B:B,D927)+SUMIFS(팀수비력!W:W,팀수비력!A:A,B927,팀수비력!B:B,D927))))*100,"")</f>
        <v>11.245782831438211</v>
      </c>
      <c r="BK927" s="67">
        <f>IFERROR(((AE927*(12000/5))/((F927*60+G927)*(SUMIFS(팀공격력!X:X,팀공격력!A:A,B927,팀공격력!B:B,D927)+SUMIFS(팀수비력!X:X,팀수비력!A:A,B927,팀수비력!B:B,D927))))*100,"")</f>
        <v>7.6405543646666807</v>
      </c>
      <c r="BL927" s="67">
        <f>IFERROR(100*AK927/(((((F927*60+G927)/(12000/5))*SUMIFS(팀공격력!P:P,팀공격력!A:A,B927,팀공격력!B:B,D927))-K927)),"")</f>
        <v>23.075330105416786</v>
      </c>
      <c r="BM927" s="67">
        <f>IFERROR(100*((AM927/E927*(2400))/((F927*60+G927)*SUMIFS(팀공격력!AR:AR,팀공격력!A:A,B927,팀공격력!B:B,D927))),"")</f>
        <v>1.1600123286990636</v>
      </c>
      <c r="BN927" s="67">
        <f>IFERROR((AO927*40)/(((F927*60+G927)/60)*(SUMIFS(팀수비력!Q:Q,팀수비력!A:A,B927,팀수비력!B:B,D927)-SUMIFS(팀수비력!N:N,팀수비력!A:A,B927,팀수비력!B:B,D927)))*100,"")</f>
        <v>0</v>
      </c>
      <c r="BO927" s="67">
        <f t="shared" si="451"/>
        <v>20.316027088036119</v>
      </c>
      <c r="BT927" t="s">
        <v>89</v>
      </c>
      <c r="BV927" t="s">
        <v>90</v>
      </c>
      <c r="CF927">
        <v>4</v>
      </c>
      <c r="CG927">
        <v>4</v>
      </c>
    </row>
    <row r="928" spans="1:85" x14ac:dyDescent="0.4">
      <c r="A928" s="11" t="s">
        <v>85</v>
      </c>
      <c r="B928" t="s">
        <v>245</v>
      </c>
      <c r="C928" t="s">
        <v>257</v>
      </c>
      <c r="D928" s="46" t="s">
        <v>312</v>
      </c>
      <c r="E928">
        <v>6</v>
      </c>
      <c r="F928">
        <v>10</v>
      </c>
      <c r="G928" s="1">
        <v>3</v>
      </c>
      <c r="H928" s="16">
        <f t="shared" si="426"/>
        <v>3618</v>
      </c>
      <c r="I928">
        <v>21</v>
      </c>
      <c r="J928" s="17">
        <f t="shared" si="427"/>
        <v>3.5</v>
      </c>
      <c r="K928">
        <v>8</v>
      </c>
      <c r="L928">
        <v>24</v>
      </c>
      <c r="M928" s="17">
        <f t="shared" si="428"/>
        <v>1.3333333333333333</v>
      </c>
      <c r="N928" s="17">
        <f t="shared" si="429"/>
        <v>4</v>
      </c>
      <c r="O928" s="18">
        <f t="shared" si="430"/>
        <v>0.33333333333333331</v>
      </c>
      <c r="P928">
        <v>3</v>
      </c>
      <c r="Q928">
        <v>9</v>
      </c>
      <c r="R928" s="17">
        <f t="shared" si="431"/>
        <v>0.5</v>
      </c>
      <c r="S928" s="17">
        <f t="shared" si="432"/>
        <v>1.5</v>
      </c>
      <c r="T928" s="18">
        <f t="shared" si="433"/>
        <v>0.33333333333333331</v>
      </c>
      <c r="U928">
        <v>5</v>
      </c>
      <c r="V928">
        <v>15</v>
      </c>
      <c r="W928" s="17">
        <f t="shared" si="434"/>
        <v>0.83333333333333337</v>
      </c>
      <c r="X928" s="17">
        <f t="shared" si="435"/>
        <v>2.5</v>
      </c>
      <c r="Y928" s="18">
        <f t="shared" si="436"/>
        <v>0.33333333333333331</v>
      </c>
      <c r="Z928">
        <v>0</v>
      </c>
      <c r="AA928">
        <v>0</v>
      </c>
      <c r="AB928" s="17">
        <f t="shared" si="437"/>
        <v>0</v>
      </c>
      <c r="AC928" s="17">
        <f t="shared" si="438"/>
        <v>0</v>
      </c>
      <c r="AD928" s="18" t="e">
        <f t="shared" si="439"/>
        <v>#DIV/0!</v>
      </c>
      <c r="AE928">
        <v>10</v>
      </c>
      <c r="AF928" s="17">
        <f t="shared" si="440"/>
        <v>1.6666666666666667</v>
      </c>
      <c r="AG928">
        <v>4</v>
      </c>
      <c r="AH928" s="17">
        <f t="shared" si="441"/>
        <v>0.66666666666666663</v>
      </c>
      <c r="AI928">
        <v>6</v>
      </c>
      <c r="AJ928" s="17">
        <f t="shared" si="442"/>
        <v>1</v>
      </c>
      <c r="AK928">
        <v>3</v>
      </c>
      <c r="AL928" s="17">
        <f t="shared" si="443"/>
        <v>0.5</v>
      </c>
      <c r="AM928">
        <v>2</v>
      </c>
      <c r="AN928" s="17">
        <f t="shared" si="444"/>
        <v>0.33333333333333331</v>
      </c>
      <c r="AO928">
        <v>1</v>
      </c>
      <c r="AQ928">
        <v>1</v>
      </c>
      <c r="AR928" s="17">
        <f t="shared" si="445"/>
        <v>0.16666666666666666</v>
      </c>
      <c r="AS928">
        <v>5</v>
      </c>
      <c r="AT928" s="17">
        <f t="shared" si="446"/>
        <v>0.83333333333333337</v>
      </c>
      <c r="BD928" s="65">
        <f t="shared" si="447"/>
        <v>43.75</v>
      </c>
      <c r="BE928" s="65">
        <f t="shared" si="448"/>
        <v>43.75</v>
      </c>
      <c r="BF928" s="66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12.106692894606153</v>
      </c>
      <c r="BG928" s="38">
        <f t="shared" si="449"/>
        <v>0.625</v>
      </c>
      <c r="BH928" s="38">
        <f t="shared" si="450"/>
        <v>0</v>
      </c>
      <c r="BI928" s="67">
        <f>IFERROR(((AG928*(12000/5))/((F928*60+G928)*(SUMIFS(팀공격력!X:X,팀공격력!A:A,B928,팀공격력!B:B,D928)+SUMIFS(팀수비력!X:X,팀수비력!A:A,B928,팀수비력!B:B,D928))))*100,"")</f>
        <v>2.507149292905551</v>
      </c>
      <c r="BJ928" s="67">
        <f>IFERROR(((AI928*(12000/5))/((F928*60+G928)*(SUMIFS(팀공격력!V:V,팀공격력!A:A,B928,팀공격력!B:B,D928)+SUMIFS(팀수비력!W:W,팀수비력!A:A,B928,팀수비력!B:B,D928))))*100,"")</f>
        <v>7.9074824552733025</v>
      </c>
      <c r="BK928" s="67">
        <f>IFERROR(((AE928*(12000/5))/((F928*60+G928)*(SUMIFS(팀공격력!X:X,팀공격력!A:A,B928,팀공격력!B:B,D928)+SUMIFS(팀수비력!X:X,팀수비력!A:A,B928,팀수비력!B:B,D928))))*100,"")</f>
        <v>6.2678732322638782</v>
      </c>
      <c r="BL928" s="67">
        <f>IFERROR(100*AK928/(((((F928*60+G928)/(12000/5))*SUMIFS(팀공격력!P:P,팀공격력!A:A,B928,팀공격력!B:B,D928))-K928)),"")</f>
        <v>4.1872393879651764</v>
      </c>
      <c r="BM928" s="67">
        <f>IFERROR(100*((AM928/E928*(2400))/((F928*60+G928)*SUMIFS(팀공격력!AR:AR,팀공격력!A:A,B928,팀공격력!B:B,D928))),"")</f>
        <v>1.9032153629512549</v>
      </c>
      <c r="BN928" s="67">
        <f>IFERROR((AO928*40)/(((F928*60+G928)/60)*(SUMIFS(팀수비력!Q:Q,팀수비력!A:A,B928,팀수비력!B:B,D928)-SUMIFS(팀수비력!N:N,팀수비력!A:A,B928,팀수비력!B:B,D928)))*100,"")</f>
        <v>1.1025206378081889</v>
      </c>
      <c r="BO928" s="67">
        <f t="shared" si="451"/>
        <v>4</v>
      </c>
      <c r="BT928" t="s">
        <v>89</v>
      </c>
      <c r="BV928" t="s">
        <v>93</v>
      </c>
      <c r="CF928">
        <v>2</v>
      </c>
      <c r="CG928">
        <v>4</v>
      </c>
    </row>
    <row r="929" spans="1:85" x14ac:dyDescent="0.4">
      <c r="A929" s="11" t="s">
        <v>85</v>
      </c>
      <c r="B929" t="s">
        <v>245</v>
      </c>
      <c r="C929" t="s">
        <v>258</v>
      </c>
      <c r="D929" s="46" t="s">
        <v>312</v>
      </c>
      <c r="E929">
        <v>9</v>
      </c>
      <c r="F929">
        <v>35</v>
      </c>
      <c r="G929" s="1">
        <v>30</v>
      </c>
      <c r="H929" s="16">
        <f t="shared" si="426"/>
        <v>19170</v>
      </c>
      <c r="I929">
        <v>118</v>
      </c>
      <c r="J929" s="17">
        <f t="shared" si="427"/>
        <v>13.111111111111111</v>
      </c>
      <c r="K929">
        <v>51</v>
      </c>
      <c r="L929">
        <v>103</v>
      </c>
      <c r="M929" s="17">
        <f t="shared" si="428"/>
        <v>5.666666666666667</v>
      </c>
      <c r="N929" s="17">
        <f t="shared" si="429"/>
        <v>11.444444444444445</v>
      </c>
      <c r="O929" s="18">
        <f t="shared" si="430"/>
        <v>0.49514563106796117</v>
      </c>
      <c r="P929">
        <v>44</v>
      </c>
      <c r="Q929">
        <v>76</v>
      </c>
      <c r="R929" s="17">
        <f t="shared" si="431"/>
        <v>4.8888888888888893</v>
      </c>
      <c r="S929" s="17">
        <f t="shared" si="432"/>
        <v>8.4444444444444446</v>
      </c>
      <c r="T929" s="18">
        <f t="shared" si="433"/>
        <v>0.57894736842105265</v>
      </c>
      <c r="U929">
        <v>7</v>
      </c>
      <c r="V929">
        <v>27</v>
      </c>
      <c r="W929" s="17">
        <f t="shared" si="434"/>
        <v>0.77777777777777779</v>
      </c>
      <c r="X929" s="17">
        <f t="shared" si="435"/>
        <v>3</v>
      </c>
      <c r="Y929" s="18">
        <f t="shared" si="436"/>
        <v>0.25925925925925924</v>
      </c>
      <c r="Z929">
        <v>9</v>
      </c>
      <c r="AA929">
        <v>12</v>
      </c>
      <c r="AB929" s="17">
        <f t="shared" si="437"/>
        <v>1</v>
      </c>
      <c r="AC929" s="17">
        <f t="shared" si="438"/>
        <v>1.3333333333333333</v>
      </c>
      <c r="AD929" s="18">
        <f t="shared" si="439"/>
        <v>0.75</v>
      </c>
      <c r="AE929">
        <v>54</v>
      </c>
      <c r="AF929" s="17">
        <f t="shared" si="440"/>
        <v>6</v>
      </c>
      <c r="AG929">
        <v>7</v>
      </c>
      <c r="AH929" s="17">
        <f t="shared" si="441"/>
        <v>0.77777777777777779</v>
      </c>
      <c r="AI929">
        <v>47</v>
      </c>
      <c r="AJ929" s="17">
        <f t="shared" si="442"/>
        <v>5.2222222222222223</v>
      </c>
      <c r="AK929">
        <v>36</v>
      </c>
      <c r="AL929" s="17">
        <f t="shared" si="443"/>
        <v>4</v>
      </c>
      <c r="AM929">
        <v>8</v>
      </c>
      <c r="AN929" s="17">
        <f t="shared" si="444"/>
        <v>0.88888888888888884</v>
      </c>
      <c r="AO929">
        <v>1</v>
      </c>
      <c r="AQ929">
        <v>8</v>
      </c>
      <c r="AR929" s="17">
        <f t="shared" si="445"/>
        <v>0.88888888888888884</v>
      </c>
      <c r="AS929">
        <v>15</v>
      </c>
      <c r="AT929" s="17">
        <f t="shared" si="446"/>
        <v>1.6666666666666667</v>
      </c>
      <c r="BD929" s="65">
        <f t="shared" si="447"/>
        <v>54.488363502031767</v>
      </c>
      <c r="BE929" s="65">
        <f t="shared" si="448"/>
        <v>52.912621359223301</v>
      </c>
      <c r="BF929" s="66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15.941465701788481</v>
      </c>
      <c r="BG929" s="38">
        <f t="shared" si="449"/>
        <v>0.26213592233009708</v>
      </c>
      <c r="BH929" s="38">
        <f t="shared" si="450"/>
        <v>0.11650485436893204</v>
      </c>
      <c r="BI929" s="67">
        <f>IFERROR(((AG929*(12000/5))/((F929*60+G929)*(SUMIFS(팀공격력!X:X,팀공격력!A:A,B929,팀공격력!B:B,D929)+SUMIFS(팀수비력!X:X,팀수비력!A:A,B929,팀수비력!B:B,D929))))*100,"")</f>
        <v>1.2420982588444052</v>
      </c>
      <c r="BJ929" s="67">
        <f>IFERROR(((AI929*(12000/5))/((F929*60+G929)*(SUMIFS(팀공격력!V:V,팀공격력!A:A,B929,팀공격력!B:B,D929)+SUMIFS(팀수비력!W:W,팀수비력!A:A,B929,팀수비력!B:B,D929))))*100,"")</f>
        <v>17.535677642011009</v>
      </c>
      <c r="BK929" s="67">
        <f>IFERROR(((AE929*(12000/5))/((F929*60+G929)*(SUMIFS(팀공격력!X:X,팀공격력!A:A,B929,팀공격력!B:B,D929)+SUMIFS(팀수비력!X:X,팀수비력!A:A,B929,팀수비력!B:B,D929))))*100,"")</f>
        <v>9.5819008539425532</v>
      </c>
      <c r="BL929" s="67">
        <f>IFERROR(100*AK929/(((((F929*60+G929)/(12000/5))*SUMIFS(팀공격력!P:P,팀공격력!A:A,B929,팀공격력!B:B,D929))-K929)),"")</f>
        <v>15.629239702610302</v>
      </c>
      <c r="BM929" s="67">
        <f>IFERROR(100*((AM929/E929*(2400))/((F929*60+G929)*SUMIFS(팀공격력!AR:AR,팀공격력!A:A,B929,팀공격력!B:B,D929))),"")</f>
        <v>1.4367935697772853</v>
      </c>
      <c r="BN929" s="67">
        <f>IFERROR((AO929*40)/(((F929*60+G929)/60)*(SUMIFS(팀수비력!Q:Q,팀수비력!A:A,B929,팀수비력!B:B,D929)-SUMIFS(팀수비력!N:N,팀수비력!A:A,B929,팀수비력!B:B,D929)))*100,"")</f>
        <v>0.31212203971752955</v>
      </c>
      <c r="BO929" s="67">
        <f t="shared" si="451"/>
        <v>6.8799449604403167</v>
      </c>
      <c r="BT929" t="s">
        <v>89</v>
      </c>
      <c r="BV929" t="s">
        <v>93</v>
      </c>
      <c r="CF929">
        <v>5</v>
      </c>
      <c r="CG929">
        <v>4</v>
      </c>
    </row>
    <row r="930" spans="1:85" x14ac:dyDescent="0.4">
      <c r="A930" s="11" t="s">
        <v>85</v>
      </c>
      <c r="B930" t="s">
        <v>245</v>
      </c>
      <c r="C930" t="s">
        <v>259</v>
      </c>
      <c r="D930" s="46" t="s">
        <v>312</v>
      </c>
      <c r="E930">
        <v>9</v>
      </c>
      <c r="F930">
        <v>18</v>
      </c>
      <c r="G930" s="1">
        <v>29</v>
      </c>
      <c r="H930" s="16">
        <f t="shared" si="426"/>
        <v>9981</v>
      </c>
      <c r="I930">
        <v>66</v>
      </c>
      <c r="J930" s="17">
        <f t="shared" si="427"/>
        <v>7.333333333333333</v>
      </c>
      <c r="K930">
        <v>28</v>
      </c>
      <c r="L930">
        <v>47</v>
      </c>
      <c r="M930" s="17">
        <f t="shared" si="428"/>
        <v>3.1111111111111112</v>
      </c>
      <c r="N930" s="17">
        <f t="shared" si="429"/>
        <v>5.2222222222222223</v>
      </c>
      <c r="O930" s="18">
        <f t="shared" si="430"/>
        <v>0.5957446808510638</v>
      </c>
      <c r="P930">
        <v>27</v>
      </c>
      <c r="Q930">
        <v>46</v>
      </c>
      <c r="R930" s="17">
        <f t="shared" si="431"/>
        <v>3</v>
      </c>
      <c r="S930" s="17">
        <f t="shared" si="432"/>
        <v>5.1111111111111107</v>
      </c>
      <c r="T930" s="18">
        <f t="shared" si="433"/>
        <v>0.58695652173913049</v>
      </c>
      <c r="U930">
        <v>1</v>
      </c>
      <c r="V930">
        <v>1</v>
      </c>
      <c r="W930" s="17">
        <f t="shared" si="434"/>
        <v>0.1111111111111111</v>
      </c>
      <c r="X930" s="17">
        <f t="shared" si="435"/>
        <v>0.1111111111111111</v>
      </c>
      <c r="Y930" s="18">
        <f t="shared" si="436"/>
        <v>1</v>
      </c>
      <c r="Z930">
        <v>9</v>
      </c>
      <c r="AA930">
        <v>17</v>
      </c>
      <c r="AB930" s="17">
        <f t="shared" si="437"/>
        <v>1</v>
      </c>
      <c r="AC930" s="17">
        <f t="shared" si="438"/>
        <v>1.8888888888888888</v>
      </c>
      <c r="AD930" s="18">
        <f t="shared" si="439"/>
        <v>0.52941176470588236</v>
      </c>
      <c r="AE930">
        <v>41</v>
      </c>
      <c r="AF930" s="17">
        <f t="shared" si="440"/>
        <v>4.5555555555555554</v>
      </c>
      <c r="AG930">
        <v>17</v>
      </c>
      <c r="AH930" s="17">
        <f t="shared" si="441"/>
        <v>1.8888888888888888</v>
      </c>
      <c r="AI930">
        <v>24</v>
      </c>
      <c r="AJ930" s="17">
        <f t="shared" si="442"/>
        <v>2.6666666666666665</v>
      </c>
      <c r="AK930">
        <v>23</v>
      </c>
      <c r="AL930" s="17">
        <f t="shared" si="443"/>
        <v>2.5555555555555554</v>
      </c>
      <c r="AM930">
        <v>5</v>
      </c>
      <c r="AN930" s="17">
        <f t="shared" si="444"/>
        <v>0.55555555555555558</v>
      </c>
      <c r="AO930">
        <v>5</v>
      </c>
      <c r="AQ930">
        <v>9</v>
      </c>
      <c r="AR930" s="17">
        <f t="shared" si="445"/>
        <v>1</v>
      </c>
      <c r="AS930">
        <v>23</v>
      </c>
      <c r="AT930" s="17">
        <f t="shared" si="446"/>
        <v>2.5555555555555554</v>
      </c>
      <c r="BD930" s="65">
        <f t="shared" si="447"/>
        <v>60.572687224669593</v>
      </c>
      <c r="BE930" s="65">
        <f t="shared" si="448"/>
        <v>60.638297872340431</v>
      </c>
      <c r="BF930" s="66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16.715070065450242</v>
      </c>
      <c r="BG930" s="38">
        <f t="shared" si="449"/>
        <v>2.1276595744680851E-2</v>
      </c>
      <c r="BH930" s="38">
        <f t="shared" si="450"/>
        <v>0.36170212765957449</v>
      </c>
      <c r="BI930" s="67">
        <f>IFERROR(((AG930*(12000/5))/((F930*60+G930)*(SUMIFS(팀공격력!X:X,팀공격력!A:A,B930,팀공격력!B:B,D930)+SUMIFS(팀수비력!X:X,팀수비력!A:A,B930,팀수비력!B:B,D930))))*100,"")</f>
        <v>5.7936851671719571</v>
      </c>
      <c r="BJ930" s="67">
        <f>IFERROR(((AI930*(12000/5))/((F930*60+G930)*(SUMIFS(팀공격력!V:V,팀공격력!A:A,B930,팀공격력!B:B,D930)+SUMIFS(팀수비력!W:W,팀수비력!A:A,B930,팀수비력!B:B,D930))))*100,"")</f>
        <v>17.198239569088553</v>
      </c>
      <c r="BK930" s="67">
        <f>IFERROR(((AE930*(12000/5))/((F930*60+G930)*(SUMIFS(팀공격력!X:X,팀공격력!A:A,B930,팀공격력!B:B,D930)+SUMIFS(팀수비력!X:X,팀수비력!A:A,B930,팀수비력!B:B,D930))))*100,"")</f>
        <v>13.973005403179425</v>
      </c>
      <c r="BL930" s="67">
        <f>IFERROR(100*AK930/(((((F930*60+G930)/(12000/5))*SUMIFS(팀공격력!P:P,팀공격력!A:A,B930,팀공격력!B:B,D930))-K930)),"")</f>
        <v>19.41249081247604</v>
      </c>
      <c r="BM930" s="67">
        <f>IFERROR(100*((AM930/E930*(2400))/((F930*60+G930)*SUMIFS(팀공격력!AR:AR,팀공격력!A:A,B930,팀공격력!B:B,D930))),"")</f>
        <v>1.7247352928458173</v>
      </c>
      <c r="BN930" s="67">
        <f>IFERROR((AO930*40)/(((F930*60+G930)/60)*(SUMIFS(팀수비력!Q:Q,팀수비력!A:A,B930,팀수비력!B:B,D930)-SUMIFS(팀수비력!N:N,팀수비력!A:A,B930,팀수비력!B:B,D930)))*100,"")</f>
        <v>2.9973847817778987</v>
      </c>
      <c r="BO930" s="67">
        <f t="shared" si="451"/>
        <v>14.177693761814744</v>
      </c>
      <c r="BT930" t="s">
        <v>89</v>
      </c>
      <c r="BV930" t="s">
        <v>102</v>
      </c>
      <c r="CF930">
        <v>5</v>
      </c>
      <c r="CG930">
        <v>4</v>
      </c>
    </row>
    <row r="931" spans="1:85" x14ac:dyDescent="0.4">
      <c r="A931" s="11" t="s">
        <v>85</v>
      </c>
      <c r="B931" t="s">
        <v>245</v>
      </c>
      <c r="C931" t="s">
        <v>260</v>
      </c>
      <c r="D931" s="46" t="s">
        <v>312</v>
      </c>
      <c r="E931">
        <v>9</v>
      </c>
      <c r="F931">
        <v>18</v>
      </c>
      <c r="G931" s="1">
        <v>9</v>
      </c>
      <c r="H931" s="16">
        <f t="shared" si="426"/>
        <v>9801</v>
      </c>
      <c r="I931">
        <v>41</v>
      </c>
      <c r="J931" s="17">
        <f t="shared" si="427"/>
        <v>4.5555555555555554</v>
      </c>
      <c r="K931">
        <v>17</v>
      </c>
      <c r="L931">
        <v>44</v>
      </c>
      <c r="M931" s="17">
        <f t="shared" si="428"/>
        <v>1.8888888888888888</v>
      </c>
      <c r="N931" s="17">
        <f t="shared" si="429"/>
        <v>4.8888888888888893</v>
      </c>
      <c r="O931" s="18">
        <f t="shared" si="430"/>
        <v>0.38636363636363635</v>
      </c>
      <c r="P931">
        <v>11</v>
      </c>
      <c r="Q931">
        <v>23</v>
      </c>
      <c r="R931" s="17">
        <f t="shared" si="431"/>
        <v>1.2222222222222223</v>
      </c>
      <c r="S931" s="17">
        <f t="shared" si="432"/>
        <v>2.5555555555555554</v>
      </c>
      <c r="T931" s="18">
        <f t="shared" si="433"/>
        <v>0.47826086956521741</v>
      </c>
      <c r="U931">
        <v>6</v>
      </c>
      <c r="V931">
        <v>21</v>
      </c>
      <c r="W931" s="17">
        <f t="shared" si="434"/>
        <v>0.66666666666666663</v>
      </c>
      <c r="X931" s="17">
        <f t="shared" si="435"/>
        <v>2.3333333333333335</v>
      </c>
      <c r="Y931" s="18">
        <f t="shared" si="436"/>
        <v>0.2857142857142857</v>
      </c>
      <c r="Z931">
        <v>1</v>
      </c>
      <c r="AA931">
        <v>2</v>
      </c>
      <c r="AB931" s="17">
        <f t="shared" si="437"/>
        <v>0.1111111111111111</v>
      </c>
      <c r="AC931" s="17">
        <f t="shared" si="438"/>
        <v>0.22222222222222221</v>
      </c>
      <c r="AD931" s="18">
        <f t="shared" si="439"/>
        <v>0.5</v>
      </c>
      <c r="AE931">
        <v>17</v>
      </c>
      <c r="AF931" s="17">
        <f t="shared" si="440"/>
        <v>1.8888888888888888</v>
      </c>
      <c r="AG931">
        <v>9</v>
      </c>
      <c r="AH931" s="17">
        <f t="shared" si="441"/>
        <v>1</v>
      </c>
      <c r="AI931">
        <v>8</v>
      </c>
      <c r="AJ931" s="17">
        <f t="shared" si="442"/>
        <v>0.88888888888888884</v>
      </c>
      <c r="AK931">
        <v>16</v>
      </c>
      <c r="AL931" s="17">
        <f t="shared" si="443"/>
        <v>1.7777777777777777</v>
      </c>
      <c r="AM931">
        <v>1</v>
      </c>
      <c r="AN931" s="17">
        <f t="shared" si="444"/>
        <v>0.1111111111111111</v>
      </c>
      <c r="AO931">
        <v>2</v>
      </c>
      <c r="AQ931">
        <v>5</v>
      </c>
      <c r="AR931" s="17">
        <f t="shared" si="445"/>
        <v>0.55555555555555558</v>
      </c>
      <c r="AS931">
        <v>24</v>
      </c>
      <c r="AT931" s="17">
        <f t="shared" si="446"/>
        <v>2.6666666666666665</v>
      </c>
      <c r="BD931" s="65">
        <f t="shared" si="447"/>
        <v>45.677361853832437</v>
      </c>
      <c r="BE931" s="65">
        <f t="shared" si="448"/>
        <v>45.454545454545453</v>
      </c>
      <c r="BF931" s="66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13.375234177209251</v>
      </c>
      <c r="BG931" s="38">
        <f t="shared" si="449"/>
        <v>0.47727272727272729</v>
      </c>
      <c r="BH931" s="38">
        <f t="shared" si="450"/>
        <v>4.5454545454545456E-2</v>
      </c>
      <c r="BI931" s="67">
        <f>IFERROR(((AG931*(12000/5))/((F931*60+G931)*(SUMIFS(팀공격력!X:X,팀공격력!A:A,B931,팀공격력!B:B,D931)+SUMIFS(팀수비력!X:X,팀수비력!A:A,B931,팀수비력!B:B,D931))))*100,"")</f>
        <v>3.1235764950868745</v>
      </c>
      <c r="BJ931" s="67">
        <f>IFERROR(((AI931*(12000/5))/((F931*60+G931)*(SUMIFS(팀공격력!V:V,팀공격력!A:A,B931,팀공격력!B:B,D931)+SUMIFS(팀수비력!W:W,팀수비력!A:A,B931,팀수비력!B:B,D931))))*100,"")</f>
        <v>5.8380311240034297</v>
      </c>
      <c r="BK931" s="67">
        <f>IFERROR(((AE931*(12000/5))/((F931*60+G931)*(SUMIFS(팀공격력!X:X,팀공격력!A:A,B931,팀공격력!B:B,D931)+SUMIFS(팀수비력!X:X,팀수비력!A:A,B931,팀수비력!B:B,D931))))*100,"")</f>
        <v>5.9000889351640957</v>
      </c>
      <c r="BL931" s="67">
        <f>IFERROR(100*AK931/(((((F931*60+G931)/(12000/5))*SUMIFS(팀공격력!P:P,팀공격력!A:A,B931,팀공격력!B:B,D931))-K931)),"")</f>
        <v>12.614441564584954</v>
      </c>
      <c r="BM931" s="67">
        <f>IFERROR(100*((AM931/E931*(2400))/((F931*60+G931)*SUMIFS(팀공격력!AR:AR,팀공격력!A:A,B931,팀공격력!B:B,D931))),"")</f>
        <v>0.35128217442901949</v>
      </c>
      <c r="BN931" s="67">
        <f>IFERROR((AO931*40)/(((F931*60+G931)/60)*(SUMIFS(팀수비력!Q:Q,팀수비력!A:A,B931,팀수비력!B:B,D931)-SUMIFS(팀수비력!N:N,팀수비력!A:A,B931,팀수비력!B:B,D931)))*100,"")</f>
        <v>1.2209732683165069</v>
      </c>
      <c r="BO931" s="67">
        <f t="shared" si="451"/>
        <v>10.024057738572573</v>
      </c>
      <c r="BT931" t="s">
        <v>89</v>
      </c>
      <c r="BV931" t="s">
        <v>93</v>
      </c>
      <c r="CF931">
        <v>5</v>
      </c>
      <c r="CG931">
        <v>4</v>
      </c>
    </row>
    <row r="932" spans="1:85" x14ac:dyDescent="0.4">
      <c r="A932" s="11" t="s">
        <v>85</v>
      </c>
      <c r="B932" t="s">
        <v>245</v>
      </c>
      <c r="C932" t="s">
        <v>261</v>
      </c>
      <c r="D932" s="46" t="s">
        <v>312</v>
      </c>
      <c r="E932">
        <v>9</v>
      </c>
      <c r="F932">
        <v>16</v>
      </c>
      <c r="G932" s="1">
        <v>33</v>
      </c>
      <c r="H932" s="16">
        <f t="shared" si="426"/>
        <v>8937</v>
      </c>
      <c r="I932">
        <v>117</v>
      </c>
      <c r="J932" s="17">
        <f t="shared" si="427"/>
        <v>13</v>
      </c>
      <c r="K932">
        <v>44</v>
      </c>
      <c r="L932">
        <v>96</v>
      </c>
      <c r="M932" s="17">
        <f t="shared" si="428"/>
        <v>4.8888888888888893</v>
      </c>
      <c r="N932" s="17">
        <f t="shared" si="429"/>
        <v>10.666666666666666</v>
      </c>
      <c r="O932" s="18">
        <f t="shared" si="430"/>
        <v>0.45833333333333331</v>
      </c>
      <c r="P932">
        <v>37</v>
      </c>
      <c r="Q932">
        <v>69</v>
      </c>
      <c r="R932" s="17">
        <f t="shared" si="431"/>
        <v>4.1111111111111107</v>
      </c>
      <c r="S932" s="17">
        <f t="shared" si="432"/>
        <v>7.666666666666667</v>
      </c>
      <c r="T932" s="18">
        <f t="shared" si="433"/>
        <v>0.53623188405797106</v>
      </c>
      <c r="U932">
        <v>7</v>
      </c>
      <c r="V932">
        <v>27</v>
      </c>
      <c r="W932" s="17">
        <f t="shared" si="434"/>
        <v>0.77777777777777779</v>
      </c>
      <c r="X932" s="17">
        <f t="shared" si="435"/>
        <v>3</v>
      </c>
      <c r="Y932" s="18">
        <f t="shared" si="436"/>
        <v>0.25925925925925924</v>
      </c>
      <c r="Z932">
        <v>22</v>
      </c>
      <c r="AA932">
        <v>24</v>
      </c>
      <c r="AB932" s="17">
        <f t="shared" si="437"/>
        <v>2.4444444444444446</v>
      </c>
      <c r="AC932" s="17">
        <f t="shared" si="438"/>
        <v>2.6666666666666665</v>
      </c>
      <c r="AD932" s="18">
        <f t="shared" si="439"/>
        <v>0.91666666666666663</v>
      </c>
      <c r="AE932">
        <v>65</v>
      </c>
      <c r="AF932" s="17">
        <f t="shared" si="440"/>
        <v>7.2222222222222223</v>
      </c>
      <c r="AG932">
        <v>23</v>
      </c>
      <c r="AH932" s="17">
        <f t="shared" si="441"/>
        <v>2.5555555555555554</v>
      </c>
      <c r="AI932">
        <v>42</v>
      </c>
      <c r="AJ932" s="17">
        <f t="shared" si="442"/>
        <v>4.666666666666667</v>
      </c>
      <c r="AK932">
        <v>11</v>
      </c>
      <c r="AL932" s="17">
        <f t="shared" si="443"/>
        <v>1.2222222222222223</v>
      </c>
      <c r="AM932">
        <v>2</v>
      </c>
      <c r="AN932" s="17">
        <f t="shared" si="444"/>
        <v>0.22222222222222221</v>
      </c>
      <c r="AO932">
        <v>1</v>
      </c>
      <c r="AQ932">
        <v>12</v>
      </c>
      <c r="AR932" s="17">
        <f t="shared" si="445"/>
        <v>1.3333333333333333</v>
      </c>
      <c r="AS932">
        <v>24</v>
      </c>
      <c r="AT932" s="17">
        <f t="shared" si="446"/>
        <v>2.6666666666666665</v>
      </c>
      <c r="BD932" s="65">
        <f t="shared" si="447"/>
        <v>54.898648648648653</v>
      </c>
      <c r="BE932" s="65">
        <f t="shared" si="448"/>
        <v>49.479166666666671</v>
      </c>
      <c r="BF932" s="66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34.865168752445392</v>
      </c>
      <c r="BG932" s="38">
        <f t="shared" si="449"/>
        <v>0.28125</v>
      </c>
      <c r="BH932" s="38">
        <f t="shared" si="450"/>
        <v>0.25</v>
      </c>
      <c r="BI932" s="67">
        <f>IFERROR(((AG932*(12000/5))/((F932*60+G932)*(SUMIFS(팀공격력!X:X,팀공격력!A:A,B932,팀공격력!B:B,D932)+SUMIFS(팀수비력!X:X,팀수비력!A:A,B932,팀수비력!B:B,D932))))*100,"")</f>
        <v>8.7541927349715714</v>
      </c>
      <c r="BJ932" s="67">
        <f>IFERROR(((AI932*(12000/5))/((F932*60+G932)*(SUMIFS(팀공격력!V:V,팀공격력!A:A,B932,팀공격력!B:B,D932)+SUMIFS(팀수비력!W:W,팀수비력!A:A,B932,팀수비력!B:B,D932))))*100,"")</f>
        <v>33.612772853684405</v>
      </c>
      <c r="BK932" s="67">
        <f>IFERROR(((AE932*(12000/5))/((F932*60+G932)*(SUMIFS(팀공격력!X:X,팀공격력!A:A,B932,팀공격력!B:B,D932)+SUMIFS(팀수비력!X:X,팀수비력!A:A,B932,팀수비력!B:B,D932))))*100,"")</f>
        <v>24.740109903180532</v>
      </c>
      <c r="BL932" s="67">
        <f>IFERROR(100*AK932/(((((F932*60+G932)/(12000/5))*SUMIFS(팀공격력!P:P,팀공격력!A:A,B932,팀공격력!B:B,D932))-K932)),"")</f>
        <v>12.620649102929999</v>
      </c>
      <c r="BM932" s="67">
        <f>IFERROR(100*((AM932/E932*(2400))/((F932*60+G932)*SUMIFS(팀공격력!AR:AR,팀공격력!A:A,B932,팀공격력!B:B,D932))),"")</f>
        <v>0.77048597775065908</v>
      </c>
      <c r="BN932" s="67">
        <f>IFERROR((AO932*40)/(((F932*60+G932)/60)*(SUMIFS(팀수비력!Q:Q,팀수비력!A:A,B932,팀수비력!B:B,D932)-SUMIFS(팀수비력!N:N,팀수비력!A:A,B932,팀수비력!B:B,D932)))*100,"")</f>
        <v>0.66950649002853768</v>
      </c>
      <c r="BO932" s="67">
        <f t="shared" si="451"/>
        <v>10.121457489878543</v>
      </c>
      <c r="BT932" t="s">
        <v>96</v>
      </c>
      <c r="BV932" t="s">
        <v>93</v>
      </c>
      <c r="CF932">
        <v>5</v>
      </c>
      <c r="CG932">
        <v>4</v>
      </c>
    </row>
    <row r="933" spans="1:85" x14ac:dyDescent="0.4">
      <c r="A933" s="11" t="s">
        <v>85</v>
      </c>
      <c r="B933" t="s">
        <v>245</v>
      </c>
      <c r="C933" t="s">
        <v>262</v>
      </c>
      <c r="D933" s="46" t="s">
        <v>312</v>
      </c>
      <c r="E933">
        <v>9</v>
      </c>
      <c r="F933">
        <v>15</v>
      </c>
      <c r="G933" s="1">
        <v>57</v>
      </c>
      <c r="H933" s="16">
        <f t="shared" si="426"/>
        <v>8613</v>
      </c>
      <c r="I933">
        <v>34</v>
      </c>
      <c r="J933" s="17">
        <f t="shared" si="427"/>
        <v>3.7777777777777777</v>
      </c>
      <c r="K933">
        <v>12</v>
      </c>
      <c r="L933">
        <v>27</v>
      </c>
      <c r="M933" s="17">
        <f t="shared" si="428"/>
        <v>1.3333333333333333</v>
      </c>
      <c r="N933" s="17">
        <f t="shared" si="429"/>
        <v>3</v>
      </c>
      <c r="O933" s="18">
        <f t="shared" si="430"/>
        <v>0.44444444444444442</v>
      </c>
      <c r="P933">
        <v>5</v>
      </c>
      <c r="Q933">
        <v>16</v>
      </c>
      <c r="R933" s="17">
        <f t="shared" si="431"/>
        <v>0.55555555555555558</v>
      </c>
      <c r="S933" s="17">
        <f t="shared" si="432"/>
        <v>1.7777777777777777</v>
      </c>
      <c r="T933" s="18">
        <f t="shared" si="433"/>
        <v>0.3125</v>
      </c>
      <c r="U933">
        <v>7</v>
      </c>
      <c r="V933">
        <v>11</v>
      </c>
      <c r="W933" s="17">
        <f t="shared" si="434"/>
        <v>0.77777777777777779</v>
      </c>
      <c r="X933" s="17">
        <f t="shared" si="435"/>
        <v>1.2222222222222223</v>
      </c>
      <c r="Y933" s="18">
        <f t="shared" si="436"/>
        <v>0.63636363636363635</v>
      </c>
      <c r="Z933">
        <v>3</v>
      </c>
      <c r="AA933">
        <v>6</v>
      </c>
      <c r="AB933" s="17">
        <f t="shared" si="437"/>
        <v>0.33333333333333331</v>
      </c>
      <c r="AC933" s="17">
        <f t="shared" si="438"/>
        <v>0.66666666666666663</v>
      </c>
      <c r="AD933" s="18">
        <f t="shared" si="439"/>
        <v>0.5</v>
      </c>
      <c r="AE933">
        <v>29</v>
      </c>
      <c r="AF933" s="17">
        <f t="shared" si="440"/>
        <v>3.2222222222222223</v>
      </c>
      <c r="AG933">
        <v>14</v>
      </c>
      <c r="AH933" s="17">
        <f t="shared" si="441"/>
        <v>1.5555555555555556</v>
      </c>
      <c r="AI933">
        <v>15</v>
      </c>
      <c r="AJ933" s="17">
        <f t="shared" si="442"/>
        <v>1.6666666666666667</v>
      </c>
      <c r="AK933">
        <v>20</v>
      </c>
      <c r="AL933" s="17">
        <f t="shared" si="443"/>
        <v>2.2222222222222223</v>
      </c>
      <c r="AM933">
        <v>4</v>
      </c>
      <c r="AN933" s="17">
        <f t="shared" si="444"/>
        <v>0.44444444444444442</v>
      </c>
      <c r="AO933">
        <v>1</v>
      </c>
      <c r="AQ933">
        <v>4</v>
      </c>
      <c r="AR933" s="17">
        <f t="shared" si="445"/>
        <v>0.44444444444444442</v>
      </c>
      <c r="AS933">
        <v>9</v>
      </c>
      <c r="AT933" s="17">
        <f t="shared" si="446"/>
        <v>1</v>
      </c>
      <c r="BD933" s="65">
        <f t="shared" si="447"/>
        <v>57.354925775978401</v>
      </c>
      <c r="BE933" s="65">
        <f t="shared" si="448"/>
        <v>57.407407407407405</v>
      </c>
      <c r="BF933" s="66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10.264714601114076</v>
      </c>
      <c r="BG933" s="38">
        <f t="shared" si="449"/>
        <v>0.40740740740740738</v>
      </c>
      <c r="BH933" s="38">
        <f t="shared" si="450"/>
        <v>0.22222222222222221</v>
      </c>
      <c r="BI933" s="67">
        <f>IFERROR(((AG933*(12000/5))/((F933*60+G933)*(SUMIFS(팀공격력!X:X,팀공격력!A:A,B933,팀공격력!B:B,D933)+SUMIFS(팀수비력!X:X,팀수비력!A:A,B933,팀수비력!B:B,D933))))*100,"")</f>
        <v>5.529089428084812</v>
      </c>
      <c r="BJ933" s="67">
        <f>IFERROR(((AI933*(12000/5))/((F933*60+G933)*(SUMIFS(팀공격력!V:V,팀공격력!A:A,B933,팀공격력!B:B,D933)+SUMIFS(팀수비력!W:W,팀수비력!A:A,B933,팀수비력!B:B,D933))))*100,"")</f>
        <v>12.456143993024559</v>
      </c>
      <c r="BK933" s="67">
        <f>IFERROR(((AE933*(12000/5))/((F933*60+G933)*(SUMIFS(팀공격력!X:X,팀공격력!A:A,B933,팀공격력!B:B,D933)+SUMIFS(팀수비력!X:X,팀수비력!A:A,B933,팀수비력!B:B,D933))))*100,"")</f>
        <v>11.45311381531854</v>
      </c>
      <c r="BL933" s="67">
        <f>IFERROR(100*AK933/(((((F933*60+G933)/(12000/5))*SUMIFS(팀공격력!P:P,팀공격력!A:A,B933,팀공격력!B:B,D933))-K933)),"")</f>
        <v>17.481944429269145</v>
      </c>
      <c r="BM933" s="67">
        <f>IFERROR(100*((AM933/E933*(2400))/((F933*60+G933)*SUMIFS(팀공격력!AR:AR,팀공격력!A:A,B933,팀공격력!B:B,D933))),"")</f>
        <v>1.5989395525734678</v>
      </c>
      <c r="BN933" s="67">
        <f>IFERROR((AO933*40)/(((F933*60+G933)/60)*(SUMIFS(팀수비력!Q:Q,팀수비력!A:A,B933,팀수비력!B:B,D933)-SUMIFS(팀수비력!N:N,팀수비력!A:A,B933,팀수비력!B:B,D933)))*100,"")</f>
        <v>0.6946916871455987</v>
      </c>
      <c r="BO933" s="67">
        <f t="shared" si="451"/>
        <v>11.890606420927467</v>
      </c>
      <c r="BT933" t="s">
        <v>89</v>
      </c>
      <c r="BV933" t="s">
        <v>93</v>
      </c>
      <c r="CF933">
        <v>5</v>
      </c>
      <c r="CG933">
        <v>4</v>
      </c>
    </row>
    <row r="934" spans="1:85" x14ac:dyDescent="0.4">
      <c r="A934" s="11" t="s">
        <v>85</v>
      </c>
      <c r="B934" t="s">
        <v>263</v>
      </c>
      <c r="C934" t="s">
        <v>264</v>
      </c>
      <c r="D934" s="46" t="s">
        <v>312</v>
      </c>
      <c r="E934">
        <v>8</v>
      </c>
      <c r="F934">
        <v>37</v>
      </c>
      <c r="G934" s="1">
        <v>5</v>
      </c>
      <c r="H934" s="16">
        <f t="shared" si="426"/>
        <v>17800</v>
      </c>
      <c r="I934">
        <v>120</v>
      </c>
      <c r="J934" s="17">
        <f t="shared" si="427"/>
        <v>15</v>
      </c>
      <c r="K934">
        <v>46</v>
      </c>
      <c r="L934">
        <v>91</v>
      </c>
      <c r="M934" s="17">
        <f t="shared" si="428"/>
        <v>5.75</v>
      </c>
      <c r="N934" s="17">
        <f t="shared" si="429"/>
        <v>11.375</v>
      </c>
      <c r="O934" s="18">
        <f t="shared" si="430"/>
        <v>0.50549450549450547</v>
      </c>
      <c r="P934">
        <v>32</v>
      </c>
      <c r="Q934">
        <v>51</v>
      </c>
      <c r="R934" s="17">
        <f t="shared" si="431"/>
        <v>4</v>
      </c>
      <c r="S934" s="17">
        <f t="shared" si="432"/>
        <v>6.375</v>
      </c>
      <c r="T934" s="18">
        <f t="shared" si="433"/>
        <v>0.62745098039215685</v>
      </c>
      <c r="U934">
        <v>14</v>
      </c>
      <c r="V934">
        <v>40</v>
      </c>
      <c r="W934" s="17">
        <f t="shared" si="434"/>
        <v>1.75</v>
      </c>
      <c r="X934" s="17">
        <f t="shared" si="435"/>
        <v>5</v>
      </c>
      <c r="Y934" s="18">
        <f t="shared" si="436"/>
        <v>0.35</v>
      </c>
      <c r="Z934">
        <v>14</v>
      </c>
      <c r="AA934">
        <v>21</v>
      </c>
      <c r="AB934" s="17">
        <f t="shared" si="437"/>
        <v>1.75</v>
      </c>
      <c r="AC934" s="17">
        <f t="shared" si="438"/>
        <v>2.625</v>
      </c>
      <c r="AD934" s="18">
        <f t="shared" si="439"/>
        <v>0.66666666666666663</v>
      </c>
      <c r="AE934">
        <v>59</v>
      </c>
      <c r="AF934" s="17">
        <f t="shared" si="440"/>
        <v>7.375</v>
      </c>
      <c r="AG934">
        <v>18</v>
      </c>
      <c r="AH934" s="17">
        <f t="shared" si="441"/>
        <v>2.25</v>
      </c>
      <c r="AI934">
        <v>41</v>
      </c>
      <c r="AJ934" s="17">
        <f t="shared" si="442"/>
        <v>5.125</v>
      </c>
      <c r="AK934">
        <v>40</v>
      </c>
      <c r="AL934" s="17">
        <f t="shared" si="443"/>
        <v>5</v>
      </c>
      <c r="AM934">
        <v>10</v>
      </c>
      <c r="AN934" s="17">
        <f t="shared" si="444"/>
        <v>1.25</v>
      </c>
      <c r="AO934">
        <v>2</v>
      </c>
      <c r="AQ934">
        <v>18</v>
      </c>
      <c r="AR934" s="17">
        <f t="shared" si="445"/>
        <v>2.25</v>
      </c>
      <c r="AS934">
        <v>21</v>
      </c>
      <c r="AT934" s="17">
        <f t="shared" si="446"/>
        <v>2.625</v>
      </c>
      <c r="BD934" s="65">
        <f t="shared" si="447"/>
        <v>59.856344772545889</v>
      </c>
      <c r="BE934" s="65">
        <f t="shared" si="448"/>
        <v>58.241758241758248</v>
      </c>
      <c r="BF934" s="66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18.683314086619429</v>
      </c>
      <c r="BG934" s="38">
        <f t="shared" si="449"/>
        <v>0.43956043956043955</v>
      </c>
      <c r="BH934" s="38">
        <f t="shared" si="450"/>
        <v>0.23076923076923078</v>
      </c>
      <c r="BI934" s="67">
        <f>IFERROR(((AG934*(12000/5))/((F934*60+G934)*(SUMIFS(팀공격력!X:X,팀공격력!A:A,B934,팀공격력!B:B,D934)+SUMIFS(팀수비력!X:X,팀수비력!A:A,B934,팀수비력!B:B,D934))))*100,"")</f>
        <v>3.4062684801892376</v>
      </c>
      <c r="BJ934" s="67">
        <f>IFERROR(((AI934*(12000/5))/((F934*60+G934)*(SUMIFS(팀공격력!V:V,팀공격력!A:A,B934,팀공격력!B:B,D934)+SUMIFS(팀수비력!W:W,팀수비력!A:A,B934,팀수비력!B:B,D934))))*100,"")</f>
        <v>16.440416022722527</v>
      </c>
      <c r="BK934" s="67">
        <f>IFERROR(((AE934*(12000/5))/((F934*60+G934)*(SUMIFS(팀공격력!X:X,팀공격력!A:A,B934,팀공격력!B:B,D934)+SUMIFS(팀수비력!X:X,팀수비력!A:A,B934,팀수비력!B:B,D934))))*100,"")</f>
        <v>11.164991129509167</v>
      </c>
      <c r="BL934" s="67">
        <f>IFERROR(100*AK934/(((((F934*60+G934)/(12000/5))*SUMIFS(팀공격력!P:P,팀공격력!A:A,B934,팀공격력!B:B,D934))-K934)),"")</f>
        <v>20.032343888570086</v>
      </c>
      <c r="BM934" s="67">
        <f>IFERROR(100*((AM934/E934*(2400))/((F934*60+G934)*SUMIFS(팀공격력!AR:AR,팀공격력!A:A,B934,팀공격력!B:B,D934))),"")</f>
        <v>2.1064897719966726</v>
      </c>
      <c r="BN934" s="67">
        <f>IFERROR((AO934*40)/(((F934*60+G934)/60)*(SUMIFS(팀수비력!Q:Q,팀수비력!A:A,B934,팀수비력!B:B,D934)-SUMIFS(팀수비력!N:N,팀수비력!A:A,B934,팀수비력!B:B,D934)))*100,"")</f>
        <v>0.5975909614367082</v>
      </c>
      <c r="BO934" s="67">
        <f t="shared" si="451"/>
        <v>15.223274695534506</v>
      </c>
      <c r="BT934" t="s">
        <v>89</v>
      </c>
      <c r="BV934" t="s">
        <v>93</v>
      </c>
      <c r="CF934">
        <v>7</v>
      </c>
      <c r="CG934">
        <v>1</v>
      </c>
    </row>
    <row r="935" spans="1:85" x14ac:dyDescent="0.4">
      <c r="A935" s="11" t="s">
        <v>85</v>
      </c>
      <c r="B935" t="s">
        <v>263</v>
      </c>
      <c r="C935" t="s">
        <v>266</v>
      </c>
      <c r="D935" s="46" t="s">
        <v>312</v>
      </c>
      <c r="E935">
        <v>8</v>
      </c>
      <c r="F935">
        <v>15</v>
      </c>
      <c r="G935" s="1">
        <v>9</v>
      </c>
      <c r="H935" s="16">
        <f t="shared" si="426"/>
        <v>7272</v>
      </c>
      <c r="I935">
        <v>25</v>
      </c>
      <c r="J935" s="17">
        <f t="shared" si="427"/>
        <v>3.125</v>
      </c>
      <c r="K935">
        <v>9</v>
      </c>
      <c r="L935">
        <v>24</v>
      </c>
      <c r="M935" s="17">
        <f t="shared" si="428"/>
        <v>1.125</v>
      </c>
      <c r="N935" s="17">
        <f t="shared" si="429"/>
        <v>3</v>
      </c>
      <c r="O935" s="18">
        <f t="shared" si="430"/>
        <v>0.375</v>
      </c>
      <c r="P935">
        <v>2</v>
      </c>
      <c r="Q935">
        <v>5</v>
      </c>
      <c r="R935" s="17">
        <f t="shared" si="431"/>
        <v>0.25</v>
      </c>
      <c r="S935" s="17">
        <f t="shared" si="432"/>
        <v>0.625</v>
      </c>
      <c r="T935" s="18">
        <f t="shared" si="433"/>
        <v>0.4</v>
      </c>
      <c r="U935">
        <v>7</v>
      </c>
      <c r="V935">
        <v>19</v>
      </c>
      <c r="W935" s="17">
        <f t="shared" si="434"/>
        <v>0.875</v>
      </c>
      <c r="X935" s="17">
        <f t="shared" si="435"/>
        <v>2.375</v>
      </c>
      <c r="Y935" s="18">
        <f t="shared" si="436"/>
        <v>0.36842105263157893</v>
      </c>
      <c r="Z935">
        <v>0</v>
      </c>
      <c r="AA935">
        <v>0</v>
      </c>
      <c r="AB935" s="17">
        <f t="shared" si="437"/>
        <v>0</v>
      </c>
      <c r="AC935" s="17">
        <f t="shared" si="438"/>
        <v>0</v>
      </c>
      <c r="AD935" s="18" t="e">
        <f t="shared" si="439"/>
        <v>#DIV/0!</v>
      </c>
      <c r="AE935">
        <v>13</v>
      </c>
      <c r="AF935" s="17">
        <f t="shared" si="440"/>
        <v>1.625</v>
      </c>
      <c r="AG935">
        <v>4</v>
      </c>
      <c r="AH935" s="17">
        <f t="shared" si="441"/>
        <v>0.5</v>
      </c>
      <c r="AI935">
        <v>9</v>
      </c>
      <c r="AJ935" s="17">
        <f t="shared" si="442"/>
        <v>1.125</v>
      </c>
      <c r="AK935">
        <v>4</v>
      </c>
      <c r="AL935" s="17">
        <f t="shared" si="443"/>
        <v>0.5</v>
      </c>
      <c r="AM935">
        <v>3</v>
      </c>
      <c r="AN935" s="17">
        <f t="shared" si="444"/>
        <v>0.375</v>
      </c>
      <c r="AO935">
        <v>0</v>
      </c>
      <c r="AQ935">
        <v>0</v>
      </c>
      <c r="AR935" s="17">
        <f t="shared" si="445"/>
        <v>0</v>
      </c>
      <c r="AS935">
        <v>16</v>
      </c>
      <c r="AT935" s="17">
        <f t="shared" si="446"/>
        <v>2</v>
      </c>
      <c r="BD935" s="65">
        <f t="shared" si="447"/>
        <v>52.083333333333336</v>
      </c>
      <c r="BE935" s="65">
        <f t="shared" si="448"/>
        <v>52.083333333333336</v>
      </c>
      <c r="BF935" s="66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9.2825408170724497</v>
      </c>
      <c r="BG935" s="38">
        <f t="shared" si="449"/>
        <v>0.79166666666666663</v>
      </c>
      <c r="BH935" s="38">
        <f t="shared" si="450"/>
        <v>0</v>
      </c>
      <c r="BI935" s="67">
        <f>IFERROR(((AG935*(12000/5))/((F935*60+G935)*(SUMIFS(팀공격력!X:X,팀공격력!A:A,B935,팀공격력!B:B,D935)+SUMIFS(팀수비력!X:X,팀수비력!A:A,B935,팀수비력!B:B,D935))))*100,"")</f>
        <v>1.8528168606334317</v>
      </c>
      <c r="BJ935" s="67">
        <f>IFERROR(((AI935*(12000/5))/((F935*60+G935)*(SUMIFS(팀공격력!V:V,팀공격력!A:A,B935,팀공격력!B:B,D935)+SUMIFS(팀수비력!W:W,팀수비력!A:A,B935,팀수비력!B:B,D935))))*100,"")</f>
        <v>8.833597114358275</v>
      </c>
      <c r="BK935" s="67">
        <f>IFERROR(((AE935*(12000/5))/((F935*60+G935)*(SUMIFS(팀공격력!X:X,팀공격력!A:A,B935,팀공격력!B:B,D935)+SUMIFS(팀수비력!X:X,팀수비력!A:A,B935,팀수비력!B:B,D935))))*100,"")</f>
        <v>6.0216547970586527</v>
      </c>
      <c r="BL935" s="67">
        <f>IFERROR(100*AK935/(((((F935*60+G935)/(12000/5))*SUMIFS(팀공격력!P:P,팀공격력!A:A,B935,팀공격력!B:B,D935))-K935)),"")</f>
        <v>4.3778644230111503</v>
      </c>
      <c r="BM935" s="67">
        <f>IFERROR(100*((AM935/E935*(2400))/((F935*60+G935)*SUMIFS(팀공격력!AR:AR,팀공격력!A:A,B935,팀공격력!B:B,D935))),"")</f>
        <v>1.546844799568514</v>
      </c>
      <c r="BN935" s="67">
        <f>IFERROR((AO935*40)/(((F935*60+G935)/60)*(SUMIFS(팀수비력!Q:Q,팀수비력!A:A,B935,팀수비력!B:B,D935)-SUMIFS(팀수비력!N:N,팀수비력!A:A,B935,팀수비력!B:B,D935)))*100,"")</f>
        <v>0</v>
      </c>
      <c r="BO935" s="67">
        <f t="shared" si="451"/>
        <v>0</v>
      </c>
      <c r="BT935" t="s">
        <v>89</v>
      </c>
      <c r="BV935" t="s">
        <v>90</v>
      </c>
      <c r="CF935">
        <v>7</v>
      </c>
      <c r="CG935">
        <v>1</v>
      </c>
    </row>
    <row r="936" spans="1:85" x14ac:dyDescent="0.4">
      <c r="A936" s="11" t="s">
        <v>85</v>
      </c>
      <c r="B936" t="s">
        <v>263</v>
      </c>
      <c r="C936" t="s">
        <v>267</v>
      </c>
      <c r="D936" s="46" t="s">
        <v>312</v>
      </c>
      <c r="E936">
        <v>8</v>
      </c>
      <c r="F936">
        <v>26</v>
      </c>
      <c r="G936" s="1">
        <v>4</v>
      </c>
      <c r="H936" s="16">
        <f t="shared" si="426"/>
        <v>12512</v>
      </c>
      <c r="I936">
        <v>77</v>
      </c>
      <c r="J936" s="17">
        <f t="shared" si="427"/>
        <v>9.625</v>
      </c>
      <c r="K936">
        <v>34</v>
      </c>
      <c r="L936">
        <v>64</v>
      </c>
      <c r="M936" s="17">
        <f t="shared" si="428"/>
        <v>4.25</v>
      </c>
      <c r="N936" s="17">
        <f t="shared" si="429"/>
        <v>8</v>
      </c>
      <c r="O936" s="18">
        <f t="shared" si="430"/>
        <v>0.53125</v>
      </c>
      <c r="P936">
        <v>33</v>
      </c>
      <c r="Q936">
        <v>61</v>
      </c>
      <c r="R936" s="17">
        <f t="shared" si="431"/>
        <v>4.125</v>
      </c>
      <c r="S936" s="17">
        <f t="shared" si="432"/>
        <v>7.625</v>
      </c>
      <c r="T936" s="18">
        <f t="shared" si="433"/>
        <v>0.54098360655737709</v>
      </c>
      <c r="U936">
        <v>1</v>
      </c>
      <c r="V936">
        <v>3</v>
      </c>
      <c r="W936" s="17">
        <f t="shared" si="434"/>
        <v>0.125</v>
      </c>
      <c r="X936" s="17">
        <f t="shared" si="435"/>
        <v>0.375</v>
      </c>
      <c r="Y936" s="18">
        <f t="shared" si="436"/>
        <v>0.33333333333333331</v>
      </c>
      <c r="Z936">
        <v>8</v>
      </c>
      <c r="AA936">
        <v>10</v>
      </c>
      <c r="AB936" s="17">
        <f t="shared" si="437"/>
        <v>1</v>
      </c>
      <c r="AC936" s="17">
        <f t="shared" si="438"/>
        <v>1.25</v>
      </c>
      <c r="AD936" s="18">
        <f t="shared" si="439"/>
        <v>0.8</v>
      </c>
      <c r="AE936">
        <v>39</v>
      </c>
      <c r="AF936" s="17">
        <f t="shared" si="440"/>
        <v>4.875</v>
      </c>
      <c r="AG936">
        <v>22</v>
      </c>
      <c r="AH936" s="17">
        <f t="shared" si="441"/>
        <v>2.75</v>
      </c>
      <c r="AI936">
        <v>17</v>
      </c>
      <c r="AJ936" s="17">
        <f t="shared" si="442"/>
        <v>2.125</v>
      </c>
      <c r="AK936">
        <v>6</v>
      </c>
      <c r="AL936" s="17">
        <f t="shared" si="443"/>
        <v>0.75</v>
      </c>
      <c r="AM936">
        <v>1</v>
      </c>
      <c r="AN936" s="17">
        <f t="shared" si="444"/>
        <v>0.125</v>
      </c>
      <c r="AO936">
        <v>12</v>
      </c>
      <c r="AQ936">
        <v>9</v>
      </c>
      <c r="AR936" s="17">
        <f t="shared" si="445"/>
        <v>1.125</v>
      </c>
      <c r="AS936">
        <v>22</v>
      </c>
      <c r="AT936" s="17">
        <f t="shared" si="446"/>
        <v>2.75</v>
      </c>
      <c r="BD936" s="65">
        <f t="shared" si="447"/>
        <v>56.286549707602326</v>
      </c>
      <c r="BE936" s="65">
        <f t="shared" si="448"/>
        <v>53.90625</v>
      </c>
      <c r="BF936" s="66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17.398977281821171</v>
      </c>
      <c r="BG936" s="38">
        <f t="shared" si="449"/>
        <v>4.6875E-2</v>
      </c>
      <c r="BH936" s="38">
        <f t="shared" si="450"/>
        <v>0.15625</v>
      </c>
      <c r="BI936" s="67">
        <f>IFERROR(((AG936*(12000/5))/((F936*60+G936)*(SUMIFS(팀공격력!X:X,팀공격력!A:A,B936,팀공격력!B:B,D936)+SUMIFS(팀수비력!X:X,팀수비력!A:A,B936,팀수비력!B:B,D936))))*100,"")</f>
        <v>5.9227352268138374</v>
      </c>
      <c r="BJ936" s="67">
        <f>IFERROR(((AI936*(12000/5))/((F936*60+G936)*(SUMIFS(팀공격력!V:V,팀공격력!A:A,B936,팀공격력!B:B,D936)+SUMIFS(팀수비력!W:W,팀수비력!A:A,B936,팀수비력!B:B,D936))))*100,"")</f>
        <v>9.6977533538063678</v>
      </c>
      <c r="BK936" s="67">
        <f>IFERROR(((AE936*(12000/5))/((F936*60+G936)*(SUMIFS(팀공격력!X:X,팀공격력!A:A,B936,팀공격력!B:B,D936)+SUMIFS(팀수비력!X:X,팀수비력!A:A,B936,팀수비력!B:B,D936))))*100,"")</f>
        <v>10.49939426571544</v>
      </c>
      <c r="BL936" s="67">
        <f>IFERROR(100*AK936/(((((F936*60+G936)/(12000/5))*SUMIFS(팀공격력!P:P,팀공격력!A:A,B936,팀공격력!B:B,D936))-K936)),"")</f>
        <v>4.3261431232349938</v>
      </c>
      <c r="BM936" s="67">
        <f>IFERROR(100*((AM936/E936*(2400))/((F936*60+G936)*SUMIFS(팀공격력!AR:AR,팀공격력!A:A,B936,팀공격력!B:B,D936))),"")</f>
        <v>0.2996764541363553</v>
      </c>
      <c r="BN936" s="67">
        <f>IFERROR((AO936*40)/(((F936*60+G936)/60)*(SUMIFS(팀수비력!Q:Q,팀수비력!A:A,B936,팀수비력!B:B,D936)-SUMIFS(팀수비력!N:N,팀수비력!A:A,B936,팀수비력!B:B,D936)))*100,"")</f>
        <v>5.100920291035842</v>
      </c>
      <c r="BO936" s="67">
        <f t="shared" si="451"/>
        <v>11.627906976744185</v>
      </c>
      <c r="BT936" t="s">
        <v>89</v>
      </c>
      <c r="BV936" t="s">
        <v>102</v>
      </c>
      <c r="CF936">
        <v>7</v>
      </c>
      <c r="CG936">
        <v>1</v>
      </c>
    </row>
    <row r="937" spans="1:85" x14ac:dyDescent="0.4">
      <c r="A937" s="11" t="s">
        <v>85</v>
      </c>
      <c r="B937" t="s">
        <v>263</v>
      </c>
      <c r="C937" t="s">
        <v>268</v>
      </c>
      <c r="D937" s="46" t="s">
        <v>312</v>
      </c>
      <c r="E937">
        <v>2</v>
      </c>
      <c r="F937">
        <v>0</v>
      </c>
      <c r="G937" s="1">
        <v>35</v>
      </c>
      <c r="H937" s="16">
        <f t="shared" si="426"/>
        <v>70</v>
      </c>
      <c r="I937">
        <v>3</v>
      </c>
      <c r="J937" s="17">
        <f t="shared" si="427"/>
        <v>1.5</v>
      </c>
      <c r="K937">
        <v>1</v>
      </c>
      <c r="L937">
        <v>2</v>
      </c>
      <c r="M937" s="17">
        <f t="shared" si="428"/>
        <v>0.5</v>
      </c>
      <c r="N937" s="17">
        <f t="shared" si="429"/>
        <v>1</v>
      </c>
      <c r="O937" s="18">
        <f t="shared" si="430"/>
        <v>0.5</v>
      </c>
      <c r="P937">
        <v>0</v>
      </c>
      <c r="Q937">
        <v>0</v>
      </c>
      <c r="R937" s="17">
        <f t="shared" si="431"/>
        <v>0</v>
      </c>
      <c r="S937" s="17">
        <f t="shared" si="432"/>
        <v>0</v>
      </c>
      <c r="T937" s="18" t="e">
        <f t="shared" si="433"/>
        <v>#DIV/0!</v>
      </c>
      <c r="U937">
        <v>1</v>
      </c>
      <c r="V937">
        <v>2</v>
      </c>
      <c r="W937" s="17">
        <f t="shared" si="434"/>
        <v>0.5</v>
      </c>
      <c r="X937" s="17">
        <f t="shared" si="435"/>
        <v>1</v>
      </c>
      <c r="Y937" s="18">
        <f t="shared" si="436"/>
        <v>0.5</v>
      </c>
      <c r="Z937">
        <v>0</v>
      </c>
      <c r="AA937">
        <v>0</v>
      </c>
      <c r="AB937" s="17">
        <f t="shared" si="437"/>
        <v>0</v>
      </c>
      <c r="AC937" s="17">
        <f t="shared" si="438"/>
        <v>0</v>
      </c>
      <c r="AD937" s="18" t="e">
        <f t="shared" si="439"/>
        <v>#DIV/0!</v>
      </c>
      <c r="AE937">
        <v>0</v>
      </c>
      <c r="AF937" s="17">
        <f t="shared" si="440"/>
        <v>0</v>
      </c>
      <c r="AG937">
        <v>0</v>
      </c>
      <c r="AH937" s="17">
        <f t="shared" si="441"/>
        <v>0</v>
      </c>
      <c r="AI937">
        <v>0</v>
      </c>
      <c r="AJ937" s="17">
        <f t="shared" si="442"/>
        <v>0</v>
      </c>
      <c r="AK937">
        <v>0</v>
      </c>
      <c r="AL937" s="17">
        <f t="shared" si="443"/>
        <v>0</v>
      </c>
      <c r="AM937">
        <v>0</v>
      </c>
      <c r="AN937" s="17">
        <f t="shared" si="444"/>
        <v>0</v>
      </c>
      <c r="AO937">
        <v>0</v>
      </c>
      <c r="AQ937">
        <v>0</v>
      </c>
      <c r="AR937" s="17">
        <f t="shared" si="445"/>
        <v>0</v>
      </c>
      <c r="AS937">
        <v>0</v>
      </c>
      <c r="AT937" s="17">
        <f t="shared" si="446"/>
        <v>0</v>
      </c>
      <c r="BD937" s="65">
        <f t="shared" si="447"/>
        <v>75</v>
      </c>
      <c r="BE937" s="65">
        <f t="shared" si="448"/>
        <v>75</v>
      </c>
      <c r="BF937" s="66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20.090070482663947</v>
      </c>
      <c r="BG937" s="38">
        <f t="shared" si="449"/>
        <v>1</v>
      </c>
      <c r="BH937" s="38">
        <f t="shared" si="450"/>
        <v>0</v>
      </c>
      <c r="BI937" s="67">
        <f>IFERROR(((AG937*(12000/5))/((F937*60+G937)*(SUMIFS(팀공격력!X:X,팀공격력!A:A,B937,팀공격력!B:B,D937)+SUMIFS(팀수비력!X:X,팀수비력!A:A,B937,팀수비력!B:B,D937))))*100,"")</f>
        <v>0</v>
      </c>
      <c r="BJ937" s="67">
        <f>IFERROR(((AI937*(12000/5))/((F937*60+G937)*(SUMIFS(팀공격력!V:V,팀공격력!A:A,B937,팀공격력!B:B,D937)+SUMIFS(팀수비력!W:W,팀수비력!A:A,B937,팀수비력!B:B,D937))))*100,"")</f>
        <v>0</v>
      </c>
      <c r="BK937" s="67">
        <f>IFERROR(((AE937*(12000/5))/((F937*60+G937)*(SUMIFS(팀공격력!X:X,팀공격력!A:A,B937,팀공격력!B:B,D937)+SUMIFS(팀수비력!X:X,팀수비력!A:A,B937,팀수비력!B:B,D937))))*100,"")</f>
        <v>0</v>
      </c>
      <c r="BL937" s="67">
        <f>IFERROR(100*AK937/(((((F937*60+G937)/(12000/5))*SUMIFS(팀공격력!P:P,팀공격력!A:A,B937,팀공격력!B:B,D937))-K937)),"")</f>
        <v>0</v>
      </c>
      <c r="BM937" s="67">
        <f>IFERROR(100*((AM937/E937*(2400))/((F937*60+G937)*SUMIFS(팀공격력!AR:AR,팀공격력!A:A,B937,팀공격력!B:B,D937))),"")</f>
        <v>0</v>
      </c>
      <c r="BN937" s="67">
        <f>IFERROR((AO937*40)/(((F937*60+G937)/60)*(SUMIFS(팀수비력!Q:Q,팀수비력!A:A,B937,팀수비력!B:B,D937)-SUMIFS(팀수비력!N:N,팀수비력!A:A,B937,팀수비력!B:B,D937)))*100,"")</f>
        <v>0</v>
      </c>
      <c r="BO937" s="67">
        <f t="shared" si="451"/>
        <v>0</v>
      </c>
      <c r="BT937" t="s">
        <v>89</v>
      </c>
      <c r="BV937" t="s">
        <v>90</v>
      </c>
      <c r="CF937">
        <v>2</v>
      </c>
      <c r="CG937">
        <v>0</v>
      </c>
    </row>
    <row r="938" spans="1:85" x14ac:dyDescent="0.4">
      <c r="A938" s="11" t="s">
        <v>85</v>
      </c>
      <c r="B938" t="s">
        <v>263</v>
      </c>
      <c r="C938" t="s">
        <v>270</v>
      </c>
      <c r="D938" s="46" t="s">
        <v>312</v>
      </c>
      <c r="E938">
        <v>3</v>
      </c>
      <c r="F938">
        <v>2</v>
      </c>
      <c r="G938" s="1">
        <v>42</v>
      </c>
      <c r="H938" s="16">
        <f t="shared" si="426"/>
        <v>486</v>
      </c>
      <c r="I938">
        <v>0</v>
      </c>
      <c r="J938" s="17">
        <f t="shared" si="427"/>
        <v>0</v>
      </c>
      <c r="K938">
        <v>0</v>
      </c>
      <c r="L938">
        <v>1</v>
      </c>
      <c r="M938" s="17">
        <f t="shared" si="428"/>
        <v>0</v>
      </c>
      <c r="N938" s="17">
        <f t="shared" si="429"/>
        <v>0.33333333333333331</v>
      </c>
      <c r="O938" s="18">
        <f t="shared" si="430"/>
        <v>0</v>
      </c>
      <c r="P938">
        <v>0</v>
      </c>
      <c r="Q938">
        <v>0</v>
      </c>
      <c r="R938" s="17">
        <f t="shared" si="431"/>
        <v>0</v>
      </c>
      <c r="S938" s="17">
        <f t="shared" si="432"/>
        <v>0</v>
      </c>
      <c r="T938" s="18" t="e">
        <f t="shared" si="433"/>
        <v>#DIV/0!</v>
      </c>
      <c r="U938">
        <v>0</v>
      </c>
      <c r="V938">
        <v>1</v>
      </c>
      <c r="W938" s="17">
        <f t="shared" si="434"/>
        <v>0</v>
      </c>
      <c r="X938" s="17">
        <f t="shared" si="435"/>
        <v>0.33333333333333331</v>
      </c>
      <c r="Y938" s="18">
        <f t="shared" si="436"/>
        <v>0</v>
      </c>
      <c r="Z938">
        <v>0</v>
      </c>
      <c r="AA938">
        <v>0</v>
      </c>
      <c r="AB938" s="17">
        <f t="shared" si="437"/>
        <v>0</v>
      </c>
      <c r="AC938" s="17">
        <f t="shared" si="438"/>
        <v>0</v>
      </c>
      <c r="AD938" s="18" t="e">
        <f t="shared" si="439"/>
        <v>#DIV/0!</v>
      </c>
      <c r="AE938">
        <v>1</v>
      </c>
      <c r="AF938" s="17">
        <f t="shared" si="440"/>
        <v>0.33333333333333331</v>
      </c>
      <c r="AG938">
        <v>1</v>
      </c>
      <c r="AH938" s="17">
        <f t="shared" si="441"/>
        <v>0.33333333333333331</v>
      </c>
      <c r="AI938">
        <v>0</v>
      </c>
      <c r="AJ938" s="17">
        <f t="shared" si="442"/>
        <v>0</v>
      </c>
      <c r="AK938">
        <v>0</v>
      </c>
      <c r="AL938" s="17">
        <f t="shared" si="443"/>
        <v>0</v>
      </c>
      <c r="AM938">
        <v>0</v>
      </c>
      <c r="AN938" s="17">
        <f t="shared" si="444"/>
        <v>0</v>
      </c>
      <c r="AO938">
        <v>0</v>
      </c>
      <c r="AQ938">
        <v>0</v>
      </c>
      <c r="AR938" s="17">
        <f t="shared" si="445"/>
        <v>0</v>
      </c>
      <c r="AS938">
        <v>3</v>
      </c>
      <c r="AT938" s="17">
        <f t="shared" si="446"/>
        <v>1</v>
      </c>
      <c r="BD938" s="65">
        <f t="shared" si="447"/>
        <v>0</v>
      </c>
      <c r="BE938" s="65">
        <f t="shared" si="448"/>
        <v>0</v>
      </c>
      <c r="BF938" s="66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2.1702236632507348</v>
      </c>
      <c r="BG938" s="38">
        <f t="shared" si="449"/>
        <v>1</v>
      </c>
      <c r="BH938" s="38">
        <f t="shared" si="450"/>
        <v>0</v>
      </c>
      <c r="BI938" s="67">
        <f>IFERROR(((AG938*(12000/5))/((F938*60+G938)*(SUMIFS(팀공격력!X:X,팀공격력!A:A,B938,팀공격력!B:B,D938)+SUMIFS(팀수비력!X:X,팀수비력!A:A,B938,팀수비력!B:B,D938))))*100,"")</f>
        <v>2.5990903183885639</v>
      </c>
      <c r="BJ938" s="67">
        <f>IFERROR(((AI938*(12000/5))/((F938*60+G938)*(SUMIFS(팀공격력!V:V,팀공격력!A:A,B938,팀공격력!B:B,D938)+SUMIFS(팀수비력!W:W,팀수비력!A:A,B938,팀수비력!B:B,D938))))*100,"")</f>
        <v>0</v>
      </c>
      <c r="BK938" s="67">
        <f>IFERROR(((AE938*(12000/5))/((F938*60+G938)*(SUMIFS(팀공격력!X:X,팀공격력!A:A,B938,팀공격력!B:B,D938)+SUMIFS(팀수비력!X:X,팀수비력!A:A,B938,팀수비력!B:B,D938))))*100,"")</f>
        <v>2.5990903183885639</v>
      </c>
      <c r="BL938" s="67">
        <f>IFERROR(100*AK938/(((((F938*60+G938)/(12000/5))*SUMIFS(팀공격력!P:P,팀공격력!A:A,B938,팀공격력!B:B,D938))-K938)),"")</f>
        <v>0</v>
      </c>
      <c r="BM938" s="67">
        <f>IFERROR(100*((AM938/E938*(2400))/((F938*60+G938)*SUMIFS(팀공격력!AR:AR,팀공격력!A:A,B938,팀공격력!B:B,D938))),"")</f>
        <v>0</v>
      </c>
      <c r="BN938" s="67">
        <f>IFERROR((AO938*40)/(((F938*60+G938)/60)*(SUMIFS(팀수비력!Q:Q,팀수비력!A:A,B938,팀수비력!B:B,D938)-SUMIFS(팀수비력!N:N,팀수비력!A:A,B938,팀수비력!B:B,D938)))*100,"")</f>
        <v>0</v>
      </c>
      <c r="BO938" s="67">
        <f t="shared" si="451"/>
        <v>0</v>
      </c>
      <c r="BT938" t="s">
        <v>89</v>
      </c>
      <c r="BV938" t="s">
        <v>93</v>
      </c>
      <c r="CF938">
        <v>2</v>
      </c>
      <c r="CG938">
        <v>1</v>
      </c>
    </row>
    <row r="939" spans="1:85" x14ac:dyDescent="0.4">
      <c r="A939" s="11" t="s">
        <v>85</v>
      </c>
      <c r="B939" t="s">
        <v>263</v>
      </c>
      <c r="C939" t="s">
        <v>272</v>
      </c>
      <c r="D939" s="46" t="s">
        <v>312</v>
      </c>
      <c r="E939">
        <v>8</v>
      </c>
      <c r="F939">
        <v>29</v>
      </c>
      <c r="G939" s="1">
        <v>56</v>
      </c>
      <c r="H939" s="16">
        <f t="shared" si="426"/>
        <v>14368</v>
      </c>
      <c r="I939">
        <v>193</v>
      </c>
      <c r="J939" s="17">
        <f t="shared" si="427"/>
        <v>24.125</v>
      </c>
      <c r="K939">
        <v>67</v>
      </c>
      <c r="L939">
        <v>140</v>
      </c>
      <c r="M939" s="17">
        <f t="shared" si="428"/>
        <v>8.375</v>
      </c>
      <c r="N939" s="17">
        <f t="shared" si="429"/>
        <v>17.5</v>
      </c>
      <c r="O939" s="18">
        <f t="shared" si="430"/>
        <v>0.47857142857142859</v>
      </c>
      <c r="P939">
        <v>38</v>
      </c>
      <c r="Q939">
        <v>73</v>
      </c>
      <c r="R939" s="17">
        <f t="shared" si="431"/>
        <v>4.75</v>
      </c>
      <c r="S939" s="17">
        <f t="shared" si="432"/>
        <v>9.125</v>
      </c>
      <c r="T939" s="18">
        <f t="shared" si="433"/>
        <v>0.52054794520547942</v>
      </c>
      <c r="U939">
        <v>29</v>
      </c>
      <c r="V939">
        <v>67</v>
      </c>
      <c r="W939" s="17">
        <f t="shared" si="434"/>
        <v>3.625</v>
      </c>
      <c r="X939" s="17">
        <f t="shared" si="435"/>
        <v>8.375</v>
      </c>
      <c r="Y939" s="18">
        <f t="shared" si="436"/>
        <v>0.43283582089552236</v>
      </c>
      <c r="Z939">
        <v>30</v>
      </c>
      <c r="AA939">
        <v>43</v>
      </c>
      <c r="AB939" s="17">
        <f t="shared" si="437"/>
        <v>3.75</v>
      </c>
      <c r="AC939" s="17">
        <f t="shared" si="438"/>
        <v>5.375</v>
      </c>
      <c r="AD939" s="18">
        <f t="shared" si="439"/>
        <v>0.69767441860465118</v>
      </c>
      <c r="AE939">
        <v>78</v>
      </c>
      <c r="AF939" s="17">
        <f t="shared" si="440"/>
        <v>9.75</v>
      </c>
      <c r="AG939">
        <v>18</v>
      </c>
      <c r="AH939" s="17">
        <f t="shared" si="441"/>
        <v>2.25</v>
      </c>
      <c r="AI939">
        <v>60</v>
      </c>
      <c r="AJ939" s="17">
        <f t="shared" si="442"/>
        <v>7.5</v>
      </c>
      <c r="AK939">
        <v>29</v>
      </c>
      <c r="AL939" s="17">
        <f t="shared" si="443"/>
        <v>3.625</v>
      </c>
      <c r="AM939">
        <v>17</v>
      </c>
      <c r="AN939" s="17">
        <f t="shared" si="444"/>
        <v>2.125</v>
      </c>
      <c r="AO939">
        <v>3</v>
      </c>
      <c r="AQ939">
        <v>22</v>
      </c>
      <c r="AR939" s="17">
        <f t="shared" si="445"/>
        <v>2.75</v>
      </c>
      <c r="AS939">
        <v>14</v>
      </c>
      <c r="AT939" s="17">
        <f t="shared" si="446"/>
        <v>1.75</v>
      </c>
      <c r="BD939" s="65">
        <f t="shared" si="447"/>
        <v>60.72237603825824</v>
      </c>
      <c r="BE939" s="65">
        <f t="shared" si="448"/>
        <v>58.214285714285715</v>
      </c>
      <c r="BF939" s="66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35.416020130936708</v>
      </c>
      <c r="BG939" s="38">
        <f t="shared" si="449"/>
        <v>0.47857142857142859</v>
      </c>
      <c r="BH939" s="38">
        <f t="shared" si="450"/>
        <v>0.30714285714285716</v>
      </c>
      <c r="BI939" s="67">
        <f>IFERROR(((AG939*(12000/5))/((F939*60+G939)*(SUMIFS(팀공격력!X:X,팀공격력!A:A,B939,팀공격력!B:B,D939)+SUMIFS(팀수비력!X:X,팀수비력!A:A,B939,팀수비력!B:B,D939))))*100,"")</f>
        <v>4.2199038799671786</v>
      </c>
      <c r="BJ939" s="67">
        <f>IFERROR(((AI939*(12000/5))/((F939*60+G939)*(SUMIFS(팀공격력!V:V,팀공격력!A:A,B939,팀공격력!B:B,D939)+SUMIFS(팀수비력!W:W,팀수비력!A:A,B939,팀수비력!B:B,D939))))*100,"")</f>
        <v>29.806012535084157</v>
      </c>
      <c r="BK939" s="67">
        <f>IFERROR(((AE939*(12000/5))/((F939*60+G939)*(SUMIFS(팀공격력!X:X,팀공격력!A:A,B939,팀공격력!B:B,D939)+SUMIFS(팀수비력!X:X,팀수비력!A:A,B939,팀수비력!B:B,D939))))*100,"")</f>
        <v>18.286250146524441</v>
      </c>
      <c r="BL939" s="67">
        <f>IFERROR(100*AK939/(((((F939*60+G939)/(12000/5))*SUMIFS(팀공격력!P:P,팀공격력!A:A,B939,팀공격력!B:B,D939))-K939)),"")</f>
        <v>22.085422351970553</v>
      </c>
      <c r="BM939" s="67">
        <f>IFERROR(100*((AM939/E939*(2400))/((F939*60+G939)*SUMIFS(팀공격력!AR:AR,팀공격력!A:A,B939,팀공격력!B:B,D939))),"")</f>
        <v>4.4364128967580259</v>
      </c>
      <c r="BN939" s="67">
        <f>IFERROR((AO939*40)/(((F939*60+G939)/60)*(SUMIFS(팀수비력!Q:Q,팀수비력!A:A,B939,팀수비력!B:B,D939)-SUMIFS(팀수비력!N:N,팀수비력!A:A,B939,팀수비력!B:B,D939)))*100,"")</f>
        <v>1.1105010210439943</v>
      </c>
      <c r="BO939" s="67">
        <f t="shared" si="451"/>
        <v>12.160070749502541</v>
      </c>
      <c r="BT939" t="s">
        <v>96</v>
      </c>
      <c r="BV939" t="s">
        <v>93</v>
      </c>
      <c r="CF939">
        <v>7</v>
      </c>
      <c r="CG939">
        <v>1</v>
      </c>
    </row>
    <row r="940" spans="1:85" x14ac:dyDescent="0.4">
      <c r="A940" s="11" t="s">
        <v>85</v>
      </c>
      <c r="B940" t="s">
        <v>263</v>
      </c>
      <c r="C940" t="s">
        <v>273</v>
      </c>
      <c r="D940" s="46" t="s">
        <v>312</v>
      </c>
      <c r="E940">
        <v>5</v>
      </c>
      <c r="F940">
        <v>1</v>
      </c>
      <c r="G940" s="1">
        <v>53</v>
      </c>
      <c r="H940" s="16">
        <f t="shared" si="426"/>
        <v>565</v>
      </c>
      <c r="I940">
        <v>0</v>
      </c>
      <c r="J940" s="17">
        <f t="shared" si="427"/>
        <v>0</v>
      </c>
      <c r="K940">
        <v>0</v>
      </c>
      <c r="L940">
        <v>2</v>
      </c>
      <c r="M940" s="17">
        <f t="shared" si="428"/>
        <v>0</v>
      </c>
      <c r="N940" s="17">
        <f t="shared" si="429"/>
        <v>0.4</v>
      </c>
      <c r="O940" s="18">
        <f t="shared" si="430"/>
        <v>0</v>
      </c>
      <c r="P940">
        <v>0</v>
      </c>
      <c r="Q940">
        <v>2</v>
      </c>
      <c r="R940" s="17">
        <f t="shared" si="431"/>
        <v>0</v>
      </c>
      <c r="S940" s="17">
        <f t="shared" si="432"/>
        <v>0.4</v>
      </c>
      <c r="T940" s="18">
        <f t="shared" si="433"/>
        <v>0</v>
      </c>
      <c r="U940">
        <v>0</v>
      </c>
      <c r="V940">
        <v>0</v>
      </c>
      <c r="W940" s="17">
        <f t="shared" si="434"/>
        <v>0</v>
      </c>
      <c r="X940" s="17">
        <f t="shared" si="435"/>
        <v>0</v>
      </c>
      <c r="Y940" s="18" t="e">
        <f t="shared" si="436"/>
        <v>#DIV/0!</v>
      </c>
      <c r="Z940">
        <v>0</v>
      </c>
      <c r="AA940">
        <v>0</v>
      </c>
      <c r="AB940" s="17">
        <f t="shared" si="437"/>
        <v>0</v>
      </c>
      <c r="AC940" s="17">
        <f t="shared" si="438"/>
        <v>0</v>
      </c>
      <c r="AD940" s="18" t="e">
        <f t="shared" si="439"/>
        <v>#DIV/0!</v>
      </c>
      <c r="AE940">
        <v>4</v>
      </c>
      <c r="AF940" s="17">
        <f t="shared" si="440"/>
        <v>0.8</v>
      </c>
      <c r="AG940">
        <v>2</v>
      </c>
      <c r="AH940" s="17">
        <f t="shared" si="441"/>
        <v>0.4</v>
      </c>
      <c r="AI940">
        <v>2</v>
      </c>
      <c r="AJ940" s="17">
        <f t="shared" si="442"/>
        <v>0.4</v>
      </c>
      <c r="AK940">
        <v>2</v>
      </c>
      <c r="AL940" s="17">
        <f t="shared" si="443"/>
        <v>0.4</v>
      </c>
      <c r="AM940">
        <v>0</v>
      </c>
      <c r="AN940" s="17">
        <f t="shared" si="444"/>
        <v>0</v>
      </c>
      <c r="AO940">
        <v>0</v>
      </c>
      <c r="AQ940">
        <v>2</v>
      </c>
      <c r="AR940" s="17">
        <f t="shared" si="445"/>
        <v>0.4</v>
      </c>
      <c r="AS940">
        <v>3</v>
      </c>
      <c r="AT940" s="17">
        <f t="shared" si="446"/>
        <v>0.6</v>
      </c>
      <c r="BD940" s="65">
        <f t="shared" si="447"/>
        <v>0</v>
      </c>
      <c r="BE940" s="65">
        <f t="shared" si="448"/>
        <v>0</v>
      </c>
      <c r="BF940" s="66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12.445176405190054</v>
      </c>
      <c r="BG940" s="38">
        <f t="shared" si="449"/>
        <v>0</v>
      </c>
      <c r="BH940" s="38">
        <f t="shared" si="450"/>
        <v>0</v>
      </c>
      <c r="BI940" s="67">
        <f>IFERROR(((AG940*(12000/5))/((F940*60+G940)*(SUMIFS(팀공격력!X:X,팀공격력!A:A,B940,팀공격력!B:B,D940)+SUMIFS(팀수비력!X:X,팀수비력!A:A,B940,팀수비력!B:B,D940))))*100,"")</f>
        <v>7.4522589659990688</v>
      </c>
      <c r="BJ940" s="67">
        <f>IFERROR(((AI940*(12000/5))/((F940*60+G940)*(SUMIFS(팀공격력!V:V,팀공격력!A:A,B940,팀공격력!B:B,D940)+SUMIFS(팀수비력!W:W,팀수비력!A:A,B940,팀수비력!B:B,D940))))*100,"")</f>
        <v>15.791032009737805</v>
      </c>
      <c r="BK940" s="67">
        <f>IFERROR(((AE940*(12000/5))/((F940*60+G940)*(SUMIFS(팀공격력!X:X,팀공격력!A:A,B940,팀공격력!B:B,D940)+SUMIFS(팀수비력!X:X,팀수비력!A:A,B940,팀수비력!B:B,D940))))*100,"")</f>
        <v>14.904517931998138</v>
      </c>
      <c r="BL940" s="67">
        <f>IFERROR(100*AK940/(((((F940*60+G940)/(12000/5))*SUMIFS(팀공격력!P:P,팀공격력!A:A,B940,팀공격력!B:B,D940))-K940)),"")</f>
        <v>16.029387209884788</v>
      </c>
      <c r="BM940" s="67">
        <f>IFERROR(100*((AM940/E940*(2400))/((F940*60+G940)*SUMIFS(팀공격력!AR:AR,팀공격력!A:A,B940,팀공격력!B:B,D940))),"")</f>
        <v>0</v>
      </c>
      <c r="BN940" s="67">
        <f>IFERROR((AO940*40)/(((F940*60+G940)/60)*(SUMIFS(팀수비력!Q:Q,팀수비력!A:A,B940,팀수비력!B:B,D940)-SUMIFS(팀수비력!N:N,팀수비력!A:A,B940,팀수비력!B:B,D940)))*100,"")</f>
        <v>0</v>
      </c>
      <c r="BO940" s="67">
        <f t="shared" si="451"/>
        <v>50</v>
      </c>
      <c r="BT940" t="s">
        <v>89</v>
      </c>
      <c r="BV940" t="s">
        <v>90</v>
      </c>
      <c r="CF940">
        <v>5</v>
      </c>
      <c r="CG940">
        <v>0</v>
      </c>
    </row>
    <row r="941" spans="1:85" x14ac:dyDescent="0.4">
      <c r="A941" s="11" t="s">
        <v>85</v>
      </c>
      <c r="B941" t="s">
        <v>263</v>
      </c>
      <c r="C941" t="s">
        <v>274</v>
      </c>
      <c r="D941" s="46" t="s">
        <v>312</v>
      </c>
      <c r="E941">
        <v>8</v>
      </c>
      <c r="F941">
        <v>24</v>
      </c>
      <c r="G941" s="1">
        <v>33</v>
      </c>
      <c r="H941" s="16">
        <f t="shared" si="426"/>
        <v>11784</v>
      </c>
      <c r="I941">
        <v>75</v>
      </c>
      <c r="J941" s="17">
        <f t="shared" si="427"/>
        <v>9.375</v>
      </c>
      <c r="K941">
        <v>28</v>
      </c>
      <c r="L941">
        <v>52</v>
      </c>
      <c r="M941" s="17">
        <f t="shared" si="428"/>
        <v>3.5</v>
      </c>
      <c r="N941" s="17">
        <f t="shared" si="429"/>
        <v>6.5</v>
      </c>
      <c r="O941" s="18">
        <f t="shared" si="430"/>
        <v>0.53846153846153844</v>
      </c>
      <c r="P941">
        <v>14</v>
      </c>
      <c r="Q941">
        <v>18</v>
      </c>
      <c r="R941" s="17">
        <f t="shared" si="431"/>
        <v>1.75</v>
      </c>
      <c r="S941" s="17">
        <f t="shared" si="432"/>
        <v>2.25</v>
      </c>
      <c r="T941" s="18">
        <f t="shared" si="433"/>
        <v>0.77777777777777779</v>
      </c>
      <c r="U941">
        <v>14</v>
      </c>
      <c r="V941">
        <v>34</v>
      </c>
      <c r="W941" s="17">
        <f t="shared" si="434"/>
        <v>1.75</v>
      </c>
      <c r="X941" s="17">
        <f t="shared" si="435"/>
        <v>4.25</v>
      </c>
      <c r="Y941" s="18">
        <f t="shared" si="436"/>
        <v>0.41176470588235292</v>
      </c>
      <c r="Z941">
        <v>5</v>
      </c>
      <c r="AA941">
        <v>6</v>
      </c>
      <c r="AB941" s="17">
        <f t="shared" si="437"/>
        <v>0.625</v>
      </c>
      <c r="AC941" s="17">
        <f t="shared" si="438"/>
        <v>0.75</v>
      </c>
      <c r="AD941" s="18">
        <f t="shared" si="439"/>
        <v>0.83333333333333337</v>
      </c>
      <c r="AE941">
        <v>17</v>
      </c>
      <c r="AF941" s="17">
        <f t="shared" si="440"/>
        <v>2.125</v>
      </c>
      <c r="AG941">
        <v>8</v>
      </c>
      <c r="AH941" s="17">
        <f t="shared" si="441"/>
        <v>1</v>
      </c>
      <c r="AI941">
        <v>9</v>
      </c>
      <c r="AJ941" s="17">
        <f t="shared" si="442"/>
        <v>1.125</v>
      </c>
      <c r="AK941">
        <v>2</v>
      </c>
      <c r="AL941" s="17">
        <f t="shared" si="443"/>
        <v>0.25</v>
      </c>
      <c r="AM941">
        <v>3</v>
      </c>
      <c r="AN941" s="17">
        <f t="shared" si="444"/>
        <v>0.375</v>
      </c>
      <c r="AO941">
        <v>0</v>
      </c>
      <c r="AQ941">
        <v>6</v>
      </c>
      <c r="AR941" s="17">
        <f t="shared" si="445"/>
        <v>0.75</v>
      </c>
      <c r="AS941">
        <v>21</v>
      </c>
      <c r="AT941" s="17">
        <f t="shared" si="446"/>
        <v>2.625</v>
      </c>
      <c r="BD941" s="65">
        <f t="shared" si="447"/>
        <v>68.631039531478763</v>
      </c>
      <c r="BE941" s="65">
        <f t="shared" si="448"/>
        <v>67.307692307692307</v>
      </c>
      <c r="BF941" s="66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14.473579630823474</v>
      </c>
      <c r="BG941" s="38">
        <f t="shared" si="449"/>
        <v>0.65384615384615385</v>
      </c>
      <c r="BH941" s="38">
        <f t="shared" si="450"/>
        <v>0.11538461538461539</v>
      </c>
      <c r="BI941" s="67">
        <f>IFERROR(((AG941*(12000/5))/((F941*60+G941)*(SUMIFS(팀공격력!X:X,팀공격력!A:A,B941,팀공격력!B:B,D941)+SUMIFS(팀수비력!X:X,팀수비력!A:A,B941,팀수비력!B:B,D941))))*100,"")</f>
        <v>2.2867760031443169</v>
      </c>
      <c r="BJ941" s="67">
        <f>IFERROR(((AI941*(12000/5))/((F941*60+G941)*(SUMIFS(팀공격력!V:V,팀공격력!A:A,B941,팀공격력!B:B,D941)+SUMIFS(팀수비력!W:W,팀수비력!A:A,B941,팀수비력!B:B,D941))))*100,"")</f>
        <v>5.4512829442984883</v>
      </c>
      <c r="BK941" s="67">
        <f>IFERROR(((AE941*(12000/5))/((F941*60+G941)*(SUMIFS(팀공격력!X:X,팀공격력!A:A,B941,팀공격력!B:B,D941)+SUMIFS(팀수비력!X:X,팀수비력!A:A,B941,팀수비력!B:B,D941))))*100,"")</f>
        <v>4.8593990066816737</v>
      </c>
      <c r="BL941" s="67">
        <f>IFERROR(100*AK941/(((((F941*60+G941)/(12000/5))*SUMIFS(팀공격력!P:P,팀공격력!A:A,B941,팀공격력!B:B,D941))-K941)),"")</f>
        <v>1.485401290442371</v>
      </c>
      <c r="BM941" s="67">
        <f>IFERROR(100*((AM941/E941*(2400))/((F941*60+G941)*SUMIFS(팀공격력!AR:AR,팀공격력!A:A,B941,팀공격력!B:B,D941))),"")</f>
        <v>0.95457021236101769</v>
      </c>
      <c r="BN941" s="67">
        <f>IFERROR((AO941*40)/(((F941*60+G941)/60)*(SUMIFS(팀수비력!Q:Q,팀수비력!A:A,B941,팀수비력!B:B,D941)-SUMIFS(팀수비력!N:N,팀수비력!A:A,B941,팀수비력!B:B,D941)))*100,"")</f>
        <v>0</v>
      </c>
      <c r="BO941" s="67">
        <f t="shared" si="451"/>
        <v>9.8944591029023741</v>
      </c>
      <c r="BT941" t="s">
        <v>89</v>
      </c>
      <c r="BV941" t="s">
        <v>93</v>
      </c>
      <c r="CF941">
        <v>7</v>
      </c>
      <c r="CG941">
        <v>1</v>
      </c>
    </row>
    <row r="942" spans="1:85" x14ac:dyDescent="0.4">
      <c r="A942" s="11" t="s">
        <v>85</v>
      </c>
      <c r="B942" t="s">
        <v>263</v>
      </c>
      <c r="C942" t="s">
        <v>276</v>
      </c>
      <c r="D942" s="46" t="s">
        <v>312</v>
      </c>
      <c r="E942">
        <v>5</v>
      </c>
      <c r="F942">
        <v>7</v>
      </c>
      <c r="G942" s="1">
        <v>43</v>
      </c>
      <c r="H942" s="16">
        <f t="shared" si="426"/>
        <v>2315</v>
      </c>
      <c r="I942">
        <v>7</v>
      </c>
      <c r="J942" s="17">
        <f t="shared" si="427"/>
        <v>1.4</v>
      </c>
      <c r="K942">
        <v>3</v>
      </c>
      <c r="L942">
        <v>7</v>
      </c>
      <c r="M942" s="17">
        <f t="shared" si="428"/>
        <v>0.6</v>
      </c>
      <c r="N942" s="17">
        <f t="shared" si="429"/>
        <v>1.4</v>
      </c>
      <c r="O942" s="18">
        <f t="shared" si="430"/>
        <v>0.42857142857142855</v>
      </c>
      <c r="P942">
        <v>2</v>
      </c>
      <c r="Q942">
        <v>5</v>
      </c>
      <c r="R942" s="17">
        <f t="shared" si="431"/>
        <v>0.4</v>
      </c>
      <c r="S942" s="17">
        <f t="shared" si="432"/>
        <v>1</v>
      </c>
      <c r="T942" s="18">
        <f t="shared" si="433"/>
        <v>0.4</v>
      </c>
      <c r="U942">
        <v>1</v>
      </c>
      <c r="V942">
        <v>2</v>
      </c>
      <c r="W942" s="17">
        <f t="shared" si="434"/>
        <v>0.2</v>
      </c>
      <c r="X942" s="17">
        <f t="shared" si="435"/>
        <v>0.4</v>
      </c>
      <c r="Y942" s="18">
        <f t="shared" si="436"/>
        <v>0.5</v>
      </c>
      <c r="Z942">
        <v>0</v>
      </c>
      <c r="AA942">
        <v>0</v>
      </c>
      <c r="AB942" s="17">
        <f t="shared" si="437"/>
        <v>0</v>
      </c>
      <c r="AC942" s="17">
        <f t="shared" si="438"/>
        <v>0</v>
      </c>
      <c r="AD942" s="18" t="e">
        <f t="shared" si="439"/>
        <v>#DIV/0!</v>
      </c>
      <c r="AE942">
        <v>10</v>
      </c>
      <c r="AF942" s="17">
        <f t="shared" si="440"/>
        <v>2</v>
      </c>
      <c r="AG942">
        <v>4</v>
      </c>
      <c r="AH942" s="17">
        <f t="shared" si="441"/>
        <v>0.8</v>
      </c>
      <c r="AI942">
        <v>6</v>
      </c>
      <c r="AJ942" s="17">
        <f t="shared" si="442"/>
        <v>1.2</v>
      </c>
      <c r="AK942">
        <v>1</v>
      </c>
      <c r="AL942" s="17">
        <f t="shared" si="443"/>
        <v>0.2</v>
      </c>
      <c r="AM942">
        <v>2</v>
      </c>
      <c r="AN942" s="17">
        <f t="shared" si="444"/>
        <v>0.4</v>
      </c>
      <c r="AO942">
        <v>0</v>
      </c>
      <c r="AQ942">
        <v>2</v>
      </c>
      <c r="AR942" s="17">
        <f t="shared" si="445"/>
        <v>0.4</v>
      </c>
      <c r="AS942">
        <v>5</v>
      </c>
      <c r="AT942" s="17">
        <f t="shared" si="446"/>
        <v>1</v>
      </c>
      <c r="BD942" s="65">
        <f t="shared" si="447"/>
        <v>50</v>
      </c>
      <c r="BE942" s="65">
        <f t="shared" si="448"/>
        <v>50</v>
      </c>
      <c r="BF942" s="66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6.8340952505822266</v>
      </c>
      <c r="BG942" s="38">
        <f t="shared" si="449"/>
        <v>0.2857142857142857</v>
      </c>
      <c r="BH942" s="38">
        <f t="shared" si="450"/>
        <v>0</v>
      </c>
      <c r="BI942" s="67">
        <f>IFERROR(((AG942*(12000/5))/((F942*60+G942)*(SUMIFS(팀공격력!X:X,팀공격력!A:A,B942,팀공격력!B:B,D942)+SUMIFS(팀수비력!X:X,팀수비력!A:A,B942,팀수비력!B:B,D942))))*100,"")</f>
        <v>3.6376037285438216</v>
      </c>
      <c r="BJ942" s="67">
        <f>IFERROR(((AI942*(12000/5))/((F942*60+G942)*(SUMIFS(팀공격력!V:V,팀공격력!A:A,B942,팀공격력!B:B,D942)+SUMIFS(팀수비력!W:W,팀수비력!A:A,B942,팀수비력!B:B,D942))))*100,"")</f>
        <v>11.561900326784267</v>
      </c>
      <c r="BK942" s="67">
        <f>IFERROR(((AE942*(12000/5))/((F942*60+G942)*(SUMIFS(팀공격력!X:X,팀공격력!A:A,B942,팀공격력!B:B,D942)+SUMIFS(팀수비력!X:X,팀수비력!A:A,B942,팀수비력!B:B,D942))))*100,"")</f>
        <v>9.0940093213595539</v>
      </c>
      <c r="BL942" s="67">
        <f>IFERROR(100*AK942/(((((F942*60+G942)/(12000/5))*SUMIFS(팀공격력!P:P,팀공격력!A:A,B942,팀공격력!B:B,D942))-K942)),"")</f>
        <v>2.0780120351530371</v>
      </c>
      <c r="BM942" s="67">
        <f>IFERROR(100*((AM942/E942*(2400))/((F942*60+G942)*SUMIFS(팀공격력!AR:AR,팀공격력!A:A,B942,팀공격력!B:B,D942))),"")</f>
        <v>3.2393536018609739</v>
      </c>
      <c r="BN942" s="67">
        <f>IFERROR((AO942*40)/(((F942*60+G942)/60)*(SUMIFS(팀수비력!Q:Q,팀수비력!A:A,B942,팀수비력!B:B,D942)-SUMIFS(팀수비력!N:N,팀수비력!A:A,B942,팀수비력!B:B,D942)))*100,"")</f>
        <v>0</v>
      </c>
      <c r="BO942" s="67">
        <f t="shared" si="451"/>
        <v>22.222222222222221</v>
      </c>
      <c r="BT942" t="s">
        <v>89</v>
      </c>
      <c r="BV942" t="s">
        <v>93</v>
      </c>
      <c r="CF942">
        <v>5</v>
      </c>
      <c r="CG942">
        <v>0</v>
      </c>
    </row>
    <row r="943" spans="1:85" x14ac:dyDescent="0.4">
      <c r="A943" s="11" t="s">
        <v>85</v>
      </c>
      <c r="B943" t="s">
        <v>263</v>
      </c>
      <c r="C943" t="s">
        <v>277</v>
      </c>
      <c r="D943" s="46" t="s">
        <v>312</v>
      </c>
      <c r="E943">
        <v>8</v>
      </c>
      <c r="F943">
        <v>8</v>
      </c>
      <c r="G943" s="1">
        <v>52</v>
      </c>
      <c r="H943" s="16">
        <f t="shared" si="426"/>
        <v>4256</v>
      </c>
      <c r="I943">
        <v>20</v>
      </c>
      <c r="J943" s="17">
        <f t="shared" si="427"/>
        <v>2.5</v>
      </c>
      <c r="K943">
        <v>7</v>
      </c>
      <c r="L943">
        <v>19</v>
      </c>
      <c r="M943" s="17">
        <f t="shared" si="428"/>
        <v>0.875</v>
      </c>
      <c r="N943" s="17">
        <f t="shared" si="429"/>
        <v>2.375</v>
      </c>
      <c r="O943" s="18">
        <f t="shared" si="430"/>
        <v>0.36842105263157893</v>
      </c>
      <c r="P943">
        <v>3</v>
      </c>
      <c r="Q943">
        <v>4</v>
      </c>
      <c r="R943" s="17">
        <f t="shared" si="431"/>
        <v>0.375</v>
      </c>
      <c r="S943" s="17">
        <f t="shared" si="432"/>
        <v>0.5</v>
      </c>
      <c r="T943" s="18">
        <f t="shared" si="433"/>
        <v>0.75</v>
      </c>
      <c r="U943">
        <v>4</v>
      </c>
      <c r="V943">
        <v>15</v>
      </c>
      <c r="W943" s="17">
        <f t="shared" si="434"/>
        <v>0.5</v>
      </c>
      <c r="X943" s="17">
        <f t="shared" si="435"/>
        <v>1.875</v>
      </c>
      <c r="Y943" s="18">
        <f t="shared" si="436"/>
        <v>0.26666666666666666</v>
      </c>
      <c r="Z943">
        <v>2</v>
      </c>
      <c r="AA943">
        <v>2</v>
      </c>
      <c r="AB943" s="17">
        <f t="shared" si="437"/>
        <v>0.25</v>
      </c>
      <c r="AC943" s="17">
        <f t="shared" si="438"/>
        <v>0.25</v>
      </c>
      <c r="AD943" s="18">
        <f t="shared" si="439"/>
        <v>1</v>
      </c>
      <c r="AE943">
        <v>4</v>
      </c>
      <c r="AF943" s="17">
        <f t="shared" si="440"/>
        <v>0.5</v>
      </c>
      <c r="AG943">
        <v>0</v>
      </c>
      <c r="AH943" s="17">
        <f t="shared" si="441"/>
        <v>0</v>
      </c>
      <c r="AI943">
        <v>4</v>
      </c>
      <c r="AJ943" s="17">
        <f t="shared" si="442"/>
        <v>0.5</v>
      </c>
      <c r="AK943">
        <v>16</v>
      </c>
      <c r="AL943" s="17">
        <f t="shared" si="443"/>
        <v>2</v>
      </c>
      <c r="AM943">
        <v>6</v>
      </c>
      <c r="AN943" s="17">
        <f t="shared" si="444"/>
        <v>0.75</v>
      </c>
      <c r="AO943">
        <v>0</v>
      </c>
      <c r="AQ943">
        <v>4</v>
      </c>
      <c r="AR943" s="17">
        <f t="shared" si="445"/>
        <v>0.5</v>
      </c>
      <c r="AS943">
        <v>9</v>
      </c>
      <c r="AT943" s="17">
        <f t="shared" si="446"/>
        <v>1.125</v>
      </c>
      <c r="BD943" s="65">
        <f t="shared" si="447"/>
        <v>50.301810865191158</v>
      </c>
      <c r="BE943" s="65">
        <f t="shared" si="448"/>
        <v>47.368421052631575</v>
      </c>
      <c r="BF943" s="66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15.781279050197861</v>
      </c>
      <c r="BG943" s="38">
        <f t="shared" si="449"/>
        <v>0.78947368421052633</v>
      </c>
      <c r="BH943" s="38">
        <f t="shared" si="450"/>
        <v>0.10526315789473684</v>
      </c>
      <c r="BI943" s="67">
        <f>IFERROR(((AG943*(12000/5))/((F943*60+G943)*(SUMIFS(팀공격력!X:X,팀공격력!A:A,B943,팀공격력!B:B,D943)+SUMIFS(팀수비력!X:X,팀수비력!A:A,B943,팀수비력!B:B,D943))))*100,"")</f>
        <v>0</v>
      </c>
      <c r="BJ943" s="67">
        <f>IFERROR(((AI943*(12000/5))/((F943*60+G943)*(SUMIFS(팀공격력!V:V,팀공격력!A:A,B943,팀공격력!B:B,D943)+SUMIFS(팀수비력!W:W,팀수비력!A:A,B943,팀수비력!B:B,D943))))*100,"")</f>
        <v>6.7082203650389918</v>
      </c>
      <c r="BK943" s="67">
        <f>IFERROR(((AE943*(12000/5))/((F943*60+G943)*(SUMIFS(팀공격력!X:X,팀공격력!A:A,B943,팀공격력!B:B,D943)+SUMIFS(팀수비력!X:X,팀수비력!A:A,B943,팀수비력!B:B,D943))))*100,"")</f>
        <v>3.1658092599920855</v>
      </c>
      <c r="BL943" s="67">
        <f>IFERROR(100*AK943/(((((F943*60+G943)/(12000/5))*SUMIFS(팀공격력!P:P,팀공격력!A:A,B943,팀공격력!B:B,D943))-K943)),"")</f>
        <v>30.922853921726524</v>
      </c>
      <c r="BM943" s="67">
        <f>IFERROR(100*((AM943/E943*(2400))/((F943*60+G943)*SUMIFS(팀공격력!AR:AR,팀공격력!A:A,B943,팀공격력!B:B,D943))),"")</f>
        <v>5.2860222661946583</v>
      </c>
      <c r="BN943" s="67">
        <f>IFERROR((AO943*40)/(((F943*60+G943)/60)*(SUMIFS(팀수비력!Q:Q,팀수비력!A:A,B943,팀수비력!B:B,D943)-SUMIFS(팀수비력!N:N,팀수비력!A:A,B943,팀수비력!B:B,D943)))*100,"")</f>
        <v>0</v>
      </c>
      <c r="BO943" s="67">
        <f t="shared" si="451"/>
        <v>16.750418760469014</v>
      </c>
      <c r="BT943" t="s">
        <v>89</v>
      </c>
      <c r="BV943" t="s">
        <v>90</v>
      </c>
      <c r="CF943">
        <v>7</v>
      </c>
      <c r="CG943">
        <v>1</v>
      </c>
    </row>
    <row r="944" spans="1:85" x14ac:dyDescent="0.4">
      <c r="A944" s="11" t="s">
        <v>85</v>
      </c>
      <c r="B944" t="s">
        <v>263</v>
      </c>
      <c r="C944" t="s">
        <v>278</v>
      </c>
      <c r="D944" s="46" t="s">
        <v>312</v>
      </c>
      <c r="E944">
        <v>8</v>
      </c>
      <c r="F944">
        <v>30</v>
      </c>
      <c r="G944" s="1">
        <v>24</v>
      </c>
      <c r="H944" s="16">
        <f t="shared" si="426"/>
        <v>14592</v>
      </c>
      <c r="I944">
        <v>110</v>
      </c>
      <c r="J944" s="17">
        <f t="shared" si="427"/>
        <v>13.75</v>
      </c>
      <c r="K944">
        <v>48</v>
      </c>
      <c r="L944">
        <v>101</v>
      </c>
      <c r="M944" s="17">
        <f t="shared" si="428"/>
        <v>6</v>
      </c>
      <c r="N944" s="17">
        <f t="shared" si="429"/>
        <v>12.625</v>
      </c>
      <c r="O944" s="18">
        <f t="shared" si="430"/>
        <v>0.47524752475247523</v>
      </c>
      <c r="P944">
        <v>36</v>
      </c>
      <c r="Q944">
        <v>64</v>
      </c>
      <c r="R944" s="17">
        <f t="shared" si="431"/>
        <v>4.5</v>
      </c>
      <c r="S944" s="17">
        <f t="shared" si="432"/>
        <v>8</v>
      </c>
      <c r="T944" s="18">
        <f t="shared" si="433"/>
        <v>0.5625</v>
      </c>
      <c r="U944">
        <v>12</v>
      </c>
      <c r="V944">
        <v>37</v>
      </c>
      <c r="W944" s="17">
        <f t="shared" si="434"/>
        <v>1.5</v>
      </c>
      <c r="X944" s="17">
        <f t="shared" si="435"/>
        <v>4.625</v>
      </c>
      <c r="Y944" s="18">
        <f t="shared" si="436"/>
        <v>0.32432432432432434</v>
      </c>
      <c r="Z944">
        <v>2</v>
      </c>
      <c r="AA944">
        <v>6</v>
      </c>
      <c r="AB944" s="17">
        <f t="shared" si="437"/>
        <v>0.25</v>
      </c>
      <c r="AC944" s="17">
        <f t="shared" si="438"/>
        <v>0.75</v>
      </c>
      <c r="AD944" s="18">
        <f t="shared" si="439"/>
        <v>0.33333333333333331</v>
      </c>
      <c r="AE944">
        <v>22</v>
      </c>
      <c r="AF944" s="17">
        <f t="shared" si="440"/>
        <v>2.75</v>
      </c>
      <c r="AG944">
        <v>1</v>
      </c>
      <c r="AH944" s="17">
        <f t="shared" si="441"/>
        <v>0.125</v>
      </c>
      <c r="AI944">
        <v>21</v>
      </c>
      <c r="AJ944" s="17">
        <f t="shared" si="442"/>
        <v>2.625</v>
      </c>
      <c r="AK944">
        <v>50</v>
      </c>
      <c r="AL944" s="17">
        <f t="shared" si="443"/>
        <v>6.25</v>
      </c>
      <c r="AM944">
        <v>7</v>
      </c>
      <c r="AN944" s="17">
        <f t="shared" si="444"/>
        <v>0.875</v>
      </c>
      <c r="AO944">
        <v>1</v>
      </c>
      <c r="AQ944">
        <v>19</v>
      </c>
      <c r="AR944" s="17">
        <f t="shared" si="445"/>
        <v>2.375</v>
      </c>
      <c r="AS944">
        <v>21</v>
      </c>
      <c r="AT944" s="17">
        <f t="shared" si="446"/>
        <v>2.625</v>
      </c>
      <c r="BD944" s="65">
        <f t="shared" si="447"/>
        <v>53.068313392512543</v>
      </c>
      <c r="BE944" s="65">
        <f t="shared" si="448"/>
        <v>53.46534653465347</v>
      </c>
      <c r="BF944" s="66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23.638875696213464</v>
      </c>
      <c r="BG944" s="38">
        <f t="shared" si="449"/>
        <v>0.36633663366336633</v>
      </c>
      <c r="BH944" s="38">
        <f t="shared" si="450"/>
        <v>5.9405940594059403E-2</v>
      </c>
      <c r="BI944" s="67">
        <f>IFERROR(((AG944*(12000/5))/((F944*60+G944)*(SUMIFS(팀공격력!X:X,팀공격력!A:A,B944,팀공격력!B:B,D944)+SUMIFS(팀수비력!X:X,팀수비력!A:A,B944,팀수비력!B:B,D944))))*100,"")</f>
        <v>0.23084025854108958</v>
      </c>
      <c r="BJ944" s="67">
        <f>IFERROR(((AI944*(12000/5))/((F944*60+G944)*(SUMIFS(팀공격력!V:V,팀공격력!A:A,B944,팀공격력!B:B,D944)+SUMIFS(팀수비력!W:W,팀수비력!A:A,B944,팀수비력!B:B,D944))))*100,"")</f>
        <v>10.271962433965957</v>
      </c>
      <c r="BK944" s="67">
        <f>IFERROR(((AE944*(12000/5))/((F944*60+G944)*(SUMIFS(팀공격력!X:X,팀공격력!A:A,B944,팀공격력!B:B,D944)+SUMIFS(팀수비력!X:X,팀수비력!A:A,B944,팀수비력!B:B,D944))))*100,"")</f>
        <v>5.0784856879039708</v>
      </c>
      <c r="BL944" s="67">
        <f>IFERROR(100*AK944/(((((F944*60+G944)/(12000/5))*SUMIFS(팀공격력!P:P,팀공격력!A:A,B944,팀공격력!B:B,D944))-K944)),"")</f>
        <v>32.594524119947849</v>
      </c>
      <c r="BM944" s="67">
        <f>IFERROR(100*((AM944/E944*(2400))/((F944*60+G944)*SUMIFS(팀공격력!AR:AR,팀공격력!A:A,B944,팀공격력!B:B,D944))),"")</f>
        <v>1.7987159100245711</v>
      </c>
      <c r="BN944" s="67">
        <f>IFERROR((AO944*40)/(((F944*60+G944)/60)*(SUMIFS(팀수비력!Q:Q,팀수비력!A:A,B944,팀수비력!B:B,D944)-SUMIFS(팀수비력!N:N,팀수비력!A:A,B944,팀수비력!B:B,D944)))*100,"")</f>
        <v>0.36448461874908883</v>
      </c>
      <c r="BO944" s="67">
        <f t="shared" si="451"/>
        <v>15.492498369210699</v>
      </c>
      <c r="BT944" t="s">
        <v>113</v>
      </c>
      <c r="BV944" t="s">
        <v>90</v>
      </c>
      <c r="CF944">
        <v>7</v>
      </c>
      <c r="CG944">
        <v>1</v>
      </c>
    </row>
    <row r="945" spans="1:85" x14ac:dyDescent="0.4">
      <c r="A945" s="11" t="s">
        <v>85</v>
      </c>
      <c r="B945" t="s">
        <v>263</v>
      </c>
      <c r="C945" t="s">
        <v>279</v>
      </c>
      <c r="D945" s="46" t="s">
        <v>312</v>
      </c>
      <c r="E945">
        <v>1</v>
      </c>
      <c r="F945">
        <v>7</v>
      </c>
      <c r="G945" s="1">
        <v>55</v>
      </c>
      <c r="H945" s="16">
        <f t="shared" si="426"/>
        <v>475</v>
      </c>
      <c r="I945">
        <v>2</v>
      </c>
      <c r="J945" s="17">
        <f t="shared" si="427"/>
        <v>2</v>
      </c>
      <c r="K945">
        <v>1</v>
      </c>
      <c r="L945">
        <v>3</v>
      </c>
      <c r="M945" s="17">
        <f t="shared" si="428"/>
        <v>1</v>
      </c>
      <c r="N945" s="17">
        <f t="shared" si="429"/>
        <v>3</v>
      </c>
      <c r="O945" s="18">
        <f t="shared" si="430"/>
        <v>0.33333333333333331</v>
      </c>
      <c r="P945">
        <v>1</v>
      </c>
      <c r="Q945">
        <v>1</v>
      </c>
      <c r="R945" s="17">
        <f t="shared" si="431"/>
        <v>1</v>
      </c>
      <c r="S945" s="17">
        <f t="shared" si="432"/>
        <v>1</v>
      </c>
      <c r="T945" s="18">
        <f t="shared" si="433"/>
        <v>1</v>
      </c>
      <c r="U945">
        <v>0</v>
      </c>
      <c r="V945">
        <v>2</v>
      </c>
      <c r="W945" s="17">
        <f t="shared" si="434"/>
        <v>0</v>
      </c>
      <c r="X945" s="17">
        <f t="shared" si="435"/>
        <v>2</v>
      </c>
      <c r="Y945" s="18">
        <f t="shared" si="436"/>
        <v>0</v>
      </c>
      <c r="Z945">
        <v>0</v>
      </c>
      <c r="AA945">
        <v>0</v>
      </c>
      <c r="AB945" s="17">
        <f t="shared" si="437"/>
        <v>0</v>
      </c>
      <c r="AC945" s="17">
        <f t="shared" si="438"/>
        <v>0</v>
      </c>
      <c r="AD945" s="18" t="e">
        <f t="shared" si="439"/>
        <v>#DIV/0!</v>
      </c>
      <c r="AE945">
        <v>0</v>
      </c>
      <c r="AF945" s="17">
        <f t="shared" si="440"/>
        <v>0</v>
      </c>
      <c r="AG945">
        <v>0</v>
      </c>
      <c r="AH945" s="17">
        <f t="shared" si="441"/>
        <v>0</v>
      </c>
      <c r="AI945">
        <v>0</v>
      </c>
      <c r="AJ945" s="17">
        <f t="shared" si="442"/>
        <v>0</v>
      </c>
      <c r="AK945">
        <v>0</v>
      </c>
      <c r="AL945" s="17">
        <f t="shared" si="443"/>
        <v>0</v>
      </c>
      <c r="AM945">
        <v>1</v>
      </c>
      <c r="AN945" s="17">
        <f t="shared" si="444"/>
        <v>1</v>
      </c>
      <c r="AO945">
        <v>0</v>
      </c>
      <c r="AQ945">
        <v>0</v>
      </c>
      <c r="AR945" s="17">
        <f t="shared" si="445"/>
        <v>0</v>
      </c>
      <c r="AS945">
        <v>0</v>
      </c>
      <c r="AT945" s="17">
        <f t="shared" si="446"/>
        <v>0</v>
      </c>
      <c r="BD945" s="65">
        <f t="shared" si="447"/>
        <v>33.333333333333329</v>
      </c>
      <c r="BE945" s="65">
        <f t="shared" si="448"/>
        <v>33.333333333333329</v>
      </c>
      <c r="BF945" s="66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2.220481474399699</v>
      </c>
      <c r="BG945" s="38">
        <f t="shared" si="449"/>
        <v>0.66666666666666663</v>
      </c>
      <c r="BH945" s="38">
        <f t="shared" si="450"/>
        <v>0</v>
      </c>
      <c r="BI945" s="67">
        <f>IFERROR(((AG945*(12000/5))/((F945*60+G945)*(SUMIFS(팀공격력!X:X,팀공격력!A:A,B945,팀공격력!B:B,D945)+SUMIFS(팀수비력!X:X,팀수비력!A:A,B945,팀수비력!B:B,D945))))*100,"")</f>
        <v>0</v>
      </c>
      <c r="BJ945" s="67">
        <f>IFERROR(((AI945*(12000/5))/((F945*60+G945)*(SUMIFS(팀공격력!V:V,팀공격력!A:A,B945,팀공격력!B:B,D945)+SUMIFS(팀수비력!W:W,팀수비력!A:A,B945,팀수비력!B:B,D945))))*100,"")</f>
        <v>0</v>
      </c>
      <c r="BK945" s="67">
        <f>IFERROR(((AE945*(12000/5))/((F945*60+G945)*(SUMIFS(팀공격력!X:X,팀공격력!A:A,B945,팀공격력!B:B,D945)+SUMIFS(팀수비력!X:X,팀수비력!A:A,B945,팀수비력!B:B,D945))))*100,"")</f>
        <v>0</v>
      </c>
      <c r="BL945" s="67">
        <f>IFERROR(100*AK945/(((((F945*60+G945)/(12000/5))*SUMIFS(팀공격력!P:P,팀공격력!A:A,B945,팀공격력!B:B,D945))-K945)),"")</f>
        <v>0</v>
      </c>
      <c r="BM945" s="67">
        <f>IFERROR(100*((AM945/E945*(2400))/((F945*60+G945)*SUMIFS(팀공격력!AR:AR,팀공격력!A:A,B945,팀공격력!B:B,D945))),"")</f>
        <v>7.8937932508506892</v>
      </c>
      <c r="BN945" s="67">
        <f>IFERROR((AO945*40)/(((F945*60+G945)/60)*(SUMIFS(팀수비력!Q:Q,팀수비력!A:A,B945,팀수비력!B:B,D945)-SUMIFS(팀수비력!N:N,팀수비력!A:A,B945,팀수비력!B:B,D945)))*100,"")</f>
        <v>0</v>
      </c>
      <c r="BO945" s="67">
        <f t="shared" si="451"/>
        <v>0</v>
      </c>
      <c r="BT945" t="s">
        <v>89</v>
      </c>
      <c r="BV945" t="s">
        <v>90</v>
      </c>
      <c r="CF945">
        <v>1</v>
      </c>
      <c r="CG945">
        <v>0</v>
      </c>
    </row>
    <row r="946" spans="1:85" x14ac:dyDescent="0.4">
      <c r="A946" s="11" t="s">
        <v>85</v>
      </c>
      <c r="B946" t="s">
        <v>263</v>
      </c>
      <c r="C946" t="s">
        <v>283</v>
      </c>
      <c r="D946" s="46" t="s">
        <v>312</v>
      </c>
      <c r="E946">
        <v>8</v>
      </c>
      <c r="F946">
        <v>9</v>
      </c>
      <c r="G946" s="1">
        <v>56</v>
      </c>
      <c r="H946" s="16">
        <f t="shared" si="426"/>
        <v>4768</v>
      </c>
      <c r="I946">
        <v>42</v>
      </c>
      <c r="J946" s="17">
        <f t="shared" si="427"/>
        <v>5.25</v>
      </c>
      <c r="K946">
        <v>15</v>
      </c>
      <c r="L946">
        <v>30</v>
      </c>
      <c r="M946" s="17">
        <f t="shared" si="428"/>
        <v>1.875</v>
      </c>
      <c r="N946" s="17">
        <f t="shared" si="429"/>
        <v>3.75</v>
      </c>
      <c r="O946" s="18">
        <f t="shared" si="430"/>
        <v>0.5</v>
      </c>
      <c r="P946">
        <v>14</v>
      </c>
      <c r="Q946">
        <v>29</v>
      </c>
      <c r="R946" s="17">
        <f t="shared" si="431"/>
        <v>1.75</v>
      </c>
      <c r="S946" s="17">
        <f t="shared" si="432"/>
        <v>3.625</v>
      </c>
      <c r="T946" s="18">
        <f t="shared" si="433"/>
        <v>0.48275862068965519</v>
      </c>
      <c r="U946">
        <v>1</v>
      </c>
      <c r="V946">
        <v>1</v>
      </c>
      <c r="W946" s="17">
        <f t="shared" si="434"/>
        <v>0.125</v>
      </c>
      <c r="X946" s="17">
        <f t="shared" si="435"/>
        <v>0.125</v>
      </c>
      <c r="Y946" s="18">
        <f t="shared" si="436"/>
        <v>1</v>
      </c>
      <c r="Z946">
        <v>11</v>
      </c>
      <c r="AA946">
        <v>18</v>
      </c>
      <c r="AB946" s="17">
        <f t="shared" si="437"/>
        <v>1.375</v>
      </c>
      <c r="AC946" s="17">
        <f t="shared" si="438"/>
        <v>2.25</v>
      </c>
      <c r="AD946" s="18">
        <f t="shared" si="439"/>
        <v>0.61111111111111116</v>
      </c>
      <c r="AE946">
        <v>47</v>
      </c>
      <c r="AF946" s="17">
        <f t="shared" si="440"/>
        <v>5.875</v>
      </c>
      <c r="AG946">
        <v>12</v>
      </c>
      <c r="AH946" s="17">
        <f t="shared" si="441"/>
        <v>1.5</v>
      </c>
      <c r="AI946">
        <v>35</v>
      </c>
      <c r="AJ946" s="17">
        <f t="shared" si="442"/>
        <v>4.375</v>
      </c>
      <c r="AK946">
        <v>2</v>
      </c>
      <c r="AL946" s="17">
        <f t="shared" si="443"/>
        <v>0.25</v>
      </c>
      <c r="AM946">
        <v>3</v>
      </c>
      <c r="AN946" s="17">
        <f t="shared" si="444"/>
        <v>0.375</v>
      </c>
      <c r="AO946">
        <v>10</v>
      </c>
      <c r="AQ946">
        <v>6</v>
      </c>
      <c r="AR946" s="17">
        <f t="shared" si="445"/>
        <v>0.75</v>
      </c>
      <c r="AS946">
        <v>7</v>
      </c>
      <c r="AT946" s="17">
        <f t="shared" si="446"/>
        <v>0.875</v>
      </c>
      <c r="BD946" s="65">
        <f t="shared" si="447"/>
        <v>55.379746835443036</v>
      </c>
      <c r="BE946" s="65">
        <f t="shared" si="448"/>
        <v>51.666666666666671</v>
      </c>
      <c r="BF946" s="66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25.908100961368302</v>
      </c>
      <c r="BG946" s="38">
        <f t="shared" si="449"/>
        <v>3.3333333333333333E-2</v>
      </c>
      <c r="BH946" s="38">
        <f t="shared" si="450"/>
        <v>0.6</v>
      </c>
      <c r="BI946" s="67">
        <f>IFERROR(((AG946*(12000/5))/((F946*60+G946)*(SUMIFS(팀공격력!X:X,팀공격력!A:A,B946,팀공격력!B:B,D946)+SUMIFS(팀수비력!X:X,팀수비력!A:A,B946,팀수비력!B:B,D946))))*100,"")</f>
        <v>8.4775697633345111</v>
      </c>
      <c r="BJ946" s="67">
        <f>IFERROR(((AI946*(12000/5))/((F946*60+G946)*(SUMIFS(팀공격력!V:V,팀공격력!A:A,B946,팀공격력!B:B,D946)+SUMIFS(팀수비력!W:W,팀수비력!A:A,B946,팀수비력!B:B,D946))))*100,"")</f>
        <v>52.393902347745815</v>
      </c>
      <c r="BK946" s="67">
        <f>IFERROR(((AE946*(12000/5))/((F946*60+G946)*(SUMIFS(팀공격력!X:X,팀공격력!A:A,B946,팀공격력!B:B,D946)+SUMIFS(팀수비력!X:X,팀수비력!A:A,B946,팀수비력!B:B,D946))))*100,"")</f>
        <v>33.203814906393504</v>
      </c>
      <c r="BL946" s="67">
        <f>IFERROR(100*AK946/(((((F946*60+G946)/(12000/5))*SUMIFS(팀공격력!P:P,팀공격력!A:A,B946,팀공격력!B:B,D946))-K946)),"")</f>
        <v>3.9363621453173687</v>
      </c>
      <c r="BM946" s="67">
        <f>IFERROR(100*((AM946/E946*(2400))/((F946*60+G946)*SUMIFS(팀공격력!AR:AR,팀공격력!A:A,B946,팀공격력!B:B,D946))),"")</f>
        <v>2.3591978570600318</v>
      </c>
      <c r="BN946" s="67">
        <f>IFERROR((AO946*40)/(((F946*60+G946)/60)*(SUMIFS(팀수비력!Q:Q,팀수비력!A:A,B946,팀수비력!B:B,D946)-SUMIFS(팀수비력!N:N,팀수비력!A:A,B946,팀수비력!B:B,D946)))*100,"")</f>
        <v>11.154697057019094</v>
      </c>
      <c r="BO946" s="67">
        <f t="shared" si="451"/>
        <v>13.66120218579235</v>
      </c>
      <c r="BT946" t="s">
        <v>96</v>
      </c>
      <c r="BV946" t="s">
        <v>102</v>
      </c>
      <c r="CF946">
        <v>7</v>
      </c>
      <c r="CG946">
        <v>1</v>
      </c>
    </row>
    <row r="947" spans="1:85" x14ac:dyDescent="0.4">
      <c r="A947" s="11" t="s">
        <v>85</v>
      </c>
      <c r="B947" t="s">
        <v>263</v>
      </c>
      <c r="C947" t="s">
        <v>285</v>
      </c>
      <c r="D947" s="46" t="s">
        <v>312</v>
      </c>
      <c r="E947">
        <v>8</v>
      </c>
      <c r="F947">
        <v>9</v>
      </c>
      <c r="G947" s="1">
        <v>52</v>
      </c>
      <c r="H947" s="16">
        <f t="shared" si="426"/>
        <v>4736</v>
      </c>
      <c r="I947">
        <v>13</v>
      </c>
      <c r="J947" s="17">
        <f t="shared" si="427"/>
        <v>1.625</v>
      </c>
      <c r="K947">
        <v>6</v>
      </c>
      <c r="L947">
        <v>12</v>
      </c>
      <c r="M947" s="17">
        <f t="shared" si="428"/>
        <v>0.75</v>
      </c>
      <c r="N947" s="17">
        <f t="shared" si="429"/>
        <v>1.5</v>
      </c>
      <c r="O947" s="18">
        <f t="shared" si="430"/>
        <v>0.5</v>
      </c>
      <c r="P947">
        <v>5</v>
      </c>
      <c r="Q947">
        <v>7</v>
      </c>
      <c r="R947" s="17">
        <f t="shared" si="431"/>
        <v>0.625</v>
      </c>
      <c r="S947" s="17">
        <f t="shared" si="432"/>
        <v>0.875</v>
      </c>
      <c r="T947" s="18">
        <f t="shared" si="433"/>
        <v>0.7142857142857143</v>
      </c>
      <c r="U947">
        <v>1</v>
      </c>
      <c r="V947">
        <v>5</v>
      </c>
      <c r="W947" s="17">
        <f t="shared" si="434"/>
        <v>0.125</v>
      </c>
      <c r="X947" s="17">
        <f t="shared" si="435"/>
        <v>0.625</v>
      </c>
      <c r="Y947" s="18">
        <f t="shared" si="436"/>
        <v>0.2</v>
      </c>
      <c r="Z947">
        <v>0</v>
      </c>
      <c r="AA947">
        <v>0</v>
      </c>
      <c r="AB947" s="17">
        <f t="shared" si="437"/>
        <v>0</v>
      </c>
      <c r="AC947" s="17">
        <f t="shared" si="438"/>
        <v>0</v>
      </c>
      <c r="AD947" s="18" t="e">
        <f t="shared" si="439"/>
        <v>#DIV/0!</v>
      </c>
      <c r="AE947">
        <v>9</v>
      </c>
      <c r="AF947" s="17">
        <f t="shared" si="440"/>
        <v>1.125</v>
      </c>
      <c r="AG947">
        <v>5</v>
      </c>
      <c r="AH947" s="17">
        <f t="shared" si="441"/>
        <v>0.625</v>
      </c>
      <c r="AI947">
        <v>4</v>
      </c>
      <c r="AJ947" s="17">
        <f t="shared" si="442"/>
        <v>0.5</v>
      </c>
      <c r="AK947">
        <v>4</v>
      </c>
      <c r="AL947" s="17">
        <f t="shared" si="443"/>
        <v>0.5</v>
      </c>
      <c r="AM947">
        <v>1</v>
      </c>
      <c r="AN947" s="17">
        <f t="shared" si="444"/>
        <v>0.125</v>
      </c>
      <c r="AO947">
        <v>0</v>
      </c>
      <c r="AQ947">
        <v>0</v>
      </c>
      <c r="AR947" s="17">
        <f t="shared" si="445"/>
        <v>0</v>
      </c>
      <c r="AS947">
        <v>7</v>
      </c>
      <c r="AT947" s="17">
        <f t="shared" si="446"/>
        <v>0.875</v>
      </c>
      <c r="BD947" s="65">
        <f t="shared" si="447"/>
        <v>54.166666666666664</v>
      </c>
      <c r="BE947" s="65">
        <f t="shared" si="448"/>
        <v>54.166666666666664</v>
      </c>
      <c r="BF947" s="66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7.1265452725666014</v>
      </c>
      <c r="BG947" s="38">
        <f t="shared" si="449"/>
        <v>0.41666666666666669</v>
      </c>
      <c r="BH947" s="38">
        <f t="shared" si="450"/>
        <v>0</v>
      </c>
      <c r="BI947" s="67">
        <f>IFERROR(((AG947*(12000/5))/((F947*60+G947)*(SUMIFS(팀공격력!X:X,팀공격력!A:A,B947,팀공격력!B:B,D947)+SUMIFS(팀수비력!X:X,팀수비력!A:A,B947,팀수비력!B:B,D947))))*100,"")</f>
        <v>3.5561877667140829</v>
      </c>
      <c r="BJ947" s="67">
        <f>IFERROR(((AI947*(12000/5))/((F947*60+G947)*(SUMIFS(팀공격력!V:V,팀공격력!A:A,B947,팀공격력!B:B,D947)+SUMIFS(팀수비력!W:W,팀수비력!A:A,B947,팀수비력!B:B,D947))))*100,"")</f>
        <v>6.0283331658796335</v>
      </c>
      <c r="BK947" s="67">
        <f>IFERROR(((AE947*(12000/5))/((F947*60+G947)*(SUMIFS(팀공격력!X:X,팀공격력!A:A,B947,팀공격력!B:B,D947)+SUMIFS(팀수비력!X:X,팀수비력!A:A,B947,팀수비력!B:B,D947))))*100,"")</f>
        <v>6.4011379800853492</v>
      </c>
      <c r="BL947" s="67">
        <f>IFERROR(100*AK947/(((((F947*60+G947)/(12000/5))*SUMIFS(팀공격력!P:P,팀공격력!A:A,B947,팀공격력!B:B,D947))-K947)),"")</f>
        <v>6.7377877596855686</v>
      </c>
      <c r="BM947" s="67">
        <f>IFERROR(100*((AM947/E947*(2400))/((F947*60+G947)*SUMIFS(팀공격력!AR:AR,팀공격력!A:A,B947,팀공격력!B:B,D947))),"")</f>
        <v>0.79171279437374942</v>
      </c>
      <c r="BN947" s="67">
        <f>IFERROR((AO947*40)/(((F947*60+G947)/60)*(SUMIFS(팀수비력!Q:Q,팀수비력!A:A,B947,팀수비력!B:B,D947)-SUMIFS(팀수비력!N:N,팀수비력!A:A,B947,팀수비력!B:B,D947)))*100,"")</f>
        <v>0</v>
      </c>
      <c r="BO947" s="67">
        <f t="shared" si="451"/>
        <v>0</v>
      </c>
      <c r="BT947" t="s">
        <v>89</v>
      </c>
      <c r="BV947" t="s">
        <v>93</v>
      </c>
      <c r="CF947">
        <v>7</v>
      </c>
      <c r="CG947">
        <v>1</v>
      </c>
    </row>
    <row r="948" spans="1:85" x14ac:dyDescent="0.4">
      <c r="A948" s="11" t="s">
        <v>85</v>
      </c>
      <c r="B948" t="s">
        <v>286</v>
      </c>
      <c r="C948" t="s">
        <v>290</v>
      </c>
      <c r="D948" s="46" t="s">
        <v>312</v>
      </c>
      <c r="E948">
        <v>5</v>
      </c>
      <c r="F948">
        <v>3</v>
      </c>
      <c r="G948" s="1">
        <v>33</v>
      </c>
      <c r="H948" s="16">
        <f t="shared" si="426"/>
        <v>1065</v>
      </c>
      <c r="I948">
        <v>6</v>
      </c>
      <c r="J948" s="17">
        <f t="shared" si="427"/>
        <v>1.2</v>
      </c>
      <c r="K948">
        <v>3</v>
      </c>
      <c r="L948">
        <v>9</v>
      </c>
      <c r="M948" s="17">
        <f t="shared" si="428"/>
        <v>0.6</v>
      </c>
      <c r="N948" s="17">
        <f t="shared" si="429"/>
        <v>1.8</v>
      </c>
      <c r="O948" s="18">
        <f t="shared" si="430"/>
        <v>0.33333333333333331</v>
      </c>
      <c r="P948">
        <v>3</v>
      </c>
      <c r="Q948">
        <v>7</v>
      </c>
      <c r="R948" s="17">
        <f t="shared" si="431"/>
        <v>0.6</v>
      </c>
      <c r="S948" s="17">
        <f t="shared" si="432"/>
        <v>1.4</v>
      </c>
      <c r="T948" s="18">
        <f t="shared" si="433"/>
        <v>0.42857142857142855</v>
      </c>
      <c r="U948">
        <v>0</v>
      </c>
      <c r="V948">
        <v>2</v>
      </c>
      <c r="W948" s="17">
        <f t="shared" si="434"/>
        <v>0</v>
      </c>
      <c r="X948" s="17">
        <f t="shared" si="435"/>
        <v>0.4</v>
      </c>
      <c r="Y948" s="18">
        <f t="shared" si="436"/>
        <v>0</v>
      </c>
      <c r="Z948">
        <v>0</v>
      </c>
      <c r="AA948">
        <v>0</v>
      </c>
      <c r="AB948" s="17">
        <f t="shared" si="437"/>
        <v>0</v>
      </c>
      <c r="AC948" s="17">
        <f t="shared" si="438"/>
        <v>0</v>
      </c>
      <c r="AD948" s="18" t="e">
        <f t="shared" si="439"/>
        <v>#DIV/0!</v>
      </c>
      <c r="AE948">
        <v>3</v>
      </c>
      <c r="AF948" s="17">
        <f t="shared" si="440"/>
        <v>0.6</v>
      </c>
      <c r="AG948">
        <v>1</v>
      </c>
      <c r="AH948" s="17">
        <f t="shared" si="441"/>
        <v>0.2</v>
      </c>
      <c r="AI948">
        <v>2</v>
      </c>
      <c r="AJ948" s="17">
        <f t="shared" si="442"/>
        <v>0.4</v>
      </c>
      <c r="AK948">
        <v>0</v>
      </c>
      <c r="AL948" s="17">
        <f t="shared" si="443"/>
        <v>0</v>
      </c>
      <c r="AM948">
        <v>0</v>
      </c>
      <c r="AN948" s="17">
        <f t="shared" si="444"/>
        <v>0</v>
      </c>
      <c r="AO948">
        <v>0</v>
      </c>
      <c r="AQ948">
        <v>0</v>
      </c>
      <c r="AR948" s="17">
        <f t="shared" si="445"/>
        <v>0</v>
      </c>
      <c r="AS948">
        <v>2</v>
      </c>
      <c r="AT948" s="17">
        <f t="shared" si="446"/>
        <v>0.4</v>
      </c>
      <c r="BD948" s="65">
        <f t="shared" si="447"/>
        <v>33.333333333333329</v>
      </c>
      <c r="BE948" s="65">
        <f t="shared" si="448"/>
        <v>33.333333333333329</v>
      </c>
      <c r="BF948" s="66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13.643371368020848</v>
      </c>
      <c r="BG948" s="38">
        <f t="shared" si="449"/>
        <v>0.22222222222222221</v>
      </c>
      <c r="BH948" s="38">
        <f t="shared" si="450"/>
        <v>0</v>
      </c>
      <c r="BI948" s="67">
        <f>IFERROR(((AG948*(12000/5))/((F948*60+G948)*(SUMIFS(팀공격력!X:X,팀공격력!A:A,B948,팀공격력!B:B,D948)+SUMIFS(팀수비력!X:X,팀수비력!A:A,B948,팀수비력!B:B,D948))))*100,"")</f>
        <v>1.8685913157218601</v>
      </c>
      <c r="BJ948" s="67">
        <f>IFERROR(((AI948*(12000/5))/((F948*60+G948)*(SUMIFS(팀공격력!V:V,팀공격력!A:A,B948,팀공격력!B:B,D948)+SUMIFS(팀수비력!W:W,팀수비력!A:A,B948,팀수비력!B:B,D948))))*100,"")</f>
        <v>7.6650378461243642</v>
      </c>
      <c r="BK948" s="67">
        <f>IFERROR(((AE948*(12000/5))/((F948*60+G948)*(SUMIFS(팀공격력!X:X,팀공격력!A:A,B948,팀공격력!B:B,D948)+SUMIFS(팀수비력!X:X,팀수비력!A:A,B948,팀수비력!B:B,D948))))*100,"")</f>
        <v>5.6057739471655808</v>
      </c>
      <c r="BL948" s="67">
        <f>IFERROR(100*AK948/(((((F948*60+G948)/(12000/5))*SUMIFS(팀공격력!P:P,팀공격력!A:A,B948,팀공격력!B:B,D948))-K948)),"")</f>
        <v>0</v>
      </c>
      <c r="BM948" s="67">
        <f>IFERROR(100*((AM948/E948*(2400))/((F948*60+G948)*SUMIFS(팀공격력!AR:AR,팀공격력!A:A,B948,팀공격력!B:B,D948))),"")</f>
        <v>0</v>
      </c>
      <c r="BN948" s="67">
        <f>IFERROR((AO948*40)/(((F948*60+G948)/60)*(SUMIFS(팀수비력!Q:Q,팀수비력!A:A,B948,팀수비력!B:B,D948)-SUMIFS(팀수비력!N:N,팀수비력!A:A,B948,팀수비력!B:B,D948)))*100,"")</f>
        <v>0</v>
      </c>
      <c r="BO948" s="67">
        <f t="shared" si="451"/>
        <v>0</v>
      </c>
      <c r="BT948" t="s">
        <v>89</v>
      </c>
      <c r="BV948" t="s">
        <v>102</v>
      </c>
      <c r="CF948">
        <v>2</v>
      </c>
      <c r="CG948">
        <v>3</v>
      </c>
    </row>
    <row r="949" spans="1:85" x14ac:dyDescent="0.4">
      <c r="A949" s="11" t="s">
        <v>85</v>
      </c>
      <c r="B949" t="s">
        <v>286</v>
      </c>
      <c r="C949" t="s">
        <v>291</v>
      </c>
      <c r="D949" s="46" t="s">
        <v>312</v>
      </c>
      <c r="E949">
        <v>2</v>
      </c>
      <c r="F949">
        <v>19</v>
      </c>
      <c r="G949" s="1">
        <v>20</v>
      </c>
      <c r="H949" s="16">
        <f t="shared" si="426"/>
        <v>2320</v>
      </c>
      <c r="I949">
        <v>18</v>
      </c>
      <c r="J949" s="17">
        <f t="shared" si="427"/>
        <v>9</v>
      </c>
      <c r="K949">
        <v>8</v>
      </c>
      <c r="L949">
        <v>12</v>
      </c>
      <c r="M949" s="17">
        <f t="shared" si="428"/>
        <v>4</v>
      </c>
      <c r="N949" s="17">
        <f t="shared" si="429"/>
        <v>6</v>
      </c>
      <c r="O949" s="18">
        <f t="shared" si="430"/>
        <v>0.66666666666666663</v>
      </c>
      <c r="P949">
        <v>8</v>
      </c>
      <c r="Q949">
        <v>12</v>
      </c>
      <c r="R949" s="17">
        <f t="shared" si="431"/>
        <v>4</v>
      </c>
      <c r="S949" s="17">
        <f t="shared" si="432"/>
        <v>6</v>
      </c>
      <c r="T949" s="18">
        <f t="shared" si="433"/>
        <v>0.66666666666666663</v>
      </c>
      <c r="U949">
        <v>0</v>
      </c>
      <c r="V949">
        <v>0</v>
      </c>
      <c r="W949" s="17">
        <f t="shared" si="434"/>
        <v>0</v>
      </c>
      <c r="X949" s="17">
        <f t="shared" si="435"/>
        <v>0</v>
      </c>
      <c r="Y949" s="18" t="e">
        <f t="shared" si="436"/>
        <v>#DIV/0!</v>
      </c>
      <c r="Z949">
        <v>2</v>
      </c>
      <c r="AA949">
        <v>6</v>
      </c>
      <c r="AB949" s="17">
        <f t="shared" si="437"/>
        <v>1</v>
      </c>
      <c r="AC949" s="17">
        <f t="shared" si="438"/>
        <v>3</v>
      </c>
      <c r="AD949" s="18">
        <f t="shared" si="439"/>
        <v>0.33333333333333331</v>
      </c>
      <c r="AE949">
        <v>14</v>
      </c>
      <c r="AF949" s="17">
        <f t="shared" si="440"/>
        <v>7</v>
      </c>
      <c r="AG949">
        <v>5</v>
      </c>
      <c r="AH949" s="17">
        <f t="shared" si="441"/>
        <v>2.5</v>
      </c>
      <c r="AI949">
        <v>9</v>
      </c>
      <c r="AJ949" s="17">
        <f t="shared" si="442"/>
        <v>4.5</v>
      </c>
      <c r="AK949">
        <v>3</v>
      </c>
      <c r="AL949" s="17">
        <f t="shared" si="443"/>
        <v>1.5</v>
      </c>
      <c r="AM949">
        <v>1</v>
      </c>
      <c r="AN949" s="17">
        <f t="shared" si="444"/>
        <v>0.5</v>
      </c>
      <c r="AO949">
        <v>0</v>
      </c>
      <c r="AQ949">
        <v>3</v>
      </c>
      <c r="AR949" s="17">
        <f t="shared" si="445"/>
        <v>1.5</v>
      </c>
      <c r="AS949">
        <v>3</v>
      </c>
      <c r="AT949" s="17">
        <f t="shared" si="446"/>
        <v>1.5</v>
      </c>
      <c r="BD949" s="65">
        <f t="shared" si="447"/>
        <v>61.475409836065573</v>
      </c>
      <c r="BE949" s="65">
        <f t="shared" si="448"/>
        <v>66.666666666666657</v>
      </c>
      <c r="BF949" s="66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4.9102023092425373</v>
      </c>
      <c r="BG949" s="38">
        <f t="shared" si="449"/>
        <v>0</v>
      </c>
      <c r="BH949" s="38">
        <f t="shared" si="450"/>
        <v>0.5</v>
      </c>
      <c r="BI949" s="67">
        <f>IFERROR(((AG949*(12000/5))/((F949*60+G949)*(SUMIFS(팀공격력!X:X,팀공격력!A:A,B949,팀공격력!B:B,D949)+SUMIFS(팀수비력!X:X,팀수비력!A:A,B949,팀수비력!B:B,D949))))*100,"")</f>
        <v>1.71556013038257</v>
      </c>
      <c r="BJ949" s="67">
        <f>IFERROR(((AI949*(12000/5))/((F949*60+G949)*(SUMIFS(팀공격력!V:V,팀공격력!A:A,B949,팀공격력!B:B,D949)+SUMIFS(팀수비력!W:W,팀수비력!A:A,B949,팀수비력!B:B,D949))))*100,"")</f>
        <v>6.3335679099225901</v>
      </c>
      <c r="BK949" s="67">
        <f>IFERROR(((AE949*(12000/5))/((F949*60+G949)*(SUMIFS(팀공격력!X:X,팀공격력!A:A,B949,팀공격력!B:B,D949)+SUMIFS(팀수비력!X:X,팀수비력!A:A,B949,팀수비력!B:B,D949))))*100,"")</f>
        <v>4.8035683650711958</v>
      </c>
      <c r="BL949" s="67">
        <f>IFERROR(100*AK949/(((((F949*60+G949)/(12000/5))*SUMIFS(팀공격력!P:P,팀공격력!A:A,B949,팀공격력!B:B,D949))-K949)),"")</f>
        <v>2.3471117485982527</v>
      </c>
      <c r="BM949" s="67">
        <f>IFERROR(100*((AM949/E949*(2400))/((F949*60+G949)*SUMIFS(팀공격력!AR:AR,팀공격력!A:A,B949,팀공격력!B:B,D949))),"")</f>
        <v>1.4558229012352786</v>
      </c>
      <c r="BN949" s="67">
        <f>IFERROR((AO949*40)/(((F949*60+G949)/60)*(SUMIFS(팀수비력!Q:Q,팀수비력!A:A,B949,팀수비력!B:B,D949)-SUMIFS(팀수비력!N:N,팀수비력!A:A,B949,팀수비력!B:B,D949)))*100,"")</f>
        <v>0</v>
      </c>
      <c r="BO949" s="67">
        <f t="shared" si="451"/>
        <v>17.006802721088434</v>
      </c>
      <c r="BT949" t="s">
        <v>96</v>
      </c>
      <c r="BV949" t="s">
        <v>102</v>
      </c>
      <c r="CF949">
        <v>2</v>
      </c>
      <c r="CG949">
        <v>0</v>
      </c>
    </row>
    <row r="950" spans="1:85" x14ac:dyDescent="0.4">
      <c r="A950" s="11" t="s">
        <v>85</v>
      </c>
      <c r="B950" t="s">
        <v>286</v>
      </c>
      <c r="C950" t="s">
        <v>292</v>
      </c>
      <c r="D950" s="46" t="s">
        <v>312</v>
      </c>
      <c r="E950">
        <v>9</v>
      </c>
      <c r="F950">
        <v>14</v>
      </c>
      <c r="G950" s="1">
        <v>48</v>
      </c>
      <c r="H950" s="16">
        <f t="shared" si="426"/>
        <v>7992</v>
      </c>
      <c r="I950">
        <v>29</v>
      </c>
      <c r="J950" s="17">
        <f t="shared" si="427"/>
        <v>3.2222222222222223</v>
      </c>
      <c r="K950">
        <v>13</v>
      </c>
      <c r="L950">
        <v>34</v>
      </c>
      <c r="M950" s="17">
        <f t="shared" si="428"/>
        <v>1.4444444444444444</v>
      </c>
      <c r="N950" s="17">
        <f t="shared" si="429"/>
        <v>3.7777777777777777</v>
      </c>
      <c r="O950" s="18">
        <f t="shared" si="430"/>
        <v>0.38235294117647056</v>
      </c>
      <c r="P950">
        <v>11</v>
      </c>
      <c r="Q950">
        <v>20</v>
      </c>
      <c r="R950" s="17">
        <f t="shared" si="431"/>
        <v>1.2222222222222223</v>
      </c>
      <c r="S950" s="17">
        <f t="shared" si="432"/>
        <v>2.2222222222222223</v>
      </c>
      <c r="T950" s="18">
        <f t="shared" si="433"/>
        <v>0.55000000000000004</v>
      </c>
      <c r="U950">
        <v>2</v>
      </c>
      <c r="V950">
        <v>14</v>
      </c>
      <c r="W950" s="17">
        <f t="shared" si="434"/>
        <v>0.22222222222222221</v>
      </c>
      <c r="X950" s="17">
        <f t="shared" si="435"/>
        <v>1.5555555555555556</v>
      </c>
      <c r="Y950" s="18">
        <f t="shared" si="436"/>
        <v>0.14285714285714285</v>
      </c>
      <c r="Z950">
        <v>1</v>
      </c>
      <c r="AA950">
        <v>2</v>
      </c>
      <c r="AB950" s="17">
        <f t="shared" si="437"/>
        <v>0.1111111111111111</v>
      </c>
      <c r="AC950" s="17">
        <f t="shared" si="438"/>
        <v>0.22222222222222221</v>
      </c>
      <c r="AD950" s="18">
        <f t="shared" si="439"/>
        <v>0.5</v>
      </c>
      <c r="AE950">
        <v>11</v>
      </c>
      <c r="AF950" s="17">
        <f t="shared" si="440"/>
        <v>1.2222222222222223</v>
      </c>
      <c r="AG950">
        <v>0</v>
      </c>
      <c r="AH950" s="17">
        <f t="shared" si="441"/>
        <v>0</v>
      </c>
      <c r="AI950">
        <v>11</v>
      </c>
      <c r="AJ950" s="17">
        <f t="shared" si="442"/>
        <v>1.2222222222222223</v>
      </c>
      <c r="AK950">
        <v>26</v>
      </c>
      <c r="AL950" s="17">
        <f t="shared" si="443"/>
        <v>2.8888888888888888</v>
      </c>
      <c r="AM950">
        <v>5</v>
      </c>
      <c r="AN950" s="17">
        <f t="shared" si="444"/>
        <v>0.55555555555555558</v>
      </c>
      <c r="AO950">
        <v>0</v>
      </c>
      <c r="AQ950">
        <v>10</v>
      </c>
      <c r="AR950" s="17">
        <f t="shared" si="445"/>
        <v>1.1111111111111112</v>
      </c>
      <c r="AS950">
        <v>15</v>
      </c>
      <c r="AT950" s="17">
        <f t="shared" si="446"/>
        <v>1.6666666666666667</v>
      </c>
      <c r="BD950" s="65">
        <f t="shared" si="447"/>
        <v>41.571100917431195</v>
      </c>
      <c r="BE950" s="65">
        <f t="shared" si="448"/>
        <v>41.17647058823529</v>
      </c>
      <c r="BF950" s="66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16.319192941730883</v>
      </c>
      <c r="BG950" s="38">
        <f t="shared" si="449"/>
        <v>0.41176470588235292</v>
      </c>
      <c r="BH950" s="38">
        <f t="shared" si="450"/>
        <v>5.8823529411764705E-2</v>
      </c>
      <c r="BI950" s="67">
        <f>IFERROR(((AG950*(12000/5))/((F950*60+G950)*(SUMIFS(팀공격력!X:X,팀공격력!A:A,B950,팀공격력!B:B,D950)+SUMIFS(팀수비력!X:X,팀수비력!A:A,B950,팀수비력!B:B,D950))))*100,"")</f>
        <v>0</v>
      </c>
      <c r="BJ950" s="67">
        <f>IFERROR(((AI950*(12000/5))/((F950*60+G950)*(SUMIFS(팀공격력!V:V,팀공격력!A:A,B950,팀공격력!B:B,D950)+SUMIFS(팀수비력!W:W,팀수비력!A:A,B950,팀수비력!B:B,D950))))*100,"")</f>
        <v>10.112152969295826</v>
      </c>
      <c r="BK950" s="67">
        <f>IFERROR(((AE950*(12000/5))/((F950*60+G950)*(SUMIFS(팀공격력!X:X,팀공격력!A:A,B950,팀공격력!B:B,D950)+SUMIFS(팀수비력!X:X,팀수비력!A:A,B950,팀수비력!B:B,D950))))*100,"")</f>
        <v>4.9303034377661241</v>
      </c>
      <c r="BL950" s="67">
        <f>IFERROR(100*AK950/(((((F950*60+G950)/(12000/5))*SUMIFS(팀공격력!P:P,팀공격력!A:A,B950,팀공격력!B:B,D950))-K950)),"")</f>
        <v>28.580850829943937</v>
      </c>
      <c r="BM950" s="67">
        <f>IFERROR(100*((AM950/E950*(2400))/((F950*60+G950)*SUMIFS(팀공격력!AR:AR,팀공격력!A:A,B950,팀공격력!B:B,D950))),"")</f>
        <v>2.1130562630542085</v>
      </c>
      <c r="BN950" s="67">
        <f>IFERROR((AO950*40)/(((F950*60+G950)/60)*(SUMIFS(팀수비력!Q:Q,팀수비력!A:A,B950,팀수비력!B:B,D950)-SUMIFS(팀수비력!N:N,팀수비력!A:A,B950,팀수비력!B:B,D950)))*100,"")</f>
        <v>0</v>
      </c>
      <c r="BO950" s="67">
        <f t="shared" si="451"/>
        <v>22.281639928698752</v>
      </c>
      <c r="BT950" t="s">
        <v>89</v>
      </c>
      <c r="BV950" t="s">
        <v>90</v>
      </c>
      <c r="CF950">
        <v>5</v>
      </c>
      <c r="CG950">
        <v>4</v>
      </c>
    </row>
    <row r="951" spans="1:85" x14ac:dyDescent="0.4">
      <c r="A951" s="11" t="s">
        <v>85</v>
      </c>
      <c r="B951" t="s">
        <v>286</v>
      </c>
      <c r="C951" t="s">
        <v>293</v>
      </c>
      <c r="D951" s="46" t="s">
        <v>312</v>
      </c>
      <c r="E951">
        <v>9</v>
      </c>
      <c r="F951">
        <v>28</v>
      </c>
      <c r="G951" s="1">
        <v>5</v>
      </c>
      <c r="H951" s="16">
        <f t="shared" si="426"/>
        <v>15165</v>
      </c>
      <c r="I951">
        <v>112</v>
      </c>
      <c r="J951" s="17">
        <f t="shared" si="427"/>
        <v>12.444444444444445</v>
      </c>
      <c r="K951">
        <v>41</v>
      </c>
      <c r="L951">
        <v>92</v>
      </c>
      <c r="M951" s="17">
        <f t="shared" si="428"/>
        <v>4.5555555555555554</v>
      </c>
      <c r="N951" s="17">
        <f t="shared" si="429"/>
        <v>10.222222222222221</v>
      </c>
      <c r="O951" s="18">
        <f t="shared" si="430"/>
        <v>0.44565217391304346</v>
      </c>
      <c r="P951">
        <v>30</v>
      </c>
      <c r="Q951">
        <v>51</v>
      </c>
      <c r="R951" s="17">
        <f t="shared" si="431"/>
        <v>3.3333333333333335</v>
      </c>
      <c r="S951" s="17">
        <f t="shared" si="432"/>
        <v>5.666666666666667</v>
      </c>
      <c r="T951" s="18">
        <f t="shared" si="433"/>
        <v>0.58823529411764708</v>
      </c>
      <c r="U951">
        <v>11</v>
      </c>
      <c r="V951">
        <v>41</v>
      </c>
      <c r="W951" s="17">
        <f t="shared" si="434"/>
        <v>1.2222222222222223</v>
      </c>
      <c r="X951" s="17">
        <f t="shared" si="435"/>
        <v>4.5555555555555554</v>
      </c>
      <c r="Y951" s="18">
        <f t="shared" si="436"/>
        <v>0.26829268292682928</v>
      </c>
      <c r="Z951">
        <v>19</v>
      </c>
      <c r="AA951">
        <v>24</v>
      </c>
      <c r="AB951" s="17">
        <f t="shared" si="437"/>
        <v>2.1111111111111112</v>
      </c>
      <c r="AC951" s="17">
        <f t="shared" si="438"/>
        <v>2.6666666666666665</v>
      </c>
      <c r="AD951" s="18">
        <f t="shared" si="439"/>
        <v>0.79166666666666663</v>
      </c>
      <c r="AE951">
        <v>43</v>
      </c>
      <c r="AF951" s="17">
        <f t="shared" si="440"/>
        <v>4.7777777777777777</v>
      </c>
      <c r="AG951">
        <v>14</v>
      </c>
      <c r="AH951" s="17">
        <f t="shared" si="441"/>
        <v>1.5555555555555556</v>
      </c>
      <c r="AI951">
        <v>29</v>
      </c>
      <c r="AJ951" s="17">
        <f t="shared" si="442"/>
        <v>3.2222222222222223</v>
      </c>
      <c r="AK951">
        <v>33</v>
      </c>
      <c r="AL951" s="17">
        <f t="shared" si="443"/>
        <v>3.6666666666666665</v>
      </c>
      <c r="AM951">
        <v>8</v>
      </c>
      <c r="AN951" s="17">
        <f t="shared" si="444"/>
        <v>0.88888888888888884</v>
      </c>
      <c r="AO951">
        <v>1</v>
      </c>
      <c r="AQ951">
        <v>18</v>
      </c>
      <c r="AR951" s="17">
        <f t="shared" si="445"/>
        <v>2</v>
      </c>
      <c r="AS951">
        <v>24</v>
      </c>
      <c r="AT951" s="17">
        <f t="shared" si="446"/>
        <v>2.6666666666666665</v>
      </c>
      <c r="BD951" s="65">
        <f t="shared" si="447"/>
        <v>54.60218408736349</v>
      </c>
      <c r="BE951" s="65">
        <f t="shared" si="448"/>
        <v>50.54347826086957</v>
      </c>
      <c r="BF951" s="66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23.102667557097949</v>
      </c>
      <c r="BG951" s="38">
        <f t="shared" si="449"/>
        <v>0.44565217391304346</v>
      </c>
      <c r="BH951" s="38">
        <f t="shared" si="450"/>
        <v>0.2608695652173913</v>
      </c>
      <c r="BI951" s="67">
        <f>IFERROR(((AG951*(12000/5))/((F951*60+G951)*(SUMIFS(팀공격력!X:X,팀공격력!A:A,B951,팀공격력!B:B,D951)+SUMIFS(팀수비력!X:X,팀수비력!A:A,B951,팀수비력!B:B,D951))))*100,"")</f>
        <v>3.3069075985059864</v>
      </c>
      <c r="BJ951" s="67">
        <f>IFERROR(((AI951*(12000/5))/((F951*60+G951)*(SUMIFS(팀공격력!V:V,팀공격력!A:A,B951,팀공격력!B:B,D951)+SUMIFS(팀수비력!W:W,팀수비력!A:A,B951,팀수비력!B:B,D951))))*100,"")</f>
        <v>14.049536728638042</v>
      </c>
      <c r="BK951" s="67">
        <f>IFERROR(((AE951*(12000/5))/((F951*60+G951)*(SUMIFS(팀공격력!X:X,팀공격력!A:A,B951,팀공격력!B:B,D951)+SUMIFS(팀수비력!X:X,팀수비력!A:A,B951,팀수비력!B:B,D951))))*100,"")</f>
        <v>10.15693048112553</v>
      </c>
      <c r="BL951" s="67">
        <f>IFERROR(100*AK951/(((((F951*60+G951)/(12000/5))*SUMIFS(팀공격력!P:P,팀공격력!A:A,B951,팀공격력!B:B,D951))-K951)),"")</f>
        <v>21.115213884852768</v>
      </c>
      <c r="BM951" s="67">
        <f>IFERROR(100*((AM951/E951*(2400))/((F951*60+G951)*SUMIFS(팀공격력!AR:AR,팀공격력!A:A,B951,팀공격력!B:B,D951))),"")</f>
        <v>1.7817390733219103</v>
      </c>
      <c r="BN951" s="67">
        <f>IFERROR((AO951*40)/(((F951*60+G951)/60)*(SUMIFS(팀수비력!Q:Q,팀수비력!A:A,B951,팀수비력!B:B,D951)-SUMIFS(팀수비력!N:N,팀수비력!A:A,B951,팀수비력!B:B,D951)))*100,"")</f>
        <v>0.3788117936738431</v>
      </c>
      <c r="BO951" s="67">
        <f t="shared" si="451"/>
        <v>14.93032514930325</v>
      </c>
      <c r="BT951" t="s">
        <v>89</v>
      </c>
      <c r="BV951" t="s">
        <v>93</v>
      </c>
      <c r="CF951">
        <v>5</v>
      </c>
      <c r="CG951">
        <v>4</v>
      </c>
    </row>
    <row r="952" spans="1:85" x14ac:dyDescent="0.4">
      <c r="A952" s="11" t="s">
        <v>85</v>
      </c>
      <c r="B952" t="s">
        <v>286</v>
      </c>
      <c r="C952" t="s">
        <v>294</v>
      </c>
      <c r="D952" s="46" t="s">
        <v>312</v>
      </c>
      <c r="E952">
        <v>9</v>
      </c>
      <c r="F952">
        <v>25</v>
      </c>
      <c r="G952" s="1">
        <v>21</v>
      </c>
      <c r="H952" s="16">
        <f t="shared" si="426"/>
        <v>13689</v>
      </c>
      <c r="I952">
        <v>85</v>
      </c>
      <c r="J952" s="17">
        <f t="shared" si="427"/>
        <v>9.4444444444444446</v>
      </c>
      <c r="K952">
        <v>26</v>
      </c>
      <c r="L952">
        <v>53</v>
      </c>
      <c r="M952" s="17">
        <f t="shared" si="428"/>
        <v>2.8888888888888888</v>
      </c>
      <c r="N952" s="17">
        <f t="shared" si="429"/>
        <v>5.8888888888888893</v>
      </c>
      <c r="O952" s="18">
        <f t="shared" si="430"/>
        <v>0.49056603773584906</v>
      </c>
      <c r="P952">
        <v>7</v>
      </c>
      <c r="Q952">
        <v>17</v>
      </c>
      <c r="R952" s="17">
        <f t="shared" si="431"/>
        <v>0.77777777777777779</v>
      </c>
      <c r="S952" s="17">
        <f t="shared" si="432"/>
        <v>1.8888888888888888</v>
      </c>
      <c r="T952" s="18">
        <f t="shared" si="433"/>
        <v>0.41176470588235292</v>
      </c>
      <c r="U952">
        <v>19</v>
      </c>
      <c r="V952">
        <v>36</v>
      </c>
      <c r="W952" s="17">
        <f t="shared" si="434"/>
        <v>2.1111111111111112</v>
      </c>
      <c r="X952" s="17">
        <f t="shared" si="435"/>
        <v>4</v>
      </c>
      <c r="Y952" s="18">
        <f t="shared" si="436"/>
        <v>0.52777777777777779</v>
      </c>
      <c r="Z952">
        <v>14</v>
      </c>
      <c r="AA952">
        <v>17</v>
      </c>
      <c r="AB952" s="17">
        <f t="shared" si="437"/>
        <v>1.5555555555555556</v>
      </c>
      <c r="AC952" s="17">
        <f t="shared" si="438"/>
        <v>1.8888888888888888</v>
      </c>
      <c r="AD952" s="18">
        <f t="shared" si="439"/>
        <v>0.82352941176470584</v>
      </c>
      <c r="AE952">
        <v>30</v>
      </c>
      <c r="AF952" s="17">
        <f t="shared" si="440"/>
        <v>3.3333333333333335</v>
      </c>
      <c r="AG952">
        <v>12</v>
      </c>
      <c r="AH952" s="17">
        <f t="shared" si="441"/>
        <v>1.3333333333333333</v>
      </c>
      <c r="AI952">
        <v>18</v>
      </c>
      <c r="AJ952" s="17">
        <f t="shared" si="442"/>
        <v>2</v>
      </c>
      <c r="AK952">
        <v>5</v>
      </c>
      <c r="AL952" s="17">
        <f t="shared" si="443"/>
        <v>0.55555555555555558</v>
      </c>
      <c r="AM952">
        <v>8</v>
      </c>
      <c r="AN952" s="17">
        <f t="shared" si="444"/>
        <v>0.88888888888888884</v>
      </c>
      <c r="AO952">
        <v>2</v>
      </c>
      <c r="AQ952">
        <v>4</v>
      </c>
      <c r="AR952" s="17">
        <f t="shared" si="445"/>
        <v>0.44444444444444442</v>
      </c>
      <c r="AS952">
        <v>17</v>
      </c>
      <c r="AT952" s="17">
        <f t="shared" si="446"/>
        <v>1.8888888888888888</v>
      </c>
      <c r="BD952" s="65">
        <f t="shared" si="447"/>
        <v>70.271164021164012</v>
      </c>
      <c r="BE952" s="65">
        <f t="shared" si="448"/>
        <v>66.981132075471692</v>
      </c>
      <c r="BF952" s="66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13.688460572541944</v>
      </c>
      <c r="BG952" s="38">
        <f t="shared" si="449"/>
        <v>0.67924528301886788</v>
      </c>
      <c r="BH952" s="38">
        <f t="shared" si="450"/>
        <v>0.32075471698113206</v>
      </c>
      <c r="BI952" s="67">
        <f>IFERROR(((AG952*(12000/5))/((F952*60+G952)*(SUMIFS(팀공격력!X:X,팀공격력!A:A,B952,팀공격력!B:B,D952)+SUMIFS(팀수비력!X:X,팀수비력!A:A,B952,팀수비력!B:B,D952))))*100,"")</f>
        <v>3.1401179506805224</v>
      </c>
      <c r="BJ952" s="67">
        <f>IFERROR(((AI952*(12000/5))/((F952*60+G952)*(SUMIFS(팀공격력!V:V,팀공격력!A:A,B952,팀공격력!B:B,D952)+SUMIFS(팀수비력!W:W,팀수비력!A:A,B952,팀수비력!B:B,D952))))*100,"")</f>
        <v>9.6606690013283423</v>
      </c>
      <c r="BK952" s="67">
        <f>IFERROR(((AE952*(12000/5))/((F952*60+G952)*(SUMIFS(팀공격력!X:X,팀공격력!A:A,B952,팀공격력!B:B,D952)+SUMIFS(팀수비력!X:X,팀수비력!A:A,B952,팀수비력!B:B,D952))))*100,"")</f>
        <v>7.850294876701307</v>
      </c>
      <c r="BL952" s="67">
        <f>IFERROR(100*AK952/(((((F952*60+G952)/(12000/5))*SUMIFS(팀공격력!P:P,팀공격력!A:A,B952,팀공격력!B:B,D952))-K952)),"")</f>
        <v>3.2876622255829435</v>
      </c>
      <c r="BM952" s="67">
        <f>IFERROR(100*((AM952/E952*(2400))/((F952*60+G952)*SUMIFS(팀공격력!AR:AR,팀공격력!A:A,B952,팀공격력!B:B,D952))),"")</f>
        <v>1.9738529510502427</v>
      </c>
      <c r="BN952" s="67">
        <f>IFERROR((AO952*40)/(((F952*60+G952)/60)*(SUMIFS(팀수비력!Q:Q,팀수비력!A:A,B952,팀수비력!B:B,D952)-SUMIFS(팀수비력!N:N,팀수비력!A:A,B952,팀수비력!B:B,D952)))*100,"")</f>
        <v>0.83931344160476717</v>
      </c>
      <c r="BO952" s="67">
        <f t="shared" si="451"/>
        <v>6.2034739454094288</v>
      </c>
      <c r="BT952" t="s">
        <v>89</v>
      </c>
      <c r="BV952" t="s">
        <v>90</v>
      </c>
      <c r="CF952">
        <v>5</v>
      </c>
      <c r="CG952">
        <v>4</v>
      </c>
    </row>
    <row r="953" spans="1:85" x14ac:dyDescent="0.4">
      <c r="A953" s="11" t="s">
        <v>85</v>
      </c>
      <c r="B953" t="s">
        <v>286</v>
      </c>
      <c r="C953" t="s">
        <v>296</v>
      </c>
      <c r="D953" s="46" t="s">
        <v>312</v>
      </c>
      <c r="E953">
        <v>9</v>
      </c>
      <c r="F953">
        <v>19</v>
      </c>
      <c r="G953" s="1">
        <v>40</v>
      </c>
      <c r="H953" s="16">
        <f t="shared" si="426"/>
        <v>10620</v>
      </c>
      <c r="I953">
        <v>85</v>
      </c>
      <c r="J953" s="17">
        <f t="shared" si="427"/>
        <v>9.4444444444444446</v>
      </c>
      <c r="K953">
        <v>28</v>
      </c>
      <c r="L953">
        <v>69</v>
      </c>
      <c r="M953" s="17">
        <f t="shared" si="428"/>
        <v>3.1111111111111112</v>
      </c>
      <c r="N953" s="17">
        <f t="shared" si="429"/>
        <v>7.666666666666667</v>
      </c>
      <c r="O953" s="18">
        <f t="shared" si="430"/>
        <v>0.40579710144927539</v>
      </c>
      <c r="P953">
        <v>17</v>
      </c>
      <c r="Q953">
        <v>35</v>
      </c>
      <c r="R953" s="17">
        <f t="shared" si="431"/>
        <v>1.8888888888888888</v>
      </c>
      <c r="S953" s="17">
        <f t="shared" si="432"/>
        <v>3.8888888888888888</v>
      </c>
      <c r="T953" s="18">
        <f t="shared" si="433"/>
        <v>0.48571428571428571</v>
      </c>
      <c r="U953">
        <v>11</v>
      </c>
      <c r="V953">
        <v>34</v>
      </c>
      <c r="W953" s="17">
        <f t="shared" si="434"/>
        <v>1.2222222222222223</v>
      </c>
      <c r="X953" s="17">
        <f t="shared" si="435"/>
        <v>3.7777777777777777</v>
      </c>
      <c r="Y953" s="18">
        <f t="shared" si="436"/>
        <v>0.3235294117647059</v>
      </c>
      <c r="Z953">
        <v>18</v>
      </c>
      <c r="AA953">
        <v>21</v>
      </c>
      <c r="AB953" s="17">
        <f t="shared" si="437"/>
        <v>2</v>
      </c>
      <c r="AC953" s="17">
        <f t="shared" si="438"/>
        <v>2.3333333333333335</v>
      </c>
      <c r="AD953" s="18">
        <f t="shared" si="439"/>
        <v>0.8571428571428571</v>
      </c>
      <c r="AE953">
        <v>14</v>
      </c>
      <c r="AF953" s="17">
        <f t="shared" si="440"/>
        <v>1.5555555555555556</v>
      </c>
      <c r="AG953">
        <v>2</v>
      </c>
      <c r="AH953" s="17">
        <f t="shared" si="441"/>
        <v>0.22222222222222221</v>
      </c>
      <c r="AI953">
        <v>12</v>
      </c>
      <c r="AJ953" s="17">
        <f t="shared" si="442"/>
        <v>1.3333333333333333</v>
      </c>
      <c r="AK953">
        <v>14</v>
      </c>
      <c r="AL953" s="17">
        <f t="shared" si="443"/>
        <v>1.5555555555555556</v>
      </c>
      <c r="AM953">
        <v>4</v>
      </c>
      <c r="AN953" s="17">
        <f t="shared" si="444"/>
        <v>0.44444444444444442</v>
      </c>
      <c r="AO953">
        <v>3</v>
      </c>
      <c r="AQ953">
        <v>6</v>
      </c>
      <c r="AR953" s="17">
        <f t="shared" si="445"/>
        <v>0.66666666666666663</v>
      </c>
      <c r="AS953">
        <v>6</v>
      </c>
      <c r="AT953" s="17">
        <f t="shared" si="446"/>
        <v>0.66666666666666663</v>
      </c>
      <c r="BD953" s="65">
        <f t="shared" si="447"/>
        <v>54.320040899795508</v>
      </c>
      <c r="BE953" s="65">
        <f t="shared" si="448"/>
        <v>48.550724637681157</v>
      </c>
      <c r="BF953" s="66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23.051285278810003</v>
      </c>
      <c r="BG953" s="38">
        <f t="shared" si="449"/>
        <v>0.49275362318840582</v>
      </c>
      <c r="BH953" s="38">
        <f t="shared" si="450"/>
        <v>0.30434782608695654</v>
      </c>
      <c r="BI953" s="67">
        <f>IFERROR(((AG953*(12000/5))/((F953*60+G953)*(SUMIFS(팀공격력!X:X,팀공격력!A:A,B953,팀공격력!B:B,D953)+SUMIFS(팀수비력!X:X,팀수비력!A:A,B953,팀수비력!B:B,D953))))*100,"")</f>
        <v>0.67459313601484105</v>
      </c>
      <c r="BJ953" s="67">
        <f>IFERROR(((AI953*(12000/5))/((F953*60+G953)*(SUMIFS(팀공격력!V:V,팀공격력!A:A,B953,팀공격력!B:B,D953)+SUMIFS(팀수비력!W:W,팀수비력!A:A,B953,팀수비력!B:B,D953))))*100,"")</f>
        <v>8.3016257350397797</v>
      </c>
      <c r="BK953" s="67">
        <f>IFERROR(((AE953*(12000/5))/((F953*60+G953)*(SUMIFS(팀공격력!X:X,팀공격력!A:A,B953,팀공격력!B:B,D953)+SUMIFS(팀수비력!X:X,팀수비력!A:A,B953,팀수비력!B:B,D953))))*100,"")</f>
        <v>4.7221519521038875</v>
      </c>
      <c r="BL953" s="67">
        <f>IFERROR(100*AK953/(((((F953*60+G953)/(12000/5))*SUMIFS(팀공격력!P:P,팀공격력!A:A,B953,팀공격력!B:B,D953))-K953)),"")</f>
        <v>12.708979499205689</v>
      </c>
      <c r="BM953" s="67">
        <f>IFERROR(100*((AM953/E953*(2400))/((F953*60+G953)*SUMIFS(팀공격력!AR:AR,팀공격력!A:A,B953,팀공격력!B:B,D953))),"")</f>
        <v>1.2721314993844994</v>
      </c>
      <c r="BN953" s="67">
        <f>IFERROR((AO953*40)/(((F953*60+G953)/60)*(SUMIFS(팀수비력!Q:Q,팀수비력!A:A,B953,팀수비력!B:B,D953)-SUMIFS(팀수비력!N:N,팀수비력!A:A,B953,팀수비력!B:B,D953)))*100,"")</f>
        <v>1.6227912008654886</v>
      </c>
      <c r="BO953" s="67">
        <f t="shared" si="451"/>
        <v>7.1225071225071233</v>
      </c>
      <c r="BT953" t="s">
        <v>89</v>
      </c>
      <c r="BV953" t="s">
        <v>90</v>
      </c>
      <c r="CF953">
        <v>5</v>
      </c>
      <c r="CG953">
        <v>4</v>
      </c>
    </row>
    <row r="954" spans="1:85" x14ac:dyDescent="0.4">
      <c r="A954" s="11" t="s">
        <v>85</v>
      </c>
      <c r="B954" t="s">
        <v>286</v>
      </c>
      <c r="C954" t="s">
        <v>297</v>
      </c>
      <c r="D954" s="46" t="s">
        <v>312</v>
      </c>
      <c r="E954">
        <v>8</v>
      </c>
      <c r="F954">
        <v>4</v>
      </c>
      <c r="G954" s="1">
        <v>12</v>
      </c>
      <c r="H954" s="16">
        <f t="shared" si="426"/>
        <v>2016</v>
      </c>
      <c r="I954">
        <v>9</v>
      </c>
      <c r="J954" s="17">
        <f t="shared" si="427"/>
        <v>1.125</v>
      </c>
      <c r="K954">
        <v>3</v>
      </c>
      <c r="L954">
        <v>10</v>
      </c>
      <c r="M954" s="17">
        <f t="shared" si="428"/>
        <v>0.375</v>
      </c>
      <c r="N954" s="17">
        <f t="shared" si="429"/>
        <v>1.25</v>
      </c>
      <c r="O954" s="18">
        <f t="shared" si="430"/>
        <v>0.3</v>
      </c>
      <c r="P954">
        <v>2</v>
      </c>
      <c r="Q954">
        <v>6</v>
      </c>
      <c r="R954" s="17">
        <f t="shared" si="431"/>
        <v>0.25</v>
      </c>
      <c r="S954" s="17">
        <f t="shared" si="432"/>
        <v>0.75</v>
      </c>
      <c r="T954" s="18">
        <f t="shared" si="433"/>
        <v>0.33333333333333331</v>
      </c>
      <c r="U954">
        <v>1</v>
      </c>
      <c r="V954">
        <v>4</v>
      </c>
      <c r="W954" s="17">
        <f t="shared" si="434"/>
        <v>0.125</v>
      </c>
      <c r="X954" s="17">
        <f t="shared" si="435"/>
        <v>0.5</v>
      </c>
      <c r="Y954" s="18">
        <f t="shared" si="436"/>
        <v>0.25</v>
      </c>
      <c r="Z954">
        <v>2</v>
      </c>
      <c r="AA954">
        <v>2</v>
      </c>
      <c r="AB954" s="17">
        <f t="shared" si="437"/>
        <v>0.25</v>
      </c>
      <c r="AC954" s="17">
        <f t="shared" si="438"/>
        <v>0.25</v>
      </c>
      <c r="AD954" s="18">
        <f t="shared" si="439"/>
        <v>1</v>
      </c>
      <c r="AE954">
        <v>7</v>
      </c>
      <c r="AF954" s="17">
        <f t="shared" si="440"/>
        <v>0.875</v>
      </c>
      <c r="AG954">
        <v>0</v>
      </c>
      <c r="AH954" s="17">
        <f t="shared" si="441"/>
        <v>0</v>
      </c>
      <c r="AI954">
        <v>7</v>
      </c>
      <c r="AJ954" s="17">
        <f t="shared" si="442"/>
        <v>0.875</v>
      </c>
      <c r="AK954">
        <v>3</v>
      </c>
      <c r="AL954" s="17">
        <f t="shared" si="443"/>
        <v>0.375</v>
      </c>
      <c r="AM954">
        <v>0</v>
      </c>
      <c r="AN954" s="17">
        <f t="shared" si="444"/>
        <v>0</v>
      </c>
      <c r="AO954">
        <v>0</v>
      </c>
      <c r="AQ954">
        <v>1</v>
      </c>
      <c r="AR954" s="17">
        <f t="shared" si="445"/>
        <v>0.125</v>
      </c>
      <c r="AS954">
        <v>11</v>
      </c>
      <c r="AT954" s="17">
        <f t="shared" si="446"/>
        <v>1.375</v>
      </c>
      <c r="BD954" s="65">
        <f t="shared" si="447"/>
        <v>41.360294117647058</v>
      </c>
      <c r="BE954" s="65">
        <f t="shared" si="448"/>
        <v>35</v>
      </c>
      <c r="BF954" s="66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15.222104340606119</v>
      </c>
      <c r="BG954" s="38">
        <f t="shared" si="449"/>
        <v>0.4</v>
      </c>
      <c r="BH954" s="38">
        <f t="shared" si="450"/>
        <v>0.2</v>
      </c>
      <c r="BI954" s="67">
        <f>IFERROR(((AG954*(12000/5))/((F954*60+G954)*(SUMIFS(팀공격력!X:X,팀공격력!A:A,B954,팀공격력!B:B,D954)+SUMIFS(팀수비력!X:X,팀수비력!A:A,B954,팀수비력!B:B,D954))))*100,"")</f>
        <v>0</v>
      </c>
      <c r="BJ954" s="67">
        <f>IFERROR(((AI954*(12000/5))/((F954*60+G954)*(SUMIFS(팀공격력!V:V,팀공격력!A:A,B954,팀공격력!B:B,D954)+SUMIFS(팀수비력!W:W,팀수비력!A:A,B954,팀수비력!B:B,D954))))*100,"")</f>
        <v>22.67573696145125</v>
      </c>
      <c r="BK954" s="67">
        <f>IFERROR(((AE954*(12000/5))/((F954*60+G954)*(SUMIFS(팀공격력!X:X,팀공격력!A:A,B954,팀공격력!B:B,D954)+SUMIFS(팀수비력!X:X,팀수비력!A:A,B954,팀수비력!B:B,D954))))*100,"")</f>
        <v>11.055831951354339</v>
      </c>
      <c r="BL954" s="67">
        <f>IFERROR(100*AK954/(((((F954*60+G954)/(12000/5))*SUMIFS(팀공격력!P:P,팀공격력!A:A,B954,팀공격력!B:B,D954))-K954)),"")</f>
        <v>11.318619128466327</v>
      </c>
      <c r="BM954" s="67">
        <f>IFERROR(100*((AM954/E954*(2400))/((F954*60+G954)*SUMIFS(팀공격력!AR:AR,팀공격력!A:A,B954,팀공격력!B:B,D954))),"")</f>
        <v>0</v>
      </c>
      <c r="BN954" s="67">
        <f>IFERROR((AO954*40)/(((F954*60+G954)/60)*(SUMIFS(팀수비력!Q:Q,팀수비력!A:A,B954,팀수비력!B:B,D954)-SUMIFS(팀수비력!N:N,팀수비력!A:A,B954,팀수비력!B:B,D954)))*100,"")</f>
        <v>0</v>
      </c>
      <c r="BO954" s="67">
        <f t="shared" si="451"/>
        <v>8.4175084175084169</v>
      </c>
      <c r="BT954" t="s">
        <v>89</v>
      </c>
      <c r="BV954" t="s">
        <v>93</v>
      </c>
      <c r="CF954">
        <v>4</v>
      </c>
      <c r="CG954">
        <v>4</v>
      </c>
    </row>
    <row r="955" spans="1:85" x14ac:dyDescent="0.4">
      <c r="A955" s="11" t="s">
        <v>85</v>
      </c>
      <c r="B955" t="s">
        <v>286</v>
      </c>
      <c r="C955" t="s">
        <v>298</v>
      </c>
      <c r="D955" s="46" t="s">
        <v>312</v>
      </c>
      <c r="E955">
        <v>9</v>
      </c>
      <c r="F955">
        <v>25</v>
      </c>
      <c r="G955" s="1">
        <v>11</v>
      </c>
      <c r="H955" s="16">
        <f t="shared" si="426"/>
        <v>13599</v>
      </c>
      <c r="I955">
        <v>87</v>
      </c>
      <c r="J955" s="17">
        <f t="shared" si="427"/>
        <v>9.6666666666666661</v>
      </c>
      <c r="K955">
        <v>30</v>
      </c>
      <c r="L955">
        <v>73</v>
      </c>
      <c r="M955" s="17">
        <f t="shared" si="428"/>
        <v>3.3333333333333335</v>
      </c>
      <c r="N955" s="17">
        <f t="shared" si="429"/>
        <v>8.1111111111111107</v>
      </c>
      <c r="O955" s="18">
        <f t="shared" si="430"/>
        <v>0.41095890410958902</v>
      </c>
      <c r="P955">
        <v>17</v>
      </c>
      <c r="Q955">
        <v>37</v>
      </c>
      <c r="R955" s="17">
        <f t="shared" si="431"/>
        <v>1.8888888888888888</v>
      </c>
      <c r="S955" s="17">
        <f t="shared" si="432"/>
        <v>4.1111111111111107</v>
      </c>
      <c r="T955" s="18">
        <f t="shared" si="433"/>
        <v>0.45945945945945948</v>
      </c>
      <c r="U955">
        <v>13</v>
      </c>
      <c r="V955">
        <v>36</v>
      </c>
      <c r="W955" s="17">
        <f t="shared" si="434"/>
        <v>1.4444444444444444</v>
      </c>
      <c r="X955" s="17">
        <f t="shared" si="435"/>
        <v>4</v>
      </c>
      <c r="Y955" s="18">
        <f t="shared" si="436"/>
        <v>0.3611111111111111</v>
      </c>
      <c r="Z955">
        <v>14</v>
      </c>
      <c r="AA955">
        <v>16</v>
      </c>
      <c r="AB955" s="17">
        <f t="shared" si="437"/>
        <v>1.5555555555555556</v>
      </c>
      <c r="AC955" s="17">
        <f t="shared" si="438"/>
        <v>1.7777777777777777</v>
      </c>
      <c r="AD955" s="18">
        <f t="shared" si="439"/>
        <v>0.875</v>
      </c>
      <c r="AE955">
        <v>22</v>
      </c>
      <c r="AF955" s="17">
        <f t="shared" si="440"/>
        <v>2.4444444444444446</v>
      </c>
      <c r="AG955">
        <v>6</v>
      </c>
      <c r="AH955" s="17">
        <f t="shared" si="441"/>
        <v>0.66666666666666663</v>
      </c>
      <c r="AI955">
        <v>16</v>
      </c>
      <c r="AJ955" s="17">
        <f t="shared" si="442"/>
        <v>1.7777777777777777</v>
      </c>
      <c r="AK955">
        <v>41</v>
      </c>
      <c r="AL955" s="17">
        <f t="shared" si="443"/>
        <v>4.5555555555555554</v>
      </c>
      <c r="AM955">
        <v>10</v>
      </c>
      <c r="AN955" s="17">
        <f t="shared" si="444"/>
        <v>1.1111111111111112</v>
      </c>
      <c r="AO955">
        <v>0</v>
      </c>
      <c r="AQ955">
        <v>17</v>
      </c>
      <c r="AR955" s="17">
        <f t="shared" si="445"/>
        <v>1.8888888888888888</v>
      </c>
      <c r="AS955">
        <v>16</v>
      </c>
      <c r="AT955" s="17">
        <f t="shared" si="446"/>
        <v>1.7777777777777777</v>
      </c>
      <c r="BD955" s="65">
        <f t="shared" si="447"/>
        <v>54.347826086956516</v>
      </c>
      <c r="BE955" s="65">
        <f t="shared" si="448"/>
        <v>50</v>
      </c>
      <c r="BF955" s="66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20.736961347064806</v>
      </c>
      <c r="BG955" s="38">
        <f t="shared" si="449"/>
        <v>0.49315068493150682</v>
      </c>
      <c r="BH955" s="38">
        <f t="shared" si="450"/>
        <v>0.21917808219178081</v>
      </c>
      <c r="BI955" s="67">
        <f>IFERROR(((AG955*(12000/5))/((F955*60+G955)*(SUMIFS(팀공격력!X:X,팀공격력!A:A,B955,팀공격력!B:B,D955)+SUMIFS(팀수비력!X:X,팀수비력!A:A,B955,팀수비력!B:B,D955))))*100,"")</f>
        <v>1.580449835534439</v>
      </c>
      <c r="BJ955" s="67">
        <f>IFERROR(((AI955*(12000/5))/((F955*60+G955)*(SUMIFS(팀공격력!V:V,팀공격력!A:A,B955,팀공격력!B:B,D955)+SUMIFS(팀수비력!W:W,팀수비력!A:A,B955,팀수비력!B:B,D955))))*100,"")</f>
        <v>8.6440929780250944</v>
      </c>
      <c r="BK955" s="67">
        <f>IFERROR(((AE955*(12000/5))/((F955*60+G955)*(SUMIFS(팀공격력!X:X,팀공격력!A:A,B955,팀공격력!B:B,D955)+SUMIFS(팀수비력!X:X,팀수비력!A:A,B955,팀수비력!B:B,D955))))*100,"")</f>
        <v>5.7949827302929426</v>
      </c>
      <c r="BL955" s="67">
        <f>IFERROR(100*AK955/(((((F955*60+G955)/(12000/5))*SUMIFS(팀공격력!P:P,팀공격력!A:A,B955,팀공격력!B:B,D955))-K955)),"")</f>
        <v>27.907689078847724</v>
      </c>
      <c r="BM955" s="67">
        <f>IFERROR(100*((AM955/E955*(2400))/((F955*60+G955)*SUMIFS(팀공격력!AR:AR,팀공격력!A:A,B955,팀공격력!B:B,D955))),"")</f>
        <v>2.4836452171967403</v>
      </c>
      <c r="BN955" s="67">
        <f>IFERROR((AO955*40)/(((F955*60+G955)/60)*(SUMIFS(팀수비력!Q:Q,팀수비력!A:A,B955,팀수비력!B:B,D955)-SUMIFS(팀수비력!N:N,팀수비력!A:A,B955,팀수비력!B:B,D955)))*100,"")</f>
        <v>0</v>
      </c>
      <c r="BO955" s="67">
        <f t="shared" si="451"/>
        <v>17.518549051937345</v>
      </c>
      <c r="BT955" t="s">
        <v>89</v>
      </c>
      <c r="BV955" t="s">
        <v>90</v>
      </c>
      <c r="CF955">
        <v>5</v>
      </c>
      <c r="CG955">
        <v>4</v>
      </c>
    </row>
    <row r="956" spans="1:85" x14ac:dyDescent="0.4">
      <c r="A956" s="11" t="s">
        <v>85</v>
      </c>
      <c r="B956" t="s">
        <v>286</v>
      </c>
      <c r="C956" t="s">
        <v>300</v>
      </c>
      <c r="D956" s="46" t="s">
        <v>312</v>
      </c>
      <c r="E956">
        <v>9</v>
      </c>
      <c r="F956">
        <v>17</v>
      </c>
      <c r="G956" s="1">
        <v>20</v>
      </c>
      <c r="H956" s="16">
        <f t="shared" si="426"/>
        <v>9360</v>
      </c>
      <c r="I956">
        <v>96</v>
      </c>
      <c r="J956" s="17">
        <f t="shared" si="427"/>
        <v>10.666666666666666</v>
      </c>
      <c r="K956">
        <v>42</v>
      </c>
      <c r="L956">
        <v>58</v>
      </c>
      <c r="M956" s="17">
        <f t="shared" si="428"/>
        <v>4.666666666666667</v>
      </c>
      <c r="N956" s="17">
        <f t="shared" si="429"/>
        <v>6.4444444444444446</v>
      </c>
      <c r="O956" s="18">
        <f t="shared" si="430"/>
        <v>0.72413793103448276</v>
      </c>
      <c r="P956">
        <v>35</v>
      </c>
      <c r="Q956">
        <v>47</v>
      </c>
      <c r="R956" s="17">
        <f t="shared" si="431"/>
        <v>3.8888888888888888</v>
      </c>
      <c r="S956" s="17">
        <f t="shared" si="432"/>
        <v>5.2222222222222223</v>
      </c>
      <c r="T956" s="18">
        <f t="shared" si="433"/>
        <v>0.74468085106382975</v>
      </c>
      <c r="U956">
        <v>7</v>
      </c>
      <c r="V956">
        <v>11</v>
      </c>
      <c r="W956" s="17">
        <f t="shared" si="434"/>
        <v>0.77777777777777779</v>
      </c>
      <c r="X956" s="17">
        <f t="shared" si="435"/>
        <v>1.2222222222222223</v>
      </c>
      <c r="Y956" s="18">
        <f t="shared" si="436"/>
        <v>0.63636363636363635</v>
      </c>
      <c r="Z956">
        <v>5</v>
      </c>
      <c r="AA956">
        <v>9</v>
      </c>
      <c r="AB956" s="17">
        <f t="shared" si="437"/>
        <v>0.55555555555555558</v>
      </c>
      <c r="AC956" s="17">
        <f t="shared" si="438"/>
        <v>1</v>
      </c>
      <c r="AD956" s="18">
        <f t="shared" si="439"/>
        <v>0.55555555555555558</v>
      </c>
      <c r="AE956">
        <v>29</v>
      </c>
      <c r="AF956" s="17">
        <f t="shared" si="440"/>
        <v>3.2222222222222223</v>
      </c>
      <c r="AG956">
        <v>5</v>
      </c>
      <c r="AH956" s="17">
        <f t="shared" si="441"/>
        <v>0.55555555555555558</v>
      </c>
      <c r="AI956">
        <v>24</v>
      </c>
      <c r="AJ956" s="17">
        <f t="shared" si="442"/>
        <v>2.6666666666666665</v>
      </c>
      <c r="AK956">
        <v>27</v>
      </c>
      <c r="AL956" s="17">
        <f t="shared" si="443"/>
        <v>3</v>
      </c>
      <c r="AM956">
        <v>4</v>
      </c>
      <c r="AN956" s="17">
        <f t="shared" si="444"/>
        <v>0.44444444444444442</v>
      </c>
      <c r="AO956">
        <v>1</v>
      </c>
      <c r="AQ956">
        <v>13</v>
      </c>
      <c r="AR956" s="17">
        <f t="shared" si="445"/>
        <v>1.4444444444444444</v>
      </c>
      <c r="AS956">
        <v>15</v>
      </c>
      <c r="AT956" s="17">
        <f t="shared" si="446"/>
        <v>1.6666666666666667</v>
      </c>
      <c r="BD956" s="65">
        <f t="shared" si="447"/>
        <v>77.469335054874108</v>
      </c>
      <c r="BE956" s="65">
        <f t="shared" si="448"/>
        <v>78.448275862068968</v>
      </c>
      <c r="BF956" s="66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23.273142743598029</v>
      </c>
      <c r="BG956" s="38">
        <f t="shared" si="449"/>
        <v>0.18965517241379309</v>
      </c>
      <c r="BH956" s="38">
        <f t="shared" si="450"/>
        <v>0.15517241379310345</v>
      </c>
      <c r="BI956" s="67">
        <f>IFERROR(((AG956*(12000/5))/((F956*60+G956)*(SUMIFS(팀공격력!X:X,팀공격력!A:A,B956,팀공격력!B:B,D956)+SUMIFS(팀수비력!X:X,팀수비력!A:A,B956,팀수비력!B:B,D956))))*100,"")</f>
        <v>1.9135093761959432</v>
      </c>
      <c r="BJ956" s="67">
        <f>IFERROR(((AI956*(12000/5))/((F956*60+G956)*(SUMIFS(팀공격력!V:V,팀공격력!A:A,B956,팀공격력!B:B,D956)+SUMIFS(팀수비력!W:W,팀수비력!A:A,B956,팀수비력!B:B,D956))))*100,"")</f>
        <v>18.838304552590269</v>
      </c>
      <c r="BK956" s="67">
        <f>IFERROR(((AE956*(12000/5))/((F956*60+G956)*(SUMIFS(팀공격력!X:X,팀공격력!A:A,B956,팀공격력!B:B,D956)+SUMIFS(팀수비력!X:X,팀수비력!A:A,B956,팀수비력!B:B,D956))))*100,"")</f>
        <v>11.098354381936472</v>
      </c>
      <c r="BL956" s="67">
        <f>IFERROR(100*AK956/(((((F956*60+G956)/(12000/5))*SUMIFS(팀공격력!P:P,팀공격력!A:A,B956,팀공격력!B:B,D956))-K956)),"")</f>
        <v>33.848725449226912</v>
      </c>
      <c r="BM956" s="67">
        <f>IFERROR(100*((AM956/E956*(2400))/((F956*60+G956)*SUMIFS(팀공격력!AR:AR,팀공격력!A:A,B956,팀공격력!B:B,D956))),"")</f>
        <v>1.4433799704554895</v>
      </c>
      <c r="BN956" s="67">
        <f>IFERROR((AO956*40)/(((F956*60+G956)/60)*(SUMIFS(팀수비력!Q:Q,팀수비력!A:A,B956,팀수비력!B:B,D956)-SUMIFS(팀수비력!N:N,팀수비력!A:A,B956,팀수비력!B:B,D956)))*100,"")</f>
        <v>0.61374795417348615</v>
      </c>
      <c r="BO956" s="67">
        <f t="shared" si="451"/>
        <v>17.34258271077908</v>
      </c>
      <c r="BT956" t="s">
        <v>113</v>
      </c>
      <c r="BV956" t="s">
        <v>93</v>
      </c>
      <c r="CF956">
        <v>5</v>
      </c>
      <c r="CG956">
        <v>4</v>
      </c>
    </row>
    <row r="957" spans="1:85" x14ac:dyDescent="0.4">
      <c r="A957" s="11" t="s">
        <v>85</v>
      </c>
      <c r="B957" t="s">
        <v>286</v>
      </c>
      <c r="C957" t="s">
        <v>301</v>
      </c>
      <c r="D957" s="46" t="s">
        <v>312</v>
      </c>
      <c r="E957">
        <v>7</v>
      </c>
      <c r="F957">
        <v>4</v>
      </c>
      <c r="G957" s="1">
        <v>6</v>
      </c>
      <c r="H957" s="16">
        <f t="shared" si="426"/>
        <v>1722</v>
      </c>
      <c r="I957">
        <v>7</v>
      </c>
      <c r="J957" s="17">
        <f t="shared" si="427"/>
        <v>1</v>
      </c>
      <c r="K957">
        <v>3</v>
      </c>
      <c r="L957">
        <v>7</v>
      </c>
      <c r="M957" s="17">
        <f t="shared" si="428"/>
        <v>0.42857142857142855</v>
      </c>
      <c r="N957" s="17">
        <f t="shared" si="429"/>
        <v>1</v>
      </c>
      <c r="O957" s="18">
        <f t="shared" si="430"/>
        <v>0.42857142857142855</v>
      </c>
      <c r="P957">
        <v>2</v>
      </c>
      <c r="Q957">
        <v>4</v>
      </c>
      <c r="R957" s="17">
        <f t="shared" si="431"/>
        <v>0.2857142857142857</v>
      </c>
      <c r="S957" s="17">
        <f t="shared" si="432"/>
        <v>0.5714285714285714</v>
      </c>
      <c r="T957" s="18">
        <f t="shared" si="433"/>
        <v>0.5</v>
      </c>
      <c r="U957">
        <v>1</v>
      </c>
      <c r="V957">
        <v>3</v>
      </c>
      <c r="W957" s="17">
        <f t="shared" si="434"/>
        <v>0.14285714285714285</v>
      </c>
      <c r="X957" s="17">
        <f t="shared" si="435"/>
        <v>0.42857142857142855</v>
      </c>
      <c r="Y957" s="18">
        <f t="shared" si="436"/>
        <v>0.33333333333333331</v>
      </c>
      <c r="Z957">
        <v>0</v>
      </c>
      <c r="AA957">
        <v>0</v>
      </c>
      <c r="AB957" s="17">
        <f t="shared" si="437"/>
        <v>0</v>
      </c>
      <c r="AC957" s="17">
        <f t="shared" si="438"/>
        <v>0</v>
      </c>
      <c r="AD957" s="18" t="e">
        <f t="shared" si="439"/>
        <v>#DIV/0!</v>
      </c>
      <c r="AE957">
        <v>5</v>
      </c>
      <c r="AF957" s="17">
        <f t="shared" si="440"/>
        <v>0.7142857142857143</v>
      </c>
      <c r="AG957">
        <v>2</v>
      </c>
      <c r="AH957" s="17">
        <f t="shared" si="441"/>
        <v>0.2857142857142857</v>
      </c>
      <c r="AI957">
        <v>3</v>
      </c>
      <c r="AJ957" s="17">
        <f t="shared" si="442"/>
        <v>0.42857142857142855</v>
      </c>
      <c r="AK957">
        <v>1</v>
      </c>
      <c r="AL957" s="17">
        <f t="shared" si="443"/>
        <v>0.14285714285714285</v>
      </c>
      <c r="AM957">
        <v>1</v>
      </c>
      <c r="AN957" s="17">
        <f t="shared" si="444"/>
        <v>0.14285714285714285</v>
      </c>
      <c r="AO957">
        <v>1</v>
      </c>
      <c r="AQ957">
        <v>0</v>
      </c>
      <c r="AR957" s="17">
        <f t="shared" si="445"/>
        <v>0</v>
      </c>
      <c r="AS957">
        <v>3</v>
      </c>
      <c r="AT957" s="17">
        <f t="shared" si="446"/>
        <v>0.42857142857142855</v>
      </c>
      <c r="BD957" s="65">
        <f t="shared" si="447"/>
        <v>50</v>
      </c>
      <c r="BE957" s="65">
        <f t="shared" si="448"/>
        <v>50</v>
      </c>
      <c r="BF957" s="66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9.1880156773798927</v>
      </c>
      <c r="BG957" s="38">
        <f t="shared" si="449"/>
        <v>0.42857142857142855</v>
      </c>
      <c r="BH957" s="38">
        <f t="shared" si="450"/>
        <v>0</v>
      </c>
      <c r="BI957" s="67">
        <f>IFERROR(((AG957*(12000/5))/((F957*60+G957)*(SUMIFS(팀공격력!X:X,팀공격력!A:A,B957,팀공격력!B:B,D957)+SUMIFS(팀수비력!X:X,팀수비력!A:A,B957,팀수비력!B:B,D957))))*100,"")</f>
        <v>3.2358532540549287</v>
      </c>
      <c r="BJ957" s="67">
        <f>IFERROR(((AI957*(12000/5))/((F957*60+G957)*(SUMIFS(팀공격력!V:V,팀공격력!A:A,B957,팀공격력!B:B,D957)+SUMIFS(팀수비력!W:W,팀수비력!A:A,B957,팀수비력!B:B,D957))))*100,"")</f>
        <v>9.955201592832255</v>
      </c>
      <c r="BK957" s="67">
        <f>IFERROR(((AE957*(12000/5))/((F957*60+G957)*(SUMIFS(팀공격력!X:X,팀공격력!A:A,B957,팀공격력!B:B,D957)+SUMIFS(팀수비력!X:X,팀수비력!A:A,B957,팀수비력!B:B,D957))))*100,"")</f>
        <v>8.089633135137321</v>
      </c>
      <c r="BL957" s="67">
        <f>IFERROR(100*AK957/(((((F957*60+G957)/(12000/5))*SUMIFS(팀공격력!P:P,팀공격력!A:A,B957,팀공격력!B:B,D957))-K957)),"")</f>
        <v>3.8755934502470692</v>
      </c>
      <c r="BM957" s="67">
        <f>IFERROR(100*((AM957/E957*(2400))/((F957*60+G957)*SUMIFS(팀공격력!AR:AR,팀공격력!A:A,B957,팀공격력!B:B,D957))),"")</f>
        <v>1.9613874162984009</v>
      </c>
      <c r="BN957" s="67">
        <f>IFERROR((AO957*40)/(((F957*60+G957)/60)*(SUMIFS(팀수비력!Q:Q,팀수비력!A:A,B957,팀수비력!B:B,D957)-SUMIFS(팀수비력!N:N,팀수비력!A:A,B957,팀수비력!B:B,D957)))*100,"")</f>
        <v>2.5947067981318113</v>
      </c>
      <c r="BO957" s="67">
        <f t="shared" si="451"/>
        <v>0</v>
      </c>
      <c r="BT957" t="s">
        <v>89</v>
      </c>
      <c r="BV957" t="s">
        <v>93</v>
      </c>
      <c r="CF957">
        <v>4</v>
      </c>
      <c r="CG957">
        <v>3</v>
      </c>
    </row>
    <row r="958" spans="1:85" x14ac:dyDescent="0.4">
      <c r="A958" s="11" t="s">
        <v>85</v>
      </c>
      <c r="B958" t="s">
        <v>286</v>
      </c>
      <c r="C958" t="s">
        <v>302</v>
      </c>
      <c r="D958" s="46" t="s">
        <v>312</v>
      </c>
      <c r="E958">
        <v>9</v>
      </c>
      <c r="F958">
        <v>20</v>
      </c>
      <c r="G958" s="1">
        <v>41</v>
      </c>
      <c r="H958" s="16">
        <f t="shared" si="426"/>
        <v>11169</v>
      </c>
      <c r="I958">
        <v>42</v>
      </c>
      <c r="J958" s="17">
        <f t="shared" si="427"/>
        <v>4.666666666666667</v>
      </c>
      <c r="K958">
        <v>12</v>
      </c>
      <c r="L958">
        <v>31</v>
      </c>
      <c r="M958" s="17">
        <f t="shared" si="428"/>
        <v>1.3333333333333333</v>
      </c>
      <c r="N958" s="17">
        <f t="shared" si="429"/>
        <v>3.4444444444444446</v>
      </c>
      <c r="O958" s="18">
        <f t="shared" si="430"/>
        <v>0.38709677419354838</v>
      </c>
      <c r="P958">
        <v>5</v>
      </c>
      <c r="Q958">
        <v>10</v>
      </c>
      <c r="R958" s="17">
        <f t="shared" si="431"/>
        <v>0.55555555555555558</v>
      </c>
      <c r="S958" s="17">
        <f t="shared" si="432"/>
        <v>1.1111111111111112</v>
      </c>
      <c r="T958" s="18">
        <f t="shared" si="433"/>
        <v>0.5</v>
      </c>
      <c r="U958">
        <v>7</v>
      </c>
      <c r="V958">
        <v>21</v>
      </c>
      <c r="W958" s="17">
        <f t="shared" si="434"/>
        <v>0.77777777777777779</v>
      </c>
      <c r="X958" s="17">
        <f t="shared" si="435"/>
        <v>2.3333333333333335</v>
      </c>
      <c r="Y958" s="18">
        <f t="shared" si="436"/>
        <v>0.33333333333333331</v>
      </c>
      <c r="Z958">
        <v>11</v>
      </c>
      <c r="AA958">
        <v>13</v>
      </c>
      <c r="AB958" s="17">
        <f t="shared" si="437"/>
        <v>1.2222222222222223</v>
      </c>
      <c r="AC958" s="17">
        <f t="shared" si="438"/>
        <v>1.4444444444444444</v>
      </c>
      <c r="AD958" s="18">
        <f t="shared" si="439"/>
        <v>0.84615384615384615</v>
      </c>
      <c r="AE958">
        <v>16</v>
      </c>
      <c r="AF958" s="17">
        <f t="shared" si="440"/>
        <v>1.7777777777777777</v>
      </c>
      <c r="AG958">
        <v>7</v>
      </c>
      <c r="AH958" s="17">
        <f t="shared" si="441"/>
        <v>0.77777777777777779</v>
      </c>
      <c r="AI958">
        <v>9</v>
      </c>
      <c r="AJ958" s="17">
        <f t="shared" si="442"/>
        <v>1</v>
      </c>
      <c r="AK958">
        <v>9</v>
      </c>
      <c r="AL958" s="17">
        <f t="shared" si="443"/>
        <v>1</v>
      </c>
      <c r="AM958">
        <v>5</v>
      </c>
      <c r="AN958" s="17">
        <f t="shared" si="444"/>
        <v>0.55555555555555558</v>
      </c>
      <c r="AO958">
        <v>1</v>
      </c>
      <c r="AQ958">
        <v>6</v>
      </c>
      <c r="AR958" s="17">
        <f t="shared" si="445"/>
        <v>0.66666666666666663</v>
      </c>
      <c r="AS958">
        <v>30</v>
      </c>
      <c r="AT958" s="17">
        <f t="shared" si="446"/>
        <v>3.3333333333333335</v>
      </c>
      <c r="BD958" s="65">
        <f t="shared" si="447"/>
        <v>57.189542483660126</v>
      </c>
      <c r="BE958" s="65">
        <f t="shared" si="448"/>
        <v>50</v>
      </c>
      <c r="BF958" s="66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11.115224970123931</v>
      </c>
      <c r="BG958" s="38">
        <f t="shared" si="449"/>
        <v>0.67741935483870963</v>
      </c>
      <c r="BH958" s="38">
        <f t="shared" si="450"/>
        <v>0.41935483870967744</v>
      </c>
      <c r="BI958" s="67">
        <f>IFERROR(((AG958*(12000/5))/((F958*60+G958)*(SUMIFS(팀공격력!X:X,팀공격력!A:A,B958,팀공격력!B:B,D958)+SUMIFS(팀수비력!X:X,팀수비력!A:A,B958,팀수비력!B:B,D958))))*100,"")</f>
        <v>2.245019864416836</v>
      </c>
      <c r="BJ958" s="67">
        <f>IFERROR(((AI958*(12000/5))/((F958*60+G958)*(SUMIFS(팀공격력!V:V,팀공격력!A:A,B958,팀공격력!B:B,D958)+SUMIFS(팀수비력!W:W,팀수비력!A:A,B958,팀수비력!B:B,D958))))*100,"")</f>
        <v>5.92017628969396</v>
      </c>
      <c r="BK958" s="67">
        <f>IFERROR(((AE958*(12000/5))/((F958*60+G958)*(SUMIFS(팀공격력!X:X,팀공격력!A:A,B958,팀공격력!B:B,D958)+SUMIFS(팀수비력!X:X,팀수비력!A:A,B958,팀수비력!B:B,D958))))*100,"")</f>
        <v>5.1314739758099108</v>
      </c>
      <c r="BL958" s="67">
        <f>IFERROR(100*AK958/(((((F958*60+G958)/(12000/5))*SUMIFS(팀공격력!P:P,팀공격력!A:A,B958,팀공격력!B:B,D958))-K958)),"")</f>
        <v>6.7516668177456305</v>
      </c>
      <c r="BM958" s="67">
        <f>IFERROR(100*((AM958/E958*(2400))/((F958*60+G958)*SUMIFS(팀공격력!AR:AR,팀공격력!A:A,B958,팀공격력!B:B,D958))),"")</f>
        <v>1.5120015806544216</v>
      </c>
      <c r="BN958" s="67">
        <f>IFERROR((AO958*40)/(((F958*60+G958)/60)*(SUMIFS(팀수비력!Q:Q,팀수비력!A:A,B958,팀수비력!B:B,D958)-SUMIFS(팀수비력!N:N,팀수비력!A:A,B958,팀수비력!B:B,D958)))*100,"")</f>
        <v>0.51434155708334051</v>
      </c>
      <c r="BO958" s="67">
        <f t="shared" si="451"/>
        <v>14.04494382022472</v>
      </c>
      <c r="BT958" t="s">
        <v>89</v>
      </c>
      <c r="BV958" t="s">
        <v>93</v>
      </c>
      <c r="CF958">
        <v>5</v>
      </c>
      <c r="CG958">
        <v>4</v>
      </c>
    </row>
    <row r="959" spans="1:85" x14ac:dyDescent="0.4">
      <c r="A959" s="11" t="s">
        <v>85</v>
      </c>
      <c r="B959" t="s">
        <v>286</v>
      </c>
      <c r="C959" t="s">
        <v>303</v>
      </c>
      <c r="D959" s="46" t="s">
        <v>312</v>
      </c>
      <c r="E959">
        <v>7</v>
      </c>
      <c r="F959">
        <v>18</v>
      </c>
      <c r="G959" s="1">
        <v>15</v>
      </c>
      <c r="H959" s="16">
        <f t="shared" si="426"/>
        <v>7665</v>
      </c>
      <c r="I959">
        <v>86</v>
      </c>
      <c r="J959" s="17">
        <f t="shared" si="427"/>
        <v>12.285714285714286</v>
      </c>
      <c r="K959">
        <v>37</v>
      </c>
      <c r="L959">
        <v>63</v>
      </c>
      <c r="M959" s="17">
        <f t="shared" si="428"/>
        <v>5.2857142857142856</v>
      </c>
      <c r="N959" s="17">
        <f t="shared" si="429"/>
        <v>9</v>
      </c>
      <c r="O959" s="18">
        <f t="shared" si="430"/>
        <v>0.58730158730158732</v>
      </c>
      <c r="P959">
        <v>37</v>
      </c>
      <c r="Q959">
        <v>63</v>
      </c>
      <c r="R959" s="17">
        <f t="shared" si="431"/>
        <v>5.2857142857142856</v>
      </c>
      <c r="S959" s="17">
        <f t="shared" si="432"/>
        <v>9</v>
      </c>
      <c r="T959" s="18">
        <f t="shared" si="433"/>
        <v>0.58730158730158732</v>
      </c>
      <c r="U959">
        <v>0</v>
      </c>
      <c r="V959">
        <v>0</v>
      </c>
      <c r="W959" s="17">
        <f t="shared" si="434"/>
        <v>0</v>
      </c>
      <c r="X959" s="17">
        <f t="shared" si="435"/>
        <v>0</v>
      </c>
      <c r="Y959" s="18" t="e">
        <f t="shared" si="436"/>
        <v>#DIV/0!</v>
      </c>
      <c r="Z959">
        <v>12</v>
      </c>
      <c r="AA959">
        <v>18</v>
      </c>
      <c r="AB959" s="17">
        <f t="shared" si="437"/>
        <v>1.7142857142857142</v>
      </c>
      <c r="AC959" s="17">
        <f t="shared" si="438"/>
        <v>2.5714285714285716</v>
      </c>
      <c r="AD959" s="18">
        <f t="shared" si="439"/>
        <v>0.66666666666666663</v>
      </c>
      <c r="AE959">
        <v>43</v>
      </c>
      <c r="AF959" s="17">
        <f t="shared" si="440"/>
        <v>6.1428571428571432</v>
      </c>
      <c r="AG959">
        <v>17</v>
      </c>
      <c r="AH959" s="17">
        <f t="shared" si="441"/>
        <v>2.4285714285714284</v>
      </c>
      <c r="AI959">
        <v>26</v>
      </c>
      <c r="AJ959" s="17">
        <f t="shared" si="442"/>
        <v>3.7142857142857144</v>
      </c>
      <c r="AK959">
        <v>12</v>
      </c>
      <c r="AL959" s="17">
        <f t="shared" si="443"/>
        <v>1.7142857142857142</v>
      </c>
      <c r="AM959">
        <v>6</v>
      </c>
      <c r="AN959" s="17">
        <f t="shared" si="444"/>
        <v>0.8571428571428571</v>
      </c>
      <c r="AO959">
        <v>4</v>
      </c>
      <c r="AQ959">
        <v>6</v>
      </c>
      <c r="AR959" s="17">
        <f t="shared" si="445"/>
        <v>0.8571428571428571</v>
      </c>
      <c r="AS959">
        <v>23</v>
      </c>
      <c r="AT959" s="17">
        <f t="shared" si="446"/>
        <v>3.2857142857142856</v>
      </c>
      <c r="BD959" s="65">
        <f t="shared" si="447"/>
        <v>60.631697687535244</v>
      </c>
      <c r="BE959" s="65">
        <f t="shared" si="448"/>
        <v>58.730158730158735</v>
      </c>
      <c r="BF959" s="66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22.682136048584358</v>
      </c>
      <c r="BG959" s="38">
        <f t="shared" si="449"/>
        <v>0</v>
      </c>
      <c r="BH959" s="38">
        <f t="shared" si="450"/>
        <v>0.2857142857142857</v>
      </c>
      <c r="BI959" s="67">
        <f>IFERROR(((AG959*(12000/5))/((F959*60+G959)*(SUMIFS(팀공격력!X:X,팀공격력!A:A,B959,팀공격력!B:B,D959)+SUMIFS(팀수비력!X:X,팀수비력!A:A,B959,팀수비력!B:B,D959))))*100,"")</f>
        <v>6.1791499125377678</v>
      </c>
      <c r="BJ959" s="67">
        <f>IFERROR(((AI959*(12000/5))/((F959*60+G959)*(SUMIFS(팀공격력!V:V,팀공격력!A:A,B959,팀공격력!B:B,D959)+SUMIFS(팀수비력!W:W,팀수비력!A:A,B959,팀수비력!B:B,D959))))*100,"")</f>
        <v>19.383095704035039</v>
      </c>
      <c r="BK959" s="67">
        <f>IFERROR(((AE959*(12000/5))/((F959*60+G959)*(SUMIFS(팀공격력!X:X,팀공격력!A:A,B959,팀공격력!B:B,D959)+SUMIFS(팀수비력!X:X,팀수비력!A:A,B959,팀수비력!B:B,D959))))*100,"")</f>
        <v>15.629614484654352</v>
      </c>
      <c r="BL959" s="67">
        <f>IFERROR(100*AK959/(((((F959*60+G959)/(12000/5))*SUMIFS(팀공격력!P:P,팀공격력!A:A,B959,팀공격력!B:B,D959))-K959)),"")</f>
        <v>13.156993078873436</v>
      </c>
      <c r="BM959" s="67">
        <f>IFERROR(100*((AM959/E959*(2400))/((F959*60+G959)*SUMIFS(팀공격력!AR:AR,팀공격력!A:A,B959,팀공격력!B:B,D959))),"")</f>
        <v>2.6438427638871591</v>
      </c>
      <c r="BN959" s="67">
        <f>IFERROR((AO959*40)/(((F959*60+G959)/60)*(SUMIFS(팀수비력!Q:Q,팀수비력!A:A,B959,팀수비력!B:B,D959)-SUMIFS(팀수비력!N:N,팀수비력!A:A,B959,팀수비력!B:B,D959)))*100,"")</f>
        <v>2.3316817254444766</v>
      </c>
      <c r="BO959" s="67">
        <f t="shared" si="451"/>
        <v>7.8003120124804992</v>
      </c>
      <c r="BT959" t="s">
        <v>96</v>
      </c>
      <c r="BV959" t="s">
        <v>102</v>
      </c>
      <c r="CF959">
        <v>3</v>
      </c>
      <c r="CG959">
        <v>4</v>
      </c>
    </row>
    <row r="960" spans="1:85" x14ac:dyDescent="0.4">
      <c r="A960" s="11" t="s">
        <v>85</v>
      </c>
      <c r="B960" t="s">
        <v>286</v>
      </c>
      <c r="C960" t="s">
        <v>305</v>
      </c>
      <c r="D960" s="46" t="s">
        <v>312</v>
      </c>
      <c r="E960">
        <v>9</v>
      </c>
      <c r="F960">
        <v>21</v>
      </c>
      <c r="G960" s="1">
        <v>30</v>
      </c>
      <c r="H960" s="16">
        <f t="shared" si="426"/>
        <v>11610</v>
      </c>
      <c r="I960">
        <v>82</v>
      </c>
      <c r="J960" s="17">
        <f t="shared" si="427"/>
        <v>9.1111111111111107</v>
      </c>
      <c r="K960">
        <v>35</v>
      </c>
      <c r="L960">
        <v>76</v>
      </c>
      <c r="M960" s="17">
        <f t="shared" si="428"/>
        <v>3.8888888888888888</v>
      </c>
      <c r="N960" s="17">
        <f t="shared" si="429"/>
        <v>8.4444444444444446</v>
      </c>
      <c r="O960" s="18">
        <f t="shared" si="430"/>
        <v>0.46052631578947367</v>
      </c>
      <c r="P960">
        <v>28</v>
      </c>
      <c r="Q960">
        <v>55</v>
      </c>
      <c r="R960" s="17">
        <f t="shared" si="431"/>
        <v>3.1111111111111112</v>
      </c>
      <c r="S960" s="17">
        <f t="shared" si="432"/>
        <v>6.1111111111111107</v>
      </c>
      <c r="T960" s="18">
        <f t="shared" si="433"/>
        <v>0.50909090909090904</v>
      </c>
      <c r="U960">
        <v>7</v>
      </c>
      <c r="V960">
        <v>21</v>
      </c>
      <c r="W960" s="17">
        <f t="shared" si="434"/>
        <v>0.77777777777777779</v>
      </c>
      <c r="X960" s="17">
        <f t="shared" si="435"/>
        <v>2.3333333333333335</v>
      </c>
      <c r="Y960" s="18">
        <f t="shared" si="436"/>
        <v>0.33333333333333331</v>
      </c>
      <c r="Z960">
        <v>5</v>
      </c>
      <c r="AA960">
        <v>9</v>
      </c>
      <c r="AB960" s="17">
        <f t="shared" si="437"/>
        <v>0.55555555555555558</v>
      </c>
      <c r="AC960" s="17">
        <f t="shared" si="438"/>
        <v>1</v>
      </c>
      <c r="AD960" s="18">
        <f t="shared" si="439"/>
        <v>0.55555555555555558</v>
      </c>
      <c r="AE960">
        <v>72</v>
      </c>
      <c r="AF960" s="17">
        <f t="shared" si="440"/>
        <v>8</v>
      </c>
      <c r="AG960">
        <v>21</v>
      </c>
      <c r="AH960" s="17">
        <f t="shared" si="441"/>
        <v>2.3333333333333335</v>
      </c>
      <c r="AI960">
        <v>51</v>
      </c>
      <c r="AJ960" s="17">
        <f t="shared" si="442"/>
        <v>5.666666666666667</v>
      </c>
      <c r="AK960">
        <v>14</v>
      </c>
      <c r="AL960" s="17">
        <f t="shared" si="443"/>
        <v>1.5555555555555556</v>
      </c>
      <c r="AM960">
        <v>8</v>
      </c>
      <c r="AN960" s="17">
        <f t="shared" si="444"/>
        <v>0.88888888888888884</v>
      </c>
      <c r="AO960">
        <v>3</v>
      </c>
      <c r="AQ960">
        <v>12</v>
      </c>
      <c r="AR960" s="17">
        <f t="shared" si="445"/>
        <v>1.3333333333333333</v>
      </c>
      <c r="AS960">
        <v>18</v>
      </c>
      <c r="AT960" s="17">
        <f t="shared" si="446"/>
        <v>2</v>
      </c>
      <c r="BD960" s="65">
        <f t="shared" si="447"/>
        <v>51.275637818909459</v>
      </c>
      <c r="BE960" s="65">
        <f t="shared" si="448"/>
        <v>50.657894736842103</v>
      </c>
      <c r="BF960" s="66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23.018024444761494</v>
      </c>
      <c r="BG960" s="38">
        <f t="shared" si="449"/>
        <v>0.27631578947368424</v>
      </c>
      <c r="BH960" s="38">
        <f t="shared" si="450"/>
        <v>0.11842105263157894</v>
      </c>
      <c r="BI960" s="67">
        <f>IFERROR(((AG960*(12000/5))/((F960*60+G960)*(SUMIFS(팀공격력!X:X,팀공격력!A:A,B960,팀공격력!B:B,D960)+SUMIFS(팀수비력!X:X,팀수비력!A:A,B960,팀수비력!B:B,D960))))*100,"")</f>
        <v>6.4792317482355655</v>
      </c>
      <c r="BJ960" s="67">
        <f>IFERROR(((AI960*(12000/5))/((F960*60+G960)*(SUMIFS(팀공격력!V:V,팀공격력!A:A,B960,팀공격력!B:B,D960)+SUMIFS(팀수비력!W:W,팀수비력!A:A,B960,팀수비력!B:B,D960))))*100,"")</f>
        <v>32.273374466065498</v>
      </c>
      <c r="BK960" s="67">
        <f>IFERROR(((AE960*(12000/5))/((F960*60+G960)*(SUMIFS(팀공격력!X:X,팀공격력!A:A,B960,팀공격력!B:B,D960)+SUMIFS(팀수비력!X:X,팀수비력!A:A,B960,팀수비력!B:B,D960))))*100,"")</f>
        <v>22.21450885109337</v>
      </c>
      <c r="BL960" s="67">
        <f>IFERROR(100*AK960/(((((F960*60+G960)/(12000/5))*SUMIFS(팀공격력!P:P,팀공격력!A:A,B960,팀공격력!B:B,D960))-K960)),"")</f>
        <v>12.065065172896693</v>
      </c>
      <c r="BM960" s="67">
        <f>IFERROR(100*((AM960/E960*(2400))/((F960*60+G960)*SUMIFS(팀공격력!AR:AR,팀공격력!A:A,B960,팀공격력!B:B,D960))),"")</f>
        <v>2.3273103399592392</v>
      </c>
      <c r="BN960" s="67">
        <f>IFERROR((AO960*40)/(((F960*60+G960)/60)*(SUMIFS(팀수비력!Q:Q,팀수비력!A:A,B960,팀수비력!B:B,D960)-SUMIFS(팀수비력!N:N,팀수비력!A:A,B960,팀수비력!B:B,D960)))*100,"")</f>
        <v>1.4844136566056407</v>
      </c>
      <c r="BO960" s="67">
        <f t="shared" si="451"/>
        <v>13.049151805132666</v>
      </c>
      <c r="BT960" t="s">
        <v>96</v>
      </c>
      <c r="BV960" t="s">
        <v>102</v>
      </c>
      <c r="CF960">
        <v>5</v>
      </c>
      <c r="CG960">
        <v>4</v>
      </c>
    </row>
    <row r="961" spans="1:85" x14ac:dyDescent="0.4">
      <c r="A961" s="11" t="s">
        <v>85</v>
      </c>
      <c r="B961" t="s">
        <v>99</v>
      </c>
      <c r="C961" t="s">
        <v>100</v>
      </c>
      <c r="D961" s="46" t="s">
        <v>313</v>
      </c>
      <c r="E961">
        <v>7</v>
      </c>
      <c r="F961">
        <v>19</v>
      </c>
      <c r="G961" s="1">
        <v>56</v>
      </c>
      <c r="H961" s="16">
        <f t="shared" si="426"/>
        <v>8372</v>
      </c>
      <c r="I961">
        <v>18</v>
      </c>
      <c r="J961" s="17">
        <f t="shared" si="427"/>
        <v>2.5714285714285716</v>
      </c>
      <c r="K961">
        <v>6</v>
      </c>
      <c r="L961">
        <v>25</v>
      </c>
      <c r="M961" s="17">
        <f t="shared" si="428"/>
        <v>0.8571428571428571</v>
      </c>
      <c r="N961" s="17">
        <f t="shared" si="429"/>
        <v>3.5714285714285716</v>
      </c>
      <c r="O961" s="18">
        <f t="shared" si="430"/>
        <v>0.24</v>
      </c>
      <c r="P961">
        <v>4</v>
      </c>
      <c r="Q961">
        <v>9</v>
      </c>
      <c r="R961" s="17">
        <f t="shared" si="431"/>
        <v>0.5714285714285714</v>
      </c>
      <c r="S961" s="17">
        <f t="shared" si="432"/>
        <v>1.2857142857142858</v>
      </c>
      <c r="T961" s="18">
        <f t="shared" si="433"/>
        <v>0.44444444444444442</v>
      </c>
      <c r="U961">
        <v>2</v>
      </c>
      <c r="V961">
        <v>16</v>
      </c>
      <c r="W961" s="17">
        <f t="shared" si="434"/>
        <v>0.2857142857142857</v>
      </c>
      <c r="X961" s="17">
        <f t="shared" si="435"/>
        <v>2.2857142857142856</v>
      </c>
      <c r="Y961" s="18">
        <f t="shared" si="436"/>
        <v>0.125</v>
      </c>
      <c r="Z961">
        <v>4</v>
      </c>
      <c r="AA961">
        <v>4</v>
      </c>
      <c r="AB961" s="17">
        <f t="shared" si="437"/>
        <v>0.5714285714285714</v>
      </c>
      <c r="AC961" s="17">
        <f t="shared" si="438"/>
        <v>0.5714285714285714</v>
      </c>
      <c r="AD961" s="18">
        <f t="shared" si="439"/>
        <v>1</v>
      </c>
      <c r="AE961">
        <v>7</v>
      </c>
      <c r="AF961" s="17">
        <f t="shared" si="440"/>
        <v>1</v>
      </c>
      <c r="AG961">
        <v>2</v>
      </c>
      <c r="AH961" s="17">
        <f t="shared" si="441"/>
        <v>0.2857142857142857</v>
      </c>
      <c r="AI961">
        <v>5</v>
      </c>
      <c r="AJ961" s="17">
        <f t="shared" si="442"/>
        <v>0.7142857142857143</v>
      </c>
      <c r="AK961">
        <v>11</v>
      </c>
      <c r="AL961" s="17">
        <f t="shared" si="443"/>
        <v>1.5714285714285714</v>
      </c>
      <c r="AM961">
        <v>9</v>
      </c>
      <c r="AN961" s="17">
        <f t="shared" si="444"/>
        <v>1.2857142857142858</v>
      </c>
      <c r="AO961">
        <v>0</v>
      </c>
      <c r="AQ961">
        <v>6</v>
      </c>
      <c r="AR961" s="17">
        <f t="shared" si="445"/>
        <v>0.8571428571428571</v>
      </c>
      <c r="AS961">
        <v>14</v>
      </c>
      <c r="AT961" s="17">
        <f t="shared" si="446"/>
        <v>2</v>
      </c>
      <c r="BD961" s="65">
        <f t="shared" si="447"/>
        <v>33.632286995515692</v>
      </c>
      <c r="BE961" s="65">
        <f t="shared" si="448"/>
        <v>28.000000000000004</v>
      </c>
      <c r="BF961" s="66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9.3512276578638165</v>
      </c>
      <c r="BG961" s="38">
        <f t="shared" si="449"/>
        <v>0.64</v>
      </c>
      <c r="BH961" s="38">
        <f t="shared" si="450"/>
        <v>0.16</v>
      </c>
      <c r="BI961" s="67">
        <f>IFERROR(((AG961*(12000/5))/((F961*60+G961)*(SUMIFS(팀공격력!X:X,팀공격력!A:A,B961,팀공격력!B:B,D961)+SUMIFS(팀수비력!X:X,팀수비력!A:A,B961,팀수비력!B:B,D961))))*100,"")</f>
        <v>0.68722224767489803</v>
      </c>
      <c r="BJ961" s="67">
        <f>IFERROR(((AI961*(12000/5))/((F961*60+G961)*(SUMIFS(팀공격력!V:V,팀공격력!A:A,B961,팀공격력!B:B,D961)+SUMIFS(팀수비력!W:W,팀수비력!A:A,B961,팀수비력!B:B,D961))))*100,"")</f>
        <v>3.4011677342554272</v>
      </c>
      <c r="BK961" s="67">
        <f>IFERROR(((AE961*(12000/5))/((F961*60+G961)*(SUMIFS(팀공격력!X:X,팀공격력!A:A,B961,팀공격력!B:B,D961)+SUMIFS(팀수비력!X:X,팀수비력!A:A,B961,팀수비력!B:B,D961))))*100,"")</f>
        <v>2.4052778668621433</v>
      </c>
      <c r="BL961" s="67">
        <f>IFERROR(100*AK961/(((((F961*60+G961)/(12000/5))*SUMIFS(팀공격력!P:P,팀공격력!A:A,B961,팀공격력!B:B,D961))-K961)),"")</f>
        <v>9.0852777204212263</v>
      </c>
      <c r="BM961" s="67">
        <f>IFERROR(100*((AM961/E961*(2400))/((F961*60+G961)*SUMIFS(팀공격력!AR:AR,팀공격력!A:A,B961,팀공격력!B:B,D961))),"")</f>
        <v>3.8324926090585456</v>
      </c>
      <c r="BN961" s="67">
        <f>IFERROR((AO961*40)/(((F961*60+G961)/60)*(SUMIFS(팀수비력!Q:Q,팀수비력!A:A,B961,팀수비력!B:B,D961)-SUMIFS(팀수비력!N:N,팀수비력!A:A,B961,팀수비력!B:B,D961)))*100,"")</f>
        <v>0</v>
      </c>
      <c r="BO961" s="67">
        <f t="shared" si="451"/>
        <v>18.315018315018314</v>
      </c>
      <c r="BT961" t="s">
        <v>89</v>
      </c>
      <c r="BV961" t="s">
        <v>90</v>
      </c>
      <c r="CF961">
        <v>4</v>
      </c>
      <c r="CG961">
        <v>3</v>
      </c>
    </row>
    <row r="962" spans="1:85" x14ac:dyDescent="0.4">
      <c r="A962" s="11" t="s">
        <v>85</v>
      </c>
      <c r="B962" t="s">
        <v>99</v>
      </c>
      <c r="C962" t="s">
        <v>101</v>
      </c>
      <c r="D962" s="46" t="s">
        <v>313</v>
      </c>
      <c r="E962">
        <v>8</v>
      </c>
      <c r="F962">
        <v>25</v>
      </c>
      <c r="G962" s="1">
        <v>35</v>
      </c>
      <c r="H962" s="16">
        <f t="shared" ref="H962:H1025" si="452">(F962*60+G962)*E962</f>
        <v>12280</v>
      </c>
      <c r="I962">
        <v>57</v>
      </c>
      <c r="J962" s="17">
        <f t="shared" ref="J962:J1025" si="453">I962/$E962</f>
        <v>7.125</v>
      </c>
      <c r="K962">
        <v>21</v>
      </c>
      <c r="L962">
        <v>53</v>
      </c>
      <c r="M962" s="17">
        <f t="shared" ref="M962:M1025" si="454">K962/$E962</f>
        <v>2.625</v>
      </c>
      <c r="N962" s="17">
        <f t="shared" ref="N962:N1025" si="455">L962/$E962</f>
        <v>6.625</v>
      </c>
      <c r="O962" s="18">
        <f t="shared" ref="O962:O1025" si="456">K962/L962</f>
        <v>0.39622641509433965</v>
      </c>
      <c r="P962">
        <v>10</v>
      </c>
      <c r="Q962">
        <v>21</v>
      </c>
      <c r="R962" s="17">
        <f t="shared" ref="R962:R1025" si="457">P962/$E962</f>
        <v>1.25</v>
      </c>
      <c r="S962" s="17">
        <f t="shared" ref="S962:S1025" si="458">Q962/$E962</f>
        <v>2.625</v>
      </c>
      <c r="T962" s="18">
        <f t="shared" ref="T962:T1025" si="459">P962/Q962</f>
        <v>0.47619047619047616</v>
      </c>
      <c r="U962">
        <v>11</v>
      </c>
      <c r="V962">
        <v>32</v>
      </c>
      <c r="W962" s="17">
        <f t="shared" ref="W962:W1025" si="460">U962/$E962</f>
        <v>1.375</v>
      </c>
      <c r="X962" s="17">
        <f t="shared" ref="X962:X1025" si="461">V962/$E962</f>
        <v>4</v>
      </c>
      <c r="Y962" s="18">
        <f t="shared" ref="Y962:Y1025" si="462">U962/V962</f>
        <v>0.34375</v>
      </c>
      <c r="Z962">
        <v>4</v>
      </c>
      <c r="AA962">
        <v>7</v>
      </c>
      <c r="AB962" s="17">
        <f t="shared" ref="AB962:AB1025" si="463">Z962/$E962</f>
        <v>0.5</v>
      </c>
      <c r="AC962" s="17">
        <f t="shared" ref="AC962:AC1025" si="464">AA962/$E962</f>
        <v>0.875</v>
      </c>
      <c r="AD962" s="18">
        <f t="shared" ref="AD962:AD1025" si="465">Z962/AA962</f>
        <v>0.5714285714285714</v>
      </c>
      <c r="AE962">
        <v>34</v>
      </c>
      <c r="AF962" s="17">
        <f t="shared" ref="AF962:AF1025" si="466">AE962/$E962</f>
        <v>4.25</v>
      </c>
      <c r="AG962">
        <v>9</v>
      </c>
      <c r="AH962" s="17">
        <f t="shared" ref="AH962:AH1025" si="467">AG962/$E962</f>
        <v>1.125</v>
      </c>
      <c r="AI962">
        <v>25</v>
      </c>
      <c r="AJ962" s="17">
        <f t="shared" ref="AJ962:AJ1025" si="468">AI962/$E962</f>
        <v>3.125</v>
      </c>
      <c r="AK962">
        <v>8</v>
      </c>
      <c r="AL962" s="17">
        <f t="shared" ref="AL962:AL1025" si="469">AK962/$E962</f>
        <v>1</v>
      </c>
      <c r="AM962">
        <v>4</v>
      </c>
      <c r="AN962" s="17">
        <f t="shared" ref="AN962:AN1025" si="470">AM962/$E962</f>
        <v>0.5</v>
      </c>
      <c r="AO962">
        <v>4</v>
      </c>
      <c r="AQ962">
        <v>8</v>
      </c>
      <c r="AR962" s="17">
        <f t="shared" ref="AR962:AR1025" si="471">AQ962/$E962</f>
        <v>1</v>
      </c>
      <c r="AS962">
        <v>20</v>
      </c>
      <c r="AT962" s="17">
        <f t="shared" ref="AT962:AT1025" si="472">AS962/$E962</f>
        <v>2.5</v>
      </c>
      <c r="BD962" s="65">
        <f t="shared" ref="BD962:BD1025" si="473">IFERROR((I962/(2*(L962+(0.44*AA962))))*100,"")</f>
        <v>50.820256776034235</v>
      </c>
      <c r="BE962" s="65">
        <f t="shared" ref="BE962:BE1025" si="474">IFERROR(((P962+(1.5*U962))/L962)*100,"")</f>
        <v>50</v>
      </c>
      <c r="BF962" s="66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14.251810528169177</v>
      </c>
      <c r="BG962" s="38">
        <f t="shared" ref="BG962:BG1025" si="475">IFERROR(V962/L962,"")</f>
        <v>0.60377358490566035</v>
      </c>
      <c r="BH962" s="38">
        <f t="shared" ref="BH962:BH1025" si="476">IFERROR(AA962/L962,"")</f>
        <v>0.13207547169811321</v>
      </c>
      <c r="BI962" s="67">
        <f>IFERROR(((AG962*(12000/5))/((F962*60+G962)*(SUMIFS(팀공격력!X:X,팀공격력!A:A,B962,팀공격력!B:B,D962)+SUMIFS(팀수비력!X:X,팀수비력!A:A,B962,팀수비력!B:B,D962))))*100,"")</f>
        <v>2.4095310338672973</v>
      </c>
      <c r="BJ962" s="67">
        <f>IFERROR(((AI962*(12000/5))/((F962*60+G962)*(SUMIFS(팀공격력!V:V,팀공격력!A:A,B962,팀공격력!B:B,D962)+SUMIFS(팀수비력!W:W,팀수비력!A:A,B962,팀수비력!B:B,D962))))*100,"")</f>
        <v>13.250151824656326</v>
      </c>
      <c r="BK962" s="67">
        <f>IFERROR(((AE962*(12000/5))/((F962*60+G962)*(SUMIFS(팀공격력!X:X,팀공격력!A:A,B962,팀공격력!B:B,D962)+SUMIFS(팀수비력!X:X,팀수비력!A:A,B962,팀수비력!B:B,D962))))*100,"")</f>
        <v>9.1026727946097896</v>
      </c>
      <c r="BL962" s="67">
        <f>IFERROR(100*AK962/(((((F962*60+G962)/(12000/5))*SUMIFS(팀공격력!P:P,팀공격력!A:A,B962,팀공격력!B:B,D962))-K962)),"")</f>
        <v>5.6300857708379155</v>
      </c>
      <c r="BM962" s="67">
        <f>IFERROR(100*((AM962/E962*(2400))/((F962*60+G962)*SUMIFS(팀공격력!AR:AR,팀공격력!A:A,B962,팀공격력!B:B,D962))),"")</f>
        <v>1.1612605183871931</v>
      </c>
      <c r="BN962" s="67">
        <f>IFERROR((AO962*40)/(((F962*60+G962)/60)*(SUMIFS(팀수비력!Q:Q,팀수비력!A:A,B962,팀수비력!B:B,D962)-SUMIFS(팀수비력!N:N,팀수비력!A:A,B962,팀수비력!B:B,D962)))*100,"")</f>
        <v>1.9009336356345854</v>
      </c>
      <c r="BO962" s="67">
        <f t="shared" ref="BO962:BO1025" si="477">IFERROR(100*AQ962/(L962+0.44*AA962+AQ962),"")</f>
        <v>12.484394506866417</v>
      </c>
      <c r="BT962" t="s">
        <v>89</v>
      </c>
      <c r="BV962" t="s">
        <v>102</v>
      </c>
      <c r="CF962">
        <v>5</v>
      </c>
      <c r="CG962">
        <v>3</v>
      </c>
    </row>
    <row r="963" spans="1:85" x14ac:dyDescent="0.4">
      <c r="A963" s="11" t="s">
        <v>85</v>
      </c>
      <c r="B963" t="s">
        <v>99</v>
      </c>
      <c r="C963" t="s">
        <v>103</v>
      </c>
      <c r="D963" s="46" t="s">
        <v>313</v>
      </c>
      <c r="E963">
        <v>8</v>
      </c>
      <c r="F963">
        <v>16</v>
      </c>
      <c r="G963" s="1">
        <v>54</v>
      </c>
      <c r="H963" s="16">
        <f t="shared" si="452"/>
        <v>8112</v>
      </c>
      <c r="I963">
        <v>41</v>
      </c>
      <c r="J963" s="17">
        <f t="shared" si="453"/>
        <v>5.125</v>
      </c>
      <c r="K963">
        <v>16</v>
      </c>
      <c r="L963">
        <v>41</v>
      </c>
      <c r="M963" s="17">
        <f t="shared" si="454"/>
        <v>2</v>
      </c>
      <c r="N963" s="17">
        <f t="shared" si="455"/>
        <v>5.125</v>
      </c>
      <c r="O963" s="18">
        <f t="shared" si="456"/>
        <v>0.3902439024390244</v>
      </c>
      <c r="P963">
        <v>10</v>
      </c>
      <c r="Q963">
        <v>15</v>
      </c>
      <c r="R963" s="17">
        <f t="shared" si="457"/>
        <v>1.25</v>
      </c>
      <c r="S963" s="17">
        <f t="shared" si="458"/>
        <v>1.875</v>
      </c>
      <c r="T963" s="18">
        <f t="shared" si="459"/>
        <v>0.66666666666666663</v>
      </c>
      <c r="U963">
        <v>6</v>
      </c>
      <c r="V963">
        <v>26</v>
      </c>
      <c r="W963" s="17">
        <f t="shared" si="460"/>
        <v>0.75</v>
      </c>
      <c r="X963" s="17">
        <f t="shared" si="461"/>
        <v>3.25</v>
      </c>
      <c r="Y963" s="18">
        <f t="shared" si="462"/>
        <v>0.23076923076923078</v>
      </c>
      <c r="Z963">
        <v>3</v>
      </c>
      <c r="AA963">
        <v>7</v>
      </c>
      <c r="AB963" s="17">
        <f t="shared" si="463"/>
        <v>0.375</v>
      </c>
      <c r="AC963" s="17">
        <f t="shared" si="464"/>
        <v>0.875</v>
      </c>
      <c r="AD963" s="18">
        <f t="shared" si="465"/>
        <v>0.42857142857142855</v>
      </c>
      <c r="AE963">
        <v>14</v>
      </c>
      <c r="AF963" s="17">
        <f t="shared" si="466"/>
        <v>1.75</v>
      </c>
      <c r="AG963">
        <v>6</v>
      </c>
      <c r="AH963" s="17">
        <f t="shared" si="467"/>
        <v>0.75</v>
      </c>
      <c r="AI963">
        <v>8</v>
      </c>
      <c r="AJ963" s="17">
        <f t="shared" si="468"/>
        <v>1</v>
      </c>
      <c r="AK963">
        <v>2</v>
      </c>
      <c r="AL963" s="17">
        <f t="shared" si="469"/>
        <v>0.25</v>
      </c>
      <c r="AM963">
        <v>2</v>
      </c>
      <c r="AN963" s="17">
        <f t="shared" si="470"/>
        <v>0.25</v>
      </c>
      <c r="AO963">
        <v>0</v>
      </c>
      <c r="AQ963">
        <v>2</v>
      </c>
      <c r="AR963" s="17">
        <f t="shared" si="471"/>
        <v>0.25</v>
      </c>
      <c r="AS963">
        <v>12</v>
      </c>
      <c r="AT963" s="17">
        <f t="shared" si="472"/>
        <v>1.5</v>
      </c>
      <c r="BD963" s="65">
        <f t="shared" si="473"/>
        <v>46.506352087114337</v>
      </c>
      <c r="BE963" s="65">
        <f t="shared" si="474"/>
        <v>46.341463414634148</v>
      </c>
      <c r="BF963" s="66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15.514237376585555</v>
      </c>
      <c r="BG963" s="38">
        <f t="shared" si="475"/>
        <v>0.63414634146341464</v>
      </c>
      <c r="BH963" s="38">
        <f t="shared" si="476"/>
        <v>0.17073170731707318</v>
      </c>
      <c r="BI963" s="67">
        <f>IFERROR(((AG963*(12000/5))/((F963*60+G963)*(SUMIFS(팀공격력!X:X,팀공격력!A:A,B963,팀공격력!B:B,D963)+SUMIFS(팀수비력!X:X,팀수비력!A:A,B963,팀수비력!B:B,D963))))*100,"")</f>
        <v>2.4317094917727164</v>
      </c>
      <c r="BJ963" s="67">
        <f>IFERROR(((AI963*(12000/5))/((F963*60+G963)*(SUMIFS(팀공격력!V:V,팀공격력!A:A,B963,팀공격력!B:B,D963)+SUMIFS(팀수비력!W:W,팀수비력!A:A,B963,팀수비력!B:B,D963))))*100,"")</f>
        <v>6.4186139805435767</v>
      </c>
      <c r="BK963" s="67">
        <f>IFERROR(((AE963*(12000/5))/((F963*60+G963)*(SUMIFS(팀공격력!X:X,팀공격력!A:A,B963,팀공격력!B:B,D963)+SUMIFS(팀수비력!X:X,팀수비력!A:A,B963,팀수비력!B:B,D963))))*100,"")</f>
        <v>5.6739888141363384</v>
      </c>
      <c r="BL963" s="67">
        <f>IFERROR(100*AK963/(((((F963*60+G963)/(12000/5))*SUMIFS(팀공격력!P:P,팀공격력!A:A,B963,팀공격력!B:B,D963))-K963)),"")</f>
        <v>2.1801335331789073</v>
      </c>
      <c r="BM963" s="67">
        <f>IFERROR(100*((AM963/E963*(2400))/((F963*60+G963)*SUMIFS(팀공격력!AR:AR,팀공격력!A:A,B963,팀공격력!B:B,D963))),"")</f>
        <v>0.87896198014020765</v>
      </c>
      <c r="BN963" s="67">
        <f>IFERROR((AO963*40)/(((F963*60+G963)/60)*(SUMIFS(팀수비력!Q:Q,팀수비력!A:A,B963,팀수비력!B:B,D963)-SUMIFS(팀수비력!N:N,팀수비력!A:A,B963,팀수비력!B:B,D963)))*100,"")</f>
        <v>0</v>
      </c>
      <c r="BO963" s="67">
        <f t="shared" si="477"/>
        <v>4.3402777777777777</v>
      </c>
      <c r="BT963" t="s">
        <v>89</v>
      </c>
      <c r="BV963" t="s">
        <v>90</v>
      </c>
      <c r="CF963">
        <v>5</v>
      </c>
      <c r="CG963">
        <v>3</v>
      </c>
    </row>
    <row r="964" spans="1:85" x14ac:dyDescent="0.4">
      <c r="A964" s="11" t="s">
        <v>85</v>
      </c>
      <c r="B964" t="s">
        <v>99</v>
      </c>
      <c r="C964" t="s">
        <v>104</v>
      </c>
      <c r="D964" s="46" t="s">
        <v>313</v>
      </c>
      <c r="E964">
        <v>2</v>
      </c>
      <c r="F964">
        <v>5</v>
      </c>
      <c r="G964" s="1">
        <v>10</v>
      </c>
      <c r="H964" s="16">
        <f t="shared" si="452"/>
        <v>620</v>
      </c>
      <c r="I964">
        <v>4</v>
      </c>
      <c r="J964" s="17">
        <f t="shared" si="453"/>
        <v>2</v>
      </c>
      <c r="K964">
        <v>2</v>
      </c>
      <c r="L964">
        <v>4</v>
      </c>
      <c r="M964" s="17">
        <f t="shared" si="454"/>
        <v>1</v>
      </c>
      <c r="N964" s="17">
        <f t="shared" si="455"/>
        <v>2</v>
      </c>
      <c r="O964" s="18">
        <f t="shared" si="456"/>
        <v>0.5</v>
      </c>
      <c r="P964">
        <v>2</v>
      </c>
      <c r="Q964">
        <v>4</v>
      </c>
      <c r="R964" s="17">
        <f t="shared" si="457"/>
        <v>1</v>
      </c>
      <c r="S964" s="17">
        <f t="shared" si="458"/>
        <v>2</v>
      </c>
      <c r="T964" s="18">
        <f t="shared" si="459"/>
        <v>0.5</v>
      </c>
      <c r="U964">
        <v>0</v>
      </c>
      <c r="V964">
        <v>0</v>
      </c>
      <c r="W964" s="17">
        <f t="shared" si="460"/>
        <v>0</v>
      </c>
      <c r="X964" s="17">
        <f t="shared" si="461"/>
        <v>0</v>
      </c>
      <c r="Y964" s="18" t="e">
        <f t="shared" si="462"/>
        <v>#DIV/0!</v>
      </c>
      <c r="Z964">
        <v>0</v>
      </c>
      <c r="AA964">
        <v>0</v>
      </c>
      <c r="AB964" s="17">
        <f t="shared" si="463"/>
        <v>0</v>
      </c>
      <c r="AC964" s="17">
        <f t="shared" si="464"/>
        <v>0</v>
      </c>
      <c r="AD964" s="18" t="e">
        <f t="shared" si="465"/>
        <v>#DIV/0!</v>
      </c>
      <c r="AE964">
        <v>1</v>
      </c>
      <c r="AF964" s="17">
        <f t="shared" si="466"/>
        <v>0.5</v>
      </c>
      <c r="AG964">
        <v>1</v>
      </c>
      <c r="AH964" s="17">
        <f t="shared" si="467"/>
        <v>0.5</v>
      </c>
      <c r="AI964">
        <v>0</v>
      </c>
      <c r="AJ964" s="17">
        <f t="shared" si="468"/>
        <v>0</v>
      </c>
      <c r="AK964">
        <v>1</v>
      </c>
      <c r="AL964" s="17">
        <f t="shared" si="469"/>
        <v>0.5</v>
      </c>
      <c r="AM964">
        <v>2</v>
      </c>
      <c r="AN964" s="17">
        <f t="shared" si="470"/>
        <v>1</v>
      </c>
      <c r="AO964">
        <v>0</v>
      </c>
      <c r="AQ964">
        <v>1</v>
      </c>
      <c r="AR964" s="17">
        <f t="shared" si="471"/>
        <v>0.5</v>
      </c>
      <c r="AS964">
        <v>3</v>
      </c>
      <c r="AT964" s="17">
        <f t="shared" si="472"/>
        <v>1.5</v>
      </c>
      <c r="BD964" s="65">
        <f t="shared" si="473"/>
        <v>50</v>
      </c>
      <c r="BE964" s="65">
        <f t="shared" si="474"/>
        <v>50</v>
      </c>
      <c r="BF964" s="66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5.5063552516863217</v>
      </c>
      <c r="BG964" s="38">
        <f t="shared" si="475"/>
        <v>0</v>
      </c>
      <c r="BH964" s="38">
        <f t="shared" si="476"/>
        <v>0</v>
      </c>
      <c r="BI964" s="67">
        <f>IFERROR(((AG964*(12000/5))/((F964*60+G964)*(SUMIFS(팀공격력!X:X,팀공격력!A:A,B964,팀공격력!B:B,D964)+SUMIFS(팀수비력!X:X,팀수비력!A:A,B964,팀수비력!B:B,D964))))*100,"")</f>
        <v>1.3256738842244808</v>
      </c>
      <c r="BJ964" s="67">
        <f>IFERROR(((AI964*(12000/5))/((F964*60+G964)*(SUMIFS(팀공격력!V:V,팀공격력!A:A,B964,팀공격력!B:B,D964)+SUMIFS(팀수비력!W:W,팀수비력!A:A,B964,팀수비력!B:B,D964))))*100,"")</f>
        <v>0</v>
      </c>
      <c r="BK964" s="67">
        <f>IFERROR(((AE964*(12000/5))/((F964*60+G964)*(SUMIFS(팀공격력!X:X,팀공격력!A:A,B964,팀공격력!B:B,D964)+SUMIFS(팀수비력!X:X,팀수비력!A:A,B964,팀수비력!B:B,D964))))*100,"")</f>
        <v>1.3256738842244808</v>
      </c>
      <c r="BL964" s="67">
        <f>IFERROR(100*AK964/(((((F964*60+G964)/(12000/5))*SUMIFS(팀공격력!P:P,팀공격력!A:A,B964,팀공격력!B:B,D964))-K964)),"")</f>
        <v>3.2323232323232323</v>
      </c>
      <c r="BM964" s="67">
        <f>IFERROR(100*((AM964/E964*(2400))/((F964*60+G964)*SUMIFS(팀공격력!AR:AR,팀공격력!A:A,B964,팀공격력!B:B,D964))),"")</f>
        <v>11.500225133705429</v>
      </c>
      <c r="BN964" s="67">
        <f>IFERROR((AO964*40)/(((F964*60+G964)/60)*(SUMIFS(팀수비력!Q:Q,팀수비력!A:A,B964,팀수비력!B:B,D964)-SUMIFS(팀수비력!N:N,팀수비력!A:A,B964,팀수비력!B:B,D964)))*100,"")</f>
        <v>0</v>
      </c>
      <c r="BO964" s="67">
        <f t="shared" si="477"/>
        <v>20</v>
      </c>
      <c r="BT964" t="s">
        <v>89</v>
      </c>
      <c r="BV964" t="s">
        <v>102</v>
      </c>
      <c r="CF964">
        <v>2</v>
      </c>
      <c r="CG964">
        <v>0</v>
      </c>
    </row>
    <row r="965" spans="1:85" x14ac:dyDescent="0.4">
      <c r="A965" s="11" t="s">
        <v>85</v>
      </c>
      <c r="B965" t="s">
        <v>99</v>
      </c>
      <c r="C965" t="s">
        <v>108</v>
      </c>
      <c r="D965" s="46" t="s">
        <v>313</v>
      </c>
      <c r="E965">
        <v>6</v>
      </c>
      <c r="F965">
        <v>7</v>
      </c>
      <c r="G965" s="1">
        <v>48</v>
      </c>
      <c r="H965" s="16">
        <f t="shared" si="452"/>
        <v>2808</v>
      </c>
      <c r="I965">
        <v>5</v>
      </c>
      <c r="J965" s="17">
        <f t="shared" si="453"/>
        <v>0.83333333333333337</v>
      </c>
      <c r="K965">
        <v>2</v>
      </c>
      <c r="L965">
        <v>12</v>
      </c>
      <c r="M965" s="17">
        <f t="shared" si="454"/>
        <v>0.33333333333333331</v>
      </c>
      <c r="N965" s="17">
        <f t="shared" si="455"/>
        <v>2</v>
      </c>
      <c r="O965" s="18">
        <f t="shared" si="456"/>
        <v>0.16666666666666666</v>
      </c>
      <c r="P965">
        <v>1</v>
      </c>
      <c r="Q965">
        <v>4</v>
      </c>
      <c r="R965" s="17">
        <f t="shared" si="457"/>
        <v>0.16666666666666666</v>
      </c>
      <c r="S965" s="17">
        <f t="shared" si="458"/>
        <v>0.66666666666666663</v>
      </c>
      <c r="T965" s="18">
        <f t="shared" si="459"/>
        <v>0.25</v>
      </c>
      <c r="U965">
        <v>1</v>
      </c>
      <c r="V965">
        <v>8</v>
      </c>
      <c r="W965" s="17">
        <f t="shared" si="460"/>
        <v>0.16666666666666666</v>
      </c>
      <c r="X965" s="17">
        <f t="shared" si="461"/>
        <v>1.3333333333333333</v>
      </c>
      <c r="Y965" s="18">
        <f t="shared" si="462"/>
        <v>0.125</v>
      </c>
      <c r="Z965">
        <v>0</v>
      </c>
      <c r="AA965">
        <v>0</v>
      </c>
      <c r="AB965" s="17">
        <f t="shared" si="463"/>
        <v>0</v>
      </c>
      <c r="AC965" s="17">
        <f t="shared" si="464"/>
        <v>0</v>
      </c>
      <c r="AD965" s="18" t="e">
        <f t="shared" si="465"/>
        <v>#DIV/0!</v>
      </c>
      <c r="AE965">
        <v>1</v>
      </c>
      <c r="AF965" s="17">
        <f t="shared" si="466"/>
        <v>0.16666666666666666</v>
      </c>
      <c r="AG965">
        <v>0</v>
      </c>
      <c r="AH965" s="17">
        <f t="shared" si="467"/>
        <v>0</v>
      </c>
      <c r="AI965">
        <v>1</v>
      </c>
      <c r="AJ965" s="17">
        <f t="shared" si="468"/>
        <v>0.16666666666666666</v>
      </c>
      <c r="AK965">
        <v>4</v>
      </c>
      <c r="AL965" s="17">
        <f t="shared" si="469"/>
        <v>0.66666666666666663</v>
      </c>
      <c r="AM965">
        <v>1</v>
      </c>
      <c r="AN965" s="17">
        <f t="shared" si="470"/>
        <v>0.16666666666666666</v>
      </c>
      <c r="AO965">
        <v>0</v>
      </c>
      <c r="AQ965">
        <v>0</v>
      </c>
      <c r="AR965" s="17">
        <f t="shared" si="471"/>
        <v>0</v>
      </c>
      <c r="AS965">
        <v>5</v>
      </c>
      <c r="AT965" s="17">
        <f t="shared" si="472"/>
        <v>0.83333333333333337</v>
      </c>
      <c r="BD965" s="65">
        <f t="shared" si="473"/>
        <v>20.833333333333336</v>
      </c>
      <c r="BE965" s="65">
        <f t="shared" si="474"/>
        <v>20.833333333333336</v>
      </c>
      <c r="BF965" s="66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8.7536929642192796</v>
      </c>
      <c r="BG965" s="38">
        <f t="shared" si="475"/>
        <v>0.66666666666666663</v>
      </c>
      <c r="BH965" s="38">
        <f t="shared" si="476"/>
        <v>0</v>
      </c>
      <c r="BI965" s="67">
        <f>IFERROR(((AG965*(12000/5))/((F965*60+G965)*(SUMIFS(팀공격력!X:X,팀공격력!A:A,B965,팀공격력!B:B,D965)+SUMIFS(팀수비력!X:X,팀수비력!A:A,B965,팀수비력!B:B,D965))))*100,"")</f>
        <v>0</v>
      </c>
      <c r="BJ965" s="67">
        <f>IFERROR(((AI965*(12000/5))/((F965*60+G965)*(SUMIFS(팀공격력!V:V,팀공격력!A:A,B965,팀공격력!B:B,D965)+SUMIFS(팀수비력!W:W,팀수비력!A:A,B965,팀수비력!B:B,D965))))*100,"")</f>
        <v>1.7383746197305519</v>
      </c>
      <c r="BK965" s="67">
        <f>IFERROR(((AE965*(12000/5))/((F965*60+G965)*(SUMIFS(팀공격력!X:X,팀공격력!A:A,B965,팀공격력!B:B,D965)+SUMIFS(팀수비력!X:X,팀수비력!A:A,B965,팀수비력!B:B,D965))))*100,"")</f>
        <v>0.8781173164734809</v>
      </c>
      <c r="BL965" s="67">
        <f>IFERROR(100*AK965/(((((F965*60+G965)/(12000/5))*SUMIFS(팀공격력!P:P,팀공격력!A:A,B965,팀공격력!B:B,D965))-K965)),"")</f>
        <v>8.3813514929282338</v>
      </c>
      <c r="BM965" s="67">
        <f>IFERROR(100*((AM965/E965*(2400))/((F965*60+G965)*SUMIFS(팀공격력!AR:AR,팀공격력!A:A,B965,팀공격력!B:B,D965))),"")</f>
        <v>1.2696117490914114</v>
      </c>
      <c r="BN965" s="67">
        <f>IFERROR((AO965*40)/(((F965*60+G965)/60)*(SUMIFS(팀수비력!Q:Q,팀수비력!A:A,B965,팀수비력!B:B,D965)-SUMIFS(팀수비력!N:N,팀수비력!A:A,B965,팀수비력!B:B,D965)))*100,"")</f>
        <v>0</v>
      </c>
      <c r="BO965" s="67">
        <f t="shared" si="477"/>
        <v>0</v>
      </c>
      <c r="BT965" t="s">
        <v>89</v>
      </c>
      <c r="BV965" t="s">
        <v>90</v>
      </c>
      <c r="CF965">
        <v>4</v>
      </c>
      <c r="CG965">
        <v>2</v>
      </c>
    </row>
    <row r="966" spans="1:85" x14ac:dyDescent="0.4">
      <c r="A966" s="11" t="s">
        <v>85</v>
      </c>
      <c r="B966" t="s">
        <v>99</v>
      </c>
      <c r="C966" t="s">
        <v>110</v>
      </c>
      <c r="D966" s="46" t="s">
        <v>313</v>
      </c>
      <c r="E966">
        <v>8</v>
      </c>
      <c r="F966">
        <v>10</v>
      </c>
      <c r="G966" s="1">
        <v>52</v>
      </c>
      <c r="H966" s="16">
        <f t="shared" si="452"/>
        <v>5216</v>
      </c>
      <c r="I966">
        <v>11</v>
      </c>
      <c r="J966" s="17">
        <f t="shared" si="453"/>
        <v>1.375</v>
      </c>
      <c r="K966">
        <v>4</v>
      </c>
      <c r="L966">
        <v>17</v>
      </c>
      <c r="M966" s="17">
        <f t="shared" si="454"/>
        <v>0.5</v>
      </c>
      <c r="N966" s="17">
        <f t="shared" si="455"/>
        <v>2.125</v>
      </c>
      <c r="O966" s="18">
        <f t="shared" si="456"/>
        <v>0.23529411764705882</v>
      </c>
      <c r="P966">
        <v>1</v>
      </c>
      <c r="Q966">
        <v>1</v>
      </c>
      <c r="R966" s="17">
        <f t="shared" si="457"/>
        <v>0.125</v>
      </c>
      <c r="S966" s="17">
        <f t="shared" si="458"/>
        <v>0.125</v>
      </c>
      <c r="T966" s="18">
        <f t="shared" si="459"/>
        <v>1</v>
      </c>
      <c r="U966">
        <v>3</v>
      </c>
      <c r="V966">
        <v>16</v>
      </c>
      <c r="W966" s="17">
        <f t="shared" si="460"/>
        <v>0.375</v>
      </c>
      <c r="X966" s="17">
        <f t="shared" si="461"/>
        <v>2</v>
      </c>
      <c r="Y966" s="18">
        <f t="shared" si="462"/>
        <v>0.1875</v>
      </c>
      <c r="Z966">
        <v>0</v>
      </c>
      <c r="AA966">
        <v>0</v>
      </c>
      <c r="AB966" s="17">
        <f t="shared" si="463"/>
        <v>0</v>
      </c>
      <c r="AC966" s="17">
        <f t="shared" si="464"/>
        <v>0</v>
      </c>
      <c r="AD966" s="18" t="e">
        <f t="shared" si="465"/>
        <v>#DIV/0!</v>
      </c>
      <c r="AE966">
        <v>6</v>
      </c>
      <c r="AF966" s="17">
        <f t="shared" si="466"/>
        <v>0.75</v>
      </c>
      <c r="AG966">
        <v>3</v>
      </c>
      <c r="AH966" s="17">
        <f t="shared" si="467"/>
        <v>0.375</v>
      </c>
      <c r="AI966">
        <v>3</v>
      </c>
      <c r="AJ966" s="17">
        <f t="shared" si="468"/>
        <v>0.375</v>
      </c>
      <c r="AK966">
        <v>1</v>
      </c>
      <c r="AL966" s="17">
        <f t="shared" si="469"/>
        <v>0.125</v>
      </c>
      <c r="AM966">
        <v>0</v>
      </c>
      <c r="AN966" s="17">
        <f t="shared" si="470"/>
        <v>0</v>
      </c>
      <c r="AO966">
        <v>0</v>
      </c>
      <c r="AQ966">
        <v>1</v>
      </c>
      <c r="AR966" s="17">
        <f t="shared" si="471"/>
        <v>0.125</v>
      </c>
      <c r="AS966">
        <v>9</v>
      </c>
      <c r="AT966" s="17">
        <f t="shared" si="472"/>
        <v>1.125</v>
      </c>
      <c r="BD966" s="65">
        <f t="shared" si="473"/>
        <v>32.352941176470587</v>
      </c>
      <c r="BE966" s="65">
        <f t="shared" si="474"/>
        <v>32.352941176470587</v>
      </c>
      <c r="BF966" s="66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9.4249884369354824</v>
      </c>
      <c r="BG966" s="38">
        <f t="shared" si="475"/>
        <v>0.94117647058823528</v>
      </c>
      <c r="BH966" s="38">
        <f t="shared" si="476"/>
        <v>0</v>
      </c>
      <c r="BI966" s="67">
        <f>IFERROR(((AG966*(12000/5))/((F966*60+G966)*(SUMIFS(팀공격력!X:X,팀공격력!A:A,B966,팀공격력!B:B,D966)+SUMIFS(팀수비력!X:X,팀수비력!A:A,B966,팀수비력!B:B,D966))))*100,"")</f>
        <v>1.8909152029582317</v>
      </c>
      <c r="BJ966" s="67">
        <f>IFERROR(((AI966*(12000/5))/((F966*60+G966)*(SUMIFS(팀공격력!V:V,팀공격력!A:A,B966,팀공격력!B:B,D966)+SUMIFS(팀수비력!W:W,팀수비력!A:A,B966,팀수비력!B:B,D966))))*100,"")</f>
        <v>3.743371113652906</v>
      </c>
      <c r="BK966" s="67">
        <f>IFERROR(((AE966*(12000/5))/((F966*60+G966)*(SUMIFS(팀공격력!X:X,팀공격력!A:A,B966,팀공격력!B:B,D966)+SUMIFS(팀수비력!X:X,팀수비력!A:A,B966,팀수비력!B:B,D966))))*100,"")</f>
        <v>3.7818304059164634</v>
      </c>
      <c r="BL966" s="67">
        <f>IFERROR(100*AK966/(((((F966*60+G966)/(12000/5))*SUMIFS(팀공격력!P:P,팀공격력!A:A,B966,팀공격력!B:B,D966))-K966)),"")</f>
        <v>1.5319800842589044</v>
      </c>
      <c r="BM966" s="67">
        <f>IFERROR(100*((AM966/E966*(2400))/((F966*60+G966)*SUMIFS(팀공격력!AR:AR,팀공격력!A:A,B966,팀공격력!B:B,D966))),"")</f>
        <v>0</v>
      </c>
      <c r="BN966" s="67">
        <f>IFERROR((AO966*40)/(((F966*60+G966)/60)*(SUMIFS(팀수비력!Q:Q,팀수비력!A:A,B966,팀수비력!B:B,D966)-SUMIFS(팀수비력!N:N,팀수비력!A:A,B966,팀수비력!B:B,D966)))*100,"")</f>
        <v>0</v>
      </c>
      <c r="BO966" s="67">
        <f t="shared" si="477"/>
        <v>5.5555555555555554</v>
      </c>
      <c r="BT966" t="s">
        <v>89</v>
      </c>
      <c r="BV966" t="s">
        <v>90</v>
      </c>
      <c r="CF966">
        <v>5</v>
      </c>
      <c r="CG966">
        <v>3</v>
      </c>
    </row>
    <row r="967" spans="1:85" x14ac:dyDescent="0.4">
      <c r="A967" s="11" t="s">
        <v>85</v>
      </c>
      <c r="B967" t="s">
        <v>99</v>
      </c>
      <c r="C967" t="s">
        <v>111</v>
      </c>
      <c r="D967" s="46" t="s">
        <v>313</v>
      </c>
      <c r="E967">
        <v>1</v>
      </c>
      <c r="F967">
        <v>4</v>
      </c>
      <c r="G967" s="1">
        <v>35</v>
      </c>
      <c r="H967" s="16">
        <f t="shared" si="452"/>
        <v>275</v>
      </c>
      <c r="I967">
        <v>0</v>
      </c>
      <c r="J967" s="17">
        <f t="shared" si="453"/>
        <v>0</v>
      </c>
      <c r="K967">
        <v>0</v>
      </c>
      <c r="L967">
        <v>0</v>
      </c>
      <c r="M967" s="17">
        <f t="shared" si="454"/>
        <v>0</v>
      </c>
      <c r="N967" s="17">
        <f t="shared" si="455"/>
        <v>0</v>
      </c>
      <c r="O967" s="18" t="e">
        <f t="shared" si="456"/>
        <v>#DIV/0!</v>
      </c>
      <c r="P967">
        <v>0</v>
      </c>
      <c r="Q967">
        <v>0</v>
      </c>
      <c r="R967" s="17">
        <f t="shared" si="457"/>
        <v>0</v>
      </c>
      <c r="S967" s="17">
        <f t="shared" si="458"/>
        <v>0</v>
      </c>
      <c r="T967" s="18" t="e">
        <f t="shared" si="459"/>
        <v>#DIV/0!</v>
      </c>
      <c r="U967">
        <v>0</v>
      </c>
      <c r="V967">
        <v>0</v>
      </c>
      <c r="W967" s="17">
        <f t="shared" si="460"/>
        <v>0</v>
      </c>
      <c r="X967" s="17">
        <f t="shared" si="461"/>
        <v>0</v>
      </c>
      <c r="Y967" s="18" t="e">
        <f t="shared" si="462"/>
        <v>#DIV/0!</v>
      </c>
      <c r="Z967">
        <v>0</v>
      </c>
      <c r="AA967">
        <v>0</v>
      </c>
      <c r="AB967" s="17">
        <f t="shared" si="463"/>
        <v>0</v>
      </c>
      <c r="AC967" s="17">
        <f t="shared" si="464"/>
        <v>0</v>
      </c>
      <c r="AD967" s="18" t="e">
        <f t="shared" si="465"/>
        <v>#DIV/0!</v>
      </c>
      <c r="AE967">
        <v>3</v>
      </c>
      <c r="AF967" s="17">
        <f t="shared" si="466"/>
        <v>3</v>
      </c>
      <c r="AG967">
        <v>0</v>
      </c>
      <c r="AH967" s="17">
        <f t="shared" si="467"/>
        <v>0</v>
      </c>
      <c r="AI967">
        <v>3</v>
      </c>
      <c r="AJ967" s="17">
        <f t="shared" si="468"/>
        <v>3</v>
      </c>
      <c r="AK967">
        <v>0</v>
      </c>
      <c r="AL967" s="17">
        <f t="shared" si="469"/>
        <v>0</v>
      </c>
      <c r="AM967">
        <v>0</v>
      </c>
      <c r="AN967" s="17">
        <f t="shared" si="470"/>
        <v>0</v>
      </c>
      <c r="AO967">
        <v>0</v>
      </c>
      <c r="AQ967">
        <v>0</v>
      </c>
      <c r="AR967" s="17">
        <f t="shared" si="471"/>
        <v>0</v>
      </c>
      <c r="AS967">
        <v>0</v>
      </c>
      <c r="AT967" s="17">
        <f t="shared" si="472"/>
        <v>0</v>
      </c>
      <c r="BD967" s="65" t="str">
        <f t="shared" si="473"/>
        <v/>
      </c>
      <c r="BE967" s="65" t="str">
        <f t="shared" si="474"/>
        <v/>
      </c>
      <c r="BF967" s="66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0</v>
      </c>
      <c r="BG967" s="38" t="str">
        <f t="shared" si="475"/>
        <v/>
      </c>
      <c r="BH967" s="38" t="str">
        <f t="shared" si="476"/>
        <v/>
      </c>
      <c r="BI967" s="67">
        <f>IFERROR(((AG967*(12000/5))/((F967*60+G967)*(SUMIFS(팀공격력!X:X,팀공격력!A:A,B967,팀공격력!B:B,D967)+SUMIFS(팀수비력!X:X,팀수비력!A:A,B967,팀수비력!B:B,D967))))*100,"")</f>
        <v>0</v>
      </c>
      <c r="BJ967" s="67">
        <f>IFERROR(((AI967*(12000/5))/((F967*60+G967)*(SUMIFS(팀공격력!V:V,팀공격력!A:A,B967,팀공격력!B:B,D967)+SUMIFS(팀수비력!W:W,팀수비력!A:A,B967,팀수비력!B:B,D967))))*100,"")</f>
        <v>8.8751926040061626</v>
      </c>
      <c r="BK967" s="67">
        <f>IFERROR(((AE967*(12000/5))/((F967*60+G967)*(SUMIFS(팀공격력!X:X,팀공격력!A:A,B967,팀공격력!B:B,D967)+SUMIFS(팀수비력!X:X,팀수비력!A:A,B967,팀수비력!B:B,D967))))*100,"")</f>
        <v>4.4831880448318806</v>
      </c>
      <c r="BL967" s="67">
        <f>IFERROR(100*AK967/(((((F967*60+G967)/(12000/5))*SUMIFS(팀공격력!P:P,팀공격력!A:A,B967,팀공격력!B:B,D967))-K967)),"")</f>
        <v>0</v>
      </c>
      <c r="BM967" s="67">
        <f>IFERROR(100*((AM967/E967*(2400))/((F967*60+G967)*SUMIFS(팀공격력!AR:AR,팀공격력!A:A,B967,팀공격력!B:B,D967))),"")</f>
        <v>0</v>
      </c>
      <c r="BN967" s="67">
        <f>IFERROR((AO967*40)/(((F967*60+G967)/60)*(SUMIFS(팀수비력!Q:Q,팀수비력!A:A,B967,팀수비력!B:B,D967)-SUMIFS(팀수비력!N:N,팀수비력!A:A,B967,팀수비력!B:B,D967)))*100,"")</f>
        <v>0</v>
      </c>
      <c r="BO967" s="67" t="str">
        <f t="shared" si="477"/>
        <v/>
      </c>
      <c r="BT967" t="s">
        <v>89</v>
      </c>
      <c r="BV967" t="s">
        <v>93</v>
      </c>
      <c r="CF967">
        <v>0</v>
      </c>
      <c r="CG967">
        <v>1</v>
      </c>
    </row>
    <row r="968" spans="1:85" x14ac:dyDescent="0.4">
      <c r="A968" s="11" t="s">
        <v>85</v>
      </c>
      <c r="B968" t="s">
        <v>99</v>
      </c>
      <c r="C968" t="s">
        <v>112</v>
      </c>
      <c r="D968" s="46" t="s">
        <v>313</v>
      </c>
      <c r="E968">
        <v>1</v>
      </c>
      <c r="F968">
        <v>3</v>
      </c>
      <c r="G968" s="1">
        <v>3</v>
      </c>
      <c r="H968" s="16">
        <f t="shared" si="452"/>
        <v>183</v>
      </c>
      <c r="I968">
        <v>2</v>
      </c>
      <c r="J968" s="17">
        <f t="shared" si="453"/>
        <v>2</v>
      </c>
      <c r="K968">
        <v>0</v>
      </c>
      <c r="L968">
        <v>2</v>
      </c>
      <c r="M968" s="17">
        <f t="shared" si="454"/>
        <v>0</v>
      </c>
      <c r="N968" s="17">
        <f t="shared" si="455"/>
        <v>2</v>
      </c>
      <c r="O968" s="18">
        <f t="shared" si="456"/>
        <v>0</v>
      </c>
      <c r="P968">
        <v>0</v>
      </c>
      <c r="Q968">
        <v>2</v>
      </c>
      <c r="R968" s="17">
        <f t="shared" si="457"/>
        <v>0</v>
      </c>
      <c r="S968" s="17">
        <f t="shared" si="458"/>
        <v>2</v>
      </c>
      <c r="T968" s="18">
        <f t="shared" si="459"/>
        <v>0</v>
      </c>
      <c r="U968">
        <v>0</v>
      </c>
      <c r="V968">
        <v>0</v>
      </c>
      <c r="W968" s="17">
        <f t="shared" si="460"/>
        <v>0</v>
      </c>
      <c r="X968" s="17">
        <f t="shared" si="461"/>
        <v>0</v>
      </c>
      <c r="Y968" s="18" t="e">
        <f t="shared" si="462"/>
        <v>#DIV/0!</v>
      </c>
      <c r="Z968">
        <v>2</v>
      </c>
      <c r="AA968">
        <v>2</v>
      </c>
      <c r="AB968" s="17">
        <f t="shared" si="463"/>
        <v>2</v>
      </c>
      <c r="AC968" s="17">
        <f t="shared" si="464"/>
        <v>2</v>
      </c>
      <c r="AD968" s="18">
        <f t="shared" si="465"/>
        <v>1</v>
      </c>
      <c r="AE968">
        <v>0</v>
      </c>
      <c r="AF968" s="17">
        <f t="shared" si="466"/>
        <v>0</v>
      </c>
      <c r="AG968">
        <v>0</v>
      </c>
      <c r="AH968" s="17">
        <f t="shared" si="467"/>
        <v>0</v>
      </c>
      <c r="AI968">
        <v>0</v>
      </c>
      <c r="AJ968" s="17">
        <f t="shared" si="468"/>
        <v>0</v>
      </c>
      <c r="AK968">
        <v>0</v>
      </c>
      <c r="AL968" s="17">
        <f t="shared" si="469"/>
        <v>0</v>
      </c>
      <c r="AM968">
        <v>1</v>
      </c>
      <c r="AN968" s="17">
        <f t="shared" si="470"/>
        <v>1</v>
      </c>
      <c r="AO968">
        <v>0</v>
      </c>
      <c r="AQ968">
        <v>0</v>
      </c>
      <c r="AR968" s="17">
        <f t="shared" si="471"/>
        <v>0</v>
      </c>
      <c r="AS968">
        <v>0</v>
      </c>
      <c r="AT968" s="17">
        <f t="shared" si="472"/>
        <v>0</v>
      </c>
      <c r="BD968" s="65">
        <f t="shared" si="473"/>
        <v>34.722222222222221</v>
      </c>
      <c r="BE968" s="65">
        <f t="shared" si="474"/>
        <v>0</v>
      </c>
      <c r="BF968" s="66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5.3727584357437683</v>
      </c>
      <c r="BG968" s="38">
        <f t="shared" si="475"/>
        <v>0</v>
      </c>
      <c r="BH968" s="38">
        <f t="shared" si="476"/>
        <v>1</v>
      </c>
      <c r="BI968" s="67">
        <f>IFERROR(((AG968*(12000/5))/((F968*60+G968)*(SUMIFS(팀공격력!X:X,팀공격력!A:A,B968,팀공격력!B:B,D968)+SUMIFS(팀수비력!X:X,팀수비력!A:A,B968,팀수비력!B:B,D968))))*100,"")</f>
        <v>0</v>
      </c>
      <c r="BJ968" s="67">
        <f>IFERROR(((AI968*(12000/5))/((F968*60+G968)*(SUMIFS(팀공격력!V:V,팀공격력!A:A,B968,팀공격력!B:B,D968)+SUMIFS(팀수비력!W:W,팀수비력!A:A,B968,팀수비력!B:B,D968))))*100,"")</f>
        <v>0</v>
      </c>
      <c r="BK968" s="67">
        <f>IFERROR(((AE968*(12000/5))/((F968*60+G968)*(SUMIFS(팀공격력!X:X,팀공격력!A:A,B968,팀공격력!B:B,D968)+SUMIFS(팀수비력!X:X,팀수비력!A:A,B968,팀수비력!B:B,D968))))*100,"")</f>
        <v>0</v>
      </c>
      <c r="BL968" s="67">
        <f>IFERROR(100*AK968/(((((F968*60+G968)/(12000/5))*SUMIFS(팀공격력!P:P,팀공격력!A:A,B968,팀공격력!B:B,D968))-K968)),"")</f>
        <v>0</v>
      </c>
      <c r="BM968" s="67">
        <f>IFERROR(100*((AM968/E968*(2400))/((F968*60+G968)*SUMIFS(팀공격력!AR:AR,팀공격력!A:A,B968,팀공격력!B:B,D968))),"")</f>
        <v>19.481255690976411</v>
      </c>
      <c r="BN968" s="67">
        <f>IFERROR((AO968*40)/(((F968*60+G968)/60)*(SUMIFS(팀수비력!Q:Q,팀수비력!A:A,B968,팀수비력!B:B,D968)-SUMIFS(팀수비력!N:N,팀수비력!A:A,B968,팀수비력!B:B,D968)))*100,"")</f>
        <v>0</v>
      </c>
      <c r="BO968" s="67">
        <f t="shared" si="477"/>
        <v>0</v>
      </c>
      <c r="BT968" t="s">
        <v>113</v>
      </c>
      <c r="BV968" t="s">
        <v>90</v>
      </c>
      <c r="CF968">
        <v>0</v>
      </c>
      <c r="CG968">
        <v>1</v>
      </c>
    </row>
    <row r="969" spans="1:85" x14ac:dyDescent="0.4">
      <c r="A969" s="11" t="s">
        <v>85</v>
      </c>
      <c r="B969" t="s">
        <v>99</v>
      </c>
      <c r="C969" s="11" t="s">
        <v>114</v>
      </c>
      <c r="D969" s="46" t="s">
        <v>313</v>
      </c>
      <c r="E969">
        <v>8</v>
      </c>
      <c r="F969">
        <v>40</v>
      </c>
      <c r="G969" s="1">
        <v>17</v>
      </c>
      <c r="H969" s="16">
        <f t="shared" si="452"/>
        <v>19336</v>
      </c>
      <c r="I969">
        <v>246</v>
      </c>
      <c r="J969" s="17">
        <f t="shared" si="453"/>
        <v>30.75</v>
      </c>
      <c r="K969">
        <v>87</v>
      </c>
      <c r="L969">
        <v>167</v>
      </c>
      <c r="M969" s="17">
        <f t="shared" si="454"/>
        <v>10.875</v>
      </c>
      <c r="N969" s="17">
        <f t="shared" si="455"/>
        <v>20.875</v>
      </c>
      <c r="O969" s="18">
        <f t="shared" si="456"/>
        <v>0.52095808383233533</v>
      </c>
      <c r="P969">
        <v>55</v>
      </c>
      <c r="Q969">
        <v>90</v>
      </c>
      <c r="R969" s="17">
        <f t="shared" si="457"/>
        <v>6.875</v>
      </c>
      <c r="S969" s="17">
        <f t="shared" si="458"/>
        <v>11.25</v>
      </c>
      <c r="T969" s="18">
        <f t="shared" si="459"/>
        <v>0.61111111111111116</v>
      </c>
      <c r="U969">
        <v>32</v>
      </c>
      <c r="V969">
        <v>77</v>
      </c>
      <c r="W969" s="17">
        <f t="shared" si="460"/>
        <v>4</v>
      </c>
      <c r="X969" s="17">
        <f t="shared" si="461"/>
        <v>9.625</v>
      </c>
      <c r="Y969" s="18">
        <f t="shared" si="462"/>
        <v>0.41558441558441561</v>
      </c>
      <c r="Z969">
        <v>40</v>
      </c>
      <c r="AA969">
        <v>49</v>
      </c>
      <c r="AB969" s="17">
        <f t="shared" si="463"/>
        <v>5</v>
      </c>
      <c r="AC969" s="17">
        <f t="shared" si="464"/>
        <v>6.125</v>
      </c>
      <c r="AD969" s="18">
        <f t="shared" si="465"/>
        <v>0.81632653061224492</v>
      </c>
      <c r="AE969">
        <v>25</v>
      </c>
      <c r="AF969" s="17">
        <f t="shared" si="466"/>
        <v>3.125</v>
      </c>
      <c r="AG969">
        <v>5</v>
      </c>
      <c r="AH969" s="17">
        <f t="shared" si="467"/>
        <v>0.625</v>
      </c>
      <c r="AI969">
        <v>20</v>
      </c>
      <c r="AJ969" s="17">
        <f t="shared" si="468"/>
        <v>2.5</v>
      </c>
      <c r="AK969">
        <v>57</v>
      </c>
      <c r="AL969" s="17">
        <f t="shared" si="469"/>
        <v>7.125</v>
      </c>
      <c r="AM969">
        <v>24</v>
      </c>
      <c r="AN969" s="17">
        <f t="shared" si="470"/>
        <v>3</v>
      </c>
      <c r="AO969">
        <v>2</v>
      </c>
      <c r="AQ969">
        <v>25</v>
      </c>
      <c r="AR969" s="17">
        <f t="shared" si="471"/>
        <v>3.125</v>
      </c>
      <c r="AS969">
        <v>24</v>
      </c>
      <c r="AT969" s="17">
        <f t="shared" si="472"/>
        <v>3</v>
      </c>
      <c r="BD969" s="65">
        <f t="shared" si="473"/>
        <v>65.231226134917264</v>
      </c>
      <c r="BE969" s="65">
        <f t="shared" si="474"/>
        <v>61.676646706586823</v>
      </c>
      <c r="BF969" s="66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30.164711670710844</v>
      </c>
      <c r="BG969" s="38">
        <f t="shared" si="475"/>
        <v>0.46107784431137727</v>
      </c>
      <c r="BH969" s="38">
        <f t="shared" si="476"/>
        <v>0.29341317365269459</v>
      </c>
      <c r="BI969" s="67">
        <f>IFERROR(((AG969*(12000/5))/((F969*60+G969)*(SUMIFS(팀공격력!X:X,팀공격력!A:A,B969,팀공격력!B:B,D969)+SUMIFS(팀수비력!X:X,팀수비력!A:A,B969,팀수비력!B:B,D969))))*100,"")</f>
        <v>0.85014254056596827</v>
      </c>
      <c r="BJ969" s="67">
        <f>IFERROR(((AI969*(12000/5))/((F969*60+G969)*(SUMIFS(팀공격력!V:V,팀공격력!A:A,B969,팀공격력!B:B,D969)+SUMIFS(팀수비력!W:W,팀수비력!A:A,B969,팀수비력!B:B,D969))))*100,"")</f>
        <v>6.7319761856342435</v>
      </c>
      <c r="BK969" s="67">
        <f>IFERROR(((AE969*(12000/5))/((F969*60+G969)*(SUMIFS(팀공격력!X:X,팀공격력!A:A,B969,팀공격력!B:B,D969)+SUMIFS(팀수비력!X:X,팀수비력!A:A,B969,팀수비력!B:B,D969))))*100,"")</f>
        <v>4.2507127028298415</v>
      </c>
      <c r="BL969" s="67">
        <f>IFERROR(100*AK969/(((((F969*60+G969)/(12000/5))*SUMIFS(팀공격력!P:P,팀공격력!A:A,B969,팀공격력!B:B,D969))-K969)),"")</f>
        <v>33.567669034561455</v>
      </c>
      <c r="BM969" s="67">
        <f>IFERROR(100*((AM969/E969*(2400))/((F969*60+G969)*SUMIFS(팀공격력!AR:AR,팀공격력!A:A,B969,팀공격력!B:B,D969))),"")</f>
        <v>4.4249935351038685</v>
      </c>
      <c r="BN969" s="67">
        <f>IFERROR((AO969*40)/(((F969*60+G969)/60)*(SUMIFS(팀수비력!Q:Q,팀수비력!A:A,B969,팀수비력!B:B,D969)-SUMIFS(팀수비력!N:N,팀수비력!A:A,B969,팀수비력!B:B,D969)))*100,"")</f>
        <v>0.60362704400063882</v>
      </c>
      <c r="BO969" s="67">
        <f t="shared" si="477"/>
        <v>11.706312043453829</v>
      </c>
      <c r="BT969" t="s">
        <v>89</v>
      </c>
      <c r="BV969" t="s">
        <v>90</v>
      </c>
      <c r="CF969">
        <v>5</v>
      </c>
      <c r="CG969">
        <v>3</v>
      </c>
    </row>
    <row r="970" spans="1:85" x14ac:dyDescent="0.4">
      <c r="A970" s="11" t="s">
        <v>85</v>
      </c>
      <c r="B970" t="s">
        <v>99</v>
      </c>
      <c r="C970" t="s">
        <v>115</v>
      </c>
      <c r="D970" s="46" t="s">
        <v>313</v>
      </c>
      <c r="E970">
        <v>6</v>
      </c>
      <c r="F970">
        <v>1</v>
      </c>
      <c r="G970" s="1">
        <v>54</v>
      </c>
      <c r="H970" s="16">
        <f t="shared" si="452"/>
        <v>684</v>
      </c>
      <c r="I970">
        <v>0</v>
      </c>
      <c r="J970" s="17">
        <f t="shared" si="453"/>
        <v>0</v>
      </c>
      <c r="K970">
        <v>0</v>
      </c>
      <c r="L970">
        <v>2</v>
      </c>
      <c r="M970" s="17">
        <f t="shared" si="454"/>
        <v>0</v>
      </c>
      <c r="N970" s="17">
        <f t="shared" si="455"/>
        <v>0.33333333333333331</v>
      </c>
      <c r="O970" s="18">
        <f t="shared" si="456"/>
        <v>0</v>
      </c>
      <c r="P970">
        <v>0</v>
      </c>
      <c r="Q970">
        <v>1</v>
      </c>
      <c r="R970" s="17">
        <f t="shared" si="457"/>
        <v>0</v>
      </c>
      <c r="S970" s="17">
        <f t="shared" si="458"/>
        <v>0.16666666666666666</v>
      </c>
      <c r="T970" s="18">
        <f t="shared" si="459"/>
        <v>0</v>
      </c>
      <c r="U970">
        <v>0</v>
      </c>
      <c r="V970">
        <v>1</v>
      </c>
      <c r="W970" s="17">
        <f t="shared" si="460"/>
        <v>0</v>
      </c>
      <c r="X970" s="17">
        <f t="shared" si="461"/>
        <v>0.16666666666666666</v>
      </c>
      <c r="Y970" s="18">
        <f t="shared" si="462"/>
        <v>0</v>
      </c>
      <c r="Z970">
        <v>0</v>
      </c>
      <c r="AA970">
        <v>0</v>
      </c>
      <c r="AB970" s="17">
        <f t="shared" si="463"/>
        <v>0</v>
      </c>
      <c r="AC970" s="17">
        <f t="shared" si="464"/>
        <v>0</v>
      </c>
      <c r="AD970" s="18" t="e">
        <f t="shared" si="465"/>
        <v>#DIV/0!</v>
      </c>
      <c r="AE970">
        <v>3</v>
      </c>
      <c r="AF970" s="17">
        <f t="shared" si="466"/>
        <v>0.5</v>
      </c>
      <c r="AG970">
        <v>3</v>
      </c>
      <c r="AH970" s="17">
        <f t="shared" si="467"/>
        <v>0.5</v>
      </c>
      <c r="AI970">
        <v>0</v>
      </c>
      <c r="AJ970" s="17">
        <f t="shared" si="468"/>
        <v>0</v>
      </c>
      <c r="AK970">
        <v>0</v>
      </c>
      <c r="AL970" s="17">
        <f t="shared" si="469"/>
        <v>0</v>
      </c>
      <c r="AM970">
        <v>0</v>
      </c>
      <c r="AN970" s="17">
        <f t="shared" si="470"/>
        <v>0</v>
      </c>
      <c r="AO970">
        <v>0</v>
      </c>
      <c r="AQ970">
        <v>1</v>
      </c>
      <c r="AR970" s="17">
        <f t="shared" si="471"/>
        <v>0.16666666666666666</v>
      </c>
      <c r="AS970">
        <v>2</v>
      </c>
      <c r="AT970" s="17">
        <f t="shared" si="472"/>
        <v>0.33333333333333331</v>
      </c>
      <c r="BD970" s="65">
        <f t="shared" si="473"/>
        <v>0</v>
      </c>
      <c r="BE970" s="65">
        <f t="shared" si="474"/>
        <v>0</v>
      </c>
      <c r="BF970" s="66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8.984053305382945</v>
      </c>
      <c r="BG970" s="38">
        <f t="shared" si="475"/>
        <v>0.5</v>
      </c>
      <c r="BH970" s="38">
        <f t="shared" si="476"/>
        <v>0</v>
      </c>
      <c r="BI970" s="67">
        <f>IFERROR(((AG970*(12000/5))/((F970*60+G970)*(SUMIFS(팀공격력!X:X,팀공격력!A:A,B970,팀공격력!B:B,D970)+SUMIFS(팀수비력!X:X,팀수비력!A:A,B970,팀수비력!B:B,D970))))*100,"")</f>
        <v>10.814708002883922</v>
      </c>
      <c r="BJ970" s="67">
        <f>IFERROR(((AI970*(12000/5))/((F970*60+G970)*(SUMIFS(팀공격력!V:V,팀공격력!A:A,B970,팀공격력!B:B,D970)+SUMIFS(팀수비력!W:W,팀수비력!A:A,B970,팀수비력!B:B,D970))))*100,"")</f>
        <v>0</v>
      </c>
      <c r="BK970" s="67">
        <f>IFERROR(((AE970*(12000/5))/((F970*60+G970)*(SUMIFS(팀공격력!X:X,팀공격력!A:A,B970,팀공격력!B:B,D970)+SUMIFS(팀수비력!X:X,팀수비력!A:A,B970,팀수비력!B:B,D970))))*100,"")</f>
        <v>10.814708002883922</v>
      </c>
      <c r="BL970" s="67">
        <f>IFERROR(100*AK970/(((((F970*60+G970)/(12000/5))*SUMIFS(팀공격력!P:P,팀공격력!A:A,B970,팀공격력!B:B,D970))-K970)),"")</f>
        <v>0</v>
      </c>
      <c r="BM970" s="67">
        <f>IFERROR(100*((AM970/E970*(2400))/((F970*60+G970)*SUMIFS(팀공격력!AR:AR,팀공격력!A:A,B970,팀공격력!B:B,D970))),"")</f>
        <v>0</v>
      </c>
      <c r="BN970" s="67">
        <f>IFERROR((AO970*40)/(((F970*60+G970)/60)*(SUMIFS(팀수비력!Q:Q,팀수비력!A:A,B970,팀수비력!B:B,D970)-SUMIFS(팀수비력!N:N,팀수비력!A:A,B970,팀수비력!B:B,D970)))*100,"")</f>
        <v>0</v>
      </c>
      <c r="BO970" s="67">
        <f t="shared" si="477"/>
        <v>33.333333333333336</v>
      </c>
      <c r="BT970" t="s">
        <v>89</v>
      </c>
      <c r="BV970" t="s">
        <v>93</v>
      </c>
      <c r="CF970">
        <v>5</v>
      </c>
      <c r="CG970">
        <v>1</v>
      </c>
    </row>
    <row r="971" spans="1:85" x14ac:dyDescent="0.4">
      <c r="A971" s="11" t="s">
        <v>85</v>
      </c>
      <c r="B971" t="s">
        <v>99</v>
      </c>
      <c r="C971" t="s">
        <v>117</v>
      </c>
      <c r="D971" s="46" t="s">
        <v>313</v>
      </c>
      <c r="E971">
        <v>5</v>
      </c>
      <c r="F971">
        <v>27</v>
      </c>
      <c r="G971" s="1">
        <v>8</v>
      </c>
      <c r="H971" s="16">
        <f t="shared" si="452"/>
        <v>8140</v>
      </c>
      <c r="I971">
        <v>40</v>
      </c>
      <c r="J971" s="17">
        <f t="shared" si="453"/>
        <v>8</v>
      </c>
      <c r="K971">
        <v>16</v>
      </c>
      <c r="L971">
        <v>51</v>
      </c>
      <c r="M971" s="17">
        <f t="shared" si="454"/>
        <v>3.2</v>
      </c>
      <c r="N971" s="17">
        <f t="shared" si="455"/>
        <v>10.199999999999999</v>
      </c>
      <c r="O971" s="18">
        <f t="shared" si="456"/>
        <v>0.31372549019607843</v>
      </c>
      <c r="P971">
        <v>9</v>
      </c>
      <c r="Q971">
        <v>15</v>
      </c>
      <c r="R971" s="17">
        <f t="shared" si="457"/>
        <v>1.8</v>
      </c>
      <c r="S971" s="17">
        <f t="shared" si="458"/>
        <v>3</v>
      </c>
      <c r="T971" s="18">
        <f t="shared" si="459"/>
        <v>0.6</v>
      </c>
      <c r="U971">
        <v>7</v>
      </c>
      <c r="V971">
        <v>36</v>
      </c>
      <c r="W971" s="17">
        <f t="shared" si="460"/>
        <v>1.4</v>
      </c>
      <c r="X971" s="17">
        <f t="shared" si="461"/>
        <v>7.2</v>
      </c>
      <c r="Y971" s="18">
        <f t="shared" si="462"/>
        <v>0.19444444444444445</v>
      </c>
      <c r="Z971">
        <v>1</v>
      </c>
      <c r="AA971">
        <v>2</v>
      </c>
      <c r="AB971" s="17">
        <f t="shared" si="463"/>
        <v>0.2</v>
      </c>
      <c r="AC971" s="17">
        <f t="shared" si="464"/>
        <v>0.4</v>
      </c>
      <c r="AD971" s="18">
        <f t="shared" si="465"/>
        <v>0.5</v>
      </c>
      <c r="AE971">
        <v>8</v>
      </c>
      <c r="AF971" s="17">
        <f t="shared" si="466"/>
        <v>1.6</v>
      </c>
      <c r="AG971">
        <v>4</v>
      </c>
      <c r="AH971" s="17">
        <f t="shared" si="467"/>
        <v>0.8</v>
      </c>
      <c r="AI971">
        <v>4</v>
      </c>
      <c r="AJ971" s="17">
        <f t="shared" si="468"/>
        <v>0.8</v>
      </c>
      <c r="AK971">
        <v>7</v>
      </c>
      <c r="AL971" s="17">
        <f t="shared" si="469"/>
        <v>1.4</v>
      </c>
      <c r="AM971">
        <v>2</v>
      </c>
      <c r="AN971" s="17">
        <f t="shared" si="470"/>
        <v>0.4</v>
      </c>
      <c r="AO971">
        <v>0</v>
      </c>
      <c r="AQ971">
        <v>4</v>
      </c>
      <c r="AR971" s="17">
        <f t="shared" si="471"/>
        <v>0.8</v>
      </c>
      <c r="AS971">
        <v>3</v>
      </c>
      <c r="AT971" s="17">
        <f t="shared" si="472"/>
        <v>0.6</v>
      </c>
      <c r="BD971" s="65">
        <f t="shared" si="473"/>
        <v>38.550501156515033</v>
      </c>
      <c r="BE971" s="65">
        <f t="shared" si="474"/>
        <v>38.235294117647058</v>
      </c>
      <c r="BF971" s="66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11.718119257237323</v>
      </c>
      <c r="BG971" s="38">
        <f t="shared" si="475"/>
        <v>0.70588235294117652</v>
      </c>
      <c r="BH971" s="38">
        <f t="shared" si="476"/>
        <v>3.9215686274509803E-2</v>
      </c>
      <c r="BI971" s="67">
        <f>IFERROR(((AG971*(12000/5))/((F971*60+G971)*(SUMIFS(팀공격력!X:X,팀공격력!A:A,B971,팀공격력!B:B,D971)+SUMIFS(팀수비력!X:X,팀수비력!A:A,B971,팀수비력!B:B,D971))))*100,"")</f>
        <v>1.0097270371242975</v>
      </c>
      <c r="BJ971" s="67">
        <f>IFERROR(((AI971*(12000/5))/((F971*60+G971)*(SUMIFS(팀공격력!V:V,팀공격력!A:A,B971,팀공격력!B:B,D971)+SUMIFS(팀수비력!W:W,팀수비력!A:A,B971,팀수비력!B:B,D971))))*100,"")</f>
        <v>1.9989172531545412</v>
      </c>
      <c r="BK971" s="67">
        <f>IFERROR(((AE971*(12000/5))/((F971*60+G971)*(SUMIFS(팀공격력!X:X,팀공격력!A:A,B971,팀공격력!B:B,D971)+SUMIFS(팀수비력!X:X,팀수비력!A:A,B971,팀수비력!B:B,D971))))*100,"")</f>
        <v>2.0194540742485949</v>
      </c>
      <c r="BL971" s="67">
        <f>IFERROR(100*AK971/(((((F971*60+G971)/(12000/5))*SUMIFS(팀공격력!P:P,팀공격력!A:A,B971,팀공격력!B:B,D971))-K971)),"")</f>
        <v>4.4593088071348941</v>
      </c>
      <c r="BM971" s="67">
        <f>IFERROR(100*((AM971/E971*(2400))/((F971*60+G971)*SUMIFS(팀공격력!AR:AR,팀공격력!A:A,B971,팀공격력!B:B,D971))),"")</f>
        <v>0.87593852369746517</v>
      </c>
      <c r="BN971" s="67">
        <f>IFERROR((AO971*40)/(((F971*60+G971)/60)*(SUMIFS(팀수비력!Q:Q,팀수비력!A:A,B971,팀수비력!B:B,D971)-SUMIFS(팀수비력!N:N,팀수비력!A:A,B971,팀수비력!B:B,D971)))*100,"")</f>
        <v>0</v>
      </c>
      <c r="BO971" s="67">
        <f t="shared" si="477"/>
        <v>7.1581961345740872</v>
      </c>
      <c r="BT971" t="s">
        <v>89</v>
      </c>
      <c r="BV971" t="s">
        <v>93</v>
      </c>
      <c r="CF971">
        <v>3</v>
      </c>
      <c r="CG971">
        <v>2</v>
      </c>
    </row>
    <row r="972" spans="1:85" x14ac:dyDescent="0.4">
      <c r="A972" s="11" t="s">
        <v>85</v>
      </c>
      <c r="B972" t="s">
        <v>99</v>
      </c>
      <c r="C972" t="s">
        <v>98</v>
      </c>
      <c r="D972" s="46" t="s">
        <v>313</v>
      </c>
      <c r="E972">
        <v>1</v>
      </c>
      <c r="F972">
        <v>0</v>
      </c>
      <c r="G972" s="1">
        <v>14</v>
      </c>
      <c r="H972" s="16">
        <f t="shared" si="452"/>
        <v>14</v>
      </c>
      <c r="I972">
        <v>0</v>
      </c>
      <c r="J972" s="17">
        <f t="shared" si="453"/>
        <v>0</v>
      </c>
      <c r="K972">
        <v>0</v>
      </c>
      <c r="L972">
        <v>0</v>
      </c>
      <c r="M972" s="17">
        <f t="shared" si="454"/>
        <v>0</v>
      </c>
      <c r="N972" s="17">
        <f t="shared" si="455"/>
        <v>0</v>
      </c>
      <c r="O972" s="18" t="e">
        <f t="shared" si="456"/>
        <v>#DIV/0!</v>
      </c>
      <c r="P972">
        <v>0</v>
      </c>
      <c r="Q972">
        <v>0</v>
      </c>
      <c r="R972" s="17">
        <f t="shared" si="457"/>
        <v>0</v>
      </c>
      <c r="S972" s="17">
        <f t="shared" si="458"/>
        <v>0</v>
      </c>
      <c r="T972" s="18" t="e">
        <f t="shared" si="459"/>
        <v>#DIV/0!</v>
      </c>
      <c r="U972">
        <v>0</v>
      </c>
      <c r="V972">
        <v>0</v>
      </c>
      <c r="W972" s="17">
        <f t="shared" si="460"/>
        <v>0</v>
      </c>
      <c r="X972" s="17">
        <f t="shared" si="461"/>
        <v>0</v>
      </c>
      <c r="Y972" s="18" t="e">
        <f t="shared" si="462"/>
        <v>#DIV/0!</v>
      </c>
      <c r="Z972">
        <v>0</v>
      </c>
      <c r="AA972">
        <v>0</v>
      </c>
      <c r="AB972" s="17">
        <f t="shared" si="463"/>
        <v>0</v>
      </c>
      <c r="AC972" s="17">
        <f t="shared" si="464"/>
        <v>0</v>
      </c>
      <c r="AD972" s="18" t="e">
        <f t="shared" si="465"/>
        <v>#DIV/0!</v>
      </c>
      <c r="AE972">
        <v>0</v>
      </c>
      <c r="AF972" s="17">
        <f t="shared" si="466"/>
        <v>0</v>
      </c>
      <c r="AG972">
        <v>0</v>
      </c>
      <c r="AH972" s="17">
        <f t="shared" si="467"/>
        <v>0</v>
      </c>
      <c r="AI972">
        <v>0</v>
      </c>
      <c r="AJ972" s="17">
        <f t="shared" si="468"/>
        <v>0</v>
      </c>
      <c r="AK972">
        <v>0</v>
      </c>
      <c r="AL972" s="17">
        <f t="shared" si="469"/>
        <v>0</v>
      </c>
      <c r="AM972">
        <v>0</v>
      </c>
      <c r="AN972" s="17">
        <f t="shared" si="470"/>
        <v>0</v>
      </c>
      <c r="AO972">
        <v>0</v>
      </c>
      <c r="AQ972">
        <v>0</v>
      </c>
      <c r="AR972" s="17">
        <f t="shared" si="471"/>
        <v>0</v>
      </c>
      <c r="AS972">
        <v>0</v>
      </c>
      <c r="AT972" s="17">
        <f t="shared" si="472"/>
        <v>0</v>
      </c>
      <c r="BD972" s="65" t="str">
        <f t="shared" si="473"/>
        <v/>
      </c>
      <c r="BE972" s="65" t="str">
        <f t="shared" si="474"/>
        <v/>
      </c>
      <c r="BF972" s="66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0</v>
      </c>
      <c r="BG972" s="38" t="str">
        <f t="shared" si="475"/>
        <v/>
      </c>
      <c r="BH972" s="38" t="str">
        <f t="shared" si="476"/>
        <v/>
      </c>
      <c r="BI972" s="67">
        <f>IFERROR(((AG972*(12000/5))/((F972*60+G972)*(SUMIFS(팀공격력!X:X,팀공격력!A:A,B972,팀공격력!B:B,D972)+SUMIFS(팀수비력!X:X,팀수비력!A:A,B972,팀수비력!B:B,D972))))*100,"")</f>
        <v>0</v>
      </c>
      <c r="BJ972" s="67">
        <f>IFERROR(((AI972*(12000/5))/((F972*60+G972)*(SUMIFS(팀공격력!V:V,팀공격력!A:A,B972,팀공격력!B:B,D972)+SUMIFS(팀수비력!W:W,팀수비력!A:A,B972,팀수비력!B:B,D972))))*100,"")</f>
        <v>0</v>
      </c>
      <c r="BK972" s="67">
        <f>IFERROR(((AE972*(12000/5))/((F972*60+G972)*(SUMIFS(팀공격력!X:X,팀공격력!A:A,B972,팀공격력!B:B,D972)+SUMIFS(팀수비력!X:X,팀수비력!A:A,B972,팀수비력!B:B,D972))))*100,"")</f>
        <v>0</v>
      </c>
      <c r="BL972" s="67">
        <f>IFERROR(100*AK972/(((((F972*60+G972)/(12000/5))*SUMIFS(팀공격력!P:P,팀공격력!A:A,B972,팀공격력!B:B,D972))-K972)),"")</f>
        <v>0</v>
      </c>
      <c r="BM972" s="67">
        <f>IFERROR(100*((AM972/E972*(2400))/((F972*60+G972)*SUMIFS(팀공격력!AR:AR,팀공격력!A:A,B972,팀공격력!B:B,D972))),"")</f>
        <v>0</v>
      </c>
      <c r="BN972" s="67">
        <f>IFERROR((AO972*40)/(((F972*60+G972)/60)*(SUMIFS(팀수비력!Q:Q,팀수비력!A:A,B972,팀수비력!B:B,D972)-SUMIFS(팀수비력!N:N,팀수비력!A:A,B972,팀수비력!B:B,D972)))*100,"")</f>
        <v>0</v>
      </c>
      <c r="BO972" s="67" t="str">
        <f t="shared" si="477"/>
        <v/>
      </c>
      <c r="BT972" t="s">
        <v>89</v>
      </c>
      <c r="BV972" t="s">
        <v>90</v>
      </c>
      <c r="CF972">
        <v>1</v>
      </c>
      <c r="CG972">
        <v>0</v>
      </c>
    </row>
    <row r="973" spans="1:85" x14ac:dyDescent="0.4">
      <c r="A973" s="11" t="s">
        <v>85</v>
      </c>
      <c r="B973" t="s">
        <v>99</v>
      </c>
      <c r="C973" t="s">
        <v>308</v>
      </c>
      <c r="D973" s="46" t="s">
        <v>313</v>
      </c>
      <c r="E973">
        <v>6</v>
      </c>
      <c r="F973">
        <v>7</v>
      </c>
      <c r="G973" s="1">
        <v>26</v>
      </c>
      <c r="H973" s="16">
        <f t="shared" si="452"/>
        <v>2676</v>
      </c>
      <c r="I973">
        <v>8</v>
      </c>
      <c r="J973" s="17">
        <f t="shared" si="453"/>
        <v>1.3333333333333333</v>
      </c>
      <c r="K973">
        <v>4</v>
      </c>
      <c r="L973">
        <v>12</v>
      </c>
      <c r="M973" s="17">
        <f t="shared" si="454"/>
        <v>0.66666666666666663</v>
      </c>
      <c r="N973" s="17">
        <f t="shared" si="455"/>
        <v>2</v>
      </c>
      <c r="O973" s="18">
        <f t="shared" si="456"/>
        <v>0.33333333333333331</v>
      </c>
      <c r="P973">
        <v>4</v>
      </c>
      <c r="Q973">
        <v>10</v>
      </c>
      <c r="R973" s="17">
        <f t="shared" si="457"/>
        <v>0.66666666666666663</v>
      </c>
      <c r="S973" s="17">
        <f t="shared" si="458"/>
        <v>1.6666666666666667</v>
      </c>
      <c r="T973" s="18">
        <f t="shared" si="459"/>
        <v>0.4</v>
      </c>
      <c r="U973">
        <v>0</v>
      </c>
      <c r="V973">
        <v>2</v>
      </c>
      <c r="W973" s="17">
        <f t="shared" si="460"/>
        <v>0</v>
      </c>
      <c r="X973" s="17">
        <f t="shared" si="461"/>
        <v>0.33333333333333331</v>
      </c>
      <c r="Y973" s="18">
        <f t="shared" si="462"/>
        <v>0</v>
      </c>
      <c r="Z973">
        <v>0</v>
      </c>
      <c r="AA973">
        <v>0</v>
      </c>
      <c r="AB973" s="17">
        <f t="shared" si="463"/>
        <v>0</v>
      </c>
      <c r="AC973" s="17">
        <f t="shared" si="464"/>
        <v>0</v>
      </c>
      <c r="AD973" s="18" t="e">
        <f t="shared" si="465"/>
        <v>#DIV/0!</v>
      </c>
      <c r="AE973">
        <v>5</v>
      </c>
      <c r="AF973" s="17">
        <f t="shared" si="466"/>
        <v>0.83333333333333337</v>
      </c>
      <c r="AG973">
        <v>5</v>
      </c>
      <c r="AH973" s="17">
        <f t="shared" si="467"/>
        <v>0.83333333333333337</v>
      </c>
      <c r="AI973">
        <v>0</v>
      </c>
      <c r="AJ973" s="17">
        <f t="shared" si="468"/>
        <v>0</v>
      </c>
      <c r="AK973">
        <v>2</v>
      </c>
      <c r="AL973" s="17">
        <f t="shared" si="469"/>
        <v>0.33333333333333331</v>
      </c>
      <c r="AM973">
        <v>1</v>
      </c>
      <c r="AN973" s="17">
        <f t="shared" si="470"/>
        <v>0.16666666666666666</v>
      </c>
      <c r="AO973">
        <v>1</v>
      </c>
      <c r="AQ973">
        <v>3</v>
      </c>
      <c r="AR973" s="17">
        <f t="shared" si="471"/>
        <v>0.5</v>
      </c>
      <c r="AS973">
        <v>10</v>
      </c>
      <c r="AT973" s="17">
        <f t="shared" si="472"/>
        <v>1.6666666666666667</v>
      </c>
      <c r="BD973" s="65">
        <f t="shared" si="473"/>
        <v>33.333333333333329</v>
      </c>
      <c r="BE973" s="65">
        <f t="shared" si="474"/>
        <v>33.333333333333329</v>
      </c>
      <c r="BF973" s="66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11.481861847686723</v>
      </c>
      <c r="BG973" s="38">
        <f t="shared" si="475"/>
        <v>0.16666666666666666</v>
      </c>
      <c r="BH973" s="38">
        <f t="shared" si="476"/>
        <v>0</v>
      </c>
      <c r="BI973" s="67">
        <f>IFERROR(((AG973*(12000/5))/((F973*60+G973)*(SUMIFS(팀공격력!X:X,팀공격력!A:A,B973,팀공격력!B:B,D973)+SUMIFS(팀수비력!X:X,팀수비력!A:A,B973,팀수비력!B:B,D973))))*100,"")</f>
        <v>4.6071626021254382</v>
      </c>
      <c r="BJ973" s="67">
        <f>IFERROR(((AI973*(12000/5))/((F973*60+G973)*(SUMIFS(팀공격력!V:V,팀공격력!A:A,B973,팀공격력!B:B,D973)+SUMIFS(팀수비력!W:W,팀수비력!A:A,B973,팀수비력!B:B,D973))))*100,"")</f>
        <v>0</v>
      </c>
      <c r="BK973" s="67">
        <f>IFERROR(((AE973*(12000/5))/((F973*60+G973)*(SUMIFS(팀공격력!X:X,팀공격력!A:A,B973,팀공격력!B:B,D973)+SUMIFS(팀수비력!X:X,팀수비력!A:A,B973,팀수비력!B:B,D973))))*100,"")</f>
        <v>4.6071626021254382</v>
      </c>
      <c r="BL973" s="67">
        <f>IFERROR(100*AK973/(((((F973*60+G973)/(12000/5))*SUMIFS(팀공격력!P:P,팀공격력!A:A,B973,팀공격력!B:B,D973))-K973)),"")</f>
        <v>4.6096225871506773</v>
      </c>
      <c r="BM973" s="67">
        <f>IFERROR(100*((AM973/E973*(2400))/((F973*60+G973)*SUMIFS(팀공격력!AR:AR,팀공격력!A:A,B973,팀공격력!B:B,D973))),"")</f>
        <v>1.3322383376116154</v>
      </c>
      <c r="BN973" s="67">
        <f>IFERROR((AO973*40)/(((F973*60+G973)/60)*(SUMIFS(팀수비력!Q:Q,팀수비력!A:A,B973,팀수비력!B:B,D973)-SUMIFS(팀수비력!N:N,팀수비력!A:A,B973,팀수비력!B:B,D973)))*100,"")</f>
        <v>1.6356127414232555</v>
      </c>
      <c r="BO973" s="67">
        <f t="shared" si="477"/>
        <v>20</v>
      </c>
      <c r="BT973" t="s">
        <v>89</v>
      </c>
      <c r="BV973" t="s">
        <v>102</v>
      </c>
      <c r="CF973">
        <v>4</v>
      </c>
      <c r="CG973">
        <v>2</v>
      </c>
    </row>
    <row r="974" spans="1:85" x14ac:dyDescent="0.4">
      <c r="A974" s="11" t="s">
        <v>85</v>
      </c>
      <c r="B974" t="s">
        <v>99</v>
      </c>
      <c r="C974" t="s">
        <v>120</v>
      </c>
      <c r="D974" s="46" t="s">
        <v>313</v>
      </c>
      <c r="E974">
        <v>8</v>
      </c>
      <c r="F974">
        <v>36</v>
      </c>
      <c r="G974" s="1">
        <v>19</v>
      </c>
      <c r="H974" s="16">
        <f t="shared" si="452"/>
        <v>17432</v>
      </c>
      <c r="I974">
        <v>198</v>
      </c>
      <c r="J974" s="17">
        <f t="shared" si="453"/>
        <v>24.75</v>
      </c>
      <c r="K974">
        <v>76</v>
      </c>
      <c r="L974">
        <v>132</v>
      </c>
      <c r="M974" s="17">
        <f t="shared" si="454"/>
        <v>9.5</v>
      </c>
      <c r="N974" s="17">
        <f t="shared" si="455"/>
        <v>16.5</v>
      </c>
      <c r="O974" s="18">
        <f t="shared" si="456"/>
        <v>0.5757575757575758</v>
      </c>
      <c r="P974">
        <v>72</v>
      </c>
      <c r="Q974">
        <v>113</v>
      </c>
      <c r="R974" s="17">
        <f t="shared" si="457"/>
        <v>9</v>
      </c>
      <c r="S974" s="17">
        <f t="shared" si="458"/>
        <v>14.125</v>
      </c>
      <c r="T974" s="18">
        <f t="shared" si="459"/>
        <v>0.63716814159292035</v>
      </c>
      <c r="U974">
        <v>4</v>
      </c>
      <c r="V974">
        <v>19</v>
      </c>
      <c r="W974" s="17">
        <f t="shared" si="460"/>
        <v>0.5</v>
      </c>
      <c r="X974" s="17">
        <f t="shared" si="461"/>
        <v>2.375</v>
      </c>
      <c r="Y974" s="18">
        <f t="shared" si="462"/>
        <v>0.21052631578947367</v>
      </c>
      <c r="Z974">
        <v>42</v>
      </c>
      <c r="AA974">
        <v>52</v>
      </c>
      <c r="AB974" s="17">
        <f t="shared" si="463"/>
        <v>5.25</v>
      </c>
      <c r="AC974" s="17">
        <f t="shared" si="464"/>
        <v>6.5</v>
      </c>
      <c r="AD974" s="18">
        <f t="shared" si="465"/>
        <v>0.80769230769230771</v>
      </c>
      <c r="AE974">
        <v>149</v>
      </c>
      <c r="AF974" s="17">
        <f t="shared" si="466"/>
        <v>18.625</v>
      </c>
      <c r="AG974">
        <v>32</v>
      </c>
      <c r="AH974" s="17">
        <f t="shared" si="467"/>
        <v>4</v>
      </c>
      <c r="AI974">
        <v>117</v>
      </c>
      <c r="AJ974" s="17">
        <f t="shared" si="468"/>
        <v>14.625</v>
      </c>
      <c r="AK974">
        <v>38</v>
      </c>
      <c r="AL974" s="17">
        <f t="shared" si="469"/>
        <v>4.75</v>
      </c>
      <c r="AM974">
        <v>10</v>
      </c>
      <c r="AN974" s="17">
        <f t="shared" si="470"/>
        <v>1.25</v>
      </c>
      <c r="AO974">
        <v>11</v>
      </c>
      <c r="AQ974">
        <v>23</v>
      </c>
      <c r="AR974" s="17">
        <f t="shared" si="471"/>
        <v>2.875</v>
      </c>
      <c r="AS974">
        <v>18</v>
      </c>
      <c r="AT974" s="17">
        <f t="shared" si="472"/>
        <v>2.25</v>
      </c>
      <c r="BD974" s="65">
        <f t="shared" si="473"/>
        <v>63.920454545454554</v>
      </c>
      <c r="BE974" s="65">
        <f t="shared" si="474"/>
        <v>59.090909090909093</v>
      </c>
      <c r="BF974" s="66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27.869283742330285</v>
      </c>
      <c r="BG974" s="38">
        <f t="shared" si="475"/>
        <v>0.14393939393939395</v>
      </c>
      <c r="BH974" s="38">
        <f t="shared" si="476"/>
        <v>0.39393939393939392</v>
      </c>
      <c r="BI974" s="67">
        <f>IFERROR(((AG974*(12000/5))/((F974*60+G974)*(SUMIFS(팀공격력!X:X,팀공격력!A:A,B974,팀공격력!B:B,D974)+SUMIFS(팀수비력!X:X,팀수비력!A:A,B974,팀수비력!B:B,D974))))*100,"")</f>
        <v>6.0351927175341205</v>
      </c>
      <c r="BJ974" s="67">
        <f>IFERROR(((AI974*(12000/5))/((F974*60+G974)*(SUMIFS(팀공격력!V:V,팀공격력!A:A,B974,팀공격력!B:B,D974)+SUMIFS(팀수비력!W:W,팀수비력!A:A,B974,팀수비력!B:B,D974))))*100,"")</f>
        <v>43.683543220727906</v>
      </c>
      <c r="BK974" s="67">
        <f>IFERROR(((AE974*(12000/5))/((F974*60+G974)*(SUMIFS(팀공격력!X:X,팀공격력!A:A,B974,팀공격력!B:B,D974)+SUMIFS(팀수비력!X:X,팀수비력!A:A,B974,팀수비력!B:B,D974))))*100,"")</f>
        <v>28.101366091018249</v>
      </c>
      <c r="BL974" s="67">
        <f>IFERROR(100*AK974/(((((F974*60+G974)/(12000/5))*SUMIFS(팀공격력!P:P,팀공격력!A:A,B974,팀공격력!B:B,D974))-K974)),"")</f>
        <v>24.434352770968129</v>
      </c>
      <c r="BM974" s="67">
        <f>IFERROR(100*((AM974/E974*(2400))/((F974*60+G974)*SUMIFS(팀공격력!AR:AR,팀공격력!A:A,B974,팀공격력!B:B,D974))),"")</f>
        <v>2.0451295269898364</v>
      </c>
      <c r="BN974" s="67">
        <f>IFERROR((AO974*40)/(((F974*60+G974)/60)*(SUMIFS(팀수비력!Q:Q,팀수비력!A:A,B974,팀수비력!B:B,D974)-SUMIFS(팀수비력!N:N,팀수비력!A:A,B974,팀수비력!B:B,D974)))*100,"")</f>
        <v>3.6825682007446034</v>
      </c>
      <c r="BO974" s="67">
        <f t="shared" si="477"/>
        <v>12.930065212502811</v>
      </c>
      <c r="BT974" t="s">
        <v>96</v>
      </c>
      <c r="BV974" t="s">
        <v>102</v>
      </c>
      <c r="CF974">
        <v>5</v>
      </c>
      <c r="CG974">
        <v>3</v>
      </c>
    </row>
    <row r="975" spans="1:85" x14ac:dyDescent="0.4">
      <c r="A975" s="11" t="s">
        <v>85</v>
      </c>
      <c r="B975" t="s">
        <v>99</v>
      </c>
      <c r="C975" t="s">
        <v>121</v>
      </c>
      <c r="D975" s="46" t="s">
        <v>313</v>
      </c>
      <c r="E975">
        <v>2</v>
      </c>
      <c r="F975">
        <v>25</v>
      </c>
      <c r="G975" s="1">
        <v>12</v>
      </c>
      <c r="H975" s="16">
        <f t="shared" si="452"/>
        <v>3024</v>
      </c>
      <c r="I975">
        <v>5</v>
      </c>
      <c r="J975" s="17">
        <f t="shared" si="453"/>
        <v>2.5</v>
      </c>
      <c r="K975">
        <v>2</v>
      </c>
      <c r="L975">
        <v>13</v>
      </c>
      <c r="M975" s="17">
        <f t="shared" si="454"/>
        <v>1</v>
      </c>
      <c r="N975" s="17">
        <f t="shared" si="455"/>
        <v>6.5</v>
      </c>
      <c r="O975" s="18">
        <f t="shared" si="456"/>
        <v>0.15384615384615385</v>
      </c>
      <c r="P975">
        <v>1</v>
      </c>
      <c r="Q975">
        <v>5</v>
      </c>
      <c r="R975" s="17">
        <f t="shared" si="457"/>
        <v>0.5</v>
      </c>
      <c r="S975" s="17">
        <f t="shared" si="458"/>
        <v>2.5</v>
      </c>
      <c r="T975" s="18">
        <f t="shared" si="459"/>
        <v>0.2</v>
      </c>
      <c r="U975">
        <v>1</v>
      </c>
      <c r="V975">
        <v>8</v>
      </c>
      <c r="W975" s="17">
        <f t="shared" si="460"/>
        <v>0.5</v>
      </c>
      <c r="X975" s="17">
        <f t="shared" si="461"/>
        <v>4</v>
      </c>
      <c r="Y975" s="18">
        <f t="shared" si="462"/>
        <v>0.125</v>
      </c>
      <c r="Z975">
        <v>0</v>
      </c>
      <c r="AA975">
        <v>0</v>
      </c>
      <c r="AB975" s="17">
        <f t="shared" si="463"/>
        <v>0</v>
      </c>
      <c r="AC975" s="17">
        <f t="shared" si="464"/>
        <v>0</v>
      </c>
      <c r="AD975" s="18" t="e">
        <f t="shared" si="465"/>
        <v>#DIV/0!</v>
      </c>
      <c r="AE975">
        <v>5</v>
      </c>
      <c r="AF975" s="17">
        <f t="shared" si="466"/>
        <v>2.5</v>
      </c>
      <c r="AG975">
        <v>1</v>
      </c>
      <c r="AH975" s="17">
        <f t="shared" si="467"/>
        <v>0.5</v>
      </c>
      <c r="AI975">
        <v>4</v>
      </c>
      <c r="AJ975" s="17">
        <f t="shared" si="468"/>
        <v>2</v>
      </c>
      <c r="AK975">
        <v>13</v>
      </c>
      <c r="AL975" s="17">
        <f t="shared" si="469"/>
        <v>6.5</v>
      </c>
      <c r="AM975">
        <v>2</v>
      </c>
      <c r="AN975" s="17">
        <f t="shared" si="470"/>
        <v>1</v>
      </c>
      <c r="AO975">
        <v>0</v>
      </c>
      <c r="AQ975">
        <v>1</v>
      </c>
      <c r="AR975" s="17">
        <f t="shared" si="471"/>
        <v>0.5</v>
      </c>
      <c r="AS975">
        <v>9</v>
      </c>
      <c r="AT975" s="17">
        <f t="shared" si="472"/>
        <v>4.5</v>
      </c>
      <c r="BD975" s="65">
        <f t="shared" si="473"/>
        <v>19.230769230769234</v>
      </c>
      <c r="BE975" s="65">
        <f t="shared" si="474"/>
        <v>19.230769230769234</v>
      </c>
      <c r="BF975" s="66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3.1610557926347398</v>
      </c>
      <c r="BG975" s="38">
        <f t="shared" si="475"/>
        <v>0.61538461538461542</v>
      </c>
      <c r="BH975" s="38">
        <f t="shared" si="476"/>
        <v>0</v>
      </c>
      <c r="BI975" s="67">
        <f>IFERROR(((AG975*(12000/5))/((F975*60+G975)*(SUMIFS(팀공격력!X:X,팀공격력!A:A,B975,팀공격력!B:B,D975)+SUMIFS(팀수비력!X:X,팀수비력!A:A,B975,팀수비력!B:B,D975))))*100,"")</f>
        <v>0.27179821700369644</v>
      </c>
      <c r="BJ975" s="67">
        <f>IFERROR(((AI975*(12000/5))/((F975*60+G975)*(SUMIFS(팀공격력!V:V,팀공격력!A:A,B975,팀공격력!B:B,D975)+SUMIFS(팀수비력!W:W,팀수비력!A:A,B975,팀수비력!B:B,D975))))*100,"")</f>
        <v>2.1522733387140165</v>
      </c>
      <c r="BK975" s="67">
        <f>IFERROR(((AE975*(12000/5))/((F975*60+G975)*(SUMIFS(팀공격력!X:X,팀공격력!A:A,B975,팀공격력!B:B,D975)+SUMIFS(팀수비력!X:X,팀수비력!A:A,B975,팀수비력!B:B,D975))))*100,"")</f>
        <v>1.3589910850184821</v>
      </c>
      <c r="BL975" s="67">
        <f>IFERROR(100*AK975/(((((F975*60+G975)/(12000/5))*SUMIFS(팀공격력!P:P,팀공격력!A:A,B975,팀공격력!B:B,D975))-K975)),"")</f>
        <v>8.1941380397100527</v>
      </c>
      <c r="BM975" s="67">
        <f>IFERROR(100*((AM975/E975*(2400))/((F975*60+G975)*SUMIFS(팀공격력!AR:AR,팀공격력!A:A,B975,팀공격력!B:B,D975))),"")</f>
        <v>2.3578503911697637</v>
      </c>
      <c r="BN975" s="67">
        <f>IFERROR((AO975*40)/(((F975*60+G975)/60)*(SUMIFS(팀수비력!Q:Q,팀수비력!A:A,B975,팀수비력!B:B,D975)-SUMIFS(팀수비력!N:N,팀수비력!A:A,B975,팀수비력!B:B,D975)))*100,"")</f>
        <v>0</v>
      </c>
      <c r="BO975" s="67">
        <f t="shared" si="477"/>
        <v>7.1428571428571432</v>
      </c>
      <c r="BT975" t="s">
        <v>89</v>
      </c>
      <c r="BV975" t="s">
        <v>90</v>
      </c>
      <c r="CF975">
        <v>1</v>
      </c>
      <c r="CG975">
        <v>1</v>
      </c>
    </row>
    <row r="976" spans="1:85" x14ac:dyDescent="0.4">
      <c r="A976" s="11" t="s">
        <v>85</v>
      </c>
      <c r="B976" t="s">
        <v>99</v>
      </c>
      <c r="C976" t="s">
        <v>122</v>
      </c>
      <c r="D976" s="46" t="s">
        <v>313</v>
      </c>
      <c r="E976">
        <v>8</v>
      </c>
      <c r="F976">
        <v>23</v>
      </c>
      <c r="G976" s="1">
        <v>37</v>
      </c>
      <c r="H976" s="16">
        <f t="shared" si="452"/>
        <v>11336</v>
      </c>
      <c r="I976">
        <v>47</v>
      </c>
      <c r="J976" s="17">
        <f t="shared" si="453"/>
        <v>5.875</v>
      </c>
      <c r="K976">
        <v>19</v>
      </c>
      <c r="L976">
        <v>38</v>
      </c>
      <c r="M976" s="17">
        <f t="shared" si="454"/>
        <v>2.375</v>
      </c>
      <c r="N976" s="17">
        <f t="shared" si="455"/>
        <v>4.75</v>
      </c>
      <c r="O976" s="18">
        <f t="shared" si="456"/>
        <v>0.5</v>
      </c>
      <c r="P976">
        <v>12</v>
      </c>
      <c r="Q976">
        <v>19</v>
      </c>
      <c r="R976" s="17">
        <f t="shared" si="457"/>
        <v>1.5</v>
      </c>
      <c r="S976" s="17">
        <f t="shared" si="458"/>
        <v>2.375</v>
      </c>
      <c r="T976" s="18">
        <f t="shared" si="459"/>
        <v>0.63157894736842102</v>
      </c>
      <c r="U976">
        <v>7</v>
      </c>
      <c r="V976">
        <v>19</v>
      </c>
      <c r="W976" s="17">
        <f t="shared" si="460"/>
        <v>0.875</v>
      </c>
      <c r="X976" s="17">
        <f t="shared" si="461"/>
        <v>2.375</v>
      </c>
      <c r="Y976" s="18">
        <f t="shared" si="462"/>
        <v>0.36842105263157893</v>
      </c>
      <c r="Z976">
        <v>2</v>
      </c>
      <c r="AA976">
        <v>2</v>
      </c>
      <c r="AB976" s="17">
        <f t="shared" si="463"/>
        <v>0.25</v>
      </c>
      <c r="AC976" s="17">
        <f t="shared" si="464"/>
        <v>0.25</v>
      </c>
      <c r="AD976" s="18">
        <f t="shared" si="465"/>
        <v>1</v>
      </c>
      <c r="AE976">
        <v>27</v>
      </c>
      <c r="AF976" s="17">
        <f t="shared" si="466"/>
        <v>3.375</v>
      </c>
      <c r="AG976">
        <v>10</v>
      </c>
      <c r="AH976" s="17">
        <f t="shared" si="467"/>
        <v>1.25</v>
      </c>
      <c r="AI976">
        <v>17</v>
      </c>
      <c r="AJ976" s="17">
        <f t="shared" si="468"/>
        <v>2.125</v>
      </c>
      <c r="AK976">
        <v>7</v>
      </c>
      <c r="AL976" s="17">
        <f t="shared" si="469"/>
        <v>0.875</v>
      </c>
      <c r="AM976">
        <v>4</v>
      </c>
      <c r="AN976" s="17">
        <f t="shared" si="470"/>
        <v>0.5</v>
      </c>
      <c r="AO976">
        <v>1</v>
      </c>
      <c r="AQ976">
        <v>4</v>
      </c>
      <c r="AR976" s="17">
        <f t="shared" si="471"/>
        <v>0.5</v>
      </c>
      <c r="AS976">
        <v>26</v>
      </c>
      <c r="AT976" s="17">
        <f t="shared" si="472"/>
        <v>3.25</v>
      </c>
      <c r="BD976" s="65">
        <f t="shared" si="473"/>
        <v>60.442386831275719</v>
      </c>
      <c r="BE976" s="65">
        <f t="shared" si="474"/>
        <v>59.210526315789465</v>
      </c>
      <c r="BF976" s="66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10.33096387997402</v>
      </c>
      <c r="BG976" s="38">
        <f t="shared" si="475"/>
        <v>0.5</v>
      </c>
      <c r="BH976" s="38">
        <f t="shared" si="476"/>
        <v>5.2631578947368418E-2</v>
      </c>
      <c r="BI976" s="67">
        <f>IFERROR(((AG976*(12000/5))/((F976*60+G976)*(SUMIFS(팀공격력!X:X,팀공격력!A:A,B976,팀공격력!B:B,D976)+SUMIFS(팀수비력!X:X,팀수비력!A:A,B976,팀수비력!B:B,D976))))*100,"")</f>
        <v>2.9002039810133313</v>
      </c>
      <c r="BJ976" s="67">
        <f>IFERROR(((AI976*(12000/5))/((F976*60+G976)*(SUMIFS(팀공격력!V:V,팀공격력!A:A,B976,팀공격력!B:B,D976)+SUMIFS(팀수비력!W:W,팀수비력!A:A,B976,팀수비력!B:B,D976))))*100,"")</f>
        <v>9.7604152961018134</v>
      </c>
      <c r="BK976" s="67">
        <f>IFERROR(((AE976*(12000/5))/((F976*60+G976)*(SUMIFS(팀공격력!X:X,팀공격력!A:A,B976,팀공격력!B:B,D976)+SUMIFS(팀수비력!X:X,팀수비력!A:A,B976,팀수비력!B:B,D976))))*100,"")</f>
        <v>7.8305507487359938</v>
      </c>
      <c r="BL976" s="67">
        <f>IFERROR(100*AK976/(((((F976*60+G976)/(12000/5))*SUMIFS(팀공격력!P:P,팀공격력!A:A,B976,팀공격력!B:B,D976))-K976)),"")</f>
        <v>5.3209178583305619</v>
      </c>
      <c r="BM976" s="67">
        <f>IFERROR(100*((AM976/E976*(2400))/((F976*60+G976)*SUMIFS(팀공격력!AR:AR,팀공격력!A:A,B976,팀공격력!B:B,D976))),"")</f>
        <v>1.2579639348795635</v>
      </c>
      <c r="BN976" s="67">
        <f>IFERROR((AO976*40)/(((F976*60+G976)/60)*(SUMIFS(팀수비력!Q:Q,팀수비력!A:A,B976,팀수비력!B:B,D976)-SUMIFS(팀수비력!N:N,팀수비력!A:A,B976,팀수비력!B:B,D976)))*100,"")</f>
        <v>0.51480824465403807</v>
      </c>
      <c r="BO976" s="67">
        <f t="shared" si="477"/>
        <v>9.3283582089552226</v>
      </c>
      <c r="BT976" t="s">
        <v>89</v>
      </c>
      <c r="BV976" t="s">
        <v>93</v>
      </c>
      <c r="CF976">
        <v>5</v>
      </c>
      <c r="CG976">
        <v>3</v>
      </c>
    </row>
    <row r="977" spans="1:85" x14ac:dyDescent="0.4">
      <c r="A977" s="11" t="s">
        <v>85</v>
      </c>
      <c r="B977" t="s">
        <v>123</v>
      </c>
      <c r="C977" t="s">
        <v>124</v>
      </c>
      <c r="D977" s="46" t="s">
        <v>313</v>
      </c>
      <c r="E977">
        <v>3</v>
      </c>
      <c r="F977">
        <v>25</v>
      </c>
      <c r="G977" s="1">
        <v>32</v>
      </c>
      <c r="H977" s="16">
        <f t="shared" si="452"/>
        <v>4596</v>
      </c>
      <c r="I977">
        <v>24</v>
      </c>
      <c r="J977" s="17">
        <f t="shared" si="453"/>
        <v>8</v>
      </c>
      <c r="K977">
        <v>8</v>
      </c>
      <c r="L977">
        <v>21</v>
      </c>
      <c r="M977" s="17">
        <f t="shared" si="454"/>
        <v>2.6666666666666665</v>
      </c>
      <c r="N977" s="17">
        <f t="shared" si="455"/>
        <v>7</v>
      </c>
      <c r="O977" s="18">
        <f t="shared" si="456"/>
        <v>0.38095238095238093</v>
      </c>
      <c r="P977">
        <v>4</v>
      </c>
      <c r="Q977">
        <v>6</v>
      </c>
      <c r="R977" s="17">
        <f t="shared" si="457"/>
        <v>1.3333333333333333</v>
      </c>
      <c r="S977" s="17">
        <f t="shared" si="458"/>
        <v>2</v>
      </c>
      <c r="T977" s="18">
        <f t="shared" si="459"/>
        <v>0.66666666666666663</v>
      </c>
      <c r="U977">
        <v>4</v>
      </c>
      <c r="V977">
        <v>15</v>
      </c>
      <c r="W977" s="17">
        <f t="shared" si="460"/>
        <v>1.3333333333333333</v>
      </c>
      <c r="X977" s="17">
        <f t="shared" si="461"/>
        <v>5</v>
      </c>
      <c r="Y977" s="18">
        <f t="shared" si="462"/>
        <v>0.26666666666666666</v>
      </c>
      <c r="Z977">
        <v>4</v>
      </c>
      <c r="AA977">
        <v>5</v>
      </c>
      <c r="AB977" s="17">
        <f t="shared" si="463"/>
        <v>1.3333333333333333</v>
      </c>
      <c r="AC977" s="17">
        <f t="shared" si="464"/>
        <v>1.6666666666666667</v>
      </c>
      <c r="AD977" s="18">
        <f t="shared" si="465"/>
        <v>0.8</v>
      </c>
      <c r="AE977">
        <v>4</v>
      </c>
      <c r="AF977" s="17">
        <f t="shared" si="466"/>
        <v>1.3333333333333333</v>
      </c>
      <c r="AG977">
        <v>2</v>
      </c>
      <c r="AH977" s="17">
        <f t="shared" si="467"/>
        <v>0.66666666666666663</v>
      </c>
      <c r="AI977">
        <v>2</v>
      </c>
      <c r="AJ977" s="17">
        <f t="shared" si="468"/>
        <v>0.66666666666666663</v>
      </c>
      <c r="AK977">
        <v>15</v>
      </c>
      <c r="AL977" s="17">
        <f t="shared" si="469"/>
        <v>5</v>
      </c>
      <c r="AM977">
        <v>4</v>
      </c>
      <c r="AN977" s="17">
        <f t="shared" si="470"/>
        <v>1.3333333333333333</v>
      </c>
      <c r="AO977">
        <v>0</v>
      </c>
      <c r="AQ977">
        <v>4</v>
      </c>
      <c r="AR977" s="17">
        <f t="shared" si="471"/>
        <v>1.3333333333333333</v>
      </c>
      <c r="AS977">
        <v>6</v>
      </c>
      <c r="AT977" s="17">
        <f t="shared" si="472"/>
        <v>2</v>
      </c>
      <c r="BD977" s="65">
        <f t="shared" si="473"/>
        <v>51.724137931034484</v>
      </c>
      <c r="BE977" s="65">
        <f t="shared" si="474"/>
        <v>47.619047619047613</v>
      </c>
      <c r="BF977" s="66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6.7137716735112587</v>
      </c>
      <c r="BG977" s="38">
        <f t="shared" si="475"/>
        <v>0.7142857142857143</v>
      </c>
      <c r="BH977" s="38">
        <f t="shared" si="476"/>
        <v>0.23809523809523808</v>
      </c>
      <c r="BI977" s="67">
        <f>IFERROR(((AG977*(12000/5))/((F977*60+G977)*(SUMIFS(팀공격력!X:X,팀공격력!A:A,B977,팀공격력!B:B,D977)+SUMIFS(팀수비력!X:X,팀수비력!A:A,B977,팀수비력!B:B,D977))))*100,"")</f>
        <v>0.57700907346768027</v>
      </c>
      <c r="BJ977" s="67">
        <f>IFERROR(((AI977*(12000/5))/((F977*60+G977)*(SUMIFS(팀공격력!V:V,팀공격력!A:A,B977,팀공격력!B:B,D977)+SUMIFS(팀수비력!W:W,팀수비력!A:A,B977,팀수비력!B:B,D977))))*100,"")</f>
        <v>1.1476773878862652</v>
      </c>
      <c r="BK977" s="67">
        <f>IFERROR(((AE977*(12000/5))/((F977*60+G977)*(SUMIFS(팀공격력!X:X,팀공격력!A:A,B977,팀공격력!B:B,D977)+SUMIFS(팀수비력!X:X,팀수비력!A:A,B977,팀수비력!B:B,D977))))*100,"")</f>
        <v>1.1540181469353605</v>
      </c>
      <c r="BL977" s="67">
        <f>IFERROR(100*AK977/(((((F977*60+G977)/(12000/5))*SUMIFS(팀공격력!P:P,팀공격력!A:A,B977,팀공격력!B:B,D977))-K977)),"")</f>
        <v>11.008097066953693</v>
      </c>
      <c r="BM977" s="67">
        <f>IFERROR(100*((AM977/E977*(2400))/((F977*60+G977)*SUMIFS(팀공격력!AR:AR,팀공격력!A:A,B977,팀공격력!B:B,D977))),"")</f>
        <v>3.4025530382636124</v>
      </c>
      <c r="BN977" s="67">
        <f>IFERROR((AO977*40)/(((F977*60+G977)/60)*(SUMIFS(팀수비력!Q:Q,팀수비력!A:A,B977,팀수비력!B:B,D977)-SUMIFS(팀수비력!N:N,팀수비력!A:A,B977,팀수비력!B:B,D977)))*100,"")</f>
        <v>0</v>
      </c>
      <c r="BO977" s="67">
        <f t="shared" si="477"/>
        <v>14.705882352941178</v>
      </c>
      <c r="BT977" t="s">
        <v>89</v>
      </c>
      <c r="BV977" t="s">
        <v>90</v>
      </c>
      <c r="CF977">
        <v>2</v>
      </c>
      <c r="CG977">
        <v>1</v>
      </c>
    </row>
    <row r="978" spans="1:85" x14ac:dyDescent="0.4">
      <c r="A978" s="11" t="s">
        <v>85</v>
      </c>
      <c r="B978" t="s">
        <v>123</v>
      </c>
      <c r="C978" t="s">
        <v>125</v>
      </c>
      <c r="D978" s="46" t="s">
        <v>313</v>
      </c>
      <c r="E978">
        <v>1</v>
      </c>
      <c r="F978">
        <v>5</v>
      </c>
      <c r="G978" s="1">
        <v>48</v>
      </c>
      <c r="H978" s="16">
        <f t="shared" si="452"/>
        <v>348</v>
      </c>
      <c r="I978">
        <v>4</v>
      </c>
      <c r="J978" s="17">
        <f t="shared" si="453"/>
        <v>4</v>
      </c>
      <c r="K978">
        <v>2</v>
      </c>
      <c r="L978">
        <v>3</v>
      </c>
      <c r="M978" s="17">
        <f t="shared" si="454"/>
        <v>2</v>
      </c>
      <c r="N978" s="17">
        <f t="shared" si="455"/>
        <v>3</v>
      </c>
      <c r="O978" s="18">
        <f t="shared" si="456"/>
        <v>0.66666666666666663</v>
      </c>
      <c r="P978">
        <v>2</v>
      </c>
      <c r="Q978">
        <v>3</v>
      </c>
      <c r="R978" s="17">
        <f t="shared" si="457"/>
        <v>2</v>
      </c>
      <c r="S978" s="17">
        <f t="shared" si="458"/>
        <v>3</v>
      </c>
      <c r="T978" s="18">
        <f t="shared" si="459"/>
        <v>0.66666666666666663</v>
      </c>
      <c r="U978">
        <v>0</v>
      </c>
      <c r="V978">
        <v>0</v>
      </c>
      <c r="W978" s="17">
        <f t="shared" si="460"/>
        <v>0</v>
      </c>
      <c r="X978" s="17">
        <f t="shared" si="461"/>
        <v>0</v>
      </c>
      <c r="Y978" s="18" t="e">
        <f t="shared" si="462"/>
        <v>#DIV/0!</v>
      </c>
      <c r="Z978">
        <v>0</v>
      </c>
      <c r="AA978">
        <v>0</v>
      </c>
      <c r="AB978" s="17">
        <f t="shared" si="463"/>
        <v>0</v>
      </c>
      <c r="AC978" s="17">
        <f t="shared" si="464"/>
        <v>0</v>
      </c>
      <c r="AD978" s="18" t="e">
        <f t="shared" si="465"/>
        <v>#DIV/0!</v>
      </c>
      <c r="AE978">
        <v>0</v>
      </c>
      <c r="AF978" s="17">
        <f t="shared" si="466"/>
        <v>0</v>
      </c>
      <c r="AG978">
        <v>0</v>
      </c>
      <c r="AH978" s="17">
        <f t="shared" si="467"/>
        <v>0</v>
      </c>
      <c r="AI978">
        <v>0</v>
      </c>
      <c r="AJ978" s="17">
        <f t="shared" si="468"/>
        <v>0</v>
      </c>
      <c r="AK978">
        <v>0</v>
      </c>
      <c r="AL978" s="17">
        <f t="shared" si="469"/>
        <v>0</v>
      </c>
      <c r="AM978">
        <v>0</v>
      </c>
      <c r="AN978" s="17">
        <f t="shared" si="470"/>
        <v>0</v>
      </c>
      <c r="AO978">
        <v>0</v>
      </c>
      <c r="AQ978">
        <v>0</v>
      </c>
      <c r="AR978" s="17">
        <f t="shared" si="471"/>
        <v>0</v>
      </c>
      <c r="AS978">
        <v>1</v>
      </c>
      <c r="AT978" s="17">
        <f t="shared" si="472"/>
        <v>1</v>
      </c>
      <c r="BD978" s="65">
        <f t="shared" si="473"/>
        <v>66.666666666666657</v>
      </c>
      <c r="BE978" s="65">
        <f t="shared" si="474"/>
        <v>66.666666666666657</v>
      </c>
      <c r="BF978" s="66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3.2598561751455528</v>
      </c>
      <c r="BG978" s="38">
        <f t="shared" si="475"/>
        <v>0</v>
      </c>
      <c r="BH978" s="38">
        <f t="shared" si="476"/>
        <v>0</v>
      </c>
      <c r="BI978" s="67">
        <f>IFERROR(((AG978*(12000/5))/((F978*60+G978)*(SUMIFS(팀공격력!X:X,팀공격력!A:A,B978,팀공격력!B:B,D978)+SUMIFS(팀수비력!X:X,팀수비력!A:A,B978,팀수비력!B:B,D978))))*100,"")</f>
        <v>0</v>
      </c>
      <c r="BJ978" s="67">
        <f>IFERROR(((AI978*(12000/5))/((F978*60+G978)*(SUMIFS(팀공격력!V:V,팀공격력!A:A,B978,팀공격력!B:B,D978)+SUMIFS(팀수비력!W:W,팀수비력!A:A,B978,팀수비력!B:B,D978))))*100,"")</f>
        <v>0</v>
      </c>
      <c r="BK978" s="67">
        <f>IFERROR(((AE978*(12000/5))/((F978*60+G978)*(SUMIFS(팀공격력!X:X,팀공격력!A:A,B978,팀공격력!B:B,D978)+SUMIFS(팀수비력!X:X,팀수비력!A:A,B978,팀수비력!B:B,D978))))*100,"")</f>
        <v>0</v>
      </c>
      <c r="BL978" s="67">
        <f>IFERROR(100*AK978/(((((F978*60+G978)/(12000/5))*SUMIFS(팀공격력!P:P,팀공격력!A:A,B978,팀공격력!B:B,D978))-K978)),"")</f>
        <v>0</v>
      </c>
      <c r="BM978" s="67">
        <f>IFERROR(100*((AM978/E978*(2400))/((F978*60+G978)*SUMIFS(팀공격력!AR:AR,팀공격력!A:A,B978,팀공격력!B:B,D978))),"")</f>
        <v>0</v>
      </c>
      <c r="BN978" s="67">
        <f>IFERROR((AO978*40)/(((F978*60+G978)/60)*(SUMIFS(팀수비력!Q:Q,팀수비력!A:A,B978,팀수비력!B:B,D978)-SUMIFS(팀수비력!N:N,팀수비력!A:A,B978,팀수비력!B:B,D978)))*100,"")</f>
        <v>0</v>
      </c>
      <c r="BO978" s="67">
        <f t="shared" si="477"/>
        <v>0</v>
      </c>
      <c r="BT978" t="s">
        <v>89</v>
      </c>
      <c r="BV978" t="s">
        <v>102</v>
      </c>
      <c r="CF978">
        <v>1</v>
      </c>
      <c r="CG978">
        <v>0</v>
      </c>
    </row>
    <row r="979" spans="1:85" x14ac:dyDescent="0.4">
      <c r="A979" s="11" t="s">
        <v>85</v>
      </c>
      <c r="B979" t="s">
        <v>123</v>
      </c>
      <c r="C979" t="s">
        <v>126</v>
      </c>
      <c r="D979" s="46" t="s">
        <v>313</v>
      </c>
      <c r="E979">
        <v>2</v>
      </c>
      <c r="F979">
        <v>2</v>
      </c>
      <c r="G979" s="1">
        <v>11</v>
      </c>
      <c r="H979" s="16">
        <f t="shared" si="452"/>
        <v>262</v>
      </c>
      <c r="I979">
        <v>0</v>
      </c>
      <c r="J979" s="17">
        <f t="shared" si="453"/>
        <v>0</v>
      </c>
      <c r="K979">
        <v>0</v>
      </c>
      <c r="L979">
        <v>1</v>
      </c>
      <c r="M979" s="17">
        <f t="shared" si="454"/>
        <v>0</v>
      </c>
      <c r="N979" s="17">
        <f t="shared" si="455"/>
        <v>0.5</v>
      </c>
      <c r="O979" s="18">
        <f t="shared" si="456"/>
        <v>0</v>
      </c>
      <c r="P979">
        <v>0</v>
      </c>
      <c r="Q979">
        <v>0</v>
      </c>
      <c r="R979" s="17">
        <f t="shared" si="457"/>
        <v>0</v>
      </c>
      <c r="S979" s="17">
        <f t="shared" si="458"/>
        <v>0</v>
      </c>
      <c r="T979" s="18" t="e">
        <f t="shared" si="459"/>
        <v>#DIV/0!</v>
      </c>
      <c r="U979">
        <v>0</v>
      </c>
      <c r="V979">
        <v>1</v>
      </c>
      <c r="W979" s="17">
        <f t="shared" si="460"/>
        <v>0</v>
      </c>
      <c r="X979" s="17">
        <f t="shared" si="461"/>
        <v>0.5</v>
      </c>
      <c r="Y979" s="18">
        <f t="shared" si="462"/>
        <v>0</v>
      </c>
      <c r="Z979">
        <v>0</v>
      </c>
      <c r="AA979">
        <v>0</v>
      </c>
      <c r="AB979" s="17">
        <f t="shared" si="463"/>
        <v>0</v>
      </c>
      <c r="AC979" s="17">
        <f t="shared" si="464"/>
        <v>0</v>
      </c>
      <c r="AD979" s="18" t="e">
        <f t="shared" si="465"/>
        <v>#DIV/0!</v>
      </c>
      <c r="AE979">
        <v>0</v>
      </c>
      <c r="AF979" s="17">
        <f t="shared" si="466"/>
        <v>0</v>
      </c>
      <c r="AG979">
        <v>0</v>
      </c>
      <c r="AH979" s="17">
        <f t="shared" si="467"/>
        <v>0</v>
      </c>
      <c r="AI979">
        <v>0</v>
      </c>
      <c r="AJ979" s="17">
        <f t="shared" si="468"/>
        <v>0</v>
      </c>
      <c r="AK979">
        <v>0</v>
      </c>
      <c r="AL979" s="17">
        <f t="shared" si="469"/>
        <v>0</v>
      </c>
      <c r="AM979">
        <v>1</v>
      </c>
      <c r="AN979" s="17">
        <f t="shared" si="470"/>
        <v>0.5</v>
      </c>
      <c r="AO979">
        <v>0</v>
      </c>
      <c r="AQ979">
        <v>0</v>
      </c>
      <c r="AR979" s="17">
        <f t="shared" si="471"/>
        <v>0</v>
      </c>
      <c r="AS979">
        <v>0</v>
      </c>
      <c r="AT979" s="17">
        <f t="shared" si="472"/>
        <v>0</v>
      </c>
      <c r="BD979" s="65">
        <f t="shared" si="473"/>
        <v>0</v>
      </c>
      <c r="BE979" s="65">
        <f t="shared" si="474"/>
        <v>0</v>
      </c>
      <c r="BF979" s="66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2.8865902008922455</v>
      </c>
      <c r="BG979" s="38">
        <f t="shared" si="475"/>
        <v>1</v>
      </c>
      <c r="BH979" s="38">
        <f t="shared" si="476"/>
        <v>0</v>
      </c>
      <c r="BI979" s="67">
        <f>IFERROR(((AG979*(12000/5))/((F979*60+G979)*(SUMIFS(팀공격력!X:X,팀공격력!A:A,B979,팀공격력!B:B,D979)+SUMIFS(팀수비력!X:X,팀수비력!A:A,B979,팀수비력!B:B,D979))))*100,"")</f>
        <v>0</v>
      </c>
      <c r="BJ979" s="67">
        <f>IFERROR(((AI979*(12000/5))/((F979*60+G979)*(SUMIFS(팀공격력!V:V,팀공격력!A:A,B979,팀공격력!B:B,D979)+SUMIFS(팀수비력!W:W,팀수비력!A:A,B979,팀수비력!B:B,D979))))*100,"")</f>
        <v>0</v>
      </c>
      <c r="BK979" s="67">
        <f>IFERROR(((AE979*(12000/5))/((F979*60+G979)*(SUMIFS(팀공격력!X:X,팀공격력!A:A,B979,팀공격력!B:B,D979)+SUMIFS(팀수비력!X:X,팀수비력!A:A,B979,팀수비력!B:B,D979))))*100,"")</f>
        <v>0</v>
      </c>
      <c r="BL979" s="67">
        <f>IFERROR(100*AK979/(((((F979*60+G979)/(12000/5))*SUMIFS(팀공격력!P:P,팀공격력!A:A,B979,팀공격력!B:B,D979))-K979)),"")</f>
        <v>0</v>
      </c>
      <c r="BM979" s="67">
        <f>IFERROR(100*((AM979/E979*(2400))/((F979*60+G979)*SUMIFS(팀공격력!AR:AR,팀공격력!A:A,B979,팀공격력!B:B,D979))),"")</f>
        <v>14.921883362461417</v>
      </c>
      <c r="BN979" s="67">
        <f>IFERROR((AO979*40)/(((F979*60+G979)/60)*(SUMIFS(팀수비력!Q:Q,팀수비력!A:A,B979,팀수비력!B:B,D979)-SUMIFS(팀수비력!N:N,팀수비력!A:A,B979,팀수비력!B:B,D979)))*100,"")</f>
        <v>0</v>
      </c>
      <c r="BO979" s="67">
        <f t="shared" si="477"/>
        <v>0</v>
      </c>
      <c r="BT979" t="s">
        <v>89</v>
      </c>
      <c r="BV979" t="s">
        <v>93</v>
      </c>
      <c r="CF979">
        <v>0</v>
      </c>
      <c r="CG979">
        <v>2</v>
      </c>
    </row>
    <row r="980" spans="1:85" x14ac:dyDescent="0.4">
      <c r="A980" s="11" t="s">
        <v>85</v>
      </c>
      <c r="B980" t="s">
        <v>123</v>
      </c>
      <c r="C980" t="s">
        <v>95</v>
      </c>
      <c r="D980" s="46" t="s">
        <v>313</v>
      </c>
      <c r="E980">
        <v>8</v>
      </c>
      <c r="F980">
        <v>19</v>
      </c>
      <c r="G980" s="1">
        <v>22</v>
      </c>
      <c r="H980" s="16">
        <f t="shared" si="452"/>
        <v>9296</v>
      </c>
      <c r="I980">
        <v>72</v>
      </c>
      <c r="J980" s="17">
        <f t="shared" si="453"/>
        <v>9</v>
      </c>
      <c r="K980">
        <v>32</v>
      </c>
      <c r="L980">
        <v>63</v>
      </c>
      <c r="M980" s="17">
        <f t="shared" si="454"/>
        <v>4</v>
      </c>
      <c r="N980" s="17">
        <f t="shared" si="455"/>
        <v>7.875</v>
      </c>
      <c r="O980" s="18">
        <f t="shared" si="456"/>
        <v>0.50793650793650791</v>
      </c>
      <c r="P980">
        <v>32</v>
      </c>
      <c r="Q980">
        <v>62</v>
      </c>
      <c r="R980" s="17">
        <f t="shared" si="457"/>
        <v>4</v>
      </c>
      <c r="S980" s="17">
        <f t="shared" si="458"/>
        <v>7.75</v>
      </c>
      <c r="T980" s="18">
        <f t="shared" si="459"/>
        <v>0.5161290322580645</v>
      </c>
      <c r="U980">
        <v>0</v>
      </c>
      <c r="V980">
        <v>1</v>
      </c>
      <c r="W980" s="17">
        <f t="shared" si="460"/>
        <v>0</v>
      </c>
      <c r="X980" s="17">
        <f t="shared" si="461"/>
        <v>0.125</v>
      </c>
      <c r="Y980" s="18">
        <f t="shared" si="462"/>
        <v>0</v>
      </c>
      <c r="Z980">
        <v>8</v>
      </c>
      <c r="AA980">
        <v>16</v>
      </c>
      <c r="AB980" s="17">
        <f t="shared" si="463"/>
        <v>1</v>
      </c>
      <c r="AC980" s="17">
        <f t="shared" si="464"/>
        <v>2</v>
      </c>
      <c r="AD980" s="18">
        <f t="shared" si="465"/>
        <v>0.5</v>
      </c>
      <c r="AE980">
        <v>53</v>
      </c>
      <c r="AF980" s="17">
        <f t="shared" si="466"/>
        <v>6.625</v>
      </c>
      <c r="AG980">
        <v>21</v>
      </c>
      <c r="AH980" s="17">
        <f t="shared" si="467"/>
        <v>2.625</v>
      </c>
      <c r="AI980">
        <v>32</v>
      </c>
      <c r="AJ980" s="17">
        <f t="shared" si="468"/>
        <v>4</v>
      </c>
      <c r="AK980">
        <v>10</v>
      </c>
      <c r="AL980" s="17">
        <f t="shared" si="469"/>
        <v>1.25</v>
      </c>
      <c r="AM980">
        <v>10</v>
      </c>
      <c r="AN980" s="17">
        <f t="shared" si="470"/>
        <v>1.25</v>
      </c>
      <c r="AO980">
        <v>11</v>
      </c>
      <c r="AQ980">
        <v>14</v>
      </c>
      <c r="AR980" s="17">
        <f t="shared" si="471"/>
        <v>1.75</v>
      </c>
      <c r="AS980">
        <v>14</v>
      </c>
      <c r="AT980" s="17">
        <f t="shared" si="472"/>
        <v>1.75</v>
      </c>
      <c r="BD980" s="65">
        <f t="shared" si="473"/>
        <v>51.399200456881779</v>
      </c>
      <c r="BE980" s="65">
        <f t="shared" si="474"/>
        <v>50.793650793650791</v>
      </c>
      <c r="BF980" s="66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27.348678402126463</v>
      </c>
      <c r="BG980" s="38">
        <f t="shared" si="475"/>
        <v>1.5873015873015872E-2</v>
      </c>
      <c r="BH980" s="38">
        <f t="shared" si="476"/>
        <v>0.25396825396825395</v>
      </c>
      <c r="BI980" s="67">
        <f>IFERROR(((AG980*(12000/5))/((F980*60+G980)*(SUMIFS(팀공격력!X:X,팀공격력!A:A,B980,팀공격력!B:B,D980)+SUMIFS(팀수비력!X:X,팀수비력!A:A,B980,팀수비력!B:B,D980))))*100,"")</f>
        <v>7.9877521134260805</v>
      </c>
      <c r="BJ980" s="67">
        <f>IFERROR(((AI980*(12000/5))/((F980*60+G980)*(SUMIFS(팀공격력!V:V,팀공격력!A:A,B980,팀공격력!B:B,D980)+SUMIFS(팀수비력!W:W,팀수비력!A:A,B980,팀수비력!B:B,D980))))*100,"")</f>
        <v>24.209869304533676</v>
      </c>
      <c r="BK980" s="67">
        <f>IFERROR(((AE980*(12000/5))/((F980*60+G980)*(SUMIFS(팀공격력!X:X,팀공격력!A:A,B980,팀공격력!B:B,D980)+SUMIFS(팀수비력!X:X,팀수비력!A:A,B980,팀수비력!B:B,D980))))*100,"")</f>
        <v>20.159564857694392</v>
      </c>
      <c r="BL980" s="67">
        <f>IFERROR(100*AK980/(((((F980*60+G980)/(12000/5))*SUMIFS(팀공격력!P:P,팀공격력!A:A,B980,팀공격력!B:B,D980))-K980)),"")</f>
        <v>12.916280972165415</v>
      </c>
      <c r="BM980" s="67">
        <f>IFERROR(100*((AM980/E980*(2400))/((F980*60+G980)*SUMIFS(팀공격력!AR:AR,팀공격력!A:A,B980,팀공격력!B:B,D980))),"")</f>
        <v>4.205608262655864</v>
      </c>
      <c r="BN980" s="67">
        <f>IFERROR((AO980*40)/(((F980*60+G980)/60)*(SUMIFS(팀수비력!Q:Q,팀수비력!A:A,B980,팀수비력!B:B,D980)-SUMIFS(팀수비력!N:N,팀수비력!A:A,B980,팀수비력!B:B,D980)))*100,"")</f>
        <v>7.3764445537251051</v>
      </c>
      <c r="BO980" s="67">
        <f t="shared" si="477"/>
        <v>16.658733936220845</v>
      </c>
      <c r="BT980" t="s">
        <v>96</v>
      </c>
      <c r="BV980" t="s">
        <v>93</v>
      </c>
      <c r="CF980">
        <v>2</v>
      </c>
      <c r="CG980">
        <v>6</v>
      </c>
    </row>
    <row r="981" spans="1:85" x14ac:dyDescent="0.4">
      <c r="A981" s="11" t="s">
        <v>85</v>
      </c>
      <c r="B981" t="s">
        <v>123</v>
      </c>
      <c r="C981" t="s">
        <v>128</v>
      </c>
      <c r="D981" s="46" t="s">
        <v>313</v>
      </c>
      <c r="E981">
        <v>4</v>
      </c>
      <c r="F981">
        <v>12</v>
      </c>
      <c r="G981" s="1">
        <v>53</v>
      </c>
      <c r="H981" s="16">
        <f t="shared" si="452"/>
        <v>3092</v>
      </c>
      <c r="I981">
        <v>8</v>
      </c>
      <c r="J981" s="17">
        <f t="shared" si="453"/>
        <v>2</v>
      </c>
      <c r="K981">
        <v>3</v>
      </c>
      <c r="L981">
        <v>11</v>
      </c>
      <c r="M981" s="17">
        <f t="shared" si="454"/>
        <v>0.75</v>
      </c>
      <c r="N981" s="17">
        <f t="shared" si="455"/>
        <v>2.75</v>
      </c>
      <c r="O981" s="18">
        <f t="shared" si="456"/>
        <v>0.27272727272727271</v>
      </c>
      <c r="P981">
        <v>1</v>
      </c>
      <c r="Q981">
        <v>2</v>
      </c>
      <c r="R981" s="17">
        <f t="shared" si="457"/>
        <v>0.25</v>
      </c>
      <c r="S981" s="17">
        <f t="shared" si="458"/>
        <v>0.5</v>
      </c>
      <c r="T981" s="18">
        <f t="shared" si="459"/>
        <v>0.5</v>
      </c>
      <c r="U981">
        <v>2</v>
      </c>
      <c r="V981">
        <v>9</v>
      </c>
      <c r="W981" s="17">
        <f t="shared" si="460"/>
        <v>0.5</v>
      </c>
      <c r="X981" s="17">
        <f t="shared" si="461"/>
        <v>2.25</v>
      </c>
      <c r="Y981" s="18">
        <f t="shared" si="462"/>
        <v>0.22222222222222221</v>
      </c>
      <c r="Z981">
        <v>0</v>
      </c>
      <c r="AA981">
        <v>0</v>
      </c>
      <c r="AB981" s="17">
        <f t="shared" si="463"/>
        <v>0</v>
      </c>
      <c r="AC981" s="17">
        <f t="shared" si="464"/>
        <v>0</v>
      </c>
      <c r="AD981" s="18" t="e">
        <f t="shared" si="465"/>
        <v>#DIV/0!</v>
      </c>
      <c r="AE981">
        <v>8</v>
      </c>
      <c r="AF981" s="17">
        <f t="shared" si="466"/>
        <v>2</v>
      </c>
      <c r="AG981">
        <v>4</v>
      </c>
      <c r="AH981" s="17">
        <f t="shared" si="467"/>
        <v>1</v>
      </c>
      <c r="AI981">
        <v>4</v>
      </c>
      <c r="AJ981" s="17">
        <f t="shared" si="468"/>
        <v>1</v>
      </c>
      <c r="AK981">
        <v>1</v>
      </c>
      <c r="AL981" s="17">
        <f t="shared" si="469"/>
        <v>0.25</v>
      </c>
      <c r="AM981">
        <v>2</v>
      </c>
      <c r="AN981" s="17">
        <f t="shared" si="470"/>
        <v>0.5</v>
      </c>
      <c r="AO981">
        <v>0</v>
      </c>
      <c r="AQ981">
        <v>0</v>
      </c>
      <c r="AR981" s="17">
        <f t="shared" si="471"/>
        <v>0</v>
      </c>
      <c r="AS981">
        <v>8</v>
      </c>
      <c r="AT981" s="17">
        <f t="shared" si="472"/>
        <v>2</v>
      </c>
      <c r="BD981" s="65">
        <f t="shared" si="473"/>
        <v>36.363636363636367</v>
      </c>
      <c r="BE981" s="65">
        <f t="shared" si="474"/>
        <v>36.363636363636367</v>
      </c>
      <c r="BF981" s="66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5.3810821209388431</v>
      </c>
      <c r="BG981" s="38">
        <f t="shared" si="475"/>
        <v>0.81818181818181823</v>
      </c>
      <c r="BH981" s="38">
        <f t="shared" si="476"/>
        <v>0</v>
      </c>
      <c r="BI981" s="67">
        <f>IFERROR(((AG981*(12000/5))/((F981*60+G981)*(SUMIFS(팀공격력!X:X,팀공격력!A:A,B981,팀공격력!B:B,D981)+SUMIFS(팀수비력!X:X,팀수비력!A:A,B981,팀수비력!B:B,D981))))*100,"")</f>
        <v>2.2871355771086321</v>
      </c>
      <c r="BJ981" s="67">
        <f>IFERROR(((AI981*(12000/5))/((F981*60+G981)*(SUMIFS(팀공격력!V:V,팀공격력!A:A,B981,팀공격력!B:B,D981)+SUMIFS(팀수비력!W:W,팀수비력!A:A,B981,팀수비력!B:B,D981))))*100,"")</f>
        <v>4.5491377962270585</v>
      </c>
      <c r="BK981" s="67">
        <f>IFERROR(((AE981*(12000/5))/((F981*60+G981)*(SUMIFS(팀공격력!X:X,팀공격력!A:A,B981,팀공격력!B:B,D981)+SUMIFS(팀수비력!X:X,팀수비력!A:A,B981,팀수비력!B:B,D981))))*100,"")</f>
        <v>4.5742711542172643</v>
      </c>
      <c r="BL981" s="67">
        <f>IFERROR(100*AK981/(((((F981*60+G981)/(12000/5))*SUMIFS(팀공격력!P:P,팀공격력!A:A,B981,팀공격력!B:B,D981))-K981)),"")</f>
        <v>1.4328529295872188</v>
      </c>
      <c r="BM981" s="67">
        <f>IFERROR(100*((AM981/E981*(2400))/((F981*60+G981)*SUMIFS(팀공격력!AR:AR,팀공격력!A:A,B981,팀공격력!B:B,D981))),"")</f>
        <v>2.5288055892399037</v>
      </c>
      <c r="BN981" s="67">
        <f>IFERROR((AO981*40)/(((F981*60+G981)/60)*(SUMIFS(팀수비력!Q:Q,팀수비력!A:A,B981,팀수비력!B:B,D981)-SUMIFS(팀수비력!N:N,팀수비력!A:A,B981,팀수비력!B:B,D981)))*100,"")</f>
        <v>0</v>
      </c>
      <c r="BO981" s="67">
        <f t="shared" si="477"/>
        <v>0</v>
      </c>
      <c r="BT981" t="s">
        <v>89</v>
      </c>
      <c r="BV981" t="s">
        <v>93</v>
      </c>
      <c r="CF981">
        <v>1</v>
      </c>
      <c r="CG981">
        <v>3</v>
      </c>
    </row>
    <row r="982" spans="1:85" x14ac:dyDescent="0.4">
      <c r="A982" s="11" t="s">
        <v>85</v>
      </c>
      <c r="B982" t="s">
        <v>123</v>
      </c>
      <c r="C982" t="s">
        <v>129</v>
      </c>
      <c r="D982" s="46" t="s">
        <v>313</v>
      </c>
      <c r="E982">
        <v>8</v>
      </c>
      <c r="F982">
        <v>25</v>
      </c>
      <c r="G982" s="1">
        <v>39</v>
      </c>
      <c r="H982" s="16">
        <f t="shared" si="452"/>
        <v>12312</v>
      </c>
      <c r="I982">
        <v>48</v>
      </c>
      <c r="J982" s="17">
        <f t="shared" si="453"/>
        <v>6</v>
      </c>
      <c r="K982">
        <v>19</v>
      </c>
      <c r="L982">
        <v>41</v>
      </c>
      <c r="M982" s="17">
        <f t="shared" si="454"/>
        <v>2.375</v>
      </c>
      <c r="N982" s="17">
        <f t="shared" si="455"/>
        <v>5.125</v>
      </c>
      <c r="O982" s="18">
        <f t="shared" si="456"/>
        <v>0.46341463414634149</v>
      </c>
      <c r="P982">
        <v>9</v>
      </c>
      <c r="Q982">
        <v>19</v>
      </c>
      <c r="R982" s="17">
        <f t="shared" si="457"/>
        <v>1.125</v>
      </c>
      <c r="S982" s="17">
        <f t="shared" si="458"/>
        <v>2.375</v>
      </c>
      <c r="T982" s="18">
        <f t="shared" si="459"/>
        <v>0.47368421052631576</v>
      </c>
      <c r="U982">
        <v>10</v>
      </c>
      <c r="V982">
        <v>22</v>
      </c>
      <c r="W982" s="17">
        <f t="shared" si="460"/>
        <v>1.25</v>
      </c>
      <c r="X982" s="17">
        <f t="shared" si="461"/>
        <v>2.75</v>
      </c>
      <c r="Y982" s="18">
        <f t="shared" si="462"/>
        <v>0.45454545454545453</v>
      </c>
      <c r="Z982">
        <v>0</v>
      </c>
      <c r="AA982">
        <v>0</v>
      </c>
      <c r="AB982" s="17">
        <f t="shared" si="463"/>
        <v>0</v>
      </c>
      <c r="AC982" s="17">
        <f t="shared" si="464"/>
        <v>0</v>
      </c>
      <c r="AD982" s="18" t="e">
        <f t="shared" si="465"/>
        <v>#DIV/0!</v>
      </c>
      <c r="AE982">
        <v>23</v>
      </c>
      <c r="AF982" s="17">
        <f t="shared" si="466"/>
        <v>2.875</v>
      </c>
      <c r="AG982">
        <v>6</v>
      </c>
      <c r="AH982" s="17">
        <f t="shared" si="467"/>
        <v>0.75</v>
      </c>
      <c r="AI982">
        <v>17</v>
      </c>
      <c r="AJ982" s="17">
        <f t="shared" si="468"/>
        <v>2.125</v>
      </c>
      <c r="AK982">
        <v>11</v>
      </c>
      <c r="AL982" s="17">
        <f t="shared" si="469"/>
        <v>1.375</v>
      </c>
      <c r="AM982">
        <v>4</v>
      </c>
      <c r="AN982" s="17">
        <f t="shared" si="470"/>
        <v>0.5</v>
      </c>
      <c r="AO982">
        <v>1</v>
      </c>
      <c r="AQ982">
        <v>4</v>
      </c>
      <c r="AR982" s="17">
        <f t="shared" si="471"/>
        <v>0.5</v>
      </c>
      <c r="AS982">
        <v>25</v>
      </c>
      <c r="AT982" s="17">
        <f t="shared" si="472"/>
        <v>3.125</v>
      </c>
      <c r="BD982" s="65">
        <f t="shared" si="473"/>
        <v>58.536585365853654</v>
      </c>
      <c r="BE982" s="65">
        <f t="shared" si="474"/>
        <v>58.536585365853654</v>
      </c>
      <c r="BF982" s="66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11.056822114528776</v>
      </c>
      <c r="BG982" s="38">
        <f t="shared" si="475"/>
        <v>0.53658536585365857</v>
      </c>
      <c r="BH982" s="38">
        <f t="shared" si="476"/>
        <v>0</v>
      </c>
      <c r="BI982" s="67">
        <f>IFERROR(((AG982*(12000/5))/((F982*60+G982)*(SUMIFS(팀공격력!X:X,팀공격력!A:A,B982,팀공격력!B:B,D982)+SUMIFS(팀수비력!X:X,팀수비력!A:A,B982,팀수비력!B:B,D982))))*100,"")</f>
        <v>1.7231538022465618</v>
      </c>
      <c r="BJ982" s="67">
        <f>IFERROR(((AI982*(12000/5))/((F982*60+G982)*(SUMIFS(팀공격력!V:V,팀공격력!A:A,B982,팀공격력!B:B,D982)+SUMIFS(팀수비력!W:W,팀수비력!A:A,B982,팀수비력!B:B,D982))))*100,"")</f>
        <v>9.7108869038693602</v>
      </c>
      <c r="BK982" s="67">
        <f>IFERROR(((AE982*(12000/5))/((F982*60+G982)*(SUMIFS(팀공격력!X:X,팀공격력!A:A,B982,팀공격력!B:B,D982)+SUMIFS(팀수비력!X:X,팀수비력!A:A,B982,팀수비력!B:B,D982))))*100,"")</f>
        <v>6.6054229086118204</v>
      </c>
      <c r="BL982" s="67">
        <f>IFERROR(100*AK982/(((((F982*60+G982)/(12000/5))*SUMIFS(팀공격력!P:P,팀공격력!A:A,B982,팀공격력!B:B,D982))-K982)),"")</f>
        <v>8.7355317754968347</v>
      </c>
      <c r="BM982" s="67">
        <f>IFERROR(100*((AM982/E982*(2400))/((F982*60+G982)*SUMIFS(팀공격력!AR:AR,팀공격력!A:A,B982,팀공격력!B:B,D982))),"")</f>
        <v>1.2701538144785223</v>
      </c>
      <c r="BN982" s="67">
        <f>IFERROR((AO982*40)/(((F982*60+G982)/60)*(SUMIFS(팀수비력!Q:Q,팀수비력!A:A,B982,팀수비력!B:B,D982)-SUMIFS(팀수비력!N:N,팀수비력!A:A,B982,팀수비력!B:B,D982)))*100,"")</f>
        <v>0.50631629578997994</v>
      </c>
      <c r="BO982" s="67">
        <f t="shared" si="477"/>
        <v>8.8888888888888893</v>
      </c>
      <c r="BT982" t="s">
        <v>89</v>
      </c>
      <c r="BV982" t="s">
        <v>93</v>
      </c>
      <c r="CF982">
        <v>2</v>
      </c>
      <c r="CG982">
        <v>6</v>
      </c>
    </row>
    <row r="983" spans="1:85" x14ac:dyDescent="0.4">
      <c r="A983" s="11" t="s">
        <v>85</v>
      </c>
      <c r="B983" t="s">
        <v>123</v>
      </c>
      <c r="C983" t="s">
        <v>130</v>
      </c>
      <c r="D983" s="46" t="s">
        <v>313</v>
      </c>
      <c r="E983">
        <v>6</v>
      </c>
      <c r="F983">
        <v>23</v>
      </c>
      <c r="G983" s="1">
        <v>34</v>
      </c>
      <c r="H983" s="16">
        <f t="shared" si="452"/>
        <v>8484</v>
      </c>
      <c r="I983">
        <v>43</v>
      </c>
      <c r="J983" s="17">
        <f t="shared" si="453"/>
        <v>7.166666666666667</v>
      </c>
      <c r="K983">
        <v>16</v>
      </c>
      <c r="L983">
        <v>50</v>
      </c>
      <c r="M983" s="17">
        <f t="shared" si="454"/>
        <v>2.6666666666666665</v>
      </c>
      <c r="N983" s="17">
        <f t="shared" si="455"/>
        <v>8.3333333333333339</v>
      </c>
      <c r="O983" s="18">
        <f t="shared" si="456"/>
        <v>0.32</v>
      </c>
      <c r="P983">
        <v>15</v>
      </c>
      <c r="Q983">
        <v>36</v>
      </c>
      <c r="R983" s="17">
        <f t="shared" si="457"/>
        <v>2.5</v>
      </c>
      <c r="S983" s="17">
        <f t="shared" si="458"/>
        <v>6</v>
      </c>
      <c r="T983" s="18">
        <f t="shared" si="459"/>
        <v>0.41666666666666669</v>
      </c>
      <c r="U983">
        <v>1</v>
      </c>
      <c r="V983">
        <v>14</v>
      </c>
      <c r="W983" s="17">
        <f t="shared" si="460"/>
        <v>0.16666666666666666</v>
      </c>
      <c r="X983" s="17">
        <f t="shared" si="461"/>
        <v>2.3333333333333335</v>
      </c>
      <c r="Y983" s="18">
        <f t="shared" si="462"/>
        <v>7.1428571428571425E-2</v>
      </c>
      <c r="Z983">
        <v>10</v>
      </c>
      <c r="AA983">
        <v>15</v>
      </c>
      <c r="AB983" s="17">
        <f t="shared" si="463"/>
        <v>1.6666666666666667</v>
      </c>
      <c r="AC983" s="17">
        <f t="shared" si="464"/>
        <v>2.5</v>
      </c>
      <c r="AD983" s="18">
        <f t="shared" si="465"/>
        <v>0.66666666666666663</v>
      </c>
      <c r="AE983">
        <v>11</v>
      </c>
      <c r="AF983" s="17">
        <f t="shared" si="466"/>
        <v>1.8333333333333333</v>
      </c>
      <c r="AG983">
        <v>4</v>
      </c>
      <c r="AH983" s="17">
        <f t="shared" si="467"/>
        <v>0.66666666666666663</v>
      </c>
      <c r="AI983">
        <v>7</v>
      </c>
      <c r="AJ983" s="17">
        <f t="shared" si="468"/>
        <v>1.1666666666666667</v>
      </c>
      <c r="AK983">
        <v>26</v>
      </c>
      <c r="AL983" s="17">
        <f t="shared" si="469"/>
        <v>4.333333333333333</v>
      </c>
      <c r="AM983">
        <v>6</v>
      </c>
      <c r="AN983" s="17">
        <f t="shared" si="470"/>
        <v>1</v>
      </c>
      <c r="AO983">
        <v>0</v>
      </c>
      <c r="AQ983">
        <v>7</v>
      </c>
      <c r="AR983" s="17">
        <f t="shared" si="471"/>
        <v>1.1666666666666667</v>
      </c>
      <c r="AS983">
        <v>12</v>
      </c>
      <c r="AT983" s="17">
        <f t="shared" si="472"/>
        <v>2</v>
      </c>
      <c r="BD983" s="65">
        <f t="shared" si="473"/>
        <v>37.985865724381625</v>
      </c>
      <c r="BE983" s="65">
        <f t="shared" si="474"/>
        <v>33</v>
      </c>
      <c r="BF983" s="66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17.00842639162223</v>
      </c>
      <c r="BG983" s="38">
        <f t="shared" si="475"/>
        <v>0.28000000000000003</v>
      </c>
      <c r="BH983" s="38">
        <f t="shared" si="476"/>
        <v>0.3</v>
      </c>
      <c r="BI983" s="67">
        <f>IFERROR(((AG983*(12000/5))/((F983*60+G983)*(SUMIFS(팀공격력!X:X,팀공격력!A:A,B983,팀공격력!B:B,D983)+SUMIFS(팀수비력!X:X,팀수비력!A:A,B983,팀수비력!B:B,D983))))*100,"")</f>
        <v>1.2503223487305319</v>
      </c>
      <c r="BJ983" s="67">
        <f>IFERROR(((AI983*(12000/5))/((F983*60+G983)*(SUMIFS(팀공격력!V:V,팀공격력!A:A,B983,팀공격력!B:B,D983)+SUMIFS(팀수비력!W:W,팀수비력!A:A,B983,팀수비력!B:B,D983))))*100,"")</f>
        <v>4.3520835600043526</v>
      </c>
      <c r="BK983" s="67">
        <f>IFERROR(((AE983*(12000/5))/((F983*60+G983)*(SUMIFS(팀공격력!X:X,팀공격력!A:A,B983,팀공격력!B:B,D983)+SUMIFS(팀수비력!X:X,팀수비력!A:A,B983,팀수비력!B:B,D983))))*100,"")</f>
        <v>3.4383864590089628</v>
      </c>
      <c r="BL983" s="67">
        <f>IFERROR(100*AK983/(((((F983*60+G983)/(12000/5))*SUMIFS(팀공격력!P:P,팀공격력!A:A,B983,팀공격력!B:B,D983))-K983)),"")</f>
        <v>22.193452931385245</v>
      </c>
      <c r="BM983" s="67">
        <f>IFERROR(100*((AM983/E983*(2400))/((F983*60+G983)*SUMIFS(팀공격력!AR:AR,팀공격력!A:A,B983,팀공격력!B:B,D983))),"")</f>
        <v>2.7648751350529639</v>
      </c>
      <c r="BN983" s="67">
        <f>IFERROR((AO983*40)/(((F983*60+G983)/60)*(SUMIFS(팀수비력!Q:Q,팀수비력!A:A,B983,팀수비력!B:B,D983)-SUMIFS(팀수비력!N:N,팀수비력!A:A,B983,팀수비력!B:B,D983)))*100,"")</f>
        <v>0</v>
      </c>
      <c r="BO983" s="67">
        <f t="shared" si="477"/>
        <v>11.0062893081761</v>
      </c>
      <c r="BT983" t="s">
        <v>113</v>
      </c>
      <c r="BV983" t="s">
        <v>90</v>
      </c>
      <c r="CF983">
        <v>2</v>
      </c>
      <c r="CG983">
        <v>4</v>
      </c>
    </row>
    <row r="984" spans="1:85" x14ac:dyDescent="0.4">
      <c r="A984" s="11" t="s">
        <v>85</v>
      </c>
      <c r="B984" t="s">
        <v>123</v>
      </c>
      <c r="C984" t="s">
        <v>131</v>
      </c>
      <c r="D984" s="46" t="s">
        <v>313</v>
      </c>
      <c r="E984">
        <v>8</v>
      </c>
      <c r="F984">
        <v>32</v>
      </c>
      <c r="G984" s="1">
        <v>57</v>
      </c>
      <c r="H984" s="16">
        <f t="shared" si="452"/>
        <v>15816</v>
      </c>
      <c r="I984">
        <v>105</v>
      </c>
      <c r="J984" s="17">
        <f t="shared" si="453"/>
        <v>13.125</v>
      </c>
      <c r="K984">
        <v>37</v>
      </c>
      <c r="L984">
        <v>85</v>
      </c>
      <c r="M984" s="17">
        <f t="shared" si="454"/>
        <v>4.625</v>
      </c>
      <c r="N984" s="17">
        <f t="shared" si="455"/>
        <v>10.625</v>
      </c>
      <c r="O984" s="18">
        <f t="shared" si="456"/>
        <v>0.43529411764705883</v>
      </c>
      <c r="P984">
        <v>22</v>
      </c>
      <c r="Q984">
        <v>51</v>
      </c>
      <c r="R984" s="17">
        <f t="shared" si="457"/>
        <v>2.75</v>
      </c>
      <c r="S984" s="17">
        <f t="shared" si="458"/>
        <v>6.375</v>
      </c>
      <c r="T984" s="18">
        <f t="shared" si="459"/>
        <v>0.43137254901960786</v>
      </c>
      <c r="U984">
        <v>15</v>
      </c>
      <c r="V984">
        <v>34</v>
      </c>
      <c r="W984" s="17">
        <f t="shared" si="460"/>
        <v>1.875</v>
      </c>
      <c r="X984" s="17">
        <f t="shared" si="461"/>
        <v>4.25</v>
      </c>
      <c r="Y984" s="18">
        <f t="shared" si="462"/>
        <v>0.44117647058823528</v>
      </c>
      <c r="Z984">
        <v>16</v>
      </c>
      <c r="AA984">
        <v>23</v>
      </c>
      <c r="AB984" s="17">
        <f t="shared" si="463"/>
        <v>2</v>
      </c>
      <c r="AC984" s="17">
        <f t="shared" si="464"/>
        <v>2.875</v>
      </c>
      <c r="AD984" s="18">
        <f t="shared" si="465"/>
        <v>0.69565217391304346</v>
      </c>
      <c r="AE984">
        <v>40</v>
      </c>
      <c r="AF984" s="17">
        <f t="shared" si="466"/>
        <v>5</v>
      </c>
      <c r="AG984">
        <v>9</v>
      </c>
      <c r="AH984" s="17">
        <f t="shared" si="467"/>
        <v>1.125</v>
      </c>
      <c r="AI984">
        <v>31</v>
      </c>
      <c r="AJ984" s="17">
        <f t="shared" si="468"/>
        <v>3.875</v>
      </c>
      <c r="AK984">
        <v>19</v>
      </c>
      <c r="AL984" s="17">
        <f t="shared" si="469"/>
        <v>2.375</v>
      </c>
      <c r="AM984">
        <v>6</v>
      </c>
      <c r="AN984" s="17">
        <f t="shared" si="470"/>
        <v>0.75</v>
      </c>
      <c r="AO984">
        <v>2</v>
      </c>
      <c r="AQ984">
        <v>14</v>
      </c>
      <c r="AR984" s="17">
        <f t="shared" si="471"/>
        <v>1.75</v>
      </c>
      <c r="AS984">
        <v>18</v>
      </c>
      <c r="AT984" s="17">
        <f t="shared" si="472"/>
        <v>2.25</v>
      </c>
      <c r="BD984" s="65">
        <f t="shared" si="473"/>
        <v>55.193439865433135</v>
      </c>
      <c r="BE984" s="65">
        <f t="shared" si="474"/>
        <v>52.352941176470594</v>
      </c>
      <c r="BF984" s="66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20.871521839402327</v>
      </c>
      <c r="BG984" s="38">
        <f t="shared" si="475"/>
        <v>0.4</v>
      </c>
      <c r="BH984" s="38">
        <f t="shared" si="476"/>
        <v>0.27058823529411763</v>
      </c>
      <c r="BI984" s="67">
        <f>IFERROR(((AG984*(12000/5))/((F984*60+G984)*(SUMIFS(팀공격력!X:X,팀공격력!A:A,B984,팀공격력!B:B,D984)+SUMIFS(팀수비력!X:X,팀수비력!A:A,B984,팀수비력!B:B,D984))))*100,"")</f>
        <v>2.0120893032302418</v>
      </c>
      <c r="BJ984" s="67">
        <f>IFERROR(((AI984*(12000/5))/((F984*60+G984)*(SUMIFS(팀공격력!V:V,팀공격력!A:A,B984,팀공격력!B:B,D984)+SUMIFS(팀수비력!W:W,팀수비력!A:A,B984,팀수비력!B:B,D984))))*100,"")</f>
        <v>13.784899976098764</v>
      </c>
      <c r="BK984" s="67">
        <f>IFERROR(((AE984*(12000/5))/((F984*60+G984)*(SUMIFS(팀공격력!X:X,팀공격력!A:A,B984,팀공격력!B:B,D984)+SUMIFS(팀수비력!X:X,팀수비력!A:A,B984,팀수비력!B:B,D984))))*100,"")</f>
        <v>8.9426191254677398</v>
      </c>
      <c r="BL984" s="67">
        <f>IFERROR(100*AK984/(((((F984*60+G984)/(12000/5))*SUMIFS(팀공격력!P:P,팀공격력!A:A,B984,팀공격력!B:B,D984))-K984)),"")</f>
        <v>12.737359009167548</v>
      </c>
      <c r="BM984" s="67">
        <f>IFERROR(100*((AM984/E984*(2400))/((F984*60+G984)*SUMIFS(팀공격력!AR:AR,팀공격력!A:A,B984,팀공격력!B:B,D984))),"")</f>
        <v>1.4831310474070147</v>
      </c>
      <c r="BN984" s="67">
        <f>IFERROR((AO984*40)/(((F984*60+G984)/60)*(SUMIFS(팀수비력!Q:Q,팀수비력!A:A,B984,팀수비력!B:B,D984)-SUMIFS(팀수비력!N:N,팀수비력!A:A,B984,팀수비력!B:B,D984)))*100,"")</f>
        <v>0.78828606901444542</v>
      </c>
      <c r="BO984" s="67">
        <f t="shared" si="477"/>
        <v>12.829912023460411</v>
      </c>
      <c r="BT984" t="s">
        <v>89</v>
      </c>
      <c r="BV984" t="s">
        <v>93</v>
      </c>
      <c r="CF984">
        <v>2</v>
      </c>
      <c r="CG984">
        <v>6</v>
      </c>
    </row>
    <row r="985" spans="1:85" x14ac:dyDescent="0.4">
      <c r="A985" s="11" t="s">
        <v>85</v>
      </c>
      <c r="B985" t="s">
        <v>123</v>
      </c>
      <c r="C985" t="s">
        <v>132</v>
      </c>
      <c r="D985" s="46" t="s">
        <v>313</v>
      </c>
      <c r="E985">
        <v>7</v>
      </c>
      <c r="F985">
        <v>26</v>
      </c>
      <c r="G985" s="1">
        <v>22</v>
      </c>
      <c r="H985" s="16">
        <f t="shared" si="452"/>
        <v>11074</v>
      </c>
      <c r="I985">
        <v>53</v>
      </c>
      <c r="J985" s="17">
        <f t="shared" si="453"/>
        <v>7.5714285714285712</v>
      </c>
      <c r="K985">
        <v>18</v>
      </c>
      <c r="L985">
        <v>39</v>
      </c>
      <c r="M985" s="17">
        <f t="shared" si="454"/>
        <v>2.5714285714285716</v>
      </c>
      <c r="N985" s="17">
        <f t="shared" si="455"/>
        <v>5.5714285714285712</v>
      </c>
      <c r="O985" s="18">
        <f t="shared" si="456"/>
        <v>0.46153846153846156</v>
      </c>
      <c r="P985">
        <v>8</v>
      </c>
      <c r="Q985">
        <v>21</v>
      </c>
      <c r="R985" s="17">
        <f t="shared" si="457"/>
        <v>1.1428571428571428</v>
      </c>
      <c r="S985" s="17">
        <f t="shared" si="458"/>
        <v>3</v>
      </c>
      <c r="T985" s="18">
        <f t="shared" si="459"/>
        <v>0.38095238095238093</v>
      </c>
      <c r="U985">
        <v>10</v>
      </c>
      <c r="V985">
        <v>18</v>
      </c>
      <c r="W985" s="17">
        <f t="shared" si="460"/>
        <v>1.4285714285714286</v>
      </c>
      <c r="X985" s="17">
        <f t="shared" si="461"/>
        <v>2.5714285714285716</v>
      </c>
      <c r="Y985" s="18">
        <f t="shared" si="462"/>
        <v>0.55555555555555558</v>
      </c>
      <c r="Z985">
        <v>7</v>
      </c>
      <c r="AA985">
        <v>15</v>
      </c>
      <c r="AB985" s="17">
        <f t="shared" si="463"/>
        <v>1</v>
      </c>
      <c r="AC985" s="17">
        <f t="shared" si="464"/>
        <v>2.1428571428571428</v>
      </c>
      <c r="AD985" s="18">
        <f t="shared" si="465"/>
        <v>0.46666666666666667</v>
      </c>
      <c r="AE985">
        <v>29</v>
      </c>
      <c r="AF985" s="17">
        <f t="shared" si="466"/>
        <v>4.1428571428571432</v>
      </c>
      <c r="AG985">
        <v>7</v>
      </c>
      <c r="AH985" s="17">
        <f t="shared" si="467"/>
        <v>1</v>
      </c>
      <c r="AI985">
        <v>22</v>
      </c>
      <c r="AJ985" s="17">
        <f t="shared" si="468"/>
        <v>3.1428571428571428</v>
      </c>
      <c r="AK985">
        <v>12</v>
      </c>
      <c r="AL985" s="17">
        <f t="shared" si="469"/>
        <v>1.7142857142857142</v>
      </c>
      <c r="AM985">
        <v>4</v>
      </c>
      <c r="AN985" s="17">
        <f t="shared" si="470"/>
        <v>0.5714285714285714</v>
      </c>
      <c r="AO985">
        <v>6</v>
      </c>
      <c r="AQ985">
        <v>9</v>
      </c>
      <c r="AR985" s="17">
        <f t="shared" si="471"/>
        <v>1.2857142857142858</v>
      </c>
      <c r="AS985">
        <v>29</v>
      </c>
      <c r="AT985" s="17">
        <f t="shared" si="472"/>
        <v>4.1428571428571432</v>
      </c>
      <c r="BD985" s="65">
        <f t="shared" si="473"/>
        <v>58.114035087719294</v>
      </c>
      <c r="BE985" s="65">
        <f t="shared" si="474"/>
        <v>58.974358974358978</v>
      </c>
      <c r="BF985" s="66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13.050964014476532</v>
      </c>
      <c r="BG985" s="38">
        <f t="shared" si="475"/>
        <v>0.46153846153846156</v>
      </c>
      <c r="BH985" s="38">
        <f t="shared" si="476"/>
        <v>0.38461538461538464</v>
      </c>
      <c r="BI985" s="67">
        <f>IFERROR(((AG985*(12000/5))/((F985*60+G985)*(SUMIFS(팀공격력!X:X,팀공격력!A:A,B985,팀공격력!B:B,D985)+SUMIFS(팀수비력!X:X,팀수비력!A:A,B985,팀수비력!B:B,D985))))*100,"")</f>
        <v>1.9557033198063856</v>
      </c>
      <c r="BJ985" s="67">
        <f>IFERROR(((AI985*(12000/5))/((F985*60+G985)*(SUMIFS(팀공격력!V:V,팀공격력!A:A,B985,팀공격력!B:B,D985)+SUMIFS(팀수비력!W:W,팀수비력!A:A,B985,팀수비력!B:B,D985))))*100,"")</f>
        <v>12.225448382211972</v>
      </c>
      <c r="BK985" s="67">
        <f>IFERROR(((AE985*(12000/5))/((F985*60+G985)*(SUMIFS(팀공격력!X:X,팀공격력!A:A,B985,팀공격력!B:B,D985)+SUMIFS(팀수비력!X:X,팀수비력!A:A,B985,팀수비력!B:B,D985))))*100,"")</f>
        <v>8.1021994677693101</v>
      </c>
      <c r="BL985" s="67">
        <f>IFERROR(100*AK985/(((((F985*60+G985)/(12000/5))*SUMIFS(팀공격력!P:P,팀공격력!A:A,B985,팀공격력!B:B,D985))-K985)),"")</f>
        <v>9.1622870086405452</v>
      </c>
      <c r="BM985" s="67">
        <f>IFERROR(100*((AM985/E985*(2400))/((F985*60+G985)*SUMIFS(팀공격력!AR:AR,팀공격력!A:A,B985,팀공격력!B:B,D985))),"")</f>
        <v>1.4121486151218676</v>
      </c>
      <c r="BN985" s="67">
        <f>IFERROR((AO985*40)/(((F985*60+G985)/60)*(SUMIFS(팀수비력!Q:Q,팀수비력!A:A,B985,팀수비력!B:B,D985)-SUMIFS(팀수비력!N:N,팀수비력!A:A,B985,팀수비력!B:B,D985)))*100,"")</f>
        <v>2.9553253320636381</v>
      </c>
      <c r="BO985" s="67">
        <f t="shared" si="477"/>
        <v>16.483516483516482</v>
      </c>
      <c r="BT985" t="s">
        <v>89</v>
      </c>
      <c r="BV985" t="s">
        <v>102</v>
      </c>
      <c r="CF985">
        <v>2</v>
      </c>
      <c r="CG985">
        <v>5</v>
      </c>
    </row>
    <row r="986" spans="1:85" x14ac:dyDescent="0.4">
      <c r="A986" s="11" t="s">
        <v>85</v>
      </c>
      <c r="B986" t="s">
        <v>123</v>
      </c>
      <c r="C986" t="s">
        <v>133</v>
      </c>
      <c r="D986" s="46" t="s">
        <v>313</v>
      </c>
      <c r="E986">
        <v>7</v>
      </c>
      <c r="F986">
        <v>12</v>
      </c>
      <c r="G986" s="1">
        <v>23</v>
      </c>
      <c r="H986" s="16">
        <f t="shared" si="452"/>
        <v>5201</v>
      </c>
      <c r="I986">
        <v>11</v>
      </c>
      <c r="J986" s="17">
        <f t="shared" si="453"/>
        <v>1.5714285714285714</v>
      </c>
      <c r="K986">
        <v>3</v>
      </c>
      <c r="L986">
        <v>10</v>
      </c>
      <c r="M986" s="17">
        <f t="shared" si="454"/>
        <v>0.42857142857142855</v>
      </c>
      <c r="N986" s="17">
        <f t="shared" si="455"/>
        <v>1.4285714285714286</v>
      </c>
      <c r="O986" s="18">
        <f t="shared" si="456"/>
        <v>0.3</v>
      </c>
      <c r="P986">
        <v>3</v>
      </c>
      <c r="Q986">
        <v>6</v>
      </c>
      <c r="R986" s="17">
        <f t="shared" si="457"/>
        <v>0.42857142857142855</v>
      </c>
      <c r="S986" s="17">
        <f t="shared" si="458"/>
        <v>0.8571428571428571</v>
      </c>
      <c r="T986" s="18">
        <f t="shared" si="459"/>
        <v>0.5</v>
      </c>
      <c r="U986">
        <v>0</v>
      </c>
      <c r="V986">
        <v>4</v>
      </c>
      <c r="W986" s="17">
        <f t="shared" si="460"/>
        <v>0</v>
      </c>
      <c r="X986" s="17">
        <f t="shared" si="461"/>
        <v>0.5714285714285714</v>
      </c>
      <c r="Y986" s="18">
        <f t="shared" si="462"/>
        <v>0</v>
      </c>
      <c r="Z986">
        <v>5</v>
      </c>
      <c r="AA986">
        <v>7</v>
      </c>
      <c r="AB986" s="17">
        <f t="shared" si="463"/>
        <v>0.7142857142857143</v>
      </c>
      <c r="AC986" s="17">
        <f t="shared" si="464"/>
        <v>1</v>
      </c>
      <c r="AD986" s="18">
        <f t="shared" si="465"/>
        <v>0.7142857142857143</v>
      </c>
      <c r="AE986">
        <v>6</v>
      </c>
      <c r="AF986" s="17">
        <f t="shared" si="466"/>
        <v>0.8571428571428571</v>
      </c>
      <c r="AG986">
        <v>1</v>
      </c>
      <c r="AH986" s="17">
        <f t="shared" si="467"/>
        <v>0.14285714285714285</v>
      </c>
      <c r="AI986">
        <v>5</v>
      </c>
      <c r="AJ986" s="17">
        <f t="shared" si="468"/>
        <v>0.7142857142857143</v>
      </c>
      <c r="AK986">
        <v>7</v>
      </c>
      <c r="AL986" s="17">
        <f t="shared" si="469"/>
        <v>1</v>
      </c>
      <c r="AM986">
        <v>2</v>
      </c>
      <c r="AN986" s="17">
        <f t="shared" si="470"/>
        <v>0.2857142857142857</v>
      </c>
      <c r="AO986">
        <v>0</v>
      </c>
      <c r="AQ986">
        <v>4</v>
      </c>
      <c r="AR986" s="17">
        <f t="shared" si="471"/>
        <v>0.5714285714285714</v>
      </c>
      <c r="AS986">
        <v>10</v>
      </c>
      <c r="AT986" s="17">
        <f t="shared" si="472"/>
        <v>1.4285714285714286</v>
      </c>
      <c r="BD986" s="65">
        <f t="shared" si="473"/>
        <v>42.048929663608561</v>
      </c>
      <c r="BE986" s="65">
        <f t="shared" si="474"/>
        <v>30</v>
      </c>
      <c r="BF986" s="66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8.692715804431197</v>
      </c>
      <c r="BG986" s="38">
        <f t="shared" si="475"/>
        <v>0.4</v>
      </c>
      <c r="BH986" s="38">
        <f t="shared" si="476"/>
        <v>0.7</v>
      </c>
      <c r="BI986" s="67">
        <f>IFERROR(((AG986*(12000/5))/((F986*60+G986)*(SUMIFS(팀공격력!X:X,팀공격력!A:A,B986,팀공격력!B:B,D986)+SUMIFS(팀수비력!X:X,팀수비력!A:A,B986,팀수비력!B:B,D986))))*100,"")</f>
        <v>0.59487072715510514</v>
      </c>
      <c r="BJ986" s="67">
        <f>IFERROR(((AI986*(12000/5))/((F986*60+G986)*(SUMIFS(팀공격력!V:V,팀공격력!A:A,B986,팀공격력!B:B,D986)+SUMIFS(팀수비력!W:W,팀수비력!A:A,B986,팀수비력!B:B,D986))))*100,"")</f>
        <v>5.9160220667623085</v>
      </c>
      <c r="BK986" s="67">
        <f>IFERROR(((AE986*(12000/5))/((F986*60+G986)*(SUMIFS(팀공격력!X:X,팀공격력!A:A,B986,팀공격력!B:B,D986)+SUMIFS(팀수비력!X:X,팀수비력!A:A,B986,팀수비력!B:B,D986))))*100,"")</f>
        <v>3.5692243629306306</v>
      </c>
      <c r="BL986" s="67">
        <f>IFERROR(100*AK986/(((((F986*60+G986)/(12000/5))*SUMIFS(팀공격력!P:P,팀공격력!A:A,B986,팀공격력!B:B,D986))-K986)),"")</f>
        <v>10.453091750768426</v>
      </c>
      <c r="BM986" s="67">
        <f>IFERROR(100*((AM986/E986*(2400))/((F986*60+G986)*SUMIFS(팀공격력!AR:AR,팀공격력!A:A,B986,팀공격력!B:B,D986))),"")</f>
        <v>1.5033775969870757</v>
      </c>
      <c r="BN986" s="67">
        <f>IFERROR((AO986*40)/(((F986*60+G986)/60)*(SUMIFS(팀수비력!Q:Q,팀수비력!A:A,B986,팀수비력!B:B,D986)-SUMIFS(팀수비력!N:N,팀수비력!A:A,B986,팀수비력!B:B,D986)))*100,"")</f>
        <v>0</v>
      </c>
      <c r="BO986" s="67">
        <f t="shared" si="477"/>
        <v>23.419203747072601</v>
      </c>
      <c r="BT986" t="s">
        <v>89</v>
      </c>
      <c r="BV986" t="s">
        <v>90</v>
      </c>
      <c r="CF986">
        <v>2</v>
      </c>
      <c r="CG986">
        <v>5</v>
      </c>
    </row>
    <row r="987" spans="1:85" x14ac:dyDescent="0.4">
      <c r="A987" s="11" t="s">
        <v>85</v>
      </c>
      <c r="B987" t="s">
        <v>123</v>
      </c>
      <c r="C987" t="s">
        <v>134</v>
      </c>
      <c r="D987" s="46" t="s">
        <v>313</v>
      </c>
      <c r="E987">
        <v>7</v>
      </c>
      <c r="F987">
        <v>22</v>
      </c>
      <c r="G987" s="1">
        <v>10</v>
      </c>
      <c r="H987" s="16">
        <f t="shared" si="452"/>
        <v>9310</v>
      </c>
      <c r="I987">
        <v>159</v>
      </c>
      <c r="J987" s="17">
        <f t="shared" si="453"/>
        <v>22.714285714285715</v>
      </c>
      <c r="K987">
        <v>59</v>
      </c>
      <c r="L987">
        <v>115</v>
      </c>
      <c r="M987" s="17">
        <f t="shared" si="454"/>
        <v>8.4285714285714288</v>
      </c>
      <c r="N987" s="17">
        <f t="shared" si="455"/>
        <v>16.428571428571427</v>
      </c>
      <c r="O987" s="18">
        <f t="shared" si="456"/>
        <v>0.5130434782608696</v>
      </c>
      <c r="P987">
        <v>43</v>
      </c>
      <c r="Q987">
        <v>78</v>
      </c>
      <c r="R987" s="17">
        <f t="shared" si="457"/>
        <v>6.1428571428571432</v>
      </c>
      <c r="S987" s="17">
        <f t="shared" si="458"/>
        <v>11.142857142857142</v>
      </c>
      <c r="T987" s="18">
        <f t="shared" si="459"/>
        <v>0.55128205128205132</v>
      </c>
      <c r="U987">
        <v>16</v>
      </c>
      <c r="V987">
        <v>37</v>
      </c>
      <c r="W987" s="17">
        <f t="shared" si="460"/>
        <v>2.2857142857142856</v>
      </c>
      <c r="X987" s="17">
        <f t="shared" si="461"/>
        <v>5.2857142857142856</v>
      </c>
      <c r="Y987" s="18">
        <f t="shared" si="462"/>
        <v>0.43243243243243246</v>
      </c>
      <c r="Z987">
        <v>25</v>
      </c>
      <c r="AA987">
        <v>29</v>
      </c>
      <c r="AB987" s="17">
        <f t="shared" si="463"/>
        <v>3.5714285714285716</v>
      </c>
      <c r="AC987" s="17">
        <f t="shared" si="464"/>
        <v>4.1428571428571432</v>
      </c>
      <c r="AD987" s="18">
        <f t="shared" si="465"/>
        <v>0.86206896551724133</v>
      </c>
      <c r="AE987">
        <v>48</v>
      </c>
      <c r="AF987" s="17">
        <f t="shared" si="466"/>
        <v>6.8571428571428568</v>
      </c>
      <c r="AG987">
        <v>13</v>
      </c>
      <c r="AH987" s="17">
        <f t="shared" si="467"/>
        <v>1.8571428571428572</v>
      </c>
      <c r="AI987">
        <v>35</v>
      </c>
      <c r="AJ987" s="17">
        <f t="shared" si="468"/>
        <v>5</v>
      </c>
      <c r="AK987">
        <v>2</v>
      </c>
      <c r="AL987" s="17">
        <f t="shared" si="469"/>
        <v>0.2857142857142857</v>
      </c>
      <c r="AM987">
        <v>5</v>
      </c>
      <c r="AN987" s="17">
        <f t="shared" si="470"/>
        <v>0.7142857142857143</v>
      </c>
      <c r="AO987">
        <v>0</v>
      </c>
      <c r="AQ987">
        <v>9</v>
      </c>
      <c r="AR987" s="17">
        <f t="shared" si="471"/>
        <v>1.2857142857142858</v>
      </c>
      <c r="AS987">
        <v>7</v>
      </c>
      <c r="AT987" s="17">
        <f t="shared" si="472"/>
        <v>1</v>
      </c>
      <c r="BD987" s="65">
        <f t="shared" si="473"/>
        <v>62.226048841577949</v>
      </c>
      <c r="BE987" s="65">
        <f t="shared" si="474"/>
        <v>58.260869565217391</v>
      </c>
      <c r="BF987" s="66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38.883368375561709</v>
      </c>
      <c r="BG987" s="38">
        <f t="shared" si="475"/>
        <v>0.32173913043478258</v>
      </c>
      <c r="BH987" s="38">
        <f t="shared" si="476"/>
        <v>0.25217391304347825</v>
      </c>
      <c r="BI987" s="67">
        <f>IFERROR(((AG987*(12000/5))/((F987*60+G987)*(SUMIFS(팀공격력!X:X,팀공격력!A:A,B987,팀공격력!B:B,D987)+SUMIFS(팀수비력!X:X,팀수비력!A:A,B987,팀수비력!B:B,D987))))*100,"")</f>
        <v>4.3201927470610224</v>
      </c>
      <c r="BJ987" s="67">
        <f>IFERROR(((AI987*(12000/5))/((F987*60+G987)*(SUMIFS(팀공격력!V:V,팀공격력!A:A,B987,팀공격력!B:B,D987)+SUMIFS(팀수비력!W:W,팀수비력!A:A,B987,팀수비력!B:B,D987))))*100,"")</f>
        <v>23.13475997686524</v>
      </c>
      <c r="BK987" s="67">
        <f>IFERROR(((AE987*(12000/5))/((F987*60+G987)*(SUMIFS(팀공격력!X:X,팀공격력!A:A,B987,팀공격력!B:B,D987)+SUMIFS(팀수비력!X:X,팀수비력!A:A,B987,팀수비력!B:B,D987))))*100,"")</f>
        <v>15.951480912225316</v>
      </c>
      <c r="BL987" s="67">
        <f>IFERROR(100*AK987/(((((F987*60+G987)/(12000/5))*SUMIFS(팀공격력!P:P,팀공격력!A:A,B987,팀공격력!B:B,D987))-K987)),"")</f>
        <v>3.0192477041137247</v>
      </c>
      <c r="BM987" s="67">
        <f>IFERROR(100*((AM987/E987*(2400))/((F987*60+G987)*SUMIFS(팀공격력!AR:AR,팀공격력!A:A,B987,팀공격력!B:B,D987))),"")</f>
        <v>2.0996420198522507</v>
      </c>
      <c r="BN987" s="67">
        <f>IFERROR((AO987*40)/(((F987*60+G987)/60)*(SUMIFS(팀수비력!Q:Q,팀수비력!A:A,B987,팀수비력!B:B,D987)-SUMIFS(팀수비력!N:N,팀수비력!A:A,B987,팀수비력!B:B,D987)))*100,"")</f>
        <v>0</v>
      </c>
      <c r="BO987" s="67">
        <f t="shared" si="477"/>
        <v>6.5808715998830074</v>
      </c>
      <c r="BT987" t="s">
        <v>96</v>
      </c>
      <c r="BV987" t="s">
        <v>93</v>
      </c>
      <c r="CF987">
        <v>2</v>
      </c>
      <c r="CG987">
        <v>5</v>
      </c>
    </row>
    <row r="988" spans="1:85" x14ac:dyDescent="0.4">
      <c r="A988" s="11" t="s">
        <v>85</v>
      </c>
      <c r="B988" t="s">
        <v>123</v>
      </c>
      <c r="C988" t="s">
        <v>137</v>
      </c>
      <c r="D988" s="46" t="s">
        <v>313</v>
      </c>
      <c r="E988">
        <v>5</v>
      </c>
      <c r="F988">
        <v>12</v>
      </c>
      <c r="G988" s="1">
        <v>19</v>
      </c>
      <c r="H988" s="16">
        <f t="shared" si="452"/>
        <v>3695</v>
      </c>
      <c r="I988">
        <v>20</v>
      </c>
      <c r="J988" s="17">
        <f t="shared" si="453"/>
        <v>4</v>
      </c>
      <c r="K988">
        <v>7</v>
      </c>
      <c r="L988">
        <v>15</v>
      </c>
      <c r="M988" s="17">
        <f t="shared" si="454"/>
        <v>1.4</v>
      </c>
      <c r="N988" s="17">
        <f t="shared" si="455"/>
        <v>3</v>
      </c>
      <c r="O988" s="18">
        <f t="shared" si="456"/>
        <v>0.46666666666666667</v>
      </c>
      <c r="P988">
        <v>1</v>
      </c>
      <c r="Q988">
        <v>3</v>
      </c>
      <c r="R988" s="17">
        <f t="shared" si="457"/>
        <v>0.2</v>
      </c>
      <c r="S988" s="17">
        <f t="shared" si="458"/>
        <v>0.6</v>
      </c>
      <c r="T988" s="18">
        <f t="shared" si="459"/>
        <v>0.33333333333333331</v>
      </c>
      <c r="U988">
        <v>6</v>
      </c>
      <c r="V988">
        <v>12</v>
      </c>
      <c r="W988" s="17">
        <f t="shared" si="460"/>
        <v>1.2</v>
      </c>
      <c r="X988" s="17">
        <f t="shared" si="461"/>
        <v>2.4</v>
      </c>
      <c r="Y988" s="18">
        <f t="shared" si="462"/>
        <v>0.5</v>
      </c>
      <c r="Z988">
        <v>0</v>
      </c>
      <c r="AA988">
        <v>2</v>
      </c>
      <c r="AB988" s="17">
        <f t="shared" si="463"/>
        <v>0</v>
      </c>
      <c r="AC988" s="17">
        <f t="shared" si="464"/>
        <v>0.4</v>
      </c>
      <c r="AD988" s="18">
        <f t="shared" si="465"/>
        <v>0</v>
      </c>
      <c r="AE988">
        <v>5</v>
      </c>
      <c r="AF988" s="17">
        <f t="shared" si="466"/>
        <v>1</v>
      </c>
      <c r="AG988">
        <v>0</v>
      </c>
      <c r="AH988" s="17">
        <f t="shared" si="467"/>
        <v>0</v>
      </c>
      <c r="AI988">
        <v>5</v>
      </c>
      <c r="AJ988" s="17">
        <f t="shared" si="468"/>
        <v>1</v>
      </c>
      <c r="AK988">
        <v>3</v>
      </c>
      <c r="AL988" s="17">
        <f t="shared" si="469"/>
        <v>0.6</v>
      </c>
      <c r="AM988">
        <v>0</v>
      </c>
      <c r="AN988" s="17">
        <f t="shared" si="470"/>
        <v>0</v>
      </c>
      <c r="AO988">
        <v>0</v>
      </c>
      <c r="AQ988">
        <v>3</v>
      </c>
      <c r="AR988" s="17">
        <f t="shared" si="471"/>
        <v>0.6</v>
      </c>
      <c r="AS988">
        <v>10</v>
      </c>
      <c r="AT988" s="17">
        <f t="shared" si="472"/>
        <v>2</v>
      </c>
      <c r="BD988" s="65">
        <f t="shared" si="473"/>
        <v>62.972292191435763</v>
      </c>
      <c r="BE988" s="65">
        <f t="shared" si="474"/>
        <v>66.666666666666657</v>
      </c>
      <c r="BF988" s="66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9.6608197727507097</v>
      </c>
      <c r="BG988" s="38">
        <f t="shared" si="475"/>
        <v>0.8</v>
      </c>
      <c r="BH988" s="38">
        <f t="shared" si="476"/>
        <v>0.13333333333333333</v>
      </c>
      <c r="BI988" s="67">
        <f>IFERROR(((AG988*(12000/5))/((F988*60+G988)*(SUMIFS(팀공격력!X:X,팀공격력!A:A,B988,팀공격력!B:B,D988)+SUMIFS(팀수비력!X:X,팀수비력!A:A,B988,팀수비력!B:B,D988))))*100,"")</f>
        <v>0</v>
      </c>
      <c r="BJ988" s="67">
        <f>IFERROR(((AI988*(12000/5))/((F988*60+G988)*(SUMIFS(팀공격력!V:V,팀공격력!A:A,B988,팀공격력!B:B,D988)+SUMIFS(팀수비력!W:W,팀수비력!A:A,B988,팀수비력!B:B,D988))))*100,"")</f>
        <v>5.9480438370830795</v>
      </c>
      <c r="BK988" s="67">
        <f>IFERROR(((AE988*(12000/5))/((F988*60+G988)*(SUMIFS(팀공격력!X:X,팀공격력!A:A,B988,팀공격력!B:B,D988)+SUMIFS(팀수비력!X:X,팀수비력!A:A,B988,팀수비력!B:B,D988))))*100,"")</f>
        <v>2.9904529788649734</v>
      </c>
      <c r="BL988" s="67">
        <f>IFERROR(100*AK988/(((((F988*60+G988)/(12000/5))*SUMIFS(팀공격력!P:P,팀공격력!A:A,B988,팀공격력!B:B,D988))-K988)),"")</f>
        <v>4.7931617558949231</v>
      </c>
      <c r="BM988" s="67">
        <f>IFERROR(100*((AM988/E988*(2400))/((F988*60+G988)*SUMIFS(팀공격력!AR:AR,팀공격력!A:A,B988,팀공격력!B:B,D988))),"")</f>
        <v>0</v>
      </c>
      <c r="BN988" s="67">
        <f>IFERROR((AO988*40)/(((F988*60+G988)/60)*(SUMIFS(팀수비력!Q:Q,팀수비력!A:A,B988,팀수비력!B:B,D988)-SUMIFS(팀수비력!N:N,팀수비력!A:A,B988,팀수비력!B:B,D988)))*100,"")</f>
        <v>0</v>
      </c>
      <c r="BO988" s="67">
        <f t="shared" si="477"/>
        <v>15.889830508474574</v>
      </c>
      <c r="BT988" t="s">
        <v>89</v>
      </c>
      <c r="BV988" t="s">
        <v>90</v>
      </c>
      <c r="CF988">
        <v>1</v>
      </c>
      <c r="CG988">
        <v>4</v>
      </c>
    </row>
    <row r="989" spans="1:85" x14ac:dyDescent="0.4">
      <c r="A989" s="11" t="s">
        <v>85</v>
      </c>
      <c r="B989" t="s">
        <v>123</v>
      </c>
      <c r="C989" t="s">
        <v>138</v>
      </c>
      <c r="D989" s="46" t="s">
        <v>313</v>
      </c>
      <c r="E989">
        <v>5</v>
      </c>
      <c r="F989">
        <v>4</v>
      </c>
      <c r="G989" s="1">
        <v>5</v>
      </c>
      <c r="H989" s="16">
        <f t="shared" si="452"/>
        <v>1225</v>
      </c>
      <c r="I989">
        <v>6</v>
      </c>
      <c r="J989" s="17">
        <f t="shared" si="453"/>
        <v>1.2</v>
      </c>
      <c r="K989">
        <v>2</v>
      </c>
      <c r="L989">
        <v>4</v>
      </c>
      <c r="M989" s="17">
        <f t="shared" si="454"/>
        <v>0.4</v>
      </c>
      <c r="N989" s="17">
        <f t="shared" si="455"/>
        <v>0.8</v>
      </c>
      <c r="O989" s="18">
        <f t="shared" si="456"/>
        <v>0.5</v>
      </c>
      <c r="P989">
        <v>0</v>
      </c>
      <c r="Q989">
        <v>0</v>
      </c>
      <c r="R989" s="17">
        <f t="shared" si="457"/>
        <v>0</v>
      </c>
      <c r="S989" s="17">
        <f t="shared" si="458"/>
        <v>0</v>
      </c>
      <c r="T989" s="18" t="e">
        <f t="shared" si="459"/>
        <v>#DIV/0!</v>
      </c>
      <c r="U989">
        <v>2</v>
      </c>
      <c r="V989">
        <v>4</v>
      </c>
      <c r="W989" s="17">
        <f t="shared" si="460"/>
        <v>0.4</v>
      </c>
      <c r="X989" s="17">
        <f t="shared" si="461"/>
        <v>0.8</v>
      </c>
      <c r="Y989" s="18">
        <f t="shared" si="462"/>
        <v>0.5</v>
      </c>
      <c r="Z989">
        <v>0</v>
      </c>
      <c r="AA989">
        <v>0</v>
      </c>
      <c r="AB989" s="17">
        <f t="shared" si="463"/>
        <v>0</v>
      </c>
      <c r="AC989" s="17">
        <f t="shared" si="464"/>
        <v>0</v>
      </c>
      <c r="AD989" s="18" t="e">
        <f t="shared" si="465"/>
        <v>#DIV/0!</v>
      </c>
      <c r="AE989">
        <v>1</v>
      </c>
      <c r="AF989" s="17">
        <f t="shared" si="466"/>
        <v>0.2</v>
      </c>
      <c r="AG989">
        <v>0</v>
      </c>
      <c r="AH989" s="17">
        <f t="shared" si="467"/>
        <v>0</v>
      </c>
      <c r="AI989">
        <v>1</v>
      </c>
      <c r="AJ989" s="17">
        <f t="shared" si="468"/>
        <v>0.2</v>
      </c>
      <c r="AK989">
        <v>0</v>
      </c>
      <c r="AL989" s="17">
        <f t="shared" si="469"/>
        <v>0</v>
      </c>
      <c r="AM989">
        <v>0</v>
      </c>
      <c r="AN989" s="17">
        <f t="shared" si="470"/>
        <v>0</v>
      </c>
      <c r="AO989">
        <v>0</v>
      </c>
      <c r="AQ989">
        <v>1</v>
      </c>
      <c r="AR989" s="17">
        <f t="shared" si="471"/>
        <v>0.2</v>
      </c>
      <c r="AS989">
        <v>2</v>
      </c>
      <c r="AT989" s="17">
        <f t="shared" si="472"/>
        <v>0.4</v>
      </c>
      <c r="BD989" s="65">
        <f t="shared" si="473"/>
        <v>75</v>
      </c>
      <c r="BE989" s="65">
        <f t="shared" si="474"/>
        <v>75</v>
      </c>
      <c r="BF989" s="66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7.7172105370792687</v>
      </c>
      <c r="BG989" s="38">
        <f t="shared" si="475"/>
        <v>1</v>
      </c>
      <c r="BH989" s="38">
        <f t="shared" si="476"/>
        <v>0</v>
      </c>
      <c r="BI989" s="67">
        <f>IFERROR(((AG989*(12000/5))/((F989*60+G989)*(SUMIFS(팀공격력!X:X,팀공격력!A:A,B989,팀공격력!B:B,D989)+SUMIFS(팀수비력!X:X,팀수비력!A:A,B989,팀수비력!B:B,D989))))*100,"")</f>
        <v>0</v>
      </c>
      <c r="BJ989" s="67">
        <f>IFERROR(((AI989*(12000/5))/((F989*60+G989)*(SUMIFS(팀공격력!V:V,팀공격력!A:A,B989,팀공격력!B:B,D989)+SUMIFS(팀수비력!W:W,팀수비력!A:A,B989,팀수비력!B:B,D989))))*100,"")</f>
        <v>3.5882484862076702</v>
      </c>
      <c r="BK989" s="67">
        <f>IFERROR(((AE989*(12000/5))/((F989*60+G989)*(SUMIFS(팀공격력!X:X,팀공격력!A:A,B989,팀공격력!B:B,D989)+SUMIFS(팀수비력!X:X,팀수비력!A:A,B989,팀수비력!B:B,D989))))*100,"")</f>
        <v>1.8040365317397677</v>
      </c>
      <c r="BL989" s="67">
        <f>IFERROR(100*AK989/(((((F989*60+G989)/(12000/5))*SUMIFS(팀공격력!P:P,팀공격력!A:A,B989,팀공격력!B:B,D989))-K989)),"")</f>
        <v>0</v>
      </c>
      <c r="BM989" s="67">
        <f>IFERROR(100*((AM989/E989*(2400))/((F989*60+G989)*SUMIFS(팀공격력!AR:AR,팀공격력!A:A,B989,팀공격력!B:B,D989))),"")</f>
        <v>0</v>
      </c>
      <c r="BN989" s="67">
        <f>IFERROR((AO989*40)/(((F989*60+G989)/60)*(SUMIFS(팀수비력!Q:Q,팀수비력!A:A,B989,팀수비력!B:B,D989)-SUMIFS(팀수비력!N:N,팀수비력!A:A,B989,팀수비력!B:B,D989)))*100,"")</f>
        <v>0</v>
      </c>
      <c r="BO989" s="67">
        <f t="shared" si="477"/>
        <v>20</v>
      </c>
      <c r="BT989" t="s">
        <v>89</v>
      </c>
      <c r="BV989" t="s">
        <v>90</v>
      </c>
      <c r="CF989">
        <v>1</v>
      </c>
      <c r="CG989">
        <v>4</v>
      </c>
    </row>
    <row r="990" spans="1:85" x14ac:dyDescent="0.4">
      <c r="A990" s="11" t="s">
        <v>85</v>
      </c>
      <c r="B990" t="s">
        <v>123</v>
      </c>
      <c r="C990" t="s">
        <v>139</v>
      </c>
      <c r="D990" s="46" t="s">
        <v>313</v>
      </c>
      <c r="E990">
        <v>2</v>
      </c>
      <c r="F990">
        <v>24</v>
      </c>
      <c r="G990" s="1">
        <v>38</v>
      </c>
      <c r="H990" s="16">
        <f t="shared" si="452"/>
        <v>2956</v>
      </c>
      <c r="I990">
        <v>22</v>
      </c>
      <c r="J990" s="17">
        <f t="shared" si="453"/>
        <v>11</v>
      </c>
      <c r="K990">
        <v>9</v>
      </c>
      <c r="L990">
        <v>17</v>
      </c>
      <c r="M990" s="17">
        <f t="shared" si="454"/>
        <v>4.5</v>
      </c>
      <c r="N990" s="17">
        <f t="shared" si="455"/>
        <v>8.5</v>
      </c>
      <c r="O990" s="18">
        <f t="shared" si="456"/>
        <v>0.52941176470588236</v>
      </c>
      <c r="P990">
        <v>6</v>
      </c>
      <c r="Q990">
        <v>12</v>
      </c>
      <c r="R990" s="17">
        <f t="shared" si="457"/>
        <v>3</v>
      </c>
      <c r="S990" s="17">
        <f t="shared" si="458"/>
        <v>6</v>
      </c>
      <c r="T990" s="18">
        <f t="shared" si="459"/>
        <v>0.5</v>
      </c>
      <c r="U990">
        <v>3</v>
      </c>
      <c r="V990">
        <v>5</v>
      </c>
      <c r="W990" s="17">
        <f t="shared" si="460"/>
        <v>1.5</v>
      </c>
      <c r="X990" s="17">
        <f t="shared" si="461"/>
        <v>2.5</v>
      </c>
      <c r="Y990" s="18">
        <f t="shared" si="462"/>
        <v>0.6</v>
      </c>
      <c r="Z990">
        <v>1</v>
      </c>
      <c r="AA990">
        <v>1</v>
      </c>
      <c r="AB990" s="17">
        <f t="shared" si="463"/>
        <v>0.5</v>
      </c>
      <c r="AC990" s="17">
        <f t="shared" si="464"/>
        <v>0.5</v>
      </c>
      <c r="AD990" s="18">
        <f t="shared" si="465"/>
        <v>1</v>
      </c>
      <c r="AE990">
        <v>6</v>
      </c>
      <c r="AF990" s="17">
        <f t="shared" si="466"/>
        <v>3</v>
      </c>
      <c r="AG990">
        <v>2</v>
      </c>
      <c r="AH990" s="17">
        <f t="shared" si="467"/>
        <v>1</v>
      </c>
      <c r="AI990">
        <v>4</v>
      </c>
      <c r="AJ990" s="17">
        <f t="shared" si="468"/>
        <v>2</v>
      </c>
      <c r="AK990">
        <v>3</v>
      </c>
      <c r="AL990" s="17">
        <f t="shared" si="469"/>
        <v>1.5</v>
      </c>
      <c r="AM990">
        <v>1</v>
      </c>
      <c r="AN990" s="17">
        <f t="shared" si="470"/>
        <v>0.5</v>
      </c>
      <c r="AO990">
        <v>0</v>
      </c>
      <c r="AQ990">
        <v>1</v>
      </c>
      <c r="AR990" s="17">
        <f t="shared" si="471"/>
        <v>0.5</v>
      </c>
      <c r="AS990">
        <v>6</v>
      </c>
      <c r="AT990" s="17">
        <f t="shared" si="472"/>
        <v>3</v>
      </c>
      <c r="BD990" s="65">
        <f t="shared" si="473"/>
        <v>63.073394495412835</v>
      </c>
      <c r="BE990" s="65">
        <f t="shared" si="474"/>
        <v>61.764705882352942</v>
      </c>
      <c r="BF990" s="66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4.7178367746166057</v>
      </c>
      <c r="BG990" s="38">
        <f t="shared" si="475"/>
        <v>0.29411764705882354</v>
      </c>
      <c r="BH990" s="38">
        <f t="shared" si="476"/>
        <v>5.8823529411764705E-2</v>
      </c>
      <c r="BI990" s="67">
        <f>IFERROR(((AG990*(12000/5))/((F990*60+G990)*(SUMIFS(팀공격력!X:X,팀공격력!A:A,B990,팀공격력!B:B,D990)+SUMIFS(팀수비력!X:X,팀수비력!A:A,B990,팀수비력!B:B,D990))))*100,"")</f>
        <v>0.59809059577299473</v>
      </c>
      <c r="BJ990" s="67">
        <f>IFERROR(((AI990*(12000/5))/((F990*60+G990)*(SUMIFS(팀공격력!V:V,팀공격력!A:A,B990,팀공격력!B:B,D990)+SUMIFS(팀수비력!W:W,팀수비력!A:A,B990,팀수비력!B:B,D990))))*100,"")</f>
        <v>2.3792175348332316</v>
      </c>
      <c r="BK990" s="67">
        <f>IFERROR(((AE990*(12000/5))/((F990*60+G990)*(SUMIFS(팀공격력!X:X,팀공격력!A:A,B990,팀공격력!B:B,D990)+SUMIFS(팀수비력!X:X,팀수비력!A:A,B990,팀수비력!B:B,D990))))*100,"")</f>
        <v>1.794271787318984</v>
      </c>
      <c r="BL990" s="67">
        <f>IFERROR(100*AK990/(((((F990*60+G990)/(12000/5))*SUMIFS(팀공격력!P:P,팀공격력!A:A,B990,팀공격력!B:B,D990))-K990)),"")</f>
        <v>2.3045309639340901</v>
      </c>
      <c r="BM990" s="67">
        <f>IFERROR(100*((AM990/E990*(2400))/((F990*60+G990)*SUMIFS(팀공격력!AR:AR,팀공격력!A:A,B990,팀공격력!B:B,D990))),"")</f>
        <v>1.322575588959706</v>
      </c>
      <c r="BN990" s="67">
        <f>IFERROR((AO990*40)/(((F990*60+G990)/60)*(SUMIFS(팀수비력!Q:Q,팀수비력!A:A,B990,팀수비력!B:B,D990)-SUMIFS(팀수비력!N:N,팀수비력!A:A,B990,팀수비력!B:B,D990)))*100,"")</f>
        <v>0</v>
      </c>
      <c r="BO990" s="67">
        <f t="shared" si="477"/>
        <v>5.4229934924078087</v>
      </c>
      <c r="BT990" t="s">
        <v>89</v>
      </c>
      <c r="BV990" t="s">
        <v>93</v>
      </c>
      <c r="CF990">
        <v>0</v>
      </c>
      <c r="CG990">
        <v>2</v>
      </c>
    </row>
    <row r="991" spans="1:85" x14ac:dyDescent="0.4">
      <c r="A991" s="11" t="s">
        <v>85</v>
      </c>
      <c r="B991" t="s">
        <v>123</v>
      </c>
      <c r="C991" t="s">
        <v>140</v>
      </c>
      <c r="D991" s="46" t="s">
        <v>313</v>
      </c>
      <c r="E991">
        <v>6</v>
      </c>
      <c r="F991">
        <v>10</v>
      </c>
      <c r="G991" s="1">
        <v>47</v>
      </c>
      <c r="H991" s="16">
        <f t="shared" si="452"/>
        <v>3882</v>
      </c>
      <c r="I991">
        <v>24</v>
      </c>
      <c r="J991" s="17">
        <f t="shared" si="453"/>
        <v>4</v>
      </c>
      <c r="K991">
        <v>7</v>
      </c>
      <c r="L991">
        <v>19</v>
      </c>
      <c r="M991" s="17">
        <f t="shared" si="454"/>
        <v>1.1666666666666667</v>
      </c>
      <c r="N991" s="17">
        <f t="shared" si="455"/>
        <v>3.1666666666666665</v>
      </c>
      <c r="O991" s="18">
        <f t="shared" si="456"/>
        <v>0.36842105263157893</v>
      </c>
      <c r="P991">
        <v>2</v>
      </c>
      <c r="Q991">
        <v>5</v>
      </c>
      <c r="R991" s="17">
        <f t="shared" si="457"/>
        <v>0.33333333333333331</v>
      </c>
      <c r="S991" s="17">
        <f t="shared" si="458"/>
        <v>0.83333333333333337</v>
      </c>
      <c r="T991" s="18">
        <f t="shared" si="459"/>
        <v>0.4</v>
      </c>
      <c r="U991">
        <v>5</v>
      </c>
      <c r="V991">
        <v>14</v>
      </c>
      <c r="W991" s="17">
        <f t="shared" si="460"/>
        <v>0.83333333333333337</v>
      </c>
      <c r="X991" s="17">
        <f t="shared" si="461"/>
        <v>2.3333333333333335</v>
      </c>
      <c r="Y991" s="18">
        <f t="shared" si="462"/>
        <v>0.35714285714285715</v>
      </c>
      <c r="Z991">
        <v>5</v>
      </c>
      <c r="AA991">
        <v>5</v>
      </c>
      <c r="AB991" s="17">
        <f t="shared" si="463"/>
        <v>0.83333333333333337</v>
      </c>
      <c r="AC991" s="17">
        <f t="shared" si="464"/>
        <v>0.83333333333333337</v>
      </c>
      <c r="AD991" s="18">
        <f t="shared" si="465"/>
        <v>1</v>
      </c>
      <c r="AE991">
        <v>7</v>
      </c>
      <c r="AF991" s="17">
        <f t="shared" si="466"/>
        <v>1.1666666666666667</v>
      </c>
      <c r="AG991">
        <v>0</v>
      </c>
      <c r="AH991" s="17">
        <f t="shared" si="467"/>
        <v>0</v>
      </c>
      <c r="AI991">
        <v>7</v>
      </c>
      <c r="AJ991" s="17">
        <f t="shared" si="468"/>
        <v>1.1666666666666667</v>
      </c>
      <c r="AK991">
        <v>3</v>
      </c>
      <c r="AL991" s="17">
        <f t="shared" si="469"/>
        <v>0.5</v>
      </c>
      <c r="AM991">
        <v>1</v>
      </c>
      <c r="AN991" s="17">
        <f t="shared" si="470"/>
        <v>0.16666666666666666</v>
      </c>
      <c r="AO991">
        <v>0</v>
      </c>
      <c r="AQ991">
        <v>1</v>
      </c>
      <c r="AR991" s="17">
        <f t="shared" si="471"/>
        <v>0.16666666666666666</v>
      </c>
      <c r="AS991">
        <v>11</v>
      </c>
      <c r="AT991" s="17">
        <f t="shared" si="472"/>
        <v>1.8333333333333333</v>
      </c>
      <c r="BD991" s="65">
        <f t="shared" si="473"/>
        <v>56.60377358490566</v>
      </c>
      <c r="BE991" s="65">
        <f t="shared" si="474"/>
        <v>50</v>
      </c>
      <c r="BF991" s="66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12.974932955540693</v>
      </c>
      <c r="BG991" s="38">
        <f t="shared" si="475"/>
        <v>0.73684210526315785</v>
      </c>
      <c r="BH991" s="38">
        <f t="shared" si="476"/>
        <v>0.26315789473684209</v>
      </c>
      <c r="BI991" s="67">
        <f>IFERROR(((AG991*(12000/5))/((F991*60+G991)*(SUMIFS(팀공격력!X:X,팀공격력!A:A,B991,팀공격력!B:B,D991)+SUMIFS(팀수비력!X:X,팀수비력!A:A,B991,팀수비력!B:B,D991))))*100,"")</f>
        <v>0</v>
      </c>
      <c r="BJ991" s="67">
        <f>IFERROR(((AI991*(12000/5))/((F991*60+G991)*(SUMIFS(팀공격력!V:V,팀공격력!A:A,B991,팀공격력!B:B,D991)+SUMIFS(팀수비력!W:W,팀수비력!A:A,B991,팀수비력!B:B,D991))))*100,"")</f>
        <v>9.5113541790512421</v>
      </c>
      <c r="BK991" s="67">
        <f>IFERROR(((AE991*(12000/5))/((F991*60+G991)*(SUMIFS(팀공격력!X:X,팀공격력!A:A,B991,팀공격력!B:B,D991)+SUMIFS(팀수비력!X:X,팀수비력!A:A,B991,팀수비력!B:B,D991))))*100,"")</f>
        <v>4.7819515485837734</v>
      </c>
      <c r="BL991" s="67">
        <f>IFERROR(100*AK991/(((((F991*60+G991)/(12000/5))*SUMIFS(팀공격력!P:P,팀공격력!A:A,B991,팀공격력!B:B,D991))-K991)),"")</f>
        <v>5.5631963653783743</v>
      </c>
      <c r="BM991" s="67">
        <f>IFERROR(100*((AM991/E991*(2400))/((F991*60+G991)*SUMIFS(팀공격력!AR:AR,팀공격력!A:A,B991,팀공격력!B:B,D991))),"")</f>
        <v>1.0070925916962625</v>
      </c>
      <c r="BN991" s="67">
        <f>IFERROR((AO991*40)/(((F991*60+G991)/60)*(SUMIFS(팀수비력!Q:Q,팀수비력!A:A,B991,팀수비력!B:B,D991)-SUMIFS(팀수비력!N:N,팀수비력!A:A,B991,팀수비력!B:B,D991)))*100,"")</f>
        <v>0</v>
      </c>
      <c r="BO991" s="67">
        <f t="shared" si="477"/>
        <v>4.5045045045045047</v>
      </c>
      <c r="BT991" t="s">
        <v>89</v>
      </c>
      <c r="BV991" t="s">
        <v>90</v>
      </c>
      <c r="CF991">
        <v>1</v>
      </c>
      <c r="CG991">
        <v>5</v>
      </c>
    </row>
    <row r="992" spans="1:85" x14ac:dyDescent="0.4">
      <c r="A992" s="11" t="s">
        <v>85</v>
      </c>
      <c r="B992" t="s">
        <v>123</v>
      </c>
      <c r="C992" t="s">
        <v>143</v>
      </c>
      <c r="D992" s="46" t="s">
        <v>313</v>
      </c>
      <c r="E992">
        <v>3</v>
      </c>
      <c r="F992">
        <v>22</v>
      </c>
      <c r="G992" s="1">
        <v>24</v>
      </c>
      <c r="H992" s="16">
        <f t="shared" si="452"/>
        <v>4032</v>
      </c>
      <c r="I992">
        <v>13</v>
      </c>
      <c r="J992" s="17">
        <f t="shared" si="453"/>
        <v>4.333333333333333</v>
      </c>
      <c r="K992">
        <v>4</v>
      </c>
      <c r="L992">
        <v>10</v>
      </c>
      <c r="M992" s="17">
        <f t="shared" si="454"/>
        <v>1.3333333333333333</v>
      </c>
      <c r="N992" s="17">
        <f t="shared" si="455"/>
        <v>3.3333333333333335</v>
      </c>
      <c r="O992" s="18">
        <f t="shared" si="456"/>
        <v>0.4</v>
      </c>
      <c r="P992">
        <v>1</v>
      </c>
      <c r="Q992">
        <v>4</v>
      </c>
      <c r="R992" s="17">
        <f t="shared" si="457"/>
        <v>0.33333333333333331</v>
      </c>
      <c r="S992" s="17">
        <f t="shared" si="458"/>
        <v>1.3333333333333333</v>
      </c>
      <c r="T992" s="18">
        <f t="shared" si="459"/>
        <v>0.25</v>
      </c>
      <c r="U992">
        <v>3</v>
      </c>
      <c r="V992">
        <v>6</v>
      </c>
      <c r="W992" s="17">
        <f t="shared" si="460"/>
        <v>1</v>
      </c>
      <c r="X992" s="17">
        <f t="shared" si="461"/>
        <v>2</v>
      </c>
      <c r="Y992" s="18">
        <f t="shared" si="462"/>
        <v>0.5</v>
      </c>
      <c r="Z992">
        <v>2</v>
      </c>
      <c r="AA992">
        <v>4</v>
      </c>
      <c r="AB992" s="17">
        <f t="shared" si="463"/>
        <v>0.66666666666666663</v>
      </c>
      <c r="AC992" s="17">
        <f t="shared" si="464"/>
        <v>1.3333333333333333</v>
      </c>
      <c r="AD992" s="18">
        <f t="shared" si="465"/>
        <v>0.5</v>
      </c>
      <c r="AE992">
        <v>11</v>
      </c>
      <c r="AF992" s="17">
        <f t="shared" si="466"/>
        <v>3.6666666666666665</v>
      </c>
      <c r="AG992">
        <v>4</v>
      </c>
      <c r="AH992" s="17">
        <f t="shared" si="467"/>
        <v>1.3333333333333333</v>
      </c>
      <c r="AI992">
        <v>7</v>
      </c>
      <c r="AJ992" s="17">
        <f t="shared" si="468"/>
        <v>2.3333333333333335</v>
      </c>
      <c r="AK992">
        <v>6</v>
      </c>
      <c r="AL992" s="17">
        <f t="shared" si="469"/>
        <v>2</v>
      </c>
      <c r="AM992">
        <v>2</v>
      </c>
      <c r="AN992" s="17">
        <f t="shared" si="470"/>
        <v>0.66666666666666663</v>
      </c>
      <c r="AO992">
        <v>0</v>
      </c>
      <c r="AQ992">
        <v>5</v>
      </c>
      <c r="AR992" s="17">
        <f t="shared" si="471"/>
        <v>1.6666666666666667</v>
      </c>
      <c r="AS992">
        <v>7</v>
      </c>
      <c r="AT992" s="17">
        <f t="shared" si="472"/>
        <v>2.3333333333333335</v>
      </c>
      <c r="BD992" s="65">
        <f t="shared" si="473"/>
        <v>55.272108843537417</v>
      </c>
      <c r="BE992" s="65">
        <f t="shared" si="474"/>
        <v>55.000000000000007</v>
      </c>
      <c r="BF992" s="66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4.7155371885944763</v>
      </c>
      <c r="BG992" s="38">
        <f t="shared" si="475"/>
        <v>0.6</v>
      </c>
      <c r="BH992" s="38">
        <f t="shared" si="476"/>
        <v>0.4</v>
      </c>
      <c r="BI992" s="67">
        <f>IFERROR(((AG992*(12000/5))/((F992*60+G992)*(SUMIFS(팀공격력!X:X,팀공격력!A:A,B992,팀공격력!B:B,D992)+SUMIFS(팀수비력!X:X,팀수비력!A:A,B992,팀수비력!B:B,D992))))*100,"")</f>
        <v>1.3154433043935807</v>
      </c>
      <c r="BJ992" s="67">
        <f>IFERROR(((AI992*(12000/5))/((F992*60+G992)*(SUMIFS(팀공격력!V:V,팀공격력!A:A,B992,팀공격력!B:B,D992)+SUMIFS(팀수비력!W:W,팀수비력!A:A,B992,팀수비력!B:B,D992))))*100,"")</f>
        <v>4.5787545787545785</v>
      </c>
      <c r="BK992" s="67">
        <f>IFERROR(((AE992*(12000/5))/((F992*60+G992)*(SUMIFS(팀공격력!X:X,팀공격력!A:A,B992,팀공격력!B:B,D992)+SUMIFS(팀수비력!X:X,팀수비력!A:A,B992,팀수비력!B:B,D992))))*100,"")</f>
        <v>3.6174690870823465</v>
      </c>
      <c r="BL992" s="67">
        <f>IFERROR(100*AK992/(((((F992*60+G992)/(12000/5))*SUMIFS(팀공격력!P:P,팀공격력!A:A,B992,팀공격력!B:B,D992))-K992)),"")</f>
        <v>4.8955613577023493</v>
      </c>
      <c r="BM992" s="67">
        <f>IFERROR(100*((AM992/E992*(2400))/((F992*60+G992)*SUMIFS(팀공격력!AR:AR,팀공격력!A:A,B992,팀공격력!B:B,D992))),"")</f>
        <v>1.939252698891315</v>
      </c>
      <c r="BN992" s="67">
        <f>IFERROR((AO992*40)/(((F992*60+G992)/60)*(SUMIFS(팀수비력!Q:Q,팀수비력!A:A,B992,팀수비력!B:B,D992)-SUMIFS(팀수비력!N:N,팀수비력!A:A,B992,팀수비력!B:B,D992)))*100,"")</f>
        <v>0</v>
      </c>
      <c r="BO992" s="67">
        <f t="shared" si="477"/>
        <v>29.832935560859191</v>
      </c>
      <c r="BT992" t="s">
        <v>89</v>
      </c>
      <c r="BV992" t="s">
        <v>93</v>
      </c>
      <c r="CF992">
        <v>1</v>
      </c>
      <c r="CG992">
        <v>2</v>
      </c>
    </row>
    <row r="993" spans="1:85" x14ac:dyDescent="0.4">
      <c r="A993" s="11" t="s">
        <v>85</v>
      </c>
      <c r="B993" t="s">
        <v>123</v>
      </c>
      <c r="C993" t="s">
        <v>144</v>
      </c>
      <c r="D993" s="46" t="s">
        <v>313</v>
      </c>
      <c r="E993">
        <v>3</v>
      </c>
      <c r="F993">
        <v>2</v>
      </c>
      <c r="G993" s="1">
        <v>20</v>
      </c>
      <c r="H993" s="16">
        <f t="shared" si="452"/>
        <v>420</v>
      </c>
      <c r="I993">
        <v>0</v>
      </c>
      <c r="J993" s="17">
        <f t="shared" si="453"/>
        <v>0</v>
      </c>
      <c r="K993">
        <v>0</v>
      </c>
      <c r="L993">
        <v>1</v>
      </c>
      <c r="M993" s="17">
        <f t="shared" si="454"/>
        <v>0</v>
      </c>
      <c r="N993" s="17">
        <f t="shared" si="455"/>
        <v>0.33333333333333331</v>
      </c>
      <c r="O993" s="18">
        <f t="shared" si="456"/>
        <v>0</v>
      </c>
      <c r="P993">
        <v>0</v>
      </c>
      <c r="Q993">
        <v>1</v>
      </c>
      <c r="R993" s="17">
        <f t="shared" si="457"/>
        <v>0</v>
      </c>
      <c r="S993" s="17">
        <f t="shared" si="458"/>
        <v>0.33333333333333331</v>
      </c>
      <c r="T993" s="18">
        <f t="shared" si="459"/>
        <v>0</v>
      </c>
      <c r="U993">
        <v>0</v>
      </c>
      <c r="V993">
        <v>0</v>
      </c>
      <c r="W993" s="17">
        <f t="shared" si="460"/>
        <v>0</v>
      </c>
      <c r="X993" s="17">
        <f t="shared" si="461"/>
        <v>0</v>
      </c>
      <c r="Y993" s="18" t="e">
        <f t="shared" si="462"/>
        <v>#DIV/0!</v>
      </c>
      <c r="Z993">
        <v>0</v>
      </c>
      <c r="AA993">
        <v>0</v>
      </c>
      <c r="AB993" s="17">
        <f t="shared" si="463"/>
        <v>0</v>
      </c>
      <c r="AC993" s="17">
        <f t="shared" si="464"/>
        <v>0</v>
      </c>
      <c r="AD993" s="18" t="e">
        <f t="shared" si="465"/>
        <v>#DIV/0!</v>
      </c>
      <c r="AE993">
        <v>4</v>
      </c>
      <c r="AF993" s="17">
        <f t="shared" si="466"/>
        <v>1.3333333333333333</v>
      </c>
      <c r="AG993">
        <v>1</v>
      </c>
      <c r="AH993" s="17">
        <f t="shared" si="467"/>
        <v>0.33333333333333331</v>
      </c>
      <c r="AI993">
        <v>3</v>
      </c>
      <c r="AJ993" s="17">
        <f t="shared" si="468"/>
        <v>1</v>
      </c>
      <c r="AK993">
        <v>0</v>
      </c>
      <c r="AL993" s="17">
        <f t="shared" si="469"/>
        <v>0</v>
      </c>
      <c r="AM993">
        <v>1</v>
      </c>
      <c r="AN993" s="17">
        <f t="shared" si="470"/>
        <v>0.33333333333333331</v>
      </c>
      <c r="AO993">
        <v>0</v>
      </c>
      <c r="AQ993">
        <v>0</v>
      </c>
      <c r="AR993" s="17">
        <f t="shared" si="471"/>
        <v>0</v>
      </c>
      <c r="AS993">
        <v>1</v>
      </c>
      <c r="AT993" s="17">
        <f t="shared" si="472"/>
        <v>0.33333333333333331</v>
      </c>
      <c r="BD993" s="65">
        <f t="shared" si="473"/>
        <v>0</v>
      </c>
      <c r="BE993" s="65">
        <f t="shared" si="474"/>
        <v>0</v>
      </c>
      <c r="BF993" s="66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2.7010236879777438</v>
      </c>
      <c r="BG993" s="38">
        <f t="shared" si="475"/>
        <v>0</v>
      </c>
      <c r="BH993" s="38">
        <f t="shared" si="476"/>
        <v>0</v>
      </c>
      <c r="BI993" s="67">
        <f>IFERROR(((AG993*(12000/5))/((F993*60+G993)*(SUMIFS(팀공격력!X:X,팀공격력!A:A,B993,팀공격력!B:B,D993)+SUMIFS(팀수비력!X:X,팀수비력!A:A,B993,팀수비력!B:B,D993))))*100,"")</f>
        <v>3.1570639305445938</v>
      </c>
      <c r="BJ993" s="67">
        <f>IFERROR(((AI993*(12000/5))/((F993*60+G993)*(SUMIFS(팀공격력!V:V,팀공격력!A:A,B993,팀공격력!B:B,D993)+SUMIFS(팀수비력!W:W,팀수비력!A:A,B993,팀수비력!B:B,D993))))*100,"")</f>
        <v>18.838304552590269</v>
      </c>
      <c r="BK993" s="67">
        <f>IFERROR(((AE993*(12000/5))/((F993*60+G993)*(SUMIFS(팀공격력!X:X,팀공격력!A:A,B993,팀공격력!B:B,D993)+SUMIFS(팀수비력!X:X,팀수비력!A:A,B993,팀수비력!B:B,D993))))*100,"")</f>
        <v>12.628255722178375</v>
      </c>
      <c r="BL993" s="67">
        <f>IFERROR(100*AK993/(((((F993*60+G993)/(12000/5))*SUMIFS(팀공격력!P:P,팀공격력!A:A,B993,팀공격력!B:B,D993))-K993)),"")</f>
        <v>0</v>
      </c>
      <c r="BM993" s="67">
        <f>IFERROR(100*((AM993/E993*(2400))/((F993*60+G993)*SUMIFS(팀공격력!AR:AR,팀공격력!A:A,B993,팀공격력!B:B,D993))),"")</f>
        <v>9.3084129546783139</v>
      </c>
      <c r="BN993" s="67">
        <f>IFERROR((AO993*40)/(((F993*60+G993)/60)*(SUMIFS(팀수비력!Q:Q,팀수비력!A:A,B993,팀수비력!B:B,D993)-SUMIFS(팀수비력!N:N,팀수비력!A:A,B993,팀수비력!B:B,D993)))*100,"")</f>
        <v>0</v>
      </c>
      <c r="BO993" s="67">
        <f t="shared" si="477"/>
        <v>0</v>
      </c>
      <c r="BT993" t="s">
        <v>89</v>
      </c>
      <c r="BV993" t="s">
        <v>102</v>
      </c>
      <c r="CF993">
        <v>0</v>
      </c>
      <c r="CG993">
        <v>3</v>
      </c>
    </row>
    <row r="994" spans="1:85" x14ac:dyDescent="0.4">
      <c r="A994" s="11" t="s">
        <v>85</v>
      </c>
      <c r="B994" t="s">
        <v>145</v>
      </c>
      <c r="C994" t="s">
        <v>146</v>
      </c>
      <c r="D994" s="46" t="s">
        <v>313</v>
      </c>
      <c r="E994">
        <v>9</v>
      </c>
      <c r="F994">
        <v>9</v>
      </c>
      <c r="G994" s="1">
        <v>56</v>
      </c>
      <c r="H994" s="16">
        <f t="shared" si="452"/>
        <v>5364</v>
      </c>
      <c r="I994">
        <v>48</v>
      </c>
      <c r="J994" s="17">
        <f t="shared" si="453"/>
        <v>5.333333333333333</v>
      </c>
      <c r="K994">
        <v>15</v>
      </c>
      <c r="L994">
        <v>31</v>
      </c>
      <c r="M994" s="17">
        <f t="shared" si="454"/>
        <v>1.6666666666666667</v>
      </c>
      <c r="N994" s="17">
        <f t="shared" si="455"/>
        <v>3.4444444444444446</v>
      </c>
      <c r="O994" s="18">
        <f t="shared" si="456"/>
        <v>0.4838709677419355</v>
      </c>
      <c r="P994">
        <v>6</v>
      </c>
      <c r="Q994">
        <v>11</v>
      </c>
      <c r="R994" s="17">
        <f t="shared" si="457"/>
        <v>0.66666666666666663</v>
      </c>
      <c r="S994" s="17">
        <f t="shared" si="458"/>
        <v>1.2222222222222223</v>
      </c>
      <c r="T994" s="18">
        <f t="shared" si="459"/>
        <v>0.54545454545454541</v>
      </c>
      <c r="U994">
        <v>9</v>
      </c>
      <c r="V994">
        <v>20</v>
      </c>
      <c r="W994" s="17">
        <f t="shared" si="460"/>
        <v>1</v>
      </c>
      <c r="X994" s="17">
        <f t="shared" si="461"/>
        <v>2.2222222222222223</v>
      </c>
      <c r="Y994" s="18">
        <f t="shared" si="462"/>
        <v>0.45</v>
      </c>
      <c r="Z994">
        <v>9</v>
      </c>
      <c r="AA994">
        <v>11</v>
      </c>
      <c r="AB994" s="17">
        <f t="shared" si="463"/>
        <v>1</v>
      </c>
      <c r="AC994" s="17">
        <f t="shared" si="464"/>
        <v>1.2222222222222223</v>
      </c>
      <c r="AD994" s="18">
        <f t="shared" si="465"/>
        <v>0.81818181818181823</v>
      </c>
      <c r="AE994">
        <v>20</v>
      </c>
      <c r="AF994" s="17">
        <f t="shared" si="466"/>
        <v>2.2222222222222223</v>
      </c>
      <c r="AG994">
        <v>8</v>
      </c>
      <c r="AH994" s="17">
        <f t="shared" si="467"/>
        <v>0.88888888888888884</v>
      </c>
      <c r="AI994">
        <v>12</v>
      </c>
      <c r="AJ994" s="17">
        <f t="shared" si="468"/>
        <v>1.3333333333333333</v>
      </c>
      <c r="AK994">
        <v>1</v>
      </c>
      <c r="AL994" s="17">
        <f t="shared" si="469"/>
        <v>0.1111111111111111</v>
      </c>
      <c r="AM994">
        <v>1</v>
      </c>
      <c r="AN994" s="17">
        <f t="shared" si="470"/>
        <v>0.1111111111111111</v>
      </c>
      <c r="AO994">
        <v>0</v>
      </c>
      <c r="AQ994">
        <v>5</v>
      </c>
      <c r="AR994" s="17">
        <f t="shared" si="471"/>
        <v>0.55555555555555558</v>
      </c>
      <c r="AS994">
        <v>14</v>
      </c>
      <c r="AT994" s="17">
        <f t="shared" si="472"/>
        <v>1.5555555555555556</v>
      </c>
      <c r="BD994" s="65">
        <f t="shared" si="473"/>
        <v>66.964285714285708</v>
      </c>
      <c r="BE994" s="65">
        <f t="shared" si="474"/>
        <v>62.903225806451616</v>
      </c>
      <c r="BF994" s="66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17.850082038697327</v>
      </c>
      <c r="BG994" s="38">
        <f t="shared" si="475"/>
        <v>0.64516129032258063</v>
      </c>
      <c r="BH994" s="38">
        <f t="shared" si="476"/>
        <v>0.35483870967741937</v>
      </c>
      <c r="BI994" s="67">
        <f>IFERROR(((AG994*(12000/5))/((F994*60+G994)*(SUMIFS(팀공격력!X:X,팀공격력!A:A,B994,팀공격력!B:B,D994)+SUMIFS(팀수비력!X:X,팀수비력!A:A,B994,팀수비력!B:B,D994))))*100,"")</f>
        <v>4.4557074828037537</v>
      </c>
      <c r="BJ994" s="67">
        <f>IFERROR(((AI994*(12000/5))/((F994*60+G994)*(SUMIFS(팀공격력!V:V,팀공격력!A:A,B994,팀공격력!B:B,D994)+SUMIFS(팀수비력!W:W,팀수비력!A:A,B994,팀수비력!B:B,D994))))*100,"")</f>
        <v>13.385636468422913</v>
      </c>
      <c r="BK994" s="67">
        <f>IFERROR(((AE994*(12000/5))/((F994*60+G994)*(SUMIFS(팀공격력!X:X,팀공격력!A:A,B994,팀공격력!B:B,D994)+SUMIFS(팀수비력!X:X,팀수비력!A:A,B994,팀수비력!B:B,D994))))*100,"")</f>
        <v>11.139268707009386</v>
      </c>
      <c r="BL994" s="67">
        <f>IFERROR(100*AK994/(((((F994*60+G994)/(12000/5))*SUMIFS(팀공격력!P:P,팀공격력!A:A,B994,팀공격력!B:B,D994))-K994)),"")</f>
        <v>1.2964843665593466</v>
      </c>
      <c r="BM994" s="67">
        <f>IFERROR(100*((AM994/E994*(2400))/((F994*60+G994)*SUMIFS(팀공격력!AR:AR,팀공격력!A:A,B994,팀공격력!B:B,D994))),"")</f>
        <v>0.51012817436466895</v>
      </c>
      <c r="BN994" s="67">
        <f>IFERROR((AO994*40)/(((F994*60+G994)/60)*(SUMIFS(팀수비력!Q:Q,팀수비력!A:A,B994,팀수비력!B:B,D994)-SUMIFS(팀수비력!N:N,팀수비력!A:A,B994,팀수비력!B:B,D994)))*100,"")</f>
        <v>0</v>
      </c>
      <c r="BO994" s="67">
        <f t="shared" si="477"/>
        <v>12.242899118511263</v>
      </c>
      <c r="BT994" t="s">
        <v>89</v>
      </c>
      <c r="BV994" t="s">
        <v>93</v>
      </c>
      <c r="CF994">
        <v>5</v>
      </c>
      <c r="CG994">
        <v>4</v>
      </c>
    </row>
    <row r="995" spans="1:85" x14ac:dyDescent="0.4">
      <c r="A995" s="11" t="s">
        <v>85</v>
      </c>
      <c r="B995" t="s">
        <v>145</v>
      </c>
      <c r="C995" t="s">
        <v>147</v>
      </c>
      <c r="D995" s="46" t="s">
        <v>313</v>
      </c>
      <c r="E995">
        <v>1</v>
      </c>
      <c r="F995">
        <v>17</v>
      </c>
      <c r="G995" s="1">
        <v>22</v>
      </c>
      <c r="H995" s="16">
        <f t="shared" si="452"/>
        <v>1042</v>
      </c>
      <c r="I995">
        <v>0</v>
      </c>
      <c r="J995" s="17">
        <f t="shared" si="453"/>
        <v>0</v>
      </c>
      <c r="K995">
        <v>0</v>
      </c>
      <c r="L995">
        <v>2</v>
      </c>
      <c r="M995" s="17">
        <f t="shared" si="454"/>
        <v>0</v>
      </c>
      <c r="N995" s="17">
        <f t="shared" si="455"/>
        <v>2</v>
      </c>
      <c r="O995" s="18">
        <f t="shared" si="456"/>
        <v>0</v>
      </c>
      <c r="P995">
        <v>0</v>
      </c>
      <c r="Q995">
        <v>1</v>
      </c>
      <c r="R995" s="17">
        <f t="shared" si="457"/>
        <v>0</v>
      </c>
      <c r="S995" s="17">
        <f t="shared" si="458"/>
        <v>1</v>
      </c>
      <c r="T995" s="18">
        <f t="shared" si="459"/>
        <v>0</v>
      </c>
      <c r="U995">
        <v>0</v>
      </c>
      <c r="V995">
        <v>1</v>
      </c>
      <c r="W995" s="17">
        <f t="shared" si="460"/>
        <v>0</v>
      </c>
      <c r="X995" s="17">
        <f t="shared" si="461"/>
        <v>1</v>
      </c>
      <c r="Y995" s="18">
        <f t="shared" si="462"/>
        <v>0</v>
      </c>
      <c r="Z995">
        <v>0</v>
      </c>
      <c r="AA995">
        <v>0</v>
      </c>
      <c r="AB995" s="17">
        <f t="shared" si="463"/>
        <v>0</v>
      </c>
      <c r="AC995" s="17">
        <f t="shared" si="464"/>
        <v>0</v>
      </c>
      <c r="AD995" s="18" t="e">
        <f t="shared" si="465"/>
        <v>#DIV/0!</v>
      </c>
      <c r="AE995">
        <v>1</v>
      </c>
      <c r="AF995" s="17">
        <f t="shared" si="466"/>
        <v>1</v>
      </c>
      <c r="AG995">
        <v>0</v>
      </c>
      <c r="AH995" s="17">
        <f t="shared" si="467"/>
        <v>0</v>
      </c>
      <c r="AI995">
        <v>1</v>
      </c>
      <c r="AJ995" s="17">
        <f t="shared" si="468"/>
        <v>1</v>
      </c>
      <c r="AK995">
        <v>0</v>
      </c>
      <c r="AL995" s="17">
        <f t="shared" si="469"/>
        <v>0</v>
      </c>
      <c r="AM995">
        <v>1</v>
      </c>
      <c r="AN995" s="17">
        <f t="shared" si="470"/>
        <v>1</v>
      </c>
      <c r="AO995">
        <v>0</v>
      </c>
      <c r="AQ995">
        <v>3</v>
      </c>
      <c r="AR995" s="17">
        <f t="shared" si="471"/>
        <v>3</v>
      </c>
      <c r="AS995">
        <v>2</v>
      </c>
      <c r="AT995" s="17">
        <f t="shared" si="472"/>
        <v>2</v>
      </c>
      <c r="BD995" s="65">
        <f t="shared" si="473"/>
        <v>0</v>
      </c>
      <c r="BE995" s="65">
        <f t="shared" si="474"/>
        <v>0</v>
      </c>
      <c r="BF995" s="66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1.2499798961566702</v>
      </c>
      <c r="BG995" s="38">
        <f t="shared" si="475"/>
        <v>0.5</v>
      </c>
      <c r="BH995" s="38">
        <f t="shared" si="476"/>
        <v>0</v>
      </c>
      <c r="BI995" s="67">
        <f>IFERROR(((AG995*(12000/5))/((F995*60+G995)*(SUMIFS(팀공격력!X:X,팀공격력!A:A,B995,팀공격력!B:B,D995)+SUMIFS(팀수비력!X:X,팀수비력!A:A,B995,팀수비력!B:B,D995))))*100,"")</f>
        <v>0</v>
      </c>
      <c r="BJ995" s="67">
        <f>IFERROR(((AI995*(12000/5))/((F995*60+G995)*(SUMIFS(팀공격력!V:V,팀공격력!A:A,B995,팀공격력!B:B,D995)+SUMIFS(팀수비력!W:W,팀수비력!A:A,B995,팀수비력!B:B,D995))))*100,"")</f>
        <v>0.63802297946097686</v>
      </c>
      <c r="BK995" s="67">
        <f>IFERROR(((AE995*(12000/5))/((F995*60+G995)*(SUMIFS(팀공격력!X:X,팀공격력!A:A,B995,팀공격력!B:B,D995)+SUMIFS(팀수비력!X:X,팀수비력!A:A,B995,팀수비력!B:B,D995))))*100,"")</f>
        <v>0.31857025668798433</v>
      </c>
      <c r="BL995" s="67">
        <f>IFERROR(100*AK995/(((((F995*60+G995)/(12000/5))*SUMIFS(팀공격력!P:P,팀공격력!A:A,B995,팀공격력!B:B,D995))-K995)),"")</f>
        <v>0</v>
      </c>
      <c r="BM995" s="67">
        <f>IFERROR(100*((AM995/E995*(2400))/((F995*60+G995)*SUMIFS(팀공격력!AR:AR,팀공격력!A:A,B995,팀공격력!B:B,D995))),"")</f>
        <v>2.6260340952899086</v>
      </c>
      <c r="BN995" s="67">
        <f>IFERROR((AO995*40)/(((F995*60+G995)/60)*(SUMIFS(팀수비력!Q:Q,팀수비력!A:A,B995,팀수비력!B:B,D995)-SUMIFS(팀수비력!N:N,팀수비력!A:A,B995,팀수비력!B:B,D995)))*100,"")</f>
        <v>0</v>
      </c>
      <c r="BO995" s="67">
        <f t="shared" si="477"/>
        <v>60</v>
      </c>
      <c r="BT995" t="s">
        <v>89</v>
      </c>
      <c r="BV995" t="s">
        <v>90</v>
      </c>
      <c r="CF995">
        <v>1</v>
      </c>
      <c r="CG995">
        <v>0</v>
      </c>
    </row>
    <row r="996" spans="1:85" x14ac:dyDescent="0.4">
      <c r="A996" s="11" t="s">
        <v>85</v>
      </c>
      <c r="B996" t="s">
        <v>145</v>
      </c>
      <c r="C996" t="s">
        <v>148</v>
      </c>
      <c r="D996" s="46" t="s">
        <v>313</v>
      </c>
      <c r="E996">
        <v>9</v>
      </c>
      <c r="F996">
        <v>23</v>
      </c>
      <c r="G996" s="1">
        <v>21</v>
      </c>
      <c r="H996" s="16">
        <f t="shared" si="452"/>
        <v>12609</v>
      </c>
      <c r="I996">
        <v>184</v>
      </c>
      <c r="J996" s="17">
        <f t="shared" si="453"/>
        <v>20.444444444444443</v>
      </c>
      <c r="K996">
        <v>78</v>
      </c>
      <c r="L996">
        <v>114</v>
      </c>
      <c r="M996" s="17">
        <f t="shared" si="454"/>
        <v>8.6666666666666661</v>
      </c>
      <c r="N996" s="17">
        <f t="shared" si="455"/>
        <v>12.666666666666666</v>
      </c>
      <c r="O996" s="18">
        <f t="shared" si="456"/>
        <v>0.68421052631578949</v>
      </c>
      <c r="P996">
        <v>68</v>
      </c>
      <c r="Q996">
        <v>92</v>
      </c>
      <c r="R996" s="17">
        <f t="shared" si="457"/>
        <v>7.5555555555555554</v>
      </c>
      <c r="S996" s="17">
        <f t="shared" si="458"/>
        <v>10.222222222222221</v>
      </c>
      <c r="T996" s="18">
        <f t="shared" si="459"/>
        <v>0.73913043478260865</v>
      </c>
      <c r="U996">
        <v>10</v>
      </c>
      <c r="V996">
        <v>22</v>
      </c>
      <c r="W996" s="17">
        <f t="shared" si="460"/>
        <v>1.1111111111111112</v>
      </c>
      <c r="X996" s="17">
        <f t="shared" si="461"/>
        <v>2.4444444444444446</v>
      </c>
      <c r="Y996" s="18">
        <f t="shared" si="462"/>
        <v>0.45454545454545453</v>
      </c>
      <c r="Z996">
        <v>18</v>
      </c>
      <c r="AA996">
        <v>21</v>
      </c>
      <c r="AB996" s="17">
        <f t="shared" si="463"/>
        <v>2</v>
      </c>
      <c r="AC996" s="17">
        <f t="shared" si="464"/>
        <v>2.3333333333333335</v>
      </c>
      <c r="AD996" s="18">
        <f t="shared" si="465"/>
        <v>0.8571428571428571</v>
      </c>
      <c r="AE996">
        <v>79</v>
      </c>
      <c r="AF996" s="17">
        <f t="shared" si="466"/>
        <v>8.7777777777777786</v>
      </c>
      <c r="AG996">
        <v>28</v>
      </c>
      <c r="AH996" s="17">
        <f t="shared" si="467"/>
        <v>3.1111111111111112</v>
      </c>
      <c r="AI996">
        <v>51</v>
      </c>
      <c r="AJ996" s="17">
        <f t="shared" si="468"/>
        <v>5.666666666666667</v>
      </c>
      <c r="AK996">
        <v>13</v>
      </c>
      <c r="AL996" s="17">
        <f t="shared" si="469"/>
        <v>1.4444444444444444</v>
      </c>
      <c r="AM996">
        <v>4</v>
      </c>
      <c r="AN996" s="17">
        <f t="shared" si="470"/>
        <v>0.44444444444444442</v>
      </c>
      <c r="AO996">
        <v>9</v>
      </c>
      <c r="AQ996">
        <v>13</v>
      </c>
      <c r="AR996" s="17">
        <f t="shared" si="471"/>
        <v>1.4444444444444444</v>
      </c>
      <c r="AS996">
        <v>24</v>
      </c>
      <c r="AT996" s="17">
        <f t="shared" si="472"/>
        <v>2.6666666666666665</v>
      </c>
      <c r="BD996" s="65">
        <f t="shared" si="473"/>
        <v>74.651087309315159</v>
      </c>
      <c r="BE996" s="65">
        <f t="shared" si="474"/>
        <v>72.807017543859658</v>
      </c>
      <c r="BF996" s="66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25.331869524137744</v>
      </c>
      <c r="BG996" s="38">
        <f t="shared" si="475"/>
        <v>0.19298245614035087</v>
      </c>
      <c r="BH996" s="38">
        <f t="shared" si="476"/>
        <v>0.18421052631578946</v>
      </c>
      <c r="BI996" s="67">
        <f>IFERROR(((AG996*(12000/5))/((F996*60+G996)*(SUMIFS(팀공격력!X:X,팀공격력!A:A,B996,팀공격력!B:B,D996)+SUMIFS(팀수비력!X:X,팀수비력!A:A,B996,팀수비력!B:B,D996))))*100,"")</f>
        <v>6.6342653883858889</v>
      </c>
      <c r="BJ996" s="67">
        <f>IFERROR(((AI996*(12000/5))/((F996*60+G996)*(SUMIFS(팀공격력!V:V,팀공격력!A:A,B996,팀공격력!B:B,D996)+SUMIFS(팀수비력!W:W,팀수비력!A:A,B996,팀수비력!B:B,D996))))*100,"")</f>
        <v>24.201154300153629</v>
      </c>
      <c r="BK996" s="67">
        <f>IFERROR(((AE996*(12000/5))/((F996*60+G996)*(SUMIFS(팀공격력!X:X,팀공격력!A:A,B996,팀공격력!B:B,D996)+SUMIFS(팀수비력!X:X,팀수비력!A:A,B996,팀수비력!B:B,D996))))*100,"")</f>
        <v>18.718105917231618</v>
      </c>
      <c r="BL996" s="67">
        <f>IFERROR(100*AK996/(((((F996*60+G996)/(12000/5))*SUMIFS(팀공격력!P:P,팀공격력!A:A,B996,팀공격력!B:B,D996))-K996)),"")</f>
        <v>9.3814553884734391</v>
      </c>
      <c r="BM996" s="67">
        <f>IFERROR(100*((AM996/E996*(2400))/((F996*60+G996)*SUMIFS(팀공격력!AR:AR,팀공격력!A:A,B996,팀공격력!B:B,D996))),"")</f>
        <v>0.86805536594244881</v>
      </c>
      <c r="BN996" s="67">
        <f>IFERROR((AO996*40)/(((F996*60+G996)/60)*(SUMIFS(팀수비력!Q:Q,팀수비력!A:A,B996,팀수비력!B:B,D996)-SUMIFS(팀수비력!N:N,팀수비력!A:A,B996,팀수비력!B:B,D996)))*100,"")</f>
        <v>3.4034346327835836</v>
      </c>
      <c r="BO996" s="67">
        <f t="shared" si="477"/>
        <v>9.5419847328244263</v>
      </c>
      <c r="BT996" t="s">
        <v>96</v>
      </c>
      <c r="BV996" t="s">
        <v>102</v>
      </c>
      <c r="CF996">
        <v>5</v>
      </c>
      <c r="CG996">
        <v>4</v>
      </c>
    </row>
    <row r="997" spans="1:85" x14ac:dyDescent="0.4">
      <c r="A997" s="11" t="s">
        <v>85</v>
      </c>
      <c r="B997" t="s">
        <v>145</v>
      </c>
      <c r="C997" t="s">
        <v>149</v>
      </c>
      <c r="D997" s="46" t="s">
        <v>313</v>
      </c>
      <c r="E997">
        <v>1</v>
      </c>
      <c r="F997">
        <v>10</v>
      </c>
      <c r="G997" s="1">
        <v>0</v>
      </c>
      <c r="H997" s="16">
        <f t="shared" si="452"/>
        <v>600</v>
      </c>
      <c r="I997">
        <v>6</v>
      </c>
      <c r="J997" s="17">
        <f t="shared" si="453"/>
        <v>6</v>
      </c>
      <c r="K997">
        <v>3</v>
      </c>
      <c r="L997">
        <v>6</v>
      </c>
      <c r="M997" s="17">
        <f t="shared" si="454"/>
        <v>3</v>
      </c>
      <c r="N997" s="17">
        <f t="shared" si="455"/>
        <v>6</v>
      </c>
      <c r="O997" s="18">
        <f t="shared" si="456"/>
        <v>0.5</v>
      </c>
      <c r="P997">
        <v>3</v>
      </c>
      <c r="Q997">
        <v>6</v>
      </c>
      <c r="R997" s="17">
        <f t="shared" si="457"/>
        <v>3</v>
      </c>
      <c r="S997" s="17">
        <f t="shared" si="458"/>
        <v>6</v>
      </c>
      <c r="T997" s="18">
        <f t="shared" si="459"/>
        <v>0.5</v>
      </c>
      <c r="U997">
        <v>0</v>
      </c>
      <c r="V997">
        <v>0</v>
      </c>
      <c r="W997" s="17">
        <f t="shared" si="460"/>
        <v>0</v>
      </c>
      <c r="X997" s="17">
        <f t="shared" si="461"/>
        <v>0</v>
      </c>
      <c r="Y997" s="18" t="e">
        <f t="shared" si="462"/>
        <v>#DIV/0!</v>
      </c>
      <c r="Z997">
        <v>0</v>
      </c>
      <c r="AA997">
        <v>0</v>
      </c>
      <c r="AB997" s="17">
        <f t="shared" si="463"/>
        <v>0</v>
      </c>
      <c r="AC997" s="17">
        <f t="shared" si="464"/>
        <v>0</v>
      </c>
      <c r="AD997" s="18" t="e">
        <f t="shared" si="465"/>
        <v>#DIV/0!</v>
      </c>
      <c r="AE997">
        <v>7</v>
      </c>
      <c r="AF997" s="17">
        <f t="shared" si="466"/>
        <v>7</v>
      </c>
      <c r="AG997">
        <v>4</v>
      </c>
      <c r="AH997" s="17">
        <f t="shared" si="467"/>
        <v>4</v>
      </c>
      <c r="AI997">
        <v>3</v>
      </c>
      <c r="AJ997" s="17">
        <f t="shared" si="468"/>
        <v>3</v>
      </c>
      <c r="AK997">
        <v>1</v>
      </c>
      <c r="AL997" s="17">
        <f t="shared" si="469"/>
        <v>1</v>
      </c>
      <c r="AM997">
        <v>1</v>
      </c>
      <c r="AN997" s="17">
        <f t="shared" si="470"/>
        <v>1</v>
      </c>
      <c r="AO997">
        <v>0</v>
      </c>
      <c r="AQ997">
        <v>1</v>
      </c>
      <c r="AR997" s="17">
        <f t="shared" si="471"/>
        <v>1</v>
      </c>
      <c r="AS997">
        <v>2</v>
      </c>
      <c r="AT997" s="17">
        <f t="shared" si="472"/>
        <v>2</v>
      </c>
      <c r="BD997" s="65">
        <f t="shared" si="473"/>
        <v>50</v>
      </c>
      <c r="BE997" s="65">
        <f t="shared" si="474"/>
        <v>50</v>
      </c>
      <c r="BF997" s="66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3.0391177875222506</v>
      </c>
      <c r="BG997" s="38">
        <f t="shared" si="475"/>
        <v>0</v>
      </c>
      <c r="BH997" s="38">
        <f t="shared" si="476"/>
        <v>0</v>
      </c>
      <c r="BI997" s="67">
        <f>IFERROR(((AG997*(12000/5))/((F997*60+G997)*(SUMIFS(팀공격력!X:X,팀공격력!A:A,B997,팀공격력!B:B,D997)+SUMIFS(팀수비력!X:X,팀수비력!A:A,B997,팀수비력!B:B,D997))))*100,"")</f>
        <v>2.2130013831258646</v>
      </c>
      <c r="BJ997" s="67">
        <f>IFERROR(((AI997*(12000/5))/((F997*60+G997)*(SUMIFS(팀공격력!V:V,팀공격력!A:A,B997,팀공격력!B:B,D997)+SUMIFS(팀수비력!W:W,팀수비력!A:A,B997,팀수비력!B:B,D997))))*100,"")</f>
        <v>3.32409972299169</v>
      </c>
      <c r="BK997" s="67">
        <f>IFERROR(((AE997*(12000/5))/((F997*60+G997)*(SUMIFS(팀공격력!X:X,팀공격력!A:A,B997,팀공격력!B:B,D997)+SUMIFS(팀수비력!X:X,팀수비력!A:A,B997,팀수비력!B:B,D997))))*100,"")</f>
        <v>3.8727524204702628</v>
      </c>
      <c r="BL997" s="67">
        <f>IFERROR(100*AK997/(((((F997*60+G997)/(12000/5))*SUMIFS(팀공격력!P:P,팀공격력!A:A,B997,팀공격력!B:B,D997))-K997)),"")</f>
        <v>1.1142061281337048</v>
      </c>
      <c r="BM997" s="67">
        <f>IFERROR(100*((AM997/E997*(2400))/((F997*60+G997)*SUMIFS(팀공격력!AR:AR,팀공격력!A:A,B997,팀공격력!B:B,D997))),"")</f>
        <v>4.5605458788201405</v>
      </c>
      <c r="BN997" s="67">
        <f>IFERROR((AO997*40)/(((F997*60+G997)/60)*(SUMIFS(팀수비력!Q:Q,팀수비력!A:A,B997,팀수비력!B:B,D997)-SUMIFS(팀수비력!N:N,팀수비력!A:A,B997,팀수비력!B:B,D997)))*100,"")</f>
        <v>0</v>
      </c>
      <c r="BO997" s="67">
        <f t="shared" si="477"/>
        <v>14.285714285714286</v>
      </c>
      <c r="BT997" t="s">
        <v>89</v>
      </c>
      <c r="BV997" t="s">
        <v>102</v>
      </c>
      <c r="CF997">
        <v>1</v>
      </c>
      <c r="CG997">
        <v>0</v>
      </c>
    </row>
    <row r="998" spans="1:85" x14ac:dyDescent="0.4">
      <c r="A998" s="11" t="s">
        <v>85</v>
      </c>
      <c r="B998" t="s">
        <v>145</v>
      </c>
      <c r="C998" t="s">
        <v>150</v>
      </c>
      <c r="D998" s="46" t="s">
        <v>313</v>
      </c>
      <c r="E998">
        <v>1</v>
      </c>
      <c r="F998">
        <v>23</v>
      </c>
      <c r="G998" s="1">
        <v>58</v>
      </c>
      <c r="H998" s="16">
        <f t="shared" si="452"/>
        <v>1438</v>
      </c>
      <c r="I998">
        <v>8</v>
      </c>
      <c r="J998" s="17">
        <f t="shared" si="453"/>
        <v>8</v>
      </c>
      <c r="K998">
        <v>3</v>
      </c>
      <c r="L998">
        <v>10</v>
      </c>
      <c r="M998" s="17">
        <f t="shared" si="454"/>
        <v>3</v>
      </c>
      <c r="N998" s="17">
        <f t="shared" si="455"/>
        <v>10</v>
      </c>
      <c r="O998" s="18">
        <f t="shared" si="456"/>
        <v>0.3</v>
      </c>
      <c r="P998">
        <v>2</v>
      </c>
      <c r="Q998">
        <v>7</v>
      </c>
      <c r="R998" s="17">
        <f t="shared" si="457"/>
        <v>2</v>
      </c>
      <c r="S998" s="17">
        <f t="shared" si="458"/>
        <v>7</v>
      </c>
      <c r="T998" s="18">
        <f t="shared" si="459"/>
        <v>0.2857142857142857</v>
      </c>
      <c r="U998">
        <v>1</v>
      </c>
      <c r="V998">
        <v>3</v>
      </c>
      <c r="W998" s="17">
        <f t="shared" si="460"/>
        <v>1</v>
      </c>
      <c r="X998" s="17">
        <f t="shared" si="461"/>
        <v>3</v>
      </c>
      <c r="Y998" s="18">
        <f t="shared" si="462"/>
        <v>0.33333333333333331</v>
      </c>
      <c r="Z998">
        <v>1</v>
      </c>
      <c r="AA998">
        <v>2</v>
      </c>
      <c r="AB998" s="17">
        <f t="shared" si="463"/>
        <v>1</v>
      </c>
      <c r="AC998" s="17">
        <f t="shared" si="464"/>
        <v>2</v>
      </c>
      <c r="AD998" s="18">
        <f t="shared" si="465"/>
        <v>0.5</v>
      </c>
      <c r="AE998">
        <v>2</v>
      </c>
      <c r="AF998" s="17">
        <f t="shared" si="466"/>
        <v>2</v>
      </c>
      <c r="AG998">
        <v>1</v>
      </c>
      <c r="AH998" s="17">
        <f t="shared" si="467"/>
        <v>1</v>
      </c>
      <c r="AI998">
        <v>1</v>
      </c>
      <c r="AJ998" s="17">
        <f t="shared" si="468"/>
        <v>1</v>
      </c>
      <c r="AK998">
        <v>2</v>
      </c>
      <c r="AL998" s="17">
        <f t="shared" si="469"/>
        <v>2</v>
      </c>
      <c r="AM998">
        <v>1</v>
      </c>
      <c r="AN998" s="17">
        <f t="shared" si="470"/>
        <v>1</v>
      </c>
      <c r="AO998">
        <v>0</v>
      </c>
      <c r="AQ998">
        <v>1</v>
      </c>
      <c r="AR998" s="17">
        <f t="shared" si="471"/>
        <v>1</v>
      </c>
      <c r="AS998">
        <v>4</v>
      </c>
      <c r="AT998" s="17">
        <f t="shared" si="472"/>
        <v>4</v>
      </c>
      <c r="BD998" s="65">
        <f t="shared" si="473"/>
        <v>36.764705882352935</v>
      </c>
      <c r="BE998" s="65">
        <f t="shared" si="474"/>
        <v>35</v>
      </c>
      <c r="BF998" s="66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2.1520794346769923</v>
      </c>
      <c r="BG998" s="38">
        <f t="shared" si="475"/>
        <v>0.3</v>
      </c>
      <c r="BH998" s="38">
        <f t="shared" si="476"/>
        <v>0.2</v>
      </c>
      <c r="BI998" s="67">
        <f>IFERROR(((AG998*(12000/5))/((F998*60+G998)*(SUMIFS(팀공격력!X:X,팀공격력!A:A,B998,팀공격력!B:B,D998)+SUMIFS(팀수비력!X:X,팀수비력!A:A,B998,팀수비력!B:B,D998))))*100,"")</f>
        <v>0.23084159072940172</v>
      </c>
      <c r="BJ998" s="67">
        <f>IFERROR(((AI998*(12000/5))/((F998*60+G998)*(SUMIFS(팀공격력!V:V,팀공격력!A:A,B998,팀공격력!B:B,D998)+SUMIFS(팀수비력!W:W,팀수비력!A:A,B998,팀수비력!B:B,D998))))*100,"")</f>
        <v>0.46232263184863553</v>
      </c>
      <c r="BK998" s="67">
        <f>IFERROR(((AE998*(12000/5))/((F998*60+G998)*(SUMIFS(팀공격력!X:X,팀공격력!A:A,B998,팀공격력!B:B,D998)+SUMIFS(팀수비력!X:X,팀수비력!A:A,B998,팀수비력!B:B,D998))))*100,"")</f>
        <v>0.46168318145880344</v>
      </c>
      <c r="BL998" s="67">
        <f>IFERROR(100*AK998/(((((F998*60+G998)/(12000/5))*SUMIFS(팀공격력!P:P,팀공격력!A:A,B998,팀공격력!B:B,D998))-K998)),"")</f>
        <v>0.91203082664194057</v>
      </c>
      <c r="BM998" s="67">
        <f>IFERROR(100*((AM998/E998*(2400))/((F998*60+G998)*SUMIFS(팀공격력!AR:AR,팀공격력!A:A,B998,팀공격력!B:B,D998))),"")</f>
        <v>1.902870324959725</v>
      </c>
      <c r="BN998" s="67">
        <f>IFERROR((AO998*40)/(((F998*60+G998)/60)*(SUMIFS(팀수비력!Q:Q,팀수비력!A:A,B998,팀수비력!B:B,D998)-SUMIFS(팀수비력!N:N,팀수비력!A:A,B998,팀수비력!B:B,D998)))*100,"")</f>
        <v>0</v>
      </c>
      <c r="BO998" s="67">
        <f t="shared" si="477"/>
        <v>8.4175084175084169</v>
      </c>
      <c r="BT998" t="s">
        <v>89</v>
      </c>
      <c r="BV998" t="s">
        <v>93</v>
      </c>
      <c r="CF998">
        <v>1</v>
      </c>
      <c r="CG998">
        <v>0</v>
      </c>
    </row>
    <row r="999" spans="1:85" x14ac:dyDescent="0.4">
      <c r="A999" s="11" t="s">
        <v>85</v>
      </c>
      <c r="B999" t="s">
        <v>145</v>
      </c>
      <c r="C999" t="s">
        <v>152</v>
      </c>
      <c r="D999" s="46" t="s">
        <v>313</v>
      </c>
      <c r="E999">
        <v>10</v>
      </c>
      <c r="F999">
        <v>18</v>
      </c>
      <c r="G999" s="1">
        <v>35</v>
      </c>
      <c r="H999" s="16">
        <f t="shared" si="452"/>
        <v>11150</v>
      </c>
      <c r="I999">
        <v>140</v>
      </c>
      <c r="J999" s="17">
        <f t="shared" si="453"/>
        <v>14</v>
      </c>
      <c r="K999">
        <v>54</v>
      </c>
      <c r="L999">
        <v>98</v>
      </c>
      <c r="M999" s="17">
        <f t="shared" si="454"/>
        <v>5.4</v>
      </c>
      <c r="N999" s="17">
        <f t="shared" si="455"/>
        <v>9.8000000000000007</v>
      </c>
      <c r="O999" s="18">
        <f t="shared" si="456"/>
        <v>0.55102040816326525</v>
      </c>
      <c r="P999">
        <v>52</v>
      </c>
      <c r="Q999">
        <v>81</v>
      </c>
      <c r="R999" s="17">
        <f t="shared" si="457"/>
        <v>5.2</v>
      </c>
      <c r="S999" s="17">
        <f t="shared" si="458"/>
        <v>8.1</v>
      </c>
      <c r="T999" s="18">
        <f t="shared" si="459"/>
        <v>0.64197530864197527</v>
      </c>
      <c r="U999">
        <v>2</v>
      </c>
      <c r="V999">
        <v>17</v>
      </c>
      <c r="W999" s="17">
        <f t="shared" si="460"/>
        <v>0.2</v>
      </c>
      <c r="X999" s="17">
        <f t="shared" si="461"/>
        <v>1.7</v>
      </c>
      <c r="Y999" s="18">
        <f t="shared" si="462"/>
        <v>0.11764705882352941</v>
      </c>
      <c r="Z999">
        <v>30</v>
      </c>
      <c r="AA999">
        <v>43</v>
      </c>
      <c r="AB999" s="17">
        <f t="shared" si="463"/>
        <v>3</v>
      </c>
      <c r="AC999" s="17">
        <f t="shared" si="464"/>
        <v>4.3</v>
      </c>
      <c r="AD999" s="18">
        <f t="shared" si="465"/>
        <v>0.69767441860465118</v>
      </c>
      <c r="AE999">
        <v>99</v>
      </c>
      <c r="AF999" s="17">
        <f t="shared" si="466"/>
        <v>9.9</v>
      </c>
      <c r="AG999">
        <v>32</v>
      </c>
      <c r="AH999" s="17">
        <f t="shared" si="467"/>
        <v>3.2</v>
      </c>
      <c r="AI999">
        <v>67</v>
      </c>
      <c r="AJ999" s="17">
        <f t="shared" si="468"/>
        <v>6.7</v>
      </c>
      <c r="AK999">
        <v>38</v>
      </c>
      <c r="AL999" s="17">
        <f t="shared" si="469"/>
        <v>3.8</v>
      </c>
      <c r="AM999">
        <v>11</v>
      </c>
      <c r="AN999" s="17">
        <f t="shared" si="470"/>
        <v>1.1000000000000001</v>
      </c>
      <c r="AO999">
        <v>0</v>
      </c>
      <c r="AQ999">
        <v>16</v>
      </c>
      <c r="AR999" s="17">
        <f t="shared" si="471"/>
        <v>1.6</v>
      </c>
      <c r="AS999">
        <v>24</v>
      </c>
      <c r="AT999" s="17">
        <f t="shared" si="472"/>
        <v>2.4</v>
      </c>
      <c r="BD999" s="65">
        <f t="shared" si="473"/>
        <v>59.869996578857339</v>
      </c>
      <c r="BE999" s="65">
        <f t="shared" si="474"/>
        <v>56.12244897959183</v>
      </c>
      <c r="BF999" s="66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31.053904137152411</v>
      </c>
      <c r="BG999" s="38">
        <f t="shared" si="475"/>
        <v>0.17346938775510204</v>
      </c>
      <c r="BH999" s="38">
        <f t="shared" si="476"/>
        <v>0.43877551020408162</v>
      </c>
      <c r="BI999" s="67">
        <f>IFERROR(((AG999*(12000/5))/((F999*60+G999)*(SUMIFS(팀공격력!X:X,팀공격력!A:A,B999,팀공격력!B:B,D999)+SUMIFS(팀수비력!X:X,팀수비력!A:A,B999,팀수비력!B:B,D999))))*100,"")</f>
        <v>9.5268220977615687</v>
      </c>
      <c r="BJ999" s="67">
        <f>IFERROR(((AI999*(12000/5))/((F999*60+G999)*(SUMIFS(팀공격력!V:V,팀공격력!A:A,B999,팀공격력!B:B,D999)+SUMIFS(팀수비력!W:W,팀수비력!A:A,B999,팀수비력!B:B,D999))))*100,"")</f>
        <v>39.948821783039143</v>
      </c>
      <c r="BK999" s="67">
        <f>IFERROR(((AE999*(12000/5))/((F999*60+G999)*(SUMIFS(팀공격력!X:X,팀공격력!A:A,B999,팀공격력!B:B,D999)+SUMIFS(팀수비력!X:X,팀수비력!A:A,B999,팀수비력!B:B,D999))))*100,"")</f>
        <v>29.473605864949853</v>
      </c>
      <c r="BL999" s="67">
        <f>IFERROR(100*AK999/(((((F999*60+G999)/(12000/5))*SUMIFS(팀공격력!P:P,팀공격력!A:A,B999,팀공격력!B:B,D999))-K999)),"")</f>
        <v>32.105328005914139</v>
      </c>
      <c r="BM999" s="67">
        <f>IFERROR(100*((AM999/E999*(2400))/((F999*60+G999)*SUMIFS(팀공격력!AR:AR,팀공격력!A:A,B999,팀공격력!B:B,D999))),"")</f>
        <v>2.6995159462074376</v>
      </c>
      <c r="BN999" s="67">
        <f>IFERROR((AO999*40)/(((F999*60+G999)/60)*(SUMIFS(팀수비력!Q:Q,팀수비력!A:A,B999,팀수비력!B:B,D999)-SUMIFS(팀수비력!N:N,팀수비력!A:A,B999,팀수비력!B:B,D999)))*100,"")</f>
        <v>0</v>
      </c>
      <c r="BO999" s="67">
        <f t="shared" si="477"/>
        <v>12.037315678603671</v>
      </c>
      <c r="BT999" t="s">
        <v>96</v>
      </c>
      <c r="BV999" t="s">
        <v>102</v>
      </c>
      <c r="CF999">
        <v>6</v>
      </c>
      <c r="CG999">
        <v>4</v>
      </c>
    </row>
    <row r="1000" spans="1:85" x14ac:dyDescent="0.4">
      <c r="A1000" s="11" t="s">
        <v>85</v>
      </c>
      <c r="B1000" t="s">
        <v>145</v>
      </c>
      <c r="C1000" t="s">
        <v>153</v>
      </c>
      <c r="D1000" s="46" t="s">
        <v>313</v>
      </c>
      <c r="E1000">
        <v>7</v>
      </c>
      <c r="F1000">
        <v>6</v>
      </c>
      <c r="G1000" s="1">
        <v>36</v>
      </c>
      <c r="H1000" s="16">
        <f t="shared" si="452"/>
        <v>2772</v>
      </c>
      <c r="I1000">
        <v>0</v>
      </c>
      <c r="J1000" s="17">
        <f t="shared" si="453"/>
        <v>0</v>
      </c>
      <c r="K1000">
        <v>0</v>
      </c>
      <c r="L1000">
        <v>3</v>
      </c>
      <c r="M1000" s="17">
        <f t="shared" si="454"/>
        <v>0</v>
      </c>
      <c r="N1000" s="17">
        <f t="shared" si="455"/>
        <v>0.42857142857142855</v>
      </c>
      <c r="O1000" s="18">
        <f t="shared" si="456"/>
        <v>0</v>
      </c>
      <c r="P1000">
        <v>0</v>
      </c>
      <c r="Q1000">
        <v>1</v>
      </c>
      <c r="R1000" s="17">
        <f t="shared" si="457"/>
        <v>0</v>
      </c>
      <c r="S1000" s="17">
        <f t="shared" si="458"/>
        <v>0.14285714285714285</v>
      </c>
      <c r="T1000" s="18">
        <f t="shared" si="459"/>
        <v>0</v>
      </c>
      <c r="U1000">
        <v>0</v>
      </c>
      <c r="V1000">
        <v>2</v>
      </c>
      <c r="W1000" s="17">
        <f t="shared" si="460"/>
        <v>0</v>
      </c>
      <c r="X1000" s="17">
        <f t="shared" si="461"/>
        <v>0.2857142857142857</v>
      </c>
      <c r="Y1000" s="18">
        <f t="shared" si="462"/>
        <v>0</v>
      </c>
      <c r="Z1000">
        <v>0</v>
      </c>
      <c r="AA1000">
        <v>0</v>
      </c>
      <c r="AB1000" s="17">
        <f t="shared" si="463"/>
        <v>0</v>
      </c>
      <c r="AC1000" s="17">
        <f t="shared" si="464"/>
        <v>0</v>
      </c>
      <c r="AD1000" s="18" t="e">
        <f t="shared" si="465"/>
        <v>#DIV/0!</v>
      </c>
      <c r="AE1000">
        <v>5</v>
      </c>
      <c r="AF1000" s="17">
        <f t="shared" si="466"/>
        <v>0.7142857142857143</v>
      </c>
      <c r="AG1000">
        <v>2</v>
      </c>
      <c r="AH1000" s="17">
        <f t="shared" si="467"/>
        <v>0.2857142857142857</v>
      </c>
      <c r="AI1000">
        <v>3</v>
      </c>
      <c r="AJ1000" s="17">
        <f t="shared" si="468"/>
        <v>0.42857142857142855</v>
      </c>
      <c r="AK1000">
        <v>1</v>
      </c>
      <c r="AL1000" s="17">
        <f t="shared" si="469"/>
        <v>0.14285714285714285</v>
      </c>
      <c r="AM1000">
        <v>2</v>
      </c>
      <c r="AN1000" s="17">
        <f t="shared" si="470"/>
        <v>0.2857142857142857</v>
      </c>
      <c r="AO1000">
        <v>0</v>
      </c>
      <c r="AQ1000">
        <v>0</v>
      </c>
      <c r="AR1000" s="17">
        <f t="shared" si="471"/>
        <v>0</v>
      </c>
      <c r="AS1000">
        <v>7</v>
      </c>
      <c r="AT1000" s="17">
        <f t="shared" si="472"/>
        <v>1</v>
      </c>
      <c r="BD1000" s="65">
        <f t="shared" si="473"/>
        <v>0</v>
      </c>
      <c r="BE1000" s="65">
        <f t="shared" si="474"/>
        <v>0</v>
      </c>
      <c r="BF1000" s="66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1.9734531087806821</v>
      </c>
      <c r="BG1000" s="38">
        <f t="shared" si="475"/>
        <v>0.66666666666666663</v>
      </c>
      <c r="BH1000" s="38">
        <f t="shared" si="476"/>
        <v>0</v>
      </c>
      <c r="BI1000" s="67">
        <f>IFERROR(((AG1000*(12000/5))/((F1000*60+G1000)*(SUMIFS(팀공격력!X:X,팀공격력!A:A,B1000,팀공격력!B:B,D1000)+SUMIFS(팀수비력!X:X,팀수비력!A:A,B1000,팀수비력!B:B,D1000))))*100,"")</f>
        <v>1.6765161993377762</v>
      </c>
      <c r="BJ1000" s="67">
        <f>IFERROR(((AI1000*(12000/5))/((F1000*60+G1000)*(SUMIFS(팀공격력!V:V,팀공격력!A:A,B1000,팀공격력!B:B,D1000)+SUMIFS(팀수비력!W:W,팀수비력!A:A,B1000,팀수비력!B:B,D1000))))*100,"")</f>
        <v>5.0365147318055907</v>
      </c>
      <c r="BK1000" s="67">
        <f>IFERROR(((AE1000*(12000/5))/((F1000*60+G1000)*(SUMIFS(팀공격력!X:X,팀공격력!A:A,B1000,팀공격력!B:B,D1000)+SUMIFS(팀수비력!X:X,팀수비력!A:A,B1000,팀수비력!B:B,D1000))))*100,"")</f>
        <v>4.1912904983444399</v>
      </c>
      <c r="BL1000" s="67">
        <f>IFERROR(100*AK1000/(((((F1000*60+G1000)/(12000/5))*SUMIFS(팀공격력!P:P,팀공격력!A:A,B1000,팀공격력!B:B,D1000))-K1000)),"")</f>
        <v>1.6335865392469164</v>
      </c>
      <c r="BM1000" s="67">
        <f>IFERROR(100*((AM1000/E1000*(2400))/((F1000*60+G1000)*SUMIFS(팀공격력!AR:AR,팀공격력!A:A,B1000,팀공격력!B:B,D1000))),"")</f>
        <v>1.9742622852035243</v>
      </c>
      <c r="BN1000" s="67">
        <f>IFERROR((AO1000*40)/(((F1000*60+G1000)/60)*(SUMIFS(팀수비력!Q:Q,팀수비력!A:A,B1000,팀수비력!B:B,D1000)-SUMIFS(팀수비력!N:N,팀수비력!A:A,B1000,팀수비력!B:B,D1000)))*100,"")</f>
        <v>0</v>
      </c>
      <c r="BO1000" s="67">
        <f t="shared" si="477"/>
        <v>0</v>
      </c>
      <c r="BT1000" t="s">
        <v>89</v>
      </c>
      <c r="BV1000" t="s">
        <v>93</v>
      </c>
      <c r="CF1000">
        <v>3</v>
      </c>
      <c r="CG1000">
        <v>4</v>
      </c>
    </row>
    <row r="1001" spans="1:85" x14ac:dyDescent="0.4">
      <c r="A1001" s="11" t="s">
        <v>85</v>
      </c>
      <c r="B1001" t="s">
        <v>145</v>
      </c>
      <c r="C1001" t="s">
        <v>154</v>
      </c>
      <c r="D1001" s="46" t="s">
        <v>313</v>
      </c>
      <c r="E1001">
        <v>9</v>
      </c>
      <c r="F1001">
        <v>18</v>
      </c>
      <c r="G1001" s="1">
        <v>31</v>
      </c>
      <c r="H1001" s="16">
        <f t="shared" si="452"/>
        <v>9999</v>
      </c>
      <c r="I1001">
        <v>48</v>
      </c>
      <c r="J1001" s="17">
        <f t="shared" si="453"/>
        <v>5.333333333333333</v>
      </c>
      <c r="K1001">
        <v>16</v>
      </c>
      <c r="L1001">
        <v>42</v>
      </c>
      <c r="M1001" s="17">
        <f t="shared" si="454"/>
        <v>1.7777777777777777</v>
      </c>
      <c r="N1001" s="17">
        <f t="shared" si="455"/>
        <v>4.666666666666667</v>
      </c>
      <c r="O1001" s="18">
        <f t="shared" si="456"/>
        <v>0.38095238095238093</v>
      </c>
      <c r="P1001">
        <v>4</v>
      </c>
      <c r="Q1001">
        <v>6</v>
      </c>
      <c r="R1001" s="17">
        <f t="shared" si="457"/>
        <v>0.44444444444444442</v>
      </c>
      <c r="S1001" s="17">
        <f t="shared" si="458"/>
        <v>0.66666666666666663</v>
      </c>
      <c r="T1001" s="18">
        <f t="shared" si="459"/>
        <v>0.66666666666666663</v>
      </c>
      <c r="U1001">
        <v>12</v>
      </c>
      <c r="V1001">
        <v>36</v>
      </c>
      <c r="W1001" s="17">
        <f t="shared" si="460"/>
        <v>1.3333333333333333</v>
      </c>
      <c r="X1001" s="17">
        <f t="shared" si="461"/>
        <v>4</v>
      </c>
      <c r="Y1001" s="18">
        <f t="shared" si="462"/>
        <v>0.33333333333333331</v>
      </c>
      <c r="Z1001">
        <v>4</v>
      </c>
      <c r="AA1001">
        <v>6</v>
      </c>
      <c r="AB1001" s="17">
        <f t="shared" si="463"/>
        <v>0.44444444444444442</v>
      </c>
      <c r="AC1001" s="17">
        <f t="shared" si="464"/>
        <v>0.66666666666666663</v>
      </c>
      <c r="AD1001" s="18">
        <f t="shared" si="465"/>
        <v>0.66666666666666663</v>
      </c>
      <c r="AE1001">
        <v>20</v>
      </c>
      <c r="AF1001" s="17">
        <f t="shared" si="466"/>
        <v>2.2222222222222223</v>
      </c>
      <c r="AG1001">
        <v>5</v>
      </c>
      <c r="AH1001" s="17">
        <f t="shared" si="467"/>
        <v>0.55555555555555558</v>
      </c>
      <c r="AI1001">
        <v>15</v>
      </c>
      <c r="AJ1001" s="17">
        <f t="shared" si="468"/>
        <v>1.6666666666666667</v>
      </c>
      <c r="AK1001">
        <v>6</v>
      </c>
      <c r="AL1001" s="17">
        <f t="shared" si="469"/>
        <v>0.66666666666666663</v>
      </c>
      <c r="AM1001">
        <v>3</v>
      </c>
      <c r="AN1001" s="17">
        <f t="shared" si="470"/>
        <v>0.33333333333333331</v>
      </c>
      <c r="AO1001">
        <v>0</v>
      </c>
      <c r="AQ1001">
        <v>3</v>
      </c>
      <c r="AR1001" s="17">
        <f t="shared" si="471"/>
        <v>0.33333333333333331</v>
      </c>
      <c r="AS1001">
        <v>13</v>
      </c>
      <c r="AT1001" s="17">
        <f t="shared" si="472"/>
        <v>1.4444444444444444</v>
      </c>
      <c r="BD1001" s="65">
        <f t="shared" si="473"/>
        <v>53.763440860215049</v>
      </c>
      <c r="BE1001" s="65">
        <f t="shared" si="474"/>
        <v>52.380952380952387</v>
      </c>
      <c r="BF1001" s="66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11.17013537849248</v>
      </c>
      <c r="BG1001" s="38">
        <f t="shared" si="475"/>
        <v>0.8571428571428571</v>
      </c>
      <c r="BH1001" s="38">
        <f t="shared" si="476"/>
        <v>0.14285714285714285</v>
      </c>
      <c r="BI1001" s="67">
        <f>IFERROR(((AG1001*(12000/5))/((F1001*60+G1001)*(SUMIFS(팀공격력!X:X,팀공격력!A:A,B1001,팀공격력!B:B,D1001)+SUMIFS(팀수비력!X:X,팀수비력!A:A,B1001,팀수비력!B:B,D1001))))*100,"")</f>
        <v>1.4939253261425729</v>
      </c>
      <c r="BJ1001" s="67">
        <f>IFERROR(((AI1001*(12000/5))/((F1001*60+G1001)*(SUMIFS(팀공격력!V:V,팀공격력!A:A,B1001,팀공격력!B:B,D1001)+SUMIFS(팀수비력!W:W,팀수비력!A:A,B1001,팀수비력!B:B,D1001))))*100,"")</f>
        <v>8.9759668487624378</v>
      </c>
      <c r="BK1001" s="67">
        <f>IFERROR(((AE1001*(12000/5))/((F1001*60+G1001)*(SUMIFS(팀공격력!X:X,팀공격력!A:A,B1001,팀공격력!B:B,D1001)+SUMIFS(팀수비력!X:X,팀수비력!A:A,B1001,팀수비력!B:B,D1001))))*100,"")</f>
        <v>5.9757013045702916</v>
      </c>
      <c r="BL1001" s="67">
        <f>IFERROR(100*AK1001/(((((F1001*60+G1001)/(12000/5))*SUMIFS(팀공격력!P:P,팀공격력!A:A,B1001,팀공격력!B:B,D1001))-K1001)),"")</f>
        <v>3.8525232689730089</v>
      </c>
      <c r="BM1001" s="67">
        <f>IFERROR(100*((AM1001/E1001*(2400))/((F1001*60+G1001)*SUMIFS(팀공격력!AR:AR,팀공격력!A:A,B1001,팀공격력!B:B,D1001))),"")</f>
        <v>0.82098035622324772</v>
      </c>
      <c r="BN1001" s="67">
        <f>IFERROR((AO1001*40)/(((F1001*60+G1001)/60)*(SUMIFS(팀수비력!Q:Q,팀수비력!A:A,B1001,팀수비력!B:B,D1001)-SUMIFS(팀수비력!N:N,팀수비력!A:A,B1001,팀수비력!B:B,D1001)))*100,"")</f>
        <v>0</v>
      </c>
      <c r="BO1001" s="67">
        <f t="shared" si="477"/>
        <v>6.2972292191435768</v>
      </c>
      <c r="BT1001" t="s">
        <v>89</v>
      </c>
      <c r="BV1001" t="s">
        <v>93</v>
      </c>
      <c r="CF1001">
        <v>5</v>
      </c>
      <c r="CG1001">
        <v>4</v>
      </c>
    </row>
    <row r="1002" spans="1:85" x14ac:dyDescent="0.4">
      <c r="A1002" s="11" t="s">
        <v>85</v>
      </c>
      <c r="B1002" t="s">
        <v>145</v>
      </c>
      <c r="C1002" t="s">
        <v>155</v>
      </c>
      <c r="D1002" s="46" t="s">
        <v>313</v>
      </c>
      <c r="E1002">
        <v>10</v>
      </c>
      <c r="F1002">
        <v>30</v>
      </c>
      <c r="G1002" s="1">
        <v>58</v>
      </c>
      <c r="H1002" s="16">
        <f t="shared" si="452"/>
        <v>18580</v>
      </c>
      <c r="I1002">
        <v>130</v>
      </c>
      <c r="J1002" s="17">
        <f t="shared" si="453"/>
        <v>13</v>
      </c>
      <c r="K1002">
        <v>52</v>
      </c>
      <c r="L1002">
        <v>94</v>
      </c>
      <c r="M1002" s="17">
        <f t="shared" si="454"/>
        <v>5.2</v>
      </c>
      <c r="N1002" s="17">
        <f t="shared" si="455"/>
        <v>9.4</v>
      </c>
      <c r="O1002" s="18">
        <f t="shared" si="456"/>
        <v>0.55319148936170215</v>
      </c>
      <c r="P1002">
        <v>46</v>
      </c>
      <c r="Q1002">
        <v>77</v>
      </c>
      <c r="R1002" s="17">
        <f t="shared" si="457"/>
        <v>4.5999999999999996</v>
      </c>
      <c r="S1002" s="17">
        <f t="shared" si="458"/>
        <v>7.7</v>
      </c>
      <c r="T1002" s="18">
        <f t="shared" si="459"/>
        <v>0.59740259740259738</v>
      </c>
      <c r="U1002">
        <v>6</v>
      </c>
      <c r="V1002">
        <v>17</v>
      </c>
      <c r="W1002" s="17">
        <f t="shared" si="460"/>
        <v>0.6</v>
      </c>
      <c r="X1002" s="17">
        <f t="shared" si="461"/>
        <v>1.7</v>
      </c>
      <c r="Y1002" s="18">
        <f t="shared" si="462"/>
        <v>0.35294117647058826</v>
      </c>
      <c r="Z1002">
        <v>20</v>
      </c>
      <c r="AA1002">
        <v>26</v>
      </c>
      <c r="AB1002" s="17">
        <f t="shared" si="463"/>
        <v>2</v>
      </c>
      <c r="AC1002" s="17">
        <f t="shared" si="464"/>
        <v>2.6</v>
      </c>
      <c r="AD1002" s="18">
        <f t="shared" si="465"/>
        <v>0.76923076923076927</v>
      </c>
      <c r="AE1002">
        <v>54</v>
      </c>
      <c r="AF1002" s="17">
        <f t="shared" si="466"/>
        <v>5.4</v>
      </c>
      <c r="AG1002">
        <v>15</v>
      </c>
      <c r="AH1002" s="17">
        <f t="shared" si="467"/>
        <v>1.5</v>
      </c>
      <c r="AI1002">
        <v>39</v>
      </c>
      <c r="AJ1002" s="17">
        <f t="shared" si="468"/>
        <v>3.9</v>
      </c>
      <c r="AK1002">
        <v>29</v>
      </c>
      <c r="AL1002" s="17">
        <f t="shared" si="469"/>
        <v>2.9</v>
      </c>
      <c r="AM1002">
        <v>4</v>
      </c>
      <c r="AN1002" s="17">
        <f t="shared" si="470"/>
        <v>0.4</v>
      </c>
      <c r="AO1002">
        <v>5</v>
      </c>
      <c r="AQ1002">
        <v>6</v>
      </c>
      <c r="AR1002" s="17">
        <f t="shared" si="471"/>
        <v>0.6</v>
      </c>
      <c r="AS1002">
        <v>19</v>
      </c>
      <c r="AT1002" s="17">
        <f t="shared" si="472"/>
        <v>1.9</v>
      </c>
      <c r="BD1002" s="65">
        <f t="shared" si="473"/>
        <v>61.646433990895297</v>
      </c>
      <c r="BE1002" s="65">
        <f t="shared" si="474"/>
        <v>58.51063829787234</v>
      </c>
      <c r="BF1002" s="66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15.624140530900181</v>
      </c>
      <c r="BG1002" s="38">
        <f t="shared" si="475"/>
        <v>0.18085106382978725</v>
      </c>
      <c r="BH1002" s="38">
        <f t="shared" si="476"/>
        <v>0.27659574468085107</v>
      </c>
      <c r="BI1002" s="67">
        <f>IFERROR(((AG1002*(12000/5))/((F1002*60+G1002)*(SUMIFS(팀공격력!X:X,팀공격력!A:A,B1002,팀공격력!B:B,D1002)+SUMIFS(팀수비력!X:X,팀수비력!A:A,B1002,팀수비력!B:B,D1002))))*100,"")</f>
        <v>2.6798994144419779</v>
      </c>
      <c r="BJ1002" s="67">
        <f>IFERROR(((AI1002*(12000/5))/((F1002*60+G1002)*(SUMIFS(팀공격력!V:V,팀공격력!A:A,B1002,팀공격력!B:B,D1002)+SUMIFS(팀수비력!W:W,팀수비력!A:A,B1002,팀수비력!B:B,D1002))))*100,"")</f>
        <v>13.954778169717535</v>
      </c>
      <c r="BK1002" s="67">
        <f>IFERROR(((AE1002*(12000/5))/((F1002*60+G1002)*(SUMIFS(팀공격력!X:X,팀공격력!A:A,B1002,팀공격력!B:B,D1002)+SUMIFS(팀수비력!X:X,팀수비력!A:A,B1002,팀수비력!B:B,D1002))))*100,"")</f>
        <v>9.6476378919911205</v>
      </c>
      <c r="BL1002" s="67">
        <f>IFERROR(100*AK1002/(((((F1002*60+G1002)/(12000/5))*SUMIFS(팀공격력!P:P,팀공격력!A:A,B1002,팀공격력!B:B,D1002))-K1002)),"")</f>
        <v>12.329101994976247</v>
      </c>
      <c r="BM1002" s="67">
        <f>IFERROR(100*((AM1002/E1002*(2400))/((F1002*60+G1002)*SUMIFS(팀공격력!AR:AR,팀공격력!A:A,B1002,팀공격력!B:B,D1002))),"")</f>
        <v>0.58909096389495907</v>
      </c>
      <c r="BN1002" s="67">
        <f>IFERROR((AO1002*40)/(((F1002*60+G1002)/60)*(SUMIFS(팀수비력!Q:Q,팀수비력!A:A,B1002,팀수비력!B:B,D1002)-SUMIFS(팀수비력!N:N,팀수비력!A:A,B1002,팀수비력!B:B,D1002)))*100,"")</f>
        <v>1.4257301520541208</v>
      </c>
      <c r="BO1002" s="67">
        <f t="shared" si="477"/>
        <v>5.3840631730078972</v>
      </c>
      <c r="BT1002" t="s">
        <v>89</v>
      </c>
      <c r="BV1002" t="s">
        <v>93</v>
      </c>
      <c r="CF1002">
        <v>6</v>
      </c>
      <c r="CG1002">
        <v>4</v>
      </c>
    </row>
    <row r="1003" spans="1:85" x14ac:dyDescent="0.4">
      <c r="A1003" s="11" t="s">
        <v>85</v>
      </c>
      <c r="B1003" t="s">
        <v>145</v>
      </c>
      <c r="C1003" t="s">
        <v>156</v>
      </c>
      <c r="D1003" s="46" t="s">
        <v>313</v>
      </c>
      <c r="E1003">
        <v>6</v>
      </c>
      <c r="F1003">
        <v>3</v>
      </c>
      <c r="G1003" s="1">
        <v>45</v>
      </c>
      <c r="H1003" s="16">
        <f t="shared" si="452"/>
        <v>1350</v>
      </c>
      <c r="I1003">
        <v>12</v>
      </c>
      <c r="J1003" s="17">
        <f t="shared" si="453"/>
        <v>2</v>
      </c>
      <c r="K1003">
        <v>5</v>
      </c>
      <c r="L1003">
        <v>14</v>
      </c>
      <c r="M1003" s="17">
        <f t="shared" si="454"/>
        <v>0.83333333333333337</v>
      </c>
      <c r="N1003" s="17">
        <f t="shared" si="455"/>
        <v>2.3333333333333335</v>
      </c>
      <c r="O1003" s="18">
        <f t="shared" si="456"/>
        <v>0.35714285714285715</v>
      </c>
      <c r="P1003">
        <v>3</v>
      </c>
      <c r="Q1003">
        <v>8</v>
      </c>
      <c r="R1003" s="17">
        <f t="shared" si="457"/>
        <v>0.5</v>
      </c>
      <c r="S1003" s="17">
        <f t="shared" si="458"/>
        <v>1.3333333333333333</v>
      </c>
      <c r="T1003" s="18">
        <f t="shared" si="459"/>
        <v>0.375</v>
      </c>
      <c r="U1003">
        <v>2</v>
      </c>
      <c r="V1003">
        <v>6</v>
      </c>
      <c r="W1003" s="17">
        <f t="shared" si="460"/>
        <v>0.33333333333333331</v>
      </c>
      <c r="X1003" s="17">
        <f t="shared" si="461"/>
        <v>1</v>
      </c>
      <c r="Y1003" s="18">
        <f t="shared" si="462"/>
        <v>0.33333333333333331</v>
      </c>
      <c r="Z1003">
        <v>0</v>
      </c>
      <c r="AA1003">
        <v>0</v>
      </c>
      <c r="AB1003" s="17">
        <f t="shared" si="463"/>
        <v>0</v>
      </c>
      <c r="AC1003" s="17">
        <f t="shared" si="464"/>
        <v>0</v>
      </c>
      <c r="AD1003" s="18" t="e">
        <f t="shared" si="465"/>
        <v>#DIV/0!</v>
      </c>
      <c r="AE1003">
        <v>2</v>
      </c>
      <c r="AF1003" s="17">
        <f t="shared" si="466"/>
        <v>0.33333333333333331</v>
      </c>
      <c r="AG1003">
        <v>0</v>
      </c>
      <c r="AH1003" s="17">
        <f t="shared" si="467"/>
        <v>0</v>
      </c>
      <c r="AI1003">
        <v>2</v>
      </c>
      <c r="AJ1003" s="17">
        <f t="shared" si="468"/>
        <v>0.33333333333333331</v>
      </c>
      <c r="AK1003">
        <v>1</v>
      </c>
      <c r="AL1003" s="17">
        <f t="shared" si="469"/>
        <v>0.16666666666666666</v>
      </c>
      <c r="AM1003">
        <v>1</v>
      </c>
      <c r="AN1003" s="17">
        <f t="shared" si="470"/>
        <v>0.16666666666666666</v>
      </c>
      <c r="AO1003">
        <v>0</v>
      </c>
      <c r="AQ1003">
        <v>2</v>
      </c>
      <c r="AR1003" s="17">
        <f t="shared" si="471"/>
        <v>0.33333333333333331</v>
      </c>
      <c r="AS1003">
        <v>1</v>
      </c>
      <c r="AT1003" s="17">
        <f t="shared" si="472"/>
        <v>0.16666666666666666</v>
      </c>
      <c r="BD1003" s="65">
        <f t="shared" si="473"/>
        <v>42.857142857142854</v>
      </c>
      <c r="BE1003" s="65">
        <f t="shared" si="474"/>
        <v>42.857142857142854</v>
      </c>
      <c r="BF1003" s="66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18.524146514421336</v>
      </c>
      <c r="BG1003" s="38">
        <f t="shared" si="475"/>
        <v>0.42857142857142855</v>
      </c>
      <c r="BH1003" s="38">
        <f t="shared" si="476"/>
        <v>0</v>
      </c>
      <c r="BI1003" s="67">
        <f>IFERROR(((AG1003*(12000/5))/((F1003*60+G1003)*(SUMIFS(팀공격력!X:X,팀공격력!A:A,B1003,팀공격력!B:B,D1003)+SUMIFS(팀수비력!X:X,팀수비력!A:A,B1003,팀수비력!B:B,D1003))))*100,"")</f>
        <v>0</v>
      </c>
      <c r="BJ1003" s="67">
        <f>IFERROR(((AI1003*(12000/5))/((F1003*60+G1003)*(SUMIFS(팀공격력!V:V,팀공격력!A:A,B1003,팀공격력!B:B,D1003)+SUMIFS(팀수비력!W:W,팀수비력!A:A,B1003,팀수비력!B:B,D1003))))*100,"")</f>
        <v>5.9095106186518924</v>
      </c>
      <c r="BK1003" s="67">
        <f>IFERROR(((AE1003*(12000/5))/((F1003*60+G1003)*(SUMIFS(팀공격력!X:X,팀공격력!A:A,B1003,팀공격력!B:B,D1003)+SUMIFS(팀수비력!X:X,팀수비력!A:A,B1003,팀수비력!B:B,D1003))))*100,"")</f>
        <v>2.9506685108344857</v>
      </c>
      <c r="BL1003" s="67">
        <f>IFERROR(100*AK1003/(((((F1003*60+G1003)/(12000/5))*SUMIFS(팀공격력!P:P,팀공격력!A:A,B1003,팀공격력!B:B,D1003))-K1003)),"")</f>
        <v>3.3578174186778593</v>
      </c>
      <c r="BM1003" s="67">
        <f>IFERROR(100*((AM1003/E1003*(2400))/((F1003*60+G1003)*SUMIFS(팀공격력!AR:AR,팀공격력!A:A,B1003,팀공격력!B:B,D1003))),"")</f>
        <v>2.0269092794756185</v>
      </c>
      <c r="BN1003" s="67">
        <f>IFERROR((AO1003*40)/(((F1003*60+G1003)/60)*(SUMIFS(팀수비력!Q:Q,팀수비력!A:A,B1003,팀수비력!B:B,D1003)-SUMIFS(팀수비력!N:N,팀수비력!A:A,B1003,팀수비력!B:B,D1003)))*100,"")</f>
        <v>0</v>
      </c>
      <c r="BO1003" s="67">
        <f t="shared" si="477"/>
        <v>12.5</v>
      </c>
      <c r="BT1003" t="s">
        <v>89</v>
      </c>
      <c r="BV1003" t="s">
        <v>90</v>
      </c>
      <c r="CF1003">
        <v>5</v>
      </c>
      <c r="CG1003">
        <v>1</v>
      </c>
    </row>
    <row r="1004" spans="1:85" x14ac:dyDescent="0.4">
      <c r="A1004" s="11" t="s">
        <v>85</v>
      </c>
      <c r="B1004" t="s">
        <v>145</v>
      </c>
      <c r="C1004" t="s">
        <v>158</v>
      </c>
      <c r="D1004" s="46" t="s">
        <v>313</v>
      </c>
      <c r="E1004">
        <v>10</v>
      </c>
      <c r="F1004">
        <v>25</v>
      </c>
      <c r="G1004" s="1">
        <v>31</v>
      </c>
      <c r="H1004" s="16">
        <f t="shared" si="452"/>
        <v>15310</v>
      </c>
      <c r="I1004">
        <v>104</v>
      </c>
      <c r="J1004" s="17">
        <f t="shared" si="453"/>
        <v>10.4</v>
      </c>
      <c r="K1004">
        <v>40</v>
      </c>
      <c r="L1004">
        <v>85</v>
      </c>
      <c r="M1004" s="17">
        <f t="shared" si="454"/>
        <v>4</v>
      </c>
      <c r="N1004" s="17">
        <f t="shared" si="455"/>
        <v>8.5</v>
      </c>
      <c r="O1004" s="18">
        <f t="shared" si="456"/>
        <v>0.47058823529411764</v>
      </c>
      <c r="P1004">
        <v>27</v>
      </c>
      <c r="Q1004">
        <v>54</v>
      </c>
      <c r="R1004" s="17">
        <f t="shared" si="457"/>
        <v>2.7</v>
      </c>
      <c r="S1004" s="17">
        <f t="shared" si="458"/>
        <v>5.4</v>
      </c>
      <c r="T1004" s="18">
        <f t="shared" si="459"/>
        <v>0.5</v>
      </c>
      <c r="U1004">
        <v>13</v>
      </c>
      <c r="V1004">
        <v>31</v>
      </c>
      <c r="W1004" s="17">
        <f t="shared" si="460"/>
        <v>1.3</v>
      </c>
      <c r="X1004" s="17">
        <f t="shared" si="461"/>
        <v>3.1</v>
      </c>
      <c r="Y1004" s="18">
        <f t="shared" si="462"/>
        <v>0.41935483870967744</v>
      </c>
      <c r="Z1004">
        <v>11</v>
      </c>
      <c r="AA1004">
        <v>15</v>
      </c>
      <c r="AB1004" s="17">
        <f t="shared" si="463"/>
        <v>1.1000000000000001</v>
      </c>
      <c r="AC1004" s="17">
        <f t="shared" si="464"/>
        <v>1.5</v>
      </c>
      <c r="AD1004" s="18">
        <f t="shared" si="465"/>
        <v>0.73333333333333328</v>
      </c>
      <c r="AE1004">
        <v>21</v>
      </c>
      <c r="AF1004" s="17">
        <f t="shared" si="466"/>
        <v>2.1</v>
      </c>
      <c r="AG1004">
        <v>2</v>
      </c>
      <c r="AH1004" s="17">
        <f t="shared" si="467"/>
        <v>0.2</v>
      </c>
      <c r="AI1004">
        <v>19</v>
      </c>
      <c r="AJ1004" s="17">
        <f t="shared" si="468"/>
        <v>1.9</v>
      </c>
      <c r="AK1004">
        <v>36</v>
      </c>
      <c r="AL1004" s="17">
        <f t="shared" si="469"/>
        <v>3.6</v>
      </c>
      <c r="AM1004">
        <v>6</v>
      </c>
      <c r="AN1004" s="17">
        <f t="shared" si="470"/>
        <v>0.6</v>
      </c>
      <c r="AO1004">
        <v>0</v>
      </c>
      <c r="AQ1004">
        <v>14</v>
      </c>
      <c r="AR1004" s="17">
        <f t="shared" si="471"/>
        <v>1.4</v>
      </c>
      <c r="AS1004">
        <v>26</v>
      </c>
      <c r="AT1004" s="17">
        <f t="shared" si="472"/>
        <v>2.6</v>
      </c>
      <c r="BD1004" s="65">
        <f t="shared" si="473"/>
        <v>56.768558951965062</v>
      </c>
      <c r="BE1004" s="65">
        <f t="shared" si="474"/>
        <v>54.705882352941181</v>
      </c>
      <c r="BF1004" s="66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17.967575162583724</v>
      </c>
      <c r="BG1004" s="38">
        <f t="shared" si="475"/>
        <v>0.36470588235294116</v>
      </c>
      <c r="BH1004" s="38">
        <f t="shared" si="476"/>
        <v>0.17647058823529413</v>
      </c>
      <c r="BI1004" s="67">
        <f>IFERROR(((AG1004*(12000/5))/((F1004*60+G1004)*(SUMIFS(팀공격력!X:X,팀공격력!A:A,B1004,팀공격력!B:B,D1004)+SUMIFS(팀수비력!X:X,팀수비력!A:A,B1004,팀수비력!B:B,D1004))))*100,"")</f>
        <v>0.43363841602727582</v>
      </c>
      <c r="BJ1004" s="67">
        <f>IFERROR(((AI1004*(12000/5))/((F1004*60+G1004)*(SUMIFS(팀공격력!V:V,팀공격력!A:A,B1004,팀공격력!B:B,D1004)+SUMIFS(팀수비력!W:W,팀수비력!A:A,B1004,팀수비력!B:B,D1004))))*100,"")</f>
        <v>8.2505414417821168</v>
      </c>
      <c r="BK1004" s="67">
        <f>IFERROR(((AE1004*(12000/5))/((F1004*60+G1004)*(SUMIFS(팀공격력!X:X,팀공격력!A:A,B1004,팀공격력!B:B,D1004)+SUMIFS(팀수비력!X:X,팀수비력!A:A,B1004,팀수비력!B:B,D1004))))*100,"")</f>
        <v>4.5532033682863968</v>
      </c>
      <c r="BL1004" s="67">
        <f>IFERROR(100*AK1004/(((((F1004*60+G1004)/(12000/5))*SUMIFS(팀공격력!P:P,팀공격력!A:A,B1004,팀공격력!B:B,D1004))-K1004)),"")</f>
        <v>18.305045963885668</v>
      </c>
      <c r="BM1004" s="67">
        <f>IFERROR(100*((AM1004/E1004*(2400))/((F1004*60+G1004)*SUMIFS(팀공격력!AR:AR,팀공격력!A:A,B1004,팀공격력!B:B,D1004))),"")</f>
        <v>1.0723687239550952</v>
      </c>
      <c r="BN1004" s="67">
        <f>IFERROR((AO1004*40)/(((F1004*60+G1004)/60)*(SUMIFS(팀수비력!Q:Q,팀수비력!A:A,B1004,팀수비력!B:B,D1004)-SUMIFS(팀수비력!N:N,팀수비력!A:A,B1004,팀수비력!B:B,D1004)))*100,"")</f>
        <v>0</v>
      </c>
      <c r="BO1004" s="67">
        <f t="shared" si="477"/>
        <v>13.257575757575758</v>
      </c>
      <c r="BT1004" t="s">
        <v>89</v>
      </c>
      <c r="BV1004" t="s">
        <v>90</v>
      </c>
      <c r="CF1004">
        <v>6</v>
      </c>
      <c r="CG1004">
        <v>4</v>
      </c>
    </row>
    <row r="1005" spans="1:85" x14ac:dyDescent="0.4">
      <c r="A1005" s="11" t="s">
        <v>85</v>
      </c>
      <c r="B1005" t="s">
        <v>145</v>
      </c>
      <c r="C1005" t="s">
        <v>159</v>
      </c>
      <c r="D1005" s="46" t="s">
        <v>313</v>
      </c>
      <c r="E1005">
        <v>6</v>
      </c>
      <c r="F1005">
        <v>7</v>
      </c>
      <c r="G1005" s="1">
        <v>17</v>
      </c>
      <c r="H1005" s="16">
        <f t="shared" si="452"/>
        <v>2622</v>
      </c>
      <c r="I1005">
        <v>8</v>
      </c>
      <c r="J1005" s="17">
        <f t="shared" si="453"/>
        <v>1.3333333333333333</v>
      </c>
      <c r="K1005">
        <v>2</v>
      </c>
      <c r="L1005">
        <v>12</v>
      </c>
      <c r="M1005" s="17">
        <f t="shared" si="454"/>
        <v>0.33333333333333331</v>
      </c>
      <c r="N1005" s="17">
        <f t="shared" si="455"/>
        <v>2</v>
      </c>
      <c r="O1005" s="18">
        <f t="shared" si="456"/>
        <v>0.16666666666666666</v>
      </c>
      <c r="P1005">
        <v>1</v>
      </c>
      <c r="Q1005">
        <v>4</v>
      </c>
      <c r="R1005" s="17">
        <f t="shared" si="457"/>
        <v>0.16666666666666666</v>
      </c>
      <c r="S1005" s="17">
        <f t="shared" si="458"/>
        <v>0.66666666666666663</v>
      </c>
      <c r="T1005" s="18">
        <f t="shared" si="459"/>
        <v>0.25</v>
      </c>
      <c r="U1005">
        <v>1</v>
      </c>
      <c r="V1005">
        <v>8</v>
      </c>
      <c r="W1005" s="17">
        <f t="shared" si="460"/>
        <v>0.16666666666666666</v>
      </c>
      <c r="X1005" s="17">
        <f t="shared" si="461"/>
        <v>1.3333333333333333</v>
      </c>
      <c r="Y1005" s="18">
        <f t="shared" si="462"/>
        <v>0.125</v>
      </c>
      <c r="Z1005">
        <v>3</v>
      </c>
      <c r="AA1005">
        <v>6</v>
      </c>
      <c r="AB1005" s="17">
        <f t="shared" si="463"/>
        <v>0.5</v>
      </c>
      <c r="AC1005" s="17">
        <f t="shared" si="464"/>
        <v>1</v>
      </c>
      <c r="AD1005" s="18">
        <f t="shared" si="465"/>
        <v>0.5</v>
      </c>
      <c r="AE1005">
        <v>5</v>
      </c>
      <c r="AF1005" s="17">
        <f t="shared" si="466"/>
        <v>0.83333333333333337</v>
      </c>
      <c r="AG1005">
        <v>3</v>
      </c>
      <c r="AH1005" s="17">
        <f t="shared" si="467"/>
        <v>0.5</v>
      </c>
      <c r="AI1005">
        <v>2</v>
      </c>
      <c r="AJ1005" s="17">
        <f t="shared" si="468"/>
        <v>0.33333333333333331</v>
      </c>
      <c r="AK1005">
        <v>0</v>
      </c>
      <c r="AL1005" s="17">
        <f t="shared" si="469"/>
        <v>0</v>
      </c>
      <c r="AM1005">
        <v>2</v>
      </c>
      <c r="AN1005" s="17">
        <f t="shared" si="470"/>
        <v>0.33333333333333331</v>
      </c>
      <c r="AO1005">
        <v>1</v>
      </c>
      <c r="AQ1005">
        <v>1</v>
      </c>
      <c r="AR1005" s="17">
        <f t="shared" si="471"/>
        <v>0.16666666666666666</v>
      </c>
      <c r="AS1005">
        <v>9</v>
      </c>
      <c r="AT1005" s="17">
        <f t="shared" si="472"/>
        <v>1.5</v>
      </c>
      <c r="BD1005" s="65">
        <f t="shared" si="473"/>
        <v>27.322404371584696</v>
      </c>
      <c r="BE1005" s="65">
        <f t="shared" si="474"/>
        <v>20.833333333333336</v>
      </c>
      <c r="BF1005" s="66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9.3230079496923182</v>
      </c>
      <c r="BG1005" s="38">
        <f t="shared" si="475"/>
        <v>0.66666666666666663</v>
      </c>
      <c r="BH1005" s="38">
        <f t="shared" si="476"/>
        <v>0.5</v>
      </c>
      <c r="BI1005" s="67">
        <f>IFERROR(((AG1005*(12000/5))/((F1005*60+G1005)*(SUMIFS(팀공격력!X:X,팀공격력!A:A,B1005,팀공격력!B:B,D1005)+SUMIFS(팀수비력!X:X,팀수비력!A:A,B1005,팀수비력!B:B,D1005))))*100,"")</f>
        <v>2.2788343762165653</v>
      </c>
      <c r="BJ1005" s="67">
        <f>IFERROR(((AI1005*(12000/5))/((F1005*60+G1005)*(SUMIFS(팀공격력!V:V,팀공격력!A:A,B1005,팀공격력!B:B,D1005)+SUMIFS(팀수비력!W:W,팀수비력!A:A,B1005,팀수비력!B:B,D1005))))*100,"")</f>
        <v>3.0426542086880457</v>
      </c>
      <c r="BK1005" s="67">
        <f>IFERROR(((AE1005*(12000/5))/((F1005*60+G1005)*(SUMIFS(팀공격력!X:X,팀공격력!A:A,B1005,팀공격력!B:B,D1005)+SUMIFS(팀수비력!X:X,팀수비력!A:A,B1005,팀수비력!B:B,D1005))))*100,"")</f>
        <v>3.7980572936942756</v>
      </c>
      <c r="BL1005" s="67">
        <f>IFERROR(100*AK1005/(((((F1005*60+G1005)/(12000/5))*SUMIFS(팀공격력!P:P,팀공격력!A:A,B1005,팀공격력!B:B,D1005))-K1005)),"")</f>
        <v>0</v>
      </c>
      <c r="BM1005" s="67">
        <f>IFERROR(100*((AM1005/E1005*(2400))/((F1005*60+G1005)*SUMIFS(팀공격력!AR:AR,팀공격력!A:A,B1005,팀공격력!B:B,D1005))),"")</f>
        <v>2.0872063518627648</v>
      </c>
      <c r="BN1005" s="67">
        <f>IFERROR((AO1005*40)/(((F1005*60+G1005)/60)*(SUMIFS(팀수비력!Q:Q,팀수비력!A:A,B1005,팀수비력!B:B,D1005)-SUMIFS(팀수비력!N:N,팀수비력!A:A,B1005,팀수비력!B:B,D1005)))*100,"")</f>
        <v>1.21236001030506</v>
      </c>
      <c r="BO1005" s="67">
        <f t="shared" si="477"/>
        <v>6.3938618925831197</v>
      </c>
      <c r="BT1005" t="s">
        <v>89</v>
      </c>
      <c r="BV1005" t="s">
        <v>93</v>
      </c>
      <c r="CF1005">
        <v>3</v>
      </c>
      <c r="CG1005">
        <v>3</v>
      </c>
    </row>
    <row r="1006" spans="1:85" x14ac:dyDescent="0.4">
      <c r="A1006" s="11" t="s">
        <v>85</v>
      </c>
      <c r="B1006" t="s">
        <v>145</v>
      </c>
      <c r="C1006" t="s">
        <v>160</v>
      </c>
      <c r="D1006" s="46" t="s">
        <v>313</v>
      </c>
      <c r="E1006">
        <v>10</v>
      </c>
      <c r="F1006">
        <v>23</v>
      </c>
      <c r="G1006" s="1">
        <v>51</v>
      </c>
      <c r="H1006" s="16">
        <f t="shared" si="452"/>
        <v>14310</v>
      </c>
      <c r="I1006">
        <v>94</v>
      </c>
      <c r="J1006" s="17">
        <f t="shared" si="453"/>
        <v>9.4</v>
      </c>
      <c r="K1006">
        <v>34</v>
      </c>
      <c r="L1006">
        <v>63</v>
      </c>
      <c r="M1006" s="17">
        <f t="shared" si="454"/>
        <v>3.4</v>
      </c>
      <c r="N1006" s="17">
        <f t="shared" si="455"/>
        <v>6.3</v>
      </c>
      <c r="O1006" s="18">
        <f t="shared" si="456"/>
        <v>0.53968253968253965</v>
      </c>
      <c r="P1006">
        <v>24</v>
      </c>
      <c r="Q1006">
        <v>38</v>
      </c>
      <c r="R1006" s="17">
        <f t="shared" si="457"/>
        <v>2.4</v>
      </c>
      <c r="S1006" s="17">
        <f t="shared" si="458"/>
        <v>3.8</v>
      </c>
      <c r="T1006" s="18">
        <f t="shared" si="459"/>
        <v>0.63157894736842102</v>
      </c>
      <c r="U1006">
        <v>10</v>
      </c>
      <c r="V1006">
        <v>25</v>
      </c>
      <c r="W1006" s="17">
        <f t="shared" si="460"/>
        <v>1</v>
      </c>
      <c r="X1006" s="17">
        <f t="shared" si="461"/>
        <v>2.5</v>
      </c>
      <c r="Y1006" s="18">
        <f t="shared" si="462"/>
        <v>0.4</v>
      </c>
      <c r="Z1006">
        <v>16</v>
      </c>
      <c r="AA1006">
        <v>25</v>
      </c>
      <c r="AB1006" s="17">
        <f t="shared" si="463"/>
        <v>1.6</v>
      </c>
      <c r="AC1006" s="17">
        <f t="shared" si="464"/>
        <v>2.5</v>
      </c>
      <c r="AD1006" s="18">
        <f t="shared" si="465"/>
        <v>0.64</v>
      </c>
      <c r="AE1006">
        <v>27</v>
      </c>
      <c r="AF1006" s="17">
        <f t="shared" si="466"/>
        <v>2.7</v>
      </c>
      <c r="AG1006">
        <v>9</v>
      </c>
      <c r="AH1006" s="17">
        <f t="shared" si="467"/>
        <v>0.9</v>
      </c>
      <c r="AI1006">
        <v>18</v>
      </c>
      <c r="AJ1006" s="17">
        <f t="shared" si="468"/>
        <v>1.8</v>
      </c>
      <c r="AK1006">
        <v>31</v>
      </c>
      <c r="AL1006" s="17">
        <f t="shared" si="469"/>
        <v>3.1</v>
      </c>
      <c r="AM1006">
        <v>5</v>
      </c>
      <c r="AN1006" s="17">
        <f t="shared" si="470"/>
        <v>0.5</v>
      </c>
      <c r="AO1006">
        <v>2</v>
      </c>
      <c r="AQ1006">
        <v>9</v>
      </c>
      <c r="AR1006" s="17">
        <f t="shared" si="471"/>
        <v>0.9</v>
      </c>
      <c r="AS1006">
        <v>23</v>
      </c>
      <c r="AT1006" s="17">
        <f t="shared" si="472"/>
        <v>2.2999999999999998</v>
      </c>
      <c r="BD1006" s="65">
        <f t="shared" si="473"/>
        <v>63.513513513513509</v>
      </c>
      <c r="BE1006" s="65">
        <f t="shared" si="474"/>
        <v>61.904761904761905</v>
      </c>
      <c r="BF1006" s="66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15.109121076031553</v>
      </c>
      <c r="BG1006" s="38">
        <f t="shared" si="475"/>
        <v>0.3968253968253968</v>
      </c>
      <c r="BH1006" s="38">
        <f t="shared" si="476"/>
        <v>0.3968253968253968</v>
      </c>
      <c r="BI1006" s="67">
        <f>IFERROR(((AG1006*(12000/5))/((F1006*60+G1006)*(SUMIFS(팀공격력!X:X,팀공격력!A:A,B1006,팀공격력!B:B,D1006)+SUMIFS(팀수비력!X:X,팀수비력!A:A,B1006,팀수비력!B:B,D1006))))*100,"")</f>
        <v>2.0877371538923248</v>
      </c>
      <c r="BJ1006" s="67">
        <f>IFERROR(((AI1006*(12000/5))/((F1006*60+G1006)*(SUMIFS(팀공격력!V:V,팀공격력!A:A,B1006,팀공격력!B:B,D1006)+SUMIFS(팀수비력!W:W,팀수비력!A:A,B1006,팀수비력!B:B,D1006))))*100,"")</f>
        <v>8.3625150263941883</v>
      </c>
      <c r="BK1006" s="67">
        <f>IFERROR(((AE1006*(12000/5))/((F1006*60+G1006)*(SUMIFS(팀공격력!X:X,팀공격력!A:A,B1006,팀공격력!B:B,D1006)+SUMIFS(팀수비력!X:X,팀수비력!A:A,B1006,팀수비력!B:B,D1006))))*100,"")</f>
        <v>6.263211461676975</v>
      </c>
      <c r="BL1006" s="67">
        <f>IFERROR(100*AK1006/(((((F1006*60+G1006)/(12000/5))*SUMIFS(팀공격력!P:P,팀공격력!A:A,B1006,팀공격력!B:B,D1006))-K1006)),"")</f>
        <v>16.559055065535134</v>
      </c>
      <c r="BM1006" s="67">
        <f>IFERROR(100*((AM1006/E1006*(2400))/((F1006*60+G1006)*SUMIFS(팀공격력!AR:AR,팀공격력!A:A,B1006,팀공격력!B:B,D1006))),"")</f>
        <v>0.95608928277151806</v>
      </c>
      <c r="BN1006" s="67">
        <f>IFERROR((AO1006*40)/(((F1006*60+G1006)/60)*(SUMIFS(팀수비력!Q:Q,팀수비력!A:A,B1006,팀수비력!B:B,D1006)-SUMIFS(팀수비력!N:N,팀수비력!A:A,B1006,팀수비력!B:B,D1006)))*100,"")</f>
        <v>0.74046306709058163</v>
      </c>
      <c r="BO1006" s="67">
        <f t="shared" si="477"/>
        <v>10.843373493975903</v>
      </c>
      <c r="BT1006" t="s">
        <v>89</v>
      </c>
      <c r="BV1006" t="s">
        <v>90</v>
      </c>
      <c r="CF1006">
        <v>6</v>
      </c>
      <c r="CG1006">
        <v>4</v>
      </c>
    </row>
    <row r="1007" spans="1:85" x14ac:dyDescent="0.4">
      <c r="A1007" s="11" t="s">
        <v>85</v>
      </c>
      <c r="B1007" t="s">
        <v>145</v>
      </c>
      <c r="C1007" t="s">
        <v>161</v>
      </c>
      <c r="D1007" s="46" t="s">
        <v>313</v>
      </c>
      <c r="E1007">
        <v>2</v>
      </c>
      <c r="F1007">
        <v>20</v>
      </c>
      <c r="G1007" s="1">
        <v>29</v>
      </c>
      <c r="H1007" s="16">
        <f t="shared" si="452"/>
        <v>2458</v>
      </c>
      <c r="I1007">
        <v>31</v>
      </c>
      <c r="J1007" s="17">
        <f t="shared" si="453"/>
        <v>15.5</v>
      </c>
      <c r="K1007">
        <v>11</v>
      </c>
      <c r="L1007">
        <v>18</v>
      </c>
      <c r="M1007" s="17">
        <f t="shared" si="454"/>
        <v>5.5</v>
      </c>
      <c r="N1007" s="17">
        <f t="shared" si="455"/>
        <v>9</v>
      </c>
      <c r="O1007" s="18">
        <f t="shared" si="456"/>
        <v>0.61111111111111116</v>
      </c>
      <c r="P1007">
        <v>5</v>
      </c>
      <c r="Q1007">
        <v>9</v>
      </c>
      <c r="R1007" s="17">
        <f t="shared" si="457"/>
        <v>2.5</v>
      </c>
      <c r="S1007" s="17">
        <f t="shared" si="458"/>
        <v>4.5</v>
      </c>
      <c r="T1007" s="18">
        <f t="shared" si="459"/>
        <v>0.55555555555555558</v>
      </c>
      <c r="U1007">
        <v>6</v>
      </c>
      <c r="V1007">
        <v>9</v>
      </c>
      <c r="W1007" s="17">
        <f t="shared" si="460"/>
        <v>3</v>
      </c>
      <c r="X1007" s="17">
        <f t="shared" si="461"/>
        <v>4.5</v>
      </c>
      <c r="Y1007" s="18">
        <f t="shared" si="462"/>
        <v>0.66666666666666663</v>
      </c>
      <c r="Z1007">
        <v>3</v>
      </c>
      <c r="AA1007">
        <v>4</v>
      </c>
      <c r="AB1007" s="17">
        <f t="shared" si="463"/>
        <v>1.5</v>
      </c>
      <c r="AC1007" s="17">
        <f t="shared" si="464"/>
        <v>2</v>
      </c>
      <c r="AD1007" s="18">
        <f t="shared" si="465"/>
        <v>0.75</v>
      </c>
      <c r="AE1007">
        <v>9</v>
      </c>
      <c r="AF1007" s="17">
        <f t="shared" si="466"/>
        <v>4.5</v>
      </c>
      <c r="AG1007">
        <v>0</v>
      </c>
      <c r="AH1007" s="17">
        <f t="shared" si="467"/>
        <v>0</v>
      </c>
      <c r="AI1007">
        <v>9</v>
      </c>
      <c r="AJ1007" s="17">
        <f t="shared" si="468"/>
        <v>4.5</v>
      </c>
      <c r="AK1007">
        <v>5</v>
      </c>
      <c r="AL1007" s="17">
        <f t="shared" si="469"/>
        <v>2.5</v>
      </c>
      <c r="AM1007">
        <v>0</v>
      </c>
      <c r="AN1007" s="17">
        <f t="shared" si="470"/>
        <v>0</v>
      </c>
      <c r="AO1007">
        <v>0</v>
      </c>
      <c r="AQ1007">
        <v>3</v>
      </c>
      <c r="AR1007" s="17">
        <f t="shared" si="471"/>
        <v>1.5</v>
      </c>
      <c r="AS1007">
        <v>1</v>
      </c>
      <c r="AT1007" s="17">
        <f t="shared" si="472"/>
        <v>0.5</v>
      </c>
      <c r="BD1007" s="65">
        <f t="shared" si="473"/>
        <v>78.441295546558692</v>
      </c>
      <c r="BE1007" s="65">
        <f t="shared" si="474"/>
        <v>77.777777777777786</v>
      </c>
      <c r="BF1007" s="66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4.824153493711945</v>
      </c>
      <c r="BG1007" s="38">
        <f t="shared" si="475"/>
        <v>0.5</v>
      </c>
      <c r="BH1007" s="38">
        <f t="shared" si="476"/>
        <v>0.22222222222222221</v>
      </c>
      <c r="BI1007" s="67">
        <f>IFERROR(((AG1007*(12000/5))/((F1007*60+G1007)*(SUMIFS(팀공격력!X:X,팀공격력!A:A,B1007,팀공격력!B:B,D1007)+SUMIFS(팀수비력!X:X,팀수비력!A:A,B1007,팀수비력!B:B,D1007))))*100,"")</f>
        <v>0</v>
      </c>
      <c r="BJ1007" s="67">
        <f>IFERROR(((AI1007*(12000/5))/((F1007*60+G1007)*(SUMIFS(팀공격력!V:V,팀공격력!A:A,B1007,팀공격력!B:B,D1007)+SUMIFS(팀수비력!W:W,팀수비력!A:A,B1007,팀수비력!B:B,D1007))))*100,"")</f>
        <v>4.8684943054394161</v>
      </c>
      <c r="BK1007" s="67">
        <f>IFERROR(((AE1007*(12000/5))/((F1007*60+G1007)*(SUMIFS(팀공격력!X:X,팀공격력!A:A,B1007,팀공격력!B:B,D1007)+SUMIFS(팀수비력!X:X,팀수비력!A:A,B1007,팀수비력!B:B,D1007))))*100,"")</f>
        <v>2.4308802825223084</v>
      </c>
      <c r="BL1007" s="67">
        <f>IFERROR(100*AK1007/(((((F1007*60+G1007)/(12000/5))*SUMIFS(팀공격력!P:P,팀공격력!A:A,B1007,팀공격력!B:B,D1007))-K1007)),"")</f>
        <v>2.793562700350825</v>
      </c>
      <c r="BM1007" s="67">
        <f>IFERROR(100*((AM1007/E1007*(2400))/((F1007*60+G1007)*SUMIFS(팀공격력!AR:AR,팀공격력!A:A,B1007,팀공격력!B:B,D1007))),"")</f>
        <v>0</v>
      </c>
      <c r="BN1007" s="67">
        <f>IFERROR((AO1007*40)/(((F1007*60+G1007)/60)*(SUMIFS(팀수비력!Q:Q,팀수비력!A:A,B1007,팀수비력!B:B,D1007)-SUMIFS(팀수비력!N:N,팀수비력!A:A,B1007,팀수비력!B:B,D1007)))*100,"")</f>
        <v>0</v>
      </c>
      <c r="BO1007" s="67">
        <f t="shared" si="477"/>
        <v>13.181019332161686</v>
      </c>
      <c r="BT1007" t="s">
        <v>89</v>
      </c>
      <c r="BV1007" t="s">
        <v>93</v>
      </c>
      <c r="CF1007">
        <v>2</v>
      </c>
      <c r="CG1007">
        <v>0</v>
      </c>
    </row>
    <row r="1008" spans="1:85" x14ac:dyDescent="0.4">
      <c r="A1008" s="11" t="s">
        <v>85</v>
      </c>
      <c r="B1008" t="s">
        <v>145</v>
      </c>
      <c r="C1008" t="s">
        <v>162</v>
      </c>
      <c r="D1008" s="46" t="s">
        <v>313</v>
      </c>
      <c r="E1008">
        <v>10</v>
      </c>
      <c r="F1008">
        <v>10</v>
      </c>
      <c r="G1008" s="1">
        <v>22</v>
      </c>
      <c r="H1008" s="16">
        <f t="shared" si="452"/>
        <v>6220</v>
      </c>
      <c r="I1008">
        <v>42</v>
      </c>
      <c r="J1008" s="17">
        <f t="shared" si="453"/>
        <v>4.2</v>
      </c>
      <c r="K1008">
        <v>16</v>
      </c>
      <c r="L1008">
        <v>25</v>
      </c>
      <c r="M1008" s="17">
        <f t="shared" si="454"/>
        <v>1.6</v>
      </c>
      <c r="N1008" s="17">
        <f t="shared" si="455"/>
        <v>2.5</v>
      </c>
      <c r="O1008" s="18">
        <f t="shared" si="456"/>
        <v>0.64</v>
      </c>
      <c r="P1008">
        <v>12</v>
      </c>
      <c r="Q1008">
        <v>15</v>
      </c>
      <c r="R1008" s="17">
        <f t="shared" si="457"/>
        <v>1.2</v>
      </c>
      <c r="S1008" s="17">
        <f t="shared" si="458"/>
        <v>1.5</v>
      </c>
      <c r="T1008" s="18">
        <f t="shared" si="459"/>
        <v>0.8</v>
      </c>
      <c r="U1008">
        <v>4</v>
      </c>
      <c r="V1008">
        <v>10</v>
      </c>
      <c r="W1008" s="17">
        <f t="shared" si="460"/>
        <v>0.4</v>
      </c>
      <c r="X1008" s="17">
        <f t="shared" si="461"/>
        <v>1</v>
      </c>
      <c r="Y1008" s="18">
        <f t="shared" si="462"/>
        <v>0.4</v>
      </c>
      <c r="Z1008">
        <v>6</v>
      </c>
      <c r="AA1008">
        <v>10</v>
      </c>
      <c r="AB1008" s="17">
        <f t="shared" si="463"/>
        <v>0.6</v>
      </c>
      <c r="AC1008" s="17">
        <f t="shared" si="464"/>
        <v>1</v>
      </c>
      <c r="AD1008" s="18">
        <f t="shared" si="465"/>
        <v>0.6</v>
      </c>
      <c r="AE1008">
        <v>7</v>
      </c>
      <c r="AF1008" s="17">
        <f t="shared" si="466"/>
        <v>0.7</v>
      </c>
      <c r="AG1008">
        <v>1</v>
      </c>
      <c r="AH1008" s="17">
        <f t="shared" si="467"/>
        <v>0.1</v>
      </c>
      <c r="AI1008">
        <v>6</v>
      </c>
      <c r="AJ1008" s="17">
        <f t="shared" si="468"/>
        <v>0.6</v>
      </c>
      <c r="AK1008">
        <v>7</v>
      </c>
      <c r="AL1008" s="17">
        <f t="shared" si="469"/>
        <v>0.7</v>
      </c>
      <c r="AM1008">
        <v>8</v>
      </c>
      <c r="AN1008" s="17">
        <f t="shared" si="470"/>
        <v>0.8</v>
      </c>
      <c r="AO1008">
        <v>0</v>
      </c>
      <c r="AQ1008">
        <v>4</v>
      </c>
      <c r="AR1008" s="17">
        <f t="shared" si="471"/>
        <v>0.4</v>
      </c>
      <c r="AS1008">
        <v>13</v>
      </c>
      <c r="AT1008" s="17">
        <f t="shared" si="472"/>
        <v>1.3</v>
      </c>
      <c r="BD1008" s="65">
        <f t="shared" si="473"/>
        <v>71.428571428571431</v>
      </c>
      <c r="BE1008" s="65">
        <f t="shared" si="474"/>
        <v>72</v>
      </c>
      <c r="BF1008" s="66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13.988038691305903</v>
      </c>
      <c r="BG1008" s="38">
        <f t="shared" si="475"/>
        <v>0.4</v>
      </c>
      <c r="BH1008" s="38">
        <f t="shared" si="476"/>
        <v>0.4</v>
      </c>
      <c r="BI1008" s="67">
        <f>IFERROR(((AG1008*(12000/5))/((F1008*60+G1008)*(SUMIFS(팀공격력!X:X,팀공격력!A:A,B1008,팀공격력!B:B,D1008)+SUMIFS(팀수비력!X:X,팀수비력!A:A,B1008,팀수비력!B:B,D1008))))*100,"")</f>
        <v>0.53368200557697698</v>
      </c>
      <c r="BJ1008" s="67">
        <f>IFERROR(((AI1008*(12000/5))/((F1008*60+G1008)*(SUMIFS(팀공격력!V:V,팀공격력!A:A,B1008,팀공격력!B:B,D1008)+SUMIFS(팀수비력!W:W,팀수비력!A:A,B1008,팀수비력!B:B,D1008))))*100,"")</f>
        <v>6.4130541279582438</v>
      </c>
      <c r="BK1008" s="67">
        <f>IFERROR(((AE1008*(12000/5))/((F1008*60+G1008)*(SUMIFS(팀공격력!X:X,팀공격력!A:A,B1008,팀공격력!B:B,D1008)+SUMIFS(팀수비력!X:X,팀수비력!A:A,B1008,팀수비력!B:B,D1008))))*100,"")</f>
        <v>3.735774039038839</v>
      </c>
      <c r="BL1008" s="67">
        <f>IFERROR(100*AK1008/(((((F1008*60+G1008)/(12000/5))*SUMIFS(팀공격력!P:P,팀공격력!A:A,B1008,팀공격력!B:B,D1008))-K1008)),"")</f>
        <v>8.7335336500972129</v>
      </c>
      <c r="BM1008" s="67">
        <f>IFERROR(100*((AM1008/E1008*(2400))/((F1008*60+G1008)*SUMIFS(팀공격력!AR:AR,팀공격력!A:A,B1008,팀공격력!B:B,D1008))),"")</f>
        <v>3.5193923180605586</v>
      </c>
      <c r="BN1008" s="67">
        <f>IFERROR((AO1008*40)/(((F1008*60+G1008)/60)*(SUMIFS(팀수비력!Q:Q,팀수비력!A:A,B1008,팀수비력!B:B,D1008)-SUMIFS(팀수비력!N:N,팀수비력!A:A,B1008,팀수비력!B:B,D1008)))*100,"")</f>
        <v>0</v>
      </c>
      <c r="BO1008" s="67">
        <f t="shared" si="477"/>
        <v>11.976047904191617</v>
      </c>
      <c r="BT1008" t="s">
        <v>113</v>
      </c>
      <c r="BV1008" t="s">
        <v>90</v>
      </c>
      <c r="CF1008">
        <v>6</v>
      </c>
      <c r="CG1008">
        <v>4</v>
      </c>
    </row>
    <row r="1009" spans="1:85" x14ac:dyDescent="0.4">
      <c r="A1009" s="11" t="s">
        <v>85</v>
      </c>
      <c r="B1009" t="s">
        <v>145</v>
      </c>
      <c r="C1009" t="s">
        <v>163</v>
      </c>
      <c r="D1009" s="46" t="s">
        <v>313</v>
      </c>
      <c r="E1009">
        <v>8</v>
      </c>
      <c r="F1009">
        <v>29</v>
      </c>
      <c r="G1009" s="1">
        <v>33</v>
      </c>
      <c r="H1009" s="16">
        <f t="shared" si="452"/>
        <v>14184</v>
      </c>
      <c r="I1009">
        <v>129</v>
      </c>
      <c r="J1009" s="17">
        <f t="shared" si="453"/>
        <v>16.125</v>
      </c>
      <c r="K1009">
        <v>42</v>
      </c>
      <c r="L1009">
        <v>123</v>
      </c>
      <c r="M1009" s="17">
        <f t="shared" si="454"/>
        <v>5.25</v>
      </c>
      <c r="N1009" s="17">
        <f t="shared" si="455"/>
        <v>15.375</v>
      </c>
      <c r="O1009" s="18">
        <f t="shared" si="456"/>
        <v>0.34146341463414637</v>
      </c>
      <c r="P1009">
        <v>27</v>
      </c>
      <c r="Q1009">
        <v>62</v>
      </c>
      <c r="R1009" s="17">
        <f t="shared" si="457"/>
        <v>3.375</v>
      </c>
      <c r="S1009" s="17">
        <f t="shared" si="458"/>
        <v>7.75</v>
      </c>
      <c r="T1009" s="18">
        <f t="shared" si="459"/>
        <v>0.43548387096774194</v>
      </c>
      <c r="U1009">
        <v>15</v>
      </c>
      <c r="V1009">
        <v>61</v>
      </c>
      <c r="W1009" s="17">
        <f t="shared" si="460"/>
        <v>1.875</v>
      </c>
      <c r="X1009" s="17">
        <f t="shared" si="461"/>
        <v>7.625</v>
      </c>
      <c r="Y1009" s="18">
        <f t="shared" si="462"/>
        <v>0.24590163934426229</v>
      </c>
      <c r="Z1009">
        <v>30</v>
      </c>
      <c r="AA1009">
        <v>34</v>
      </c>
      <c r="AB1009" s="17">
        <f t="shared" si="463"/>
        <v>3.75</v>
      </c>
      <c r="AC1009" s="17">
        <f t="shared" si="464"/>
        <v>4.25</v>
      </c>
      <c r="AD1009" s="18">
        <f t="shared" si="465"/>
        <v>0.88235294117647056</v>
      </c>
      <c r="AE1009">
        <v>8</v>
      </c>
      <c r="AF1009" s="17">
        <f t="shared" si="466"/>
        <v>1</v>
      </c>
      <c r="AG1009">
        <v>0</v>
      </c>
      <c r="AH1009" s="17">
        <f t="shared" si="467"/>
        <v>0</v>
      </c>
      <c r="AI1009">
        <v>8</v>
      </c>
      <c r="AJ1009" s="17">
        <f t="shared" si="468"/>
        <v>1</v>
      </c>
      <c r="AK1009">
        <v>41</v>
      </c>
      <c r="AL1009" s="17">
        <f t="shared" si="469"/>
        <v>5.125</v>
      </c>
      <c r="AM1009">
        <v>5</v>
      </c>
      <c r="AN1009" s="17">
        <f t="shared" si="470"/>
        <v>0.625</v>
      </c>
      <c r="AO1009">
        <v>0</v>
      </c>
      <c r="AQ1009">
        <v>11</v>
      </c>
      <c r="AR1009" s="17">
        <f t="shared" si="471"/>
        <v>1.375</v>
      </c>
      <c r="AS1009">
        <v>13</v>
      </c>
      <c r="AT1009" s="17">
        <f t="shared" si="472"/>
        <v>1.625</v>
      </c>
      <c r="BD1009" s="65">
        <f t="shared" si="473"/>
        <v>46.752681936793273</v>
      </c>
      <c r="BE1009" s="65">
        <f t="shared" si="474"/>
        <v>40.243902439024396</v>
      </c>
      <c r="BF1009" s="66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21.885761935185613</v>
      </c>
      <c r="BG1009" s="38">
        <f t="shared" si="475"/>
        <v>0.49593495934959347</v>
      </c>
      <c r="BH1009" s="38">
        <f t="shared" si="476"/>
        <v>0.27642276422764228</v>
      </c>
      <c r="BI1009" s="67">
        <f>IFERROR(((AG1009*(12000/5))/((F1009*60+G1009)*(SUMIFS(팀공격력!X:X,팀공격력!A:A,B1009,팀공격력!B:B,D1009)+SUMIFS(팀수비력!X:X,팀수비력!A:A,B1009,팀수비력!B:B,D1009))))*100,"")</f>
        <v>0</v>
      </c>
      <c r="BJ1009" s="67">
        <f>IFERROR(((AI1009*(12000/5))/((F1009*60+G1009)*(SUMIFS(팀공격력!V:V,팀공격력!A:A,B1009,팀공격력!B:B,D1009)+SUMIFS(팀수비력!W:W,팀수비력!A:A,B1009,팀수비력!B:B,D1009))))*100,"")</f>
        <v>2.9997515830720269</v>
      </c>
      <c r="BK1009" s="67">
        <f>IFERROR(((AE1009*(12000/5))/((F1009*60+G1009)*(SUMIFS(팀공격력!X:X,팀공격력!A:A,B1009,팀공격력!B:B,D1009)+SUMIFS(팀수비력!X:X,팀수비력!A:A,B1009,팀수비력!B:B,D1009))))*100,"")</f>
        <v>1.497801274535272</v>
      </c>
      <c r="BL1009" s="67">
        <f>IFERROR(100*AK1009/(((((F1009*60+G1009)/(12000/5))*SUMIFS(팀공격력!P:P,팀공격력!A:A,B1009,팀공격력!B:B,D1009))-K1009)),"")</f>
        <v>17.666607418897883</v>
      </c>
      <c r="BM1009" s="67">
        <f>IFERROR(100*((AM1009/E1009*(2400))/((F1009*60+G1009)*SUMIFS(팀공격력!AR:AR,팀공격력!A:A,B1009,팀공격력!B:B,D1009))),"")</f>
        <v>0.96458246167938688</v>
      </c>
      <c r="BN1009" s="67">
        <f>IFERROR((AO1009*40)/(((F1009*60+G1009)/60)*(SUMIFS(팀수비력!Q:Q,팀수비력!A:A,B1009,팀수비력!B:B,D1009)-SUMIFS(팀수비력!N:N,팀수비력!A:A,B1009,팀수비력!B:B,D1009)))*100,"")</f>
        <v>0</v>
      </c>
      <c r="BO1009" s="67">
        <f t="shared" si="477"/>
        <v>7.3845327604726094</v>
      </c>
      <c r="BT1009" t="s">
        <v>89</v>
      </c>
      <c r="BV1009" t="s">
        <v>90</v>
      </c>
      <c r="CF1009">
        <v>5</v>
      </c>
      <c r="CG1009">
        <v>3</v>
      </c>
    </row>
    <row r="1010" spans="1:85" x14ac:dyDescent="0.4">
      <c r="A1010" s="11" t="s">
        <v>85</v>
      </c>
      <c r="B1010" t="s">
        <v>164</v>
      </c>
      <c r="C1010" t="s">
        <v>310</v>
      </c>
      <c r="D1010" s="46" t="s">
        <v>313</v>
      </c>
      <c r="E1010">
        <v>1</v>
      </c>
      <c r="F1010">
        <v>0</v>
      </c>
      <c r="G1010" s="1">
        <v>41</v>
      </c>
      <c r="H1010" s="16">
        <f t="shared" si="452"/>
        <v>41</v>
      </c>
      <c r="I1010">
        <v>0</v>
      </c>
      <c r="J1010" s="17">
        <f t="shared" si="453"/>
        <v>0</v>
      </c>
      <c r="K1010">
        <v>0</v>
      </c>
      <c r="L1010">
        <v>0</v>
      </c>
      <c r="M1010" s="17">
        <f t="shared" si="454"/>
        <v>0</v>
      </c>
      <c r="N1010" s="17">
        <f t="shared" si="455"/>
        <v>0</v>
      </c>
      <c r="O1010" s="18" t="e">
        <f t="shared" si="456"/>
        <v>#DIV/0!</v>
      </c>
      <c r="P1010">
        <v>0</v>
      </c>
      <c r="Q1010">
        <v>0</v>
      </c>
      <c r="R1010" s="17">
        <f t="shared" si="457"/>
        <v>0</v>
      </c>
      <c r="S1010" s="17">
        <f t="shared" si="458"/>
        <v>0</v>
      </c>
      <c r="T1010" s="18" t="e">
        <f t="shared" si="459"/>
        <v>#DIV/0!</v>
      </c>
      <c r="U1010">
        <v>0</v>
      </c>
      <c r="V1010">
        <v>0</v>
      </c>
      <c r="W1010" s="17">
        <f t="shared" si="460"/>
        <v>0</v>
      </c>
      <c r="X1010" s="17">
        <f t="shared" si="461"/>
        <v>0</v>
      </c>
      <c r="Y1010" s="18" t="e">
        <f t="shared" si="462"/>
        <v>#DIV/0!</v>
      </c>
      <c r="Z1010">
        <v>0</v>
      </c>
      <c r="AA1010">
        <v>0</v>
      </c>
      <c r="AB1010" s="17">
        <f t="shared" si="463"/>
        <v>0</v>
      </c>
      <c r="AC1010" s="17">
        <f t="shared" si="464"/>
        <v>0</v>
      </c>
      <c r="AD1010" s="18" t="e">
        <f t="shared" si="465"/>
        <v>#DIV/0!</v>
      </c>
      <c r="AE1010">
        <v>0</v>
      </c>
      <c r="AF1010" s="17">
        <f t="shared" si="466"/>
        <v>0</v>
      </c>
      <c r="AG1010">
        <v>0</v>
      </c>
      <c r="AH1010" s="17">
        <f t="shared" si="467"/>
        <v>0</v>
      </c>
      <c r="AI1010">
        <v>0</v>
      </c>
      <c r="AJ1010" s="17">
        <f t="shared" si="468"/>
        <v>0</v>
      </c>
      <c r="AK1010">
        <v>0</v>
      </c>
      <c r="AL1010" s="17">
        <f t="shared" si="469"/>
        <v>0</v>
      </c>
      <c r="AM1010">
        <v>0</v>
      </c>
      <c r="AN1010" s="17">
        <f t="shared" si="470"/>
        <v>0</v>
      </c>
      <c r="AO1010">
        <v>0</v>
      </c>
      <c r="AQ1010">
        <v>0</v>
      </c>
      <c r="AR1010" s="17">
        <f t="shared" si="471"/>
        <v>0</v>
      </c>
      <c r="AS1010">
        <v>0</v>
      </c>
      <c r="AT1010" s="17">
        <f t="shared" si="472"/>
        <v>0</v>
      </c>
      <c r="BD1010" s="65" t="str">
        <f t="shared" si="473"/>
        <v/>
      </c>
      <c r="BE1010" s="65" t="str">
        <f t="shared" si="474"/>
        <v/>
      </c>
      <c r="BF1010" s="66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0</v>
      </c>
      <c r="BG1010" s="38" t="str">
        <f t="shared" si="475"/>
        <v/>
      </c>
      <c r="BH1010" s="38" t="str">
        <f t="shared" si="476"/>
        <v/>
      </c>
      <c r="BI1010" s="67">
        <f>IFERROR(((AG1010*(12000/5))/((F1010*60+G1010)*(SUMIFS(팀공격력!X:X,팀공격력!A:A,B1010,팀공격력!B:B,D1010)+SUMIFS(팀수비력!X:X,팀수비력!A:A,B1010,팀수비력!B:B,D1010))))*100,"")</f>
        <v>0</v>
      </c>
      <c r="BJ1010" s="67">
        <f>IFERROR(((AI1010*(12000/5))/((F1010*60+G1010)*(SUMIFS(팀공격력!V:V,팀공격력!A:A,B1010,팀공격력!B:B,D1010)+SUMIFS(팀수비력!W:W,팀수비력!A:A,B1010,팀수비력!B:B,D1010))))*100,"")</f>
        <v>0</v>
      </c>
      <c r="BK1010" s="67">
        <f>IFERROR(((AE1010*(12000/5))/((F1010*60+G1010)*(SUMIFS(팀공격력!X:X,팀공격력!A:A,B1010,팀공격력!B:B,D1010)+SUMIFS(팀수비력!X:X,팀수비력!A:A,B1010,팀수비력!B:B,D1010))))*100,"")</f>
        <v>0</v>
      </c>
      <c r="BL1010" s="67">
        <f>IFERROR(100*AK1010/(((((F1010*60+G1010)/(12000/5))*SUMIFS(팀공격력!P:P,팀공격력!A:A,B1010,팀공격력!B:B,D1010))-K1010)),"")</f>
        <v>0</v>
      </c>
      <c r="BM1010" s="67">
        <f>IFERROR(100*((AM1010/E1010*(2400))/((F1010*60+G1010)*SUMIFS(팀공격력!AR:AR,팀공격력!A:A,B1010,팀공격력!B:B,D1010))),"")</f>
        <v>0</v>
      </c>
      <c r="BN1010" s="67">
        <f>IFERROR((AO1010*40)/(((F1010*60+G1010)/60)*(SUMIFS(팀수비력!Q:Q,팀수비력!A:A,B1010,팀수비력!B:B,D1010)-SUMIFS(팀수비력!N:N,팀수비력!A:A,B1010,팀수비력!B:B,D1010)))*100,"")</f>
        <v>0</v>
      </c>
      <c r="BO1010" s="67" t="str">
        <f t="shared" si="477"/>
        <v/>
      </c>
      <c r="BT1010" t="s">
        <v>89</v>
      </c>
      <c r="BV1010" t="s">
        <v>93</v>
      </c>
      <c r="CF1010">
        <v>0</v>
      </c>
      <c r="CG1010">
        <v>1</v>
      </c>
    </row>
    <row r="1011" spans="1:85" x14ac:dyDescent="0.4">
      <c r="A1011" s="11" t="s">
        <v>85</v>
      </c>
      <c r="B1011" t="s">
        <v>164</v>
      </c>
      <c r="C1011" t="s">
        <v>167</v>
      </c>
      <c r="D1011" s="46" t="s">
        <v>313</v>
      </c>
      <c r="E1011">
        <v>7</v>
      </c>
      <c r="F1011">
        <v>25</v>
      </c>
      <c r="G1011" s="1">
        <v>47</v>
      </c>
      <c r="H1011" s="16">
        <f t="shared" si="452"/>
        <v>10829</v>
      </c>
      <c r="I1011">
        <v>88</v>
      </c>
      <c r="J1011" s="17">
        <f t="shared" si="453"/>
        <v>12.571428571428571</v>
      </c>
      <c r="K1011">
        <v>31</v>
      </c>
      <c r="L1011">
        <v>68</v>
      </c>
      <c r="M1011" s="17">
        <f t="shared" si="454"/>
        <v>4.4285714285714288</v>
      </c>
      <c r="N1011" s="17">
        <f t="shared" si="455"/>
        <v>9.7142857142857135</v>
      </c>
      <c r="O1011" s="18">
        <f t="shared" si="456"/>
        <v>0.45588235294117646</v>
      </c>
      <c r="P1011">
        <v>20</v>
      </c>
      <c r="Q1011">
        <v>40</v>
      </c>
      <c r="R1011" s="17">
        <f t="shared" si="457"/>
        <v>2.8571428571428572</v>
      </c>
      <c r="S1011" s="17">
        <f t="shared" si="458"/>
        <v>5.7142857142857144</v>
      </c>
      <c r="T1011" s="18">
        <f t="shared" si="459"/>
        <v>0.5</v>
      </c>
      <c r="U1011">
        <v>11</v>
      </c>
      <c r="V1011">
        <v>28</v>
      </c>
      <c r="W1011" s="17">
        <f t="shared" si="460"/>
        <v>1.5714285714285714</v>
      </c>
      <c r="X1011" s="17">
        <f t="shared" si="461"/>
        <v>4</v>
      </c>
      <c r="Y1011" s="18">
        <f t="shared" si="462"/>
        <v>0.39285714285714285</v>
      </c>
      <c r="Z1011">
        <v>15</v>
      </c>
      <c r="AA1011">
        <v>21</v>
      </c>
      <c r="AB1011" s="17">
        <f t="shared" si="463"/>
        <v>2.1428571428571428</v>
      </c>
      <c r="AC1011" s="17">
        <f t="shared" si="464"/>
        <v>3</v>
      </c>
      <c r="AD1011" s="18">
        <f t="shared" si="465"/>
        <v>0.7142857142857143</v>
      </c>
      <c r="AE1011">
        <v>10</v>
      </c>
      <c r="AF1011" s="17">
        <f t="shared" si="466"/>
        <v>1.4285714285714286</v>
      </c>
      <c r="AG1011">
        <v>4</v>
      </c>
      <c r="AH1011" s="17">
        <f t="shared" si="467"/>
        <v>0.5714285714285714</v>
      </c>
      <c r="AI1011">
        <v>6</v>
      </c>
      <c r="AJ1011" s="17">
        <f t="shared" si="468"/>
        <v>0.8571428571428571</v>
      </c>
      <c r="AK1011">
        <v>23</v>
      </c>
      <c r="AL1011" s="17">
        <f t="shared" si="469"/>
        <v>3.2857142857142856</v>
      </c>
      <c r="AM1011">
        <v>11</v>
      </c>
      <c r="AN1011" s="17">
        <f t="shared" si="470"/>
        <v>1.5714285714285714</v>
      </c>
      <c r="AO1011">
        <v>2</v>
      </c>
      <c r="AQ1011">
        <v>7</v>
      </c>
      <c r="AR1011" s="17">
        <f t="shared" si="471"/>
        <v>1</v>
      </c>
      <c r="AS1011">
        <v>15</v>
      </c>
      <c r="AT1011" s="17">
        <f t="shared" si="472"/>
        <v>2.1428571428571428</v>
      </c>
      <c r="BD1011" s="65">
        <f t="shared" si="473"/>
        <v>56.965302951838424</v>
      </c>
      <c r="BE1011" s="65">
        <f t="shared" si="474"/>
        <v>53.67647058823529</v>
      </c>
      <c r="BF1011" s="66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16.644049367072348</v>
      </c>
      <c r="BG1011" s="38">
        <f t="shared" si="475"/>
        <v>0.41176470588235292</v>
      </c>
      <c r="BH1011" s="38">
        <f t="shared" si="476"/>
        <v>0.30882352941176472</v>
      </c>
      <c r="BI1011" s="67">
        <f>IFERROR(((AG1011*(12000/5))/((F1011*60+G1011)*(SUMIFS(팀공격력!X:X,팀공격력!A:A,B1011,팀공격력!B:B,D1011)+SUMIFS(팀수비력!X:X,팀수비력!A:A,B1011,팀수비력!B:B,D1011))))*100,"")</f>
        <v>0.90990603324569175</v>
      </c>
      <c r="BJ1011" s="67">
        <f>IFERROR(((AI1011*(12000/5))/((F1011*60+G1011)*(SUMIFS(팀공격력!V:V,팀공격력!A:A,B1011,팀공격력!B:B,D1011)+SUMIFS(팀수비력!W:W,팀수비력!A:A,B1011,팀수비력!B:B,D1011))))*100,"")</f>
        <v>2.6748099770412144</v>
      </c>
      <c r="BK1011" s="67">
        <f>IFERROR(((AE1011*(12000/5))/((F1011*60+G1011)*(SUMIFS(팀공격력!X:X,팀공격력!A:A,B1011,팀공격력!B:B,D1011)+SUMIFS(팀수비력!X:X,팀수비력!A:A,B1011,팀수비력!B:B,D1011))))*100,"")</f>
        <v>2.2747650831142292</v>
      </c>
      <c r="BL1011" s="67">
        <f>IFERROR(100*AK1011/(((((F1011*60+G1011)/(12000/5))*SUMIFS(팀공격력!P:P,팀공격력!A:A,B1011,팀공격력!B:B,D1011))-K1011)),"")</f>
        <v>15.189831618515084</v>
      </c>
      <c r="BM1011" s="67">
        <f>IFERROR(100*((AM1011/E1011*(2400))/((F1011*60+G1011)*SUMIFS(팀공격력!AR:AR,팀공격력!A:A,B1011,팀공격력!B:B,D1011))),"")</f>
        <v>3.2520620069335244</v>
      </c>
      <c r="BN1011" s="67">
        <f>IFERROR((AO1011*40)/(((F1011*60+G1011)/60)*(SUMIFS(팀수비력!Q:Q,팀수비력!A:A,B1011,팀수비력!B:B,D1011)-SUMIFS(팀수비력!N:N,팀수비력!A:A,B1011,팀수비력!B:B,D1011)))*100,"")</f>
        <v>0.8691259309153524</v>
      </c>
      <c r="BO1011" s="67">
        <f t="shared" si="477"/>
        <v>8.3095916429249765</v>
      </c>
      <c r="BT1011" t="s">
        <v>89</v>
      </c>
      <c r="BV1011" t="s">
        <v>90</v>
      </c>
      <c r="CF1011">
        <v>3</v>
      </c>
      <c r="CG1011">
        <v>4</v>
      </c>
    </row>
    <row r="1012" spans="1:85" x14ac:dyDescent="0.4">
      <c r="A1012" s="11" t="s">
        <v>85</v>
      </c>
      <c r="B1012" t="s">
        <v>164</v>
      </c>
      <c r="C1012" t="s">
        <v>168</v>
      </c>
      <c r="D1012" s="46" t="s">
        <v>313</v>
      </c>
      <c r="E1012">
        <v>9</v>
      </c>
      <c r="F1012">
        <v>14</v>
      </c>
      <c r="G1012" s="1">
        <v>48</v>
      </c>
      <c r="H1012" s="16">
        <f t="shared" si="452"/>
        <v>7992</v>
      </c>
      <c r="I1012">
        <v>62</v>
      </c>
      <c r="J1012" s="17">
        <f t="shared" si="453"/>
        <v>6.8888888888888893</v>
      </c>
      <c r="K1012">
        <v>21</v>
      </c>
      <c r="L1012">
        <v>47</v>
      </c>
      <c r="M1012" s="17">
        <f t="shared" si="454"/>
        <v>2.3333333333333335</v>
      </c>
      <c r="N1012" s="17">
        <f t="shared" si="455"/>
        <v>5.2222222222222223</v>
      </c>
      <c r="O1012" s="18">
        <f t="shared" si="456"/>
        <v>0.44680851063829785</v>
      </c>
      <c r="P1012">
        <v>13</v>
      </c>
      <c r="Q1012">
        <v>26</v>
      </c>
      <c r="R1012" s="17">
        <f t="shared" si="457"/>
        <v>1.4444444444444444</v>
      </c>
      <c r="S1012" s="17">
        <f t="shared" si="458"/>
        <v>2.8888888888888888</v>
      </c>
      <c r="T1012" s="18">
        <f t="shared" si="459"/>
        <v>0.5</v>
      </c>
      <c r="U1012">
        <v>8</v>
      </c>
      <c r="V1012">
        <v>21</v>
      </c>
      <c r="W1012" s="17">
        <f t="shared" si="460"/>
        <v>0.88888888888888884</v>
      </c>
      <c r="X1012" s="17">
        <f t="shared" si="461"/>
        <v>2.3333333333333335</v>
      </c>
      <c r="Y1012" s="18">
        <f t="shared" si="462"/>
        <v>0.38095238095238093</v>
      </c>
      <c r="Z1012">
        <v>12</v>
      </c>
      <c r="AA1012">
        <v>13</v>
      </c>
      <c r="AB1012" s="17">
        <f t="shared" si="463"/>
        <v>1.3333333333333333</v>
      </c>
      <c r="AC1012" s="17">
        <f t="shared" si="464"/>
        <v>1.4444444444444444</v>
      </c>
      <c r="AD1012" s="18">
        <f t="shared" si="465"/>
        <v>0.92307692307692313</v>
      </c>
      <c r="AE1012">
        <v>23</v>
      </c>
      <c r="AF1012" s="17">
        <f t="shared" si="466"/>
        <v>2.5555555555555554</v>
      </c>
      <c r="AG1012">
        <v>3</v>
      </c>
      <c r="AH1012" s="17">
        <f t="shared" si="467"/>
        <v>0.33333333333333331</v>
      </c>
      <c r="AI1012">
        <v>20</v>
      </c>
      <c r="AJ1012" s="17">
        <f t="shared" si="468"/>
        <v>2.2222222222222223</v>
      </c>
      <c r="AK1012">
        <v>5</v>
      </c>
      <c r="AL1012" s="17">
        <f t="shared" si="469"/>
        <v>0.55555555555555558</v>
      </c>
      <c r="AM1012">
        <v>3</v>
      </c>
      <c r="AN1012" s="17">
        <f t="shared" si="470"/>
        <v>0.33333333333333331</v>
      </c>
      <c r="AO1012">
        <v>3</v>
      </c>
      <c r="AQ1012">
        <v>3</v>
      </c>
      <c r="AR1012" s="17">
        <f t="shared" si="471"/>
        <v>0.33333333333333331</v>
      </c>
      <c r="AS1012">
        <v>21</v>
      </c>
      <c r="AT1012" s="17">
        <f t="shared" si="472"/>
        <v>2.3333333333333335</v>
      </c>
      <c r="BD1012" s="65">
        <f t="shared" si="473"/>
        <v>58.801213960546285</v>
      </c>
      <c r="BE1012" s="65">
        <f t="shared" si="474"/>
        <v>53.191489361702125</v>
      </c>
      <c r="BF1012" s="66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19.179138384436396</v>
      </c>
      <c r="BG1012" s="38">
        <f t="shared" si="475"/>
        <v>0.44680851063829785</v>
      </c>
      <c r="BH1012" s="38">
        <f t="shared" si="476"/>
        <v>0.27659574468085107</v>
      </c>
      <c r="BI1012" s="67">
        <f>IFERROR(((AG1012*(12000/5))/((F1012*60+G1012)*(SUMIFS(팀공격력!X:X,팀공격력!A:A,B1012,팀공격력!B:B,D1012)+SUMIFS(팀수비력!X:X,팀수비력!A:A,B1012,팀수비력!B:B,D1012))))*100,"")</f>
        <v>1.1888721566140921</v>
      </c>
      <c r="BJ1012" s="67">
        <f>IFERROR(((AI1012*(12000/5))/((F1012*60+G1012)*(SUMIFS(팀공격력!V:V,팀공격력!A:A,B1012,팀공격력!B:B,D1012)+SUMIFS(팀수비력!W:W,팀수비력!A:A,B1012,팀수비력!B:B,D1012))))*100,"")</f>
        <v>15.532774153463807</v>
      </c>
      <c r="BK1012" s="67">
        <f>IFERROR(((AE1012*(12000/5))/((F1012*60+G1012)*(SUMIFS(팀공격력!X:X,팀공격력!A:A,B1012,팀공격력!B:B,D1012)+SUMIFS(팀수비력!X:X,팀수비력!A:A,B1012,팀수비력!B:B,D1012))))*100,"")</f>
        <v>9.1146865340413736</v>
      </c>
      <c r="BL1012" s="67">
        <f>IFERROR(100*AK1012/(((((F1012*60+G1012)/(12000/5))*SUMIFS(팀공격력!P:P,팀공격력!A:A,B1012,팀공격력!B:B,D1012))-K1012)),"")</f>
        <v>5.973002030820691</v>
      </c>
      <c r="BM1012" s="67">
        <f>IFERROR(100*((AM1012/E1012*(2400))/((F1012*60+G1012)*SUMIFS(팀공격력!AR:AR,팀공격력!A:A,B1012,팀공격력!B:B,D1012))),"")</f>
        <v>1.2017669762859384</v>
      </c>
      <c r="BN1012" s="67">
        <f>IFERROR((AO1012*40)/(((F1012*60+G1012)/60)*(SUMIFS(팀수비력!Q:Q,팀수비력!A:A,B1012,팀수비력!B:B,D1012)-SUMIFS(팀수비력!N:N,팀수비력!A:A,B1012,팀수비력!B:B,D1012)))*100,"")</f>
        <v>2.2711787417669766</v>
      </c>
      <c r="BO1012" s="67">
        <f t="shared" si="477"/>
        <v>5.3840631730078972</v>
      </c>
      <c r="BT1012" t="s">
        <v>89</v>
      </c>
      <c r="BV1012" t="s">
        <v>93</v>
      </c>
      <c r="CF1012">
        <v>4</v>
      </c>
      <c r="CG1012">
        <v>5</v>
      </c>
    </row>
    <row r="1013" spans="1:85" x14ac:dyDescent="0.4">
      <c r="A1013" s="11" t="s">
        <v>85</v>
      </c>
      <c r="B1013" t="s">
        <v>164</v>
      </c>
      <c r="C1013" t="s">
        <v>169</v>
      </c>
      <c r="D1013" s="46" t="s">
        <v>313</v>
      </c>
      <c r="E1013">
        <v>9</v>
      </c>
      <c r="F1013">
        <v>8</v>
      </c>
      <c r="G1013" s="1">
        <v>54</v>
      </c>
      <c r="H1013" s="16">
        <f t="shared" si="452"/>
        <v>4806</v>
      </c>
      <c r="I1013">
        <v>43</v>
      </c>
      <c r="J1013" s="17">
        <f t="shared" si="453"/>
        <v>4.7777777777777777</v>
      </c>
      <c r="K1013">
        <v>18</v>
      </c>
      <c r="L1013">
        <v>35</v>
      </c>
      <c r="M1013" s="17">
        <f t="shared" si="454"/>
        <v>2</v>
      </c>
      <c r="N1013" s="17">
        <f t="shared" si="455"/>
        <v>3.8888888888888888</v>
      </c>
      <c r="O1013" s="18">
        <f t="shared" si="456"/>
        <v>0.51428571428571423</v>
      </c>
      <c r="P1013">
        <v>15</v>
      </c>
      <c r="Q1013">
        <v>28</v>
      </c>
      <c r="R1013" s="17">
        <f t="shared" si="457"/>
        <v>1.6666666666666667</v>
      </c>
      <c r="S1013" s="17">
        <f t="shared" si="458"/>
        <v>3.1111111111111112</v>
      </c>
      <c r="T1013" s="18">
        <f t="shared" si="459"/>
        <v>0.5357142857142857</v>
      </c>
      <c r="U1013">
        <v>3</v>
      </c>
      <c r="V1013">
        <v>7</v>
      </c>
      <c r="W1013" s="17">
        <f t="shared" si="460"/>
        <v>0.33333333333333331</v>
      </c>
      <c r="X1013" s="17">
        <f t="shared" si="461"/>
        <v>0.77777777777777779</v>
      </c>
      <c r="Y1013" s="18">
        <f t="shared" si="462"/>
        <v>0.42857142857142855</v>
      </c>
      <c r="Z1013">
        <v>4</v>
      </c>
      <c r="AA1013">
        <v>5</v>
      </c>
      <c r="AB1013" s="17">
        <f t="shared" si="463"/>
        <v>0.44444444444444442</v>
      </c>
      <c r="AC1013" s="17">
        <f t="shared" si="464"/>
        <v>0.55555555555555558</v>
      </c>
      <c r="AD1013" s="18">
        <f t="shared" si="465"/>
        <v>0.8</v>
      </c>
      <c r="AE1013">
        <v>24</v>
      </c>
      <c r="AF1013" s="17">
        <f t="shared" si="466"/>
        <v>2.6666666666666665</v>
      </c>
      <c r="AG1013">
        <v>9</v>
      </c>
      <c r="AH1013" s="17">
        <f t="shared" si="467"/>
        <v>1</v>
      </c>
      <c r="AI1013">
        <v>15</v>
      </c>
      <c r="AJ1013" s="17">
        <f t="shared" si="468"/>
        <v>1.6666666666666667</v>
      </c>
      <c r="AK1013">
        <v>1</v>
      </c>
      <c r="AL1013" s="17">
        <f t="shared" si="469"/>
        <v>0.1111111111111111</v>
      </c>
      <c r="AM1013">
        <v>4</v>
      </c>
      <c r="AN1013" s="17">
        <f t="shared" si="470"/>
        <v>0.44444444444444442</v>
      </c>
      <c r="AO1013">
        <v>1</v>
      </c>
      <c r="AQ1013">
        <v>5</v>
      </c>
      <c r="AR1013" s="17">
        <f t="shared" si="471"/>
        <v>0.55555555555555558</v>
      </c>
      <c r="AS1013">
        <v>19</v>
      </c>
      <c r="AT1013" s="17">
        <f t="shared" si="472"/>
        <v>2.1111111111111112</v>
      </c>
      <c r="BD1013" s="65">
        <f t="shared" si="473"/>
        <v>57.795698924731177</v>
      </c>
      <c r="BE1013" s="65">
        <f t="shared" si="474"/>
        <v>55.714285714285715</v>
      </c>
      <c r="BF1013" s="66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24.154727629688562</v>
      </c>
      <c r="BG1013" s="38">
        <f t="shared" si="475"/>
        <v>0.2</v>
      </c>
      <c r="BH1013" s="38">
        <f t="shared" si="476"/>
        <v>0.14285714285714285</v>
      </c>
      <c r="BI1013" s="67">
        <f>IFERROR(((AG1013*(12000/5))/((F1013*60+G1013)*(SUMIFS(팀공격력!X:X,팀공격력!A:A,B1013,팀공격력!B:B,D1013)+SUMIFS(팀수비력!X:X,팀수비력!A:A,B1013,팀수비력!B:B,D1013))))*100,"")</f>
        <v>5.9310026689512014</v>
      </c>
      <c r="BJ1013" s="67">
        <f>IFERROR(((AI1013*(12000/5))/((F1013*60+G1013)*(SUMIFS(팀공격력!V:V,팀공격력!A:A,B1013,팀공격력!B:B,D1013)+SUMIFS(팀수비력!W:W,팀수비력!A:A,B1013,팀수비력!B:B,D1013))))*100,"")</f>
        <v>19.372336303758235</v>
      </c>
      <c r="BK1013" s="67">
        <f>IFERROR(((AE1013*(12000/5))/((F1013*60+G1013)*(SUMIFS(팀공격력!X:X,팀공격력!A:A,B1013,팀공격력!B:B,D1013)+SUMIFS(팀수비력!X:X,팀수비력!A:A,B1013,팀수비력!B:B,D1013))))*100,"")</f>
        <v>15.816007117203204</v>
      </c>
      <c r="BL1013" s="67">
        <f>IFERROR(100*AK1013/(((((F1013*60+G1013)/(12000/5))*SUMIFS(팀공격력!P:P,팀공격력!A:A,B1013,팀공격력!B:B,D1013))-K1013)),"")</f>
        <v>2.2238283204536611</v>
      </c>
      <c r="BM1013" s="67">
        <f>IFERROR(100*((AM1013/E1013*(2400))/((F1013*60+G1013)*SUMIFS(팀공격력!AR:AR,팀공격력!A:A,B1013,팀공격력!B:B,D1013))),"")</f>
        <v>2.6645919474205075</v>
      </c>
      <c r="BN1013" s="67">
        <f>IFERROR((AO1013*40)/(((F1013*60+G1013)/60)*(SUMIFS(팀수비력!Q:Q,팀수비력!A:A,B1013,팀수비력!B:B,D1013)-SUMIFS(팀수비력!N:N,팀수비력!A:A,B1013,팀수비력!B:B,D1013)))*100,"")</f>
        <v>1.2589305385075378</v>
      </c>
      <c r="BO1013" s="67">
        <f t="shared" si="477"/>
        <v>11.848341232227487</v>
      </c>
      <c r="BT1013" t="s">
        <v>96</v>
      </c>
      <c r="BV1013" t="s">
        <v>102</v>
      </c>
      <c r="CF1013">
        <v>4</v>
      </c>
      <c r="CG1013">
        <v>5</v>
      </c>
    </row>
    <row r="1014" spans="1:85" x14ac:dyDescent="0.4">
      <c r="A1014" s="11" t="s">
        <v>85</v>
      </c>
      <c r="B1014" t="s">
        <v>164</v>
      </c>
      <c r="C1014" t="s">
        <v>170</v>
      </c>
      <c r="D1014" s="46" t="s">
        <v>313</v>
      </c>
      <c r="E1014">
        <v>5</v>
      </c>
      <c r="F1014">
        <v>4</v>
      </c>
      <c r="G1014" s="1">
        <v>26</v>
      </c>
      <c r="H1014" s="16">
        <f t="shared" si="452"/>
        <v>1330</v>
      </c>
      <c r="I1014">
        <v>4</v>
      </c>
      <c r="J1014" s="17">
        <f t="shared" si="453"/>
        <v>0.8</v>
      </c>
      <c r="K1014">
        <v>2</v>
      </c>
      <c r="L1014">
        <v>6</v>
      </c>
      <c r="M1014" s="17">
        <f t="shared" si="454"/>
        <v>0.4</v>
      </c>
      <c r="N1014" s="17">
        <f t="shared" si="455"/>
        <v>1.2</v>
      </c>
      <c r="O1014" s="18">
        <f t="shared" si="456"/>
        <v>0.33333333333333331</v>
      </c>
      <c r="P1014">
        <v>2</v>
      </c>
      <c r="Q1014">
        <v>2</v>
      </c>
      <c r="R1014" s="17">
        <f t="shared" si="457"/>
        <v>0.4</v>
      </c>
      <c r="S1014" s="17">
        <f t="shared" si="458"/>
        <v>0.4</v>
      </c>
      <c r="T1014" s="18">
        <f t="shared" si="459"/>
        <v>1</v>
      </c>
      <c r="U1014">
        <v>0</v>
      </c>
      <c r="V1014">
        <v>4</v>
      </c>
      <c r="W1014" s="17">
        <f t="shared" si="460"/>
        <v>0</v>
      </c>
      <c r="X1014" s="17">
        <f t="shared" si="461"/>
        <v>0.8</v>
      </c>
      <c r="Y1014" s="18">
        <f t="shared" si="462"/>
        <v>0</v>
      </c>
      <c r="Z1014">
        <v>0</v>
      </c>
      <c r="AA1014">
        <v>0</v>
      </c>
      <c r="AB1014" s="17">
        <f t="shared" si="463"/>
        <v>0</v>
      </c>
      <c r="AC1014" s="17">
        <f t="shared" si="464"/>
        <v>0</v>
      </c>
      <c r="AD1014" s="18" t="e">
        <f t="shared" si="465"/>
        <v>#DIV/0!</v>
      </c>
      <c r="AE1014">
        <v>4</v>
      </c>
      <c r="AF1014" s="17">
        <f t="shared" si="466"/>
        <v>0.8</v>
      </c>
      <c r="AG1014">
        <v>1</v>
      </c>
      <c r="AH1014" s="17">
        <f t="shared" si="467"/>
        <v>0.2</v>
      </c>
      <c r="AI1014">
        <v>3</v>
      </c>
      <c r="AJ1014" s="17">
        <f t="shared" si="468"/>
        <v>0.6</v>
      </c>
      <c r="AK1014">
        <v>0</v>
      </c>
      <c r="AL1014" s="17">
        <f t="shared" si="469"/>
        <v>0</v>
      </c>
      <c r="AM1014">
        <v>2</v>
      </c>
      <c r="AN1014" s="17">
        <f t="shared" si="470"/>
        <v>0.4</v>
      </c>
      <c r="AO1014">
        <v>0</v>
      </c>
      <c r="AQ1014">
        <v>0</v>
      </c>
      <c r="AR1014" s="17">
        <f t="shared" si="471"/>
        <v>0</v>
      </c>
      <c r="AS1014">
        <v>0</v>
      </c>
      <c r="AT1014" s="17">
        <f t="shared" si="472"/>
        <v>0</v>
      </c>
      <c r="BD1014" s="65">
        <f t="shared" si="473"/>
        <v>33.333333333333329</v>
      </c>
      <c r="BE1014" s="65">
        <f t="shared" si="474"/>
        <v>33.333333333333329</v>
      </c>
      <c r="BF1014" s="66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6.8944648937677862</v>
      </c>
      <c r="BG1014" s="38">
        <f t="shared" si="475"/>
        <v>0.66666666666666663</v>
      </c>
      <c r="BH1014" s="38">
        <f t="shared" si="476"/>
        <v>0</v>
      </c>
      <c r="BI1014" s="67">
        <f>IFERROR(((AG1014*(12000/5))/((F1014*60+G1014)*(SUMIFS(팀공격력!X:X,팀공격력!A:A,B1014,팀공격력!B:B,D1014)+SUMIFS(팀수비력!X:X,팀수비력!A:A,B1014,팀수비력!B:B,D1014))))*100,"")</f>
        <v>1.3229554825480123</v>
      </c>
      <c r="BJ1014" s="67">
        <f>IFERROR(((AI1014*(12000/5))/((F1014*60+G1014)*(SUMIFS(팀공격력!V:V,팀공격력!A:A,B1014,팀공격력!B:B,D1014)+SUMIFS(팀수비력!W:W,팀수비력!A:A,B1014,팀수비력!B:B,D1014))))*100,"")</f>
        <v>7.7780658542909</v>
      </c>
      <c r="BK1014" s="67">
        <f>IFERROR(((AE1014*(12000/5))/((F1014*60+G1014)*(SUMIFS(팀공격력!X:X,팀공격력!A:A,B1014,팀공격력!B:B,D1014)+SUMIFS(팀수비력!X:X,팀수비력!A:A,B1014,팀수비력!B:B,D1014))))*100,"")</f>
        <v>5.2918219301920493</v>
      </c>
      <c r="BL1014" s="67">
        <f>IFERROR(100*AK1014/(((((F1014*60+G1014)/(12000/5))*SUMIFS(팀공격력!P:P,팀공격력!A:A,B1014,팀공격력!B:B,D1014))-K1014)),"")</f>
        <v>0</v>
      </c>
      <c r="BM1014" s="67">
        <f>IFERROR(100*((AM1014/E1014*(2400))/((F1014*60+G1014)*SUMIFS(팀공격력!AR:AR,팀공격력!A:A,B1014,팀공격력!B:B,D1014))),"")</f>
        <v>4.8142965786853233</v>
      </c>
      <c r="BN1014" s="67">
        <f>IFERROR((AO1014*40)/(((F1014*60+G1014)/60)*(SUMIFS(팀수비력!Q:Q,팀수비력!A:A,B1014,팀수비력!B:B,D1014)-SUMIFS(팀수비력!N:N,팀수비력!A:A,B1014,팀수비력!B:B,D1014)))*100,"")</f>
        <v>0</v>
      </c>
      <c r="BO1014" s="67">
        <f t="shared" si="477"/>
        <v>0</v>
      </c>
      <c r="BT1014" t="s">
        <v>89</v>
      </c>
      <c r="BV1014" t="s">
        <v>90</v>
      </c>
      <c r="CF1014">
        <v>2</v>
      </c>
      <c r="CG1014">
        <v>3</v>
      </c>
    </row>
    <row r="1015" spans="1:85" x14ac:dyDescent="0.4">
      <c r="A1015" s="11" t="s">
        <v>85</v>
      </c>
      <c r="B1015" t="s">
        <v>164</v>
      </c>
      <c r="C1015" t="s">
        <v>171</v>
      </c>
      <c r="D1015" s="46" t="s">
        <v>313</v>
      </c>
      <c r="E1015">
        <v>1</v>
      </c>
      <c r="F1015">
        <v>4</v>
      </c>
      <c r="G1015" s="1">
        <v>30</v>
      </c>
      <c r="H1015" s="16">
        <f t="shared" si="452"/>
        <v>270</v>
      </c>
      <c r="I1015">
        <v>4</v>
      </c>
      <c r="J1015" s="17">
        <f t="shared" si="453"/>
        <v>4</v>
      </c>
      <c r="K1015">
        <v>2</v>
      </c>
      <c r="L1015">
        <v>2</v>
      </c>
      <c r="M1015" s="17">
        <f t="shared" si="454"/>
        <v>2</v>
      </c>
      <c r="N1015" s="17">
        <f t="shared" si="455"/>
        <v>2</v>
      </c>
      <c r="O1015" s="18">
        <f t="shared" si="456"/>
        <v>1</v>
      </c>
      <c r="P1015">
        <v>2</v>
      </c>
      <c r="Q1015">
        <v>2</v>
      </c>
      <c r="R1015" s="17">
        <f t="shared" si="457"/>
        <v>2</v>
      </c>
      <c r="S1015" s="17">
        <f t="shared" si="458"/>
        <v>2</v>
      </c>
      <c r="T1015" s="18">
        <f t="shared" si="459"/>
        <v>1</v>
      </c>
      <c r="U1015">
        <v>0</v>
      </c>
      <c r="V1015">
        <v>0</v>
      </c>
      <c r="W1015" s="17">
        <f t="shared" si="460"/>
        <v>0</v>
      </c>
      <c r="X1015" s="17">
        <f t="shared" si="461"/>
        <v>0</v>
      </c>
      <c r="Y1015" s="18" t="e">
        <f t="shared" si="462"/>
        <v>#DIV/0!</v>
      </c>
      <c r="Z1015">
        <v>0</v>
      </c>
      <c r="AA1015">
        <v>0</v>
      </c>
      <c r="AB1015" s="17">
        <f t="shared" si="463"/>
        <v>0</v>
      </c>
      <c r="AC1015" s="17">
        <f t="shared" si="464"/>
        <v>0</v>
      </c>
      <c r="AD1015" s="18" t="e">
        <f t="shared" si="465"/>
        <v>#DIV/0!</v>
      </c>
      <c r="AE1015">
        <v>2</v>
      </c>
      <c r="AF1015" s="17">
        <f t="shared" si="466"/>
        <v>2</v>
      </c>
      <c r="AG1015">
        <v>0</v>
      </c>
      <c r="AH1015" s="17">
        <f t="shared" si="467"/>
        <v>0</v>
      </c>
      <c r="AI1015">
        <v>2</v>
      </c>
      <c r="AJ1015" s="17">
        <f t="shared" si="468"/>
        <v>2</v>
      </c>
      <c r="AK1015">
        <v>0</v>
      </c>
      <c r="AL1015" s="17">
        <f t="shared" si="469"/>
        <v>0</v>
      </c>
      <c r="AM1015">
        <v>0</v>
      </c>
      <c r="AN1015" s="17">
        <f t="shared" si="470"/>
        <v>0</v>
      </c>
      <c r="AO1015">
        <v>0</v>
      </c>
      <c r="AQ1015">
        <v>0</v>
      </c>
      <c r="AR1015" s="17">
        <f t="shared" si="471"/>
        <v>0</v>
      </c>
      <c r="AS1015">
        <v>2</v>
      </c>
      <c r="AT1015" s="17">
        <f t="shared" si="472"/>
        <v>2</v>
      </c>
      <c r="BD1015" s="65">
        <f t="shared" si="473"/>
        <v>100</v>
      </c>
      <c r="BE1015" s="65">
        <f t="shared" si="474"/>
        <v>100</v>
      </c>
      <c r="BF1015" s="66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2.2641082243731252</v>
      </c>
      <c r="BG1015" s="38">
        <f t="shared" si="475"/>
        <v>0</v>
      </c>
      <c r="BH1015" s="38">
        <f t="shared" si="476"/>
        <v>0</v>
      </c>
      <c r="BI1015" s="67">
        <f>IFERROR(((AG1015*(12000/5))/((F1015*60+G1015)*(SUMIFS(팀공격력!X:X,팀공격력!A:A,B1015,팀공격력!B:B,D1015)+SUMIFS(팀수비력!X:X,팀수비력!A:A,B1015,팀수비력!B:B,D1015))))*100,"")</f>
        <v>0</v>
      </c>
      <c r="BJ1015" s="67">
        <f>IFERROR(((AI1015*(12000/5))/((F1015*60+G1015)*(SUMIFS(팀공격력!V:V,팀공격력!A:A,B1015,팀공격력!B:B,D1015)+SUMIFS(팀수비력!W:W,팀수비력!A:A,B1015,팀수비력!B:B,D1015))))*100,"")</f>
        <v>5.1085568326947639</v>
      </c>
      <c r="BK1015" s="67">
        <f>IFERROR(((AE1015*(12000/5))/((F1015*60+G1015)*(SUMIFS(팀공격력!X:X,팀공격력!A:A,B1015,팀공격력!B:B,D1015)+SUMIFS(팀수비력!X:X,팀수비력!A:A,B1015,팀수비력!B:B,D1015))))*100,"")</f>
        <v>2.606712284131639</v>
      </c>
      <c r="BL1015" s="67">
        <f>IFERROR(100*AK1015/(((((F1015*60+G1015)/(12000/5))*SUMIFS(팀공격력!P:P,팀공격력!A:A,B1015,팀공격력!B:B,D1015))-K1015)),"")</f>
        <v>0</v>
      </c>
      <c r="BM1015" s="67">
        <f>IFERROR(100*((AM1015/E1015*(2400))/((F1015*60+G1015)*SUMIFS(팀공격력!AR:AR,팀공격력!A:A,B1015,팀공격력!B:B,D1015))),"")</f>
        <v>0</v>
      </c>
      <c r="BN1015" s="67">
        <f>IFERROR((AO1015*40)/(((F1015*60+G1015)/60)*(SUMIFS(팀수비력!Q:Q,팀수비력!A:A,B1015,팀수비력!B:B,D1015)-SUMIFS(팀수비력!N:N,팀수비력!A:A,B1015,팀수비력!B:B,D1015)))*100,"")</f>
        <v>0</v>
      </c>
      <c r="BO1015" s="67">
        <f t="shared" si="477"/>
        <v>0</v>
      </c>
      <c r="BT1015" t="s">
        <v>89</v>
      </c>
      <c r="BV1015" t="s">
        <v>102</v>
      </c>
      <c r="CF1015">
        <v>0</v>
      </c>
      <c r="CG1015">
        <v>1</v>
      </c>
    </row>
    <row r="1016" spans="1:85" x14ac:dyDescent="0.4">
      <c r="A1016" s="11" t="s">
        <v>85</v>
      </c>
      <c r="B1016" t="s">
        <v>164</v>
      </c>
      <c r="C1016" t="s">
        <v>172</v>
      </c>
      <c r="D1016" s="46" t="s">
        <v>313</v>
      </c>
      <c r="E1016">
        <v>3</v>
      </c>
      <c r="F1016">
        <v>13</v>
      </c>
      <c r="G1016" s="1">
        <v>25</v>
      </c>
      <c r="H1016" s="16">
        <f t="shared" si="452"/>
        <v>2415</v>
      </c>
      <c r="I1016">
        <v>8</v>
      </c>
      <c r="J1016" s="17">
        <f t="shared" si="453"/>
        <v>2.6666666666666665</v>
      </c>
      <c r="K1016">
        <v>1</v>
      </c>
      <c r="L1016">
        <v>4</v>
      </c>
      <c r="M1016" s="17">
        <f t="shared" si="454"/>
        <v>0.33333333333333331</v>
      </c>
      <c r="N1016" s="17">
        <f t="shared" si="455"/>
        <v>1.3333333333333333</v>
      </c>
      <c r="O1016" s="18">
        <f t="shared" si="456"/>
        <v>0.25</v>
      </c>
      <c r="P1016">
        <v>0</v>
      </c>
      <c r="Q1016">
        <v>1</v>
      </c>
      <c r="R1016" s="17">
        <f t="shared" si="457"/>
        <v>0</v>
      </c>
      <c r="S1016" s="17">
        <f t="shared" si="458"/>
        <v>0.33333333333333331</v>
      </c>
      <c r="T1016" s="18">
        <f t="shared" si="459"/>
        <v>0</v>
      </c>
      <c r="U1016">
        <v>1</v>
      </c>
      <c r="V1016">
        <v>3</v>
      </c>
      <c r="W1016" s="17">
        <f t="shared" si="460"/>
        <v>0.33333333333333331</v>
      </c>
      <c r="X1016" s="17">
        <f t="shared" si="461"/>
        <v>1</v>
      </c>
      <c r="Y1016" s="18">
        <f t="shared" si="462"/>
        <v>0.33333333333333331</v>
      </c>
      <c r="Z1016">
        <v>5</v>
      </c>
      <c r="AA1016">
        <v>6</v>
      </c>
      <c r="AB1016" s="17">
        <f t="shared" si="463"/>
        <v>1.6666666666666667</v>
      </c>
      <c r="AC1016" s="17">
        <f t="shared" si="464"/>
        <v>2</v>
      </c>
      <c r="AD1016" s="18">
        <f t="shared" si="465"/>
        <v>0.83333333333333337</v>
      </c>
      <c r="AE1016">
        <v>5</v>
      </c>
      <c r="AF1016" s="17">
        <f t="shared" si="466"/>
        <v>1.6666666666666667</v>
      </c>
      <c r="AG1016">
        <v>0</v>
      </c>
      <c r="AH1016" s="17">
        <f t="shared" si="467"/>
        <v>0</v>
      </c>
      <c r="AI1016">
        <v>5</v>
      </c>
      <c r="AJ1016" s="17">
        <f t="shared" si="468"/>
        <v>1.6666666666666667</v>
      </c>
      <c r="AK1016">
        <v>2</v>
      </c>
      <c r="AL1016" s="17">
        <f t="shared" si="469"/>
        <v>0.66666666666666663</v>
      </c>
      <c r="AM1016">
        <v>1</v>
      </c>
      <c r="AN1016" s="17">
        <f t="shared" si="470"/>
        <v>0.33333333333333331</v>
      </c>
      <c r="AO1016">
        <v>0</v>
      </c>
      <c r="AQ1016">
        <v>0</v>
      </c>
      <c r="AR1016" s="17">
        <f t="shared" si="471"/>
        <v>0</v>
      </c>
      <c r="AS1016">
        <v>9</v>
      </c>
      <c r="AT1016" s="17">
        <f t="shared" si="472"/>
        <v>3</v>
      </c>
      <c r="BD1016" s="65">
        <f t="shared" si="473"/>
        <v>60.240963855421683</v>
      </c>
      <c r="BE1016" s="65">
        <f t="shared" si="474"/>
        <v>37.5</v>
      </c>
      <c r="BF1016" s="66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2.5211759159354901</v>
      </c>
      <c r="BG1016" s="38">
        <f t="shared" si="475"/>
        <v>0.75</v>
      </c>
      <c r="BH1016" s="38">
        <f t="shared" si="476"/>
        <v>1.5</v>
      </c>
      <c r="BI1016" s="67">
        <f>IFERROR(((AG1016*(12000/5))/((F1016*60+G1016)*(SUMIFS(팀공격력!X:X,팀공격력!A:A,B1016,팀공격력!B:B,D1016)+SUMIFS(팀수비력!X:X,팀수비력!A:A,B1016,팀수비력!B:B,D1016))))*100,"")</f>
        <v>0</v>
      </c>
      <c r="BJ1016" s="67">
        <f>IFERROR(((AI1016*(12000/5))/((F1016*60+G1016)*(SUMIFS(팀공격력!V:V,팀공격력!A:A,B1016,팀공격력!B:B,D1016)+SUMIFS(팀수비력!W:W,팀수비력!A:A,B1016,팀수비력!B:B,D1016))))*100,"")</f>
        <v>4.2835724994645528</v>
      </c>
      <c r="BK1016" s="67">
        <f>IFERROR(((AE1016*(12000/5))/((F1016*60+G1016)*(SUMIFS(팀공격력!X:X,팀공격력!A:A,B1016,팀공격력!B:B,D1016)+SUMIFS(팀수비력!X:X,팀수비력!A:A,B1016,팀수비력!B:B,D1016))))*100,"")</f>
        <v>2.1857525363836725</v>
      </c>
      <c r="BL1016" s="67">
        <f>IFERROR(100*AK1016/(((((F1016*60+G1016)/(12000/5))*SUMIFS(팀공격력!P:P,팀공격력!A:A,B1016,팀공격력!B:B,D1016))-K1016)),"")</f>
        <v>2.1294057627043452</v>
      </c>
      <c r="BM1016" s="67">
        <f>IFERROR(100*((AM1016/E1016*(2400))/((F1016*60+G1016)*SUMIFS(팀공격력!AR:AR,팀공격력!A:A,B1016,팀공격력!B:B,D1016))),"")</f>
        <v>1.3256758694930599</v>
      </c>
      <c r="BN1016" s="67">
        <f>IFERROR((AO1016*40)/(((F1016*60+G1016)/60)*(SUMIFS(팀수비력!Q:Q,팀수비력!A:A,B1016,팀수비력!B:B,D1016)-SUMIFS(팀수비력!N:N,팀수비력!A:A,B1016,팀수비력!B:B,D1016)))*100,"")</f>
        <v>0</v>
      </c>
      <c r="BO1016" s="67">
        <f t="shared" si="477"/>
        <v>0</v>
      </c>
      <c r="BT1016" t="s">
        <v>89</v>
      </c>
      <c r="BV1016" t="s">
        <v>93</v>
      </c>
      <c r="CF1016">
        <v>2</v>
      </c>
      <c r="CG1016">
        <v>1</v>
      </c>
    </row>
    <row r="1017" spans="1:85" x14ac:dyDescent="0.4">
      <c r="A1017" s="11" t="s">
        <v>85</v>
      </c>
      <c r="B1017" t="s">
        <v>164</v>
      </c>
      <c r="C1017" t="s">
        <v>173</v>
      </c>
      <c r="D1017" s="46" t="s">
        <v>313</v>
      </c>
      <c r="E1017">
        <v>6</v>
      </c>
      <c r="F1017">
        <v>31</v>
      </c>
      <c r="G1017" s="1">
        <v>33</v>
      </c>
      <c r="H1017" s="16">
        <f t="shared" si="452"/>
        <v>11358</v>
      </c>
      <c r="I1017">
        <v>75</v>
      </c>
      <c r="J1017" s="17">
        <f t="shared" si="453"/>
        <v>12.5</v>
      </c>
      <c r="K1017">
        <v>27</v>
      </c>
      <c r="L1017">
        <v>59</v>
      </c>
      <c r="M1017" s="17">
        <f t="shared" si="454"/>
        <v>4.5</v>
      </c>
      <c r="N1017" s="17">
        <f t="shared" si="455"/>
        <v>9.8333333333333339</v>
      </c>
      <c r="O1017" s="18">
        <f t="shared" si="456"/>
        <v>0.4576271186440678</v>
      </c>
      <c r="P1017">
        <v>13</v>
      </c>
      <c r="Q1017">
        <v>27</v>
      </c>
      <c r="R1017" s="17">
        <f t="shared" si="457"/>
        <v>2.1666666666666665</v>
      </c>
      <c r="S1017" s="17">
        <f t="shared" si="458"/>
        <v>4.5</v>
      </c>
      <c r="T1017" s="18">
        <f t="shared" si="459"/>
        <v>0.48148148148148145</v>
      </c>
      <c r="U1017">
        <v>14</v>
      </c>
      <c r="V1017">
        <v>32</v>
      </c>
      <c r="W1017" s="17">
        <f t="shared" si="460"/>
        <v>2.3333333333333335</v>
      </c>
      <c r="X1017" s="17">
        <f t="shared" si="461"/>
        <v>5.333333333333333</v>
      </c>
      <c r="Y1017" s="18">
        <f t="shared" si="462"/>
        <v>0.4375</v>
      </c>
      <c r="Z1017">
        <v>7</v>
      </c>
      <c r="AA1017">
        <v>12</v>
      </c>
      <c r="AB1017" s="17">
        <f t="shared" si="463"/>
        <v>1.1666666666666667</v>
      </c>
      <c r="AC1017" s="17">
        <f t="shared" si="464"/>
        <v>2</v>
      </c>
      <c r="AD1017" s="18">
        <f t="shared" si="465"/>
        <v>0.58333333333333337</v>
      </c>
      <c r="AE1017">
        <v>24</v>
      </c>
      <c r="AF1017" s="17">
        <f t="shared" si="466"/>
        <v>4</v>
      </c>
      <c r="AG1017">
        <v>7</v>
      </c>
      <c r="AH1017" s="17">
        <f t="shared" si="467"/>
        <v>1.1666666666666667</v>
      </c>
      <c r="AI1017">
        <v>17</v>
      </c>
      <c r="AJ1017" s="17">
        <f t="shared" si="468"/>
        <v>2.8333333333333335</v>
      </c>
      <c r="AK1017">
        <v>8</v>
      </c>
      <c r="AL1017" s="17">
        <f t="shared" si="469"/>
        <v>1.3333333333333333</v>
      </c>
      <c r="AM1017">
        <v>9</v>
      </c>
      <c r="AN1017" s="17">
        <f t="shared" si="470"/>
        <v>1.5</v>
      </c>
      <c r="AO1017">
        <v>4</v>
      </c>
      <c r="AQ1017">
        <v>11</v>
      </c>
      <c r="AR1017" s="17">
        <f t="shared" si="471"/>
        <v>1.8333333333333333</v>
      </c>
      <c r="AS1017">
        <v>15</v>
      </c>
      <c r="AT1017" s="17">
        <f t="shared" si="472"/>
        <v>2.5</v>
      </c>
      <c r="BD1017" s="65">
        <f t="shared" si="473"/>
        <v>58.338518979464837</v>
      </c>
      <c r="BE1017" s="65">
        <f t="shared" si="474"/>
        <v>57.627118644067799</v>
      </c>
      <c r="BF1017" s="66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12.155139494273214</v>
      </c>
      <c r="BG1017" s="38">
        <f t="shared" si="475"/>
        <v>0.5423728813559322</v>
      </c>
      <c r="BH1017" s="38">
        <f t="shared" si="476"/>
        <v>0.20338983050847459</v>
      </c>
      <c r="BI1017" s="67">
        <f>IFERROR(((AG1017*(12000/5))/((F1017*60+G1017)*(SUMIFS(팀공격력!X:X,팀공격력!A:A,B1017,팀공격력!B:B,D1017)+SUMIFS(팀수비력!X:X,팀수비력!A:A,B1017,팀수비력!B:B,D1017))))*100,"")</f>
        <v>1.3012906014286312</v>
      </c>
      <c r="BJ1017" s="67">
        <f>IFERROR(((AI1017*(12000/5))/((F1017*60+G1017)*(SUMIFS(팀공격력!V:V,팀공격력!A:A,B1017,팀공격력!B:B,D1017)+SUMIFS(팀수비력!W:W,팀수비력!A:A,B1017,팀수비력!B:B,D1017))))*100,"")</f>
        <v>6.1934167623003074</v>
      </c>
      <c r="BK1017" s="67">
        <f>IFERROR(((AE1017*(12000/5))/((F1017*60+G1017)*(SUMIFS(팀공격력!X:X,팀공격력!A:A,B1017,팀공격력!B:B,D1017)+SUMIFS(팀수비력!X:X,팀수비력!A:A,B1017,팀수비력!B:B,D1017))))*100,"")</f>
        <v>4.461567776326735</v>
      </c>
      <c r="BL1017" s="67">
        <f>IFERROR(100*AK1017/(((((F1017*60+G1017)/(12000/5))*SUMIFS(팀공격력!P:P,팀공격력!A:A,B1017,팀공격력!B:B,D1017))-K1017)),"")</f>
        <v>4.0771342842399649</v>
      </c>
      <c r="BM1017" s="67">
        <f>IFERROR(100*((AM1017/E1017*(2400))/((F1017*60+G1017)*SUMIFS(팀공격력!AR:AR,팀공격력!A:A,B1017,팀공격력!B:B,D1017))),"")</f>
        <v>2.5368520006543105</v>
      </c>
      <c r="BN1017" s="67">
        <f>IFERROR((AO1017*40)/(((F1017*60+G1017)/60)*(SUMIFS(팀수비력!Q:Q,팀수비력!A:A,B1017,팀수비력!B:B,D1017)-SUMIFS(팀수비력!N:N,팀수비력!A:A,B1017,팀수비력!B:B,D1017)))*100,"")</f>
        <v>1.4205365188864769</v>
      </c>
      <c r="BO1017" s="67">
        <f t="shared" si="477"/>
        <v>14.612114771519659</v>
      </c>
      <c r="BT1017" t="s">
        <v>89</v>
      </c>
      <c r="BV1017" t="s">
        <v>93</v>
      </c>
      <c r="CF1017">
        <v>3</v>
      </c>
      <c r="CG1017">
        <v>3</v>
      </c>
    </row>
    <row r="1018" spans="1:85" x14ac:dyDescent="0.4">
      <c r="A1018" s="11" t="s">
        <v>85</v>
      </c>
      <c r="B1018" t="s">
        <v>164</v>
      </c>
      <c r="C1018" t="s">
        <v>174</v>
      </c>
      <c r="D1018" s="46" t="s">
        <v>313</v>
      </c>
      <c r="E1018">
        <v>9</v>
      </c>
      <c r="F1018">
        <v>14</v>
      </c>
      <c r="G1018" s="1">
        <v>7</v>
      </c>
      <c r="H1018" s="16">
        <f t="shared" si="452"/>
        <v>7623</v>
      </c>
      <c r="I1018">
        <v>37</v>
      </c>
      <c r="J1018" s="17">
        <f t="shared" si="453"/>
        <v>4.1111111111111107</v>
      </c>
      <c r="K1018">
        <v>15</v>
      </c>
      <c r="L1018">
        <v>34</v>
      </c>
      <c r="M1018" s="17">
        <f t="shared" si="454"/>
        <v>1.6666666666666667</v>
      </c>
      <c r="N1018" s="17">
        <f t="shared" si="455"/>
        <v>3.7777777777777777</v>
      </c>
      <c r="O1018" s="18">
        <f t="shared" si="456"/>
        <v>0.44117647058823528</v>
      </c>
      <c r="P1018">
        <v>10</v>
      </c>
      <c r="Q1018">
        <v>19</v>
      </c>
      <c r="R1018" s="17">
        <f t="shared" si="457"/>
        <v>1.1111111111111112</v>
      </c>
      <c r="S1018" s="17">
        <f t="shared" si="458"/>
        <v>2.1111111111111112</v>
      </c>
      <c r="T1018" s="18">
        <f t="shared" si="459"/>
        <v>0.52631578947368418</v>
      </c>
      <c r="U1018">
        <v>5</v>
      </c>
      <c r="V1018">
        <v>15</v>
      </c>
      <c r="W1018" s="17">
        <f t="shared" si="460"/>
        <v>0.55555555555555558</v>
      </c>
      <c r="X1018" s="17">
        <f t="shared" si="461"/>
        <v>1.6666666666666667</v>
      </c>
      <c r="Y1018" s="18">
        <f t="shared" si="462"/>
        <v>0.33333333333333331</v>
      </c>
      <c r="Z1018">
        <v>2</v>
      </c>
      <c r="AA1018">
        <v>3</v>
      </c>
      <c r="AB1018" s="17">
        <f t="shared" si="463"/>
        <v>0.22222222222222221</v>
      </c>
      <c r="AC1018" s="17">
        <f t="shared" si="464"/>
        <v>0.33333333333333331</v>
      </c>
      <c r="AD1018" s="18">
        <f t="shared" si="465"/>
        <v>0.66666666666666663</v>
      </c>
      <c r="AE1018">
        <v>12</v>
      </c>
      <c r="AF1018" s="17">
        <f t="shared" si="466"/>
        <v>1.3333333333333333</v>
      </c>
      <c r="AG1018">
        <v>3</v>
      </c>
      <c r="AH1018" s="17">
        <f t="shared" si="467"/>
        <v>0.33333333333333331</v>
      </c>
      <c r="AI1018">
        <v>9</v>
      </c>
      <c r="AJ1018" s="17">
        <f t="shared" si="468"/>
        <v>1</v>
      </c>
      <c r="AK1018">
        <v>8</v>
      </c>
      <c r="AL1018" s="17">
        <f t="shared" si="469"/>
        <v>0.88888888888888884</v>
      </c>
      <c r="AM1018">
        <v>1</v>
      </c>
      <c r="AN1018" s="17">
        <f t="shared" si="470"/>
        <v>0.1111111111111111</v>
      </c>
      <c r="AO1018">
        <v>1</v>
      </c>
      <c r="AQ1018">
        <v>4</v>
      </c>
      <c r="AR1018" s="17">
        <f t="shared" si="471"/>
        <v>0.44444444444444442</v>
      </c>
      <c r="AS1018">
        <v>9</v>
      </c>
      <c r="AT1018" s="17">
        <f t="shared" si="472"/>
        <v>1</v>
      </c>
      <c r="BD1018" s="65">
        <f t="shared" si="473"/>
        <v>52.378255945639864</v>
      </c>
      <c r="BE1018" s="65">
        <f t="shared" si="474"/>
        <v>51.470588235294116</v>
      </c>
      <c r="BF1018" s="66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14.189302569796247</v>
      </c>
      <c r="BG1018" s="38">
        <f t="shared" si="475"/>
        <v>0.44117647058823528</v>
      </c>
      <c r="BH1018" s="38">
        <f t="shared" si="476"/>
        <v>8.8235294117647065E-2</v>
      </c>
      <c r="BI1018" s="67">
        <f>IFERROR(((AG1018*(12000/5))/((F1018*60+G1018)*(SUMIFS(팀공격력!X:X,팀공격력!A:A,B1018,팀공격력!B:B,D1018)+SUMIFS(팀수비력!X:X,팀수비력!A:A,B1018,팀수비력!B:B,D1018))))*100,"")</f>
        <v>1.246420867855152</v>
      </c>
      <c r="BJ1018" s="67">
        <f>IFERROR(((AI1018*(12000/5))/((F1018*60+G1018)*(SUMIFS(팀공격력!V:V,팀공격력!A:A,B1018,팀공격력!B:B,D1018)+SUMIFS(팀수비력!W:W,팀수비력!A:A,B1018,팀수비력!B:B,D1018))))*100,"")</f>
        <v>7.3280951023897725</v>
      </c>
      <c r="BK1018" s="67">
        <f>IFERROR(((AE1018*(12000/5))/((F1018*60+G1018)*(SUMIFS(팀공격력!X:X,팀공격력!A:A,B1018,팀공격력!B:B,D1018)+SUMIFS(팀수비력!X:X,팀수비력!A:A,B1018,팀수비력!B:B,D1018))))*100,"")</f>
        <v>4.9856834714206082</v>
      </c>
      <c r="BL1018" s="67">
        <f>IFERROR(100*AK1018/(((((F1018*60+G1018)/(12000/5))*SUMIFS(팀공격력!P:P,팀공격력!A:A,B1018,팀공격력!B:B,D1018))-K1018)),"")</f>
        <v>9.4255796486026089</v>
      </c>
      <c r="BM1018" s="67">
        <f>IFERROR(100*((AM1018/E1018*(2400))/((F1018*60+G1018)*SUMIFS(팀공격력!AR:AR,팀공격력!A:A,B1018,팀공격력!B:B,D1018))),"")</f>
        <v>0.41997995865482612</v>
      </c>
      <c r="BN1018" s="67">
        <f>IFERROR((AO1018*40)/(((F1018*60+G1018)/60)*(SUMIFS(팀수비력!Q:Q,팀수비력!A:A,B1018,팀수비력!B:B,D1018)-SUMIFS(팀수비력!N:N,팀수비력!A:A,B1018,팀수비력!B:B,D1018)))*100,"")</f>
        <v>0.79370591211691288</v>
      </c>
      <c r="BO1018" s="67">
        <f t="shared" si="477"/>
        <v>10.172939979654119</v>
      </c>
      <c r="BT1018" t="s">
        <v>89</v>
      </c>
      <c r="BV1018" t="s">
        <v>90</v>
      </c>
      <c r="CF1018">
        <v>4</v>
      </c>
      <c r="CG1018">
        <v>5</v>
      </c>
    </row>
    <row r="1019" spans="1:85" x14ac:dyDescent="0.4">
      <c r="A1019" s="11" t="s">
        <v>85</v>
      </c>
      <c r="B1019" t="s">
        <v>164</v>
      </c>
      <c r="C1019" t="s">
        <v>175</v>
      </c>
      <c r="D1019" s="46" t="s">
        <v>313</v>
      </c>
      <c r="E1019">
        <v>9</v>
      </c>
      <c r="F1019">
        <v>23</v>
      </c>
      <c r="G1019" s="1">
        <v>1</v>
      </c>
      <c r="H1019" s="16">
        <f t="shared" si="452"/>
        <v>12429</v>
      </c>
      <c r="I1019">
        <v>54</v>
      </c>
      <c r="J1019" s="17">
        <f t="shared" si="453"/>
        <v>6</v>
      </c>
      <c r="K1019">
        <v>21</v>
      </c>
      <c r="L1019">
        <v>62</v>
      </c>
      <c r="M1019" s="17">
        <f t="shared" si="454"/>
        <v>2.3333333333333335</v>
      </c>
      <c r="N1019" s="17">
        <f t="shared" si="455"/>
        <v>6.8888888888888893</v>
      </c>
      <c r="O1019" s="18">
        <f t="shared" si="456"/>
        <v>0.33870967741935482</v>
      </c>
      <c r="P1019">
        <v>18</v>
      </c>
      <c r="Q1019">
        <v>45</v>
      </c>
      <c r="R1019" s="17">
        <f t="shared" si="457"/>
        <v>2</v>
      </c>
      <c r="S1019" s="17">
        <f t="shared" si="458"/>
        <v>5</v>
      </c>
      <c r="T1019" s="18">
        <f t="shared" si="459"/>
        <v>0.4</v>
      </c>
      <c r="U1019">
        <v>3</v>
      </c>
      <c r="V1019">
        <v>17</v>
      </c>
      <c r="W1019" s="17">
        <f t="shared" si="460"/>
        <v>0.33333333333333331</v>
      </c>
      <c r="X1019" s="17">
        <f t="shared" si="461"/>
        <v>1.8888888888888888</v>
      </c>
      <c r="Y1019" s="18">
        <f t="shared" si="462"/>
        <v>0.17647058823529413</v>
      </c>
      <c r="Z1019">
        <v>9</v>
      </c>
      <c r="AA1019">
        <v>10</v>
      </c>
      <c r="AB1019" s="17">
        <f t="shared" si="463"/>
        <v>1</v>
      </c>
      <c r="AC1019" s="17">
        <f t="shared" si="464"/>
        <v>1.1111111111111112</v>
      </c>
      <c r="AD1019" s="18">
        <f t="shared" si="465"/>
        <v>0.9</v>
      </c>
      <c r="AE1019">
        <v>39</v>
      </c>
      <c r="AF1019" s="17">
        <f t="shared" si="466"/>
        <v>4.333333333333333</v>
      </c>
      <c r="AG1019">
        <v>7</v>
      </c>
      <c r="AH1019" s="17">
        <f t="shared" si="467"/>
        <v>0.77777777777777779</v>
      </c>
      <c r="AI1019">
        <v>32</v>
      </c>
      <c r="AJ1019" s="17">
        <f t="shared" si="468"/>
        <v>3.5555555555555554</v>
      </c>
      <c r="AK1019">
        <v>13</v>
      </c>
      <c r="AL1019" s="17">
        <f t="shared" si="469"/>
        <v>1.4444444444444444</v>
      </c>
      <c r="AM1019">
        <v>14</v>
      </c>
      <c r="AN1019" s="17">
        <f t="shared" si="470"/>
        <v>1.5555555555555556</v>
      </c>
      <c r="AO1019">
        <v>4</v>
      </c>
      <c r="AQ1019">
        <v>4</v>
      </c>
      <c r="AR1019" s="17">
        <f t="shared" si="471"/>
        <v>0.44444444444444442</v>
      </c>
      <c r="AS1019">
        <v>13</v>
      </c>
      <c r="AT1019" s="17">
        <f t="shared" si="472"/>
        <v>1.4444444444444444</v>
      </c>
      <c r="BD1019" s="65">
        <f t="shared" si="473"/>
        <v>40.662650602409634</v>
      </c>
      <c r="BE1019" s="65">
        <f t="shared" si="474"/>
        <v>36.29032258064516</v>
      </c>
      <c r="BF1019" s="66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15.581523942391152</v>
      </c>
      <c r="BG1019" s="38">
        <f t="shared" si="475"/>
        <v>0.27419354838709675</v>
      </c>
      <c r="BH1019" s="38">
        <f t="shared" si="476"/>
        <v>0.16129032258064516</v>
      </c>
      <c r="BI1019" s="67">
        <f>IFERROR(((AG1019*(12000/5))/((F1019*60+G1019)*(SUMIFS(팀공격력!X:X,팀공격력!A:A,B1019,팀공격력!B:B,D1019)+SUMIFS(팀수비력!X:X,팀수비력!A:A,B1019,팀수비력!B:B,D1019))))*100,"")</f>
        <v>1.783738673790296</v>
      </c>
      <c r="BJ1019" s="67">
        <f>IFERROR(((AI1019*(12000/5))/((F1019*60+G1019)*(SUMIFS(팀공격력!V:V,팀공격력!A:A,B1019,팀공격력!B:B,D1019)+SUMIFS(팀수비력!W:W,팀수비력!A:A,B1019,팀수비력!B:B,D1019))))*100,"")</f>
        <v>15.980423980623737</v>
      </c>
      <c r="BK1019" s="67">
        <f>IFERROR(((AE1019*(12000/5))/((F1019*60+G1019)*(SUMIFS(팀공격력!X:X,팀공격력!A:A,B1019,팀공격력!B:B,D1019)+SUMIFS(팀수비력!X:X,팀수비력!A:A,B1019,팀수비력!B:B,D1019))))*100,"")</f>
        <v>9.937972611117365</v>
      </c>
      <c r="BL1019" s="67">
        <f>IFERROR(100*AK1019/(((((F1019*60+G1019)/(12000/5))*SUMIFS(팀공격력!P:P,팀공격력!A:A,B1019,팀공격력!B:B,D1019))-K1019)),"")</f>
        <v>9.1650681651944783</v>
      </c>
      <c r="BM1019" s="67">
        <f>IFERROR(100*((AM1019/E1019*(2400))/((F1019*60+G1019)*SUMIFS(팀공격력!AR:AR,팀공격력!A:A,B1019,팀공격력!B:B,D1019))),"")</f>
        <v>3.6061711439021935</v>
      </c>
      <c r="BN1019" s="67">
        <f>IFERROR((AO1019*40)/(((F1019*60+G1019)/60)*(SUMIFS(팀수비력!Q:Q,팀수비력!A:A,B1019,팀수비력!B:B,D1019)-SUMIFS(팀수비력!N:N,팀수비력!A:A,B1019,팀수비력!B:B,D1019)))*100,"")</f>
        <v>1.9471945186474302</v>
      </c>
      <c r="BO1019" s="67">
        <f t="shared" si="477"/>
        <v>5.6818181818181817</v>
      </c>
      <c r="BT1019" t="s">
        <v>89</v>
      </c>
      <c r="BV1019" t="s">
        <v>102</v>
      </c>
      <c r="CF1019">
        <v>4</v>
      </c>
      <c r="CG1019">
        <v>5</v>
      </c>
    </row>
    <row r="1020" spans="1:85" x14ac:dyDescent="0.4">
      <c r="A1020" s="11" t="s">
        <v>85</v>
      </c>
      <c r="B1020" t="s">
        <v>164</v>
      </c>
      <c r="C1020" t="s">
        <v>176</v>
      </c>
      <c r="D1020" s="46" t="s">
        <v>313</v>
      </c>
      <c r="E1020">
        <v>6</v>
      </c>
      <c r="F1020">
        <v>28</v>
      </c>
      <c r="G1020" s="1">
        <v>43</v>
      </c>
      <c r="H1020" s="16">
        <f t="shared" si="452"/>
        <v>10338</v>
      </c>
      <c r="I1020">
        <v>51</v>
      </c>
      <c r="J1020" s="17">
        <f t="shared" si="453"/>
        <v>8.5</v>
      </c>
      <c r="K1020">
        <v>22</v>
      </c>
      <c r="L1020">
        <v>54</v>
      </c>
      <c r="M1020" s="17">
        <f t="shared" si="454"/>
        <v>3.6666666666666665</v>
      </c>
      <c r="N1020" s="17">
        <f t="shared" si="455"/>
        <v>9</v>
      </c>
      <c r="O1020" s="18">
        <f t="shared" si="456"/>
        <v>0.40740740740740738</v>
      </c>
      <c r="P1020">
        <v>20</v>
      </c>
      <c r="Q1020">
        <v>41</v>
      </c>
      <c r="R1020" s="17">
        <f t="shared" si="457"/>
        <v>3.3333333333333335</v>
      </c>
      <c r="S1020" s="17">
        <f t="shared" si="458"/>
        <v>6.833333333333333</v>
      </c>
      <c r="T1020" s="18">
        <f t="shared" si="459"/>
        <v>0.48780487804878048</v>
      </c>
      <c r="U1020">
        <v>2</v>
      </c>
      <c r="V1020">
        <v>13</v>
      </c>
      <c r="W1020" s="17">
        <f t="shared" si="460"/>
        <v>0.33333333333333331</v>
      </c>
      <c r="X1020" s="17">
        <f t="shared" si="461"/>
        <v>2.1666666666666665</v>
      </c>
      <c r="Y1020" s="18">
        <f t="shared" si="462"/>
        <v>0.15384615384615385</v>
      </c>
      <c r="Z1020">
        <v>5</v>
      </c>
      <c r="AA1020">
        <v>6</v>
      </c>
      <c r="AB1020" s="17">
        <f t="shared" si="463"/>
        <v>0.83333333333333337</v>
      </c>
      <c r="AC1020" s="17">
        <f t="shared" si="464"/>
        <v>1</v>
      </c>
      <c r="AD1020" s="18">
        <f t="shared" si="465"/>
        <v>0.83333333333333337</v>
      </c>
      <c r="AE1020">
        <v>26</v>
      </c>
      <c r="AF1020" s="17">
        <f t="shared" si="466"/>
        <v>4.333333333333333</v>
      </c>
      <c r="AG1020">
        <v>7</v>
      </c>
      <c r="AH1020" s="17">
        <f t="shared" si="467"/>
        <v>1.1666666666666667</v>
      </c>
      <c r="AI1020">
        <v>19</v>
      </c>
      <c r="AJ1020" s="17">
        <f t="shared" si="468"/>
        <v>3.1666666666666665</v>
      </c>
      <c r="AK1020">
        <v>33</v>
      </c>
      <c r="AL1020" s="17">
        <f t="shared" si="469"/>
        <v>5.5</v>
      </c>
      <c r="AM1020">
        <v>10</v>
      </c>
      <c r="AN1020" s="17">
        <f t="shared" si="470"/>
        <v>1.6666666666666667</v>
      </c>
      <c r="AO1020">
        <v>1</v>
      </c>
      <c r="AQ1020">
        <v>11</v>
      </c>
      <c r="AR1020" s="17">
        <f t="shared" si="471"/>
        <v>1.8333333333333333</v>
      </c>
      <c r="AS1020">
        <v>15</v>
      </c>
      <c r="AT1020" s="17">
        <f t="shared" si="472"/>
        <v>2.5</v>
      </c>
      <c r="BD1020" s="65">
        <f t="shared" si="473"/>
        <v>45.021186440677965</v>
      </c>
      <c r="BE1020" s="65">
        <f t="shared" si="474"/>
        <v>42.592592592592595</v>
      </c>
      <c r="BF1020" s="66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11.99911656415598</v>
      </c>
      <c r="BG1020" s="38">
        <f t="shared" si="475"/>
        <v>0.24074074074074073</v>
      </c>
      <c r="BH1020" s="38">
        <f t="shared" si="476"/>
        <v>0.1111111111111111</v>
      </c>
      <c r="BI1020" s="67">
        <f>IFERROR(((AG1020*(12000/5))/((F1020*60+G1020)*(SUMIFS(팀공격력!X:X,팀공격력!A:A,B1020,팀공격력!B:B,D1020)+SUMIFS(팀수비력!X:X,팀수비력!A:A,B1020,팀수비력!B:B,D1020))))*100,"")</f>
        <v>1.4296825934442245</v>
      </c>
      <c r="BJ1020" s="67">
        <f>IFERROR(((AI1020*(12000/5))/((F1020*60+G1020)*(SUMIFS(팀공격력!V:V,팀공격력!A:A,B1020,팀공격력!B:B,D1020)+SUMIFS(팀수비력!W:W,팀수비력!A:A,B1020,팀수비력!B:B,D1020))))*100,"")</f>
        <v>7.6050193127464123</v>
      </c>
      <c r="BK1020" s="67">
        <f>IFERROR(((AE1020*(12000/5))/((F1020*60+G1020)*(SUMIFS(팀공격력!X:X,팀공격력!A:A,B1020,팀공격력!B:B,D1020)+SUMIFS(팀수비력!X:X,팀수비력!A:A,B1020,팀수비력!B:B,D1020))))*100,"")</f>
        <v>5.3102496327928339</v>
      </c>
      <c r="BL1020" s="67">
        <f>IFERROR(100*AK1020/(((((F1020*60+G1020)/(12000/5))*SUMIFS(팀공격력!P:P,팀공격력!A:A,B1020,팀공격력!B:B,D1020))-K1020)),"")</f>
        <v>18.214894355912598</v>
      </c>
      <c r="BM1020" s="67">
        <f>IFERROR(100*((AM1020/E1020*(2400))/((F1020*60+G1020)*SUMIFS(팀공격력!AR:AR,팀공격력!A:A,B1020,팀공격력!B:B,D1020))),"")</f>
        <v>3.0968342279219772</v>
      </c>
      <c r="BN1020" s="67">
        <f>IFERROR((AO1020*40)/(((F1020*60+G1020)/60)*(SUMIFS(팀수비력!Q:Q,팀수비력!A:A,B1020,팀수비력!B:B,D1020)-SUMIFS(팀수비력!N:N,팀수비력!A:A,B1020,팀수비력!B:B,D1020)))*100,"")</f>
        <v>0.39017348088393811</v>
      </c>
      <c r="BO1020" s="67">
        <f t="shared" si="477"/>
        <v>16.262566528681255</v>
      </c>
      <c r="BT1020" t="s">
        <v>89</v>
      </c>
      <c r="BV1020" t="s">
        <v>90</v>
      </c>
      <c r="CF1020">
        <v>3</v>
      </c>
      <c r="CG1020">
        <v>3</v>
      </c>
    </row>
    <row r="1021" spans="1:85" x14ac:dyDescent="0.4">
      <c r="A1021" s="11" t="s">
        <v>85</v>
      </c>
      <c r="B1021" t="s">
        <v>164</v>
      </c>
      <c r="C1021" t="s">
        <v>177</v>
      </c>
      <c r="D1021" s="46" t="s">
        <v>313</v>
      </c>
      <c r="E1021">
        <v>4</v>
      </c>
      <c r="F1021">
        <v>1</v>
      </c>
      <c r="G1021" s="1">
        <v>35</v>
      </c>
      <c r="H1021" s="16">
        <f t="shared" si="452"/>
        <v>380</v>
      </c>
      <c r="I1021">
        <v>6</v>
      </c>
      <c r="J1021" s="17">
        <f t="shared" si="453"/>
        <v>1.5</v>
      </c>
      <c r="K1021">
        <v>2</v>
      </c>
      <c r="L1021">
        <v>2</v>
      </c>
      <c r="M1021" s="17">
        <f t="shared" si="454"/>
        <v>0.5</v>
      </c>
      <c r="N1021" s="17">
        <f t="shared" si="455"/>
        <v>0.5</v>
      </c>
      <c r="O1021" s="18">
        <f t="shared" si="456"/>
        <v>1</v>
      </c>
      <c r="P1021">
        <v>1</v>
      </c>
      <c r="Q1021">
        <v>1</v>
      </c>
      <c r="R1021" s="17">
        <f t="shared" si="457"/>
        <v>0.25</v>
      </c>
      <c r="S1021" s="17">
        <f t="shared" si="458"/>
        <v>0.25</v>
      </c>
      <c r="T1021" s="18">
        <f t="shared" si="459"/>
        <v>1</v>
      </c>
      <c r="U1021">
        <v>1</v>
      </c>
      <c r="V1021">
        <v>1</v>
      </c>
      <c r="W1021" s="17">
        <f t="shared" si="460"/>
        <v>0.25</v>
      </c>
      <c r="X1021" s="17">
        <f t="shared" si="461"/>
        <v>0.25</v>
      </c>
      <c r="Y1021" s="18">
        <f t="shared" si="462"/>
        <v>1</v>
      </c>
      <c r="Z1021">
        <v>1</v>
      </c>
      <c r="AA1021">
        <v>2</v>
      </c>
      <c r="AB1021" s="17">
        <f t="shared" si="463"/>
        <v>0.25</v>
      </c>
      <c r="AC1021" s="17">
        <f t="shared" si="464"/>
        <v>0.5</v>
      </c>
      <c r="AD1021" s="18">
        <f t="shared" si="465"/>
        <v>0.5</v>
      </c>
      <c r="AE1021">
        <v>1</v>
      </c>
      <c r="AF1021" s="17">
        <f t="shared" si="466"/>
        <v>0.25</v>
      </c>
      <c r="AG1021">
        <v>1</v>
      </c>
      <c r="AH1021" s="17">
        <f t="shared" si="467"/>
        <v>0.25</v>
      </c>
      <c r="AI1021">
        <v>0</v>
      </c>
      <c r="AJ1021" s="17">
        <f t="shared" si="468"/>
        <v>0</v>
      </c>
      <c r="AK1021">
        <v>1</v>
      </c>
      <c r="AL1021" s="17">
        <f t="shared" si="469"/>
        <v>0.25</v>
      </c>
      <c r="AM1021">
        <v>0</v>
      </c>
      <c r="AN1021" s="17">
        <f t="shared" si="470"/>
        <v>0</v>
      </c>
      <c r="AO1021">
        <v>0</v>
      </c>
      <c r="AQ1021">
        <v>2</v>
      </c>
      <c r="AR1021" s="17">
        <f t="shared" si="471"/>
        <v>0.5</v>
      </c>
      <c r="AS1021">
        <v>2</v>
      </c>
      <c r="AT1021" s="17">
        <f t="shared" si="472"/>
        <v>0.5</v>
      </c>
      <c r="BD1021" s="65">
        <f t="shared" si="473"/>
        <v>104.16666666666667</v>
      </c>
      <c r="BE1021" s="65">
        <f t="shared" si="474"/>
        <v>125</v>
      </c>
      <c r="BF1021" s="66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15.70099471807384</v>
      </c>
      <c r="BG1021" s="38">
        <f t="shared" si="475"/>
        <v>0.5</v>
      </c>
      <c r="BH1021" s="38">
        <f t="shared" si="476"/>
        <v>1</v>
      </c>
      <c r="BI1021" s="67">
        <f>IFERROR(((AG1021*(12000/5))/((F1021*60+G1021)*(SUMIFS(팀공격력!X:X,팀공격력!A:A,B1021,팀공격력!B:B,D1021)+SUMIFS(팀수비력!X:X,팀수비력!A:A,B1021,팀수비력!B:B,D1021))))*100,"")</f>
        <v>3.7042753511344348</v>
      </c>
      <c r="BJ1021" s="67">
        <f>IFERROR(((AI1021*(12000/5))/((F1021*60+G1021)*(SUMIFS(팀공격력!V:V,팀공격력!A:A,B1021,팀공격력!B:B,D1021)+SUMIFS(팀수비력!W:W,팀수비력!A:A,B1021,팀수비력!B:B,D1021))))*100,"")</f>
        <v>0</v>
      </c>
      <c r="BK1021" s="67">
        <f>IFERROR(((AE1021*(12000/5))/((F1021*60+G1021)*(SUMIFS(팀공격력!X:X,팀공격력!A:A,B1021,팀공격력!B:B,D1021)+SUMIFS(팀수비력!X:X,팀수비력!A:A,B1021,팀수비력!B:B,D1021))))*100,"")</f>
        <v>3.7042753511344348</v>
      </c>
      <c r="BL1021" s="67">
        <f>IFERROR(100*AK1021/(((((F1021*60+G1021)/(12000/5))*SUMIFS(팀공격력!P:P,팀공격력!A:A,B1021,팀공격력!B:B,D1021))-K1021)),"")</f>
        <v>10.867104369481549</v>
      </c>
      <c r="BM1021" s="67">
        <f>IFERROR(100*((AM1021/E1021*(2400))/((F1021*60+G1021)*SUMIFS(팀공격력!AR:AR,팀공격력!A:A,B1021,팀공격력!B:B,D1021))),"")</f>
        <v>0</v>
      </c>
      <c r="BN1021" s="67">
        <f>IFERROR((AO1021*40)/(((F1021*60+G1021)/60)*(SUMIFS(팀수비력!Q:Q,팀수비력!A:A,B1021,팀수비력!B:B,D1021)-SUMIFS(팀수비력!N:N,팀수비력!A:A,B1021,팀수비력!B:B,D1021)))*100,"")</f>
        <v>0</v>
      </c>
      <c r="BO1021" s="67">
        <f t="shared" si="477"/>
        <v>40.983606557377051</v>
      </c>
      <c r="BT1021" t="s">
        <v>89</v>
      </c>
      <c r="BV1021" t="s">
        <v>90</v>
      </c>
      <c r="CF1021">
        <v>2</v>
      </c>
      <c r="CG1021">
        <v>2</v>
      </c>
    </row>
    <row r="1022" spans="1:85" x14ac:dyDescent="0.4">
      <c r="A1022" s="11" t="s">
        <v>85</v>
      </c>
      <c r="B1022" t="s">
        <v>164</v>
      </c>
      <c r="C1022" t="s">
        <v>178</v>
      </c>
      <c r="D1022" s="46" t="s">
        <v>313</v>
      </c>
      <c r="E1022">
        <v>9</v>
      </c>
      <c r="F1022">
        <v>30</v>
      </c>
      <c r="G1022" s="1">
        <v>25</v>
      </c>
      <c r="H1022" s="16">
        <f t="shared" si="452"/>
        <v>16425</v>
      </c>
      <c r="I1022">
        <v>203</v>
      </c>
      <c r="J1022" s="17">
        <f t="shared" si="453"/>
        <v>22.555555555555557</v>
      </c>
      <c r="K1022">
        <v>86</v>
      </c>
      <c r="L1022">
        <v>188</v>
      </c>
      <c r="M1022" s="17">
        <f t="shared" si="454"/>
        <v>9.5555555555555554</v>
      </c>
      <c r="N1022" s="17">
        <f t="shared" si="455"/>
        <v>20.888888888888889</v>
      </c>
      <c r="O1022" s="18">
        <f t="shared" si="456"/>
        <v>0.45744680851063829</v>
      </c>
      <c r="P1022">
        <v>77</v>
      </c>
      <c r="Q1022">
        <v>155</v>
      </c>
      <c r="R1022" s="17">
        <f t="shared" si="457"/>
        <v>8.5555555555555554</v>
      </c>
      <c r="S1022" s="17">
        <f t="shared" si="458"/>
        <v>17.222222222222221</v>
      </c>
      <c r="T1022" s="18">
        <f t="shared" si="459"/>
        <v>0.49677419354838709</v>
      </c>
      <c r="U1022">
        <v>9</v>
      </c>
      <c r="V1022">
        <v>33</v>
      </c>
      <c r="W1022" s="17">
        <f t="shared" si="460"/>
        <v>1</v>
      </c>
      <c r="X1022" s="17">
        <f t="shared" si="461"/>
        <v>3.6666666666666665</v>
      </c>
      <c r="Y1022" s="18">
        <f t="shared" si="462"/>
        <v>0.27272727272727271</v>
      </c>
      <c r="Z1022">
        <v>22</v>
      </c>
      <c r="AA1022">
        <v>33</v>
      </c>
      <c r="AB1022" s="17">
        <f t="shared" si="463"/>
        <v>2.4444444444444446</v>
      </c>
      <c r="AC1022" s="17">
        <f t="shared" si="464"/>
        <v>3.6666666666666665</v>
      </c>
      <c r="AD1022" s="18">
        <f t="shared" si="465"/>
        <v>0.66666666666666663</v>
      </c>
      <c r="AE1022">
        <v>111</v>
      </c>
      <c r="AF1022" s="17">
        <f t="shared" si="466"/>
        <v>12.333333333333334</v>
      </c>
      <c r="AG1022">
        <v>35</v>
      </c>
      <c r="AH1022" s="17">
        <f t="shared" si="467"/>
        <v>3.8888888888888888</v>
      </c>
      <c r="AI1022">
        <v>76</v>
      </c>
      <c r="AJ1022" s="17">
        <f t="shared" si="468"/>
        <v>8.4444444444444446</v>
      </c>
      <c r="AK1022">
        <v>47</v>
      </c>
      <c r="AL1022" s="17">
        <f t="shared" si="469"/>
        <v>5.2222222222222223</v>
      </c>
      <c r="AM1022">
        <v>11</v>
      </c>
      <c r="AN1022" s="17">
        <f t="shared" si="470"/>
        <v>1.2222222222222223</v>
      </c>
      <c r="AO1022">
        <v>6</v>
      </c>
      <c r="AQ1022">
        <v>16</v>
      </c>
      <c r="AR1022" s="17">
        <f t="shared" si="471"/>
        <v>1.7777777777777777</v>
      </c>
      <c r="AS1022">
        <v>8</v>
      </c>
      <c r="AT1022" s="17">
        <f t="shared" si="472"/>
        <v>0.88888888888888884</v>
      </c>
      <c r="BD1022" s="65">
        <f t="shared" si="473"/>
        <v>50.118506814141803</v>
      </c>
      <c r="BE1022" s="65">
        <f t="shared" si="474"/>
        <v>48.138297872340424</v>
      </c>
      <c r="BF1022" s="66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36.598161885288803</v>
      </c>
      <c r="BG1022" s="38">
        <f t="shared" si="475"/>
        <v>0.17553191489361702</v>
      </c>
      <c r="BH1022" s="38">
        <f t="shared" si="476"/>
        <v>0.17553191489361702</v>
      </c>
      <c r="BI1022" s="67">
        <f>IFERROR(((AG1022*(12000/5))/((F1022*60+G1022)*(SUMIFS(팀공격력!X:X,팀공격력!A:A,B1022,팀공격력!B:B,D1022)+SUMIFS(팀수비력!X:X,팀수비력!A:A,B1022,팀수비력!B:B,D1022))))*100,"")</f>
        <v>6.7488852287791747</v>
      </c>
      <c r="BJ1022" s="67">
        <f>IFERROR(((AI1022*(12000/5))/((F1022*60+G1022)*(SUMIFS(팀공격력!V:V,팀공격력!A:A,B1022,팀공격력!B:B,D1022)+SUMIFS(팀수비력!W:W,팀수비력!A:A,B1022,팀수비력!B:B,D1022))))*100,"")</f>
        <v>28.719886632026455</v>
      </c>
      <c r="BK1022" s="67">
        <f>IFERROR(((AE1022*(12000/5))/((F1022*60+G1022)*(SUMIFS(팀공격력!X:X,팀공격력!A:A,B1022,팀공격력!B:B,D1022)+SUMIFS(팀수비력!X:X,팀수비력!A:A,B1022,팀수비력!B:B,D1022))))*100,"")</f>
        <v>21.403607439842524</v>
      </c>
      <c r="BL1022" s="67">
        <f>IFERROR(100*AK1022/(((((F1022*60+G1022)/(12000/5))*SUMIFS(팀공격력!P:P,팀공격력!A:A,B1022,팀공격력!B:B,D1022))-K1022)),"")</f>
        <v>36.378295573651542</v>
      </c>
      <c r="BM1022" s="67">
        <f>IFERROR(100*((AM1022/E1022*(2400))/((F1022*60+G1022)*SUMIFS(팀공격력!AR:AR,팀공격력!A:A,B1022,팀공격력!B:B,D1022))),"")</f>
        <v>2.1440839861846661</v>
      </c>
      <c r="BN1022" s="67">
        <f>IFERROR((AO1022*40)/(((F1022*60+G1022)/60)*(SUMIFS(팀수비력!Q:Q,팀수비력!A:A,B1022,팀수비력!B:B,D1022)-SUMIFS(팀수비력!N:N,팀수비력!A:A,B1022,팀수비력!B:B,D1022)))*100,"")</f>
        <v>2.2101991481524119</v>
      </c>
      <c r="BO1022" s="67">
        <f t="shared" si="477"/>
        <v>7.3219842577338454</v>
      </c>
      <c r="BT1022" t="s">
        <v>96</v>
      </c>
      <c r="BV1022" t="s">
        <v>102</v>
      </c>
      <c r="CF1022">
        <v>4</v>
      </c>
      <c r="CG1022">
        <v>5</v>
      </c>
    </row>
    <row r="1023" spans="1:85" x14ac:dyDescent="0.4">
      <c r="A1023" s="11" t="s">
        <v>85</v>
      </c>
      <c r="B1023" t="s">
        <v>164</v>
      </c>
      <c r="C1023" t="s">
        <v>179</v>
      </c>
      <c r="D1023" s="46" t="s">
        <v>313</v>
      </c>
      <c r="E1023">
        <v>3</v>
      </c>
      <c r="F1023">
        <v>7</v>
      </c>
      <c r="G1023" s="1">
        <v>8</v>
      </c>
      <c r="H1023" s="16">
        <f t="shared" si="452"/>
        <v>1284</v>
      </c>
      <c r="I1023">
        <v>9</v>
      </c>
      <c r="J1023" s="17">
        <f t="shared" si="453"/>
        <v>3</v>
      </c>
      <c r="K1023">
        <v>4</v>
      </c>
      <c r="L1023">
        <v>7</v>
      </c>
      <c r="M1023" s="17">
        <f t="shared" si="454"/>
        <v>1.3333333333333333</v>
      </c>
      <c r="N1023" s="17">
        <f t="shared" si="455"/>
        <v>2.3333333333333335</v>
      </c>
      <c r="O1023" s="18">
        <f t="shared" si="456"/>
        <v>0.5714285714285714</v>
      </c>
      <c r="P1023">
        <v>3</v>
      </c>
      <c r="Q1023">
        <v>4</v>
      </c>
      <c r="R1023" s="17">
        <f t="shared" si="457"/>
        <v>1</v>
      </c>
      <c r="S1023" s="17">
        <f t="shared" si="458"/>
        <v>1.3333333333333333</v>
      </c>
      <c r="T1023" s="18">
        <f t="shared" si="459"/>
        <v>0.75</v>
      </c>
      <c r="U1023">
        <v>1</v>
      </c>
      <c r="V1023">
        <v>3</v>
      </c>
      <c r="W1023" s="17">
        <f t="shared" si="460"/>
        <v>0.33333333333333331</v>
      </c>
      <c r="X1023" s="17">
        <f t="shared" si="461"/>
        <v>1</v>
      </c>
      <c r="Y1023" s="18">
        <f t="shared" si="462"/>
        <v>0.33333333333333331</v>
      </c>
      <c r="Z1023">
        <v>0</v>
      </c>
      <c r="AA1023">
        <v>0</v>
      </c>
      <c r="AB1023" s="17">
        <f t="shared" si="463"/>
        <v>0</v>
      </c>
      <c r="AC1023" s="17">
        <f t="shared" si="464"/>
        <v>0</v>
      </c>
      <c r="AD1023" s="18" t="e">
        <f t="shared" si="465"/>
        <v>#DIV/0!</v>
      </c>
      <c r="AE1023">
        <v>3</v>
      </c>
      <c r="AF1023" s="17">
        <f t="shared" si="466"/>
        <v>1</v>
      </c>
      <c r="AG1023">
        <v>2</v>
      </c>
      <c r="AH1023" s="17">
        <f t="shared" si="467"/>
        <v>0.66666666666666663</v>
      </c>
      <c r="AI1023">
        <v>1</v>
      </c>
      <c r="AJ1023" s="17">
        <f t="shared" si="468"/>
        <v>0.33333333333333331</v>
      </c>
      <c r="AK1023">
        <v>2</v>
      </c>
      <c r="AL1023" s="17">
        <f t="shared" si="469"/>
        <v>0.66666666666666663</v>
      </c>
      <c r="AM1023">
        <v>0</v>
      </c>
      <c r="AN1023" s="17">
        <f t="shared" si="470"/>
        <v>0</v>
      </c>
      <c r="AO1023">
        <v>0</v>
      </c>
      <c r="AQ1023">
        <v>4</v>
      </c>
      <c r="AR1023" s="17">
        <f t="shared" si="471"/>
        <v>1.3333333333333333</v>
      </c>
      <c r="AS1023">
        <v>4</v>
      </c>
      <c r="AT1023" s="17">
        <f t="shared" si="472"/>
        <v>1.3333333333333333</v>
      </c>
      <c r="BD1023" s="65">
        <f t="shared" si="473"/>
        <v>64.285714285714292</v>
      </c>
      <c r="BE1023" s="65">
        <f t="shared" si="474"/>
        <v>64.285714285714292</v>
      </c>
      <c r="BF1023" s="66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7.8556091429768466</v>
      </c>
      <c r="BG1023" s="38">
        <f t="shared" si="475"/>
        <v>0.42857142857142855</v>
      </c>
      <c r="BH1023" s="38">
        <f t="shared" si="476"/>
        <v>0</v>
      </c>
      <c r="BI1023" s="67">
        <f>IFERROR(((AG1023*(12000/5))/((F1023*60+G1023)*(SUMIFS(팀공격력!X:X,팀공격력!A:A,B1023,팀공격력!B:B,D1023)+SUMIFS(팀수비력!X:X,팀수비력!A:A,B1023,팀수비력!B:B,D1023))))*100,"")</f>
        <v>1.6444213007372488</v>
      </c>
      <c r="BJ1023" s="67">
        <f>IFERROR(((AI1023*(12000/5))/((F1023*60+G1023)*(SUMIFS(팀공격력!V:V,팀공격력!A:A,B1023,팀공격력!B:B,D1023)+SUMIFS(팀수비력!W:W,팀수비력!A:A,B1023,팀수비력!B:B,D1023))))*100,"")</f>
        <v>1.6113438607798907</v>
      </c>
      <c r="BK1023" s="67">
        <f>IFERROR(((AE1023*(12000/5))/((F1023*60+G1023)*(SUMIFS(팀공격력!X:X,팀공격력!A:A,B1023,팀공격력!B:B,D1023)+SUMIFS(팀수비력!X:X,팀수비력!A:A,B1023,팀수비력!B:B,D1023))))*100,"")</f>
        <v>2.4666319511058732</v>
      </c>
      <c r="BL1023" s="67">
        <f>IFERROR(100*AK1023/(((((F1023*60+G1023)/(12000/5))*SUMIFS(팀공격력!P:P,팀공격력!A:A,B1023,팀공격력!B:B,D1023))-K1023)),"")</f>
        <v>4.304006312542592</v>
      </c>
      <c r="BM1023" s="67">
        <f>IFERROR(100*((AM1023/E1023*(2400))/((F1023*60+G1023)*SUMIFS(팀공격력!AR:AR,팀공격력!A:A,B1023,팀공격력!B:B,D1023))),"")</f>
        <v>0</v>
      </c>
      <c r="BN1023" s="67">
        <f>IFERROR((AO1023*40)/(((F1023*60+G1023)/60)*(SUMIFS(팀수비력!Q:Q,팀수비력!A:A,B1023,팀수비력!B:B,D1023)-SUMIFS(팀수비력!N:N,팀수비력!A:A,B1023,팀수비력!B:B,D1023)))*100,"")</f>
        <v>0</v>
      </c>
      <c r="BO1023" s="67">
        <f t="shared" si="477"/>
        <v>36.363636363636367</v>
      </c>
      <c r="BT1023" t="s">
        <v>89</v>
      </c>
      <c r="BV1023" t="s">
        <v>90</v>
      </c>
      <c r="CF1023">
        <v>1</v>
      </c>
      <c r="CG1023">
        <v>2</v>
      </c>
    </row>
    <row r="1024" spans="1:85" x14ac:dyDescent="0.4">
      <c r="A1024" s="11" t="s">
        <v>85</v>
      </c>
      <c r="B1024" t="s">
        <v>164</v>
      </c>
      <c r="C1024" t="s">
        <v>180</v>
      </c>
      <c r="D1024" s="46" t="s">
        <v>313</v>
      </c>
      <c r="E1024">
        <v>3</v>
      </c>
      <c r="F1024">
        <v>14</v>
      </c>
      <c r="G1024" s="1">
        <v>11</v>
      </c>
      <c r="H1024" s="16">
        <f t="shared" si="452"/>
        <v>2553</v>
      </c>
      <c r="I1024">
        <v>18</v>
      </c>
      <c r="J1024" s="17">
        <f t="shared" si="453"/>
        <v>6</v>
      </c>
      <c r="K1024">
        <v>6</v>
      </c>
      <c r="L1024">
        <v>9</v>
      </c>
      <c r="M1024" s="17">
        <f t="shared" si="454"/>
        <v>2</v>
      </c>
      <c r="N1024" s="17">
        <f t="shared" si="455"/>
        <v>3</v>
      </c>
      <c r="O1024" s="18">
        <f t="shared" si="456"/>
        <v>0.66666666666666663</v>
      </c>
      <c r="P1024">
        <v>6</v>
      </c>
      <c r="Q1024">
        <v>9</v>
      </c>
      <c r="R1024" s="17">
        <f t="shared" si="457"/>
        <v>2</v>
      </c>
      <c r="S1024" s="17">
        <f t="shared" si="458"/>
        <v>3</v>
      </c>
      <c r="T1024" s="18">
        <f t="shared" si="459"/>
        <v>0.66666666666666663</v>
      </c>
      <c r="U1024">
        <v>0</v>
      </c>
      <c r="V1024">
        <v>0</v>
      </c>
      <c r="W1024" s="17">
        <f t="shared" si="460"/>
        <v>0</v>
      </c>
      <c r="X1024" s="17">
        <f t="shared" si="461"/>
        <v>0</v>
      </c>
      <c r="Y1024" s="18" t="e">
        <f t="shared" si="462"/>
        <v>#DIV/0!</v>
      </c>
      <c r="Z1024">
        <v>6</v>
      </c>
      <c r="AA1024">
        <v>6</v>
      </c>
      <c r="AB1024" s="17">
        <f t="shared" si="463"/>
        <v>2</v>
      </c>
      <c r="AC1024" s="17">
        <f t="shared" si="464"/>
        <v>2</v>
      </c>
      <c r="AD1024" s="18">
        <f t="shared" si="465"/>
        <v>1</v>
      </c>
      <c r="AE1024">
        <v>7</v>
      </c>
      <c r="AF1024" s="17">
        <f t="shared" si="466"/>
        <v>2.3333333333333335</v>
      </c>
      <c r="AG1024">
        <v>0</v>
      </c>
      <c r="AH1024" s="17">
        <f t="shared" si="467"/>
        <v>0</v>
      </c>
      <c r="AI1024">
        <v>7</v>
      </c>
      <c r="AJ1024" s="17">
        <f t="shared" si="468"/>
        <v>2.3333333333333335</v>
      </c>
      <c r="AK1024">
        <v>2</v>
      </c>
      <c r="AL1024" s="17">
        <f t="shared" si="469"/>
        <v>0.66666666666666663</v>
      </c>
      <c r="AM1024">
        <v>1</v>
      </c>
      <c r="AN1024" s="17">
        <f t="shared" si="470"/>
        <v>0.33333333333333331</v>
      </c>
      <c r="AO1024">
        <v>1</v>
      </c>
      <c r="AQ1024">
        <v>2</v>
      </c>
      <c r="AR1024" s="17">
        <f t="shared" si="471"/>
        <v>0.66666666666666663</v>
      </c>
      <c r="AS1024">
        <v>7</v>
      </c>
      <c r="AT1024" s="17">
        <f t="shared" si="472"/>
        <v>2.3333333333333335</v>
      </c>
      <c r="BD1024" s="65">
        <f t="shared" si="473"/>
        <v>77.319587628865975</v>
      </c>
      <c r="BE1024" s="65">
        <f t="shared" si="474"/>
        <v>66.666666666666657</v>
      </c>
      <c r="BF1024" s="66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4.8990938711641272</v>
      </c>
      <c r="BG1024" s="38">
        <f t="shared" si="475"/>
        <v>0</v>
      </c>
      <c r="BH1024" s="38">
        <f t="shared" si="476"/>
        <v>0.66666666666666663</v>
      </c>
      <c r="BI1024" s="67">
        <f>IFERROR(((AG1024*(12000/5))/((F1024*60+G1024)*(SUMIFS(팀공격력!X:X,팀공격력!A:A,B1024,팀공격력!B:B,D1024)+SUMIFS(팀수비력!X:X,팀수비력!A:A,B1024,팀수비력!B:B,D1024))))*100,"")</f>
        <v>0</v>
      </c>
      <c r="BJ1024" s="67">
        <f>IFERROR(((AI1024*(12000/5))/((F1024*60+G1024)*(SUMIFS(팀공격력!V:V,팀공격력!A:A,B1024,팀공격력!B:B,D1024)+SUMIFS(팀수비력!W:W,팀수비력!A:A,B1024,팀수비력!B:B,D1024))))*100,"")</f>
        <v>5.6728392560476522</v>
      </c>
      <c r="BK1024" s="67">
        <f>IFERROR(((AE1024*(12000/5))/((F1024*60+G1024)*(SUMIFS(팀공격력!X:X,팀공격력!A:A,B1024,팀공격력!B:B,D1024)+SUMIFS(팀수비력!X:X,팀수비력!A:A,B1024,팀수비력!B:B,D1024))))*100,"")</f>
        <v>2.8946452508864851</v>
      </c>
      <c r="BL1024" s="67">
        <f>IFERROR(100*AK1024/(((((F1024*60+G1024)/(12000/5))*SUMIFS(팀공격력!P:P,팀공격력!A:A,B1024,팀공격력!B:B,D1024))-K1024)),"")</f>
        <v>2.1198323565911328</v>
      </c>
      <c r="BM1024" s="67">
        <f>IFERROR(100*((AM1024/E1024*(2400))/((F1024*60+G1024)*SUMIFS(팀공격력!AR:AR,팀공격력!A:A,B1024,팀공격력!B:B,D1024))),"")</f>
        <v>1.2540177143853271</v>
      </c>
      <c r="BN1024" s="67">
        <f>IFERROR((AO1024*40)/(((F1024*60+G1024)/60)*(SUMIFS(팀수비력!Q:Q,팀수비력!A:A,B1024,팀수비력!B:B,D1024)-SUMIFS(팀수비력!N:N,팀수비력!A:A,B1024,팀수비력!B:B,D1024)))*100,"")</f>
        <v>0.78997521452764419</v>
      </c>
      <c r="BO1024" s="67">
        <f t="shared" si="477"/>
        <v>14.662756598240469</v>
      </c>
      <c r="BT1024" t="s">
        <v>89</v>
      </c>
      <c r="BV1024" t="s">
        <v>93</v>
      </c>
      <c r="CF1024">
        <v>2</v>
      </c>
      <c r="CG1024">
        <v>1</v>
      </c>
    </row>
    <row r="1025" spans="1:85" x14ac:dyDescent="0.4">
      <c r="A1025" s="11" t="s">
        <v>85</v>
      </c>
      <c r="B1025" t="s">
        <v>164</v>
      </c>
      <c r="C1025" t="s">
        <v>181</v>
      </c>
      <c r="D1025" s="46" t="s">
        <v>313</v>
      </c>
      <c r="E1025">
        <v>6</v>
      </c>
      <c r="F1025">
        <v>17</v>
      </c>
      <c r="G1025" s="1">
        <v>54</v>
      </c>
      <c r="H1025" s="16">
        <f t="shared" si="452"/>
        <v>6444</v>
      </c>
      <c r="I1025">
        <v>13</v>
      </c>
      <c r="J1025" s="17">
        <f t="shared" si="453"/>
        <v>2.1666666666666665</v>
      </c>
      <c r="K1025">
        <v>5</v>
      </c>
      <c r="L1025">
        <v>14</v>
      </c>
      <c r="M1025" s="17">
        <f t="shared" si="454"/>
        <v>0.83333333333333337</v>
      </c>
      <c r="N1025" s="17">
        <f t="shared" si="455"/>
        <v>2.3333333333333335</v>
      </c>
      <c r="O1025" s="18">
        <f t="shared" si="456"/>
        <v>0.35714285714285715</v>
      </c>
      <c r="P1025">
        <v>3</v>
      </c>
      <c r="Q1025">
        <v>4</v>
      </c>
      <c r="R1025" s="17">
        <f t="shared" si="457"/>
        <v>0.5</v>
      </c>
      <c r="S1025" s="17">
        <f t="shared" si="458"/>
        <v>0.66666666666666663</v>
      </c>
      <c r="T1025" s="18">
        <f t="shared" si="459"/>
        <v>0.75</v>
      </c>
      <c r="U1025">
        <v>2</v>
      </c>
      <c r="V1025">
        <v>10</v>
      </c>
      <c r="W1025" s="17">
        <f t="shared" si="460"/>
        <v>0.33333333333333331</v>
      </c>
      <c r="X1025" s="17">
        <f t="shared" si="461"/>
        <v>1.6666666666666667</v>
      </c>
      <c r="Y1025" s="18">
        <f t="shared" si="462"/>
        <v>0.2</v>
      </c>
      <c r="Z1025">
        <v>1</v>
      </c>
      <c r="AA1025">
        <v>1</v>
      </c>
      <c r="AB1025" s="17">
        <f t="shared" si="463"/>
        <v>0.16666666666666666</v>
      </c>
      <c r="AC1025" s="17">
        <f t="shared" si="464"/>
        <v>0.16666666666666666</v>
      </c>
      <c r="AD1025" s="18">
        <f t="shared" si="465"/>
        <v>1</v>
      </c>
      <c r="AE1025">
        <v>10</v>
      </c>
      <c r="AF1025" s="17">
        <f t="shared" si="466"/>
        <v>1.6666666666666667</v>
      </c>
      <c r="AG1025">
        <v>2</v>
      </c>
      <c r="AH1025" s="17">
        <f t="shared" si="467"/>
        <v>0.33333333333333331</v>
      </c>
      <c r="AI1025">
        <v>8</v>
      </c>
      <c r="AJ1025" s="17">
        <f t="shared" si="468"/>
        <v>1.3333333333333333</v>
      </c>
      <c r="AK1025">
        <v>12</v>
      </c>
      <c r="AL1025" s="17">
        <f t="shared" si="469"/>
        <v>2</v>
      </c>
      <c r="AM1025">
        <v>0</v>
      </c>
      <c r="AN1025" s="17">
        <f t="shared" si="470"/>
        <v>0</v>
      </c>
      <c r="AO1025">
        <v>0</v>
      </c>
      <c r="AQ1025">
        <v>6</v>
      </c>
      <c r="AR1025" s="17">
        <f t="shared" si="471"/>
        <v>1</v>
      </c>
      <c r="AS1025">
        <v>13</v>
      </c>
      <c r="AT1025" s="17">
        <f t="shared" si="472"/>
        <v>2.1666666666666665</v>
      </c>
      <c r="BD1025" s="65">
        <f t="shared" si="473"/>
        <v>45.013850415512465</v>
      </c>
      <c r="BE1025" s="65">
        <f t="shared" si="474"/>
        <v>42.857142857142854</v>
      </c>
      <c r="BF1025" s="66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5.8171138122301675</v>
      </c>
      <c r="BG1025" s="38">
        <f t="shared" si="475"/>
        <v>0.7142857142857143</v>
      </c>
      <c r="BH1025" s="38">
        <f t="shared" si="476"/>
        <v>7.1428571428571425E-2</v>
      </c>
      <c r="BI1025" s="67">
        <f>IFERROR(((AG1025*(12000/5))/((F1025*60+G1025)*(SUMIFS(팀공격력!X:X,팀공격력!A:A,B1025,팀공격력!B:B,D1025)+SUMIFS(팀수비력!X:X,팀수비력!A:A,B1025,팀수비력!B:B,D1025))))*100,"")</f>
        <v>0.65531873064761881</v>
      </c>
      <c r="BJ1025" s="67">
        <f>IFERROR(((AI1025*(12000/5))/((F1025*60+G1025)*(SUMIFS(팀공격력!V:V,팀공격력!A:A,B1025,팀공격력!B:B,D1025)+SUMIFS(팀수비력!W:W,팀수비력!A:A,B1025,팀수비력!B:B,D1025))))*100,"")</f>
        <v>5.1370962563411036</v>
      </c>
      <c r="BK1025" s="67">
        <f>IFERROR(((AE1025*(12000/5))/((F1025*60+G1025)*(SUMIFS(팀공격력!X:X,팀공격력!A:A,B1025,팀공격력!B:B,D1025)+SUMIFS(팀수비력!X:X,팀수비력!A:A,B1025,팀수비력!B:B,D1025))))*100,"")</f>
        <v>3.2765936532380935</v>
      </c>
      <c r="BL1025" s="67">
        <f>IFERROR(100*AK1025/(((((F1025*60+G1025)/(12000/5))*SUMIFS(팀공격력!P:P,팀공격력!A:A,B1025,팀공격력!B:B,D1025))-K1025)),"")</f>
        <v>9.8649731796041689</v>
      </c>
      <c r="BM1025" s="67">
        <f>IFERROR(100*((AM1025/E1025*(2400))/((F1025*60+G1025)*SUMIFS(팀공격력!AR:AR,팀공격력!A:A,B1025,팀공격력!B:B,D1025))),"")</f>
        <v>0</v>
      </c>
      <c r="BN1025" s="67">
        <f>IFERROR((AO1025*40)/(((F1025*60+G1025)/60)*(SUMIFS(팀수비력!Q:Q,팀수비력!A:A,B1025,팀수비력!B:B,D1025)-SUMIFS(팀수비력!N:N,팀수비력!A:A,B1025,팀수비력!B:B,D1025)))*100,"")</f>
        <v>0</v>
      </c>
      <c r="BO1025" s="67">
        <f t="shared" si="477"/>
        <v>29.354207436399221</v>
      </c>
      <c r="BT1025" t="s">
        <v>89</v>
      </c>
      <c r="BV1025" t="s">
        <v>90</v>
      </c>
      <c r="CF1025">
        <v>3</v>
      </c>
      <c r="CG1025">
        <v>3</v>
      </c>
    </row>
    <row r="1026" spans="1:85" x14ac:dyDescent="0.4">
      <c r="A1026" s="11" t="s">
        <v>85</v>
      </c>
      <c r="B1026" t="s">
        <v>164</v>
      </c>
      <c r="C1026" t="s">
        <v>182</v>
      </c>
      <c r="D1026" s="46" t="s">
        <v>313</v>
      </c>
      <c r="E1026">
        <v>9</v>
      </c>
      <c r="F1026">
        <v>21</v>
      </c>
      <c r="G1026" s="1">
        <v>16</v>
      </c>
      <c r="H1026" s="16">
        <f t="shared" ref="H1026:H1089" si="478">(F1026*60+G1026)*E1026</f>
        <v>11484</v>
      </c>
      <c r="I1026">
        <v>60</v>
      </c>
      <c r="J1026" s="17">
        <f t="shared" ref="J1026:J1089" si="479">I1026/$E1026</f>
        <v>6.666666666666667</v>
      </c>
      <c r="K1026">
        <v>20</v>
      </c>
      <c r="L1026">
        <v>53</v>
      </c>
      <c r="M1026" s="17">
        <f t="shared" ref="M1026:M1089" si="480">K1026/$E1026</f>
        <v>2.2222222222222223</v>
      </c>
      <c r="N1026" s="17">
        <f t="shared" ref="N1026:N1089" si="481">L1026/$E1026</f>
        <v>5.8888888888888893</v>
      </c>
      <c r="O1026" s="18">
        <f t="shared" ref="O1026:O1089" si="482">K1026/L1026</f>
        <v>0.37735849056603776</v>
      </c>
      <c r="P1026">
        <v>10</v>
      </c>
      <c r="Q1026">
        <v>23</v>
      </c>
      <c r="R1026" s="17">
        <f t="shared" ref="R1026:R1089" si="483">P1026/$E1026</f>
        <v>1.1111111111111112</v>
      </c>
      <c r="S1026" s="17">
        <f t="shared" ref="S1026:S1089" si="484">Q1026/$E1026</f>
        <v>2.5555555555555554</v>
      </c>
      <c r="T1026" s="18">
        <f t="shared" ref="T1026:T1089" si="485">P1026/Q1026</f>
        <v>0.43478260869565216</v>
      </c>
      <c r="U1026">
        <v>10</v>
      </c>
      <c r="V1026">
        <v>30</v>
      </c>
      <c r="W1026" s="17">
        <f t="shared" ref="W1026:W1089" si="486">U1026/$E1026</f>
        <v>1.1111111111111112</v>
      </c>
      <c r="X1026" s="17">
        <f t="shared" ref="X1026:X1089" si="487">V1026/$E1026</f>
        <v>3.3333333333333335</v>
      </c>
      <c r="Y1026" s="18">
        <f t="shared" ref="Y1026:Y1089" si="488">U1026/V1026</f>
        <v>0.33333333333333331</v>
      </c>
      <c r="Z1026">
        <v>10</v>
      </c>
      <c r="AA1026">
        <v>12</v>
      </c>
      <c r="AB1026" s="17">
        <f t="shared" ref="AB1026:AB1089" si="489">Z1026/$E1026</f>
        <v>1.1111111111111112</v>
      </c>
      <c r="AC1026" s="17">
        <f t="shared" ref="AC1026:AC1089" si="490">AA1026/$E1026</f>
        <v>1.3333333333333333</v>
      </c>
      <c r="AD1026" s="18">
        <f t="shared" ref="AD1026:AD1089" si="491">Z1026/AA1026</f>
        <v>0.83333333333333337</v>
      </c>
      <c r="AE1026">
        <v>29</v>
      </c>
      <c r="AF1026" s="17">
        <f t="shared" ref="AF1026:AF1089" si="492">AE1026/$E1026</f>
        <v>3.2222222222222223</v>
      </c>
      <c r="AG1026">
        <v>12</v>
      </c>
      <c r="AH1026" s="17">
        <f t="shared" ref="AH1026:AH1089" si="493">AG1026/$E1026</f>
        <v>1.3333333333333333</v>
      </c>
      <c r="AI1026">
        <v>17</v>
      </c>
      <c r="AJ1026" s="17">
        <f t="shared" ref="AJ1026:AJ1089" si="494">AI1026/$E1026</f>
        <v>1.8888888888888888</v>
      </c>
      <c r="AK1026">
        <v>6</v>
      </c>
      <c r="AL1026" s="17">
        <f t="shared" ref="AL1026:AL1089" si="495">AK1026/$E1026</f>
        <v>0.66666666666666663</v>
      </c>
      <c r="AM1026">
        <v>5</v>
      </c>
      <c r="AN1026" s="17">
        <f t="shared" ref="AN1026:AN1089" si="496">AM1026/$E1026</f>
        <v>0.55555555555555558</v>
      </c>
      <c r="AO1026">
        <v>2</v>
      </c>
      <c r="AQ1026">
        <v>9</v>
      </c>
      <c r="AR1026" s="17">
        <f t="shared" ref="AR1026:AR1089" si="497">AQ1026/$E1026</f>
        <v>1</v>
      </c>
      <c r="AS1026">
        <v>19</v>
      </c>
      <c r="AT1026" s="17">
        <f t="shared" ref="AT1026:AT1089" si="498">AS1026/$E1026</f>
        <v>2.1111111111111112</v>
      </c>
      <c r="BD1026" s="65">
        <f t="shared" ref="BD1026:BD1089" si="499">IFERROR((I1026/(2*(L1026+(0.44*AA1026))))*100,"")</f>
        <v>51.475634866163347</v>
      </c>
      <c r="BE1026" s="65">
        <f t="shared" ref="BE1026:BE1089" si="500">IFERROR(((P1026+(1.5*U1026))/L1026)*100,"")</f>
        <v>47.169811320754718</v>
      </c>
      <c r="BF1026" s="66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16.116333997128699</v>
      </c>
      <c r="BG1026" s="38">
        <f t="shared" ref="BG1026:BG1089" si="501">IFERROR(V1026/L1026,"")</f>
        <v>0.56603773584905659</v>
      </c>
      <c r="BH1026" s="38">
        <f t="shared" ref="BH1026:BH1089" si="502">IFERROR(AA1026/L1026,"")</f>
        <v>0.22641509433962265</v>
      </c>
      <c r="BI1026" s="67">
        <f>IFERROR(((AG1026*(12000/5))/((F1026*60+G1026)*(SUMIFS(팀공격력!X:X,팀공격력!A:A,B1026,팀공격력!B:B,D1026)+SUMIFS(팀수비력!X:X,팀수비력!A:A,B1026,팀수비력!B:B,D1026))))*100,"")</f>
        <v>3.3094623043050588</v>
      </c>
      <c r="BJ1026" s="67">
        <f>IFERROR(((AI1026*(12000/5))/((F1026*60+G1026)*(SUMIFS(팀공격력!V:V,팀공격력!A:A,B1026,팀공격력!B:B,D1026)+SUMIFS(팀수비력!W:W,팀수비력!A:A,B1026,팀수비력!B:B,D1026))))*100,"")</f>
        <v>9.1881958707166795</v>
      </c>
      <c r="BK1026" s="67">
        <f>IFERROR(((AE1026*(12000/5))/((F1026*60+G1026)*(SUMIFS(팀공격력!X:X,팀공격력!A:A,B1026,팀공격력!B:B,D1026)+SUMIFS(팀수비력!X:X,팀수비력!A:A,B1026,팀수비력!B:B,D1026))))*100,"")</f>
        <v>7.9978672354038922</v>
      </c>
      <c r="BL1026" s="67">
        <f>IFERROR(100*AK1026/(((((F1026*60+G1026)/(12000/5))*SUMIFS(팀공격력!P:P,팀공격력!A:A,B1026,팀공격력!B:B,D1026))-K1026)),"")</f>
        <v>4.599052084264855</v>
      </c>
      <c r="BM1026" s="67">
        <f>IFERROR(100*((AM1026/E1026*(2400))/((F1026*60+G1026)*SUMIFS(팀공격력!AR:AR,팀공격력!A:A,B1026,팀공격력!B:B,D1026))),"")</f>
        <v>1.3938990007078285</v>
      </c>
      <c r="BN1026" s="67">
        <f>IFERROR((AO1026*40)/(((F1026*60+G1026)/60)*(SUMIFS(팀수비력!Q:Q,팀수비력!A:A,B1026,팀수비력!B:B,D1026)-SUMIFS(팀수비력!N:N,팀수비력!A:A,B1026,팀수비력!B:B,D1026)))*100,"")</f>
        <v>1.0537130212586601</v>
      </c>
      <c r="BO1026" s="67">
        <f t="shared" ref="BO1026:BO1089" si="503">IFERROR(100*AQ1026/(L1026+0.44*AA1026+AQ1026),"")</f>
        <v>13.376932223543401</v>
      </c>
      <c r="BT1026" t="s">
        <v>89</v>
      </c>
      <c r="BV1026" t="s">
        <v>93</v>
      </c>
      <c r="CF1026">
        <v>4</v>
      </c>
      <c r="CG1026">
        <v>5</v>
      </c>
    </row>
    <row r="1027" spans="1:85" x14ac:dyDescent="0.4">
      <c r="A1027" s="11" t="s">
        <v>85</v>
      </c>
      <c r="B1027" t="s">
        <v>183</v>
      </c>
      <c r="C1027" t="s">
        <v>187</v>
      </c>
      <c r="D1027" s="46" t="s">
        <v>313</v>
      </c>
      <c r="E1027">
        <v>4</v>
      </c>
      <c r="F1027">
        <v>7</v>
      </c>
      <c r="G1027" s="1">
        <v>19</v>
      </c>
      <c r="H1027" s="16">
        <f t="shared" si="478"/>
        <v>1756</v>
      </c>
      <c r="I1027">
        <v>0</v>
      </c>
      <c r="J1027" s="17">
        <f t="shared" si="479"/>
        <v>0</v>
      </c>
      <c r="K1027">
        <v>0</v>
      </c>
      <c r="L1027">
        <v>1</v>
      </c>
      <c r="M1027" s="17">
        <f t="shared" si="480"/>
        <v>0</v>
      </c>
      <c r="N1027" s="17">
        <f t="shared" si="481"/>
        <v>0.25</v>
      </c>
      <c r="O1027" s="18">
        <f t="shared" si="482"/>
        <v>0</v>
      </c>
      <c r="P1027">
        <v>0</v>
      </c>
      <c r="Q1027">
        <v>1</v>
      </c>
      <c r="R1027" s="17">
        <f t="shared" si="483"/>
        <v>0</v>
      </c>
      <c r="S1027" s="17">
        <f t="shared" si="484"/>
        <v>0.25</v>
      </c>
      <c r="T1027" s="18">
        <f t="shared" si="485"/>
        <v>0</v>
      </c>
      <c r="U1027">
        <v>0</v>
      </c>
      <c r="V1027">
        <v>0</v>
      </c>
      <c r="W1027" s="17">
        <f t="shared" si="486"/>
        <v>0</v>
      </c>
      <c r="X1027" s="17">
        <f t="shared" si="487"/>
        <v>0</v>
      </c>
      <c r="Y1027" s="18" t="e">
        <f t="shared" si="488"/>
        <v>#DIV/0!</v>
      </c>
      <c r="Z1027">
        <v>0</v>
      </c>
      <c r="AA1027">
        <v>0</v>
      </c>
      <c r="AB1027" s="17">
        <f t="shared" si="489"/>
        <v>0</v>
      </c>
      <c r="AC1027" s="17">
        <f t="shared" si="490"/>
        <v>0</v>
      </c>
      <c r="AD1027" s="18" t="e">
        <f t="shared" si="491"/>
        <v>#DIV/0!</v>
      </c>
      <c r="AE1027">
        <v>6</v>
      </c>
      <c r="AF1027" s="17">
        <f t="shared" si="492"/>
        <v>1.5</v>
      </c>
      <c r="AG1027">
        <v>3</v>
      </c>
      <c r="AH1027" s="17">
        <f t="shared" si="493"/>
        <v>0.75</v>
      </c>
      <c r="AI1027">
        <v>3</v>
      </c>
      <c r="AJ1027" s="17">
        <f t="shared" si="494"/>
        <v>0.75</v>
      </c>
      <c r="AK1027">
        <v>2</v>
      </c>
      <c r="AL1027" s="17">
        <f t="shared" si="495"/>
        <v>0.5</v>
      </c>
      <c r="AM1027">
        <v>2</v>
      </c>
      <c r="AN1027" s="17">
        <f t="shared" si="496"/>
        <v>0.5</v>
      </c>
      <c r="AO1027">
        <v>0</v>
      </c>
      <c r="AQ1027">
        <v>1</v>
      </c>
      <c r="AR1027" s="17">
        <f t="shared" si="497"/>
        <v>0.25</v>
      </c>
      <c r="AS1027">
        <v>6</v>
      </c>
      <c r="AT1027" s="17">
        <f t="shared" si="498"/>
        <v>1.5</v>
      </c>
      <c r="BD1027" s="65">
        <f t="shared" si="499"/>
        <v>0</v>
      </c>
      <c r="BE1027" s="65">
        <f t="shared" si="500"/>
        <v>0</v>
      </c>
      <c r="BF1027" s="66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1.3288698073028042</v>
      </c>
      <c r="BG1027" s="38">
        <f t="shared" si="501"/>
        <v>0</v>
      </c>
      <c r="BH1027" s="38">
        <f t="shared" si="502"/>
        <v>0</v>
      </c>
      <c r="BI1027" s="67">
        <f>IFERROR(((AG1027*(12000/5))/((F1027*60+G1027)*(SUMIFS(팀공격력!X:X,팀공격력!A:A,B1027,팀공격력!B:B,D1027)+SUMIFS(팀수비력!X:X,팀수비력!A:A,B1027,팀수비력!B:B,D1027))))*100,"")</f>
        <v>2.4812271046491996</v>
      </c>
      <c r="BJ1027" s="67">
        <f>IFERROR(((AI1027*(12000/5))/((F1027*60+G1027)*(SUMIFS(팀공격력!V:V,팀공격력!A:A,B1027,팀공격력!B:B,D1027)+SUMIFS(팀수비력!W:W,팀수비력!A:A,B1027,팀수비력!B:B,D1027))))*100,"")</f>
        <v>4.8096513670766008</v>
      </c>
      <c r="BK1027" s="67">
        <f>IFERROR(((AE1027*(12000/5))/((F1027*60+G1027)*(SUMIFS(팀공격력!X:X,팀공격력!A:A,B1027,팀공격력!B:B,D1027)+SUMIFS(팀수비력!X:X,팀수비력!A:A,B1027,팀수비력!B:B,D1027))))*100,"")</f>
        <v>4.9624542092983992</v>
      </c>
      <c r="BL1027" s="67">
        <f>IFERROR(100*AK1027/(((((F1027*60+G1027)/(12000/5))*SUMIFS(팀공격력!P:P,팀공격력!A:A,B1027,팀공격력!B:B,D1027))-K1027)),"")</f>
        <v>3.6814615402314717</v>
      </c>
      <c r="BM1027" s="67">
        <f>IFERROR(100*((AM1027/E1027*(2400))/((F1027*60+G1027)*SUMIFS(팀공격력!AR:AR,팀공격력!A:A,B1027,팀공격력!B:B,D1027))),"")</f>
        <v>3.7164785280086612</v>
      </c>
      <c r="BN1027" s="67">
        <f>IFERROR((AO1027*40)/(((F1027*60+G1027)/60)*(SUMIFS(팀수비력!Q:Q,팀수비력!A:A,B1027,팀수비력!B:B,D1027)-SUMIFS(팀수비력!N:N,팀수비력!A:A,B1027,팀수비력!B:B,D1027)))*100,"")</f>
        <v>0</v>
      </c>
      <c r="BO1027" s="67">
        <f t="shared" si="503"/>
        <v>50</v>
      </c>
      <c r="BT1027" t="s">
        <v>89</v>
      </c>
      <c r="BV1027" t="s">
        <v>102</v>
      </c>
      <c r="CF1027">
        <v>1</v>
      </c>
      <c r="CG1027">
        <v>3</v>
      </c>
    </row>
    <row r="1028" spans="1:85" x14ac:dyDescent="0.4">
      <c r="A1028" s="11" t="s">
        <v>85</v>
      </c>
      <c r="B1028" t="s">
        <v>183</v>
      </c>
      <c r="C1028" t="s">
        <v>191</v>
      </c>
      <c r="D1028" s="46" t="s">
        <v>313</v>
      </c>
      <c r="E1028">
        <v>9</v>
      </c>
      <c r="F1028">
        <v>25</v>
      </c>
      <c r="G1028" s="1">
        <v>10</v>
      </c>
      <c r="H1028" s="16">
        <f t="shared" si="478"/>
        <v>13590</v>
      </c>
      <c r="I1028">
        <v>48</v>
      </c>
      <c r="J1028" s="17">
        <f t="shared" si="479"/>
        <v>5.333333333333333</v>
      </c>
      <c r="K1028">
        <v>19</v>
      </c>
      <c r="L1028">
        <v>58</v>
      </c>
      <c r="M1028" s="17">
        <f t="shared" si="480"/>
        <v>2.1111111111111112</v>
      </c>
      <c r="N1028" s="17">
        <f t="shared" si="481"/>
        <v>6.4444444444444446</v>
      </c>
      <c r="O1028" s="18">
        <f t="shared" si="482"/>
        <v>0.32758620689655171</v>
      </c>
      <c r="P1028">
        <v>11</v>
      </c>
      <c r="Q1028">
        <v>30</v>
      </c>
      <c r="R1028" s="17">
        <f t="shared" si="483"/>
        <v>1.2222222222222223</v>
      </c>
      <c r="S1028" s="17">
        <f t="shared" si="484"/>
        <v>3.3333333333333335</v>
      </c>
      <c r="T1028" s="18">
        <f t="shared" si="485"/>
        <v>0.36666666666666664</v>
      </c>
      <c r="U1028">
        <v>8</v>
      </c>
      <c r="V1028">
        <v>28</v>
      </c>
      <c r="W1028" s="17">
        <f t="shared" si="486"/>
        <v>0.88888888888888884</v>
      </c>
      <c r="X1028" s="17">
        <f t="shared" si="487"/>
        <v>3.1111111111111112</v>
      </c>
      <c r="Y1028" s="18">
        <f t="shared" si="488"/>
        <v>0.2857142857142857</v>
      </c>
      <c r="Z1028">
        <v>2</v>
      </c>
      <c r="AA1028">
        <v>4</v>
      </c>
      <c r="AB1028" s="17">
        <f t="shared" si="489"/>
        <v>0.22222222222222221</v>
      </c>
      <c r="AC1028" s="17">
        <f t="shared" si="490"/>
        <v>0.44444444444444442</v>
      </c>
      <c r="AD1028" s="18">
        <f t="shared" si="491"/>
        <v>0.5</v>
      </c>
      <c r="AE1028">
        <v>15</v>
      </c>
      <c r="AF1028" s="17">
        <f t="shared" si="492"/>
        <v>1.6666666666666667</v>
      </c>
      <c r="AG1028">
        <v>3</v>
      </c>
      <c r="AH1028" s="17">
        <f t="shared" si="493"/>
        <v>0.33333333333333331</v>
      </c>
      <c r="AI1028">
        <v>12</v>
      </c>
      <c r="AJ1028" s="17">
        <f t="shared" si="494"/>
        <v>1.3333333333333333</v>
      </c>
      <c r="AK1028">
        <v>9</v>
      </c>
      <c r="AL1028" s="17">
        <f t="shared" si="495"/>
        <v>1</v>
      </c>
      <c r="AM1028">
        <v>7</v>
      </c>
      <c r="AN1028" s="17">
        <f t="shared" si="496"/>
        <v>0.77777777777777779</v>
      </c>
      <c r="AO1028">
        <v>3</v>
      </c>
      <c r="AQ1028">
        <v>5</v>
      </c>
      <c r="AR1028" s="17">
        <f t="shared" si="497"/>
        <v>0.55555555555555558</v>
      </c>
      <c r="AS1028">
        <v>14</v>
      </c>
      <c r="AT1028" s="17">
        <f t="shared" si="498"/>
        <v>1.5555555555555556</v>
      </c>
      <c r="BD1028" s="65">
        <f t="shared" si="499"/>
        <v>40.160642570281126</v>
      </c>
      <c r="BE1028" s="65">
        <f t="shared" si="500"/>
        <v>39.655172413793103</v>
      </c>
      <c r="BF1028" s="66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12.509698751154993</v>
      </c>
      <c r="BG1028" s="38">
        <f t="shared" si="501"/>
        <v>0.48275862068965519</v>
      </c>
      <c r="BH1028" s="38">
        <f t="shared" si="502"/>
        <v>6.8965517241379309E-2</v>
      </c>
      <c r="BI1028" s="67">
        <f>IFERROR(((AG1028*(12000/5))/((F1028*60+G1028)*(SUMIFS(팀공격력!X:X,팀공격력!A:A,B1028,팀공격력!B:B,D1028)+SUMIFS(팀수비력!X:X,팀수비력!A:A,B1028,팀수비력!B:B,D1028))))*100,"")</f>
        <v>0.72136337678211826</v>
      </c>
      <c r="BJ1028" s="67">
        <f>IFERROR(((AI1028*(12000/5))/((F1028*60+G1028)*(SUMIFS(팀공격력!V:V,팀공격력!A:A,B1028,팀공격력!B:B,D1028)+SUMIFS(팀수비력!W:W,팀수비력!A:A,B1028,팀수비력!B:B,D1028))))*100,"")</f>
        <v>5.5932104639645761</v>
      </c>
      <c r="BK1028" s="67">
        <f>IFERROR(((AE1028*(12000/5))/((F1028*60+G1028)*(SUMIFS(팀공격력!X:X,팀공격력!A:A,B1028,팀공격력!B:B,D1028)+SUMIFS(팀수비력!X:X,팀수비력!A:A,B1028,팀수비력!B:B,D1028))))*100,"")</f>
        <v>3.6068168839105907</v>
      </c>
      <c r="BL1028" s="67">
        <f>IFERROR(100*AK1028/(((((F1028*60+G1028)/(12000/5))*SUMIFS(팀공격력!P:P,팀공격력!A:A,B1028,팀공격력!B:B,D1028))-K1028)),"")</f>
        <v>5.3615310149676079</v>
      </c>
      <c r="BM1028" s="67">
        <f>IFERROR(100*((AM1028/E1028*(2400))/((F1028*60+G1028)*SUMIFS(팀공격력!AR:AR,팀공격력!A:A,B1028,팀공격력!B:B,D1028))),"")</f>
        <v>1.6807562202458597</v>
      </c>
      <c r="BN1028" s="67">
        <f>IFERROR((AO1028*40)/(((F1028*60+G1028)/60)*(SUMIFS(팀수비력!Q:Q,팀수비력!A:A,B1028,팀수비력!B:B,D1028)-SUMIFS(팀수비력!N:N,팀수비력!A:A,B1028,팀수비력!B:B,D1028)))*100,"")</f>
        <v>1.177336276674025</v>
      </c>
      <c r="BO1028" s="67">
        <f t="shared" si="503"/>
        <v>7.7208153180975918</v>
      </c>
      <c r="BT1028" t="s">
        <v>89</v>
      </c>
      <c r="BV1028" t="s">
        <v>93</v>
      </c>
      <c r="CF1028">
        <v>4</v>
      </c>
      <c r="CG1028">
        <v>5</v>
      </c>
    </row>
    <row r="1029" spans="1:85" x14ac:dyDescent="0.4">
      <c r="A1029" s="11" t="s">
        <v>85</v>
      </c>
      <c r="B1029" t="s">
        <v>183</v>
      </c>
      <c r="C1029" t="s">
        <v>192</v>
      </c>
      <c r="D1029" s="46" t="s">
        <v>313</v>
      </c>
      <c r="E1029">
        <v>3</v>
      </c>
      <c r="F1029">
        <v>2</v>
      </c>
      <c r="G1029" s="1">
        <v>53</v>
      </c>
      <c r="H1029" s="16">
        <f t="shared" si="478"/>
        <v>519</v>
      </c>
      <c r="I1029">
        <v>2</v>
      </c>
      <c r="J1029" s="17">
        <f t="shared" si="479"/>
        <v>0.66666666666666663</v>
      </c>
      <c r="K1029">
        <v>0</v>
      </c>
      <c r="L1029">
        <v>3</v>
      </c>
      <c r="M1029" s="17">
        <f t="shared" si="480"/>
        <v>0</v>
      </c>
      <c r="N1029" s="17">
        <f t="shared" si="481"/>
        <v>1</v>
      </c>
      <c r="O1029" s="18">
        <f t="shared" si="482"/>
        <v>0</v>
      </c>
      <c r="P1029">
        <v>0</v>
      </c>
      <c r="Q1029">
        <v>1</v>
      </c>
      <c r="R1029" s="17">
        <f t="shared" si="483"/>
        <v>0</v>
      </c>
      <c r="S1029" s="17">
        <f t="shared" si="484"/>
        <v>0.33333333333333331</v>
      </c>
      <c r="T1029" s="18">
        <f t="shared" si="485"/>
        <v>0</v>
      </c>
      <c r="U1029">
        <v>0</v>
      </c>
      <c r="V1029">
        <v>2</v>
      </c>
      <c r="W1029" s="17">
        <f t="shared" si="486"/>
        <v>0</v>
      </c>
      <c r="X1029" s="17">
        <f t="shared" si="487"/>
        <v>0.66666666666666663</v>
      </c>
      <c r="Y1029" s="18">
        <f t="shared" si="488"/>
        <v>0</v>
      </c>
      <c r="Z1029">
        <v>2</v>
      </c>
      <c r="AA1029">
        <v>2</v>
      </c>
      <c r="AB1029" s="17">
        <f t="shared" si="489"/>
        <v>0.66666666666666663</v>
      </c>
      <c r="AC1029" s="17">
        <f t="shared" si="490"/>
        <v>0.66666666666666663</v>
      </c>
      <c r="AD1029" s="18">
        <f t="shared" si="491"/>
        <v>1</v>
      </c>
      <c r="AE1029">
        <v>0</v>
      </c>
      <c r="AF1029" s="17">
        <f t="shared" si="492"/>
        <v>0</v>
      </c>
      <c r="AG1029">
        <v>0</v>
      </c>
      <c r="AH1029" s="17">
        <f t="shared" si="493"/>
        <v>0</v>
      </c>
      <c r="AI1029">
        <v>0</v>
      </c>
      <c r="AJ1029" s="17">
        <f t="shared" si="494"/>
        <v>0</v>
      </c>
      <c r="AK1029">
        <v>0</v>
      </c>
      <c r="AL1029" s="17">
        <f t="shared" si="495"/>
        <v>0</v>
      </c>
      <c r="AM1029">
        <v>0</v>
      </c>
      <c r="AN1029" s="17">
        <f t="shared" si="496"/>
        <v>0</v>
      </c>
      <c r="AO1029">
        <v>0</v>
      </c>
      <c r="AQ1029">
        <v>2</v>
      </c>
      <c r="AR1029" s="17">
        <f t="shared" si="497"/>
        <v>0.66666666666666663</v>
      </c>
      <c r="AS1029">
        <v>0</v>
      </c>
      <c r="AT1029" s="17">
        <f t="shared" si="498"/>
        <v>0</v>
      </c>
      <c r="BD1029" s="65">
        <f t="shared" si="499"/>
        <v>25.773195876288664</v>
      </c>
      <c r="BE1029" s="65">
        <f t="shared" si="500"/>
        <v>0</v>
      </c>
      <c r="BF1029" s="66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9.9139832687481917</v>
      </c>
      <c r="BG1029" s="38">
        <f t="shared" si="501"/>
        <v>0.66666666666666663</v>
      </c>
      <c r="BH1029" s="38">
        <f t="shared" si="502"/>
        <v>0.66666666666666663</v>
      </c>
      <c r="BI1029" s="67">
        <f>IFERROR(((AG1029*(12000/5))/((F1029*60+G1029)*(SUMIFS(팀공격력!X:X,팀공격력!A:A,B1029,팀공격력!B:B,D1029)+SUMIFS(팀수비력!X:X,팀수비력!A:A,B1029,팀수비력!B:B,D1029))))*100,"")</f>
        <v>0</v>
      </c>
      <c r="BJ1029" s="67">
        <f>IFERROR(((AI1029*(12000/5))/((F1029*60+G1029)*(SUMIFS(팀공격력!V:V,팀공격력!A:A,B1029,팀공격력!B:B,D1029)+SUMIFS(팀수비력!W:W,팀수비력!A:A,B1029,팀수비력!B:B,D1029))))*100,"")</f>
        <v>0</v>
      </c>
      <c r="BK1029" s="67">
        <f>IFERROR(((AE1029*(12000/5))/((F1029*60+G1029)*(SUMIFS(팀공격력!X:X,팀공격력!A:A,B1029,팀공격력!B:B,D1029)+SUMIFS(팀수비력!X:X,팀수비력!A:A,B1029,팀수비력!B:B,D1029))))*100,"")</f>
        <v>0</v>
      </c>
      <c r="BL1029" s="67">
        <f>IFERROR(100*AK1029/(((((F1029*60+G1029)/(12000/5))*SUMIFS(팀공격력!P:P,팀공격력!A:A,B1029,팀공격력!B:B,D1029))-K1029)),"")</f>
        <v>0</v>
      </c>
      <c r="BM1029" s="67">
        <f>IFERROR(100*((AM1029/E1029*(2400))/((F1029*60+G1029)*SUMIFS(팀공격력!AR:AR,팀공격력!A:A,B1029,팀공격력!B:B,D1029))),"")</f>
        <v>0</v>
      </c>
      <c r="BN1029" s="67">
        <f>IFERROR((AO1029*40)/(((F1029*60+G1029)/60)*(SUMIFS(팀수비력!Q:Q,팀수비력!A:A,B1029,팀수비력!B:B,D1029)-SUMIFS(팀수비력!N:N,팀수비력!A:A,B1029,팀수비력!B:B,D1029)))*100,"")</f>
        <v>0</v>
      </c>
      <c r="BO1029" s="67">
        <f t="shared" si="503"/>
        <v>34.013605442176875</v>
      </c>
      <c r="BT1029" t="s">
        <v>113</v>
      </c>
      <c r="BV1029" t="s">
        <v>90</v>
      </c>
      <c r="CF1029">
        <v>1</v>
      </c>
      <c r="CG1029">
        <v>2</v>
      </c>
    </row>
    <row r="1030" spans="1:85" x14ac:dyDescent="0.4">
      <c r="A1030" s="11" t="s">
        <v>85</v>
      </c>
      <c r="B1030" t="s">
        <v>183</v>
      </c>
      <c r="C1030" t="s">
        <v>193</v>
      </c>
      <c r="D1030" s="46" t="s">
        <v>313</v>
      </c>
      <c r="E1030">
        <v>9</v>
      </c>
      <c r="F1030">
        <v>14</v>
      </c>
      <c r="G1030" s="1">
        <v>58</v>
      </c>
      <c r="H1030" s="16">
        <f t="shared" si="478"/>
        <v>8082</v>
      </c>
      <c r="I1030">
        <v>53</v>
      </c>
      <c r="J1030" s="17">
        <f t="shared" si="479"/>
        <v>5.8888888888888893</v>
      </c>
      <c r="K1030">
        <v>18</v>
      </c>
      <c r="L1030">
        <v>40</v>
      </c>
      <c r="M1030" s="17">
        <f t="shared" si="480"/>
        <v>2</v>
      </c>
      <c r="N1030" s="17">
        <f t="shared" si="481"/>
        <v>4.4444444444444446</v>
      </c>
      <c r="O1030" s="18">
        <f t="shared" si="482"/>
        <v>0.45</v>
      </c>
      <c r="P1030">
        <v>6</v>
      </c>
      <c r="Q1030">
        <v>12</v>
      </c>
      <c r="R1030" s="17">
        <f t="shared" si="483"/>
        <v>0.66666666666666663</v>
      </c>
      <c r="S1030" s="17">
        <f t="shared" si="484"/>
        <v>1.3333333333333333</v>
      </c>
      <c r="T1030" s="18">
        <f t="shared" si="485"/>
        <v>0.5</v>
      </c>
      <c r="U1030">
        <v>12</v>
      </c>
      <c r="V1030">
        <v>28</v>
      </c>
      <c r="W1030" s="17">
        <f t="shared" si="486"/>
        <v>1.3333333333333333</v>
      </c>
      <c r="X1030" s="17">
        <f t="shared" si="487"/>
        <v>3.1111111111111112</v>
      </c>
      <c r="Y1030" s="18">
        <f t="shared" si="488"/>
        <v>0.42857142857142855</v>
      </c>
      <c r="Z1030">
        <v>5</v>
      </c>
      <c r="AA1030">
        <v>7</v>
      </c>
      <c r="AB1030" s="17">
        <f t="shared" si="489"/>
        <v>0.55555555555555558</v>
      </c>
      <c r="AC1030" s="17">
        <f t="shared" si="490"/>
        <v>0.77777777777777779</v>
      </c>
      <c r="AD1030" s="18">
        <f t="shared" si="491"/>
        <v>0.7142857142857143</v>
      </c>
      <c r="AE1030">
        <v>20</v>
      </c>
      <c r="AF1030" s="17">
        <f t="shared" si="492"/>
        <v>2.2222222222222223</v>
      </c>
      <c r="AG1030">
        <v>8</v>
      </c>
      <c r="AH1030" s="17">
        <f t="shared" si="493"/>
        <v>0.88888888888888884</v>
      </c>
      <c r="AI1030">
        <v>12</v>
      </c>
      <c r="AJ1030" s="17">
        <f t="shared" si="494"/>
        <v>1.3333333333333333</v>
      </c>
      <c r="AK1030">
        <v>7</v>
      </c>
      <c r="AL1030" s="17">
        <f t="shared" si="495"/>
        <v>0.77777777777777779</v>
      </c>
      <c r="AM1030">
        <v>2</v>
      </c>
      <c r="AN1030" s="17">
        <f t="shared" si="496"/>
        <v>0.22222222222222221</v>
      </c>
      <c r="AO1030">
        <v>0</v>
      </c>
      <c r="AQ1030">
        <v>2</v>
      </c>
      <c r="AR1030" s="17">
        <f t="shared" si="497"/>
        <v>0.22222222222222221</v>
      </c>
      <c r="AS1030">
        <v>22</v>
      </c>
      <c r="AT1030" s="17">
        <f t="shared" si="498"/>
        <v>2.4444444444444446</v>
      </c>
      <c r="BD1030" s="65">
        <f t="shared" si="499"/>
        <v>61.513463324048288</v>
      </c>
      <c r="BE1030" s="65">
        <f t="shared" si="500"/>
        <v>60</v>
      </c>
      <c r="BF1030" s="66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14.642813447048647</v>
      </c>
      <c r="BG1030" s="38">
        <f t="shared" si="501"/>
        <v>0.7</v>
      </c>
      <c r="BH1030" s="38">
        <f t="shared" si="502"/>
        <v>0.17499999999999999</v>
      </c>
      <c r="BI1030" s="67">
        <f>IFERROR(((AG1030*(12000/5))/((F1030*60+G1030)*(SUMIFS(팀공격력!X:X,팀공격력!A:A,B1030,팀공격력!B:B,D1030)+SUMIFS(팀수비력!X:X,팀수비력!A:A,B1030,팀수비력!B:B,D1030))))*100,"")</f>
        <v>3.2346212292234546</v>
      </c>
      <c r="BJ1030" s="67">
        <f>IFERROR(((AI1030*(12000/5))/((F1030*60+G1030)*(SUMIFS(팀공격력!V:V,팀공격력!A:A,B1030,팀공격력!B:B,D1030)+SUMIFS(팀수비력!W:W,팀수비력!A:A,B1030,팀수비력!B:B,D1030))))*100,"")</f>
        <v>9.4050643659092543</v>
      </c>
      <c r="BK1030" s="67">
        <f>IFERROR(((AE1030*(12000/5))/((F1030*60+G1030)*(SUMIFS(팀공격력!X:X,팀공격력!A:A,B1030,팀공격력!B:B,D1030)+SUMIFS(팀수비력!X:X,팀수비력!A:A,B1030,팀수비력!B:B,D1030))))*100,"")</f>
        <v>8.0865530730586368</v>
      </c>
      <c r="BL1030" s="67">
        <f>IFERROR(100*AK1030/(((((F1030*60+G1030)/(12000/5))*SUMIFS(팀공격력!P:P,팀공격력!A:A,B1030,팀공격력!B:B,D1030))-K1030)),"")</f>
        <v>7.5165767361950016</v>
      </c>
      <c r="BM1030" s="67">
        <f>IFERROR(100*((AM1030/E1030*(2400))/((F1030*60+G1030)*SUMIFS(팀공격력!AR:AR,팀공격력!A:A,B1030,팀공격력!B:B,D1030))),"")</f>
        <v>0.80749026171531912</v>
      </c>
      <c r="BN1030" s="67">
        <f>IFERROR((AO1030*40)/(((F1030*60+G1030)/60)*(SUMIFS(팀수비력!Q:Q,팀수비력!A:A,B1030,팀수비력!B:B,D1030)-SUMIFS(팀수비력!N:N,팀수비력!A:A,B1030,팀수비력!B:B,D1030)))*100,"")</f>
        <v>0</v>
      </c>
      <c r="BO1030" s="67">
        <f t="shared" si="503"/>
        <v>4.4365572315882877</v>
      </c>
      <c r="BT1030" t="s">
        <v>89</v>
      </c>
      <c r="BV1030" t="s">
        <v>93</v>
      </c>
      <c r="CF1030">
        <v>4</v>
      </c>
      <c r="CG1030">
        <v>5</v>
      </c>
    </row>
    <row r="1031" spans="1:85" x14ac:dyDescent="0.4">
      <c r="A1031" s="11" t="s">
        <v>85</v>
      </c>
      <c r="B1031" t="s">
        <v>183</v>
      </c>
      <c r="C1031" t="s">
        <v>194</v>
      </c>
      <c r="D1031" s="46" t="s">
        <v>313</v>
      </c>
      <c r="E1031">
        <v>9</v>
      </c>
      <c r="F1031">
        <v>25</v>
      </c>
      <c r="G1031" s="1">
        <v>39</v>
      </c>
      <c r="H1031" s="16">
        <f t="shared" si="478"/>
        <v>13851</v>
      </c>
      <c r="I1031">
        <v>60</v>
      </c>
      <c r="J1031" s="17">
        <f t="shared" si="479"/>
        <v>6.666666666666667</v>
      </c>
      <c r="K1031">
        <v>21</v>
      </c>
      <c r="L1031">
        <v>54</v>
      </c>
      <c r="M1031" s="17">
        <f t="shared" si="480"/>
        <v>2.3333333333333335</v>
      </c>
      <c r="N1031" s="17">
        <f t="shared" si="481"/>
        <v>6</v>
      </c>
      <c r="O1031" s="18">
        <f t="shared" si="482"/>
        <v>0.3888888888888889</v>
      </c>
      <c r="P1031">
        <v>12</v>
      </c>
      <c r="Q1031">
        <v>25</v>
      </c>
      <c r="R1031" s="17">
        <f t="shared" si="483"/>
        <v>1.3333333333333333</v>
      </c>
      <c r="S1031" s="17">
        <f t="shared" si="484"/>
        <v>2.7777777777777777</v>
      </c>
      <c r="T1031" s="18">
        <f t="shared" si="485"/>
        <v>0.48</v>
      </c>
      <c r="U1031">
        <v>9</v>
      </c>
      <c r="V1031">
        <v>29</v>
      </c>
      <c r="W1031" s="17">
        <f t="shared" si="486"/>
        <v>1</v>
      </c>
      <c r="X1031" s="17">
        <f t="shared" si="487"/>
        <v>3.2222222222222223</v>
      </c>
      <c r="Y1031" s="18">
        <f t="shared" si="488"/>
        <v>0.31034482758620691</v>
      </c>
      <c r="Z1031">
        <v>9</v>
      </c>
      <c r="AA1031">
        <v>13</v>
      </c>
      <c r="AB1031" s="17">
        <f t="shared" si="489"/>
        <v>1</v>
      </c>
      <c r="AC1031" s="17">
        <f t="shared" si="490"/>
        <v>1.4444444444444444</v>
      </c>
      <c r="AD1031" s="18">
        <f t="shared" si="491"/>
        <v>0.69230769230769229</v>
      </c>
      <c r="AE1031">
        <v>21</v>
      </c>
      <c r="AF1031" s="17">
        <f t="shared" si="492"/>
        <v>2.3333333333333335</v>
      </c>
      <c r="AG1031">
        <v>1</v>
      </c>
      <c r="AH1031" s="17">
        <f t="shared" si="493"/>
        <v>0.1111111111111111</v>
      </c>
      <c r="AI1031">
        <v>20</v>
      </c>
      <c r="AJ1031" s="17">
        <f t="shared" si="494"/>
        <v>2.2222222222222223</v>
      </c>
      <c r="AK1031">
        <v>30</v>
      </c>
      <c r="AL1031" s="17">
        <f t="shared" si="495"/>
        <v>3.3333333333333335</v>
      </c>
      <c r="AM1031">
        <v>6</v>
      </c>
      <c r="AN1031" s="17">
        <f t="shared" si="496"/>
        <v>0.66666666666666663</v>
      </c>
      <c r="AO1031">
        <v>0</v>
      </c>
      <c r="AQ1031">
        <v>9</v>
      </c>
      <c r="AR1031" s="17">
        <f t="shared" si="497"/>
        <v>1</v>
      </c>
      <c r="AS1031">
        <v>24</v>
      </c>
      <c r="AT1031" s="17">
        <f t="shared" si="498"/>
        <v>2.6666666666666665</v>
      </c>
      <c r="BD1031" s="65">
        <f t="shared" si="499"/>
        <v>50.234427327528465</v>
      </c>
      <c r="BE1031" s="65">
        <f t="shared" si="500"/>
        <v>47.222222222222221</v>
      </c>
      <c r="BF1031" s="66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13.024512883786738</v>
      </c>
      <c r="BG1031" s="38">
        <f t="shared" si="501"/>
        <v>0.53703703703703709</v>
      </c>
      <c r="BH1031" s="38">
        <f t="shared" si="502"/>
        <v>0.24074074074074073</v>
      </c>
      <c r="BI1031" s="67">
        <f>IFERROR(((AG1031*(12000/5))/((F1031*60+G1031)*(SUMIFS(팀공격력!X:X,팀공격력!A:A,B1031,팀공격력!B:B,D1031)+SUMIFS(팀수비력!X:X,팀수비력!A:A,B1031,팀수비력!B:B,D1031))))*100,"")</f>
        <v>0.23592347821983942</v>
      </c>
      <c r="BJ1031" s="67">
        <f>IFERROR(((AI1031*(12000/5))/((F1031*60+G1031)*(SUMIFS(팀공격력!V:V,팀공격력!A:A,B1031,팀공격력!B:B,D1031)+SUMIFS(팀수비력!W:W,팀수비력!A:A,B1031,팀수비력!B:B,D1031))))*100,"")</f>
        <v>9.1463588916899603</v>
      </c>
      <c r="BK1031" s="67">
        <f>IFERROR(((AE1031*(12000/5))/((F1031*60+G1031)*(SUMIFS(팀공격력!X:X,팀공격력!A:A,B1031,팀공격력!B:B,D1031)+SUMIFS(팀수비력!X:X,팀수비력!A:A,B1031,팀수비력!B:B,D1031))))*100,"")</f>
        <v>4.9543930426166272</v>
      </c>
      <c r="BL1031" s="67">
        <f>IFERROR(100*AK1031/(((((F1031*60+G1031)/(12000/5))*SUMIFS(팀공격력!P:P,팀공격력!A:A,B1031,팀공격력!B:B,D1031))-K1031)),"")</f>
        <v>17.704206962179388</v>
      </c>
      <c r="BM1031" s="67">
        <f>IFERROR(100*((AM1031/E1031*(2400))/((F1031*60+G1031)*SUMIFS(팀공격력!AR:AR,팀공격력!A:A,B1031,팀공격력!B:B,D1031))),"")</f>
        <v>1.4135014717745744</v>
      </c>
      <c r="BN1031" s="67">
        <f>IFERROR((AO1031*40)/(((F1031*60+G1031)/60)*(SUMIFS(팀수비력!Q:Q,팀수비력!A:A,B1031,팀수비력!B:B,D1031)-SUMIFS(팀수비력!N:N,팀수비력!A:A,B1031,팀수비력!B:B,D1031)))*100,"")</f>
        <v>0</v>
      </c>
      <c r="BO1031" s="67">
        <f t="shared" si="503"/>
        <v>13.096623981373691</v>
      </c>
      <c r="BT1031" t="s">
        <v>89</v>
      </c>
      <c r="BV1031" t="s">
        <v>90</v>
      </c>
      <c r="CF1031">
        <v>4</v>
      </c>
      <c r="CG1031">
        <v>5</v>
      </c>
    </row>
    <row r="1032" spans="1:85" x14ac:dyDescent="0.4">
      <c r="A1032" s="11" t="s">
        <v>85</v>
      </c>
      <c r="B1032" t="s">
        <v>183</v>
      </c>
      <c r="C1032" t="s">
        <v>195</v>
      </c>
      <c r="D1032" s="46" t="s">
        <v>313</v>
      </c>
      <c r="E1032">
        <v>9</v>
      </c>
      <c r="F1032">
        <v>12</v>
      </c>
      <c r="G1032" s="1">
        <v>7</v>
      </c>
      <c r="H1032" s="16">
        <f t="shared" si="478"/>
        <v>6543</v>
      </c>
      <c r="I1032">
        <v>88</v>
      </c>
      <c r="J1032" s="17">
        <f t="shared" si="479"/>
        <v>9.7777777777777786</v>
      </c>
      <c r="K1032">
        <v>38</v>
      </c>
      <c r="L1032">
        <v>75</v>
      </c>
      <c r="M1032" s="17">
        <f t="shared" si="480"/>
        <v>4.2222222222222223</v>
      </c>
      <c r="N1032" s="17">
        <f t="shared" si="481"/>
        <v>8.3333333333333339</v>
      </c>
      <c r="O1032" s="18">
        <f t="shared" si="482"/>
        <v>0.50666666666666671</v>
      </c>
      <c r="P1032">
        <v>32</v>
      </c>
      <c r="Q1032">
        <v>55</v>
      </c>
      <c r="R1032" s="17">
        <f t="shared" si="483"/>
        <v>3.5555555555555554</v>
      </c>
      <c r="S1032" s="17">
        <f t="shared" si="484"/>
        <v>6.1111111111111107</v>
      </c>
      <c r="T1032" s="18">
        <f t="shared" si="485"/>
        <v>0.58181818181818179</v>
      </c>
      <c r="U1032">
        <v>6</v>
      </c>
      <c r="V1032">
        <v>20</v>
      </c>
      <c r="W1032" s="17">
        <f t="shared" si="486"/>
        <v>0.66666666666666663</v>
      </c>
      <c r="X1032" s="17">
        <f t="shared" si="487"/>
        <v>2.2222222222222223</v>
      </c>
      <c r="Y1032" s="18">
        <f t="shared" si="488"/>
        <v>0.3</v>
      </c>
      <c r="Z1032">
        <v>6</v>
      </c>
      <c r="AA1032">
        <v>14</v>
      </c>
      <c r="AB1032" s="17">
        <f t="shared" si="489"/>
        <v>0.66666666666666663</v>
      </c>
      <c r="AC1032" s="17">
        <f t="shared" si="490"/>
        <v>1.5555555555555556</v>
      </c>
      <c r="AD1032" s="18">
        <f t="shared" si="491"/>
        <v>0.42857142857142855</v>
      </c>
      <c r="AE1032">
        <v>40</v>
      </c>
      <c r="AF1032" s="17">
        <f t="shared" si="492"/>
        <v>4.4444444444444446</v>
      </c>
      <c r="AG1032">
        <v>17</v>
      </c>
      <c r="AH1032" s="17">
        <f t="shared" si="493"/>
        <v>1.8888888888888888</v>
      </c>
      <c r="AI1032">
        <v>23</v>
      </c>
      <c r="AJ1032" s="17">
        <f t="shared" si="494"/>
        <v>2.5555555555555554</v>
      </c>
      <c r="AK1032">
        <v>6</v>
      </c>
      <c r="AL1032" s="17">
        <f t="shared" si="495"/>
        <v>0.66666666666666663</v>
      </c>
      <c r="AM1032">
        <v>3</v>
      </c>
      <c r="AN1032" s="17">
        <f t="shared" si="496"/>
        <v>0.33333333333333331</v>
      </c>
      <c r="AO1032">
        <v>8</v>
      </c>
      <c r="AQ1032">
        <v>10</v>
      </c>
      <c r="AR1032" s="17">
        <f t="shared" si="497"/>
        <v>1.1111111111111112</v>
      </c>
      <c r="AS1032">
        <v>12</v>
      </c>
      <c r="AT1032" s="17">
        <f t="shared" si="498"/>
        <v>1.3333333333333333</v>
      </c>
      <c r="BD1032" s="65">
        <f t="shared" si="499"/>
        <v>54.21389847215378</v>
      </c>
      <c r="BE1032" s="65">
        <f t="shared" si="500"/>
        <v>54.666666666666664</v>
      </c>
      <c r="BF1032" s="66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36.575213031089866</v>
      </c>
      <c r="BG1032" s="38">
        <f t="shared" si="501"/>
        <v>0.26666666666666666</v>
      </c>
      <c r="BH1032" s="38">
        <f t="shared" si="502"/>
        <v>0.18666666666666668</v>
      </c>
      <c r="BI1032" s="67">
        <f>IFERROR(((AG1032*(12000/5))/((F1032*60+G1032)*(SUMIFS(팀공격력!X:X,팀공격력!A:A,B1032,팀공격력!B:B,D1032)+SUMIFS(팀수비력!X:X,팀수비력!A:A,B1032,팀수비력!B:B,D1032))))*100,"")</f>
        <v>8.4903245676281411</v>
      </c>
      <c r="BJ1032" s="67">
        <f>IFERROR(((AI1032*(12000/5))/((F1032*60+G1032)*(SUMIFS(팀공격력!V:V,팀공격력!A:A,B1032,팀공격력!B:B,D1032)+SUMIFS(팀수비력!W:W,팀수비력!A:A,B1032,팀수비력!B:B,D1032))))*100,"")</f>
        <v>22.26641442153711</v>
      </c>
      <c r="BK1032" s="67">
        <f>IFERROR(((AE1032*(12000/5))/((F1032*60+G1032)*(SUMIFS(팀공격력!X:X,팀공격력!A:A,B1032,팀공격력!B:B,D1032)+SUMIFS(팀수비력!X:X,팀수비력!A:A,B1032,팀수비력!B:B,D1032))))*100,"")</f>
        <v>19.977234276772098</v>
      </c>
      <c r="BL1032" s="67">
        <f>IFERROR(100*AK1032/(((((F1032*60+G1032)/(12000/5))*SUMIFS(팀공격력!P:P,팀공격력!A:A,B1032,팀공격력!B:B,D1032))-K1032)),"")</f>
        <v>11.545955307531329</v>
      </c>
      <c r="BM1032" s="67">
        <f>IFERROR(100*((AM1032/E1032*(2400))/((F1032*60+G1032)*SUMIFS(팀공격력!AR:AR,팀공격력!A:A,B1032,팀공격력!B:B,D1032))),"")</f>
        <v>1.4961339512111897</v>
      </c>
      <c r="BN1032" s="67">
        <f>IFERROR((AO1032*40)/(((F1032*60+G1032)/60)*(SUMIFS(팀수비력!Q:Q,팀수비력!A:A,B1032,팀수비력!B:B,D1032)-SUMIFS(팀수비력!N:N,팀수비력!A:A,B1032,팀수비력!B:B,D1032)))*100,"")</f>
        <v>6.5209638799735083</v>
      </c>
      <c r="BO1032" s="67">
        <f t="shared" si="503"/>
        <v>10.969723562966214</v>
      </c>
      <c r="BT1032" t="s">
        <v>96</v>
      </c>
      <c r="BV1032" t="s">
        <v>93</v>
      </c>
      <c r="CF1032">
        <v>4</v>
      </c>
      <c r="CG1032">
        <v>5</v>
      </c>
    </row>
    <row r="1033" spans="1:85" x14ac:dyDescent="0.4">
      <c r="A1033" s="11" t="s">
        <v>85</v>
      </c>
      <c r="B1033" t="s">
        <v>183</v>
      </c>
      <c r="C1033" t="s">
        <v>196</v>
      </c>
      <c r="D1033" s="46" t="s">
        <v>313</v>
      </c>
      <c r="E1033">
        <v>2</v>
      </c>
      <c r="F1033">
        <v>14</v>
      </c>
      <c r="G1033" s="1">
        <v>13</v>
      </c>
      <c r="H1033" s="16">
        <f t="shared" si="478"/>
        <v>1706</v>
      </c>
      <c r="I1033">
        <v>10</v>
      </c>
      <c r="J1033" s="17">
        <f t="shared" si="479"/>
        <v>5</v>
      </c>
      <c r="K1033">
        <v>5</v>
      </c>
      <c r="L1033">
        <v>14</v>
      </c>
      <c r="M1033" s="17">
        <f t="shared" si="480"/>
        <v>2.5</v>
      </c>
      <c r="N1033" s="17">
        <f t="shared" si="481"/>
        <v>7</v>
      </c>
      <c r="O1033" s="18">
        <f t="shared" si="482"/>
        <v>0.35714285714285715</v>
      </c>
      <c r="P1033">
        <v>5</v>
      </c>
      <c r="Q1033">
        <v>13</v>
      </c>
      <c r="R1033" s="17">
        <f t="shared" si="483"/>
        <v>2.5</v>
      </c>
      <c r="S1033" s="17">
        <f t="shared" si="484"/>
        <v>6.5</v>
      </c>
      <c r="T1033" s="18">
        <f t="shared" si="485"/>
        <v>0.38461538461538464</v>
      </c>
      <c r="U1033">
        <v>0</v>
      </c>
      <c r="V1033">
        <v>1</v>
      </c>
      <c r="W1033" s="17">
        <f t="shared" si="486"/>
        <v>0</v>
      </c>
      <c r="X1033" s="17">
        <f t="shared" si="487"/>
        <v>0.5</v>
      </c>
      <c r="Y1033" s="18">
        <f t="shared" si="488"/>
        <v>0</v>
      </c>
      <c r="Z1033">
        <v>0</v>
      </c>
      <c r="AA1033">
        <v>0</v>
      </c>
      <c r="AB1033" s="17">
        <f t="shared" si="489"/>
        <v>0</v>
      </c>
      <c r="AC1033" s="17">
        <f t="shared" si="490"/>
        <v>0</v>
      </c>
      <c r="AD1033" s="18" t="e">
        <f t="shared" si="491"/>
        <v>#DIV/0!</v>
      </c>
      <c r="AE1033">
        <v>10</v>
      </c>
      <c r="AF1033" s="17">
        <f t="shared" si="492"/>
        <v>5</v>
      </c>
      <c r="AG1033">
        <v>7</v>
      </c>
      <c r="AH1033" s="17">
        <f t="shared" si="493"/>
        <v>3.5</v>
      </c>
      <c r="AI1033">
        <v>3</v>
      </c>
      <c r="AJ1033" s="17">
        <f t="shared" si="494"/>
        <v>1.5</v>
      </c>
      <c r="AK1033">
        <v>2</v>
      </c>
      <c r="AL1033" s="17">
        <f t="shared" si="495"/>
        <v>1</v>
      </c>
      <c r="AM1033">
        <v>2</v>
      </c>
      <c r="AN1033" s="17">
        <f t="shared" si="496"/>
        <v>1</v>
      </c>
      <c r="AO1033">
        <v>0</v>
      </c>
      <c r="AQ1033">
        <v>3</v>
      </c>
      <c r="AR1033" s="17">
        <f t="shared" si="497"/>
        <v>1.5</v>
      </c>
      <c r="AS1033">
        <v>3</v>
      </c>
      <c r="AT1033" s="17">
        <f t="shared" si="498"/>
        <v>1.5</v>
      </c>
      <c r="BD1033" s="65">
        <f t="shared" si="499"/>
        <v>35.714285714285715</v>
      </c>
      <c r="BE1033" s="65">
        <f t="shared" si="500"/>
        <v>35.714285714285715</v>
      </c>
      <c r="BF1033" s="66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5.8132212027554679</v>
      </c>
      <c r="BG1033" s="38">
        <f t="shared" si="501"/>
        <v>7.1428571428571425E-2</v>
      </c>
      <c r="BH1033" s="38">
        <f t="shared" si="502"/>
        <v>0</v>
      </c>
      <c r="BI1033" s="67">
        <f>IFERROR(((AG1033*(12000/5))/((F1033*60+G1033)*(SUMIFS(팀공격력!X:X,팀공격력!A:A,B1033,팀공격력!B:B,D1033)+SUMIFS(팀수비력!X:X,팀수비력!A:A,B1033,팀수비력!B:B,D1033))))*100,"")</f>
        <v>2.9796056633790502</v>
      </c>
      <c r="BJ1033" s="67">
        <f>IFERROR(((AI1033*(12000/5))/((F1033*60+G1033)*(SUMIFS(팀공격력!V:V,팀공격력!A:A,B1033,팀공격력!B:B,D1033)+SUMIFS(팀수비력!W:W,팀수비력!A:A,B1033,팀수비력!B:B,D1033))))*100,"")</f>
        <v>2.4753070927861986</v>
      </c>
      <c r="BK1033" s="67">
        <f>IFERROR(((AE1033*(12000/5))/((F1033*60+G1033)*(SUMIFS(팀공격력!X:X,팀공격력!A:A,B1033,팀공격력!B:B,D1033)+SUMIFS(팀수비력!X:X,팀수비력!A:A,B1033,팀수비력!B:B,D1033))))*100,"")</f>
        <v>4.256579519112929</v>
      </c>
      <c r="BL1033" s="67">
        <f>IFERROR(100*AK1033/(((((F1033*60+G1033)/(12000/5))*SUMIFS(팀공격력!P:P,팀공격력!A:A,B1033,팀공격력!B:B,D1033))-K1033)),"")</f>
        <v>1.9888870933658185</v>
      </c>
      <c r="BM1033" s="67">
        <f>IFERROR(100*((AM1033/E1033*(2400))/((F1033*60+G1033)*SUMIFS(팀공격력!AR:AR,팀공격력!A:A,B1033,팀공격력!B:B,D1033))),"")</f>
        <v>3.825402283225797</v>
      </c>
      <c r="BN1033" s="67">
        <f>IFERROR((AO1033*40)/(((F1033*60+G1033)/60)*(SUMIFS(팀수비력!Q:Q,팀수비력!A:A,B1033,팀수비력!B:B,D1033)-SUMIFS(팀수비력!N:N,팀수비력!A:A,B1033,팀수비력!B:B,D1033)))*100,"")</f>
        <v>0</v>
      </c>
      <c r="BO1033" s="67">
        <f t="shared" si="503"/>
        <v>17.647058823529413</v>
      </c>
      <c r="BT1033" t="s">
        <v>89</v>
      </c>
      <c r="BV1033" t="s">
        <v>102</v>
      </c>
      <c r="CF1033">
        <v>1</v>
      </c>
      <c r="CG1033">
        <v>1</v>
      </c>
    </row>
    <row r="1034" spans="1:85" x14ac:dyDescent="0.4">
      <c r="A1034" s="11" t="s">
        <v>85</v>
      </c>
      <c r="B1034" t="s">
        <v>183</v>
      </c>
      <c r="C1034" t="s">
        <v>197</v>
      </c>
      <c r="D1034" s="46" t="s">
        <v>313</v>
      </c>
      <c r="E1034">
        <v>9</v>
      </c>
      <c r="F1034">
        <v>29</v>
      </c>
      <c r="G1034" s="1">
        <v>26</v>
      </c>
      <c r="H1034" s="16">
        <f t="shared" si="478"/>
        <v>15894</v>
      </c>
      <c r="I1034">
        <v>113</v>
      </c>
      <c r="J1034" s="17">
        <f t="shared" si="479"/>
        <v>12.555555555555555</v>
      </c>
      <c r="K1034">
        <v>38</v>
      </c>
      <c r="L1034">
        <v>108</v>
      </c>
      <c r="M1034" s="17">
        <f t="shared" si="480"/>
        <v>4.2222222222222223</v>
      </c>
      <c r="N1034" s="17">
        <f t="shared" si="481"/>
        <v>12</v>
      </c>
      <c r="O1034" s="18">
        <f t="shared" si="482"/>
        <v>0.35185185185185186</v>
      </c>
      <c r="P1034">
        <v>23</v>
      </c>
      <c r="Q1034">
        <v>56</v>
      </c>
      <c r="R1034" s="17">
        <f t="shared" si="483"/>
        <v>2.5555555555555554</v>
      </c>
      <c r="S1034" s="17">
        <f t="shared" si="484"/>
        <v>6.2222222222222223</v>
      </c>
      <c r="T1034" s="18">
        <f t="shared" si="485"/>
        <v>0.4107142857142857</v>
      </c>
      <c r="U1034">
        <v>15</v>
      </c>
      <c r="V1034">
        <v>52</v>
      </c>
      <c r="W1034" s="17">
        <f t="shared" si="486"/>
        <v>1.6666666666666667</v>
      </c>
      <c r="X1034" s="17">
        <f t="shared" si="487"/>
        <v>5.7777777777777777</v>
      </c>
      <c r="Y1034" s="18">
        <f t="shared" si="488"/>
        <v>0.28846153846153844</v>
      </c>
      <c r="Z1034">
        <v>22</v>
      </c>
      <c r="AA1034">
        <v>31</v>
      </c>
      <c r="AB1034" s="17">
        <f t="shared" si="489"/>
        <v>2.4444444444444446</v>
      </c>
      <c r="AC1034" s="17">
        <f t="shared" si="490"/>
        <v>3.4444444444444446</v>
      </c>
      <c r="AD1034" s="18">
        <f t="shared" si="491"/>
        <v>0.70967741935483875</v>
      </c>
      <c r="AE1034">
        <v>41</v>
      </c>
      <c r="AF1034" s="17">
        <f t="shared" si="492"/>
        <v>4.5555555555555554</v>
      </c>
      <c r="AG1034">
        <v>3</v>
      </c>
      <c r="AH1034" s="17">
        <f t="shared" si="493"/>
        <v>0.33333333333333331</v>
      </c>
      <c r="AI1034">
        <v>38</v>
      </c>
      <c r="AJ1034" s="17">
        <f t="shared" si="494"/>
        <v>4.2222222222222223</v>
      </c>
      <c r="AK1034">
        <v>70</v>
      </c>
      <c r="AL1034" s="17">
        <f t="shared" si="495"/>
        <v>7.7777777777777777</v>
      </c>
      <c r="AM1034">
        <v>4</v>
      </c>
      <c r="AN1034" s="17">
        <f t="shared" si="496"/>
        <v>0.44444444444444442</v>
      </c>
      <c r="AO1034">
        <v>1</v>
      </c>
      <c r="AQ1034">
        <v>32</v>
      </c>
      <c r="AR1034" s="17">
        <f t="shared" si="497"/>
        <v>3.5555555555555554</v>
      </c>
      <c r="AS1034">
        <v>25</v>
      </c>
      <c r="AT1034" s="17">
        <f t="shared" si="498"/>
        <v>2.7777777777777777</v>
      </c>
      <c r="BD1034" s="65">
        <f t="shared" si="499"/>
        <v>46.448536665570536</v>
      </c>
      <c r="BE1034" s="65">
        <f t="shared" si="500"/>
        <v>42.129629629629626</v>
      </c>
      <c r="BF1034" s="66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25.376431938892193</v>
      </c>
      <c r="BG1034" s="38">
        <f t="shared" si="501"/>
        <v>0.48148148148148145</v>
      </c>
      <c r="BH1034" s="38">
        <f t="shared" si="502"/>
        <v>0.28703703703703703</v>
      </c>
      <c r="BI1034" s="67">
        <f>IFERROR(((AG1034*(12000/5))/((F1034*60+G1034)*(SUMIFS(팀공격력!X:X,팀공격력!A:A,B1034,팀공격력!B:B,D1034)+SUMIFS(팀수비력!X:X,팀수비력!A:A,B1034,팀수비력!B:B,D1034))))*100,"")</f>
        <v>0.61679428026104099</v>
      </c>
      <c r="BJ1034" s="67">
        <f>IFERROR(((AI1034*(12000/5))/((F1034*60+G1034)*(SUMIFS(팀공격력!V:V,팀공격력!A:A,B1034,팀공격력!B:B,D1034)+SUMIFS(팀수비력!W:W,팀수비력!A:A,B1034,팀수비력!B:B,D1034))))*100,"")</f>
        <v>15.144319385725149</v>
      </c>
      <c r="BK1034" s="67">
        <f>IFERROR(((AE1034*(12000/5))/((F1034*60+G1034)*(SUMIFS(팀공격력!X:X,팀공격력!A:A,B1034,팀공격력!B:B,D1034)+SUMIFS(팀수비력!X:X,팀수비력!A:A,B1034,팀수비력!B:B,D1034))))*100,"")</f>
        <v>8.4295218302342274</v>
      </c>
      <c r="BL1034" s="67">
        <f>IFERROR(100*AK1034/(((((F1034*60+G1034)/(12000/5))*SUMIFS(팀공격력!P:P,팀공격력!A:A,B1034,팀공격력!B:B,D1034))-K1034)),"")</f>
        <v>38.772034285556032</v>
      </c>
      <c r="BM1034" s="67">
        <f>IFERROR(100*((AM1034/E1034*(2400))/((F1034*60+G1034)*SUMIFS(팀공격력!AR:AR,팀공격력!A:A,B1034,팀공격력!B:B,D1034))),"")</f>
        <v>0.82120753682939585</v>
      </c>
      <c r="BN1034" s="67">
        <f>IFERROR((AO1034*40)/(((F1034*60+G1034)/60)*(SUMIFS(팀수비력!Q:Q,팀수비력!A:A,B1034,팀수비력!B:B,D1034)-SUMIFS(팀수비력!N:N,팀수비력!A:A,B1034,팀수비력!B:B,D1034)))*100,"")</f>
        <v>0.33555639444654167</v>
      </c>
      <c r="BO1034" s="67">
        <f t="shared" si="503"/>
        <v>20.827909398594119</v>
      </c>
      <c r="BT1034" t="s">
        <v>89</v>
      </c>
      <c r="BV1034" t="s">
        <v>90</v>
      </c>
      <c r="CF1034">
        <v>4</v>
      </c>
      <c r="CG1034">
        <v>5</v>
      </c>
    </row>
    <row r="1035" spans="1:85" x14ac:dyDescent="0.4">
      <c r="A1035" s="11" t="s">
        <v>85</v>
      </c>
      <c r="B1035" t="s">
        <v>183</v>
      </c>
      <c r="C1035" t="s">
        <v>199</v>
      </c>
      <c r="D1035" s="46" t="s">
        <v>313</v>
      </c>
      <c r="E1035">
        <v>6</v>
      </c>
      <c r="F1035">
        <v>5</v>
      </c>
      <c r="G1035" s="1">
        <v>54</v>
      </c>
      <c r="H1035" s="16">
        <f t="shared" si="478"/>
        <v>2124</v>
      </c>
      <c r="I1035">
        <v>10</v>
      </c>
      <c r="J1035" s="17">
        <f t="shared" si="479"/>
        <v>1.6666666666666667</v>
      </c>
      <c r="K1035">
        <v>5</v>
      </c>
      <c r="L1035">
        <v>17</v>
      </c>
      <c r="M1035" s="17">
        <f t="shared" si="480"/>
        <v>0.83333333333333337</v>
      </c>
      <c r="N1035" s="17">
        <f t="shared" si="481"/>
        <v>2.8333333333333335</v>
      </c>
      <c r="O1035" s="18">
        <f t="shared" si="482"/>
        <v>0.29411764705882354</v>
      </c>
      <c r="P1035">
        <v>5</v>
      </c>
      <c r="Q1035">
        <v>11</v>
      </c>
      <c r="R1035" s="17">
        <f t="shared" si="483"/>
        <v>0.83333333333333337</v>
      </c>
      <c r="S1035" s="17">
        <f t="shared" si="484"/>
        <v>1.8333333333333333</v>
      </c>
      <c r="T1035" s="18">
        <f t="shared" si="485"/>
        <v>0.45454545454545453</v>
      </c>
      <c r="U1035">
        <v>0</v>
      </c>
      <c r="V1035">
        <v>6</v>
      </c>
      <c r="W1035" s="17">
        <f t="shared" si="486"/>
        <v>0</v>
      </c>
      <c r="X1035" s="17">
        <f t="shared" si="487"/>
        <v>1</v>
      </c>
      <c r="Y1035" s="18">
        <f t="shared" si="488"/>
        <v>0</v>
      </c>
      <c r="Z1035">
        <v>0</v>
      </c>
      <c r="AA1035">
        <v>0</v>
      </c>
      <c r="AB1035" s="17">
        <f t="shared" si="489"/>
        <v>0</v>
      </c>
      <c r="AC1035" s="17">
        <f t="shared" si="490"/>
        <v>0</v>
      </c>
      <c r="AD1035" s="18" t="e">
        <f t="shared" si="491"/>
        <v>#DIV/0!</v>
      </c>
      <c r="AE1035">
        <v>5</v>
      </c>
      <c r="AF1035" s="17">
        <f t="shared" si="492"/>
        <v>0.83333333333333337</v>
      </c>
      <c r="AG1035">
        <v>1</v>
      </c>
      <c r="AH1035" s="17">
        <f t="shared" si="493"/>
        <v>0.16666666666666666</v>
      </c>
      <c r="AI1035">
        <v>4</v>
      </c>
      <c r="AJ1035" s="17">
        <f t="shared" si="494"/>
        <v>0.66666666666666663</v>
      </c>
      <c r="AK1035">
        <v>2</v>
      </c>
      <c r="AL1035" s="17">
        <f t="shared" si="495"/>
        <v>0.33333333333333331</v>
      </c>
      <c r="AM1035">
        <v>2</v>
      </c>
      <c r="AN1035" s="17">
        <f t="shared" si="496"/>
        <v>0.33333333333333331</v>
      </c>
      <c r="AO1035">
        <v>1</v>
      </c>
      <c r="AQ1035">
        <v>0</v>
      </c>
      <c r="AR1035" s="17">
        <f t="shared" si="497"/>
        <v>0</v>
      </c>
      <c r="AS1035">
        <v>5</v>
      </c>
      <c r="AT1035" s="17">
        <f t="shared" si="498"/>
        <v>0.83333333333333337</v>
      </c>
      <c r="BD1035" s="65">
        <f t="shared" si="499"/>
        <v>29.411764705882355</v>
      </c>
      <c r="BE1035" s="65">
        <f t="shared" si="500"/>
        <v>29.411764705882355</v>
      </c>
      <c r="BF1035" s="66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14.007564084605686</v>
      </c>
      <c r="BG1035" s="38">
        <f t="shared" si="501"/>
        <v>0.35294117647058826</v>
      </c>
      <c r="BH1035" s="38">
        <f t="shared" si="502"/>
        <v>0</v>
      </c>
      <c r="BI1035" s="67">
        <f>IFERROR(((AG1035*(12000/5))/((F1035*60+G1035)*(SUMIFS(팀공격력!X:X,팀공격력!A:A,B1035,팀공격력!B:B,D1035)+SUMIFS(팀수비력!X:X,팀수비력!A:A,B1035,팀수비력!B:B,D1035))))*100,"")</f>
        <v>1.0256673248032</v>
      </c>
      <c r="BJ1035" s="67">
        <f>IFERROR(((AI1035*(12000/5))/((F1035*60+G1035)*(SUMIFS(팀공격력!V:V,팀공격력!A:A,B1035,팀공격력!B:B,D1035)+SUMIFS(팀수비력!W:W,팀수비력!A:A,B1035,팀수비력!B:B,D1035))))*100,"")</f>
        <v>7.9526815448083905</v>
      </c>
      <c r="BK1035" s="67">
        <f>IFERROR(((AE1035*(12000/5))/((F1035*60+G1035)*(SUMIFS(팀공격력!X:X,팀공격력!A:A,B1035,팀공격력!B:B,D1035)+SUMIFS(팀수비력!X:X,팀수비력!A:A,B1035,팀수비력!B:B,D1035))))*100,"")</f>
        <v>5.1283366240160007</v>
      </c>
      <c r="BL1035" s="67">
        <f>IFERROR(100*AK1035/(((((F1035*60+G1035)/(12000/5))*SUMIFS(팀공격력!P:P,팀공격력!A:A,B1035,팀공격력!B:B,D1035))-K1035)),"")</f>
        <v>5.1536429813824647</v>
      </c>
      <c r="BM1035" s="67">
        <f>IFERROR(100*((AM1035/E1035*(2400))/((F1035*60+G1035)*SUMIFS(팀공격력!AR:AR,팀공격력!A:A,B1035,팀공격력!B:B,D1035))),"")</f>
        <v>3.0725688772049011</v>
      </c>
      <c r="BN1035" s="67">
        <f>IFERROR((AO1035*40)/(((F1035*60+G1035)/60)*(SUMIFS(팀수비력!Q:Q,팀수비력!A:A,B1035,팀수비력!B:B,D1035)-SUMIFS(팀수비력!N:N,팀수비력!A:A,B1035,팀수비력!B:B,D1035)))*100,"")</f>
        <v>1.6739903745553464</v>
      </c>
      <c r="BO1035" s="67">
        <f t="shared" si="503"/>
        <v>0</v>
      </c>
      <c r="BT1035" t="s">
        <v>89</v>
      </c>
      <c r="BV1035" t="s">
        <v>90</v>
      </c>
      <c r="CF1035">
        <v>2</v>
      </c>
      <c r="CG1035">
        <v>4</v>
      </c>
    </row>
    <row r="1036" spans="1:85" x14ac:dyDescent="0.4">
      <c r="A1036" s="11" t="s">
        <v>85</v>
      </c>
      <c r="B1036" t="s">
        <v>183</v>
      </c>
      <c r="C1036" t="s">
        <v>200</v>
      </c>
      <c r="D1036" s="46" t="s">
        <v>313</v>
      </c>
      <c r="E1036">
        <v>9</v>
      </c>
      <c r="F1036">
        <v>24</v>
      </c>
      <c r="G1036" s="1">
        <v>12</v>
      </c>
      <c r="H1036" s="16">
        <f t="shared" si="478"/>
        <v>13068</v>
      </c>
      <c r="I1036">
        <v>61</v>
      </c>
      <c r="J1036" s="17">
        <f t="shared" si="479"/>
        <v>6.7777777777777777</v>
      </c>
      <c r="K1036">
        <v>24</v>
      </c>
      <c r="L1036">
        <v>50</v>
      </c>
      <c r="M1036" s="17">
        <f t="shared" si="480"/>
        <v>2.6666666666666665</v>
      </c>
      <c r="N1036" s="17">
        <f t="shared" si="481"/>
        <v>5.5555555555555554</v>
      </c>
      <c r="O1036" s="18">
        <f t="shared" si="482"/>
        <v>0.48</v>
      </c>
      <c r="P1036">
        <v>20</v>
      </c>
      <c r="Q1036">
        <v>38</v>
      </c>
      <c r="R1036" s="17">
        <f t="shared" si="483"/>
        <v>2.2222222222222223</v>
      </c>
      <c r="S1036" s="17">
        <f t="shared" si="484"/>
        <v>4.2222222222222223</v>
      </c>
      <c r="T1036" s="18">
        <f t="shared" si="485"/>
        <v>0.52631578947368418</v>
      </c>
      <c r="U1036">
        <v>4</v>
      </c>
      <c r="V1036">
        <v>12</v>
      </c>
      <c r="W1036" s="17">
        <f t="shared" si="486"/>
        <v>0.44444444444444442</v>
      </c>
      <c r="X1036" s="17">
        <f t="shared" si="487"/>
        <v>1.3333333333333333</v>
      </c>
      <c r="Y1036" s="18">
        <f t="shared" si="488"/>
        <v>0.33333333333333331</v>
      </c>
      <c r="Z1036">
        <v>9</v>
      </c>
      <c r="AA1036">
        <v>19</v>
      </c>
      <c r="AB1036" s="17">
        <f t="shared" si="489"/>
        <v>1</v>
      </c>
      <c r="AC1036" s="17">
        <f t="shared" si="490"/>
        <v>2.1111111111111112</v>
      </c>
      <c r="AD1036" s="18">
        <f t="shared" si="491"/>
        <v>0.47368421052631576</v>
      </c>
      <c r="AE1036">
        <v>44</v>
      </c>
      <c r="AF1036" s="17">
        <f t="shared" si="492"/>
        <v>4.8888888888888893</v>
      </c>
      <c r="AG1036">
        <v>18</v>
      </c>
      <c r="AH1036" s="17">
        <f t="shared" si="493"/>
        <v>2</v>
      </c>
      <c r="AI1036">
        <v>26</v>
      </c>
      <c r="AJ1036" s="17">
        <f t="shared" si="494"/>
        <v>2.8888888888888888</v>
      </c>
      <c r="AK1036">
        <v>10</v>
      </c>
      <c r="AL1036" s="17">
        <f t="shared" si="495"/>
        <v>1.1111111111111112</v>
      </c>
      <c r="AM1036">
        <v>3</v>
      </c>
      <c r="AN1036" s="17">
        <f t="shared" si="496"/>
        <v>0.33333333333333331</v>
      </c>
      <c r="AO1036">
        <v>0</v>
      </c>
      <c r="AQ1036">
        <v>14</v>
      </c>
      <c r="AR1036" s="17">
        <f t="shared" si="497"/>
        <v>1.5555555555555556</v>
      </c>
      <c r="AS1036">
        <v>29</v>
      </c>
      <c r="AT1036" s="17">
        <f t="shared" si="498"/>
        <v>3.2222222222222223</v>
      </c>
      <c r="BD1036" s="65">
        <f t="shared" si="499"/>
        <v>52.261823166552432</v>
      </c>
      <c r="BE1036" s="65">
        <f t="shared" si="500"/>
        <v>52</v>
      </c>
      <c r="BF1036" s="66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14.536133420651918</v>
      </c>
      <c r="BG1036" s="38">
        <f t="shared" si="501"/>
        <v>0.24</v>
      </c>
      <c r="BH1036" s="38">
        <f t="shared" si="502"/>
        <v>0.38</v>
      </c>
      <c r="BI1036" s="67">
        <f>IFERROR(((AG1036*(12000/5))/((F1036*60+G1036)*(SUMIFS(팀공격력!X:X,팀공격력!A:A,B1036,팀공격력!B:B,D1036)+SUMIFS(팀수비력!X:X,팀수비력!A:A,B1036,팀수비력!B:B,D1036))))*100,"")</f>
        <v>4.5010690038884231</v>
      </c>
      <c r="BJ1036" s="67">
        <f>IFERROR(((AI1036*(12000/5))/((F1036*60+G1036)*(SUMIFS(팀공격력!V:V,팀공격력!A:A,B1036,팀공격력!B:B,D1036)+SUMIFS(팀수비력!W:W,팀수비력!A:A,B1036,팀수비력!B:B,D1036))))*100,"")</f>
        <v>12.602699886090981</v>
      </c>
      <c r="BK1036" s="67">
        <f>IFERROR(((AE1036*(12000/5))/((F1036*60+G1036)*(SUMIFS(팀공격력!X:X,팀공격력!A:A,B1036,팀공격력!B:B,D1036)+SUMIFS(팀수비력!X:X,팀수비력!A:A,B1036,팀수비력!B:B,D1036))))*100,"")</f>
        <v>11.002613120616147</v>
      </c>
      <c r="BL1036" s="67">
        <f>IFERROR(100*AK1036/(((((F1036*60+G1036)/(12000/5))*SUMIFS(팀공격력!P:P,팀공격력!A:A,B1036,팀공격력!B:B,D1036))-K1036)),"")</f>
        <v>6.4232263866139965</v>
      </c>
      <c r="BM1036" s="67">
        <f>IFERROR(100*((AM1036/E1036*(2400))/((F1036*60+G1036)*SUMIFS(팀공격력!AR:AR,팀공격력!A:A,B1036,팀공격력!B:B,D1036))),"")</f>
        <v>0.74909737088879824</v>
      </c>
      <c r="BN1036" s="67">
        <f>IFERROR((AO1036*40)/(((F1036*60+G1036)/60)*(SUMIFS(팀수비력!Q:Q,팀수비력!A:A,B1036,팀수비력!B:B,D1036)-SUMIFS(팀수비력!N:N,팀수비력!A:A,B1036,팀수비력!B:B,D1036)))*100,"")</f>
        <v>0</v>
      </c>
      <c r="BO1036" s="67">
        <f t="shared" si="503"/>
        <v>19.347705914870094</v>
      </c>
      <c r="BT1036" t="s">
        <v>89</v>
      </c>
      <c r="BV1036" t="s">
        <v>93</v>
      </c>
      <c r="CF1036">
        <v>4</v>
      </c>
      <c r="CG1036">
        <v>5</v>
      </c>
    </row>
    <row r="1037" spans="1:85" x14ac:dyDescent="0.4">
      <c r="A1037" s="11" t="s">
        <v>85</v>
      </c>
      <c r="B1037" t="s">
        <v>183</v>
      </c>
      <c r="C1037" t="s">
        <v>285</v>
      </c>
      <c r="D1037" s="46" t="s">
        <v>313</v>
      </c>
      <c r="E1037">
        <v>9</v>
      </c>
      <c r="F1037">
        <v>16</v>
      </c>
      <c r="G1037" s="1">
        <v>20</v>
      </c>
      <c r="H1037" s="16">
        <f t="shared" si="478"/>
        <v>8820</v>
      </c>
      <c r="I1037">
        <v>46</v>
      </c>
      <c r="J1037" s="17">
        <f t="shared" si="479"/>
        <v>5.1111111111111107</v>
      </c>
      <c r="K1037">
        <v>20</v>
      </c>
      <c r="L1037">
        <v>43</v>
      </c>
      <c r="M1037" s="17">
        <f t="shared" si="480"/>
        <v>2.2222222222222223</v>
      </c>
      <c r="N1037" s="17">
        <f t="shared" si="481"/>
        <v>4.7777777777777777</v>
      </c>
      <c r="O1037" s="18">
        <f t="shared" si="482"/>
        <v>0.46511627906976744</v>
      </c>
      <c r="P1037">
        <v>16</v>
      </c>
      <c r="Q1037">
        <v>31</v>
      </c>
      <c r="R1037" s="17">
        <f t="shared" si="483"/>
        <v>1.7777777777777777</v>
      </c>
      <c r="S1037" s="17">
        <f t="shared" si="484"/>
        <v>3.4444444444444446</v>
      </c>
      <c r="T1037" s="18">
        <f t="shared" si="485"/>
        <v>0.5161290322580645</v>
      </c>
      <c r="U1037">
        <v>4</v>
      </c>
      <c r="V1037">
        <v>12</v>
      </c>
      <c r="W1037" s="17">
        <f t="shared" si="486"/>
        <v>0.44444444444444442</v>
      </c>
      <c r="X1037" s="17">
        <f t="shared" si="487"/>
        <v>1.3333333333333333</v>
      </c>
      <c r="Y1037" s="18">
        <f t="shared" si="488"/>
        <v>0.33333333333333331</v>
      </c>
      <c r="Z1037">
        <v>2</v>
      </c>
      <c r="AA1037">
        <v>5</v>
      </c>
      <c r="AB1037" s="17">
        <f t="shared" si="489"/>
        <v>0.22222222222222221</v>
      </c>
      <c r="AC1037" s="17">
        <f t="shared" si="490"/>
        <v>0.55555555555555558</v>
      </c>
      <c r="AD1037" s="18">
        <f t="shared" si="491"/>
        <v>0.4</v>
      </c>
      <c r="AE1037">
        <v>27</v>
      </c>
      <c r="AF1037" s="17">
        <f t="shared" si="492"/>
        <v>3</v>
      </c>
      <c r="AG1037">
        <v>11</v>
      </c>
      <c r="AH1037" s="17">
        <f t="shared" si="493"/>
        <v>1.2222222222222223</v>
      </c>
      <c r="AI1037">
        <v>16</v>
      </c>
      <c r="AJ1037" s="17">
        <f t="shared" si="494"/>
        <v>1.7777777777777777</v>
      </c>
      <c r="AK1037">
        <v>2</v>
      </c>
      <c r="AL1037" s="17">
        <f t="shared" si="495"/>
        <v>0.22222222222222221</v>
      </c>
      <c r="AM1037">
        <v>8</v>
      </c>
      <c r="AN1037" s="17">
        <f t="shared" si="496"/>
        <v>0.88888888888888884</v>
      </c>
      <c r="AO1037">
        <v>3</v>
      </c>
      <c r="AQ1037">
        <v>4</v>
      </c>
      <c r="AR1037" s="17">
        <f t="shared" si="497"/>
        <v>0.44444444444444442</v>
      </c>
      <c r="AS1037">
        <v>16</v>
      </c>
      <c r="AT1037" s="17">
        <f t="shared" si="498"/>
        <v>1.7777777777777777</v>
      </c>
      <c r="BD1037" s="65">
        <f t="shared" si="499"/>
        <v>50.884955752212392</v>
      </c>
      <c r="BE1037" s="65">
        <f t="shared" si="500"/>
        <v>51.162790697674424</v>
      </c>
      <c r="BF1037" s="66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14.643874078557042</v>
      </c>
      <c r="BG1037" s="38">
        <f t="shared" si="501"/>
        <v>0.27906976744186046</v>
      </c>
      <c r="BH1037" s="38">
        <f t="shared" si="502"/>
        <v>0.11627906976744186</v>
      </c>
      <c r="BI1037" s="67">
        <f>IFERROR(((AG1037*(12000/5))/((F1037*60+G1037)*(SUMIFS(팀공격력!X:X,팀공격력!A:A,B1037,팀공격력!B:B,D1037)+SUMIFS(팀수비력!X:X,팀수비력!A:A,B1037,팀수비력!B:B,D1037))))*100,"")</f>
        <v>4.0754577171261843</v>
      </c>
      <c r="BJ1037" s="67">
        <f>IFERROR(((AI1037*(12000/5))/((F1037*60+G1037)*(SUMIFS(팀공격력!V:V,팀공격력!A:A,B1037,팀공격력!B:B,D1037)+SUMIFS(팀수비력!W:W,팀수비력!A:A,B1037,팀수비력!B:B,D1037))))*100,"")</f>
        <v>11.490813334131307</v>
      </c>
      <c r="BK1037" s="67">
        <f>IFERROR(((AE1037*(12000/5))/((F1037*60+G1037)*(SUMIFS(팀공격력!X:X,팀공격력!A:A,B1037,팀공격력!B:B,D1037)+SUMIFS(팀수비력!X:X,팀수비력!A:A,B1037,팀수비력!B:B,D1037))))*100,"")</f>
        <v>10.003396214764273</v>
      </c>
      <c r="BL1037" s="67">
        <f>IFERROR(100*AK1037/(((((F1037*60+G1037)/(12000/5))*SUMIFS(팀공격력!P:P,팀공격력!A:A,B1037,팀공격력!B:B,D1037))-K1037)),"")</f>
        <v>1.9748210318439894</v>
      </c>
      <c r="BM1037" s="67">
        <f>IFERROR(100*((AM1037/E1037*(2400))/((F1037*60+G1037)*SUMIFS(팀공격력!AR:AR,팀공격력!A:A,B1037,팀공격력!B:B,D1037))),"")</f>
        <v>2.9596990000830883</v>
      </c>
      <c r="BN1037" s="67">
        <f>IFERROR((AO1037*40)/(((F1037*60+G1037)/60)*(SUMIFS(팀수비력!Q:Q,팀수비력!A:A,B1037,팀수비력!B:B,D1037)-SUMIFS(팀수비력!N:N,팀수비력!A:A,B1037,팀수비력!B:B,D1037)))*100,"")</f>
        <v>1.8140589569161001</v>
      </c>
      <c r="BO1037" s="67">
        <f t="shared" si="503"/>
        <v>8.1300813008130071</v>
      </c>
      <c r="BT1037" t="s">
        <v>89</v>
      </c>
      <c r="BV1037" t="s">
        <v>93</v>
      </c>
      <c r="CF1037">
        <v>4</v>
      </c>
      <c r="CG1037">
        <v>5</v>
      </c>
    </row>
    <row r="1038" spans="1:85" x14ac:dyDescent="0.4">
      <c r="A1038" s="11" t="s">
        <v>85</v>
      </c>
      <c r="B1038" t="s">
        <v>183</v>
      </c>
      <c r="C1038" t="s">
        <v>202</v>
      </c>
      <c r="D1038" s="46" t="s">
        <v>313</v>
      </c>
      <c r="E1038">
        <v>7</v>
      </c>
      <c r="F1038">
        <v>32</v>
      </c>
      <c r="G1038" s="1">
        <v>48</v>
      </c>
      <c r="H1038" s="16">
        <f t="shared" si="478"/>
        <v>13776</v>
      </c>
      <c r="I1038">
        <v>190</v>
      </c>
      <c r="J1038" s="17">
        <f t="shared" si="479"/>
        <v>27.142857142857142</v>
      </c>
      <c r="K1038">
        <v>82</v>
      </c>
      <c r="L1038">
        <v>129</v>
      </c>
      <c r="M1038" s="17">
        <f t="shared" si="480"/>
        <v>11.714285714285714</v>
      </c>
      <c r="N1038" s="17">
        <f t="shared" si="481"/>
        <v>18.428571428571427</v>
      </c>
      <c r="O1038" s="18">
        <f t="shared" si="482"/>
        <v>0.63565891472868219</v>
      </c>
      <c r="P1038">
        <v>82</v>
      </c>
      <c r="Q1038">
        <v>129</v>
      </c>
      <c r="R1038" s="17">
        <f t="shared" si="483"/>
        <v>11.714285714285714</v>
      </c>
      <c r="S1038" s="17">
        <f t="shared" si="484"/>
        <v>18.428571428571427</v>
      </c>
      <c r="T1038" s="18">
        <f t="shared" si="485"/>
        <v>0.63565891472868219</v>
      </c>
      <c r="U1038">
        <v>0</v>
      </c>
      <c r="V1038">
        <v>0</v>
      </c>
      <c r="W1038" s="17">
        <f t="shared" si="486"/>
        <v>0</v>
      </c>
      <c r="X1038" s="17">
        <f t="shared" si="487"/>
        <v>0</v>
      </c>
      <c r="Y1038" s="18" t="e">
        <f t="shared" si="488"/>
        <v>#DIV/0!</v>
      </c>
      <c r="Z1038">
        <v>26</v>
      </c>
      <c r="AA1038">
        <v>48</v>
      </c>
      <c r="AB1038" s="17">
        <f t="shared" si="489"/>
        <v>3.7142857142857144</v>
      </c>
      <c r="AC1038" s="17">
        <f t="shared" si="490"/>
        <v>6.8571428571428568</v>
      </c>
      <c r="AD1038" s="18">
        <f t="shared" si="491"/>
        <v>0.54166666666666663</v>
      </c>
      <c r="AE1038">
        <v>105</v>
      </c>
      <c r="AF1038" s="17">
        <f t="shared" si="492"/>
        <v>15</v>
      </c>
      <c r="AG1038">
        <v>50</v>
      </c>
      <c r="AH1038" s="17">
        <f t="shared" si="493"/>
        <v>7.1428571428571432</v>
      </c>
      <c r="AI1038">
        <v>55</v>
      </c>
      <c r="AJ1038" s="17">
        <f t="shared" si="494"/>
        <v>7.8571428571428568</v>
      </c>
      <c r="AK1038">
        <v>16</v>
      </c>
      <c r="AL1038" s="17">
        <f t="shared" si="495"/>
        <v>2.2857142857142856</v>
      </c>
      <c r="AM1038">
        <v>4</v>
      </c>
      <c r="AN1038" s="17">
        <f t="shared" si="496"/>
        <v>0.5714285714285714</v>
      </c>
      <c r="AO1038">
        <v>9</v>
      </c>
      <c r="AQ1038">
        <v>18</v>
      </c>
      <c r="AR1038" s="17">
        <f t="shared" si="497"/>
        <v>2.5714285714285716</v>
      </c>
      <c r="AS1038">
        <v>13</v>
      </c>
      <c r="AT1038" s="17">
        <f t="shared" si="498"/>
        <v>1.8571428571428572</v>
      </c>
      <c r="BD1038" s="65">
        <f t="shared" si="499"/>
        <v>63.282707167599249</v>
      </c>
      <c r="BE1038" s="65">
        <f t="shared" si="500"/>
        <v>63.565891472868216</v>
      </c>
      <c r="BF1038" s="66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24.917888945539918</v>
      </c>
      <c r="BG1038" s="38">
        <f t="shared" si="501"/>
        <v>0</v>
      </c>
      <c r="BH1038" s="38">
        <f t="shared" si="502"/>
        <v>0.37209302325581395</v>
      </c>
      <c r="BI1038" s="67">
        <f>IFERROR(((AG1038*(12000/5))/((F1038*60+G1038)*(SUMIFS(팀공격력!X:X,팀공격력!A:A,B1038,팀공격력!B:B,D1038)+SUMIFS(팀수비력!X:X,팀수비력!A:A,B1038,팀수비력!B:B,D1038))))*100,"")</f>
        <v>9.224751854175123</v>
      </c>
      <c r="BJ1038" s="67">
        <f>IFERROR(((AI1038*(12000/5))/((F1038*60+G1038)*(SUMIFS(팀공격력!V:V,팀공격력!A:A,B1038,팀공격력!B:B,D1038)+SUMIFS(팀수비력!W:W,팀수비력!A:A,B1038,팀수비력!B:B,D1038))))*100,"")</f>
        <v>19.669551534225018</v>
      </c>
      <c r="BK1038" s="67">
        <f>IFERROR(((AE1038*(12000/5))/((F1038*60+G1038)*(SUMIFS(팀공격력!X:X,팀공격력!A:A,B1038,팀공격력!B:B,D1038)+SUMIFS(팀수비력!X:X,팀수비력!A:A,B1038,팀수비력!B:B,D1038))))*100,"")</f>
        <v>19.371978893767757</v>
      </c>
      <c r="BL1038" s="67">
        <f>IFERROR(100*AK1038/(((((F1038*60+G1038)/(12000/5))*SUMIFS(팀공격력!P:P,팀공격력!A:A,B1038,팀공격력!B:B,D1038))-K1038)),"")</f>
        <v>9.9046675745945283</v>
      </c>
      <c r="BM1038" s="67">
        <f>IFERROR(100*((AM1038/E1038*(2400))/((F1038*60+G1038)*SUMIFS(팀공격력!AR:AR,팀공격력!A:A,B1038,팀공격력!B:B,D1038))),"")</f>
        <v>0.94746461892903733</v>
      </c>
      <c r="BN1038" s="67">
        <f>IFERROR((AO1038*40)/(((F1038*60+G1038)/60)*(SUMIFS(팀수비력!Q:Q,팀수비력!A:A,B1038,팀수비력!B:B,D1038)-SUMIFS(팀수비력!N:N,팀수비력!A:A,B1038,팀수비력!B:B,D1038)))*100,"")</f>
        <v>2.7100271002710032</v>
      </c>
      <c r="BO1038" s="67">
        <f t="shared" si="503"/>
        <v>10.706638115631691</v>
      </c>
      <c r="BT1038" t="s">
        <v>96</v>
      </c>
      <c r="BV1038" t="s">
        <v>102</v>
      </c>
      <c r="CF1038">
        <v>4</v>
      </c>
      <c r="CG1038">
        <v>3</v>
      </c>
    </row>
    <row r="1039" spans="1:85" x14ac:dyDescent="0.4">
      <c r="A1039" s="11" t="s">
        <v>85</v>
      </c>
      <c r="B1039" t="s">
        <v>183</v>
      </c>
      <c r="C1039" t="s">
        <v>87</v>
      </c>
      <c r="D1039" s="46" t="s">
        <v>313</v>
      </c>
      <c r="E1039">
        <v>9</v>
      </c>
      <c r="F1039">
        <v>18</v>
      </c>
      <c r="G1039" s="1">
        <v>6</v>
      </c>
      <c r="H1039" s="16">
        <f t="shared" si="478"/>
        <v>9774</v>
      </c>
      <c r="I1039">
        <v>70</v>
      </c>
      <c r="J1039" s="17">
        <f t="shared" si="479"/>
        <v>7.7777777777777777</v>
      </c>
      <c r="K1039">
        <v>27</v>
      </c>
      <c r="L1039">
        <v>58</v>
      </c>
      <c r="M1039" s="17">
        <f t="shared" si="480"/>
        <v>3</v>
      </c>
      <c r="N1039" s="17">
        <f t="shared" si="481"/>
        <v>6.4444444444444446</v>
      </c>
      <c r="O1039" s="18">
        <f t="shared" si="482"/>
        <v>0.46551724137931033</v>
      </c>
      <c r="P1039">
        <v>12</v>
      </c>
      <c r="Q1039">
        <v>21</v>
      </c>
      <c r="R1039" s="17">
        <f t="shared" si="483"/>
        <v>1.3333333333333333</v>
      </c>
      <c r="S1039" s="17">
        <f t="shared" si="484"/>
        <v>2.3333333333333335</v>
      </c>
      <c r="T1039" s="18">
        <f t="shared" si="485"/>
        <v>0.5714285714285714</v>
      </c>
      <c r="U1039">
        <v>15</v>
      </c>
      <c r="V1039">
        <v>37</v>
      </c>
      <c r="W1039" s="17">
        <f t="shared" si="486"/>
        <v>1.6666666666666667</v>
      </c>
      <c r="X1039" s="17">
        <f t="shared" si="487"/>
        <v>4.1111111111111107</v>
      </c>
      <c r="Y1039" s="18">
        <f t="shared" si="488"/>
        <v>0.40540540540540543</v>
      </c>
      <c r="Z1039">
        <v>1</v>
      </c>
      <c r="AA1039">
        <v>2</v>
      </c>
      <c r="AB1039" s="17">
        <f t="shared" si="489"/>
        <v>0.1111111111111111</v>
      </c>
      <c r="AC1039" s="17">
        <f t="shared" si="490"/>
        <v>0.22222222222222221</v>
      </c>
      <c r="AD1039" s="18">
        <f t="shared" si="491"/>
        <v>0.5</v>
      </c>
      <c r="AE1039">
        <v>18</v>
      </c>
      <c r="AF1039" s="17">
        <f t="shared" si="492"/>
        <v>2</v>
      </c>
      <c r="AG1039">
        <v>7</v>
      </c>
      <c r="AH1039" s="17">
        <f t="shared" si="493"/>
        <v>0.77777777777777779</v>
      </c>
      <c r="AI1039">
        <v>11</v>
      </c>
      <c r="AJ1039" s="17">
        <f t="shared" si="494"/>
        <v>1.2222222222222223</v>
      </c>
      <c r="AK1039">
        <v>12</v>
      </c>
      <c r="AL1039" s="17">
        <f t="shared" si="495"/>
        <v>1.3333333333333333</v>
      </c>
      <c r="AM1039">
        <v>3</v>
      </c>
      <c r="AN1039" s="17">
        <f t="shared" si="496"/>
        <v>0.33333333333333331</v>
      </c>
      <c r="AO1039">
        <v>0</v>
      </c>
      <c r="AQ1039">
        <v>9</v>
      </c>
      <c r="AR1039" s="17">
        <f t="shared" si="497"/>
        <v>1</v>
      </c>
      <c r="AS1039">
        <v>23</v>
      </c>
      <c r="AT1039" s="17">
        <f t="shared" si="498"/>
        <v>2.5555555555555554</v>
      </c>
      <c r="BD1039" s="65">
        <f t="shared" si="499"/>
        <v>59.442934782608688</v>
      </c>
      <c r="BE1039" s="65">
        <f t="shared" si="500"/>
        <v>59.482758620689658</v>
      </c>
      <c r="BF1039" s="66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18.231775610568416</v>
      </c>
      <c r="BG1039" s="38">
        <f t="shared" si="501"/>
        <v>0.63793103448275867</v>
      </c>
      <c r="BH1039" s="38">
        <f t="shared" si="502"/>
        <v>3.4482758620689655E-2</v>
      </c>
      <c r="BI1039" s="67">
        <f>IFERROR(((AG1039*(12000/5))/((F1039*60+G1039)*(SUMIFS(팀공격력!X:X,팀공격력!A:A,B1039,팀공격력!B:B,D1039)+SUMIFS(팀수비력!X:X,팀수비력!A:A,B1039,팀수비력!B:B,D1039))))*100,"")</f>
        <v>2.3403348350481861</v>
      </c>
      <c r="BJ1039" s="67">
        <f>IFERROR(((AI1039*(12000/5))/((F1039*60+G1039)*(SUMIFS(팀공격력!V:V,팀공격력!A:A,B1039,팀공격력!B:B,D1039)+SUMIFS(팀수비력!W:W,팀수비력!A:A,B1039,팀수비력!B:B,D1039))))*100,"")</f>
        <v>7.1288540367135989</v>
      </c>
      <c r="BK1039" s="67">
        <f>IFERROR(((AE1039*(12000/5))/((F1039*60+G1039)*(SUMIFS(팀공격력!X:X,팀공격력!A:A,B1039,팀공격력!B:B,D1039)+SUMIFS(팀수비력!X:X,팀수비력!A:A,B1039,팀수비력!B:B,D1039))))*100,"")</f>
        <v>6.0180038615524776</v>
      </c>
      <c r="BL1039" s="67">
        <f>IFERROR(100*AK1039/(((((F1039*60+G1039)/(12000/5))*SUMIFS(팀공격력!P:P,팀공격력!A:A,B1039,팀공격력!B:B,D1039))-K1039)),"")</f>
        <v>11.173964662336754</v>
      </c>
      <c r="BM1039" s="67">
        <f>IFERROR(100*((AM1039/E1039*(2400))/((F1039*60+G1039)*SUMIFS(팀공격력!AR:AR,팀공격력!A:A,B1039,팀공격력!B:B,D1039))),"")</f>
        <v>1.0015556008568463</v>
      </c>
      <c r="BN1039" s="67">
        <f>IFERROR((AO1039*40)/(((F1039*60+G1039)/60)*(SUMIFS(팀수비력!Q:Q,팀수비력!A:A,B1039,팀수비력!B:B,D1039)-SUMIFS(팀수비력!N:N,팀수비력!A:A,B1039,팀수비력!B:B,D1039)))*100,"")</f>
        <v>0</v>
      </c>
      <c r="BO1039" s="67">
        <f t="shared" si="503"/>
        <v>13.258691809074838</v>
      </c>
      <c r="BT1039" t="s">
        <v>89</v>
      </c>
      <c r="BV1039" t="s">
        <v>90</v>
      </c>
      <c r="CF1039">
        <v>4</v>
      </c>
      <c r="CG1039">
        <v>5</v>
      </c>
    </row>
    <row r="1040" spans="1:85" x14ac:dyDescent="0.4">
      <c r="A1040" s="11" t="s">
        <v>85</v>
      </c>
      <c r="B1040" t="s">
        <v>203</v>
      </c>
      <c r="C1040" t="s">
        <v>204</v>
      </c>
      <c r="D1040" s="46" t="s">
        <v>313</v>
      </c>
      <c r="E1040">
        <v>1</v>
      </c>
      <c r="F1040">
        <v>3</v>
      </c>
      <c r="G1040" s="1">
        <v>52</v>
      </c>
      <c r="H1040" s="16">
        <f t="shared" si="478"/>
        <v>232</v>
      </c>
      <c r="I1040">
        <v>2</v>
      </c>
      <c r="J1040" s="17">
        <f t="shared" si="479"/>
        <v>2</v>
      </c>
      <c r="K1040">
        <v>1</v>
      </c>
      <c r="L1040">
        <v>2</v>
      </c>
      <c r="M1040" s="17">
        <f t="shared" si="480"/>
        <v>1</v>
      </c>
      <c r="N1040" s="17">
        <f t="shared" si="481"/>
        <v>2</v>
      </c>
      <c r="O1040" s="18">
        <f t="shared" si="482"/>
        <v>0.5</v>
      </c>
      <c r="P1040">
        <v>1</v>
      </c>
      <c r="Q1040">
        <v>1</v>
      </c>
      <c r="R1040" s="17">
        <f t="shared" si="483"/>
        <v>1</v>
      </c>
      <c r="S1040" s="17">
        <f t="shared" si="484"/>
        <v>1</v>
      </c>
      <c r="T1040" s="18">
        <f t="shared" si="485"/>
        <v>1</v>
      </c>
      <c r="U1040">
        <v>0</v>
      </c>
      <c r="V1040">
        <v>1</v>
      </c>
      <c r="W1040" s="17">
        <f t="shared" si="486"/>
        <v>0</v>
      </c>
      <c r="X1040" s="17">
        <f t="shared" si="487"/>
        <v>1</v>
      </c>
      <c r="Y1040" s="18">
        <f t="shared" si="488"/>
        <v>0</v>
      </c>
      <c r="Z1040">
        <v>0</v>
      </c>
      <c r="AA1040">
        <v>0</v>
      </c>
      <c r="AB1040" s="17">
        <f t="shared" si="489"/>
        <v>0</v>
      </c>
      <c r="AC1040" s="17">
        <f t="shared" si="490"/>
        <v>0</v>
      </c>
      <c r="AD1040" s="18" t="e">
        <f t="shared" si="491"/>
        <v>#DIV/0!</v>
      </c>
      <c r="AE1040">
        <v>1</v>
      </c>
      <c r="AF1040" s="17">
        <f t="shared" si="492"/>
        <v>1</v>
      </c>
      <c r="AG1040">
        <v>0</v>
      </c>
      <c r="AH1040" s="17">
        <f t="shared" si="493"/>
        <v>0</v>
      </c>
      <c r="AI1040">
        <v>1</v>
      </c>
      <c r="AJ1040" s="17">
        <f t="shared" si="494"/>
        <v>1</v>
      </c>
      <c r="AK1040">
        <v>0</v>
      </c>
      <c r="AL1040" s="17">
        <f t="shared" si="495"/>
        <v>0</v>
      </c>
      <c r="AM1040">
        <v>0</v>
      </c>
      <c r="AN1040" s="17">
        <f t="shared" si="496"/>
        <v>0</v>
      </c>
      <c r="AO1040">
        <v>0</v>
      </c>
      <c r="AQ1040">
        <v>0</v>
      </c>
      <c r="AR1040" s="17">
        <f t="shared" si="497"/>
        <v>0</v>
      </c>
      <c r="AS1040">
        <v>0</v>
      </c>
      <c r="AT1040" s="17">
        <f t="shared" si="498"/>
        <v>0</v>
      </c>
      <c r="BD1040" s="65">
        <f t="shared" si="499"/>
        <v>50</v>
      </c>
      <c r="BE1040" s="65">
        <f t="shared" si="500"/>
        <v>50</v>
      </c>
      <c r="BF1040" s="66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2.1567000763471826</v>
      </c>
      <c r="BG1040" s="38">
        <f t="shared" si="501"/>
        <v>0.5</v>
      </c>
      <c r="BH1040" s="38">
        <f t="shared" si="502"/>
        <v>0</v>
      </c>
      <c r="BI1040" s="67">
        <f>IFERROR(((AG1040*(12000/5))/((F1040*60+G1040)*(SUMIFS(팀공격력!X:X,팀공격력!A:A,B1040,팀공격력!B:B,D1040)+SUMIFS(팀수비력!X:X,팀수비력!A:A,B1040,팀수비력!B:B,D1040))))*100,"")</f>
        <v>0</v>
      </c>
      <c r="BJ1040" s="67">
        <f>IFERROR(((AI1040*(12000/5))/((F1040*60+G1040)*(SUMIFS(팀공격력!V:V,팀공격력!A:A,B1040,팀공격력!B:B,D1040)+SUMIFS(팀수비력!W:W,팀수비력!A:A,B1040,팀수비력!B:B,D1040))))*100,"")</f>
        <v>2.5797575027947373</v>
      </c>
      <c r="BK1040" s="67">
        <f>IFERROR(((AE1040*(12000/5))/((F1040*60+G1040)*(SUMIFS(팀공격력!X:X,팀공격력!A:A,B1040,팀공격력!B:B,D1040)+SUMIFS(팀수비력!X:X,팀수비력!A:A,B1040,팀수비력!B:B,D1040))))*100,"")</f>
        <v>1.3262599469496021</v>
      </c>
      <c r="BL1040" s="67">
        <f>IFERROR(100*AK1040/(((((F1040*60+G1040)/(12000/5))*SUMIFS(팀공격력!P:P,팀공격력!A:A,B1040,팀공격력!B:B,D1040))-K1040)),"")</f>
        <v>0</v>
      </c>
      <c r="BM1040" s="67">
        <f>IFERROR(100*((AM1040/E1040*(2400))/((F1040*60+G1040)*SUMIFS(팀공격력!AR:AR,팀공격력!A:A,B1040,팀공격력!B:B,D1040))),"")</f>
        <v>0</v>
      </c>
      <c r="BN1040" s="67">
        <f>IFERROR((AO1040*40)/(((F1040*60+G1040)/60)*(SUMIFS(팀수비력!Q:Q,팀수비력!A:A,B1040,팀수비력!B:B,D1040)-SUMIFS(팀수비력!N:N,팀수비력!A:A,B1040,팀수비력!B:B,D1040)))*100,"")</f>
        <v>0</v>
      </c>
      <c r="BO1040" s="67">
        <f t="shared" si="503"/>
        <v>0</v>
      </c>
      <c r="BT1040" t="s">
        <v>89</v>
      </c>
      <c r="BV1040" t="s">
        <v>90</v>
      </c>
      <c r="CF1040">
        <v>0</v>
      </c>
      <c r="CG1040">
        <v>1</v>
      </c>
    </row>
    <row r="1041" spans="1:85" x14ac:dyDescent="0.4">
      <c r="A1041" s="11" t="s">
        <v>85</v>
      </c>
      <c r="B1041" t="s">
        <v>203</v>
      </c>
      <c r="C1041" t="s">
        <v>205</v>
      </c>
      <c r="D1041" s="46" t="s">
        <v>313</v>
      </c>
      <c r="E1041">
        <v>10</v>
      </c>
      <c r="F1041">
        <v>9</v>
      </c>
      <c r="G1041" s="1">
        <v>59</v>
      </c>
      <c r="H1041" s="16">
        <f t="shared" si="478"/>
        <v>5990</v>
      </c>
      <c r="I1041">
        <v>75</v>
      </c>
      <c r="J1041" s="17">
        <f t="shared" si="479"/>
        <v>7.5</v>
      </c>
      <c r="K1041">
        <v>30</v>
      </c>
      <c r="L1041">
        <v>44</v>
      </c>
      <c r="M1041" s="17">
        <f t="shared" si="480"/>
        <v>3</v>
      </c>
      <c r="N1041" s="17">
        <f t="shared" si="481"/>
        <v>4.4000000000000004</v>
      </c>
      <c r="O1041" s="18">
        <f t="shared" si="482"/>
        <v>0.68181818181818177</v>
      </c>
      <c r="P1041">
        <v>30</v>
      </c>
      <c r="Q1041">
        <v>44</v>
      </c>
      <c r="R1041" s="17">
        <f t="shared" si="483"/>
        <v>3</v>
      </c>
      <c r="S1041" s="17">
        <f t="shared" si="484"/>
        <v>4.4000000000000004</v>
      </c>
      <c r="T1041" s="18">
        <f t="shared" si="485"/>
        <v>0.68181818181818177</v>
      </c>
      <c r="U1041">
        <v>0</v>
      </c>
      <c r="V1041">
        <v>0</v>
      </c>
      <c r="W1041" s="17">
        <f t="shared" si="486"/>
        <v>0</v>
      </c>
      <c r="X1041" s="17">
        <f t="shared" si="487"/>
        <v>0</v>
      </c>
      <c r="Y1041" s="18" t="e">
        <f t="shared" si="488"/>
        <v>#DIV/0!</v>
      </c>
      <c r="Z1041">
        <v>15</v>
      </c>
      <c r="AA1041">
        <v>22</v>
      </c>
      <c r="AB1041" s="17">
        <f t="shared" si="489"/>
        <v>1.5</v>
      </c>
      <c r="AC1041" s="17">
        <f t="shared" si="490"/>
        <v>2.2000000000000002</v>
      </c>
      <c r="AD1041" s="18">
        <f t="shared" si="491"/>
        <v>0.68181818181818177</v>
      </c>
      <c r="AE1041">
        <v>43</v>
      </c>
      <c r="AF1041" s="17">
        <f t="shared" si="492"/>
        <v>4.3</v>
      </c>
      <c r="AG1041">
        <v>14</v>
      </c>
      <c r="AH1041" s="17">
        <f t="shared" si="493"/>
        <v>1.4</v>
      </c>
      <c r="AI1041">
        <v>29</v>
      </c>
      <c r="AJ1041" s="17">
        <f t="shared" si="494"/>
        <v>2.9</v>
      </c>
      <c r="AK1041">
        <v>5</v>
      </c>
      <c r="AL1041" s="17">
        <f t="shared" si="495"/>
        <v>0.5</v>
      </c>
      <c r="AM1041">
        <v>5</v>
      </c>
      <c r="AN1041" s="17">
        <f t="shared" si="496"/>
        <v>0.5</v>
      </c>
      <c r="AO1041">
        <v>5</v>
      </c>
      <c r="AQ1041">
        <v>4</v>
      </c>
      <c r="AR1041" s="17">
        <f t="shared" si="497"/>
        <v>0.4</v>
      </c>
      <c r="AS1041">
        <v>10</v>
      </c>
      <c r="AT1041" s="17">
        <f t="shared" si="498"/>
        <v>1</v>
      </c>
      <c r="BD1041" s="65">
        <f t="shared" si="499"/>
        <v>69.858420268256339</v>
      </c>
      <c r="BE1041" s="65">
        <f t="shared" si="500"/>
        <v>68.181818181818173</v>
      </c>
      <c r="BF1041" s="66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24.090519877846138</v>
      </c>
      <c r="BG1041" s="38">
        <f t="shared" si="501"/>
        <v>0</v>
      </c>
      <c r="BH1041" s="38">
        <f t="shared" si="502"/>
        <v>0.5</v>
      </c>
      <c r="BI1041" s="67">
        <f>IFERROR(((AG1041*(12000/5))/((F1041*60+G1041)*(SUMIFS(팀공격력!X:X,팀공격력!A:A,B1041,팀공격력!B:B,D1041)+SUMIFS(팀수비력!X:X,팀수비력!A:A,B1041,팀수비력!B:B,D1041))))*100,"")</f>
        <v>7.1914729677667903</v>
      </c>
      <c r="BJ1041" s="67">
        <f>IFERROR(((AI1041*(12000/5))/((F1041*60+G1041)*(SUMIFS(팀공격력!V:V,팀공격력!A:A,B1041,팀공격력!B:B,D1041)+SUMIFS(팀수비력!W:W,팀수비력!A:A,B1041,팀수비력!B:B,D1041))))*100,"")</f>
        <v>28.975974088151908</v>
      </c>
      <c r="BK1041" s="67">
        <f>IFERROR(((AE1041*(12000/5))/((F1041*60+G1041)*(SUMIFS(팀공격력!X:X,팀공격력!A:A,B1041,팀공격력!B:B,D1041)+SUMIFS(팀수비력!X:X,팀수비력!A:A,B1041,팀수비력!B:B,D1041))))*100,"")</f>
        <v>22.088095543855143</v>
      </c>
      <c r="BL1041" s="67">
        <f>IFERROR(100*AK1041/(((((F1041*60+G1041)/(12000/5))*SUMIFS(팀공격력!P:P,팀공격력!A:A,B1041,팀공격력!B:B,D1041))-K1041)),"")</f>
        <v>8.9916602351319153</v>
      </c>
      <c r="BM1041" s="67">
        <f>IFERROR(100*((AM1041/E1041*(2400))/((F1041*60+G1041)*SUMIFS(팀공격력!AR:AR,팀공격력!A:A,B1041,팀공격력!B:B,D1041))),"")</f>
        <v>2.2577677978247079</v>
      </c>
      <c r="BN1041" s="67">
        <f>IFERROR((AO1041*40)/(((F1041*60+G1041)/60)*(SUMIFS(팀수비력!Q:Q,팀수비력!A:A,B1041,팀수비력!B:B,D1041)-SUMIFS(팀수비력!N:N,팀수비력!A:A,B1041,팀수비력!B:B,D1041)))*100,"")</f>
        <v>4.7926767898650864</v>
      </c>
      <c r="BO1041" s="67">
        <f t="shared" si="503"/>
        <v>6.934812760055479</v>
      </c>
      <c r="BT1041" t="s">
        <v>96</v>
      </c>
      <c r="BV1041" t="s">
        <v>102</v>
      </c>
      <c r="CF1041">
        <v>4</v>
      </c>
      <c r="CG1041">
        <v>6</v>
      </c>
    </row>
    <row r="1042" spans="1:85" x14ac:dyDescent="0.4">
      <c r="A1042" s="11" t="s">
        <v>85</v>
      </c>
      <c r="B1042" t="s">
        <v>203</v>
      </c>
      <c r="C1042" t="s">
        <v>206</v>
      </c>
      <c r="D1042" s="46" t="s">
        <v>313</v>
      </c>
      <c r="E1042">
        <v>9</v>
      </c>
      <c r="F1042">
        <v>25</v>
      </c>
      <c r="G1042" s="1">
        <v>20</v>
      </c>
      <c r="H1042" s="16">
        <f t="shared" si="478"/>
        <v>13680</v>
      </c>
      <c r="I1042">
        <v>34</v>
      </c>
      <c r="J1042" s="17">
        <f t="shared" si="479"/>
        <v>3.7777777777777777</v>
      </c>
      <c r="K1042">
        <v>12</v>
      </c>
      <c r="L1042">
        <v>34</v>
      </c>
      <c r="M1042" s="17">
        <f t="shared" si="480"/>
        <v>1.3333333333333333</v>
      </c>
      <c r="N1042" s="17">
        <f t="shared" si="481"/>
        <v>3.7777777777777777</v>
      </c>
      <c r="O1042" s="18">
        <f t="shared" si="482"/>
        <v>0.35294117647058826</v>
      </c>
      <c r="P1042">
        <v>5</v>
      </c>
      <c r="Q1042">
        <v>6</v>
      </c>
      <c r="R1042" s="17">
        <f t="shared" si="483"/>
        <v>0.55555555555555558</v>
      </c>
      <c r="S1042" s="17">
        <f t="shared" si="484"/>
        <v>0.66666666666666663</v>
      </c>
      <c r="T1042" s="18">
        <f t="shared" si="485"/>
        <v>0.83333333333333337</v>
      </c>
      <c r="U1042">
        <v>7</v>
      </c>
      <c r="V1042">
        <v>28</v>
      </c>
      <c r="W1042" s="17">
        <f t="shared" si="486"/>
        <v>0.77777777777777779</v>
      </c>
      <c r="X1042" s="17">
        <f t="shared" si="487"/>
        <v>3.1111111111111112</v>
      </c>
      <c r="Y1042" s="18">
        <f t="shared" si="488"/>
        <v>0.25</v>
      </c>
      <c r="Z1042">
        <v>3</v>
      </c>
      <c r="AA1042">
        <v>4</v>
      </c>
      <c r="AB1042" s="17">
        <f t="shared" si="489"/>
        <v>0.33333333333333331</v>
      </c>
      <c r="AC1042" s="17">
        <f t="shared" si="490"/>
        <v>0.44444444444444442</v>
      </c>
      <c r="AD1042" s="18">
        <f t="shared" si="491"/>
        <v>0.75</v>
      </c>
      <c r="AE1042">
        <v>33</v>
      </c>
      <c r="AF1042" s="17">
        <f t="shared" si="492"/>
        <v>3.6666666666666665</v>
      </c>
      <c r="AG1042">
        <v>11</v>
      </c>
      <c r="AH1042" s="17">
        <f t="shared" si="493"/>
        <v>1.2222222222222223</v>
      </c>
      <c r="AI1042">
        <v>22</v>
      </c>
      <c r="AJ1042" s="17">
        <f t="shared" si="494"/>
        <v>2.4444444444444446</v>
      </c>
      <c r="AK1042">
        <v>18</v>
      </c>
      <c r="AL1042" s="17">
        <f t="shared" si="495"/>
        <v>2</v>
      </c>
      <c r="AM1042">
        <v>10</v>
      </c>
      <c r="AN1042" s="17">
        <f t="shared" si="496"/>
        <v>1.1111111111111112</v>
      </c>
      <c r="AO1042">
        <v>3</v>
      </c>
      <c r="AQ1042">
        <v>4</v>
      </c>
      <c r="AR1042" s="17">
        <f t="shared" si="497"/>
        <v>0.44444444444444442</v>
      </c>
      <c r="AS1042">
        <v>20</v>
      </c>
      <c r="AT1042" s="17">
        <f t="shared" si="498"/>
        <v>2.2222222222222223</v>
      </c>
      <c r="BD1042" s="65">
        <f t="shared" si="499"/>
        <v>47.539149888143179</v>
      </c>
      <c r="BE1042" s="65">
        <f t="shared" si="500"/>
        <v>45.588235294117645</v>
      </c>
      <c r="BF1042" s="66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6.5441090948193557</v>
      </c>
      <c r="BG1042" s="38">
        <f t="shared" si="501"/>
        <v>0.82352941176470584</v>
      </c>
      <c r="BH1042" s="38">
        <f t="shared" si="502"/>
        <v>0.11764705882352941</v>
      </c>
      <c r="BI1042" s="67">
        <f>IFERROR(((AG1042*(12000/5))/((F1042*60+G1042)*(SUMIFS(팀공격력!X:X,팀공격력!A:A,B1042,팀공격력!B:B,D1042)+SUMIFS(팀수비력!X:X,팀수비력!A:A,B1042,팀수비력!B:B,D1042))))*100,"")</f>
        <v>2.2267206477732793</v>
      </c>
      <c r="BJ1042" s="67">
        <f>IFERROR(((AI1042*(12000/5))/((F1042*60+G1042)*(SUMIFS(팀공격력!V:V,팀공격력!A:A,B1042,팀공격력!B:B,D1042)+SUMIFS(팀수비력!W:W,팀수비력!A:A,B1042,팀수비력!B:B,D1042))))*100,"")</f>
        <v>8.6625541409633815</v>
      </c>
      <c r="BK1042" s="67">
        <f>IFERROR(((AE1042*(12000/5))/((F1042*60+G1042)*(SUMIFS(팀공격력!X:X,팀공격력!A:A,B1042,팀공격력!B:B,D1042)+SUMIFS(팀수비력!X:X,팀수비력!A:A,B1042,팀수비력!B:B,D1042))))*100,"")</f>
        <v>6.6801619433198383</v>
      </c>
      <c r="BL1042" s="67">
        <f>IFERROR(100*AK1042/(((((F1042*60+G1042)/(12000/5))*SUMIFS(팀공격력!P:P,팀공격력!A:A,B1042,팀공격력!B:B,D1042))-K1042)),"")</f>
        <v>8.7705051161279854</v>
      </c>
      <c r="BM1042" s="67">
        <f>IFERROR(100*((AM1042/E1042*(2400))/((F1042*60+G1042)*SUMIFS(팀공격력!AR:AR,팀공격력!A:A,B1042,팀공격력!B:B,D1042))),"")</f>
        <v>1.9771972381535088</v>
      </c>
      <c r="BN1042" s="67">
        <f>IFERROR((AO1042*40)/(((F1042*60+G1042)/60)*(SUMIFS(팀수비력!Q:Q,팀수비력!A:A,B1042,팀수비력!B:B,D1042)-SUMIFS(팀수비력!N:N,팀수비력!A:A,B1042,팀수비력!B:B,D1042)))*100,"")</f>
        <v>1.1332158146562581</v>
      </c>
      <c r="BO1042" s="67">
        <f t="shared" si="503"/>
        <v>10.06036217303823</v>
      </c>
      <c r="BT1042" t="s">
        <v>89</v>
      </c>
      <c r="BV1042" t="s">
        <v>93</v>
      </c>
      <c r="CF1042">
        <v>4</v>
      </c>
      <c r="CG1042">
        <v>5</v>
      </c>
    </row>
    <row r="1043" spans="1:85" x14ac:dyDescent="0.4">
      <c r="A1043" s="11" t="s">
        <v>85</v>
      </c>
      <c r="B1043" t="s">
        <v>203</v>
      </c>
      <c r="C1043" t="s">
        <v>207</v>
      </c>
      <c r="D1043" s="46" t="s">
        <v>313</v>
      </c>
      <c r="E1043">
        <v>10</v>
      </c>
      <c r="F1043">
        <v>20</v>
      </c>
      <c r="G1043" s="1">
        <v>26</v>
      </c>
      <c r="H1043" s="16">
        <f t="shared" si="478"/>
        <v>12260</v>
      </c>
      <c r="I1043">
        <v>55</v>
      </c>
      <c r="J1043" s="17">
        <f t="shared" si="479"/>
        <v>5.5</v>
      </c>
      <c r="K1043">
        <v>19</v>
      </c>
      <c r="L1043">
        <v>52</v>
      </c>
      <c r="M1043" s="17">
        <f t="shared" si="480"/>
        <v>1.9</v>
      </c>
      <c r="N1043" s="17">
        <f t="shared" si="481"/>
        <v>5.2</v>
      </c>
      <c r="O1043" s="18">
        <f t="shared" si="482"/>
        <v>0.36538461538461536</v>
      </c>
      <c r="P1043">
        <v>9</v>
      </c>
      <c r="Q1043">
        <v>25</v>
      </c>
      <c r="R1043" s="17">
        <f t="shared" si="483"/>
        <v>0.9</v>
      </c>
      <c r="S1043" s="17">
        <f t="shared" si="484"/>
        <v>2.5</v>
      </c>
      <c r="T1043" s="18">
        <f t="shared" si="485"/>
        <v>0.36</v>
      </c>
      <c r="U1043">
        <v>10</v>
      </c>
      <c r="V1043">
        <v>27</v>
      </c>
      <c r="W1043" s="17">
        <f t="shared" si="486"/>
        <v>1</v>
      </c>
      <c r="X1043" s="17">
        <f t="shared" si="487"/>
        <v>2.7</v>
      </c>
      <c r="Y1043" s="18">
        <f t="shared" si="488"/>
        <v>0.37037037037037035</v>
      </c>
      <c r="Z1043">
        <v>7</v>
      </c>
      <c r="AA1043">
        <v>9</v>
      </c>
      <c r="AB1043" s="17">
        <f t="shared" si="489"/>
        <v>0.7</v>
      </c>
      <c r="AC1043" s="17">
        <f t="shared" si="490"/>
        <v>0.9</v>
      </c>
      <c r="AD1043" s="18">
        <f t="shared" si="491"/>
        <v>0.77777777777777779</v>
      </c>
      <c r="AE1043">
        <v>38</v>
      </c>
      <c r="AF1043" s="17">
        <f t="shared" si="492"/>
        <v>3.8</v>
      </c>
      <c r="AG1043">
        <v>17</v>
      </c>
      <c r="AH1043" s="17">
        <f t="shared" si="493"/>
        <v>1.7</v>
      </c>
      <c r="AI1043">
        <v>21</v>
      </c>
      <c r="AJ1043" s="17">
        <f t="shared" si="494"/>
        <v>2.1</v>
      </c>
      <c r="AK1043">
        <v>15</v>
      </c>
      <c r="AL1043" s="17">
        <f t="shared" si="495"/>
        <v>1.5</v>
      </c>
      <c r="AM1043">
        <v>4</v>
      </c>
      <c r="AN1043" s="17">
        <f t="shared" si="496"/>
        <v>0.4</v>
      </c>
      <c r="AO1043">
        <v>0</v>
      </c>
      <c r="AQ1043">
        <v>5</v>
      </c>
      <c r="AR1043" s="17">
        <f t="shared" si="497"/>
        <v>0.5</v>
      </c>
      <c r="AS1043">
        <v>25</v>
      </c>
      <c r="AT1043" s="17">
        <f t="shared" si="498"/>
        <v>2.5</v>
      </c>
      <c r="BD1043" s="65">
        <f t="shared" si="499"/>
        <v>49.142244460328804</v>
      </c>
      <c r="BE1043" s="65">
        <f t="shared" si="500"/>
        <v>46.153846153846153</v>
      </c>
      <c r="BF1043" s="66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12.439480140194464</v>
      </c>
      <c r="BG1043" s="38">
        <f t="shared" si="501"/>
        <v>0.51923076923076927</v>
      </c>
      <c r="BH1043" s="38">
        <f t="shared" si="502"/>
        <v>0.17307692307692307</v>
      </c>
      <c r="BI1043" s="67">
        <f>IFERROR(((AG1043*(12000/5))/((F1043*60+G1043)*(SUMIFS(팀공격력!X:X,팀공격력!A:A,B1043,팀공격력!B:B,D1043)+SUMIFS(팀수비력!X:X,팀수비력!A:A,B1043,팀수비력!B:B,D1043))))*100,"")</f>
        <v>4.2665328146567951</v>
      </c>
      <c r="BJ1043" s="67">
        <f>IFERROR(((AI1043*(12000/5))/((F1043*60+G1043)*(SUMIFS(팀공격력!V:V,팀공격력!A:A,B1043,팀공격력!B:B,D1043)+SUMIFS(팀수비력!W:W,팀수비력!A:A,B1043,팀수비력!B:B,D1043))))*100,"")</f>
        <v>10.251695394466525</v>
      </c>
      <c r="BK1043" s="67">
        <f>IFERROR(((AE1043*(12000/5))/((F1043*60+G1043)*(SUMIFS(팀공격력!X:X,팀공격력!A:A,B1043,팀공격력!B:B,D1043)+SUMIFS(팀수비력!X:X,팀수비력!A:A,B1043,팀수비력!B:B,D1043))))*100,"")</f>
        <v>9.5369557033504826</v>
      </c>
      <c r="BL1043" s="67">
        <f>IFERROR(100*AK1043/(((((F1043*60+G1043)/(12000/5))*SUMIFS(팀공격력!P:P,팀공격력!A:A,B1043,팀공격력!B:B,D1043))-K1043)),"")</f>
        <v>9.6020996591254626</v>
      </c>
      <c r="BM1043" s="67">
        <f>IFERROR(100*((AM1043/E1043*(2400))/((F1043*60+G1043)*SUMIFS(팀공격력!AR:AR,팀공격력!A:A,B1043,팀공격력!B:B,D1043))),"")</f>
        <v>0.88248150792626434</v>
      </c>
      <c r="BN1043" s="67">
        <f>IFERROR((AO1043*40)/(((F1043*60+G1043)/60)*(SUMIFS(팀수비력!Q:Q,팀수비력!A:A,B1043,팀수비력!B:B,D1043)-SUMIFS(팀수비력!N:N,팀수비력!A:A,B1043,팀수비력!B:B,D1043)))*100,"")</f>
        <v>0</v>
      </c>
      <c r="BO1043" s="67">
        <f t="shared" si="503"/>
        <v>8.2020997375328086</v>
      </c>
      <c r="BT1043" t="s">
        <v>89</v>
      </c>
      <c r="BV1043" t="s">
        <v>93</v>
      </c>
      <c r="CF1043">
        <v>4</v>
      </c>
      <c r="CG1043">
        <v>6</v>
      </c>
    </row>
    <row r="1044" spans="1:85" x14ac:dyDescent="0.4">
      <c r="A1044" s="11" t="s">
        <v>85</v>
      </c>
      <c r="B1044" t="s">
        <v>203</v>
      </c>
      <c r="C1044" t="s">
        <v>208</v>
      </c>
      <c r="D1044" s="46" t="s">
        <v>313</v>
      </c>
      <c r="E1044">
        <v>1</v>
      </c>
      <c r="F1044">
        <v>3</v>
      </c>
      <c r="G1044" s="1">
        <v>0</v>
      </c>
      <c r="H1044" s="16">
        <f t="shared" si="478"/>
        <v>180</v>
      </c>
      <c r="I1044">
        <v>0</v>
      </c>
      <c r="J1044" s="17">
        <f t="shared" si="479"/>
        <v>0</v>
      </c>
      <c r="K1044">
        <v>0</v>
      </c>
      <c r="L1044">
        <v>0</v>
      </c>
      <c r="M1044" s="17">
        <f t="shared" si="480"/>
        <v>0</v>
      </c>
      <c r="N1044" s="17">
        <f t="shared" si="481"/>
        <v>0</v>
      </c>
      <c r="O1044" s="18" t="e">
        <f t="shared" si="482"/>
        <v>#DIV/0!</v>
      </c>
      <c r="P1044">
        <v>0</v>
      </c>
      <c r="Q1044">
        <v>0</v>
      </c>
      <c r="R1044" s="17">
        <f t="shared" si="483"/>
        <v>0</v>
      </c>
      <c r="S1044" s="17">
        <f t="shared" si="484"/>
        <v>0</v>
      </c>
      <c r="T1044" s="18" t="e">
        <f t="shared" si="485"/>
        <v>#DIV/0!</v>
      </c>
      <c r="U1044">
        <v>0</v>
      </c>
      <c r="V1044">
        <v>0</v>
      </c>
      <c r="W1044" s="17">
        <f t="shared" si="486"/>
        <v>0</v>
      </c>
      <c r="X1044" s="17">
        <f t="shared" si="487"/>
        <v>0</v>
      </c>
      <c r="Y1044" s="18" t="e">
        <f t="shared" si="488"/>
        <v>#DIV/0!</v>
      </c>
      <c r="Z1044">
        <v>0</v>
      </c>
      <c r="AA1044">
        <v>0</v>
      </c>
      <c r="AB1044" s="17">
        <f t="shared" si="489"/>
        <v>0</v>
      </c>
      <c r="AC1044" s="17">
        <f t="shared" si="490"/>
        <v>0</v>
      </c>
      <c r="AD1044" s="18" t="e">
        <f t="shared" si="491"/>
        <v>#DIV/0!</v>
      </c>
      <c r="AE1044">
        <v>2</v>
      </c>
      <c r="AF1044" s="17">
        <f t="shared" si="492"/>
        <v>2</v>
      </c>
      <c r="AG1044">
        <v>0</v>
      </c>
      <c r="AH1044" s="17">
        <f t="shared" si="493"/>
        <v>0</v>
      </c>
      <c r="AI1044">
        <v>2</v>
      </c>
      <c r="AJ1044" s="17">
        <f t="shared" si="494"/>
        <v>2</v>
      </c>
      <c r="AK1044">
        <v>0</v>
      </c>
      <c r="AL1044" s="17">
        <f t="shared" si="495"/>
        <v>0</v>
      </c>
      <c r="AM1044">
        <v>0</v>
      </c>
      <c r="AN1044" s="17">
        <f t="shared" si="496"/>
        <v>0</v>
      </c>
      <c r="AO1044">
        <v>0</v>
      </c>
      <c r="AQ1044">
        <v>1</v>
      </c>
      <c r="AR1044" s="17">
        <f t="shared" si="497"/>
        <v>1</v>
      </c>
      <c r="AS1044">
        <v>1</v>
      </c>
      <c r="AT1044" s="17">
        <f t="shared" si="498"/>
        <v>1</v>
      </c>
      <c r="BD1044" s="65" t="str">
        <f t="shared" si="499"/>
        <v/>
      </c>
      <c r="BE1044" s="65" t="str">
        <f t="shared" si="500"/>
        <v/>
      </c>
      <c r="BF1044" s="66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1.389873382534851</v>
      </c>
      <c r="BG1044" s="38" t="str">
        <f t="shared" si="501"/>
        <v/>
      </c>
      <c r="BH1044" s="38" t="str">
        <f t="shared" si="502"/>
        <v/>
      </c>
      <c r="BI1044" s="67">
        <f>IFERROR(((AG1044*(12000/5))/((F1044*60+G1044)*(SUMIFS(팀공격력!X:X,팀공격력!A:A,B1044,팀공격력!B:B,D1044)+SUMIFS(팀수비력!X:X,팀수비력!A:A,B1044,팀수비력!B:B,D1044))))*100,"")</f>
        <v>0</v>
      </c>
      <c r="BJ1044" s="67">
        <f>IFERROR(((AI1044*(12000/5))/((F1044*60+G1044)*(SUMIFS(팀공격력!V:V,팀공격력!A:A,B1044,팀공격력!B:B,D1044)+SUMIFS(팀수비력!W:W,팀수비력!A:A,B1044,팀수비력!B:B,D1044))))*100,"")</f>
        <v>6.6500415627597675</v>
      </c>
      <c r="BK1044" s="67">
        <f>IFERROR(((AE1044*(12000/5))/((F1044*60+G1044)*(SUMIFS(팀공격력!X:X,팀공격력!A:A,B1044,팀공격력!B:B,D1044)+SUMIFS(팀수비력!X:X,팀수비력!A:A,B1044,팀수비력!B:B,D1044))))*100,"")</f>
        <v>3.4188034188034191</v>
      </c>
      <c r="BL1044" s="67">
        <f>IFERROR(100*AK1044/(((((F1044*60+G1044)/(12000/5))*SUMIFS(팀공격력!P:P,팀공격력!A:A,B1044,팀공격력!B:B,D1044))-K1044)),"")</f>
        <v>0</v>
      </c>
      <c r="BM1044" s="67">
        <f>IFERROR(100*((AM1044/E1044*(2400))/((F1044*60+G1044)*SUMIFS(팀공격력!AR:AR,팀공격력!A:A,B1044,팀공격력!B:B,D1044))),"")</f>
        <v>0</v>
      </c>
      <c r="BN1044" s="67">
        <f>IFERROR((AO1044*40)/(((F1044*60+G1044)/60)*(SUMIFS(팀수비력!Q:Q,팀수비력!A:A,B1044,팀수비력!B:B,D1044)-SUMIFS(팀수비력!N:N,팀수비력!A:A,B1044,팀수비력!B:B,D1044)))*100,"")</f>
        <v>0</v>
      </c>
      <c r="BO1044" s="67">
        <f t="shared" si="503"/>
        <v>100</v>
      </c>
      <c r="BT1044" t="s">
        <v>89</v>
      </c>
      <c r="BV1044" t="s">
        <v>90</v>
      </c>
      <c r="CF1044">
        <v>0</v>
      </c>
      <c r="CG1044">
        <v>1</v>
      </c>
    </row>
    <row r="1045" spans="1:85" x14ac:dyDescent="0.4">
      <c r="A1045" s="11" t="s">
        <v>85</v>
      </c>
      <c r="B1045" t="s">
        <v>203</v>
      </c>
      <c r="C1045" t="s">
        <v>209</v>
      </c>
      <c r="D1045" s="46" t="s">
        <v>313</v>
      </c>
      <c r="E1045">
        <v>1</v>
      </c>
      <c r="F1045">
        <v>2</v>
      </c>
      <c r="G1045" s="1">
        <v>41</v>
      </c>
      <c r="H1045" s="16">
        <f t="shared" si="478"/>
        <v>161</v>
      </c>
      <c r="I1045">
        <v>0</v>
      </c>
      <c r="J1045" s="17">
        <f t="shared" si="479"/>
        <v>0</v>
      </c>
      <c r="K1045">
        <v>0</v>
      </c>
      <c r="L1045">
        <v>2</v>
      </c>
      <c r="M1045" s="17">
        <f t="shared" si="480"/>
        <v>0</v>
      </c>
      <c r="N1045" s="17">
        <f t="shared" si="481"/>
        <v>2</v>
      </c>
      <c r="O1045" s="18">
        <f t="shared" si="482"/>
        <v>0</v>
      </c>
      <c r="P1045">
        <v>0</v>
      </c>
      <c r="Q1045">
        <v>0</v>
      </c>
      <c r="R1045" s="17">
        <f t="shared" si="483"/>
        <v>0</v>
      </c>
      <c r="S1045" s="17">
        <f t="shared" si="484"/>
        <v>0</v>
      </c>
      <c r="T1045" s="18" t="e">
        <f t="shared" si="485"/>
        <v>#DIV/0!</v>
      </c>
      <c r="U1045">
        <v>0</v>
      </c>
      <c r="V1045">
        <v>2</v>
      </c>
      <c r="W1045" s="17">
        <f t="shared" si="486"/>
        <v>0</v>
      </c>
      <c r="X1045" s="17">
        <f t="shared" si="487"/>
        <v>2</v>
      </c>
      <c r="Y1045" s="18">
        <f t="shared" si="488"/>
        <v>0</v>
      </c>
      <c r="Z1045">
        <v>0</v>
      </c>
      <c r="AA1045">
        <v>0</v>
      </c>
      <c r="AB1045" s="17">
        <f t="shared" si="489"/>
        <v>0</v>
      </c>
      <c r="AC1045" s="17">
        <f t="shared" si="490"/>
        <v>0</v>
      </c>
      <c r="AD1045" s="18" t="e">
        <f t="shared" si="491"/>
        <v>#DIV/0!</v>
      </c>
      <c r="AE1045">
        <v>1</v>
      </c>
      <c r="AF1045" s="17">
        <f t="shared" si="492"/>
        <v>1</v>
      </c>
      <c r="AG1045">
        <v>0</v>
      </c>
      <c r="AH1045" s="17">
        <f t="shared" si="493"/>
        <v>0</v>
      </c>
      <c r="AI1045">
        <v>1</v>
      </c>
      <c r="AJ1045" s="17">
        <f t="shared" si="494"/>
        <v>1</v>
      </c>
      <c r="AK1045">
        <v>0</v>
      </c>
      <c r="AL1045" s="17">
        <f t="shared" si="495"/>
        <v>0</v>
      </c>
      <c r="AM1045">
        <v>0</v>
      </c>
      <c r="AN1045" s="17">
        <f t="shared" si="496"/>
        <v>0</v>
      </c>
      <c r="AO1045">
        <v>0</v>
      </c>
      <c r="AQ1045">
        <v>0</v>
      </c>
      <c r="AR1045" s="17">
        <f t="shared" si="497"/>
        <v>0</v>
      </c>
      <c r="AS1045">
        <v>2</v>
      </c>
      <c r="AT1045" s="17">
        <f t="shared" si="498"/>
        <v>2</v>
      </c>
      <c r="BD1045" s="65">
        <f t="shared" si="499"/>
        <v>0</v>
      </c>
      <c r="BE1045" s="65">
        <f t="shared" si="500"/>
        <v>0</v>
      </c>
      <c r="BF1045" s="66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3.1077914143636418</v>
      </c>
      <c r="BG1045" s="38">
        <f t="shared" si="501"/>
        <v>1</v>
      </c>
      <c r="BH1045" s="38">
        <f t="shared" si="502"/>
        <v>0</v>
      </c>
      <c r="BI1045" s="67">
        <f>IFERROR(((AG1045*(12000/5))/((F1045*60+G1045)*(SUMIFS(팀공격력!X:X,팀공격력!A:A,B1045,팀공격력!B:B,D1045)+SUMIFS(팀수비력!X:X,팀수비력!A:A,B1045,팀수비력!B:B,D1045))))*100,"")</f>
        <v>0</v>
      </c>
      <c r="BJ1045" s="67">
        <f>IFERROR(((AI1045*(12000/5))/((F1045*60+G1045)*(SUMIFS(팀공격력!V:V,팀공격력!A:A,B1045,팀공격력!B:B,D1045)+SUMIFS(팀수비력!W:W,팀수비력!A:A,B1045,팀수비력!B:B,D1045))))*100,"")</f>
        <v>3.7174145381886894</v>
      </c>
      <c r="BK1045" s="67">
        <f>IFERROR(((AE1045*(12000/5))/((F1045*60+G1045)*(SUMIFS(팀공격력!X:X,팀공격력!A:A,B1045,팀공격력!B:B,D1045)+SUMIFS(팀수비력!X:X,팀수비력!A:A,B1045,팀수비력!B:B,D1045))))*100,"")</f>
        <v>1.9111323459149547</v>
      </c>
      <c r="BL1045" s="67">
        <f>IFERROR(100*AK1045/(((((F1045*60+G1045)/(12000/5))*SUMIFS(팀공격력!P:P,팀공격력!A:A,B1045,팀공격력!B:B,D1045))-K1045)),"")</f>
        <v>0</v>
      </c>
      <c r="BM1045" s="67">
        <f>IFERROR(100*((AM1045/E1045*(2400))/((F1045*60+G1045)*SUMIFS(팀공격력!AR:AR,팀공격력!A:A,B1045,팀공격력!B:B,D1045))),"")</f>
        <v>0</v>
      </c>
      <c r="BN1045" s="67">
        <f>IFERROR((AO1045*40)/(((F1045*60+G1045)/60)*(SUMIFS(팀수비력!Q:Q,팀수비력!A:A,B1045,팀수비력!B:B,D1045)-SUMIFS(팀수비력!N:N,팀수비력!A:A,B1045,팀수비력!B:B,D1045)))*100,"")</f>
        <v>0</v>
      </c>
      <c r="BO1045" s="67">
        <f t="shared" si="503"/>
        <v>0</v>
      </c>
      <c r="BT1045" t="s">
        <v>89</v>
      </c>
      <c r="BV1045" t="s">
        <v>93</v>
      </c>
      <c r="CF1045">
        <v>1</v>
      </c>
      <c r="CG1045">
        <v>0</v>
      </c>
    </row>
    <row r="1046" spans="1:85" x14ac:dyDescent="0.4">
      <c r="A1046" s="11" t="s">
        <v>85</v>
      </c>
      <c r="B1046" t="s">
        <v>203</v>
      </c>
      <c r="C1046" t="s">
        <v>210</v>
      </c>
      <c r="D1046" s="46" t="s">
        <v>313</v>
      </c>
      <c r="E1046">
        <v>2</v>
      </c>
      <c r="F1046">
        <v>10</v>
      </c>
      <c r="G1046" s="1">
        <v>39</v>
      </c>
      <c r="H1046" s="16">
        <f t="shared" si="478"/>
        <v>1278</v>
      </c>
      <c r="I1046">
        <v>4</v>
      </c>
      <c r="J1046" s="17">
        <f t="shared" si="479"/>
        <v>2</v>
      </c>
      <c r="K1046">
        <v>2</v>
      </c>
      <c r="L1046">
        <v>5</v>
      </c>
      <c r="M1046" s="17">
        <f t="shared" si="480"/>
        <v>1</v>
      </c>
      <c r="N1046" s="17">
        <f t="shared" si="481"/>
        <v>2.5</v>
      </c>
      <c r="O1046" s="18">
        <f t="shared" si="482"/>
        <v>0.4</v>
      </c>
      <c r="P1046">
        <v>2</v>
      </c>
      <c r="Q1046">
        <v>5</v>
      </c>
      <c r="R1046" s="17">
        <f t="shared" si="483"/>
        <v>1</v>
      </c>
      <c r="S1046" s="17">
        <f t="shared" si="484"/>
        <v>2.5</v>
      </c>
      <c r="T1046" s="18">
        <f t="shared" si="485"/>
        <v>0.4</v>
      </c>
      <c r="U1046">
        <v>0</v>
      </c>
      <c r="V1046">
        <v>0</v>
      </c>
      <c r="W1046" s="17">
        <f t="shared" si="486"/>
        <v>0</v>
      </c>
      <c r="X1046" s="17">
        <f t="shared" si="487"/>
        <v>0</v>
      </c>
      <c r="Y1046" s="18" t="e">
        <f t="shared" si="488"/>
        <v>#DIV/0!</v>
      </c>
      <c r="Z1046">
        <v>0</v>
      </c>
      <c r="AA1046">
        <v>1</v>
      </c>
      <c r="AB1046" s="17">
        <f t="shared" si="489"/>
        <v>0</v>
      </c>
      <c r="AC1046" s="17">
        <f t="shared" si="490"/>
        <v>0.5</v>
      </c>
      <c r="AD1046" s="18">
        <f t="shared" si="491"/>
        <v>0</v>
      </c>
      <c r="AE1046">
        <v>2</v>
      </c>
      <c r="AF1046" s="17">
        <f t="shared" si="492"/>
        <v>1</v>
      </c>
      <c r="AG1046">
        <v>1</v>
      </c>
      <c r="AH1046" s="17">
        <f t="shared" si="493"/>
        <v>0.5</v>
      </c>
      <c r="AI1046">
        <v>1</v>
      </c>
      <c r="AJ1046" s="17">
        <f t="shared" si="494"/>
        <v>0.5</v>
      </c>
      <c r="AK1046">
        <v>1</v>
      </c>
      <c r="AL1046" s="17">
        <f t="shared" si="495"/>
        <v>0.5</v>
      </c>
      <c r="AM1046">
        <v>0</v>
      </c>
      <c r="AN1046" s="17">
        <f t="shared" si="496"/>
        <v>0</v>
      </c>
      <c r="AO1046">
        <v>1</v>
      </c>
      <c r="AQ1046">
        <v>1</v>
      </c>
      <c r="AR1046" s="17">
        <f t="shared" si="497"/>
        <v>0.5</v>
      </c>
      <c r="AS1046">
        <v>4</v>
      </c>
      <c r="AT1046" s="17">
        <f t="shared" si="498"/>
        <v>2</v>
      </c>
      <c r="BD1046" s="65">
        <f t="shared" si="499"/>
        <v>36.764705882352935</v>
      </c>
      <c r="BE1046" s="65">
        <f t="shared" si="500"/>
        <v>40</v>
      </c>
      <c r="BF1046" s="66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2.5213477700068854</v>
      </c>
      <c r="BG1046" s="38">
        <f t="shared" si="501"/>
        <v>0</v>
      </c>
      <c r="BH1046" s="38">
        <f t="shared" si="502"/>
        <v>0.2</v>
      </c>
      <c r="BI1046" s="67">
        <f>IFERROR(((AG1046*(12000/5))/((F1046*60+G1046)*(SUMIFS(팀공격력!X:X,팀공격력!A:A,B1046,팀공격력!B:B,D1046)+SUMIFS(팀수비력!X:X,팀수비력!A:A,B1046,팀수비력!B:B,D1046))))*100,"")</f>
        <v>0.48152160828217161</v>
      </c>
      <c r="BJ1046" s="67">
        <f>IFERROR(((AI1046*(12000/5))/((F1046*60+G1046)*(SUMIFS(팀공격력!V:V,팀공격력!A:A,B1046,팀공격력!B:B,D1046)+SUMIFS(팀수비력!W:W,팀수비력!A:A,B1046,팀수비력!B:B,D1046))))*100,"")</f>
        <v>0.93662557221968545</v>
      </c>
      <c r="BK1046" s="67">
        <f>IFERROR(((AE1046*(12000/5))/((F1046*60+G1046)*(SUMIFS(팀공격력!X:X,팀공격력!A:A,B1046,팀공격력!B:B,D1046)+SUMIFS(팀수비력!X:X,팀수비력!A:A,B1046,팀수비력!B:B,D1046))))*100,"")</f>
        <v>0.96304321656434322</v>
      </c>
      <c r="BL1046" s="67">
        <f>IFERROR(100*AK1046/(((((F1046*60+G1046)/(12000/5))*SUMIFS(팀공격력!P:P,팀공격력!A:A,B1046,팀공격력!B:B,D1046))-K1046)),"")</f>
        <v>1.1195230831665712</v>
      </c>
      <c r="BM1046" s="67">
        <f>IFERROR(100*((AM1046/E1046*(2400))/((F1046*60+G1046)*SUMIFS(팀공격력!AR:AR,팀공격력!A:A,B1046,팀공격력!B:B,D1046))),"")</f>
        <v>0</v>
      </c>
      <c r="BN1046" s="67">
        <f>IFERROR((AO1046*40)/(((F1046*60+G1046)/60)*(SUMIFS(팀수비력!Q:Q,팀수비력!A:A,B1046,팀수비력!B:B,D1046)-SUMIFS(팀수비력!N:N,팀수비력!A:A,B1046,팀수비력!B:B,D1046)))*100,"")</f>
        <v>0.89853314464137302</v>
      </c>
      <c r="BO1046" s="67">
        <f t="shared" si="503"/>
        <v>15.527950310559005</v>
      </c>
      <c r="BT1046" t="s">
        <v>89</v>
      </c>
      <c r="BV1046" t="s">
        <v>102</v>
      </c>
      <c r="CF1046">
        <v>0</v>
      </c>
      <c r="CG1046">
        <v>2</v>
      </c>
    </row>
    <row r="1047" spans="1:85" x14ac:dyDescent="0.4">
      <c r="A1047" s="11" t="s">
        <v>85</v>
      </c>
      <c r="B1047" t="s">
        <v>203</v>
      </c>
      <c r="C1047" t="s">
        <v>212</v>
      </c>
      <c r="D1047" s="46" t="s">
        <v>313</v>
      </c>
      <c r="E1047">
        <v>6</v>
      </c>
      <c r="F1047">
        <v>12</v>
      </c>
      <c r="G1047" s="1">
        <v>57</v>
      </c>
      <c r="H1047" s="16">
        <f t="shared" si="478"/>
        <v>4662</v>
      </c>
      <c r="I1047">
        <v>23</v>
      </c>
      <c r="J1047" s="17">
        <f t="shared" si="479"/>
        <v>3.8333333333333335</v>
      </c>
      <c r="K1047">
        <v>9</v>
      </c>
      <c r="L1047">
        <v>26</v>
      </c>
      <c r="M1047" s="17">
        <f t="shared" si="480"/>
        <v>1.5</v>
      </c>
      <c r="N1047" s="17">
        <f t="shared" si="481"/>
        <v>4.333333333333333</v>
      </c>
      <c r="O1047" s="18">
        <f t="shared" si="482"/>
        <v>0.34615384615384615</v>
      </c>
      <c r="P1047">
        <v>9</v>
      </c>
      <c r="Q1047">
        <v>25</v>
      </c>
      <c r="R1047" s="17">
        <f t="shared" si="483"/>
        <v>1.5</v>
      </c>
      <c r="S1047" s="17">
        <f t="shared" si="484"/>
        <v>4.166666666666667</v>
      </c>
      <c r="T1047" s="18">
        <f t="shared" si="485"/>
        <v>0.36</v>
      </c>
      <c r="U1047">
        <v>0</v>
      </c>
      <c r="V1047">
        <v>1</v>
      </c>
      <c r="W1047" s="17">
        <f t="shared" si="486"/>
        <v>0</v>
      </c>
      <c r="X1047" s="17">
        <f t="shared" si="487"/>
        <v>0.16666666666666666</v>
      </c>
      <c r="Y1047" s="18">
        <f t="shared" si="488"/>
        <v>0</v>
      </c>
      <c r="Z1047">
        <v>5</v>
      </c>
      <c r="AA1047">
        <v>10</v>
      </c>
      <c r="AB1047" s="17">
        <f t="shared" si="489"/>
        <v>0.83333333333333337</v>
      </c>
      <c r="AC1047" s="17">
        <f t="shared" si="490"/>
        <v>1.6666666666666667</v>
      </c>
      <c r="AD1047" s="18">
        <f t="shared" si="491"/>
        <v>0.5</v>
      </c>
      <c r="AE1047">
        <v>22</v>
      </c>
      <c r="AF1047" s="17">
        <f t="shared" si="492"/>
        <v>3.6666666666666665</v>
      </c>
      <c r="AG1047">
        <v>14</v>
      </c>
      <c r="AH1047" s="17">
        <f t="shared" si="493"/>
        <v>2.3333333333333335</v>
      </c>
      <c r="AI1047">
        <v>8</v>
      </c>
      <c r="AJ1047" s="17">
        <f t="shared" si="494"/>
        <v>1.3333333333333333</v>
      </c>
      <c r="AK1047">
        <v>0</v>
      </c>
      <c r="AL1047" s="17">
        <f t="shared" si="495"/>
        <v>0</v>
      </c>
      <c r="AM1047">
        <v>2</v>
      </c>
      <c r="AN1047" s="17">
        <f t="shared" si="496"/>
        <v>0.33333333333333331</v>
      </c>
      <c r="AO1047">
        <v>2</v>
      </c>
      <c r="AQ1047">
        <v>3</v>
      </c>
      <c r="AR1047" s="17">
        <f t="shared" si="497"/>
        <v>0.5</v>
      </c>
      <c r="AS1047">
        <v>11</v>
      </c>
      <c r="AT1047" s="17">
        <f t="shared" si="498"/>
        <v>1.8333333333333333</v>
      </c>
      <c r="BD1047" s="65">
        <f t="shared" si="499"/>
        <v>37.828947368421055</v>
      </c>
      <c r="BE1047" s="65">
        <f t="shared" si="500"/>
        <v>34.615384615384613</v>
      </c>
      <c r="BF1047" s="66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10.754078218532207</v>
      </c>
      <c r="BG1047" s="38">
        <f t="shared" si="501"/>
        <v>3.8461538461538464E-2</v>
      </c>
      <c r="BH1047" s="38">
        <f t="shared" si="502"/>
        <v>0.38461538461538464</v>
      </c>
      <c r="BI1047" s="67">
        <f>IFERROR(((AG1047*(12000/5))/((F1047*60+G1047)*(SUMIFS(팀공격력!X:X,팀공격력!A:A,B1047,팀공격력!B:B,D1047)+SUMIFS(팀수비력!X:X,팀수비력!A:A,B1047,팀수비력!B:B,D1047))))*100,"")</f>
        <v>5.544005544005544</v>
      </c>
      <c r="BJ1047" s="67">
        <f>IFERROR(((AI1047*(12000/5))/((F1047*60+G1047)*(SUMIFS(팀공격력!V:V,팀공격력!A:A,B1047,팀공격력!B:B,D1047)+SUMIFS(팀수비력!W:W,팀수비력!A:A,B1047,팀수비력!B:B,D1047))))*100,"")</f>
        <v>6.1622006759163863</v>
      </c>
      <c r="BK1047" s="67">
        <f>IFERROR(((AE1047*(12000/5))/((F1047*60+G1047)*(SUMIFS(팀공격력!X:X,팀공격력!A:A,B1047,팀공격력!B:B,D1047)+SUMIFS(팀수비력!X:X,팀수비력!A:A,B1047,팀수비력!B:B,D1047))))*100,"")</f>
        <v>8.7120087120087124</v>
      </c>
      <c r="BL1047" s="67">
        <f>IFERROR(100*AK1047/(((((F1047*60+G1047)/(12000/5))*SUMIFS(팀공격력!P:P,팀공격력!A:A,B1047,팀공격력!B:B,D1047))-K1047)),"")</f>
        <v>0</v>
      </c>
      <c r="BM1047" s="67">
        <f>IFERROR(100*((AM1047/E1047*(2400))/((F1047*60+G1047)*SUMIFS(팀공격력!AR:AR,팀공격력!A:A,B1047,팀공격력!B:B,D1047))),"")</f>
        <v>1.1603628579124841</v>
      </c>
      <c r="BN1047" s="67">
        <f>IFERROR((AO1047*40)/(((F1047*60+G1047)/60)*(SUMIFS(팀수비력!Q:Q,팀수비력!A:A,B1047,팀수비력!B:B,D1047)-SUMIFS(팀수비력!N:N,팀수비력!A:A,B1047,팀수비력!B:B,D1047)))*100,"")</f>
        <v>1.4778962147383201</v>
      </c>
      <c r="BO1047" s="67">
        <f t="shared" si="503"/>
        <v>8.9820359281437128</v>
      </c>
      <c r="BT1047" t="s">
        <v>89</v>
      </c>
      <c r="BV1047" t="s">
        <v>102</v>
      </c>
      <c r="CF1047">
        <v>2</v>
      </c>
      <c r="CG1047">
        <v>4</v>
      </c>
    </row>
    <row r="1048" spans="1:85" x14ac:dyDescent="0.4">
      <c r="A1048" s="11" t="s">
        <v>85</v>
      </c>
      <c r="B1048" t="s">
        <v>203</v>
      </c>
      <c r="C1048" t="s">
        <v>214</v>
      </c>
      <c r="D1048" s="46" t="s">
        <v>313</v>
      </c>
      <c r="E1048">
        <v>4</v>
      </c>
      <c r="F1048">
        <v>9</v>
      </c>
      <c r="G1048" s="1">
        <v>46</v>
      </c>
      <c r="H1048" s="16">
        <f t="shared" si="478"/>
        <v>2344</v>
      </c>
      <c r="I1048">
        <v>3</v>
      </c>
      <c r="J1048" s="17">
        <f t="shared" si="479"/>
        <v>0.75</v>
      </c>
      <c r="K1048">
        <v>1</v>
      </c>
      <c r="L1048">
        <v>9</v>
      </c>
      <c r="M1048" s="17">
        <f t="shared" si="480"/>
        <v>0.25</v>
      </c>
      <c r="N1048" s="17">
        <f t="shared" si="481"/>
        <v>2.25</v>
      </c>
      <c r="O1048" s="18">
        <f t="shared" si="482"/>
        <v>0.1111111111111111</v>
      </c>
      <c r="P1048">
        <v>0</v>
      </c>
      <c r="Q1048">
        <v>0</v>
      </c>
      <c r="R1048" s="17">
        <f t="shared" si="483"/>
        <v>0</v>
      </c>
      <c r="S1048" s="17">
        <f t="shared" si="484"/>
        <v>0</v>
      </c>
      <c r="T1048" s="18" t="e">
        <f t="shared" si="485"/>
        <v>#DIV/0!</v>
      </c>
      <c r="U1048">
        <v>1</v>
      </c>
      <c r="V1048">
        <v>9</v>
      </c>
      <c r="W1048" s="17">
        <f t="shared" si="486"/>
        <v>0.25</v>
      </c>
      <c r="X1048" s="17">
        <f t="shared" si="487"/>
        <v>2.25</v>
      </c>
      <c r="Y1048" s="18">
        <f t="shared" si="488"/>
        <v>0.1111111111111111</v>
      </c>
      <c r="Z1048">
        <v>0</v>
      </c>
      <c r="AA1048">
        <v>0</v>
      </c>
      <c r="AB1048" s="17">
        <f t="shared" si="489"/>
        <v>0</v>
      </c>
      <c r="AC1048" s="17">
        <f t="shared" si="490"/>
        <v>0</v>
      </c>
      <c r="AD1048" s="18" t="e">
        <f t="shared" si="491"/>
        <v>#DIV/0!</v>
      </c>
      <c r="AE1048">
        <v>7</v>
      </c>
      <c r="AF1048" s="17">
        <f t="shared" si="492"/>
        <v>1.75</v>
      </c>
      <c r="AG1048">
        <v>1</v>
      </c>
      <c r="AH1048" s="17">
        <f t="shared" si="493"/>
        <v>0.25</v>
      </c>
      <c r="AI1048">
        <v>6</v>
      </c>
      <c r="AJ1048" s="17">
        <f t="shared" si="494"/>
        <v>1.5</v>
      </c>
      <c r="AK1048">
        <v>0</v>
      </c>
      <c r="AL1048" s="17">
        <f t="shared" si="495"/>
        <v>0</v>
      </c>
      <c r="AM1048">
        <v>0</v>
      </c>
      <c r="AN1048" s="17">
        <f t="shared" si="496"/>
        <v>0</v>
      </c>
      <c r="AO1048">
        <v>0</v>
      </c>
      <c r="AQ1048">
        <v>0</v>
      </c>
      <c r="AR1048" s="17">
        <f t="shared" si="497"/>
        <v>0</v>
      </c>
      <c r="AS1048">
        <v>6</v>
      </c>
      <c r="AT1048" s="17">
        <f t="shared" si="498"/>
        <v>1.5</v>
      </c>
      <c r="BD1048" s="65">
        <f t="shared" si="499"/>
        <v>16.666666666666664</v>
      </c>
      <c r="BE1048" s="65">
        <f t="shared" si="500"/>
        <v>16.666666666666664</v>
      </c>
      <c r="BF1048" s="66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3.8423120814103391</v>
      </c>
      <c r="BG1048" s="38">
        <f t="shared" si="501"/>
        <v>1</v>
      </c>
      <c r="BH1048" s="38">
        <f t="shared" si="502"/>
        <v>0</v>
      </c>
      <c r="BI1048" s="67">
        <f>IFERROR(((AG1048*(12000/5))/((F1048*60+G1048)*(SUMIFS(팀공격력!X:X,팀공격력!A:A,B1048,팀공격력!B:B,D1048)+SUMIFS(팀수비력!X:X,팀수비력!A:A,B1048,팀수비력!B:B,D1048))))*100,"")</f>
        <v>0.52507219742714617</v>
      </c>
      <c r="BJ1048" s="67">
        <f>IFERROR(((AI1048*(12000/5))/((F1048*60+G1048)*(SUMIFS(팀공격력!V:V,팀공격력!A:A,B1048,팀공격력!B:B,D1048)+SUMIFS(팀수비력!W:W,팀수비력!A:A,B1048,팀수비력!B:B,D1048))))*100,"")</f>
        <v>6.1280246482769192</v>
      </c>
      <c r="BK1048" s="67">
        <f>IFERROR(((AE1048*(12000/5))/((F1048*60+G1048)*(SUMIFS(팀공격력!X:X,팀공격력!A:A,B1048,팀공격력!B:B,D1048)+SUMIFS(팀수비력!X:X,팀수비력!A:A,B1048,팀수비력!B:B,D1048))))*100,"")</f>
        <v>3.6755053819900234</v>
      </c>
      <c r="BL1048" s="67">
        <f>IFERROR(100*AK1048/(((((F1048*60+G1048)/(12000/5))*SUMIFS(팀공격력!P:P,팀공격력!A:A,B1048,팀공격력!B:B,D1048))-K1048)),"")</f>
        <v>0</v>
      </c>
      <c r="BM1048" s="67">
        <f>IFERROR(100*((AM1048/E1048*(2400))/((F1048*60+G1048)*SUMIFS(팀공격력!AR:AR,팀공격력!A:A,B1048,팀공격력!B:B,D1048))),"")</f>
        <v>0</v>
      </c>
      <c r="BN1048" s="67">
        <f>IFERROR((AO1048*40)/(((F1048*60+G1048)/60)*(SUMIFS(팀수비력!Q:Q,팀수비력!A:A,B1048,팀수비력!B:B,D1048)-SUMIFS(팀수비력!N:N,팀수비력!A:A,B1048,팀수비력!B:B,D1048)))*100,"")</f>
        <v>0</v>
      </c>
      <c r="BO1048" s="67">
        <f t="shared" si="503"/>
        <v>0</v>
      </c>
      <c r="BT1048" t="s">
        <v>89</v>
      </c>
      <c r="BV1048" t="s">
        <v>90</v>
      </c>
      <c r="CF1048">
        <v>1</v>
      </c>
      <c r="CG1048">
        <v>3</v>
      </c>
    </row>
    <row r="1049" spans="1:85" x14ac:dyDescent="0.4">
      <c r="A1049" s="11" t="s">
        <v>85</v>
      </c>
      <c r="B1049" t="s">
        <v>203</v>
      </c>
      <c r="C1049" t="s">
        <v>215</v>
      </c>
      <c r="D1049" s="46" t="s">
        <v>313</v>
      </c>
      <c r="E1049">
        <v>1</v>
      </c>
      <c r="F1049">
        <v>6</v>
      </c>
      <c r="G1049" s="1">
        <v>19</v>
      </c>
      <c r="H1049" s="16">
        <f t="shared" si="478"/>
        <v>379</v>
      </c>
      <c r="I1049">
        <v>0</v>
      </c>
      <c r="J1049" s="17">
        <f t="shared" si="479"/>
        <v>0</v>
      </c>
      <c r="K1049">
        <v>0</v>
      </c>
      <c r="L1049">
        <v>3</v>
      </c>
      <c r="M1049" s="17">
        <f t="shared" si="480"/>
        <v>0</v>
      </c>
      <c r="N1049" s="17">
        <f t="shared" si="481"/>
        <v>3</v>
      </c>
      <c r="O1049" s="18">
        <f t="shared" si="482"/>
        <v>0</v>
      </c>
      <c r="P1049">
        <v>0</v>
      </c>
      <c r="Q1049">
        <v>0</v>
      </c>
      <c r="R1049" s="17">
        <f t="shared" si="483"/>
        <v>0</v>
      </c>
      <c r="S1049" s="17">
        <f t="shared" si="484"/>
        <v>0</v>
      </c>
      <c r="T1049" s="18" t="e">
        <f t="shared" si="485"/>
        <v>#DIV/0!</v>
      </c>
      <c r="U1049">
        <v>0</v>
      </c>
      <c r="V1049">
        <v>3</v>
      </c>
      <c r="W1049" s="17">
        <f t="shared" si="486"/>
        <v>0</v>
      </c>
      <c r="X1049" s="17">
        <f t="shared" si="487"/>
        <v>3</v>
      </c>
      <c r="Y1049" s="18">
        <f t="shared" si="488"/>
        <v>0</v>
      </c>
      <c r="Z1049">
        <v>0</v>
      </c>
      <c r="AA1049">
        <v>0</v>
      </c>
      <c r="AB1049" s="17">
        <f t="shared" si="489"/>
        <v>0</v>
      </c>
      <c r="AC1049" s="17">
        <f t="shared" si="490"/>
        <v>0</v>
      </c>
      <c r="AD1049" s="18" t="e">
        <f t="shared" si="491"/>
        <v>#DIV/0!</v>
      </c>
      <c r="AE1049">
        <v>0</v>
      </c>
      <c r="AF1049" s="17">
        <f t="shared" si="492"/>
        <v>0</v>
      </c>
      <c r="AG1049">
        <v>0</v>
      </c>
      <c r="AH1049" s="17">
        <f t="shared" si="493"/>
        <v>0</v>
      </c>
      <c r="AI1049">
        <v>0</v>
      </c>
      <c r="AJ1049" s="17">
        <f t="shared" si="494"/>
        <v>0</v>
      </c>
      <c r="AK1049">
        <v>1</v>
      </c>
      <c r="AL1049" s="17">
        <f t="shared" si="495"/>
        <v>1</v>
      </c>
      <c r="AM1049">
        <v>0</v>
      </c>
      <c r="AN1049" s="17">
        <f t="shared" si="496"/>
        <v>0</v>
      </c>
      <c r="AO1049">
        <v>0</v>
      </c>
      <c r="AQ1049">
        <v>0</v>
      </c>
      <c r="AR1049" s="17">
        <f t="shared" si="497"/>
        <v>0</v>
      </c>
      <c r="AS1049">
        <v>0</v>
      </c>
      <c r="AT1049" s="17">
        <f t="shared" si="498"/>
        <v>0</v>
      </c>
      <c r="BD1049" s="65">
        <f t="shared" si="499"/>
        <v>0</v>
      </c>
      <c r="BE1049" s="65">
        <f t="shared" si="500"/>
        <v>0</v>
      </c>
      <c r="BF1049" s="66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1.9802945292053284</v>
      </c>
      <c r="BG1049" s="38">
        <f t="shared" si="501"/>
        <v>1</v>
      </c>
      <c r="BH1049" s="38">
        <f t="shared" si="502"/>
        <v>0</v>
      </c>
      <c r="BI1049" s="67">
        <f>IFERROR(((AG1049*(12000/5))/((F1049*60+G1049)*(SUMIFS(팀공격력!X:X,팀공격력!A:A,B1049,팀공격력!B:B,D1049)+SUMIFS(팀수비력!X:X,팀수비력!A:A,B1049,팀수비력!B:B,D1049))))*100,"")</f>
        <v>0</v>
      </c>
      <c r="BJ1049" s="67">
        <f>IFERROR(((AI1049*(12000/5))/((F1049*60+G1049)*(SUMIFS(팀공격력!V:V,팀공격력!A:A,B1049,팀공격력!B:B,D1049)+SUMIFS(팀수비력!W:W,팀수비력!A:A,B1049,팀수비력!B:B,D1049))))*100,"")</f>
        <v>0</v>
      </c>
      <c r="BK1049" s="67">
        <f>IFERROR(((AE1049*(12000/5))/((F1049*60+G1049)*(SUMIFS(팀공격력!X:X,팀공격력!A:A,B1049,팀공격력!B:B,D1049)+SUMIFS(팀수비력!X:X,팀수비력!A:A,B1049,팀수비력!B:B,D1049))))*100,"")</f>
        <v>0</v>
      </c>
      <c r="BL1049" s="67">
        <f>IFERROR(100*AK1049/(((((F1049*60+G1049)/(12000/5))*SUMIFS(팀공격력!P:P,팀공격력!A:A,B1049,팀공격력!B:B,D1049))-K1049)),"")</f>
        <v>1.8461964506873234</v>
      </c>
      <c r="BM1049" s="67">
        <f>IFERROR(100*((AM1049/E1049*(2400))/((F1049*60+G1049)*SUMIFS(팀공격력!AR:AR,팀공격력!A:A,B1049,팀공격력!B:B,D1049))),"")</f>
        <v>0</v>
      </c>
      <c r="BN1049" s="67">
        <f>IFERROR((AO1049*40)/(((F1049*60+G1049)/60)*(SUMIFS(팀수비력!Q:Q,팀수비력!A:A,B1049,팀수비력!B:B,D1049)-SUMIFS(팀수비력!N:N,팀수비력!A:A,B1049,팀수비력!B:B,D1049)))*100,"")</f>
        <v>0</v>
      </c>
      <c r="BO1049" s="67">
        <f t="shared" si="503"/>
        <v>0</v>
      </c>
      <c r="BT1049" t="s">
        <v>89</v>
      </c>
      <c r="BV1049" t="s">
        <v>90</v>
      </c>
      <c r="CF1049">
        <v>0</v>
      </c>
      <c r="CG1049">
        <v>1</v>
      </c>
    </row>
    <row r="1050" spans="1:85" x14ac:dyDescent="0.4">
      <c r="A1050" s="11" t="s">
        <v>85</v>
      </c>
      <c r="B1050" t="s">
        <v>203</v>
      </c>
      <c r="C1050" t="s">
        <v>216</v>
      </c>
      <c r="D1050" s="46" t="s">
        <v>313</v>
      </c>
      <c r="E1050">
        <v>10</v>
      </c>
      <c r="F1050">
        <v>19</v>
      </c>
      <c r="G1050" s="1">
        <v>22</v>
      </c>
      <c r="H1050" s="16">
        <f t="shared" si="478"/>
        <v>11620</v>
      </c>
      <c r="I1050">
        <v>61</v>
      </c>
      <c r="J1050" s="17">
        <f t="shared" si="479"/>
        <v>6.1</v>
      </c>
      <c r="K1050">
        <v>24</v>
      </c>
      <c r="L1050">
        <v>62</v>
      </c>
      <c r="M1050" s="17">
        <f t="shared" si="480"/>
        <v>2.4</v>
      </c>
      <c r="N1050" s="17">
        <f t="shared" si="481"/>
        <v>6.2</v>
      </c>
      <c r="O1050" s="18">
        <f t="shared" si="482"/>
        <v>0.38709677419354838</v>
      </c>
      <c r="P1050">
        <v>17</v>
      </c>
      <c r="Q1050">
        <v>33</v>
      </c>
      <c r="R1050" s="17">
        <f t="shared" si="483"/>
        <v>1.7</v>
      </c>
      <c r="S1050" s="17">
        <f t="shared" si="484"/>
        <v>3.3</v>
      </c>
      <c r="T1050" s="18">
        <f t="shared" si="485"/>
        <v>0.51515151515151514</v>
      </c>
      <c r="U1050">
        <v>7</v>
      </c>
      <c r="V1050">
        <v>29</v>
      </c>
      <c r="W1050" s="17">
        <f t="shared" si="486"/>
        <v>0.7</v>
      </c>
      <c r="X1050" s="17">
        <f t="shared" si="487"/>
        <v>2.9</v>
      </c>
      <c r="Y1050" s="18">
        <f t="shared" si="488"/>
        <v>0.2413793103448276</v>
      </c>
      <c r="Z1050">
        <v>6</v>
      </c>
      <c r="AA1050">
        <v>7</v>
      </c>
      <c r="AB1050" s="17">
        <f t="shared" si="489"/>
        <v>0.6</v>
      </c>
      <c r="AC1050" s="17">
        <f t="shared" si="490"/>
        <v>0.7</v>
      </c>
      <c r="AD1050" s="18">
        <f t="shared" si="491"/>
        <v>0.8571428571428571</v>
      </c>
      <c r="AE1050">
        <v>17</v>
      </c>
      <c r="AF1050" s="17">
        <f t="shared" si="492"/>
        <v>1.7</v>
      </c>
      <c r="AG1050">
        <v>7</v>
      </c>
      <c r="AH1050" s="17">
        <f t="shared" si="493"/>
        <v>0.7</v>
      </c>
      <c r="AI1050">
        <v>10</v>
      </c>
      <c r="AJ1050" s="17">
        <f t="shared" si="494"/>
        <v>1</v>
      </c>
      <c r="AK1050">
        <v>30</v>
      </c>
      <c r="AL1050" s="17">
        <f t="shared" si="495"/>
        <v>3</v>
      </c>
      <c r="AM1050">
        <v>14</v>
      </c>
      <c r="AN1050" s="17">
        <f t="shared" si="496"/>
        <v>1.4</v>
      </c>
      <c r="AO1050">
        <v>1</v>
      </c>
      <c r="AQ1050">
        <v>15</v>
      </c>
      <c r="AR1050" s="17">
        <f t="shared" si="497"/>
        <v>1.5</v>
      </c>
      <c r="AS1050">
        <v>24</v>
      </c>
      <c r="AT1050" s="17">
        <f t="shared" si="498"/>
        <v>2.4</v>
      </c>
      <c r="BD1050" s="65">
        <f t="shared" si="499"/>
        <v>46.865396435156732</v>
      </c>
      <c r="BE1050" s="65">
        <f t="shared" si="500"/>
        <v>44.354838709677416</v>
      </c>
      <c r="BF1050" s="66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17.241128128408224</v>
      </c>
      <c r="BG1050" s="38">
        <f t="shared" si="501"/>
        <v>0.46774193548387094</v>
      </c>
      <c r="BH1050" s="38">
        <f t="shared" si="502"/>
        <v>0.11290322580645161</v>
      </c>
      <c r="BI1050" s="67">
        <f>IFERROR(((AG1050*(12000/5))/((F1050*60+G1050)*(SUMIFS(팀공격력!X:X,팀공격력!A:A,B1050,팀공격력!B:B,D1050)+SUMIFS(팀수비력!X:X,팀수비력!A:A,B1050,팀수비력!B:B,D1050))))*100,"")</f>
        <v>1.8535681186283595</v>
      </c>
      <c r="BJ1050" s="67">
        <f>IFERROR(((AI1050*(12000/5))/((F1050*60+G1050)*(SUMIFS(팀공격력!V:V,팀공격력!A:A,B1050,팀공격력!B:B,D1050)+SUMIFS(팀수비력!W:W,팀수비력!A:A,B1050,팀수비력!B:B,D1050))))*100,"")</f>
        <v>5.1506346011048105</v>
      </c>
      <c r="BK1050" s="67">
        <f>IFERROR(((AE1050*(12000/5))/((F1050*60+G1050)*(SUMIFS(팀공격력!X:X,팀공격력!A:A,B1050,팀공격력!B:B,D1050)+SUMIFS(팀수비력!X:X,팀수비력!A:A,B1050,팀수비력!B:B,D1050))))*100,"")</f>
        <v>4.5015225738117302</v>
      </c>
      <c r="BL1050" s="67">
        <f>IFERROR(100*AK1050/(((((F1050*60+G1050)/(12000/5))*SUMIFS(팀공격력!P:P,팀공격력!A:A,B1050,팀공격력!B:B,D1050))-K1050)),"")</f>
        <v>21.11647495644727</v>
      </c>
      <c r="BM1050" s="67">
        <f>IFERROR(100*((AM1050/E1050*(2400))/((F1050*60+G1050)*SUMIFS(팀공격력!AR:AR,팀공격력!A:A,B1050,팀공격력!B:B,D1050))),"")</f>
        <v>3.2588021949325299</v>
      </c>
      <c r="BN1050" s="67">
        <f>IFERROR((AO1050*40)/(((F1050*60+G1050)/60)*(SUMIFS(팀수비력!Q:Q,팀수비력!A:A,B1050,팀수비력!B:B,D1050)-SUMIFS(팀수비력!N:N,팀수비력!A:A,B1050,팀수비력!B:B,D1050)))*100,"")</f>
        <v>0.49411590312034198</v>
      </c>
      <c r="BO1050" s="67">
        <f t="shared" si="503"/>
        <v>18.731268731268731</v>
      </c>
      <c r="BT1050" t="s">
        <v>89</v>
      </c>
      <c r="BV1050" t="s">
        <v>90</v>
      </c>
      <c r="CF1050">
        <v>4</v>
      </c>
      <c r="CG1050">
        <v>6</v>
      </c>
    </row>
    <row r="1051" spans="1:85" x14ac:dyDescent="0.4">
      <c r="A1051" s="11" t="s">
        <v>85</v>
      </c>
      <c r="B1051" t="s">
        <v>203</v>
      </c>
      <c r="C1051" t="s">
        <v>217</v>
      </c>
      <c r="D1051" s="46" t="s">
        <v>313</v>
      </c>
      <c r="E1051">
        <v>8</v>
      </c>
      <c r="F1051">
        <v>15</v>
      </c>
      <c r="G1051" s="1">
        <v>37</v>
      </c>
      <c r="H1051" s="16">
        <f t="shared" si="478"/>
        <v>7496</v>
      </c>
      <c r="I1051">
        <v>45</v>
      </c>
      <c r="J1051" s="17">
        <f t="shared" si="479"/>
        <v>5.625</v>
      </c>
      <c r="K1051">
        <v>17</v>
      </c>
      <c r="L1051">
        <v>31</v>
      </c>
      <c r="M1051" s="17">
        <f t="shared" si="480"/>
        <v>2.125</v>
      </c>
      <c r="N1051" s="17">
        <f t="shared" si="481"/>
        <v>3.875</v>
      </c>
      <c r="O1051" s="18">
        <f t="shared" si="482"/>
        <v>0.54838709677419351</v>
      </c>
      <c r="P1051">
        <v>11</v>
      </c>
      <c r="Q1051">
        <v>16</v>
      </c>
      <c r="R1051" s="17">
        <f t="shared" si="483"/>
        <v>1.375</v>
      </c>
      <c r="S1051" s="17">
        <f t="shared" si="484"/>
        <v>2</v>
      </c>
      <c r="T1051" s="18">
        <f t="shared" si="485"/>
        <v>0.6875</v>
      </c>
      <c r="U1051">
        <v>6</v>
      </c>
      <c r="V1051">
        <v>15</v>
      </c>
      <c r="W1051" s="17">
        <f t="shared" si="486"/>
        <v>0.75</v>
      </c>
      <c r="X1051" s="17">
        <f t="shared" si="487"/>
        <v>1.875</v>
      </c>
      <c r="Y1051" s="18">
        <f t="shared" si="488"/>
        <v>0.4</v>
      </c>
      <c r="Z1051">
        <v>5</v>
      </c>
      <c r="AA1051">
        <v>7</v>
      </c>
      <c r="AB1051" s="17">
        <f t="shared" si="489"/>
        <v>0.625</v>
      </c>
      <c r="AC1051" s="17">
        <f t="shared" si="490"/>
        <v>0.875</v>
      </c>
      <c r="AD1051" s="18">
        <f t="shared" si="491"/>
        <v>0.7142857142857143</v>
      </c>
      <c r="AE1051">
        <v>19</v>
      </c>
      <c r="AF1051" s="17">
        <f t="shared" si="492"/>
        <v>2.375</v>
      </c>
      <c r="AG1051">
        <v>1</v>
      </c>
      <c r="AH1051" s="17">
        <f t="shared" si="493"/>
        <v>0.125</v>
      </c>
      <c r="AI1051">
        <v>18</v>
      </c>
      <c r="AJ1051" s="17">
        <f t="shared" si="494"/>
        <v>2.25</v>
      </c>
      <c r="AK1051">
        <v>12</v>
      </c>
      <c r="AL1051" s="17">
        <f t="shared" si="495"/>
        <v>1.5</v>
      </c>
      <c r="AM1051">
        <v>5</v>
      </c>
      <c r="AN1051" s="17">
        <f t="shared" si="496"/>
        <v>0.625</v>
      </c>
      <c r="AO1051">
        <v>3</v>
      </c>
      <c r="AQ1051">
        <v>6</v>
      </c>
      <c r="AR1051" s="17">
        <f t="shared" si="497"/>
        <v>0.75</v>
      </c>
      <c r="AS1051">
        <v>12</v>
      </c>
      <c r="AT1051" s="17">
        <f t="shared" si="498"/>
        <v>1.5</v>
      </c>
      <c r="BD1051" s="65">
        <f t="shared" si="499"/>
        <v>66.021126760563391</v>
      </c>
      <c r="BE1051" s="65">
        <f t="shared" si="500"/>
        <v>64.516129032258064</v>
      </c>
      <c r="BF1051" s="66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10.701283384161609</v>
      </c>
      <c r="BG1051" s="38">
        <f t="shared" si="501"/>
        <v>0.4838709677419355</v>
      </c>
      <c r="BH1051" s="38">
        <f t="shared" si="502"/>
        <v>0.22580645161290322</v>
      </c>
      <c r="BI1051" s="67">
        <f>IFERROR(((AG1051*(12000/5))/((F1051*60+G1051)*(SUMIFS(팀공격력!X:X,팀공격력!A:A,B1051,팀공격력!B:B,D1051)+SUMIFS(팀수비력!X:X,팀수비력!A:A,B1051,팀수비력!B:B,D1051))))*100,"")</f>
        <v>0.32838026434611278</v>
      </c>
      <c r="BJ1051" s="67">
        <f>IFERROR(((AI1051*(12000/5))/((F1051*60+G1051)*(SUMIFS(팀공격력!V:V,팀공격력!A:A,B1051,팀공격력!B:B,D1051)+SUMIFS(팀수비력!W:W,팀수비력!A:A,B1051,팀수비력!B:B,D1051))))*100,"")</f>
        <v>11.497403769125745</v>
      </c>
      <c r="BK1051" s="67">
        <f>IFERROR(((AE1051*(12000/5))/((F1051*60+G1051)*(SUMIFS(팀공격력!X:X,팀공격력!A:A,B1051,팀공격력!B:B,D1051)+SUMIFS(팀수비력!X:X,팀수비력!A:A,B1051,팀수비력!B:B,D1051))))*100,"")</f>
        <v>6.239225022576143</v>
      </c>
      <c r="BL1051" s="67">
        <f>IFERROR(100*AK1051/(((((F1051*60+G1051)/(12000/5))*SUMIFS(팀공격력!P:P,팀공격력!A:A,B1051,팀공격력!B:B,D1051))-K1051)),"")</f>
        <v>10.264049809152825</v>
      </c>
      <c r="BM1051" s="67">
        <f>IFERROR(100*((AM1051/E1051*(2400))/((F1051*60+G1051)*SUMIFS(팀공격력!AR:AR,팀공격력!A:A,B1051,팀공격력!B:B,D1051))),"")</f>
        <v>1.8041661031176628</v>
      </c>
      <c r="BN1051" s="67">
        <f>IFERROR((AO1051*40)/(((F1051*60+G1051)/60)*(SUMIFS(팀수비력!Q:Q,팀수비력!A:A,B1051,팀수비력!B:B,D1051)-SUMIFS(팀수비력!N:N,팀수비력!A:A,B1051,팀수비력!B:B,D1051)))*100,"")</f>
        <v>1.8383010013634067</v>
      </c>
      <c r="BO1051" s="67">
        <f t="shared" si="503"/>
        <v>14.970059880239521</v>
      </c>
      <c r="BT1051" t="s">
        <v>89</v>
      </c>
      <c r="BV1051" t="s">
        <v>90</v>
      </c>
      <c r="CF1051">
        <v>2</v>
      </c>
      <c r="CG1051">
        <v>6</v>
      </c>
    </row>
    <row r="1052" spans="1:85" x14ac:dyDescent="0.4">
      <c r="A1052" s="11" t="s">
        <v>85</v>
      </c>
      <c r="B1052" t="s">
        <v>203</v>
      </c>
      <c r="C1052" t="s">
        <v>218</v>
      </c>
      <c r="D1052" s="46" t="s">
        <v>313</v>
      </c>
      <c r="E1052">
        <v>1</v>
      </c>
      <c r="F1052">
        <v>10</v>
      </c>
      <c r="G1052" s="1">
        <v>28</v>
      </c>
      <c r="H1052" s="16">
        <f t="shared" si="478"/>
        <v>628</v>
      </c>
      <c r="I1052">
        <v>3</v>
      </c>
      <c r="J1052" s="17">
        <f t="shared" si="479"/>
        <v>3</v>
      </c>
      <c r="K1052">
        <v>1</v>
      </c>
      <c r="L1052">
        <v>2</v>
      </c>
      <c r="M1052" s="17">
        <f t="shared" si="480"/>
        <v>1</v>
      </c>
      <c r="N1052" s="17">
        <f t="shared" si="481"/>
        <v>2</v>
      </c>
      <c r="O1052" s="18">
        <f t="shared" si="482"/>
        <v>0.5</v>
      </c>
      <c r="P1052">
        <v>0</v>
      </c>
      <c r="Q1052">
        <v>1</v>
      </c>
      <c r="R1052" s="17">
        <f t="shared" si="483"/>
        <v>0</v>
      </c>
      <c r="S1052" s="17">
        <f t="shared" si="484"/>
        <v>1</v>
      </c>
      <c r="T1052" s="18">
        <f t="shared" si="485"/>
        <v>0</v>
      </c>
      <c r="U1052">
        <v>1</v>
      </c>
      <c r="V1052">
        <v>1</v>
      </c>
      <c r="W1052" s="17">
        <f t="shared" si="486"/>
        <v>1</v>
      </c>
      <c r="X1052" s="17">
        <f t="shared" si="487"/>
        <v>1</v>
      </c>
      <c r="Y1052" s="18">
        <f t="shared" si="488"/>
        <v>1</v>
      </c>
      <c r="Z1052">
        <v>0</v>
      </c>
      <c r="AA1052">
        <v>0</v>
      </c>
      <c r="AB1052" s="17">
        <f t="shared" si="489"/>
        <v>0</v>
      </c>
      <c r="AC1052" s="17">
        <f t="shared" si="490"/>
        <v>0</v>
      </c>
      <c r="AD1052" s="18" t="e">
        <f t="shared" si="491"/>
        <v>#DIV/0!</v>
      </c>
      <c r="AE1052">
        <v>0</v>
      </c>
      <c r="AF1052" s="17">
        <f t="shared" si="492"/>
        <v>0</v>
      </c>
      <c r="AG1052">
        <v>0</v>
      </c>
      <c r="AH1052" s="17">
        <f t="shared" si="493"/>
        <v>0</v>
      </c>
      <c r="AI1052">
        <v>0</v>
      </c>
      <c r="AJ1052" s="17">
        <f t="shared" si="494"/>
        <v>0</v>
      </c>
      <c r="AK1052">
        <v>1</v>
      </c>
      <c r="AL1052" s="17">
        <f t="shared" si="495"/>
        <v>1</v>
      </c>
      <c r="AM1052">
        <v>0</v>
      </c>
      <c r="AN1052" s="17">
        <f t="shared" si="496"/>
        <v>0</v>
      </c>
      <c r="AO1052">
        <v>0</v>
      </c>
      <c r="AQ1052">
        <v>1</v>
      </c>
      <c r="AR1052" s="17">
        <f t="shared" si="497"/>
        <v>1</v>
      </c>
      <c r="AS1052">
        <v>5</v>
      </c>
      <c r="AT1052" s="17">
        <f t="shared" si="498"/>
        <v>5</v>
      </c>
      <c r="BD1052" s="65">
        <f t="shared" si="499"/>
        <v>75</v>
      </c>
      <c r="BE1052" s="65">
        <f t="shared" si="500"/>
        <v>75</v>
      </c>
      <c r="BF1052" s="66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1.195114055045891</v>
      </c>
      <c r="BG1052" s="38">
        <f t="shared" si="501"/>
        <v>0.5</v>
      </c>
      <c r="BH1052" s="38">
        <f t="shared" si="502"/>
        <v>0</v>
      </c>
      <c r="BI1052" s="67">
        <f>IFERROR(((AG1052*(12000/5))/((F1052*60+G1052)*(SUMIFS(팀공격력!X:X,팀공격력!A:A,B1052,팀공격력!B:B,D1052)+SUMIFS(팀수비력!X:X,팀수비력!A:A,B1052,팀수비력!B:B,D1052))))*100,"")</f>
        <v>0</v>
      </c>
      <c r="BJ1052" s="67">
        <f>IFERROR(((AI1052*(12000/5))/((F1052*60+G1052)*(SUMIFS(팀공격력!V:V,팀공격력!A:A,B1052,팀공격력!B:B,D1052)+SUMIFS(팀수비력!W:W,팀수비력!A:A,B1052,팀수비력!B:B,D1052))))*100,"")</f>
        <v>0</v>
      </c>
      <c r="BK1052" s="67">
        <f>IFERROR(((AE1052*(12000/5))/((F1052*60+G1052)*(SUMIFS(팀공격력!X:X,팀공격력!A:A,B1052,팀공격력!B:B,D1052)+SUMIFS(팀수비력!X:X,팀수비력!A:A,B1052,팀수비력!B:B,D1052))))*100,"")</f>
        <v>0</v>
      </c>
      <c r="BL1052" s="67">
        <f>IFERROR(100*AK1052/(((((F1052*60+G1052)/(12000/5))*SUMIFS(팀공격력!P:P,팀공격력!A:A,B1052,팀공격력!B:B,D1052))-K1052)),"")</f>
        <v>1.1267394039548553</v>
      </c>
      <c r="BM1052" s="67">
        <f>IFERROR(100*((AM1052/E1052*(2400))/((F1052*60+G1052)*SUMIFS(팀공격력!AR:AR,팀공격력!A:A,B1052,팀공격력!B:B,D1052))),"")</f>
        <v>0</v>
      </c>
      <c r="BN1052" s="67">
        <f>IFERROR((AO1052*40)/(((F1052*60+G1052)/60)*(SUMIFS(팀수비력!Q:Q,팀수비력!A:A,B1052,팀수비력!B:B,D1052)-SUMIFS(팀수비력!N:N,팀수비력!A:A,B1052,팀수비력!B:B,D1052)))*100,"")</f>
        <v>0</v>
      </c>
      <c r="BO1052" s="67">
        <f t="shared" si="503"/>
        <v>33.333333333333336</v>
      </c>
      <c r="BT1052" t="s">
        <v>89</v>
      </c>
      <c r="BV1052" t="s">
        <v>90</v>
      </c>
      <c r="CF1052">
        <v>0</v>
      </c>
      <c r="CG1052">
        <v>1</v>
      </c>
    </row>
    <row r="1053" spans="1:85" x14ac:dyDescent="0.4">
      <c r="A1053" s="11" t="s">
        <v>85</v>
      </c>
      <c r="B1053" t="s">
        <v>203</v>
      </c>
      <c r="C1053" t="s">
        <v>219</v>
      </c>
      <c r="D1053" s="46" t="s">
        <v>313</v>
      </c>
      <c r="E1053">
        <v>7</v>
      </c>
      <c r="F1053">
        <v>5</v>
      </c>
      <c r="G1053" s="1">
        <v>35</v>
      </c>
      <c r="H1053" s="16">
        <f t="shared" si="478"/>
        <v>2345</v>
      </c>
      <c r="I1053">
        <v>18</v>
      </c>
      <c r="J1053" s="17">
        <f t="shared" si="479"/>
        <v>2.5714285714285716</v>
      </c>
      <c r="K1053">
        <v>6</v>
      </c>
      <c r="L1053">
        <v>11</v>
      </c>
      <c r="M1053" s="17">
        <f t="shared" si="480"/>
        <v>0.8571428571428571</v>
      </c>
      <c r="N1053" s="17">
        <f t="shared" si="481"/>
        <v>1.5714285714285714</v>
      </c>
      <c r="O1053" s="18">
        <f t="shared" si="482"/>
        <v>0.54545454545454541</v>
      </c>
      <c r="P1053">
        <v>2</v>
      </c>
      <c r="Q1053">
        <v>3</v>
      </c>
      <c r="R1053" s="17">
        <f t="shared" si="483"/>
        <v>0.2857142857142857</v>
      </c>
      <c r="S1053" s="17">
        <f t="shared" si="484"/>
        <v>0.42857142857142855</v>
      </c>
      <c r="T1053" s="18">
        <f t="shared" si="485"/>
        <v>0.66666666666666663</v>
      </c>
      <c r="U1053">
        <v>4</v>
      </c>
      <c r="V1053">
        <v>8</v>
      </c>
      <c r="W1053" s="17">
        <f t="shared" si="486"/>
        <v>0.5714285714285714</v>
      </c>
      <c r="X1053" s="17">
        <f t="shared" si="487"/>
        <v>1.1428571428571428</v>
      </c>
      <c r="Y1053" s="18">
        <f t="shared" si="488"/>
        <v>0.5</v>
      </c>
      <c r="Z1053">
        <v>2</v>
      </c>
      <c r="AA1053">
        <v>4</v>
      </c>
      <c r="AB1053" s="17">
        <f t="shared" si="489"/>
        <v>0.2857142857142857</v>
      </c>
      <c r="AC1053" s="17">
        <f t="shared" si="490"/>
        <v>0.5714285714285714</v>
      </c>
      <c r="AD1053" s="18">
        <f t="shared" si="491"/>
        <v>0.5</v>
      </c>
      <c r="AE1053">
        <v>7</v>
      </c>
      <c r="AF1053" s="17">
        <f t="shared" si="492"/>
        <v>1</v>
      </c>
      <c r="AG1053">
        <v>1</v>
      </c>
      <c r="AH1053" s="17">
        <f t="shared" si="493"/>
        <v>0.14285714285714285</v>
      </c>
      <c r="AI1053">
        <v>6</v>
      </c>
      <c r="AJ1053" s="17">
        <f t="shared" si="494"/>
        <v>0.8571428571428571</v>
      </c>
      <c r="AK1053">
        <v>11</v>
      </c>
      <c r="AL1053" s="17">
        <f t="shared" si="495"/>
        <v>1.5714285714285714</v>
      </c>
      <c r="AM1053">
        <v>1</v>
      </c>
      <c r="AN1053" s="17">
        <f t="shared" si="496"/>
        <v>0.14285714285714285</v>
      </c>
      <c r="AO1053">
        <v>0</v>
      </c>
      <c r="AQ1053">
        <v>4</v>
      </c>
      <c r="AR1053" s="17">
        <f t="shared" si="497"/>
        <v>0.5714285714285714</v>
      </c>
      <c r="AS1053">
        <v>6</v>
      </c>
      <c r="AT1053" s="17">
        <f t="shared" si="498"/>
        <v>0.8571428571428571</v>
      </c>
      <c r="BD1053" s="65">
        <f t="shared" si="499"/>
        <v>70.532915360501562</v>
      </c>
      <c r="BE1053" s="65">
        <f t="shared" si="500"/>
        <v>72.727272727272734</v>
      </c>
      <c r="BF1053" s="66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12.516328419197425</v>
      </c>
      <c r="BG1053" s="38">
        <f t="shared" si="501"/>
        <v>0.72727272727272729</v>
      </c>
      <c r="BH1053" s="38">
        <f t="shared" si="502"/>
        <v>0.36363636363636365</v>
      </c>
      <c r="BI1053" s="67">
        <f>IFERROR(((AG1053*(12000/5))/((F1053*60+G1053)*(SUMIFS(팀공격력!X:X,팀공격력!A:A,B1053,팀공격력!B:B,D1053)+SUMIFS(팀수비력!X:X,팀수비력!A:A,B1053,팀수비력!B:B,D1053))))*100,"")</f>
        <v>0.91848450057405284</v>
      </c>
      <c r="BJ1053" s="67">
        <f>IFERROR(((AI1053*(12000/5))/((F1053*60+G1053)*(SUMIFS(팀공격력!V:V,팀공격력!A:A,B1053,팀공격력!B:B,D1053)+SUMIFS(팀수비력!W:W,팀수비력!A:A,B1053,팀수비력!B:B,D1053))))*100,"")</f>
        <v>10.719469981762012</v>
      </c>
      <c r="BK1053" s="67">
        <f>IFERROR(((AE1053*(12000/5))/((F1053*60+G1053)*(SUMIFS(팀공격력!X:X,팀공격력!A:A,B1053,팀공격력!B:B,D1053)+SUMIFS(팀수비력!X:X,팀수비력!A:A,B1053,팀수비력!B:B,D1053))))*100,"")</f>
        <v>6.42939150401837</v>
      </c>
      <c r="BL1053" s="67">
        <f>IFERROR(100*AK1053/(((((F1053*60+G1053)/(12000/5))*SUMIFS(팀공격력!P:P,팀공격력!A:A,B1053,팀공격력!B:B,D1053))-K1053)),"")</f>
        <v>26.267349883090393</v>
      </c>
      <c r="BM1053" s="67">
        <f>IFERROR(100*((AM1053/E1053*(2400))/((F1053*60+G1053)*SUMIFS(팀공격력!AR:AR,팀공격력!A:A,B1053,팀공격력!B:B,D1053))),"")</f>
        <v>1.1534353184622601</v>
      </c>
      <c r="BN1053" s="67">
        <f>IFERROR((AO1053*40)/(((F1053*60+G1053)/60)*(SUMIFS(팀수비력!Q:Q,팀수비력!A:A,B1053,팀수비력!B:B,D1053)-SUMIFS(팀수비력!N:N,팀수비력!A:A,B1053,팀수비력!B:B,D1053)))*100,"")</f>
        <v>0</v>
      </c>
      <c r="BO1053" s="67">
        <f t="shared" si="503"/>
        <v>23.866348448687354</v>
      </c>
      <c r="BT1053" t="s">
        <v>89</v>
      </c>
      <c r="BV1053" t="s">
        <v>90</v>
      </c>
      <c r="CF1053">
        <v>1</v>
      </c>
      <c r="CG1053">
        <v>6</v>
      </c>
    </row>
    <row r="1054" spans="1:85" x14ac:dyDescent="0.4">
      <c r="A1054" s="11" t="s">
        <v>85</v>
      </c>
      <c r="B1054" t="s">
        <v>203</v>
      </c>
      <c r="C1054" t="s">
        <v>220</v>
      </c>
      <c r="D1054" s="46" t="s">
        <v>313</v>
      </c>
      <c r="E1054">
        <v>10</v>
      </c>
      <c r="F1054">
        <v>30</v>
      </c>
      <c r="G1054" s="1">
        <v>55</v>
      </c>
      <c r="H1054" s="16">
        <f t="shared" si="478"/>
        <v>18550</v>
      </c>
      <c r="I1054">
        <v>259</v>
      </c>
      <c r="J1054" s="17">
        <f t="shared" si="479"/>
        <v>25.9</v>
      </c>
      <c r="K1054">
        <v>101</v>
      </c>
      <c r="L1054">
        <v>196</v>
      </c>
      <c r="M1054" s="17">
        <f t="shared" si="480"/>
        <v>10.1</v>
      </c>
      <c r="N1054" s="17">
        <f t="shared" si="481"/>
        <v>19.600000000000001</v>
      </c>
      <c r="O1054" s="18">
        <f t="shared" si="482"/>
        <v>0.51530612244897955</v>
      </c>
      <c r="P1054">
        <v>79</v>
      </c>
      <c r="Q1054">
        <v>132</v>
      </c>
      <c r="R1054" s="17">
        <f t="shared" si="483"/>
        <v>7.9</v>
      </c>
      <c r="S1054" s="17">
        <f t="shared" si="484"/>
        <v>13.2</v>
      </c>
      <c r="T1054" s="18">
        <f t="shared" si="485"/>
        <v>0.59848484848484851</v>
      </c>
      <c r="U1054">
        <v>22</v>
      </c>
      <c r="V1054">
        <v>64</v>
      </c>
      <c r="W1054" s="17">
        <f t="shared" si="486"/>
        <v>2.2000000000000002</v>
      </c>
      <c r="X1054" s="17">
        <f t="shared" si="487"/>
        <v>6.4</v>
      </c>
      <c r="Y1054" s="18">
        <f t="shared" si="488"/>
        <v>0.34375</v>
      </c>
      <c r="Z1054">
        <v>35</v>
      </c>
      <c r="AA1054">
        <v>51</v>
      </c>
      <c r="AB1054" s="17">
        <f t="shared" si="489"/>
        <v>3.5</v>
      </c>
      <c r="AC1054" s="17">
        <f t="shared" si="490"/>
        <v>5.0999999999999996</v>
      </c>
      <c r="AD1054" s="18">
        <f t="shared" si="491"/>
        <v>0.68627450980392157</v>
      </c>
      <c r="AE1054">
        <v>117</v>
      </c>
      <c r="AF1054" s="17">
        <f t="shared" si="492"/>
        <v>11.7</v>
      </c>
      <c r="AG1054">
        <v>33</v>
      </c>
      <c r="AH1054" s="17">
        <f t="shared" si="493"/>
        <v>3.3</v>
      </c>
      <c r="AI1054">
        <v>84</v>
      </c>
      <c r="AJ1054" s="17">
        <f t="shared" si="494"/>
        <v>8.4</v>
      </c>
      <c r="AK1054">
        <v>47</v>
      </c>
      <c r="AL1054" s="17">
        <f t="shared" si="495"/>
        <v>4.7</v>
      </c>
      <c r="AM1054">
        <v>23</v>
      </c>
      <c r="AN1054" s="17">
        <f t="shared" si="496"/>
        <v>2.2999999999999998</v>
      </c>
      <c r="AO1054">
        <v>3</v>
      </c>
      <c r="AQ1054">
        <v>26</v>
      </c>
      <c r="AR1054" s="17">
        <f t="shared" si="497"/>
        <v>2.6</v>
      </c>
      <c r="AS1054">
        <v>30</v>
      </c>
      <c r="AT1054" s="17">
        <f t="shared" si="498"/>
        <v>3</v>
      </c>
      <c r="BD1054" s="65">
        <f t="shared" si="499"/>
        <v>59.284013916865042</v>
      </c>
      <c r="BE1054" s="65">
        <f t="shared" si="500"/>
        <v>57.142857142857139</v>
      </c>
      <c r="BF1054" s="66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32.96674767268324</v>
      </c>
      <c r="BG1054" s="38">
        <f t="shared" si="501"/>
        <v>0.32653061224489793</v>
      </c>
      <c r="BH1054" s="38">
        <f t="shared" si="502"/>
        <v>0.26020408163265307</v>
      </c>
      <c r="BI1054" s="67">
        <f>IFERROR(((AG1054*(12000/5))/((F1054*60+G1054)*(SUMIFS(팀공격력!X:X,팀공격력!A:A,B1054,팀공격력!B:B,D1054)+SUMIFS(팀수비력!X:X,팀수비력!A:A,B1054,팀수비력!B:B,D1054))))*100,"")</f>
        <v>5.4737715115073602</v>
      </c>
      <c r="BJ1054" s="67">
        <f>IFERROR(((AI1054*(12000/5))/((F1054*60+G1054)*(SUMIFS(팀공격력!V:V,팀공격력!A:A,B1054,팀공격력!B:B,D1054)+SUMIFS(팀수비력!W:W,팀수비력!A:A,B1054,팀수비력!B:B,D1054))))*100,"")</f>
        <v>27.102056180303958</v>
      </c>
      <c r="BK1054" s="67">
        <f>IFERROR(((AE1054*(12000/5))/((F1054*60+G1054)*(SUMIFS(팀공격력!X:X,팀공격력!A:A,B1054,팀공격력!B:B,D1054)+SUMIFS(팀수비력!X:X,팀수비력!A:A,B1054,팀수비력!B:B,D1054))))*100,"")</f>
        <v>19.40700808625337</v>
      </c>
      <c r="BL1054" s="67">
        <f>IFERROR(100*AK1054/(((((F1054*60+G1054)/(12000/5))*SUMIFS(팀공격력!P:P,팀공격력!A:A,B1054,팀공격력!B:B,D1054))-K1054)),"")</f>
        <v>28.63925456692014</v>
      </c>
      <c r="BM1054" s="67">
        <f>IFERROR(100*((AM1054/E1054*(2400))/((F1054*60+G1054)*SUMIFS(팀공격력!AR:AR,팀공격력!A:A,B1054,팀공격력!B:B,D1054))),"")</f>
        <v>3.3536675957553643</v>
      </c>
      <c r="BN1054" s="67">
        <f>IFERROR((AO1054*40)/(((F1054*60+G1054)/60)*(SUMIFS(팀수비력!Q:Q,팀수비력!A:A,B1054,팀수비력!B:B,D1054)-SUMIFS(팀수비력!N:N,팀수비력!A:A,B1054,팀수비력!B:B,D1054)))*100,"")</f>
        <v>0.9285649802035103</v>
      </c>
      <c r="BO1054" s="67">
        <f t="shared" si="503"/>
        <v>10.636557028309605</v>
      </c>
      <c r="BT1054" t="s">
        <v>96</v>
      </c>
      <c r="BV1054" t="s">
        <v>93</v>
      </c>
      <c r="CF1054">
        <v>4</v>
      </c>
      <c r="CG1054">
        <v>6</v>
      </c>
    </row>
    <row r="1055" spans="1:85" x14ac:dyDescent="0.4">
      <c r="A1055" s="11" t="s">
        <v>85</v>
      </c>
      <c r="B1055" t="s">
        <v>203</v>
      </c>
      <c r="C1055" t="s">
        <v>221</v>
      </c>
      <c r="D1055" s="46" t="s">
        <v>313</v>
      </c>
      <c r="E1055">
        <v>8</v>
      </c>
      <c r="F1055">
        <v>31</v>
      </c>
      <c r="G1055" s="1">
        <v>17</v>
      </c>
      <c r="H1055" s="16">
        <f t="shared" si="478"/>
        <v>15016</v>
      </c>
      <c r="I1055">
        <v>127</v>
      </c>
      <c r="J1055" s="17">
        <f t="shared" si="479"/>
        <v>15.875</v>
      </c>
      <c r="K1055">
        <v>51</v>
      </c>
      <c r="L1055">
        <v>89</v>
      </c>
      <c r="M1055" s="17">
        <f t="shared" si="480"/>
        <v>6.375</v>
      </c>
      <c r="N1055" s="17">
        <f t="shared" si="481"/>
        <v>11.125</v>
      </c>
      <c r="O1055" s="18">
        <f t="shared" si="482"/>
        <v>0.5730337078651685</v>
      </c>
      <c r="P1055">
        <v>51</v>
      </c>
      <c r="Q1055">
        <v>89</v>
      </c>
      <c r="R1055" s="17">
        <f t="shared" si="483"/>
        <v>6.375</v>
      </c>
      <c r="S1055" s="17">
        <f t="shared" si="484"/>
        <v>11.125</v>
      </c>
      <c r="T1055" s="18">
        <f t="shared" si="485"/>
        <v>0.5730337078651685</v>
      </c>
      <c r="U1055">
        <v>0</v>
      </c>
      <c r="V1055">
        <v>0</v>
      </c>
      <c r="W1055" s="17">
        <f t="shared" si="486"/>
        <v>0</v>
      </c>
      <c r="X1055" s="17">
        <f t="shared" si="487"/>
        <v>0</v>
      </c>
      <c r="Y1055" s="18" t="e">
        <f t="shared" si="488"/>
        <v>#DIV/0!</v>
      </c>
      <c r="Z1055">
        <v>25</v>
      </c>
      <c r="AA1055">
        <v>37</v>
      </c>
      <c r="AB1055" s="17">
        <f t="shared" si="489"/>
        <v>3.125</v>
      </c>
      <c r="AC1055" s="17">
        <f t="shared" si="490"/>
        <v>4.625</v>
      </c>
      <c r="AD1055" s="18">
        <f t="shared" si="491"/>
        <v>0.67567567567567566</v>
      </c>
      <c r="AE1055">
        <v>48</v>
      </c>
      <c r="AF1055" s="17">
        <f t="shared" si="492"/>
        <v>6</v>
      </c>
      <c r="AG1055">
        <v>27</v>
      </c>
      <c r="AH1055" s="17">
        <f t="shared" si="493"/>
        <v>3.375</v>
      </c>
      <c r="AI1055">
        <v>21</v>
      </c>
      <c r="AJ1055" s="17">
        <f t="shared" si="494"/>
        <v>2.625</v>
      </c>
      <c r="AK1055">
        <v>14</v>
      </c>
      <c r="AL1055" s="17">
        <f t="shared" si="495"/>
        <v>1.75</v>
      </c>
      <c r="AM1055">
        <v>3</v>
      </c>
      <c r="AN1055" s="17">
        <f t="shared" si="496"/>
        <v>0.375</v>
      </c>
      <c r="AO1055">
        <v>4</v>
      </c>
      <c r="AQ1055">
        <v>14</v>
      </c>
      <c r="AR1055" s="17">
        <f t="shared" si="497"/>
        <v>1.75</v>
      </c>
      <c r="AS1055">
        <v>19</v>
      </c>
      <c r="AT1055" s="17">
        <f t="shared" si="498"/>
        <v>2.375</v>
      </c>
      <c r="BD1055" s="65">
        <f t="shared" si="499"/>
        <v>60.315349544072951</v>
      </c>
      <c r="BE1055" s="65">
        <f t="shared" si="500"/>
        <v>57.303370786516851</v>
      </c>
      <c r="BF1055" s="66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15.898315115810476</v>
      </c>
      <c r="BG1055" s="38">
        <f t="shared" si="501"/>
        <v>0</v>
      </c>
      <c r="BH1055" s="38">
        <f t="shared" si="502"/>
        <v>0.4157303370786517</v>
      </c>
      <c r="BI1055" s="67">
        <f>IFERROR(((AG1055*(12000/5))/((F1055*60+G1055)*(SUMIFS(팀공격력!X:X,팀공격력!A:A,B1055,팀공격력!B:B,D1055)+SUMIFS(팀수비력!X:X,팀수비력!A:A,B1055,팀수비력!B:B,D1055))))*100,"")</f>
        <v>4.4260481127822633</v>
      </c>
      <c r="BJ1055" s="67">
        <f>IFERROR(((AI1055*(12000/5))/((F1055*60+G1055)*(SUMIFS(팀공격력!V:V,팀공격력!A:A,B1055,팀공격력!B:B,D1055)+SUMIFS(팀수비력!W:W,팀수비력!A:A,B1055,팀수비력!B:B,D1055))))*100,"")</f>
        <v>6.6960993892466485</v>
      </c>
      <c r="BK1055" s="67">
        <f>IFERROR(((AE1055*(12000/5))/((F1055*60+G1055)*(SUMIFS(팀공격력!X:X,팀공격력!A:A,B1055,팀공격력!B:B,D1055)+SUMIFS(팀수비력!X:X,팀수비력!A:A,B1055,팀수비력!B:B,D1055))))*100,"")</f>
        <v>7.8685299782795788</v>
      </c>
      <c r="BL1055" s="67">
        <f>IFERROR(100*AK1055/(((((F1055*60+G1055)/(12000/5))*SUMIFS(팀공격력!P:P,팀공격력!A:A,B1055,팀공격력!B:B,D1055))-K1055)),"")</f>
        <v>6.4440527721893091</v>
      </c>
      <c r="BM1055" s="67">
        <f>IFERROR(100*((AM1055/E1055*(2400))/((F1055*60+G1055)*SUMIFS(팀공격력!AR:AR,팀공격력!A:A,B1055,팀공격력!B:B,D1055))),"")</f>
        <v>0.54038475395458185</v>
      </c>
      <c r="BN1055" s="67">
        <f>IFERROR((AO1055*40)/(((F1055*60+G1055)/60)*(SUMIFS(팀수비력!Q:Q,팀수비력!A:A,B1055,팀수비력!B:B,D1055)-SUMIFS(팀수비력!N:N,팀수비력!A:A,B1055,팀수비력!B:B,D1055)))*100,"")</f>
        <v>1.2235752358568723</v>
      </c>
      <c r="BO1055" s="67">
        <f t="shared" si="503"/>
        <v>11.737089201877934</v>
      </c>
      <c r="BT1055" t="s">
        <v>89</v>
      </c>
      <c r="BV1055" t="s">
        <v>102</v>
      </c>
      <c r="CF1055">
        <v>4</v>
      </c>
      <c r="CG1055">
        <v>4</v>
      </c>
    </row>
    <row r="1056" spans="1:85" x14ac:dyDescent="0.4">
      <c r="A1056" s="11" t="s">
        <v>85</v>
      </c>
      <c r="B1056" t="s">
        <v>203</v>
      </c>
      <c r="C1056" t="s">
        <v>222</v>
      </c>
      <c r="D1056" s="46" t="s">
        <v>313</v>
      </c>
      <c r="E1056">
        <v>8</v>
      </c>
      <c r="F1056">
        <v>22</v>
      </c>
      <c r="G1056" s="1">
        <v>18</v>
      </c>
      <c r="H1056" s="16">
        <f t="shared" si="478"/>
        <v>10704</v>
      </c>
      <c r="I1056">
        <v>59</v>
      </c>
      <c r="J1056" s="17">
        <f t="shared" si="479"/>
        <v>7.375</v>
      </c>
      <c r="K1056">
        <v>19</v>
      </c>
      <c r="L1056">
        <v>59</v>
      </c>
      <c r="M1056" s="17">
        <f t="shared" si="480"/>
        <v>2.375</v>
      </c>
      <c r="N1056" s="17">
        <f t="shared" si="481"/>
        <v>7.375</v>
      </c>
      <c r="O1056" s="18">
        <f t="shared" si="482"/>
        <v>0.32203389830508472</v>
      </c>
      <c r="P1056">
        <v>12</v>
      </c>
      <c r="Q1056">
        <v>22</v>
      </c>
      <c r="R1056" s="17">
        <f t="shared" si="483"/>
        <v>1.5</v>
      </c>
      <c r="S1056" s="17">
        <f t="shared" si="484"/>
        <v>2.75</v>
      </c>
      <c r="T1056" s="18">
        <f t="shared" si="485"/>
        <v>0.54545454545454541</v>
      </c>
      <c r="U1056">
        <v>7</v>
      </c>
      <c r="V1056">
        <v>37</v>
      </c>
      <c r="W1056" s="17">
        <f t="shared" si="486"/>
        <v>0.875</v>
      </c>
      <c r="X1056" s="17">
        <f t="shared" si="487"/>
        <v>4.625</v>
      </c>
      <c r="Y1056" s="18">
        <f t="shared" si="488"/>
        <v>0.1891891891891892</v>
      </c>
      <c r="Z1056">
        <v>14</v>
      </c>
      <c r="AA1056">
        <v>17</v>
      </c>
      <c r="AB1056" s="17">
        <f t="shared" si="489"/>
        <v>1.75</v>
      </c>
      <c r="AC1056" s="17">
        <f t="shared" si="490"/>
        <v>2.125</v>
      </c>
      <c r="AD1056" s="18">
        <f t="shared" si="491"/>
        <v>0.82352941176470584</v>
      </c>
      <c r="AE1056">
        <v>18</v>
      </c>
      <c r="AF1056" s="17">
        <f t="shared" si="492"/>
        <v>2.25</v>
      </c>
      <c r="AG1056">
        <v>4</v>
      </c>
      <c r="AH1056" s="17">
        <f t="shared" si="493"/>
        <v>0.5</v>
      </c>
      <c r="AI1056">
        <v>14</v>
      </c>
      <c r="AJ1056" s="17">
        <f t="shared" si="494"/>
        <v>1.75</v>
      </c>
      <c r="AK1056">
        <v>9</v>
      </c>
      <c r="AL1056" s="17">
        <f t="shared" si="495"/>
        <v>1.125</v>
      </c>
      <c r="AM1056">
        <v>6</v>
      </c>
      <c r="AN1056" s="17">
        <f t="shared" si="496"/>
        <v>0.75</v>
      </c>
      <c r="AO1056">
        <v>1</v>
      </c>
      <c r="AQ1056">
        <v>6</v>
      </c>
      <c r="AR1056" s="17">
        <f t="shared" si="497"/>
        <v>0.75</v>
      </c>
      <c r="AS1056">
        <v>19</v>
      </c>
      <c r="AT1056" s="17">
        <f t="shared" si="498"/>
        <v>2.375</v>
      </c>
      <c r="BD1056" s="65">
        <f t="shared" si="499"/>
        <v>44.374247894103483</v>
      </c>
      <c r="BE1056" s="65">
        <f t="shared" si="500"/>
        <v>38.135593220338983</v>
      </c>
      <c r="BF1056" s="66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13.552200372124574</v>
      </c>
      <c r="BG1056" s="38">
        <f t="shared" si="501"/>
        <v>0.6271186440677966</v>
      </c>
      <c r="BH1056" s="38">
        <f t="shared" si="502"/>
        <v>0.28813559322033899</v>
      </c>
      <c r="BI1056" s="67">
        <f>IFERROR(((AG1056*(12000/5))/((F1056*60+G1056)*(SUMIFS(팀공격력!X:X,팀공격력!A:A,B1056,팀공격력!B:B,D1056)+SUMIFS(팀수비력!X:X,팀수비력!A:A,B1056,팀수비력!B:B,D1056))))*100,"")</f>
        <v>0.91985742209957455</v>
      </c>
      <c r="BJ1056" s="67">
        <f>IFERROR(((AI1056*(12000/5))/((F1056*60+G1056)*(SUMIFS(팀공격력!V:V,팀공격력!A:A,B1056,팀공격력!B:B,D1056)+SUMIFS(팀수비력!W:W,팀수비력!A:A,B1056,팀수비력!B:B,D1056))))*100,"")</f>
        <v>6.262370978383637</v>
      </c>
      <c r="BK1056" s="67">
        <f>IFERROR(((AE1056*(12000/5))/((F1056*60+G1056)*(SUMIFS(팀공격력!X:X,팀공격력!A:A,B1056,팀공격력!B:B,D1056)+SUMIFS(팀수비력!X:X,팀수비력!A:A,B1056,팀수비력!B:B,D1056))))*100,"")</f>
        <v>4.1393583994480858</v>
      </c>
      <c r="BL1056" s="67">
        <f>IFERROR(100*AK1056/(((((F1056*60+G1056)/(12000/5))*SUMIFS(팀공격력!P:P,팀공격력!A:A,B1056,팀공격력!B:B,D1056))-K1056)),"")</f>
        <v>5.2257980229064147</v>
      </c>
      <c r="BM1056" s="67">
        <f>IFERROR(100*((AM1056/E1056*(2400))/((F1056*60+G1056)*SUMIFS(팀공격력!AR:AR,팀공격력!A:A,B1056,팀공격력!B:B,D1056))),"")</f>
        <v>1.5161467610952915</v>
      </c>
      <c r="BN1056" s="67">
        <f>IFERROR((AO1056*40)/(((F1056*60+G1056)/60)*(SUMIFS(팀수비력!Q:Q,팀수비력!A:A,B1056,팀수비력!B:B,D1056)-SUMIFS(팀수비력!N:N,팀수비력!A:A,B1056,팀수비력!B:B,D1056)))*100,"")</f>
        <v>0.42912008925697859</v>
      </c>
      <c r="BO1056" s="67">
        <f t="shared" si="503"/>
        <v>8.2781456953642376</v>
      </c>
      <c r="BT1056" t="s">
        <v>89</v>
      </c>
      <c r="BV1056" t="s">
        <v>93</v>
      </c>
      <c r="CF1056">
        <v>4</v>
      </c>
      <c r="CG1056">
        <v>4</v>
      </c>
    </row>
    <row r="1057" spans="1:85" x14ac:dyDescent="0.4">
      <c r="A1057" s="11" t="s">
        <v>85</v>
      </c>
      <c r="B1057" t="s">
        <v>203</v>
      </c>
      <c r="C1057" t="s">
        <v>223</v>
      </c>
      <c r="D1057" s="46" t="s">
        <v>313</v>
      </c>
      <c r="E1057">
        <v>9</v>
      </c>
      <c r="F1057">
        <v>28</v>
      </c>
      <c r="G1057" s="1">
        <v>40</v>
      </c>
      <c r="H1057" s="16">
        <f t="shared" si="478"/>
        <v>15480</v>
      </c>
      <c r="I1057">
        <v>149</v>
      </c>
      <c r="J1057" s="17">
        <f t="shared" si="479"/>
        <v>16.555555555555557</v>
      </c>
      <c r="K1057">
        <v>50</v>
      </c>
      <c r="L1057">
        <v>128</v>
      </c>
      <c r="M1057" s="17">
        <f t="shared" si="480"/>
        <v>5.5555555555555554</v>
      </c>
      <c r="N1057" s="17">
        <f t="shared" si="481"/>
        <v>14.222222222222221</v>
      </c>
      <c r="O1057" s="18">
        <f t="shared" si="482"/>
        <v>0.390625</v>
      </c>
      <c r="P1057">
        <v>24</v>
      </c>
      <c r="Q1057">
        <v>55</v>
      </c>
      <c r="R1057" s="17">
        <f t="shared" si="483"/>
        <v>2.6666666666666665</v>
      </c>
      <c r="S1057" s="17">
        <f t="shared" si="484"/>
        <v>6.1111111111111107</v>
      </c>
      <c r="T1057" s="18">
        <f t="shared" si="485"/>
        <v>0.43636363636363634</v>
      </c>
      <c r="U1057">
        <v>26</v>
      </c>
      <c r="V1057">
        <v>73</v>
      </c>
      <c r="W1057" s="17">
        <f t="shared" si="486"/>
        <v>2.8888888888888888</v>
      </c>
      <c r="X1057" s="17">
        <f t="shared" si="487"/>
        <v>8.1111111111111107</v>
      </c>
      <c r="Y1057" s="18">
        <f t="shared" si="488"/>
        <v>0.35616438356164382</v>
      </c>
      <c r="Z1057">
        <v>23</v>
      </c>
      <c r="AA1057">
        <v>34</v>
      </c>
      <c r="AB1057" s="17">
        <f t="shared" si="489"/>
        <v>2.5555555555555554</v>
      </c>
      <c r="AC1057" s="17">
        <f t="shared" si="490"/>
        <v>3.7777777777777777</v>
      </c>
      <c r="AD1057" s="18">
        <f t="shared" si="491"/>
        <v>0.67647058823529416</v>
      </c>
      <c r="AE1057">
        <v>17</v>
      </c>
      <c r="AF1057" s="17">
        <f t="shared" si="492"/>
        <v>1.8888888888888888</v>
      </c>
      <c r="AG1057">
        <v>6</v>
      </c>
      <c r="AH1057" s="17">
        <f t="shared" si="493"/>
        <v>0.66666666666666663</v>
      </c>
      <c r="AI1057">
        <v>11</v>
      </c>
      <c r="AJ1057" s="17">
        <f t="shared" si="494"/>
        <v>1.2222222222222223</v>
      </c>
      <c r="AK1057">
        <v>33</v>
      </c>
      <c r="AL1057" s="17">
        <f t="shared" si="495"/>
        <v>3.6666666666666665</v>
      </c>
      <c r="AM1057">
        <v>7</v>
      </c>
      <c r="AN1057" s="17">
        <f t="shared" si="496"/>
        <v>0.77777777777777779</v>
      </c>
      <c r="AO1057">
        <v>1</v>
      </c>
      <c r="AQ1057">
        <v>25</v>
      </c>
      <c r="AR1057" s="17">
        <f t="shared" si="497"/>
        <v>2.7777777777777777</v>
      </c>
      <c r="AS1057">
        <v>16</v>
      </c>
      <c r="AT1057" s="17">
        <f t="shared" si="498"/>
        <v>1.7777777777777777</v>
      </c>
      <c r="BD1057" s="65">
        <f t="shared" si="499"/>
        <v>52.112479015109116</v>
      </c>
      <c r="BE1057" s="65">
        <f t="shared" si="500"/>
        <v>49.21875</v>
      </c>
      <c r="BF1057" s="66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24.430095348546303</v>
      </c>
      <c r="BG1057" s="38">
        <f t="shared" si="501"/>
        <v>0.5703125</v>
      </c>
      <c r="BH1057" s="38">
        <f t="shared" si="502"/>
        <v>0.265625</v>
      </c>
      <c r="BI1057" s="67">
        <f>IFERROR(((AG1057*(12000/5))/((F1057*60+G1057)*(SUMIFS(팀공격력!X:X,팀공격력!A:A,B1057,팀공격력!B:B,D1057)+SUMIFS(팀수비력!X:X,팀수비력!A:A,B1057,팀수비력!B:B,D1057))))*100,"")</f>
        <v>1.0733452593917709</v>
      </c>
      <c r="BJ1057" s="67">
        <f>IFERROR(((AI1057*(12000/5))/((F1057*60+G1057)*(SUMIFS(팀공격력!V:V,팀공격력!A:A,B1057,팀공격력!B:B,D1057)+SUMIFS(팀수비력!W:W,팀수비력!A:A,B1057,팀수비력!B:B,D1057))))*100,"")</f>
        <v>3.8276402018210289</v>
      </c>
      <c r="BK1057" s="67">
        <f>IFERROR(((AE1057*(12000/5))/((F1057*60+G1057)*(SUMIFS(팀공격력!X:X,팀공격력!A:A,B1057,팀공격력!B:B,D1057)+SUMIFS(팀수비력!X:X,팀수비력!A:A,B1057,팀수비력!B:B,D1057))))*100,"")</f>
        <v>3.0411449016100178</v>
      </c>
      <c r="BL1057" s="67">
        <f>IFERROR(100*AK1057/(((((F1057*60+G1057)/(12000/5))*SUMIFS(팀공격력!P:P,팀공격력!A:A,B1057,팀공격력!B:B,D1057))-K1057)),"")</f>
        <v>16.852498084943399</v>
      </c>
      <c r="BM1057" s="67">
        <f>IFERROR(100*((AM1057/E1057*(2400))/((F1057*60+G1057)*SUMIFS(팀공격력!AR:AR,팀공격력!A:A,B1057,팀공격력!B:B,D1057))),"")</f>
        <v>1.2231034077879845</v>
      </c>
      <c r="BN1057" s="67">
        <f>IFERROR((AO1057*40)/(((F1057*60+G1057)/60)*(SUMIFS(팀수비력!Q:Q,팀수비력!A:A,B1057,팀수비력!B:B,D1057)-SUMIFS(팀수비력!N:N,팀수비력!A:A,B1057,팀수비력!B:B,D1057)))*100,"")</f>
        <v>0.33381551129409143</v>
      </c>
      <c r="BO1057" s="67">
        <f t="shared" si="503"/>
        <v>14.884496308644914</v>
      </c>
      <c r="BT1057" t="s">
        <v>89</v>
      </c>
      <c r="BV1057" t="s">
        <v>90</v>
      </c>
      <c r="CF1057">
        <v>4</v>
      </c>
      <c r="CG1057">
        <v>5</v>
      </c>
    </row>
    <row r="1058" spans="1:85" x14ac:dyDescent="0.4">
      <c r="A1058" s="11" t="s">
        <v>85</v>
      </c>
      <c r="B1058" t="s">
        <v>224</v>
      </c>
      <c r="C1058" t="s">
        <v>225</v>
      </c>
      <c r="D1058" s="46" t="s">
        <v>313</v>
      </c>
      <c r="E1058">
        <v>4</v>
      </c>
      <c r="F1058">
        <v>8</v>
      </c>
      <c r="G1058" s="1">
        <v>10</v>
      </c>
      <c r="H1058" s="16">
        <f t="shared" si="478"/>
        <v>1960</v>
      </c>
      <c r="I1058">
        <v>10</v>
      </c>
      <c r="J1058" s="17">
        <f t="shared" si="479"/>
        <v>2.5</v>
      </c>
      <c r="K1058">
        <v>4</v>
      </c>
      <c r="L1058">
        <v>14</v>
      </c>
      <c r="M1058" s="17">
        <f t="shared" si="480"/>
        <v>1</v>
      </c>
      <c r="N1058" s="17">
        <f t="shared" si="481"/>
        <v>3.5</v>
      </c>
      <c r="O1058" s="18">
        <f t="shared" si="482"/>
        <v>0.2857142857142857</v>
      </c>
      <c r="P1058">
        <v>4</v>
      </c>
      <c r="Q1058">
        <v>5</v>
      </c>
      <c r="R1058" s="17">
        <f t="shared" si="483"/>
        <v>1</v>
      </c>
      <c r="S1058" s="17">
        <f t="shared" si="484"/>
        <v>1.25</v>
      </c>
      <c r="T1058" s="18">
        <f t="shared" si="485"/>
        <v>0.8</v>
      </c>
      <c r="U1058">
        <v>0</v>
      </c>
      <c r="V1058">
        <v>9</v>
      </c>
      <c r="W1058" s="17">
        <f t="shared" si="486"/>
        <v>0</v>
      </c>
      <c r="X1058" s="17">
        <f t="shared" si="487"/>
        <v>2.25</v>
      </c>
      <c r="Y1058" s="18">
        <f t="shared" si="488"/>
        <v>0</v>
      </c>
      <c r="Z1058">
        <v>2</v>
      </c>
      <c r="AA1058">
        <v>2</v>
      </c>
      <c r="AB1058" s="17">
        <f t="shared" si="489"/>
        <v>0.5</v>
      </c>
      <c r="AC1058" s="17">
        <f t="shared" si="490"/>
        <v>0.5</v>
      </c>
      <c r="AD1058" s="18">
        <f t="shared" si="491"/>
        <v>1</v>
      </c>
      <c r="AE1058">
        <v>3</v>
      </c>
      <c r="AF1058" s="17">
        <f t="shared" si="492"/>
        <v>0.75</v>
      </c>
      <c r="AG1058">
        <v>0</v>
      </c>
      <c r="AH1058" s="17">
        <f t="shared" si="493"/>
        <v>0</v>
      </c>
      <c r="AI1058">
        <v>3</v>
      </c>
      <c r="AJ1058" s="17">
        <f t="shared" si="494"/>
        <v>0.75</v>
      </c>
      <c r="AK1058">
        <v>2</v>
      </c>
      <c r="AL1058" s="17">
        <f t="shared" si="495"/>
        <v>0.5</v>
      </c>
      <c r="AM1058">
        <v>1</v>
      </c>
      <c r="AN1058" s="17">
        <f t="shared" si="496"/>
        <v>0.25</v>
      </c>
      <c r="AO1058">
        <v>0</v>
      </c>
      <c r="AQ1058">
        <v>2</v>
      </c>
      <c r="AR1058" s="17">
        <f t="shared" si="497"/>
        <v>0.5</v>
      </c>
      <c r="AS1058">
        <v>3</v>
      </c>
      <c r="AT1058" s="17">
        <f t="shared" si="498"/>
        <v>0.75</v>
      </c>
      <c r="BD1058" s="65">
        <f t="shared" si="499"/>
        <v>33.602150537634408</v>
      </c>
      <c r="BE1058" s="65">
        <f t="shared" si="500"/>
        <v>28.571428571428569</v>
      </c>
      <c r="BF1058" s="66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11.070909349278011</v>
      </c>
      <c r="BG1058" s="38">
        <f t="shared" si="501"/>
        <v>0.6428571428571429</v>
      </c>
      <c r="BH1058" s="38">
        <f t="shared" si="502"/>
        <v>0.14285714285714285</v>
      </c>
      <c r="BI1058" s="67">
        <f>IFERROR(((AG1058*(12000/5))/((F1058*60+G1058)*(SUMIFS(팀공격력!X:X,팀공격력!A:A,B1058,팀공격력!B:B,D1058)+SUMIFS(팀수비력!X:X,팀수비력!A:A,B1058,팀수비력!B:B,D1058))))*100,"")</f>
        <v>0</v>
      </c>
      <c r="BJ1058" s="67">
        <f>IFERROR(((AI1058*(12000/5))/((F1058*60+G1058)*(SUMIFS(팀공격력!V:V,팀공격력!A:A,B1058,팀공격력!B:B,D1058)+SUMIFS(팀수비력!W:W,팀수비력!A:A,B1058,팀수비력!B:B,D1058))))*100,"")</f>
        <v>4.8655223678875519</v>
      </c>
      <c r="BK1058" s="67">
        <f>IFERROR(((AE1058*(12000/5))/((F1058*60+G1058)*(SUMIFS(팀공격력!X:X,팀공격력!A:A,B1058,팀공격력!B:B,D1058)+SUMIFS(팀수비력!X:X,팀수비력!A:A,B1058,팀수비력!B:B,D1058))))*100,"")</f>
        <v>2.2605965463108322</v>
      </c>
      <c r="BL1058" s="67">
        <f>IFERROR(100*AK1058/(((((F1058*60+G1058)/(12000/5))*SUMIFS(팀공격력!P:P,팀공격력!A:A,B1058,팀공격력!B:B,D1058))-K1058)),"")</f>
        <v>3.7330844610359311</v>
      </c>
      <c r="BM1058" s="67">
        <f>IFERROR(100*((AM1058/E1058*(2400))/((F1058*60+G1058)*SUMIFS(팀공격력!AR:AR,팀공격력!A:A,B1058,팀공격력!B:B,D1058))),"")</f>
        <v>1.6510205674043457</v>
      </c>
      <c r="BN1058" s="67">
        <f>IFERROR((AO1058*40)/(((F1058*60+G1058)/60)*(SUMIFS(팀수비력!Q:Q,팀수비력!A:A,B1058,팀수비력!B:B,D1058)-SUMIFS(팀수비력!N:N,팀수비력!A:A,B1058,팀수비력!B:B,D1058)))*100,"")</f>
        <v>0</v>
      </c>
      <c r="BO1058" s="67">
        <f t="shared" si="503"/>
        <v>11.848341232227487</v>
      </c>
      <c r="BT1058" t="s">
        <v>89</v>
      </c>
      <c r="BV1058" t="s">
        <v>90</v>
      </c>
      <c r="CF1058">
        <v>1</v>
      </c>
      <c r="CG1058">
        <v>3</v>
      </c>
    </row>
    <row r="1059" spans="1:85" x14ac:dyDescent="0.4">
      <c r="A1059" s="11" t="s">
        <v>85</v>
      </c>
      <c r="B1059" t="s">
        <v>224</v>
      </c>
      <c r="C1059" t="s">
        <v>226</v>
      </c>
      <c r="D1059" s="46" t="s">
        <v>313</v>
      </c>
      <c r="E1059">
        <v>9</v>
      </c>
      <c r="F1059">
        <v>15</v>
      </c>
      <c r="G1059" s="1">
        <v>29</v>
      </c>
      <c r="H1059" s="16">
        <f t="shared" si="478"/>
        <v>8361</v>
      </c>
      <c r="I1059">
        <v>58</v>
      </c>
      <c r="J1059" s="17">
        <f t="shared" si="479"/>
        <v>6.4444444444444446</v>
      </c>
      <c r="K1059">
        <v>21</v>
      </c>
      <c r="L1059">
        <v>41</v>
      </c>
      <c r="M1059" s="17">
        <f t="shared" si="480"/>
        <v>2.3333333333333335</v>
      </c>
      <c r="N1059" s="17">
        <f t="shared" si="481"/>
        <v>4.5555555555555554</v>
      </c>
      <c r="O1059" s="18">
        <f t="shared" si="482"/>
        <v>0.51219512195121952</v>
      </c>
      <c r="P1059">
        <v>19</v>
      </c>
      <c r="Q1059">
        <v>34</v>
      </c>
      <c r="R1059" s="17">
        <f t="shared" si="483"/>
        <v>2.1111111111111112</v>
      </c>
      <c r="S1059" s="17">
        <f t="shared" si="484"/>
        <v>3.7777777777777777</v>
      </c>
      <c r="T1059" s="18">
        <f t="shared" si="485"/>
        <v>0.55882352941176472</v>
      </c>
      <c r="U1059">
        <v>2</v>
      </c>
      <c r="V1059">
        <v>7</v>
      </c>
      <c r="W1059" s="17">
        <f t="shared" si="486"/>
        <v>0.22222222222222221</v>
      </c>
      <c r="X1059" s="17">
        <f t="shared" si="487"/>
        <v>0.77777777777777779</v>
      </c>
      <c r="Y1059" s="18">
        <f t="shared" si="488"/>
        <v>0.2857142857142857</v>
      </c>
      <c r="Z1059">
        <v>14</v>
      </c>
      <c r="AA1059">
        <v>19</v>
      </c>
      <c r="AB1059" s="17">
        <f t="shared" si="489"/>
        <v>1.5555555555555556</v>
      </c>
      <c r="AC1059" s="17">
        <f t="shared" si="490"/>
        <v>2.1111111111111112</v>
      </c>
      <c r="AD1059" s="18">
        <f t="shared" si="491"/>
        <v>0.73684210526315785</v>
      </c>
      <c r="AE1059">
        <v>32</v>
      </c>
      <c r="AF1059" s="17">
        <f t="shared" si="492"/>
        <v>3.5555555555555554</v>
      </c>
      <c r="AG1059">
        <v>12</v>
      </c>
      <c r="AH1059" s="17">
        <f t="shared" si="493"/>
        <v>1.3333333333333333</v>
      </c>
      <c r="AI1059">
        <v>20</v>
      </c>
      <c r="AJ1059" s="17">
        <f t="shared" si="494"/>
        <v>2.2222222222222223</v>
      </c>
      <c r="AK1059">
        <v>4</v>
      </c>
      <c r="AL1059" s="17">
        <f t="shared" si="495"/>
        <v>0.44444444444444442</v>
      </c>
      <c r="AM1059">
        <v>10</v>
      </c>
      <c r="AN1059" s="17">
        <f t="shared" si="496"/>
        <v>1.1111111111111112</v>
      </c>
      <c r="AO1059">
        <v>8</v>
      </c>
      <c r="AQ1059">
        <v>4</v>
      </c>
      <c r="AR1059" s="17">
        <f t="shared" si="497"/>
        <v>0.44444444444444442</v>
      </c>
      <c r="AS1059">
        <v>16</v>
      </c>
      <c r="AT1059" s="17">
        <f t="shared" si="498"/>
        <v>1.7777777777777777</v>
      </c>
      <c r="BD1059" s="65">
        <f t="shared" si="499"/>
        <v>58.752025931928685</v>
      </c>
      <c r="BE1059" s="65">
        <f t="shared" si="500"/>
        <v>53.658536585365859</v>
      </c>
      <c r="BF1059" s="66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18.458951951721676</v>
      </c>
      <c r="BG1059" s="38">
        <f t="shared" si="501"/>
        <v>0.17073170731707318</v>
      </c>
      <c r="BH1059" s="38">
        <f t="shared" si="502"/>
        <v>0.46341463414634149</v>
      </c>
      <c r="BI1059" s="67">
        <f>IFERROR(((AG1059*(12000/5))/((F1059*60+G1059)*(SUMIFS(팀공격력!X:X,팀공격력!A:A,B1059,팀공격력!B:B,D1059)+SUMIFS(팀수비력!X:X,팀수비력!A:A,B1059,팀수비력!B:B,D1059))))*100,"")</f>
        <v>4.7693963732715074</v>
      </c>
      <c r="BJ1059" s="67">
        <f>IFERROR(((AI1059*(12000/5))/((F1059*60+G1059)*(SUMIFS(팀공격력!V:V,팀공격력!A:A,B1059,팀공격력!B:B,D1059)+SUMIFS(팀수비력!W:W,팀수비력!A:A,B1059,팀수비력!B:B,D1059))))*100,"")</f>
        <v>17.108761824649449</v>
      </c>
      <c r="BK1059" s="67">
        <f>IFERROR(((AE1059*(12000/5))/((F1059*60+G1059)*(SUMIFS(팀공격력!X:X,팀공격력!A:A,B1059,팀공격력!B:B,D1059)+SUMIFS(팀수비력!X:X,팀수비력!A:A,B1059,팀수비력!B:B,D1059))))*100,"")</f>
        <v>12.718390328724022</v>
      </c>
      <c r="BL1059" s="67">
        <f>IFERROR(100*AK1059/(((((F1059*60+G1059)/(12000/5))*SUMIFS(팀공격력!P:P,팀공격력!A:A,B1059,팀공격력!B:B,D1059))-K1059)),"")</f>
        <v>4.5373337492555939</v>
      </c>
      <c r="BM1059" s="67">
        <f>IFERROR(100*((AM1059/E1059*(2400))/((F1059*60+G1059)*SUMIFS(팀공격력!AR:AR,팀공격력!A:A,B1059,팀공격력!B:B,D1059))),"")</f>
        <v>3.8703508098463311</v>
      </c>
      <c r="BN1059" s="67">
        <f>IFERROR((AO1059*40)/(((F1059*60+G1059)/60)*(SUMIFS(팀수비력!Q:Q,팀수비력!A:A,B1059,팀수비력!B:B,D1059)-SUMIFS(팀수비력!N:N,팀수비력!A:A,B1059,팀수비력!B:B,D1059)))*100,"")</f>
        <v>5.4103100220357421</v>
      </c>
      <c r="BO1059" s="67">
        <f t="shared" si="503"/>
        <v>7.4962518740629687</v>
      </c>
      <c r="BT1059" t="s">
        <v>89</v>
      </c>
      <c r="BV1059" t="s">
        <v>102</v>
      </c>
      <c r="CF1059">
        <v>4</v>
      </c>
      <c r="CG1059">
        <v>5</v>
      </c>
    </row>
    <row r="1060" spans="1:85" x14ac:dyDescent="0.4">
      <c r="A1060" s="11" t="s">
        <v>85</v>
      </c>
      <c r="B1060" t="s">
        <v>224</v>
      </c>
      <c r="C1060" t="s">
        <v>229</v>
      </c>
      <c r="D1060" s="46" t="s">
        <v>313</v>
      </c>
      <c r="E1060">
        <v>6</v>
      </c>
      <c r="F1060">
        <v>5</v>
      </c>
      <c r="G1060" s="1">
        <v>45</v>
      </c>
      <c r="H1060" s="16">
        <f t="shared" si="478"/>
        <v>2070</v>
      </c>
      <c r="I1060">
        <v>4</v>
      </c>
      <c r="J1060" s="17">
        <f t="shared" si="479"/>
        <v>0.66666666666666663</v>
      </c>
      <c r="K1060">
        <v>2</v>
      </c>
      <c r="L1060">
        <v>7</v>
      </c>
      <c r="M1060" s="17">
        <f t="shared" si="480"/>
        <v>0.33333333333333331</v>
      </c>
      <c r="N1060" s="17">
        <f t="shared" si="481"/>
        <v>1.1666666666666667</v>
      </c>
      <c r="O1060" s="18">
        <f t="shared" si="482"/>
        <v>0.2857142857142857</v>
      </c>
      <c r="P1060">
        <v>2</v>
      </c>
      <c r="Q1060">
        <v>6</v>
      </c>
      <c r="R1060" s="17">
        <f t="shared" si="483"/>
        <v>0.33333333333333331</v>
      </c>
      <c r="S1060" s="17">
        <f t="shared" si="484"/>
        <v>1</v>
      </c>
      <c r="T1060" s="18">
        <f t="shared" si="485"/>
        <v>0.33333333333333331</v>
      </c>
      <c r="U1060">
        <v>0</v>
      </c>
      <c r="V1060">
        <v>1</v>
      </c>
      <c r="W1060" s="17">
        <f t="shared" si="486"/>
        <v>0</v>
      </c>
      <c r="X1060" s="17">
        <f t="shared" si="487"/>
        <v>0.16666666666666666</v>
      </c>
      <c r="Y1060" s="18">
        <f t="shared" si="488"/>
        <v>0</v>
      </c>
      <c r="Z1060">
        <v>0</v>
      </c>
      <c r="AA1060">
        <v>0</v>
      </c>
      <c r="AB1060" s="17">
        <f t="shared" si="489"/>
        <v>0</v>
      </c>
      <c r="AC1060" s="17">
        <f t="shared" si="490"/>
        <v>0</v>
      </c>
      <c r="AD1060" s="18" t="e">
        <f t="shared" si="491"/>
        <v>#DIV/0!</v>
      </c>
      <c r="AE1060">
        <v>7</v>
      </c>
      <c r="AF1060" s="17">
        <f t="shared" si="492"/>
        <v>1.1666666666666667</v>
      </c>
      <c r="AG1060">
        <v>3</v>
      </c>
      <c r="AH1060" s="17">
        <f t="shared" si="493"/>
        <v>0.5</v>
      </c>
      <c r="AI1060">
        <v>4</v>
      </c>
      <c r="AJ1060" s="17">
        <f t="shared" si="494"/>
        <v>0.66666666666666663</v>
      </c>
      <c r="AK1060">
        <v>0</v>
      </c>
      <c r="AL1060" s="17">
        <f t="shared" si="495"/>
        <v>0</v>
      </c>
      <c r="AM1060">
        <v>1</v>
      </c>
      <c r="AN1060" s="17">
        <f t="shared" si="496"/>
        <v>0.16666666666666666</v>
      </c>
      <c r="AO1060">
        <v>0</v>
      </c>
      <c r="AQ1060">
        <v>0</v>
      </c>
      <c r="AR1060" s="17">
        <f t="shared" si="497"/>
        <v>0</v>
      </c>
      <c r="AS1060">
        <v>8</v>
      </c>
      <c r="AT1060" s="17">
        <f t="shared" si="498"/>
        <v>1.3333333333333333</v>
      </c>
      <c r="BD1060" s="65">
        <f t="shared" si="499"/>
        <v>28.571428571428569</v>
      </c>
      <c r="BE1060" s="65">
        <f t="shared" si="500"/>
        <v>28.571428571428569</v>
      </c>
      <c r="BF1060" s="66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6.520574742087982</v>
      </c>
      <c r="BG1060" s="38">
        <f t="shared" si="501"/>
        <v>0.14285714285714285</v>
      </c>
      <c r="BH1060" s="38">
        <f t="shared" si="502"/>
        <v>0</v>
      </c>
      <c r="BI1060" s="67">
        <f>IFERROR(((AG1060*(12000/5))/((F1060*60+G1060)*(SUMIFS(팀공격력!X:X,팀공격력!A:A,B1060,팀공격력!B:B,D1060)+SUMIFS(팀수비력!X:X,팀수비력!A:A,B1060,팀수비력!B:B,D1060))))*100,"")</f>
        <v>3.2107023411371234</v>
      </c>
      <c r="BJ1060" s="67">
        <f>IFERROR(((AI1060*(12000/5))/((F1060*60+G1060)*(SUMIFS(팀공격력!V:V,팀공격력!A:A,B1060,팀공격력!B:B,D1060)+SUMIFS(팀수비력!W:W,팀수비력!A:A,B1060,팀수비력!B:B,D1060))))*100,"")</f>
        <v>9.2139360783184561</v>
      </c>
      <c r="BK1060" s="67">
        <f>IFERROR(((AE1060*(12000/5))/((F1060*60+G1060)*(SUMIFS(팀공격력!X:X,팀공격력!A:A,B1060,팀공격력!B:B,D1060)+SUMIFS(팀수비력!X:X,팀수비력!A:A,B1060,팀수비력!B:B,D1060))))*100,"")</f>
        <v>7.4916387959866215</v>
      </c>
      <c r="BL1060" s="67">
        <f>IFERROR(100*AK1060/(((((F1060*60+G1060)/(12000/5))*SUMIFS(팀공격력!P:P,팀공격력!A:A,B1060,팀공격력!B:B,D1060))-K1060)),"")</f>
        <v>0</v>
      </c>
      <c r="BM1060" s="67">
        <f>IFERROR(100*((AM1060/E1060*(2400))/((F1060*60+G1060)*SUMIFS(팀공격력!AR:AR,팀공격력!A:A,B1060,팀공격력!B:B,D1060))),"")</f>
        <v>1.5632851749335832</v>
      </c>
      <c r="BN1060" s="67">
        <f>IFERROR((AO1060*40)/(((F1060*60+G1060)/60)*(SUMIFS(팀수비력!Q:Q,팀수비력!A:A,B1060,팀수비력!B:B,D1060)-SUMIFS(팀수비력!N:N,팀수비력!A:A,B1060,팀수비력!B:B,D1060)))*100,"")</f>
        <v>0</v>
      </c>
      <c r="BO1060" s="67">
        <f t="shared" si="503"/>
        <v>0</v>
      </c>
      <c r="BT1060" t="s">
        <v>89</v>
      </c>
      <c r="BV1060" t="s">
        <v>93</v>
      </c>
      <c r="CF1060">
        <v>2</v>
      </c>
      <c r="CG1060">
        <v>4</v>
      </c>
    </row>
    <row r="1061" spans="1:85" x14ac:dyDescent="0.4">
      <c r="A1061" s="11" t="s">
        <v>85</v>
      </c>
      <c r="B1061" t="s">
        <v>224</v>
      </c>
      <c r="C1061" t="s">
        <v>231</v>
      </c>
      <c r="D1061" s="46" t="s">
        <v>313</v>
      </c>
      <c r="E1061">
        <v>4</v>
      </c>
      <c r="F1061">
        <v>21</v>
      </c>
      <c r="G1061" s="1">
        <v>45</v>
      </c>
      <c r="H1061" s="16">
        <f t="shared" si="478"/>
        <v>5220</v>
      </c>
      <c r="I1061">
        <v>44</v>
      </c>
      <c r="J1061" s="17">
        <f t="shared" si="479"/>
        <v>11</v>
      </c>
      <c r="K1061">
        <v>18</v>
      </c>
      <c r="L1061">
        <v>36</v>
      </c>
      <c r="M1061" s="17">
        <f t="shared" si="480"/>
        <v>4.5</v>
      </c>
      <c r="N1061" s="17">
        <f t="shared" si="481"/>
        <v>9</v>
      </c>
      <c r="O1061" s="18">
        <f t="shared" si="482"/>
        <v>0.5</v>
      </c>
      <c r="P1061">
        <v>17</v>
      </c>
      <c r="Q1061">
        <v>28</v>
      </c>
      <c r="R1061" s="17">
        <f t="shared" si="483"/>
        <v>4.25</v>
      </c>
      <c r="S1061" s="17">
        <f t="shared" si="484"/>
        <v>7</v>
      </c>
      <c r="T1061" s="18">
        <f t="shared" si="485"/>
        <v>0.6071428571428571</v>
      </c>
      <c r="U1061">
        <v>1</v>
      </c>
      <c r="V1061">
        <v>8</v>
      </c>
      <c r="W1061" s="17">
        <f t="shared" si="486"/>
        <v>0.25</v>
      </c>
      <c r="X1061" s="17">
        <f t="shared" si="487"/>
        <v>2</v>
      </c>
      <c r="Y1061" s="18">
        <f t="shared" si="488"/>
        <v>0.125</v>
      </c>
      <c r="Z1061">
        <v>7</v>
      </c>
      <c r="AA1061">
        <v>8</v>
      </c>
      <c r="AB1061" s="17">
        <f t="shared" si="489"/>
        <v>1.75</v>
      </c>
      <c r="AC1061" s="17">
        <f t="shared" si="490"/>
        <v>2</v>
      </c>
      <c r="AD1061" s="18">
        <f t="shared" si="491"/>
        <v>0.875</v>
      </c>
      <c r="AE1061">
        <v>9</v>
      </c>
      <c r="AF1061" s="17">
        <f t="shared" si="492"/>
        <v>2.25</v>
      </c>
      <c r="AG1061">
        <v>4</v>
      </c>
      <c r="AH1061" s="17">
        <f t="shared" si="493"/>
        <v>1</v>
      </c>
      <c r="AI1061">
        <v>5</v>
      </c>
      <c r="AJ1061" s="17">
        <f t="shared" si="494"/>
        <v>1.25</v>
      </c>
      <c r="AK1061">
        <v>7</v>
      </c>
      <c r="AL1061" s="17">
        <f t="shared" si="495"/>
        <v>1.75</v>
      </c>
      <c r="AM1061">
        <v>3</v>
      </c>
      <c r="AN1061" s="17">
        <f t="shared" si="496"/>
        <v>0.75</v>
      </c>
      <c r="AO1061">
        <v>8</v>
      </c>
      <c r="AQ1061">
        <v>7</v>
      </c>
      <c r="AR1061" s="17">
        <f t="shared" si="497"/>
        <v>1.75</v>
      </c>
      <c r="AS1061">
        <v>6</v>
      </c>
      <c r="AT1061" s="17">
        <f t="shared" si="498"/>
        <v>1.5</v>
      </c>
      <c r="BD1061" s="65">
        <f t="shared" si="499"/>
        <v>55.668016194331983</v>
      </c>
      <c r="BE1061" s="65">
        <f t="shared" si="500"/>
        <v>51.388888888888886</v>
      </c>
      <c r="BF1061" s="66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11.456082349826696</v>
      </c>
      <c r="BG1061" s="38">
        <f t="shared" si="501"/>
        <v>0.22222222222222221</v>
      </c>
      <c r="BH1061" s="38">
        <f t="shared" si="502"/>
        <v>0.22222222222222221</v>
      </c>
      <c r="BI1061" s="67">
        <f>IFERROR(((AG1061*(12000/5))/((F1061*60+G1061)*(SUMIFS(팀공격력!X:X,팀공격력!A:A,B1061,팀공격력!B:B,D1061)+SUMIFS(팀수비력!X:X,팀수비력!A:A,B1061,팀수비력!B:B,D1061))))*100,"")</f>
        <v>1.1317418213969939</v>
      </c>
      <c r="BJ1061" s="67">
        <f>IFERROR(((AI1061*(12000/5))/((F1061*60+G1061)*(SUMIFS(팀공격력!V:V,팀공격력!A:A,B1061,팀공격력!B:B,D1061)+SUMIFS(팀수비력!W:W,팀수비력!A:A,B1061,팀수비력!B:B,D1061))))*100,"")</f>
        <v>3.044835198294892</v>
      </c>
      <c r="BK1061" s="67">
        <f>IFERROR(((AE1061*(12000/5))/((F1061*60+G1061)*(SUMIFS(팀공격력!X:X,팀공격력!A:A,B1061,팀공격력!B:B,D1061)+SUMIFS(팀수비력!X:X,팀수비력!A:A,B1061,팀수비력!B:B,D1061))))*100,"")</f>
        <v>2.546419098143236</v>
      </c>
      <c r="BL1061" s="67">
        <f>IFERROR(100*AK1061/(((((F1061*60+G1061)/(12000/5))*SUMIFS(팀공격력!P:P,팀공격력!A:A,B1061,팀공격력!B:B,D1061))-K1061)),"")</f>
        <v>5.1722545488131528</v>
      </c>
      <c r="BM1061" s="67">
        <f>IFERROR(100*((AM1061/E1061*(2400))/((F1061*60+G1061)*SUMIFS(팀공격력!AR:AR,팀공격력!A:A,B1061,팀공격력!B:B,D1061))),"")</f>
        <v>1.8597702943175389</v>
      </c>
      <c r="BN1061" s="67">
        <f>IFERROR((AO1061*40)/(((F1061*60+G1061)/60)*(SUMIFS(팀수비력!Q:Q,팀수비력!A:A,B1061,팀수비력!B:B,D1061)-SUMIFS(팀수비력!N:N,팀수비력!A:A,B1061,팀수비력!B:B,D1061)))*100,"")</f>
        <v>3.8514774026599268</v>
      </c>
      <c r="BO1061" s="67">
        <f t="shared" si="503"/>
        <v>15.047291487532243</v>
      </c>
      <c r="BT1061" t="s">
        <v>113</v>
      </c>
      <c r="BV1061" t="s">
        <v>90</v>
      </c>
      <c r="CF1061">
        <v>2</v>
      </c>
      <c r="CG1061">
        <v>2</v>
      </c>
    </row>
    <row r="1062" spans="1:85" x14ac:dyDescent="0.4">
      <c r="A1062" s="11" t="s">
        <v>85</v>
      </c>
      <c r="B1062" t="s">
        <v>224</v>
      </c>
      <c r="C1062" t="s">
        <v>232</v>
      </c>
      <c r="D1062" s="46" t="s">
        <v>313</v>
      </c>
      <c r="E1062">
        <v>9</v>
      </c>
      <c r="F1062">
        <v>22</v>
      </c>
      <c r="G1062" s="1">
        <v>53</v>
      </c>
      <c r="H1062" s="16">
        <f t="shared" si="478"/>
        <v>12357</v>
      </c>
      <c r="I1062">
        <v>102</v>
      </c>
      <c r="J1062" s="17">
        <f t="shared" si="479"/>
        <v>11.333333333333334</v>
      </c>
      <c r="K1062">
        <v>43</v>
      </c>
      <c r="L1062">
        <v>106</v>
      </c>
      <c r="M1062" s="17">
        <f t="shared" si="480"/>
        <v>4.7777777777777777</v>
      </c>
      <c r="N1062" s="17">
        <f t="shared" si="481"/>
        <v>11.777777777777779</v>
      </c>
      <c r="O1062" s="18">
        <f t="shared" si="482"/>
        <v>0.40566037735849059</v>
      </c>
      <c r="P1062">
        <v>34</v>
      </c>
      <c r="Q1062">
        <v>65</v>
      </c>
      <c r="R1062" s="17">
        <f t="shared" si="483"/>
        <v>3.7777777777777777</v>
      </c>
      <c r="S1062" s="17">
        <f t="shared" si="484"/>
        <v>7.2222222222222223</v>
      </c>
      <c r="T1062" s="18">
        <f t="shared" si="485"/>
        <v>0.52307692307692311</v>
      </c>
      <c r="U1062">
        <v>9</v>
      </c>
      <c r="V1062">
        <v>41</v>
      </c>
      <c r="W1062" s="17">
        <f t="shared" si="486"/>
        <v>1</v>
      </c>
      <c r="X1062" s="17">
        <f t="shared" si="487"/>
        <v>4.5555555555555554</v>
      </c>
      <c r="Y1062" s="18">
        <f t="shared" si="488"/>
        <v>0.21951219512195122</v>
      </c>
      <c r="Z1062">
        <v>7</v>
      </c>
      <c r="AA1062">
        <v>10</v>
      </c>
      <c r="AB1062" s="17">
        <f t="shared" si="489"/>
        <v>0.77777777777777779</v>
      </c>
      <c r="AC1062" s="17">
        <f t="shared" si="490"/>
        <v>1.1111111111111112</v>
      </c>
      <c r="AD1062" s="18">
        <f t="shared" si="491"/>
        <v>0.7</v>
      </c>
      <c r="AE1062">
        <v>52</v>
      </c>
      <c r="AF1062" s="17">
        <f t="shared" si="492"/>
        <v>5.7777777777777777</v>
      </c>
      <c r="AG1062">
        <v>7</v>
      </c>
      <c r="AH1062" s="17">
        <f t="shared" si="493"/>
        <v>0.77777777777777779</v>
      </c>
      <c r="AI1062">
        <v>45</v>
      </c>
      <c r="AJ1062" s="17">
        <f t="shared" si="494"/>
        <v>5</v>
      </c>
      <c r="AK1062">
        <v>22</v>
      </c>
      <c r="AL1062" s="17">
        <f t="shared" si="495"/>
        <v>2.4444444444444446</v>
      </c>
      <c r="AM1062">
        <v>7</v>
      </c>
      <c r="AN1062" s="17">
        <f t="shared" si="496"/>
        <v>0.77777777777777779</v>
      </c>
      <c r="AO1062">
        <v>8</v>
      </c>
      <c r="AQ1062">
        <v>18</v>
      </c>
      <c r="AR1062" s="17">
        <f t="shared" si="497"/>
        <v>2</v>
      </c>
      <c r="AS1062">
        <v>23</v>
      </c>
      <c r="AT1062" s="17">
        <f t="shared" si="498"/>
        <v>2.5555555555555554</v>
      </c>
      <c r="BD1062" s="65">
        <f t="shared" si="499"/>
        <v>46.195652173913047</v>
      </c>
      <c r="BE1062" s="65">
        <f t="shared" si="500"/>
        <v>44.811320754716981</v>
      </c>
      <c r="BF1062" s="66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30.053940268964045</v>
      </c>
      <c r="BG1062" s="38">
        <f t="shared" si="501"/>
        <v>0.3867924528301887</v>
      </c>
      <c r="BH1062" s="38">
        <f t="shared" si="502"/>
        <v>9.4339622641509441E-2</v>
      </c>
      <c r="BI1062" s="67">
        <f>IFERROR(((AG1062*(12000/5))/((F1062*60+G1062)*(SUMIFS(팀공격력!X:X,팀공격력!A:A,B1062,팀공격력!B:B,D1062)+SUMIFS(팀수비력!X:X,팀수비력!A:A,B1062,팀수비력!B:B,D1062))))*100,"")</f>
        <v>1.88245840103087</v>
      </c>
      <c r="BJ1062" s="67">
        <f>IFERROR(((AI1062*(12000/5))/((F1062*60+G1062)*(SUMIFS(팀공격력!V:V,팀공격력!A:A,B1062,팀공격력!B:B,D1062)+SUMIFS(팀수비력!W:W,팀수비력!A:A,B1062,팀수비력!B:B,D1062))))*100,"")</f>
        <v>26.046314205370365</v>
      </c>
      <c r="BK1062" s="67">
        <f>IFERROR(((AE1062*(12000/5))/((F1062*60+G1062)*(SUMIFS(팀공격력!X:X,팀공격력!A:A,B1062,팀공격력!B:B,D1062)+SUMIFS(팀수비력!X:X,팀수비력!A:A,B1062,팀수비력!B:B,D1062))))*100,"")</f>
        <v>13.983976693372178</v>
      </c>
      <c r="BL1062" s="67">
        <f>IFERROR(100*AK1062/(((((F1062*60+G1062)/(12000/5))*SUMIFS(팀공격력!P:P,팀공격력!A:A,B1062,팀공격력!B:B,D1062))-K1062)),"")</f>
        <v>18.592465825780142</v>
      </c>
      <c r="BM1062" s="67">
        <f>IFERROR(100*((AM1062/E1062*(2400))/((F1062*60+G1062)*SUMIFS(팀공격력!AR:AR,팀공격력!A:A,B1062,팀공격력!B:B,D1062))),"")</f>
        <v>1.8331311956613761</v>
      </c>
      <c r="BN1062" s="67">
        <f>IFERROR((AO1062*40)/(((F1062*60+G1062)/60)*(SUMIFS(팀수비력!Q:Q,팀수비력!A:A,B1062,팀수비력!B:B,D1062)-SUMIFS(팀수비력!N:N,팀수비력!A:A,B1062,팀수비력!B:B,D1062)))*100,"")</f>
        <v>3.6607268830817228</v>
      </c>
      <c r="BO1062" s="67">
        <f t="shared" si="503"/>
        <v>14.018691588785046</v>
      </c>
      <c r="BT1062" t="s">
        <v>96</v>
      </c>
      <c r="BV1062" t="s">
        <v>93</v>
      </c>
      <c r="CF1062">
        <v>4</v>
      </c>
      <c r="CG1062">
        <v>5</v>
      </c>
    </row>
    <row r="1063" spans="1:85" x14ac:dyDescent="0.4">
      <c r="A1063" s="11" t="s">
        <v>85</v>
      </c>
      <c r="B1063" t="s">
        <v>224</v>
      </c>
      <c r="C1063" t="s">
        <v>129</v>
      </c>
      <c r="D1063" s="46" t="s">
        <v>313</v>
      </c>
      <c r="E1063">
        <v>9</v>
      </c>
      <c r="F1063">
        <v>28</v>
      </c>
      <c r="G1063" s="1">
        <v>45</v>
      </c>
      <c r="H1063" s="16">
        <f t="shared" si="478"/>
        <v>15525</v>
      </c>
      <c r="I1063">
        <v>103</v>
      </c>
      <c r="J1063" s="17">
        <f t="shared" si="479"/>
        <v>11.444444444444445</v>
      </c>
      <c r="K1063">
        <v>42</v>
      </c>
      <c r="L1063">
        <v>81</v>
      </c>
      <c r="M1063" s="17">
        <f t="shared" si="480"/>
        <v>4.666666666666667</v>
      </c>
      <c r="N1063" s="17">
        <f t="shared" si="481"/>
        <v>9</v>
      </c>
      <c r="O1063" s="18">
        <f t="shared" si="482"/>
        <v>0.51851851851851849</v>
      </c>
      <c r="P1063">
        <v>36</v>
      </c>
      <c r="Q1063">
        <v>50</v>
      </c>
      <c r="R1063" s="17">
        <f t="shared" si="483"/>
        <v>4</v>
      </c>
      <c r="S1063" s="17">
        <f t="shared" si="484"/>
        <v>5.5555555555555554</v>
      </c>
      <c r="T1063" s="18">
        <f t="shared" si="485"/>
        <v>0.72</v>
      </c>
      <c r="U1063">
        <v>6</v>
      </c>
      <c r="V1063">
        <v>31</v>
      </c>
      <c r="W1063" s="17">
        <f t="shared" si="486"/>
        <v>0.66666666666666663</v>
      </c>
      <c r="X1063" s="17">
        <f t="shared" si="487"/>
        <v>3.4444444444444446</v>
      </c>
      <c r="Y1063" s="18">
        <f t="shared" si="488"/>
        <v>0.19354838709677419</v>
      </c>
      <c r="Z1063">
        <v>13</v>
      </c>
      <c r="AA1063">
        <v>18</v>
      </c>
      <c r="AB1063" s="17">
        <f t="shared" si="489"/>
        <v>1.4444444444444444</v>
      </c>
      <c r="AC1063" s="17">
        <f t="shared" si="490"/>
        <v>2</v>
      </c>
      <c r="AD1063" s="18">
        <f t="shared" si="491"/>
        <v>0.72222222222222221</v>
      </c>
      <c r="AE1063">
        <v>35</v>
      </c>
      <c r="AF1063" s="17">
        <f t="shared" si="492"/>
        <v>3.8888888888888888</v>
      </c>
      <c r="AG1063">
        <v>8</v>
      </c>
      <c r="AH1063" s="17">
        <f t="shared" si="493"/>
        <v>0.88888888888888884</v>
      </c>
      <c r="AI1063">
        <v>27</v>
      </c>
      <c r="AJ1063" s="17">
        <f t="shared" si="494"/>
        <v>3</v>
      </c>
      <c r="AK1063">
        <v>47</v>
      </c>
      <c r="AL1063" s="17">
        <f t="shared" si="495"/>
        <v>5.2222222222222223</v>
      </c>
      <c r="AM1063">
        <v>18</v>
      </c>
      <c r="AN1063" s="17">
        <f t="shared" si="496"/>
        <v>2</v>
      </c>
      <c r="AO1063">
        <v>1</v>
      </c>
      <c r="AQ1063">
        <v>12</v>
      </c>
      <c r="AR1063" s="17">
        <f t="shared" si="497"/>
        <v>1.3333333333333333</v>
      </c>
      <c r="AS1063">
        <v>21</v>
      </c>
      <c r="AT1063" s="17">
        <f t="shared" si="498"/>
        <v>2.3333333333333335</v>
      </c>
      <c r="BD1063" s="65">
        <f t="shared" si="499"/>
        <v>57.917228969860545</v>
      </c>
      <c r="BE1063" s="65">
        <f t="shared" si="500"/>
        <v>55.555555555555557</v>
      </c>
      <c r="BF1063" s="66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18.801611513471972</v>
      </c>
      <c r="BG1063" s="38">
        <f t="shared" si="501"/>
        <v>0.38271604938271603</v>
      </c>
      <c r="BH1063" s="38">
        <f t="shared" si="502"/>
        <v>0.22222222222222221</v>
      </c>
      <c r="BI1063" s="67">
        <f>IFERROR(((AG1063*(12000/5))/((F1063*60+G1063)*(SUMIFS(팀공격력!X:X,팀공격력!A:A,B1063,팀공격력!B:B,D1063)+SUMIFS(팀수비력!X:X,팀수비력!A:A,B1063,팀수비력!B:B,D1063))))*100,"")</f>
        <v>1.7123745819397993</v>
      </c>
      <c r="BJ1063" s="67">
        <f>IFERROR(((AI1063*(12000/5))/((F1063*60+G1063)*(SUMIFS(팀공격력!V:V,팀공격력!A:A,B1063,팀공격력!B:B,D1063)+SUMIFS(팀수비력!W:W,팀수비력!A:A,B1063,팀수비력!B:B,D1063))))*100,"")</f>
        <v>12.438813705729917</v>
      </c>
      <c r="BK1063" s="67">
        <f>IFERROR(((AE1063*(12000/5))/((F1063*60+G1063)*(SUMIFS(팀공격력!X:X,팀공격력!A:A,B1063,팀공격력!B:B,D1063)+SUMIFS(팀수비력!X:X,팀수비력!A:A,B1063,팀수비력!B:B,D1063))))*100,"")</f>
        <v>7.4916387959866215</v>
      </c>
      <c r="BL1063" s="67">
        <f>IFERROR(100*AK1063/(((((F1063*60+G1063)/(12000/5))*SUMIFS(팀공격력!P:P,팀공격력!A:A,B1063,팀공격력!B:B,D1063))-K1063)),"")</f>
        <v>29.249319330999612</v>
      </c>
      <c r="BM1063" s="67">
        <f>IFERROR(100*((AM1063/E1063*(2400))/((F1063*60+G1063)*SUMIFS(팀공격력!AR:AR,팀공격력!A:A,B1063,팀공격력!B:B,D1063))),"")</f>
        <v>3.7518844198406001</v>
      </c>
      <c r="BN1063" s="67">
        <f>IFERROR((AO1063*40)/(((F1063*60+G1063)/60)*(SUMIFS(팀수비력!Q:Q,팀수비력!A:A,B1063,팀수비력!B:B,D1063)-SUMIFS(팀수비력!N:N,팀수비력!A:A,B1063,팀수비력!B:B,D1063)))*100,"")</f>
        <v>0.36421579786023223</v>
      </c>
      <c r="BO1063" s="67">
        <f t="shared" si="503"/>
        <v>11.890606420927467</v>
      </c>
      <c r="BT1063" t="s">
        <v>89</v>
      </c>
      <c r="BV1063" t="s">
        <v>93</v>
      </c>
      <c r="CF1063">
        <v>4</v>
      </c>
      <c r="CG1063">
        <v>5</v>
      </c>
    </row>
    <row r="1064" spans="1:85" x14ac:dyDescent="0.4">
      <c r="A1064" s="11" t="s">
        <v>85</v>
      </c>
      <c r="B1064" t="s">
        <v>224</v>
      </c>
      <c r="C1064" t="s">
        <v>234</v>
      </c>
      <c r="D1064" s="46" t="s">
        <v>313</v>
      </c>
      <c r="E1064">
        <v>8</v>
      </c>
      <c r="F1064">
        <v>24</v>
      </c>
      <c r="G1064" s="1">
        <v>53</v>
      </c>
      <c r="H1064" s="16">
        <f t="shared" si="478"/>
        <v>11944</v>
      </c>
      <c r="I1064">
        <v>76</v>
      </c>
      <c r="J1064" s="17">
        <f t="shared" si="479"/>
        <v>9.5</v>
      </c>
      <c r="K1064">
        <v>30</v>
      </c>
      <c r="L1064">
        <v>72</v>
      </c>
      <c r="M1064" s="17">
        <f t="shared" si="480"/>
        <v>3.75</v>
      </c>
      <c r="N1064" s="17">
        <f t="shared" si="481"/>
        <v>9</v>
      </c>
      <c r="O1064" s="18">
        <f t="shared" si="482"/>
        <v>0.41666666666666669</v>
      </c>
      <c r="P1064">
        <v>19</v>
      </c>
      <c r="Q1064">
        <v>33</v>
      </c>
      <c r="R1064" s="17">
        <f t="shared" si="483"/>
        <v>2.375</v>
      </c>
      <c r="S1064" s="17">
        <f t="shared" si="484"/>
        <v>4.125</v>
      </c>
      <c r="T1064" s="18">
        <f t="shared" si="485"/>
        <v>0.5757575757575758</v>
      </c>
      <c r="U1064">
        <v>11</v>
      </c>
      <c r="V1064">
        <v>39</v>
      </c>
      <c r="W1064" s="17">
        <f t="shared" si="486"/>
        <v>1.375</v>
      </c>
      <c r="X1064" s="17">
        <f t="shared" si="487"/>
        <v>4.875</v>
      </c>
      <c r="Y1064" s="18">
        <f t="shared" si="488"/>
        <v>0.28205128205128205</v>
      </c>
      <c r="Z1064">
        <v>5</v>
      </c>
      <c r="AA1064">
        <v>6</v>
      </c>
      <c r="AB1064" s="17">
        <f t="shared" si="489"/>
        <v>0.625</v>
      </c>
      <c r="AC1064" s="17">
        <f t="shared" si="490"/>
        <v>0.75</v>
      </c>
      <c r="AD1064" s="18">
        <f t="shared" si="491"/>
        <v>0.83333333333333337</v>
      </c>
      <c r="AE1064">
        <v>13</v>
      </c>
      <c r="AF1064" s="17">
        <f t="shared" si="492"/>
        <v>1.625</v>
      </c>
      <c r="AG1064">
        <v>1</v>
      </c>
      <c r="AH1064" s="17">
        <f t="shared" si="493"/>
        <v>0.125</v>
      </c>
      <c r="AI1064">
        <v>12</v>
      </c>
      <c r="AJ1064" s="17">
        <f t="shared" si="494"/>
        <v>1.5</v>
      </c>
      <c r="AK1064">
        <v>18</v>
      </c>
      <c r="AL1064" s="17">
        <f t="shared" si="495"/>
        <v>2.25</v>
      </c>
      <c r="AM1064">
        <v>6</v>
      </c>
      <c r="AN1064" s="17">
        <f t="shared" si="496"/>
        <v>0.75</v>
      </c>
      <c r="AO1064">
        <v>1</v>
      </c>
      <c r="AQ1064">
        <v>5</v>
      </c>
      <c r="AR1064" s="17">
        <f t="shared" si="497"/>
        <v>0.625</v>
      </c>
      <c r="AS1064">
        <v>10</v>
      </c>
      <c r="AT1064" s="17">
        <f t="shared" si="498"/>
        <v>1.25</v>
      </c>
      <c r="BD1064" s="65">
        <f t="shared" si="499"/>
        <v>50.91103965702036</v>
      </c>
      <c r="BE1064" s="65">
        <f t="shared" si="500"/>
        <v>49.305555555555557</v>
      </c>
      <c r="BF1064" s="66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17.142666491116731</v>
      </c>
      <c r="BG1064" s="38">
        <f t="shared" si="501"/>
        <v>0.54166666666666663</v>
      </c>
      <c r="BH1064" s="38">
        <f t="shared" si="502"/>
        <v>8.3333333333333329E-2</v>
      </c>
      <c r="BI1064" s="67">
        <f>IFERROR(((AG1064*(12000/5))/((F1064*60+G1064)*(SUMIFS(팀공격력!X:X,팀공격력!A:A,B1064,팀공격력!B:B,D1064)+SUMIFS(팀수비력!X:X,팀수비력!A:A,B1064,팀수비력!B:B,D1064))))*100,"")</f>
        <v>0.24730794992014016</v>
      </c>
      <c r="BJ1064" s="67">
        <f>IFERROR(((AI1064*(12000/5))/((F1064*60+G1064)*(SUMIFS(팀공격력!V:V,팀공격력!A:A,B1064,팀공격력!B:B,D1064)+SUMIFS(팀수비력!W:W,팀수비력!A:A,B1064,팀수비력!B:B,D1064))))*100,"")</f>
        <v>6.3874238721095793</v>
      </c>
      <c r="BK1064" s="67">
        <f>IFERROR(((AE1064*(12000/5))/((F1064*60+G1064)*(SUMIFS(팀공격력!X:X,팀공격력!A:A,B1064,팀공격력!B:B,D1064)+SUMIFS(팀수비력!X:X,팀수비력!A:A,B1064,팀수비력!B:B,D1064))))*100,"")</f>
        <v>3.2150033489618215</v>
      </c>
      <c r="BL1064" s="67">
        <f>IFERROR(100*AK1064/(((((F1064*60+G1064)/(12000/5))*SUMIFS(팀공격력!P:P,팀공격력!A:A,B1064,팀공격력!B:B,D1064))-K1064)),"")</f>
        <v>12.377301404479894</v>
      </c>
      <c r="BM1064" s="67">
        <f>IFERROR(100*((AM1064/E1064*(2400))/((F1064*60+G1064)*SUMIFS(팀공격력!AR:AR,팀공격력!A:A,B1064,팀공격력!B:B,D1064))),"")</f>
        <v>1.625586225106757</v>
      </c>
      <c r="BN1064" s="67">
        <f>IFERROR((AO1064*40)/(((F1064*60+G1064)/60)*(SUMIFS(팀수비력!Q:Q,팀수비력!A:A,B1064,팀수비력!B:B,D1064)-SUMIFS(팀수비력!N:N,팀수비력!A:A,B1064,팀수비력!B:B,D1064)))*100,"")</f>
        <v>0.42081195667039561</v>
      </c>
      <c r="BO1064" s="67">
        <f t="shared" si="503"/>
        <v>6.2782521346057258</v>
      </c>
      <c r="BT1064" t="s">
        <v>89</v>
      </c>
      <c r="BV1064" t="s">
        <v>90</v>
      </c>
      <c r="CF1064">
        <v>3</v>
      </c>
      <c r="CG1064">
        <v>5</v>
      </c>
    </row>
    <row r="1065" spans="1:85" x14ac:dyDescent="0.4">
      <c r="A1065" s="11" t="s">
        <v>85</v>
      </c>
      <c r="B1065" t="s">
        <v>224</v>
      </c>
      <c r="C1065" t="s">
        <v>237</v>
      </c>
      <c r="D1065" s="46" t="s">
        <v>313</v>
      </c>
      <c r="E1065">
        <v>9</v>
      </c>
      <c r="F1065">
        <v>12</v>
      </c>
      <c r="G1065" s="1">
        <v>44</v>
      </c>
      <c r="H1065" s="16">
        <f t="shared" si="478"/>
        <v>6876</v>
      </c>
      <c r="I1065">
        <v>43</v>
      </c>
      <c r="J1065" s="17">
        <f t="shared" si="479"/>
        <v>4.7777777777777777</v>
      </c>
      <c r="K1065">
        <v>14</v>
      </c>
      <c r="L1065">
        <v>35</v>
      </c>
      <c r="M1065" s="17">
        <f t="shared" si="480"/>
        <v>1.5555555555555556</v>
      </c>
      <c r="N1065" s="17">
        <f t="shared" si="481"/>
        <v>3.8888888888888888</v>
      </c>
      <c r="O1065" s="18">
        <f t="shared" si="482"/>
        <v>0.4</v>
      </c>
      <c r="P1065">
        <v>5</v>
      </c>
      <c r="Q1065">
        <v>13</v>
      </c>
      <c r="R1065" s="17">
        <f t="shared" si="483"/>
        <v>0.55555555555555558</v>
      </c>
      <c r="S1065" s="17">
        <f t="shared" si="484"/>
        <v>1.4444444444444444</v>
      </c>
      <c r="T1065" s="18">
        <f t="shared" si="485"/>
        <v>0.38461538461538464</v>
      </c>
      <c r="U1065">
        <v>9</v>
      </c>
      <c r="V1065">
        <v>22</v>
      </c>
      <c r="W1065" s="17">
        <f t="shared" si="486"/>
        <v>1</v>
      </c>
      <c r="X1065" s="17">
        <f t="shared" si="487"/>
        <v>2.4444444444444446</v>
      </c>
      <c r="Y1065" s="18">
        <f t="shared" si="488"/>
        <v>0.40909090909090912</v>
      </c>
      <c r="Z1065">
        <v>6</v>
      </c>
      <c r="AA1065">
        <v>8</v>
      </c>
      <c r="AB1065" s="17">
        <f t="shared" si="489"/>
        <v>0.66666666666666663</v>
      </c>
      <c r="AC1065" s="17">
        <f t="shared" si="490"/>
        <v>0.88888888888888884</v>
      </c>
      <c r="AD1065" s="18">
        <f t="shared" si="491"/>
        <v>0.75</v>
      </c>
      <c r="AE1065">
        <v>16</v>
      </c>
      <c r="AF1065" s="17">
        <f t="shared" si="492"/>
        <v>1.7777777777777777</v>
      </c>
      <c r="AG1065">
        <v>4</v>
      </c>
      <c r="AH1065" s="17">
        <f t="shared" si="493"/>
        <v>0.44444444444444442</v>
      </c>
      <c r="AI1065">
        <v>12</v>
      </c>
      <c r="AJ1065" s="17">
        <f t="shared" si="494"/>
        <v>1.3333333333333333</v>
      </c>
      <c r="AK1065">
        <v>16</v>
      </c>
      <c r="AL1065" s="17">
        <f t="shared" si="495"/>
        <v>1.7777777777777777</v>
      </c>
      <c r="AM1065">
        <v>5</v>
      </c>
      <c r="AN1065" s="17">
        <f t="shared" si="496"/>
        <v>0.55555555555555558</v>
      </c>
      <c r="AO1065">
        <v>1</v>
      </c>
      <c r="AQ1065">
        <v>6</v>
      </c>
      <c r="AR1065" s="17">
        <f t="shared" si="497"/>
        <v>0.66666666666666663</v>
      </c>
      <c r="AS1065">
        <v>16</v>
      </c>
      <c r="AT1065" s="17">
        <f t="shared" si="498"/>
        <v>1.7777777777777777</v>
      </c>
      <c r="BD1065" s="65">
        <f t="shared" si="499"/>
        <v>55.815160955347864</v>
      </c>
      <c r="BE1065" s="65">
        <f t="shared" si="500"/>
        <v>52.857142857142861</v>
      </c>
      <c r="BF1065" s="66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18.727022381007135</v>
      </c>
      <c r="BG1065" s="38">
        <f t="shared" si="501"/>
        <v>0.62857142857142856</v>
      </c>
      <c r="BH1065" s="38">
        <f t="shared" si="502"/>
        <v>0.22857142857142856</v>
      </c>
      <c r="BI1065" s="67">
        <f>IFERROR(((AG1065*(12000/5))/((F1065*60+G1065)*(SUMIFS(팀공격력!X:X,팀공격력!A:A,B1065,팀공격력!B:B,D1065)+SUMIFS(팀수비력!X:X,팀수비력!A:A,B1065,팀수비력!B:B,D1065))))*100,"")</f>
        <v>1.9331453886427707</v>
      </c>
      <c r="BJ1065" s="67">
        <f>IFERROR(((AI1065*(12000/5))/((F1065*60+G1065)*(SUMIFS(팀공격력!V:V,팀공격력!A:A,B1065,팀공격력!B:B,D1065)+SUMIFS(팀수비력!W:W,팀수비력!A:A,B1065,팀수비력!B:B,D1065))))*100,"")</f>
        <v>12.482230158454977</v>
      </c>
      <c r="BK1065" s="67">
        <f>IFERROR(((AE1065*(12000/5))/((F1065*60+G1065)*(SUMIFS(팀공격력!X:X,팀공격력!A:A,B1065,팀공격력!B:B,D1065)+SUMIFS(팀수비력!X:X,팀수비력!A:A,B1065,팀수비력!B:B,D1065))))*100,"")</f>
        <v>7.732581554571083</v>
      </c>
      <c r="BL1065" s="67">
        <f>IFERROR(100*AK1065/(((((F1065*60+G1065)/(12000/5))*SUMIFS(팀공격력!P:P,팀공격력!A:A,B1065,팀공격력!B:B,D1065))-K1065)),"")</f>
        <v>21.116536887950375</v>
      </c>
      <c r="BM1065" s="67">
        <f>IFERROR(100*((AM1065/E1065*(2400))/((F1065*60+G1065)*SUMIFS(팀공격력!AR:AR,팀공격력!A:A,B1065,팀공격력!B:B,D1065))),"")</f>
        <v>2.3531125015361534</v>
      </c>
      <c r="BN1065" s="67">
        <f>IFERROR((AO1065*40)/(((F1065*60+G1065)/60)*(SUMIFS(팀수비력!Q:Q,팀수비력!A:A,B1065,팀수비력!B:B,D1065)-SUMIFS(팀수비력!N:N,팀수비력!A:A,B1065,팀수비력!B:B,D1065)))*100,"")</f>
        <v>0.8223458786765715</v>
      </c>
      <c r="BO1065" s="67">
        <f t="shared" si="503"/>
        <v>13.477088948787062</v>
      </c>
      <c r="BT1065" t="s">
        <v>89</v>
      </c>
      <c r="BV1065" t="s">
        <v>90</v>
      </c>
      <c r="CF1065">
        <v>4</v>
      </c>
      <c r="CG1065">
        <v>5</v>
      </c>
    </row>
    <row r="1066" spans="1:85" x14ac:dyDescent="0.4">
      <c r="A1066" s="11" t="s">
        <v>85</v>
      </c>
      <c r="B1066" t="s">
        <v>224</v>
      </c>
      <c r="C1066" t="s">
        <v>238</v>
      </c>
      <c r="D1066" s="46" t="s">
        <v>313</v>
      </c>
      <c r="E1066">
        <v>9</v>
      </c>
      <c r="F1066">
        <v>20</v>
      </c>
      <c r="G1066" s="1">
        <v>5</v>
      </c>
      <c r="H1066" s="16">
        <f t="shared" si="478"/>
        <v>10845</v>
      </c>
      <c r="I1066">
        <v>46</v>
      </c>
      <c r="J1066" s="17">
        <f t="shared" si="479"/>
        <v>5.1111111111111107</v>
      </c>
      <c r="K1066">
        <v>17</v>
      </c>
      <c r="L1066">
        <v>33</v>
      </c>
      <c r="M1066" s="17">
        <f t="shared" si="480"/>
        <v>1.8888888888888888</v>
      </c>
      <c r="N1066" s="17">
        <f t="shared" si="481"/>
        <v>3.6666666666666665</v>
      </c>
      <c r="O1066" s="18">
        <f t="shared" si="482"/>
        <v>0.51515151515151514</v>
      </c>
      <c r="P1066">
        <v>15</v>
      </c>
      <c r="Q1066">
        <v>24</v>
      </c>
      <c r="R1066" s="17">
        <f t="shared" si="483"/>
        <v>1.6666666666666667</v>
      </c>
      <c r="S1066" s="17">
        <f t="shared" si="484"/>
        <v>2.6666666666666665</v>
      </c>
      <c r="T1066" s="18">
        <f t="shared" si="485"/>
        <v>0.625</v>
      </c>
      <c r="U1066">
        <v>2</v>
      </c>
      <c r="V1066">
        <v>9</v>
      </c>
      <c r="W1066" s="17">
        <f t="shared" si="486"/>
        <v>0.22222222222222221</v>
      </c>
      <c r="X1066" s="17">
        <f t="shared" si="487"/>
        <v>1</v>
      </c>
      <c r="Y1066" s="18">
        <f t="shared" si="488"/>
        <v>0.22222222222222221</v>
      </c>
      <c r="Z1066">
        <v>10</v>
      </c>
      <c r="AA1066">
        <v>11</v>
      </c>
      <c r="AB1066" s="17">
        <f t="shared" si="489"/>
        <v>1.1111111111111112</v>
      </c>
      <c r="AC1066" s="17">
        <f t="shared" si="490"/>
        <v>1.2222222222222223</v>
      </c>
      <c r="AD1066" s="18">
        <f t="shared" si="491"/>
        <v>0.90909090909090906</v>
      </c>
      <c r="AE1066">
        <v>49</v>
      </c>
      <c r="AF1066" s="17">
        <f t="shared" si="492"/>
        <v>5.4444444444444446</v>
      </c>
      <c r="AG1066">
        <v>9</v>
      </c>
      <c r="AH1066" s="17">
        <f t="shared" si="493"/>
        <v>1</v>
      </c>
      <c r="AI1066">
        <v>40</v>
      </c>
      <c r="AJ1066" s="17">
        <f t="shared" si="494"/>
        <v>4.4444444444444446</v>
      </c>
      <c r="AK1066">
        <v>11</v>
      </c>
      <c r="AL1066" s="17">
        <f t="shared" si="495"/>
        <v>1.2222222222222223</v>
      </c>
      <c r="AM1066">
        <v>6</v>
      </c>
      <c r="AN1066" s="17">
        <f t="shared" si="496"/>
        <v>0.66666666666666663</v>
      </c>
      <c r="AO1066">
        <v>16</v>
      </c>
      <c r="AQ1066">
        <v>10</v>
      </c>
      <c r="AR1066" s="17">
        <f t="shared" si="497"/>
        <v>1.1111111111111112</v>
      </c>
      <c r="AS1066">
        <v>18</v>
      </c>
      <c r="AT1066" s="17">
        <f t="shared" si="498"/>
        <v>2</v>
      </c>
      <c r="BD1066" s="65">
        <f t="shared" si="499"/>
        <v>60.782241014799155</v>
      </c>
      <c r="BE1066" s="65">
        <f t="shared" si="500"/>
        <v>54.54545454545454</v>
      </c>
      <c r="BF1066" s="66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12.758836040689239</v>
      </c>
      <c r="BG1066" s="38">
        <f t="shared" si="501"/>
        <v>0.27272727272727271</v>
      </c>
      <c r="BH1066" s="38">
        <f t="shared" si="502"/>
        <v>0.33333333333333331</v>
      </c>
      <c r="BI1066" s="67">
        <f>IFERROR(((AG1066*(12000/5))/((F1066*60+G1066)*(SUMIFS(팀공격력!X:X,팀공격력!A:A,B1066,팀공격력!B:B,D1066)+SUMIFS(팀수비력!X:X,팀수비력!A:A,B1066,팀수비력!B:B,D1066))))*100,"")</f>
        <v>2.7577401851260772</v>
      </c>
      <c r="BJ1066" s="67">
        <f>IFERROR(((AI1066*(12000/5))/((F1066*60+G1066)*(SUMIFS(팀공격력!V:V,팀공격력!A:A,B1066,팀공격력!B:B,D1066)+SUMIFS(팀수비력!W:W,팀수비력!A:A,B1066,팀수비력!B:B,D1066))))*100,"")</f>
        <v>26.380148937924215</v>
      </c>
      <c r="BK1066" s="67">
        <f>IFERROR(((AE1066*(12000/5))/((F1066*60+G1066)*(SUMIFS(팀공격력!X:X,팀공격력!A:A,B1066,팀공격력!B:B,D1066)+SUMIFS(팀수비력!X:X,팀수비력!A:A,B1066,팀수비력!B:B,D1066))))*100,"")</f>
        <v>15.014363230130865</v>
      </c>
      <c r="BL1066" s="67">
        <f>IFERROR(100*AK1066/(((((F1066*60+G1066)/(12000/5))*SUMIFS(팀공격력!P:P,팀공격력!A:A,B1066,팀공격력!B:B,D1066))-K1066)),"")</f>
        <v>8.8291361492926654</v>
      </c>
      <c r="BM1066" s="67">
        <f>IFERROR(100*((AM1066/E1066*(2400))/((F1066*60+G1066)*SUMIFS(팀공격력!AR:AR,팀공격력!A:A,B1066,팀공격력!B:B,D1066))),"")</f>
        <v>1.7903182916251827</v>
      </c>
      <c r="BN1066" s="67">
        <f>IFERROR((AO1066*40)/(((F1066*60+G1066)/60)*(SUMIFS(팀수비력!Q:Q,팀수비력!A:A,B1066,팀수비력!B:B,D1066)-SUMIFS(팀수비력!N:N,팀수비력!A:A,B1066,팀수비력!B:B,D1066)))*100,"")</f>
        <v>8.3422041667571865</v>
      </c>
      <c r="BO1066" s="67">
        <f t="shared" si="503"/>
        <v>20.903010033444815</v>
      </c>
      <c r="BT1066" t="s">
        <v>89</v>
      </c>
      <c r="BV1066" t="s">
        <v>102</v>
      </c>
      <c r="CF1066">
        <v>4</v>
      </c>
      <c r="CG1066">
        <v>5</v>
      </c>
    </row>
    <row r="1067" spans="1:85" x14ac:dyDescent="0.4">
      <c r="A1067" s="11" t="s">
        <v>85</v>
      </c>
      <c r="B1067" t="s">
        <v>224</v>
      </c>
      <c r="C1067" t="s">
        <v>239</v>
      </c>
      <c r="D1067" s="46" t="s">
        <v>313</v>
      </c>
      <c r="E1067">
        <v>6</v>
      </c>
      <c r="F1067">
        <v>22</v>
      </c>
      <c r="G1067" s="1">
        <v>36</v>
      </c>
      <c r="H1067" s="16">
        <f t="shared" si="478"/>
        <v>8136</v>
      </c>
      <c r="I1067">
        <v>75</v>
      </c>
      <c r="J1067" s="17">
        <f t="shared" si="479"/>
        <v>12.5</v>
      </c>
      <c r="K1067">
        <v>27</v>
      </c>
      <c r="L1067">
        <v>45</v>
      </c>
      <c r="M1067" s="17">
        <f t="shared" si="480"/>
        <v>4.5</v>
      </c>
      <c r="N1067" s="17">
        <f t="shared" si="481"/>
        <v>7.5</v>
      </c>
      <c r="O1067" s="18">
        <f t="shared" si="482"/>
        <v>0.6</v>
      </c>
      <c r="P1067">
        <v>14</v>
      </c>
      <c r="Q1067">
        <v>20</v>
      </c>
      <c r="R1067" s="17">
        <f t="shared" si="483"/>
        <v>2.3333333333333335</v>
      </c>
      <c r="S1067" s="17">
        <f t="shared" si="484"/>
        <v>3.3333333333333335</v>
      </c>
      <c r="T1067" s="18">
        <f t="shared" si="485"/>
        <v>0.7</v>
      </c>
      <c r="U1067">
        <v>13</v>
      </c>
      <c r="V1067">
        <v>25</v>
      </c>
      <c r="W1067" s="17">
        <f t="shared" si="486"/>
        <v>2.1666666666666665</v>
      </c>
      <c r="X1067" s="17">
        <f t="shared" si="487"/>
        <v>4.166666666666667</v>
      </c>
      <c r="Y1067" s="18">
        <f t="shared" si="488"/>
        <v>0.52</v>
      </c>
      <c r="Z1067">
        <v>8</v>
      </c>
      <c r="AA1067">
        <v>9</v>
      </c>
      <c r="AB1067" s="17">
        <f t="shared" si="489"/>
        <v>1.3333333333333333</v>
      </c>
      <c r="AC1067" s="17">
        <f t="shared" si="490"/>
        <v>1.5</v>
      </c>
      <c r="AD1067" s="18">
        <f t="shared" si="491"/>
        <v>0.88888888888888884</v>
      </c>
      <c r="AE1067">
        <v>31</v>
      </c>
      <c r="AF1067" s="17">
        <f t="shared" si="492"/>
        <v>5.166666666666667</v>
      </c>
      <c r="AG1067">
        <v>1</v>
      </c>
      <c r="AH1067" s="17">
        <f t="shared" si="493"/>
        <v>0.16666666666666666</v>
      </c>
      <c r="AI1067">
        <v>30</v>
      </c>
      <c r="AJ1067" s="17">
        <f t="shared" si="494"/>
        <v>5</v>
      </c>
      <c r="AK1067">
        <v>11</v>
      </c>
      <c r="AL1067" s="17">
        <f t="shared" si="495"/>
        <v>1.8333333333333333</v>
      </c>
      <c r="AM1067">
        <v>4</v>
      </c>
      <c r="AN1067" s="17">
        <f t="shared" si="496"/>
        <v>0.66666666666666663</v>
      </c>
      <c r="AO1067">
        <v>7</v>
      </c>
      <c r="AQ1067">
        <v>10</v>
      </c>
      <c r="AR1067" s="17">
        <f t="shared" si="497"/>
        <v>1.6666666666666667</v>
      </c>
      <c r="AS1067">
        <v>17</v>
      </c>
      <c r="AT1067" s="17">
        <f t="shared" si="498"/>
        <v>2.8333333333333335</v>
      </c>
      <c r="BD1067" s="65">
        <f t="shared" si="499"/>
        <v>76.593137254901961</v>
      </c>
      <c r="BE1067" s="65">
        <f t="shared" si="500"/>
        <v>74.444444444444443</v>
      </c>
      <c r="BF1067" s="66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13.973484507349353</v>
      </c>
      <c r="BG1067" s="38">
        <f t="shared" si="501"/>
        <v>0.55555555555555558</v>
      </c>
      <c r="BH1067" s="38">
        <f t="shared" si="502"/>
        <v>0.2</v>
      </c>
      <c r="BI1067" s="67">
        <f>IFERROR(((AG1067*(12000/5))/((F1067*60+G1067)*(SUMIFS(팀공격력!X:X,팀공격력!A:A,B1067,팀공격력!B:B,D1067)+SUMIFS(팀수비력!X:X,팀수비력!A:A,B1067,팀수비력!B:B,D1067))))*100,"")</f>
        <v>0.27229407760381208</v>
      </c>
      <c r="BJ1067" s="67">
        <f>IFERROR(((AI1067*(12000/5))/((F1067*60+G1067)*(SUMIFS(팀공격력!V:V,팀공격력!A:A,B1067,팀공격력!B:B,D1067)+SUMIFS(팀수비력!W:W,팀수비력!A:A,B1067,팀수비력!B:B,D1067))))*100,"")</f>
        <v>17.581902361835549</v>
      </c>
      <c r="BK1067" s="67">
        <f>IFERROR(((AE1067*(12000/5))/((F1067*60+G1067)*(SUMIFS(팀공격력!X:X,팀공격력!A:A,B1067,팀공격력!B:B,D1067)+SUMIFS(팀수비력!X:X,팀수비력!A:A,B1067,팀수비력!B:B,D1067))))*100,"")</f>
        <v>8.4411164057181765</v>
      </c>
      <c r="BL1067" s="67">
        <f>IFERROR(100*AK1067/(((((F1067*60+G1067)/(12000/5))*SUMIFS(팀공격력!P:P,팀공격력!A:A,B1067,팀공격력!B:B,D1067))-K1067)),"")</f>
        <v>8.3125519534497094</v>
      </c>
      <c r="BM1067" s="67">
        <f>IFERROR(100*((AM1067/E1067*(2400))/((F1067*60+G1067)*SUMIFS(팀공격력!AR:AR,팀공격력!A:A,B1067,팀공격력!B:B,D1067))),"")</f>
        <v>1.5909539390916998</v>
      </c>
      <c r="BN1067" s="67">
        <f>IFERROR((AO1067*40)/(((F1067*60+G1067)/60)*(SUMIFS(팀수비력!Q:Q,팀수비력!A:A,B1067,팀수비력!B:B,D1067)-SUMIFS(팀수비력!N:N,팀수비력!A:A,B1067,팀수비력!B:B,D1067)))*100,"")</f>
        <v>3.2432933327155626</v>
      </c>
      <c r="BO1067" s="67">
        <f t="shared" si="503"/>
        <v>16.960651289009498</v>
      </c>
      <c r="BT1067" t="s">
        <v>96</v>
      </c>
      <c r="BV1067" t="s">
        <v>93</v>
      </c>
      <c r="CF1067">
        <v>3</v>
      </c>
      <c r="CG1067">
        <v>3</v>
      </c>
    </row>
    <row r="1068" spans="1:85" x14ac:dyDescent="0.4">
      <c r="A1068" s="11" t="s">
        <v>85</v>
      </c>
      <c r="B1068" t="s">
        <v>224</v>
      </c>
      <c r="C1068" t="s">
        <v>241</v>
      </c>
      <c r="D1068" s="46" t="s">
        <v>313</v>
      </c>
      <c r="E1068">
        <v>6</v>
      </c>
      <c r="F1068">
        <v>6</v>
      </c>
      <c r="G1068" s="1">
        <v>16</v>
      </c>
      <c r="H1068" s="16">
        <f t="shared" si="478"/>
        <v>2256</v>
      </c>
      <c r="I1068">
        <v>14</v>
      </c>
      <c r="J1068" s="17">
        <f t="shared" si="479"/>
        <v>2.3333333333333335</v>
      </c>
      <c r="K1068">
        <v>6</v>
      </c>
      <c r="L1068">
        <v>13</v>
      </c>
      <c r="M1068" s="17">
        <f t="shared" si="480"/>
        <v>1</v>
      </c>
      <c r="N1068" s="17">
        <f t="shared" si="481"/>
        <v>2.1666666666666665</v>
      </c>
      <c r="O1068" s="18">
        <f t="shared" si="482"/>
        <v>0.46153846153846156</v>
      </c>
      <c r="P1068">
        <v>5</v>
      </c>
      <c r="Q1068">
        <v>9</v>
      </c>
      <c r="R1068" s="17">
        <f t="shared" si="483"/>
        <v>0.83333333333333337</v>
      </c>
      <c r="S1068" s="17">
        <f t="shared" si="484"/>
        <v>1.5</v>
      </c>
      <c r="T1068" s="18">
        <f t="shared" si="485"/>
        <v>0.55555555555555558</v>
      </c>
      <c r="U1068">
        <v>1</v>
      </c>
      <c r="V1068">
        <v>4</v>
      </c>
      <c r="W1068" s="17">
        <f t="shared" si="486"/>
        <v>0.16666666666666666</v>
      </c>
      <c r="X1068" s="17">
        <f t="shared" si="487"/>
        <v>0.66666666666666663</v>
      </c>
      <c r="Y1068" s="18">
        <f t="shared" si="488"/>
        <v>0.25</v>
      </c>
      <c r="Z1068">
        <v>1</v>
      </c>
      <c r="AA1068">
        <v>2</v>
      </c>
      <c r="AB1068" s="17">
        <f t="shared" si="489"/>
        <v>0.16666666666666666</v>
      </c>
      <c r="AC1068" s="17">
        <f t="shared" si="490"/>
        <v>0.33333333333333331</v>
      </c>
      <c r="AD1068" s="18">
        <f t="shared" si="491"/>
        <v>0.5</v>
      </c>
      <c r="AE1068">
        <v>4</v>
      </c>
      <c r="AF1068" s="17">
        <f t="shared" si="492"/>
        <v>0.66666666666666663</v>
      </c>
      <c r="AG1068">
        <v>2</v>
      </c>
      <c r="AH1068" s="17">
        <f t="shared" si="493"/>
        <v>0.33333333333333331</v>
      </c>
      <c r="AI1068">
        <v>2</v>
      </c>
      <c r="AJ1068" s="17">
        <f t="shared" si="494"/>
        <v>0.33333333333333331</v>
      </c>
      <c r="AK1068">
        <v>3</v>
      </c>
      <c r="AL1068" s="17">
        <f t="shared" si="495"/>
        <v>0.5</v>
      </c>
      <c r="AM1068">
        <v>2</v>
      </c>
      <c r="AN1068" s="17">
        <f t="shared" si="496"/>
        <v>0.33333333333333331</v>
      </c>
      <c r="AO1068">
        <v>1</v>
      </c>
      <c r="AQ1068">
        <v>2</v>
      </c>
      <c r="AR1068" s="17">
        <f t="shared" si="497"/>
        <v>0.33333333333333331</v>
      </c>
      <c r="AS1068">
        <v>5</v>
      </c>
      <c r="AT1068" s="17">
        <f t="shared" si="498"/>
        <v>0.83333333333333337</v>
      </c>
      <c r="BD1068" s="65">
        <f t="shared" si="499"/>
        <v>50.432276657060513</v>
      </c>
      <c r="BE1068" s="65">
        <f t="shared" si="500"/>
        <v>50</v>
      </c>
      <c r="BF1068" s="66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13.572804248481464</v>
      </c>
      <c r="BG1068" s="38">
        <f t="shared" si="501"/>
        <v>0.30769230769230771</v>
      </c>
      <c r="BH1068" s="38">
        <f t="shared" si="502"/>
        <v>0.15384615384615385</v>
      </c>
      <c r="BI1068" s="67">
        <f>IFERROR(((AG1068*(12000/5))/((F1068*60+G1068)*(SUMIFS(팀공격력!X:X,팀공격력!A:A,B1068,팀공격력!B:B,D1068)+SUMIFS(팀수비력!X:X,팀수비력!A:A,B1068,팀수비력!B:B,D1068))))*100,"")</f>
        <v>1.9639934533551555</v>
      </c>
      <c r="BJ1068" s="67">
        <f>IFERROR(((AI1068*(12000/5))/((F1068*60+G1068)*(SUMIFS(팀공격력!V:V,팀공격력!A:A,B1068,팀공격력!B:B,D1068)+SUMIFS(팀수비력!W:W,팀수비력!A:A,B1068,팀수비력!B:B,D1068))))*100,"")</f>
        <v>4.2271382274200366</v>
      </c>
      <c r="BK1068" s="67">
        <f>IFERROR(((AE1068*(12000/5))/((F1068*60+G1068)*(SUMIFS(팀공격력!X:X,팀공격력!A:A,B1068,팀공격력!B:B,D1068)+SUMIFS(팀수비력!X:X,팀수비력!A:A,B1068,팀수비력!B:B,D1068))))*100,"")</f>
        <v>3.927986906710311</v>
      </c>
      <c r="BL1068" s="67">
        <f>IFERROR(100*AK1068/(((((F1068*60+G1068)/(12000/5))*SUMIFS(팀공격력!P:P,팀공격력!A:A,B1068,팀공격력!B:B,D1068))-K1068)),"")</f>
        <v>7.8575170246202202</v>
      </c>
      <c r="BM1068" s="67">
        <f>IFERROR(100*((AM1068/E1068*(2400))/((F1068*60+G1068)*SUMIFS(팀공격력!AR:AR,팀공격력!A:A,B1068,팀공격력!B:B,D1068))),"")</f>
        <v>2.8687946029366294</v>
      </c>
      <c r="BN1068" s="67">
        <f>IFERROR((AO1068*40)/(((F1068*60+G1068)/60)*(SUMIFS(팀수비력!Q:Q,팀수비력!A:A,B1068,팀수비력!B:B,D1068)-SUMIFS(팀수비력!N:N,팀수비력!A:A,B1068,팀수비력!B:B,D1068)))*100,"")</f>
        <v>1.6709368385875014</v>
      </c>
      <c r="BO1068" s="67">
        <f t="shared" si="503"/>
        <v>12.594458438287154</v>
      </c>
      <c r="BT1068" t="s">
        <v>89</v>
      </c>
      <c r="BV1068" t="s">
        <v>93</v>
      </c>
      <c r="CF1068">
        <v>3</v>
      </c>
      <c r="CG1068">
        <v>3</v>
      </c>
    </row>
    <row r="1069" spans="1:85" x14ac:dyDescent="0.4">
      <c r="A1069" s="11" t="s">
        <v>85</v>
      </c>
      <c r="B1069" t="s">
        <v>224</v>
      </c>
      <c r="C1069" t="s">
        <v>242</v>
      </c>
      <c r="D1069" s="46" t="s">
        <v>313</v>
      </c>
      <c r="E1069">
        <v>9</v>
      </c>
      <c r="F1069">
        <v>21</v>
      </c>
      <c r="G1069" s="1">
        <v>30</v>
      </c>
      <c r="H1069" s="16">
        <f t="shared" si="478"/>
        <v>11610</v>
      </c>
      <c r="I1069">
        <v>75</v>
      </c>
      <c r="J1069" s="17">
        <f t="shared" si="479"/>
        <v>8.3333333333333339</v>
      </c>
      <c r="K1069">
        <v>27</v>
      </c>
      <c r="L1069">
        <v>59</v>
      </c>
      <c r="M1069" s="17">
        <f t="shared" si="480"/>
        <v>3</v>
      </c>
      <c r="N1069" s="17">
        <f t="shared" si="481"/>
        <v>6.5555555555555554</v>
      </c>
      <c r="O1069" s="18">
        <f t="shared" si="482"/>
        <v>0.4576271186440678</v>
      </c>
      <c r="P1069">
        <v>19</v>
      </c>
      <c r="Q1069">
        <v>32</v>
      </c>
      <c r="R1069" s="17">
        <f t="shared" si="483"/>
        <v>2.1111111111111112</v>
      </c>
      <c r="S1069" s="17">
        <f t="shared" si="484"/>
        <v>3.5555555555555554</v>
      </c>
      <c r="T1069" s="18">
        <f t="shared" si="485"/>
        <v>0.59375</v>
      </c>
      <c r="U1069">
        <v>8</v>
      </c>
      <c r="V1069">
        <v>27</v>
      </c>
      <c r="W1069" s="17">
        <f t="shared" si="486"/>
        <v>0.88888888888888884</v>
      </c>
      <c r="X1069" s="17">
        <f t="shared" si="487"/>
        <v>3</v>
      </c>
      <c r="Y1069" s="18">
        <f t="shared" si="488"/>
        <v>0.29629629629629628</v>
      </c>
      <c r="Z1069">
        <v>13</v>
      </c>
      <c r="AA1069">
        <v>17</v>
      </c>
      <c r="AB1069" s="17">
        <f t="shared" si="489"/>
        <v>1.4444444444444444</v>
      </c>
      <c r="AC1069" s="17">
        <f t="shared" si="490"/>
        <v>1.8888888888888888</v>
      </c>
      <c r="AD1069" s="18">
        <f t="shared" si="491"/>
        <v>0.76470588235294112</v>
      </c>
      <c r="AE1069">
        <v>28</v>
      </c>
      <c r="AF1069" s="17">
        <f t="shared" si="492"/>
        <v>3.1111111111111112</v>
      </c>
      <c r="AG1069">
        <v>9</v>
      </c>
      <c r="AH1069" s="17">
        <f t="shared" si="493"/>
        <v>1</v>
      </c>
      <c r="AI1069">
        <v>19</v>
      </c>
      <c r="AJ1069" s="17">
        <f t="shared" si="494"/>
        <v>2.1111111111111112</v>
      </c>
      <c r="AK1069">
        <v>12</v>
      </c>
      <c r="AL1069" s="17">
        <f t="shared" si="495"/>
        <v>1.3333333333333333</v>
      </c>
      <c r="AM1069">
        <v>1</v>
      </c>
      <c r="AN1069" s="17">
        <f t="shared" si="496"/>
        <v>0.1111111111111111</v>
      </c>
      <c r="AO1069">
        <v>2</v>
      </c>
      <c r="AQ1069">
        <v>6</v>
      </c>
      <c r="AR1069" s="17">
        <f t="shared" si="497"/>
        <v>0.66666666666666663</v>
      </c>
      <c r="AS1069">
        <v>19</v>
      </c>
      <c r="AT1069" s="17">
        <f t="shared" si="498"/>
        <v>2.1111111111111112</v>
      </c>
      <c r="BD1069" s="65">
        <f t="shared" si="499"/>
        <v>56.40794223826714</v>
      </c>
      <c r="BE1069" s="65">
        <f t="shared" si="500"/>
        <v>52.542372881355938</v>
      </c>
      <c r="BF1069" s="66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18.056576275831144</v>
      </c>
      <c r="BG1069" s="38">
        <f t="shared" si="501"/>
        <v>0.4576271186440678</v>
      </c>
      <c r="BH1069" s="38">
        <f t="shared" si="502"/>
        <v>0.28813559322033899</v>
      </c>
      <c r="BI1069" s="67">
        <f>IFERROR(((AG1069*(12000/5))/((F1069*60+G1069)*(SUMIFS(팀공격력!X:X,팀공격력!A:A,B1069,팀공격력!B:B,D1069)+SUMIFS(팀수비력!X:X,팀수비력!A:A,B1069,팀수비력!B:B,D1069))))*100,"")</f>
        <v>2.5760286225402504</v>
      </c>
      <c r="BJ1069" s="67">
        <f>IFERROR(((AI1069*(12000/5))/((F1069*60+G1069)*(SUMIFS(팀공격력!V:V,팀공격력!A:A,B1069,팀공격력!B:B,D1069)+SUMIFS(팀수비력!W:W,팀수비력!A:A,B1069,팀수비력!B:B,D1069))))*100,"")</f>
        <v>11.704912983212692</v>
      </c>
      <c r="BK1069" s="67">
        <f>IFERROR(((AE1069*(12000/5))/((F1069*60+G1069)*(SUMIFS(팀공격력!X:X,팀공격력!A:A,B1069,팀공격력!B:B,D1069)+SUMIFS(팀수비력!X:X,팀수비력!A:A,B1069,팀수비력!B:B,D1069))))*100,"")</f>
        <v>8.0143112701252246</v>
      </c>
      <c r="BL1069" s="67">
        <f>IFERROR(100*AK1069/(((((F1069*60+G1069)/(12000/5))*SUMIFS(팀공격력!P:P,팀공격력!A:A,B1069,팀공격력!B:B,D1069))-K1069)),"")</f>
        <v>9.6327513546056593</v>
      </c>
      <c r="BM1069" s="67">
        <f>IFERROR(100*((AM1069/E1069*(2400))/((F1069*60+G1069)*SUMIFS(팀공격력!AR:AR,팀공격력!A:A,B1069,팀공격력!B:B,D1069))),"")</f>
        <v>0.27872526374784817</v>
      </c>
      <c r="BN1069" s="67">
        <f>IFERROR((AO1069*40)/(((F1069*60+G1069)/60)*(SUMIFS(팀수비력!Q:Q,팀수비력!A:A,B1069,팀수비력!B:B,D1069)-SUMIFS(팀수비력!N:N,팀수비력!A:A,B1069,팀수비력!B:B,D1069)))*100,"")</f>
        <v>0.97406550590527219</v>
      </c>
      <c r="BO1069" s="67">
        <f t="shared" si="503"/>
        <v>8.2781456953642376</v>
      </c>
      <c r="BT1069" t="s">
        <v>89</v>
      </c>
      <c r="BV1069" t="s">
        <v>93</v>
      </c>
      <c r="CF1069">
        <v>4</v>
      </c>
      <c r="CG1069">
        <v>5</v>
      </c>
    </row>
    <row r="1070" spans="1:85" x14ac:dyDescent="0.4">
      <c r="A1070" s="11" t="s">
        <v>85</v>
      </c>
      <c r="B1070" t="s">
        <v>224</v>
      </c>
      <c r="C1070" t="s">
        <v>243</v>
      </c>
      <c r="D1070" s="46" t="s">
        <v>313</v>
      </c>
      <c r="E1070">
        <v>7</v>
      </c>
      <c r="F1070">
        <v>25</v>
      </c>
      <c r="G1070" s="1">
        <v>48</v>
      </c>
      <c r="H1070" s="16">
        <f t="shared" si="478"/>
        <v>10836</v>
      </c>
      <c r="I1070">
        <v>86</v>
      </c>
      <c r="J1070" s="17">
        <f t="shared" si="479"/>
        <v>12.285714285714286</v>
      </c>
      <c r="K1070">
        <v>31</v>
      </c>
      <c r="L1070">
        <v>61</v>
      </c>
      <c r="M1070" s="17">
        <f t="shared" si="480"/>
        <v>4.4285714285714288</v>
      </c>
      <c r="N1070" s="17">
        <f t="shared" si="481"/>
        <v>8.7142857142857135</v>
      </c>
      <c r="O1070" s="18">
        <f t="shared" si="482"/>
        <v>0.50819672131147542</v>
      </c>
      <c r="P1070">
        <v>14</v>
      </c>
      <c r="Q1070">
        <v>29</v>
      </c>
      <c r="R1070" s="17">
        <f t="shared" si="483"/>
        <v>2</v>
      </c>
      <c r="S1070" s="17">
        <f t="shared" si="484"/>
        <v>4.1428571428571432</v>
      </c>
      <c r="T1070" s="18">
        <f t="shared" si="485"/>
        <v>0.48275862068965519</v>
      </c>
      <c r="U1070">
        <v>17</v>
      </c>
      <c r="V1070">
        <v>32</v>
      </c>
      <c r="W1070" s="17">
        <f t="shared" si="486"/>
        <v>2.4285714285714284</v>
      </c>
      <c r="X1070" s="17">
        <f t="shared" si="487"/>
        <v>4.5714285714285712</v>
      </c>
      <c r="Y1070" s="18">
        <f t="shared" si="488"/>
        <v>0.53125</v>
      </c>
      <c r="Z1070">
        <v>7</v>
      </c>
      <c r="AA1070">
        <v>10</v>
      </c>
      <c r="AB1070" s="17">
        <f t="shared" si="489"/>
        <v>1</v>
      </c>
      <c r="AC1070" s="17">
        <f t="shared" si="490"/>
        <v>1.4285714285714286</v>
      </c>
      <c r="AD1070" s="18">
        <f t="shared" si="491"/>
        <v>0.7</v>
      </c>
      <c r="AE1070">
        <v>10</v>
      </c>
      <c r="AF1070" s="17">
        <f t="shared" si="492"/>
        <v>1.4285714285714286</v>
      </c>
      <c r="AG1070">
        <v>3</v>
      </c>
      <c r="AH1070" s="17">
        <f t="shared" si="493"/>
        <v>0.42857142857142855</v>
      </c>
      <c r="AI1070">
        <v>7</v>
      </c>
      <c r="AJ1070" s="17">
        <f t="shared" si="494"/>
        <v>1</v>
      </c>
      <c r="AK1070">
        <v>18</v>
      </c>
      <c r="AL1070" s="17">
        <f t="shared" si="495"/>
        <v>2.5714285714285716</v>
      </c>
      <c r="AM1070">
        <v>8</v>
      </c>
      <c r="AN1070" s="17">
        <f t="shared" si="496"/>
        <v>1.1428571428571428</v>
      </c>
      <c r="AO1070">
        <v>0</v>
      </c>
      <c r="AQ1070">
        <v>9</v>
      </c>
      <c r="AR1070" s="17">
        <f t="shared" si="497"/>
        <v>1.2857142857142858</v>
      </c>
      <c r="AS1070">
        <v>5</v>
      </c>
      <c r="AT1070" s="17">
        <f t="shared" si="498"/>
        <v>0.7142857142857143</v>
      </c>
      <c r="BD1070" s="65">
        <f t="shared" si="499"/>
        <v>65.749235474006113</v>
      </c>
      <c r="BE1070" s="65">
        <f t="shared" si="500"/>
        <v>64.754098360655746</v>
      </c>
      <c r="BF1070" s="66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15.44574681431472</v>
      </c>
      <c r="BG1070" s="38">
        <f t="shared" si="501"/>
        <v>0.52459016393442626</v>
      </c>
      <c r="BH1070" s="38">
        <f t="shared" si="502"/>
        <v>0.16393442622950818</v>
      </c>
      <c r="BI1070" s="67">
        <f>IFERROR(((AG1070*(12000/5))/((F1070*60+G1070)*(SUMIFS(팀공격력!X:X,팀공격력!A:A,B1070,팀공격력!B:B,D1070)+SUMIFS(팀수비력!X:X,팀수비력!A:A,B1070,팀수비력!B:B,D1070))))*100,"")</f>
        <v>0.7155635062611807</v>
      </c>
      <c r="BJ1070" s="67">
        <f>IFERROR(((AI1070*(12000/5))/((F1070*60+G1070)*(SUMIFS(팀공격력!V:V,팀공격력!A:A,B1070,팀공격력!B:B,D1070)+SUMIFS(팀수비력!W:W,팀수비력!A:A,B1070,팀수비력!B:B,D1070))))*100,"")</f>
        <v>3.5936136351968786</v>
      </c>
      <c r="BK1070" s="67">
        <f>IFERROR(((AE1070*(12000/5))/((F1070*60+G1070)*(SUMIFS(팀공격력!X:X,팀공격력!A:A,B1070,팀공격력!B:B,D1070)+SUMIFS(팀수비력!X:X,팀수비력!A:A,B1070,팀수비력!B:B,D1070))))*100,"")</f>
        <v>2.3852116875372689</v>
      </c>
      <c r="BL1070" s="67">
        <f>IFERROR(100*AK1070/(((((F1070*60+G1070)/(12000/5))*SUMIFS(팀공격력!P:P,팀공격력!A:A,B1070,팀공격력!B:B,D1070))-K1070)),"")</f>
        <v>11.929219961561401</v>
      </c>
      <c r="BM1070" s="67">
        <f>IFERROR(100*((AM1070/E1070*(2400))/((F1070*60+G1070)*SUMIFS(팀공격력!AR:AR,팀공격력!A:A,B1070,팀공격력!B:B,D1070))),"")</f>
        <v>2.3890736892672697</v>
      </c>
      <c r="BN1070" s="67">
        <f>IFERROR((AO1070*40)/(((F1070*60+G1070)/60)*(SUMIFS(팀수비력!Q:Q,팀수비력!A:A,B1070,팀수비력!B:B,D1070)-SUMIFS(팀수비력!N:N,팀수비력!A:A,B1070,팀수비력!B:B,D1070)))*100,"")</f>
        <v>0</v>
      </c>
      <c r="BO1070" s="67">
        <f t="shared" si="503"/>
        <v>12.096774193548386</v>
      </c>
      <c r="BT1070" t="s">
        <v>89</v>
      </c>
      <c r="BV1070" t="s">
        <v>90</v>
      </c>
      <c r="CF1070">
        <v>3</v>
      </c>
      <c r="CG1070">
        <v>4</v>
      </c>
    </row>
    <row r="1071" spans="1:85" x14ac:dyDescent="0.4">
      <c r="A1071" s="11" t="s">
        <v>85</v>
      </c>
      <c r="B1071" t="s">
        <v>245</v>
      </c>
      <c r="C1071" t="s">
        <v>246</v>
      </c>
      <c r="D1071" s="46" t="s">
        <v>313</v>
      </c>
      <c r="E1071">
        <v>9</v>
      </c>
      <c r="F1071">
        <v>29</v>
      </c>
      <c r="G1071" s="1">
        <v>27</v>
      </c>
      <c r="H1071" s="16">
        <f t="shared" si="478"/>
        <v>15903</v>
      </c>
      <c r="I1071">
        <v>203</v>
      </c>
      <c r="J1071" s="17">
        <f t="shared" si="479"/>
        <v>22.555555555555557</v>
      </c>
      <c r="K1071">
        <v>82</v>
      </c>
      <c r="L1071">
        <v>154</v>
      </c>
      <c r="M1071" s="17">
        <f t="shared" si="480"/>
        <v>9.1111111111111107</v>
      </c>
      <c r="N1071" s="17">
        <f t="shared" si="481"/>
        <v>17.111111111111111</v>
      </c>
      <c r="O1071" s="18">
        <f t="shared" si="482"/>
        <v>0.53246753246753242</v>
      </c>
      <c r="P1071">
        <v>82</v>
      </c>
      <c r="Q1071">
        <v>149</v>
      </c>
      <c r="R1071" s="17">
        <f t="shared" si="483"/>
        <v>9.1111111111111107</v>
      </c>
      <c r="S1071" s="17">
        <f t="shared" si="484"/>
        <v>16.555555555555557</v>
      </c>
      <c r="T1071" s="18">
        <f t="shared" si="485"/>
        <v>0.55033557046979864</v>
      </c>
      <c r="U1071">
        <v>0</v>
      </c>
      <c r="V1071">
        <v>5</v>
      </c>
      <c r="W1071" s="17">
        <f t="shared" si="486"/>
        <v>0</v>
      </c>
      <c r="X1071" s="17">
        <f t="shared" si="487"/>
        <v>0.55555555555555558</v>
      </c>
      <c r="Y1071" s="18">
        <f t="shared" si="488"/>
        <v>0</v>
      </c>
      <c r="Z1071">
        <v>39</v>
      </c>
      <c r="AA1071">
        <v>48</v>
      </c>
      <c r="AB1071" s="17">
        <f t="shared" si="489"/>
        <v>4.333333333333333</v>
      </c>
      <c r="AC1071" s="17">
        <f t="shared" si="490"/>
        <v>5.333333333333333</v>
      </c>
      <c r="AD1071" s="18">
        <f t="shared" si="491"/>
        <v>0.8125</v>
      </c>
      <c r="AE1071">
        <v>80</v>
      </c>
      <c r="AF1071" s="17">
        <f t="shared" si="492"/>
        <v>8.8888888888888893</v>
      </c>
      <c r="AG1071">
        <v>20</v>
      </c>
      <c r="AH1071" s="17">
        <f t="shared" si="493"/>
        <v>2.2222222222222223</v>
      </c>
      <c r="AI1071">
        <v>60</v>
      </c>
      <c r="AJ1071" s="17">
        <f t="shared" si="494"/>
        <v>6.666666666666667</v>
      </c>
      <c r="AK1071">
        <v>15</v>
      </c>
      <c r="AL1071" s="17">
        <f t="shared" si="495"/>
        <v>1.6666666666666667</v>
      </c>
      <c r="AM1071">
        <v>5</v>
      </c>
      <c r="AN1071" s="17">
        <f t="shared" si="496"/>
        <v>0.55555555555555558</v>
      </c>
      <c r="AO1071">
        <v>2</v>
      </c>
      <c r="AQ1071">
        <v>10</v>
      </c>
      <c r="AR1071" s="17">
        <f t="shared" si="497"/>
        <v>1.1111111111111112</v>
      </c>
      <c r="AS1071">
        <v>24</v>
      </c>
      <c r="AT1071" s="17">
        <f t="shared" si="498"/>
        <v>2.6666666666666665</v>
      </c>
      <c r="BD1071" s="65">
        <f t="shared" si="499"/>
        <v>57.96025582457743</v>
      </c>
      <c r="BE1071" s="65">
        <f t="shared" si="500"/>
        <v>53.246753246753244</v>
      </c>
      <c r="BF1071" s="66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31.44841064231068</v>
      </c>
      <c r="BG1071" s="38">
        <f t="shared" si="501"/>
        <v>3.2467532467532464E-2</v>
      </c>
      <c r="BH1071" s="38">
        <f t="shared" si="502"/>
        <v>0.31168831168831168</v>
      </c>
      <c r="BI1071" s="67">
        <f>IFERROR(((AG1071*(12000/5))/((F1071*60+G1071)*(SUMIFS(팀공격력!X:X,팀공격력!A:A,B1071,팀공격력!B:B,D1071)+SUMIFS(팀수비력!X:X,팀수비력!A:A,B1071,팀수비력!B:B,D1071))))*100,"")</f>
        <v>4.1158615012604827</v>
      </c>
      <c r="BJ1071" s="67">
        <f>IFERROR(((AI1071*(12000/5))/((F1071*60+G1071)*(SUMIFS(팀공격력!V:V,팀공격력!A:A,B1071,팀공격력!B:B,D1071)+SUMIFS(팀수비력!W:W,팀수비력!A:A,B1071,팀수비력!B:B,D1071))))*100,"")</f>
        <v>25.466893039049239</v>
      </c>
      <c r="BK1071" s="67">
        <f>IFERROR(((AE1071*(12000/5))/((F1071*60+G1071)*(SUMIFS(팀공격력!X:X,팀공격력!A:A,B1071,팀공격력!B:B,D1071)+SUMIFS(팀수비력!X:X,팀수비력!A:A,B1071,팀수비력!B:B,D1071))))*100,"")</f>
        <v>16.463446005041931</v>
      </c>
      <c r="BL1071" s="67">
        <f>IFERROR(100*AK1071/(((((F1071*60+G1071)/(12000/5))*SUMIFS(팀공격력!P:P,팀공격력!A:A,B1071,팀공격력!B:B,D1071))-K1071)),"")</f>
        <v>10.054798652656983</v>
      </c>
      <c r="BM1071" s="67">
        <f>IFERROR(100*((AM1071/E1071*(2400))/((F1071*60+G1071)*SUMIFS(팀공격력!AR:AR,팀공격력!A:A,B1071,팀공격력!B:B,D1071))),"")</f>
        <v>0.96952990323337307</v>
      </c>
      <c r="BN1071" s="67">
        <f>IFERROR((AO1071*40)/(((F1071*60+G1071)/60)*(SUMIFS(팀수비력!Q:Q,팀수비력!A:A,B1071,팀수비력!B:B,D1071)-SUMIFS(팀수비력!N:N,팀수비력!A:A,B1071,팀수비력!B:B,D1071)))*100,"")</f>
        <v>0.57797204060253582</v>
      </c>
      <c r="BO1071" s="67">
        <f t="shared" si="503"/>
        <v>5.4019014693171998</v>
      </c>
      <c r="BT1071" t="s">
        <v>96</v>
      </c>
      <c r="BV1071" t="s">
        <v>102</v>
      </c>
      <c r="CF1071">
        <v>2</v>
      </c>
      <c r="CG1071">
        <v>7</v>
      </c>
    </row>
    <row r="1072" spans="1:85" x14ac:dyDescent="0.4">
      <c r="A1072" s="11" t="s">
        <v>85</v>
      </c>
      <c r="B1072" t="s">
        <v>245</v>
      </c>
      <c r="C1072" t="s">
        <v>247</v>
      </c>
      <c r="D1072" s="46" t="s">
        <v>313</v>
      </c>
      <c r="E1072">
        <v>8</v>
      </c>
      <c r="F1072">
        <v>20</v>
      </c>
      <c r="G1072" s="1">
        <v>49</v>
      </c>
      <c r="H1072" s="16">
        <f t="shared" si="478"/>
        <v>9992</v>
      </c>
      <c r="I1072">
        <v>56</v>
      </c>
      <c r="J1072" s="17">
        <f t="shared" si="479"/>
        <v>7</v>
      </c>
      <c r="K1072">
        <v>19</v>
      </c>
      <c r="L1072">
        <v>42</v>
      </c>
      <c r="M1072" s="17">
        <f t="shared" si="480"/>
        <v>2.375</v>
      </c>
      <c r="N1072" s="17">
        <f t="shared" si="481"/>
        <v>5.25</v>
      </c>
      <c r="O1072" s="18">
        <f t="shared" si="482"/>
        <v>0.45238095238095238</v>
      </c>
      <c r="P1072">
        <v>9</v>
      </c>
      <c r="Q1072">
        <v>14</v>
      </c>
      <c r="R1072" s="17">
        <f t="shared" si="483"/>
        <v>1.125</v>
      </c>
      <c r="S1072" s="17">
        <f t="shared" si="484"/>
        <v>1.75</v>
      </c>
      <c r="T1072" s="18">
        <f t="shared" si="485"/>
        <v>0.6428571428571429</v>
      </c>
      <c r="U1072">
        <v>10</v>
      </c>
      <c r="V1072">
        <v>28</v>
      </c>
      <c r="W1072" s="17">
        <f t="shared" si="486"/>
        <v>1.25</v>
      </c>
      <c r="X1072" s="17">
        <f t="shared" si="487"/>
        <v>3.5</v>
      </c>
      <c r="Y1072" s="18">
        <f t="shared" si="488"/>
        <v>0.35714285714285715</v>
      </c>
      <c r="Z1072">
        <v>8</v>
      </c>
      <c r="AA1072">
        <v>8</v>
      </c>
      <c r="AB1072" s="17">
        <f t="shared" si="489"/>
        <v>1</v>
      </c>
      <c r="AC1072" s="17">
        <f t="shared" si="490"/>
        <v>1</v>
      </c>
      <c r="AD1072" s="18">
        <f t="shared" si="491"/>
        <v>1</v>
      </c>
      <c r="AE1072">
        <v>18</v>
      </c>
      <c r="AF1072" s="17">
        <f t="shared" si="492"/>
        <v>2.25</v>
      </c>
      <c r="AG1072">
        <v>1</v>
      </c>
      <c r="AH1072" s="17">
        <f t="shared" si="493"/>
        <v>0.125</v>
      </c>
      <c r="AI1072">
        <v>17</v>
      </c>
      <c r="AJ1072" s="17">
        <f t="shared" si="494"/>
        <v>2.125</v>
      </c>
      <c r="AK1072">
        <v>8</v>
      </c>
      <c r="AL1072" s="17">
        <f t="shared" si="495"/>
        <v>1</v>
      </c>
      <c r="AM1072">
        <v>8</v>
      </c>
      <c r="AN1072" s="17">
        <f t="shared" si="496"/>
        <v>1</v>
      </c>
      <c r="AO1072">
        <v>1</v>
      </c>
      <c r="AQ1072">
        <v>9</v>
      </c>
      <c r="AR1072" s="17">
        <f t="shared" si="497"/>
        <v>1.125</v>
      </c>
      <c r="AS1072">
        <v>24</v>
      </c>
      <c r="AT1072" s="17">
        <f t="shared" si="498"/>
        <v>3</v>
      </c>
      <c r="BD1072" s="65">
        <f t="shared" si="499"/>
        <v>61.511423550087876</v>
      </c>
      <c r="BE1072" s="65">
        <f t="shared" si="500"/>
        <v>57.142857142857139</v>
      </c>
      <c r="BF1072" s="66">
        <f>IFERROR(100*((L1072+0.44*AA1072+AQ1072)*2400)/((SUMIFS(팀공격력!Q:Q,팀공격력!A:A,B1072,팀공격력!B:B,D1072)+0.44*SUMIFS(팀공격력!T:T,팀공격력!A:A,B1072,팀공격력!B:B,D1072)+SUMIFS(팀공격력!AK:AK,팀공격력!A:A,B1072,팀공격력!B:B,D1072))*(F1072*60+G1072)),"")</f>
        <v>13.103138103839086</v>
      </c>
      <c r="BG1072" s="38">
        <f t="shared" si="501"/>
        <v>0.66666666666666663</v>
      </c>
      <c r="BH1072" s="38">
        <f t="shared" si="502"/>
        <v>0.19047619047619047</v>
      </c>
      <c r="BI1072" s="67">
        <f>IFERROR(((AG1072*(12000/5))/((F1072*60+G1072)*(SUMIFS(팀공격력!X:X,팀공격력!A:A,B1072,팀공격력!B:B,D1072)+SUMIFS(팀수비력!X:X,팀수비력!A:A,B1072,팀수비력!B:B,D1072))))*100,"")</f>
        <v>0.29114200451270106</v>
      </c>
      <c r="BJ1072" s="67">
        <f>IFERROR(((AI1072*(12000/5))/((F1072*60+G1072)*(SUMIFS(팀공격력!V:V,팀공격력!A:A,B1072,팀공격력!B:B,D1072)+SUMIFS(팀수비력!W:W,팀수비력!A:A,B1072,팀수비력!B:B,D1072))))*100,"")</f>
        <v>10.208166533226581</v>
      </c>
      <c r="BK1072" s="67">
        <f>IFERROR(((AE1072*(12000/5))/((F1072*60+G1072)*(SUMIFS(팀공격력!X:X,팀공격력!A:A,B1072,팀공격력!B:B,D1072)+SUMIFS(팀수비력!X:X,팀수비력!A:A,B1072,팀수비력!B:B,D1072))))*100,"")</f>
        <v>5.2405560812286192</v>
      </c>
      <c r="BL1072" s="67">
        <f>IFERROR(100*AK1072/(((((F1072*60+G1072)/(12000/5))*SUMIFS(팀공격력!P:P,팀공격력!A:A,B1072,팀공격력!B:B,D1072))-K1072)),"")</f>
        <v>5.5397505958117179</v>
      </c>
      <c r="BM1072" s="67">
        <f>IFERROR(100*((AM1072/E1072*(2400))/((F1072*60+G1072)*SUMIFS(팀공격력!AR:AR,팀공격력!A:A,B1072,팀공격력!B:B,D1072))),"")</f>
        <v>2.4689245878495325</v>
      </c>
      <c r="BN1072" s="67">
        <f>IFERROR((AO1072*40)/(((F1072*60+G1072)/60)*(SUMIFS(팀수비력!Q:Q,팀수비력!A:A,B1072,팀수비력!B:B,D1072)-SUMIFS(팀수비력!N:N,팀수비력!A:A,B1072,팀수비력!B:B,D1072)))*100,"")</f>
        <v>0.40883770846464407</v>
      </c>
      <c r="BO1072" s="67">
        <f t="shared" si="503"/>
        <v>16.507703595011005</v>
      </c>
      <c r="BT1072" t="s">
        <v>89</v>
      </c>
      <c r="BV1072" t="s">
        <v>93</v>
      </c>
      <c r="CF1072">
        <v>1</v>
      </c>
      <c r="CG1072">
        <v>7</v>
      </c>
    </row>
    <row r="1073" spans="1:85" x14ac:dyDescent="0.4">
      <c r="A1073" s="11" t="s">
        <v>85</v>
      </c>
      <c r="B1073" t="s">
        <v>245</v>
      </c>
      <c r="C1073" t="s">
        <v>248</v>
      </c>
      <c r="D1073" s="46" t="s">
        <v>313</v>
      </c>
      <c r="E1073">
        <v>6</v>
      </c>
      <c r="F1073">
        <v>11</v>
      </c>
      <c r="G1073" s="1">
        <v>27</v>
      </c>
      <c r="H1073" s="16">
        <f t="shared" si="478"/>
        <v>4122</v>
      </c>
      <c r="I1073">
        <v>23</v>
      </c>
      <c r="J1073" s="17">
        <f t="shared" si="479"/>
        <v>3.8333333333333335</v>
      </c>
      <c r="K1073">
        <v>7</v>
      </c>
      <c r="L1073">
        <v>17</v>
      </c>
      <c r="M1073" s="17">
        <f t="shared" si="480"/>
        <v>1.1666666666666667</v>
      </c>
      <c r="N1073" s="17">
        <f t="shared" si="481"/>
        <v>2.8333333333333335</v>
      </c>
      <c r="O1073" s="18">
        <f t="shared" si="482"/>
        <v>0.41176470588235292</v>
      </c>
      <c r="P1073">
        <v>7</v>
      </c>
      <c r="Q1073">
        <v>16</v>
      </c>
      <c r="R1073" s="17">
        <f t="shared" si="483"/>
        <v>1.1666666666666667</v>
      </c>
      <c r="S1073" s="17">
        <f t="shared" si="484"/>
        <v>2.6666666666666665</v>
      </c>
      <c r="T1073" s="18">
        <f t="shared" si="485"/>
        <v>0.4375</v>
      </c>
      <c r="U1073">
        <v>0</v>
      </c>
      <c r="V1073">
        <v>1</v>
      </c>
      <c r="W1073" s="17">
        <f t="shared" si="486"/>
        <v>0</v>
      </c>
      <c r="X1073" s="17">
        <f t="shared" si="487"/>
        <v>0.16666666666666666</v>
      </c>
      <c r="Y1073" s="18">
        <f t="shared" si="488"/>
        <v>0</v>
      </c>
      <c r="Z1073">
        <v>9</v>
      </c>
      <c r="AA1073">
        <v>12</v>
      </c>
      <c r="AB1073" s="17">
        <f t="shared" si="489"/>
        <v>1.5</v>
      </c>
      <c r="AC1073" s="17">
        <f t="shared" si="490"/>
        <v>2</v>
      </c>
      <c r="AD1073" s="18">
        <f t="shared" si="491"/>
        <v>0.75</v>
      </c>
      <c r="AE1073">
        <v>15</v>
      </c>
      <c r="AF1073" s="17">
        <f t="shared" si="492"/>
        <v>2.5</v>
      </c>
      <c r="AG1073">
        <v>4</v>
      </c>
      <c r="AH1073" s="17">
        <f t="shared" si="493"/>
        <v>0.66666666666666663</v>
      </c>
      <c r="AI1073">
        <v>11</v>
      </c>
      <c r="AJ1073" s="17">
        <f t="shared" si="494"/>
        <v>1.8333333333333333</v>
      </c>
      <c r="AK1073">
        <v>11</v>
      </c>
      <c r="AL1073" s="17">
        <f t="shared" si="495"/>
        <v>1.8333333333333333</v>
      </c>
      <c r="AM1073">
        <v>2</v>
      </c>
      <c r="AN1073" s="17">
        <f t="shared" si="496"/>
        <v>0.33333333333333331</v>
      </c>
      <c r="AO1073">
        <v>1</v>
      </c>
      <c r="AQ1073">
        <v>3</v>
      </c>
      <c r="AR1073" s="17">
        <f t="shared" si="497"/>
        <v>0.5</v>
      </c>
      <c r="AS1073">
        <v>15</v>
      </c>
      <c r="AT1073" s="17">
        <f t="shared" si="498"/>
        <v>2.5</v>
      </c>
      <c r="BD1073" s="65">
        <f t="shared" si="499"/>
        <v>51.615798922800714</v>
      </c>
      <c r="BE1073" s="65">
        <f t="shared" si="500"/>
        <v>41.17647058823529</v>
      </c>
      <c r="BF1073" s="66">
        <f>IFERROR(100*((L1073+0.44*AA1073+AQ1073)*2400)/((SUMIFS(팀공격력!Q:Q,팀공격력!A:A,B1073,팀공격력!B:B,D1073)+0.44*SUMIFS(팀공격력!T:T,팀공격력!A:A,B1073,팀공격력!B:B,D1073)+SUMIFS(팀공격력!AK:AK,팀공격력!A:A,B1073,팀공격력!B:B,D1073))*(F1073*60+G1073)),"")</f>
        <v>11.045928867364086</v>
      </c>
      <c r="BG1073" s="38">
        <f t="shared" si="501"/>
        <v>5.8823529411764705E-2</v>
      </c>
      <c r="BH1073" s="38">
        <f t="shared" si="502"/>
        <v>0.70588235294117652</v>
      </c>
      <c r="BI1073" s="67">
        <f>IFERROR(((AG1073*(12000/5))/((F1073*60+G1073)*(SUMIFS(팀공격력!X:X,팀공격력!A:A,B1073,팀공격력!B:B,D1073)+SUMIFS(팀수비력!X:X,팀수비력!A:A,B1073,팀수비력!B:B,D1073))))*100,"")</f>
        <v>2.1172422919147809</v>
      </c>
      <c r="BJ1073" s="67">
        <f>IFERROR(((AI1073*(12000/5))/((F1073*60+G1073)*(SUMIFS(팀공격력!V:V,팀공격력!A:A,B1073,팀공격력!B:B,D1073)+SUMIFS(팀수비력!W:W,팀수비력!A:A,B1073,팀수비력!B:B,D1073))))*100,"")</f>
        <v>12.008733624454148</v>
      </c>
      <c r="BK1073" s="67">
        <f>IFERROR(((AE1073*(12000/5))/((F1073*60+G1073)*(SUMIFS(팀공격력!X:X,팀공격력!A:A,B1073,팀공격력!B:B,D1073)+SUMIFS(팀수비력!X:X,팀수비력!A:A,B1073,팀수비력!B:B,D1073))))*100,"")</f>
        <v>7.939658594680429</v>
      </c>
      <c r="BL1073" s="67">
        <f>IFERROR(100*AK1073/(((((F1073*60+G1073)/(12000/5))*SUMIFS(팀공격력!P:P,팀공격력!A:A,B1073,팀공격력!B:B,D1073))-K1073)),"")</f>
        <v>13.271800440382467</v>
      </c>
      <c r="BM1073" s="67">
        <f>IFERROR(100*((AM1073/E1073*(2400))/((F1073*60+G1073)*SUMIFS(팀공격력!AR:AR,팀공격력!A:A,B1073,팀공격력!B:B,D1073))),"")</f>
        <v>1.4962090297059998</v>
      </c>
      <c r="BN1073" s="67">
        <f>IFERROR((AO1073*40)/(((F1073*60+G1073)/60)*(SUMIFS(팀수비력!Q:Q,팀수비력!A:A,B1073,팀수비력!B:B,D1073)-SUMIFS(팀수비력!N:N,팀수비력!A:A,B1073,팀수비력!B:B,D1073)))*100,"")</f>
        <v>0.74328718758710399</v>
      </c>
      <c r="BO1073" s="67">
        <f t="shared" si="503"/>
        <v>11.867088607594937</v>
      </c>
      <c r="BT1073" t="s">
        <v>89</v>
      </c>
      <c r="BV1073" t="s">
        <v>102</v>
      </c>
      <c r="CF1073">
        <v>1</v>
      </c>
      <c r="CG1073">
        <v>5</v>
      </c>
    </row>
    <row r="1074" spans="1:85" x14ac:dyDescent="0.4">
      <c r="A1074" s="11" t="s">
        <v>85</v>
      </c>
      <c r="B1074" t="s">
        <v>245</v>
      </c>
      <c r="C1074" t="s">
        <v>249</v>
      </c>
      <c r="D1074" s="46" t="s">
        <v>313</v>
      </c>
      <c r="E1074">
        <v>7</v>
      </c>
      <c r="F1074">
        <v>21</v>
      </c>
      <c r="G1074" s="1">
        <v>4</v>
      </c>
      <c r="H1074" s="16">
        <f t="shared" si="478"/>
        <v>8848</v>
      </c>
      <c r="I1074">
        <v>25</v>
      </c>
      <c r="J1074" s="17">
        <f t="shared" si="479"/>
        <v>3.5714285714285716</v>
      </c>
      <c r="K1074">
        <v>10</v>
      </c>
      <c r="L1074">
        <v>34</v>
      </c>
      <c r="M1074" s="17">
        <f t="shared" si="480"/>
        <v>1.4285714285714286</v>
      </c>
      <c r="N1074" s="17">
        <f t="shared" si="481"/>
        <v>4.8571428571428568</v>
      </c>
      <c r="O1074" s="18">
        <f t="shared" si="482"/>
        <v>0.29411764705882354</v>
      </c>
      <c r="P1074">
        <v>5</v>
      </c>
      <c r="Q1074">
        <v>11</v>
      </c>
      <c r="R1074" s="17">
        <f t="shared" si="483"/>
        <v>0.7142857142857143</v>
      </c>
      <c r="S1074" s="17">
        <f t="shared" si="484"/>
        <v>1.5714285714285714</v>
      </c>
      <c r="T1074" s="18">
        <f t="shared" si="485"/>
        <v>0.45454545454545453</v>
      </c>
      <c r="U1074">
        <v>5</v>
      </c>
      <c r="V1074">
        <v>23</v>
      </c>
      <c r="W1074" s="17">
        <f t="shared" si="486"/>
        <v>0.7142857142857143</v>
      </c>
      <c r="X1074" s="17">
        <f t="shared" si="487"/>
        <v>3.2857142857142856</v>
      </c>
      <c r="Y1074" s="18">
        <f t="shared" si="488"/>
        <v>0.21739130434782608</v>
      </c>
      <c r="Z1074">
        <v>0</v>
      </c>
      <c r="AA1074">
        <v>0</v>
      </c>
      <c r="AB1074" s="17">
        <f t="shared" si="489"/>
        <v>0</v>
      </c>
      <c r="AC1074" s="17">
        <f t="shared" si="490"/>
        <v>0</v>
      </c>
      <c r="AD1074" s="18" t="e">
        <f t="shared" si="491"/>
        <v>#DIV/0!</v>
      </c>
      <c r="AE1074">
        <v>9</v>
      </c>
      <c r="AF1074" s="17">
        <f t="shared" si="492"/>
        <v>1.2857142857142858</v>
      </c>
      <c r="AG1074">
        <v>5</v>
      </c>
      <c r="AH1074" s="17">
        <f t="shared" si="493"/>
        <v>0.7142857142857143</v>
      </c>
      <c r="AI1074">
        <v>4</v>
      </c>
      <c r="AJ1074" s="17">
        <f t="shared" si="494"/>
        <v>0.5714285714285714</v>
      </c>
      <c r="AK1074">
        <v>22</v>
      </c>
      <c r="AL1074" s="17">
        <f t="shared" si="495"/>
        <v>3.1428571428571428</v>
      </c>
      <c r="AM1074">
        <v>2</v>
      </c>
      <c r="AN1074" s="17">
        <f t="shared" si="496"/>
        <v>0.2857142857142857</v>
      </c>
      <c r="AO1074">
        <v>0</v>
      </c>
      <c r="AQ1074">
        <v>8</v>
      </c>
      <c r="AR1074" s="17">
        <f t="shared" si="497"/>
        <v>1.1428571428571428</v>
      </c>
      <c r="AS1074">
        <v>16</v>
      </c>
      <c r="AT1074" s="17">
        <f t="shared" si="498"/>
        <v>2.2857142857142856</v>
      </c>
      <c r="BD1074" s="65">
        <f t="shared" si="499"/>
        <v>36.764705882352942</v>
      </c>
      <c r="BE1074" s="65">
        <f t="shared" si="500"/>
        <v>36.764705882352942</v>
      </c>
      <c r="BF1074" s="66">
        <f>IFERROR(100*((L1074+0.44*AA1074+AQ1074)*2400)/((SUMIFS(팀공격력!Q:Q,팀공격력!A:A,B1074,팀공격력!B:B,D1074)+0.44*SUMIFS(팀공격력!T:T,팀공격력!A:A,B1074,팀공격력!B:B,D1074)+SUMIFS(팀공격력!AK:AK,팀공격력!A:A,B1074,팀공격력!B:B,D1074))*(F1074*60+G1074)),"")</f>
        <v>9.9743390338000264</v>
      </c>
      <c r="BG1074" s="38">
        <f t="shared" si="501"/>
        <v>0.67647058823529416</v>
      </c>
      <c r="BH1074" s="38">
        <f t="shared" si="502"/>
        <v>0</v>
      </c>
      <c r="BI1074" s="67">
        <f>IFERROR(((AG1074*(12000/5))/((F1074*60+G1074)*(SUMIFS(팀공격력!X:X,팀공격력!A:A,B1074,팀공격력!B:B,D1074)+SUMIFS(팀수비력!X:X,팀수비력!A:A,B1074,팀수비력!B:B,D1074))))*100,"")</f>
        <v>1.4384349827387801</v>
      </c>
      <c r="BJ1074" s="67">
        <f>IFERROR(((AI1074*(12000/5))/((F1074*60+G1074)*(SUMIFS(팀공격력!V:V,팀공격력!A:A,B1074,팀공격력!B:B,D1074)+SUMIFS(팀수비력!W:W,팀수비력!A:A,B1074,팀수비력!B:B,D1074))))*100,"")</f>
        <v>2.3734177215189876</v>
      </c>
      <c r="BK1074" s="67">
        <f>IFERROR(((AE1074*(12000/5))/((F1074*60+G1074)*(SUMIFS(팀공격력!X:X,팀공격력!A:A,B1074,팀공격력!B:B,D1074)+SUMIFS(팀수비력!X:X,팀수비력!A:A,B1074,팀수비력!B:B,D1074))))*100,"")</f>
        <v>2.5891829689298045</v>
      </c>
      <c r="BL1074" s="67">
        <f>IFERROR(100*AK1074/(((((F1074*60+G1074)/(12000/5))*SUMIFS(팀공격력!P:P,팀공격력!A:A,B1074,팀공격력!B:B,D1074))-K1074)),"")</f>
        <v>14.159443920020598</v>
      </c>
      <c r="BM1074" s="67">
        <f>IFERROR(100*((AM1074/E1074*(2400))/((F1074*60+G1074)*SUMIFS(팀공격력!AR:AR,팀공격력!A:A,B1074,팀공격력!B:B,D1074))),"")</f>
        <v>0.69703589742858629</v>
      </c>
      <c r="BN1074" s="67">
        <f>IFERROR((AO1074*40)/(((F1074*60+G1074)/60)*(SUMIFS(팀수비력!Q:Q,팀수비력!A:A,B1074,팀수비력!B:B,D1074)-SUMIFS(팀수비력!N:N,팀수비력!A:A,B1074,팀수비력!B:B,D1074)))*100,"")</f>
        <v>0</v>
      </c>
      <c r="BO1074" s="67">
        <f t="shared" si="503"/>
        <v>19.047619047619047</v>
      </c>
      <c r="BT1074" t="s">
        <v>89</v>
      </c>
      <c r="BV1074" t="s">
        <v>90</v>
      </c>
      <c r="CF1074">
        <v>2</v>
      </c>
      <c r="CG1074">
        <v>5</v>
      </c>
    </row>
    <row r="1075" spans="1:85" x14ac:dyDescent="0.4">
      <c r="A1075" s="11" t="s">
        <v>85</v>
      </c>
      <c r="B1075" t="s">
        <v>245</v>
      </c>
      <c r="C1075" t="s">
        <v>250</v>
      </c>
      <c r="D1075" s="46" t="s">
        <v>313</v>
      </c>
      <c r="E1075">
        <v>4</v>
      </c>
      <c r="F1075">
        <v>12</v>
      </c>
      <c r="G1075" s="1">
        <v>23</v>
      </c>
      <c r="H1075" s="16">
        <f t="shared" si="478"/>
        <v>2972</v>
      </c>
      <c r="I1075">
        <v>19</v>
      </c>
      <c r="J1075" s="17">
        <f t="shared" si="479"/>
        <v>4.75</v>
      </c>
      <c r="K1075">
        <v>7</v>
      </c>
      <c r="L1075">
        <v>11</v>
      </c>
      <c r="M1075" s="17">
        <f t="shared" si="480"/>
        <v>1.75</v>
      </c>
      <c r="N1075" s="17">
        <f t="shared" si="481"/>
        <v>2.75</v>
      </c>
      <c r="O1075" s="18">
        <f t="shared" si="482"/>
        <v>0.63636363636363635</v>
      </c>
      <c r="P1075">
        <v>2</v>
      </c>
      <c r="Q1075">
        <v>3</v>
      </c>
      <c r="R1075" s="17">
        <f t="shared" si="483"/>
        <v>0.5</v>
      </c>
      <c r="S1075" s="17">
        <f t="shared" si="484"/>
        <v>0.75</v>
      </c>
      <c r="T1075" s="18">
        <f t="shared" si="485"/>
        <v>0.66666666666666663</v>
      </c>
      <c r="U1075">
        <v>5</v>
      </c>
      <c r="V1075">
        <v>8</v>
      </c>
      <c r="W1075" s="17">
        <f t="shared" si="486"/>
        <v>1.25</v>
      </c>
      <c r="X1075" s="17">
        <f t="shared" si="487"/>
        <v>2</v>
      </c>
      <c r="Y1075" s="18">
        <f t="shared" si="488"/>
        <v>0.625</v>
      </c>
      <c r="Z1075">
        <v>0</v>
      </c>
      <c r="AA1075">
        <v>0</v>
      </c>
      <c r="AB1075" s="17">
        <f t="shared" si="489"/>
        <v>0</v>
      </c>
      <c r="AC1075" s="17">
        <f t="shared" si="490"/>
        <v>0</v>
      </c>
      <c r="AD1075" s="18" t="e">
        <f t="shared" si="491"/>
        <v>#DIV/0!</v>
      </c>
      <c r="AE1075">
        <v>4</v>
      </c>
      <c r="AF1075" s="17">
        <f t="shared" si="492"/>
        <v>1</v>
      </c>
      <c r="AG1075">
        <v>1</v>
      </c>
      <c r="AH1075" s="17">
        <f t="shared" si="493"/>
        <v>0.25</v>
      </c>
      <c r="AI1075">
        <v>3</v>
      </c>
      <c r="AJ1075" s="17">
        <f t="shared" si="494"/>
        <v>0.75</v>
      </c>
      <c r="AK1075">
        <v>4</v>
      </c>
      <c r="AL1075" s="17">
        <f t="shared" si="495"/>
        <v>1</v>
      </c>
      <c r="AM1075">
        <v>0</v>
      </c>
      <c r="AN1075" s="17">
        <f t="shared" si="496"/>
        <v>0</v>
      </c>
      <c r="AO1075">
        <v>0</v>
      </c>
      <c r="AQ1075">
        <v>2</v>
      </c>
      <c r="AR1075" s="17">
        <f t="shared" si="497"/>
        <v>0.5</v>
      </c>
      <c r="AS1075">
        <v>7</v>
      </c>
      <c r="AT1075" s="17">
        <f t="shared" si="498"/>
        <v>1.75</v>
      </c>
      <c r="BD1075" s="65">
        <f t="shared" si="499"/>
        <v>86.36363636363636</v>
      </c>
      <c r="BE1075" s="65">
        <f t="shared" si="500"/>
        <v>86.36363636363636</v>
      </c>
      <c r="BF1075" s="66">
        <f>IFERROR(100*((L1075+0.44*AA1075+AQ1075)*2400)/((SUMIFS(팀공격력!Q:Q,팀공격력!A:A,B1075,팀공격력!B:B,D1075)+0.44*SUMIFS(팀공격력!T:T,팀공격력!A:A,B1075,팀공격력!B:B,D1075)+SUMIFS(팀공격력!AK:AK,팀공격력!A:A,B1075,팀공격력!B:B,D1075))*(F1075*60+G1075)),"")</f>
        <v>5.2521418638531703</v>
      </c>
      <c r="BG1075" s="38">
        <f t="shared" si="501"/>
        <v>0.72727272727272729</v>
      </c>
      <c r="BH1075" s="38">
        <f t="shared" si="502"/>
        <v>0</v>
      </c>
      <c r="BI1075" s="67">
        <f>IFERROR(((AG1075*(12000/5))/((F1075*60+G1075)*(SUMIFS(팀공격력!X:X,팀공격력!A:A,B1075,팀공격력!B:B,D1075)+SUMIFS(팀수비력!X:X,팀수비력!A:A,B1075,팀수비력!B:B,D1075))))*100,"")</f>
        <v>0.48941637097760921</v>
      </c>
      <c r="BJ1075" s="67">
        <f>IFERROR(((AI1075*(12000/5))/((F1075*60+G1075)*(SUMIFS(팀공격력!V:V,팀공격력!A:A,B1075,팀공격력!B:B,D1075)+SUMIFS(팀수비력!W:W,팀수비력!A:A,B1075,팀수비력!B:B,D1075))))*100,"")</f>
        <v>3.0282637954239569</v>
      </c>
      <c r="BK1075" s="67">
        <f>IFERROR(((AE1075*(12000/5))/((F1075*60+G1075)*(SUMIFS(팀공격력!X:X,팀공격력!A:A,B1075,팀공격력!B:B,D1075)+SUMIFS(팀수비력!X:X,팀수비력!A:A,B1075,팀수비력!B:B,D1075))))*100,"")</f>
        <v>1.9576654839104368</v>
      </c>
      <c r="BL1075" s="67">
        <f>IFERROR(100*AK1075/(((((F1075*60+G1075)/(12000/5))*SUMIFS(팀공격력!P:P,팀공격력!A:A,B1075,팀공격력!B:B,D1075))-K1075)),"")</f>
        <v>4.4341391765434039</v>
      </c>
      <c r="BM1075" s="67">
        <f>IFERROR(100*((AM1075/E1075*(2400))/((F1075*60+G1075)*SUMIFS(팀공격력!AR:AR,팀공격력!A:A,B1075,팀공격력!B:B,D1075))),"")</f>
        <v>0</v>
      </c>
      <c r="BN1075" s="67">
        <f>IFERROR((AO1075*40)/(((F1075*60+G1075)/60)*(SUMIFS(팀수비력!Q:Q,팀수비력!A:A,B1075,팀수비력!B:B,D1075)-SUMIFS(팀수비력!N:N,팀수비력!A:A,B1075,팀수비력!B:B,D1075)))*100,"")</f>
        <v>0</v>
      </c>
      <c r="BO1075" s="67">
        <f t="shared" si="503"/>
        <v>15.384615384615385</v>
      </c>
      <c r="BT1075" t="s">
        <v>89</v>
      </c>
      <c r="BV1075" t="s">
        <v>90</v>
      </c>
      <c r="CF1075">
        <v>1</v>
      </c>
      <c r="CG1075">
        <v>3</v>
      </c>
    </row>
    <row r="1076" spans="1:85" x14ac:dyDescent="0.4">
      <c r="A1076" s="11" t="s">
        <v>85</v>
      </c>
      <c r="B1076" t="s">
        <v>245</v>
      </c>
      <c r="C1076" t="s">
        <v>251</v>
      </c>
      <c r="D1076" s="46" t="s">
        <v>313</v>
      </c>
      <c r="E1076">
        <v>1</v>
      </c>
      <c r="F1076">
        <v>1</v>
      </c>
      <c r="G1076" s="1">
        <v>27</v>
      </c>
      <c r="H1076" s="16">
        <f t="shared" si="478"/>
        <v>87</v>
      </c>
      <c r="I1076">
        <v>2</v>
      </c>
      <c r="J1076" s="17">
        <f t="shared" si="479"/>
        <v>2</v>
      </c>
      <c r="K1076">
        <v>1</v>
      </c>
      <c r="L1076">
        <v>2</v>
      </c>
      <c r="M1076" s="17">
        <f t="shared" si="480"/>
        <v>1</v>
      </c>
      <c r="N1076" s="17">
        <f t="shared" si="481"/>
        <v>2</v>
      </c>
      <c r="O1076" s="18">
        <f t="shared" si="482"/>
        <v>0.5</v>
      </c>
      <c r="P1076">
        <v>1</v>
      </c>
      <c r="Q1076">
        <v>2</v>
      </c>
      <c r="R1076" s="17">
        <f t="shared" si="483"/>
        <v>1</v>
      </c>
      <c r="S1076" s="17">
        <f t="shared" si="484"/>
        <v>2</v>
      </c>
      <c r="T1076" s="18">
        <f t="shared" si="485"/>
        <v>0.5</v>
      </c>
      <c r="U1076">
        <v>0</v>
      </c>
      <c r="V1076">
        <v>0</v>
      </c>
      <c r="W1076" s="17">
        <f t="shared" si="486"/>
        <v>0</v>
      </c>
      <c r="X1076" s="17">
        <f t="shared" si="487"/>
        <v>0</v>
      </c>
      <c r="Y1076" s="18" t="e">
        <f t="shared" si="488"/>
        <v>#DIV/0!</v>
      </c>
      <c r="Z1076">
        <v>0</v>
      </c>
      <c r="AA1076">
        <v>0</v>
      </c>
      <c r="AB1076" s="17">
        <f t="shared" si="489"/>
        <v>0</v>
      </c>
      <c r="AC1076" s="17">
        <f t="shared" si="490"/>
        <v>0</v>
      </c>
      <c r="AD1076" s="18" t="e">
        <f t="shared" si="491"/>
        <v>#DIV/0!</v>
      </c>
      <c r="AE1076">
        <v>1</v>
      </c>
      <c r="AF1076" s="17">
        <f t="shared" si="492"/>
        <v>1</v>
      </c>
      <c r="AG1076">
        <v>1</v>
      </c>
      <c r="AH1076" s="17">
        <f t="shared" si="493"/>
        <v>1</v>
      </c>
      <c r="AI1076">
        <v>0</v>
      </c>
      <c r="AJ1076" s="17">
        <f t="shared" si="494"/>
        <v>0</v>
      </c>
      <c r="AK1076">
        <v>0</v>
      </c>
      <c r="AL1076" s="17">
        <f t="shared" si="495"/>
        <v>0</v>
      </c>
      <c r="AM1076">
        <v>0</v>
      </c>
      <c r="AN1076" s="17">
        <f t="shared" si="496"/>
        <v>0</v>
      </c>
      <c r="AO1076">
        <v>0</v>
      </c>
      <c r="AQ1076">
        <v>0</v>
      </c>
      <c r="AR1076" s="17">
        <f t="shared" si="497"/>
        <v>0</v>
      </c>
      <c r="AS1076">
        <v>0</v>
      </c>
      <c r="AT1076" s="17">
        <f t="shared" si="498"/>
        <v>0</v>
      </c>
      <c r="BD1076" s="65">
        <f t="shared" si="499"/>
        <v>50</v>
      </c>
      <c r="BE1076" s="65">
        <f t="shared" si="500"/>
        <v>50</v>
      </c>
      <c r="BF1076" s="66">
        <f>IFERROR(100*((L1076+0.44*AA1076+AQ1076)*2400)/((SUMIFS(팀공격력!Q:Q,팀공격력!A:A,B1076,팀공격력!B:B,D1076)+0.44*SUMIFS(팀공격력!T:T,팀공격력!A:A,B1076,팀공격력!B:B,D1076)+SUMIFS(팀공격력!AK:AK,팀공격력!A:A,B1076,팀공격력!B:B,D1076))*(F1076*60+G1076)),"")</f>
        <v>6.9006921394215839</v>
      </c>
      <c r="BG1076" s="38">
        <f t="shared" si="501"/>
        <v>0</v>
      </c>
      <c r="BH1076" s="38">
        <f t="shared" si="502"/>
        <v>0</v>
      </c>
      <c r="BI1076" s="67">
        <f>IFERROR(((AG1076*(12000/5))/((F1076*60+G1076)*(SUMIFS(팀공격력!X:X,팀공격력!A:A,B1076,팀공격력!B:B,D1076)+SUMIFS(팀수비력!X:X,팀수비력!A:A,B1076,팀수비력!B:B,D1076))))*100,"")</f>
        <v>4.179728317659352</v>
      </c>
      <c r="BJ1076" s="67">
        <f>IFERROR(((AI1076*(12000/5))/((F1076*60+G1076)*(SUMIFS(팀공격력!V:V,팀공격력!A:A,B1076,팀공격력!B:B,D1076)+SUMIFS(팀수비력!W:W,팀수비력!A:A,B1076,팀수비력!B:B,D1076))))*100,"")</f>
        <v>0</v>
      </c>
      <c r="BK1076" s="67">
        <f>IFERROR(((AE1076*(12000/5))/((F1076*60+G1076)*(SUMIFS(팀공격력!X:X,팀공격력!A:A,B1076,팀공격력!B:B,D1076)+SUMIFS(팀수비력!X:X,팀수비력!A:A,B1076,팀수비력!B:B,D1076))))*100,"")</f>
        <v>4.179728317659352</v>
      </c>
      <c r="BL1076" s="67">
        <f>IFERROR(100*AK1076/(((((F1076*60+G1076)/(12000/5))*SUMIFS(팀공격력!P:P,팀공격력!A:A,B1076,팀공격력!B:B,D1076))-K1076)),"")</f>
        <v>0</v>
      </c>
      <c r="BM1076" s="67">
        <f>IFERROR(100*((AM1076/E1076*(2400))/((F1076*60+G1076)*SUMIFS(팀공격력!AR:AR,팀공격력!A:A,B1076,팀공격력!B:B,D1076))),"")</f>
        <v>0</v>
      </c>
      <c r="BN1076" s="67">
        <f>IFERROR((AO1076*40)/(((F1076*60+G1076)/60)*(SUMIFS(팀수비력!Q:Q,팀수비력!A:A,B1076,팀수비력!B:B,D1076)-SUMIFS(팀수비력!N:N,팀수비력!A:A,B1076,팀수비력!B:B,D1076)))*100,"")</f>
        <v>0</v>
      </c>
      <c r="BO1076" s="67">
        <f t="shared" si="503"/>
        <v>0</v>
      </c>
      <c r="BT1076" t="s">
        <v>89</v>
      </c>
      <c r="BV1076" t="s">
        <v>102</v>
      </c>
      <c r="CF1076">
        <v>0</v>
      </c>
      <c r="CG1076">
        <v>1</v>
      </c>
    </row>
    <row r="1077" spans="1:85" x14ac:dyDescent="0.4">
      <c r="A1077" s="11" t="s">
        <v>85</v>
      </c>
      <c r="B1077" t="s">
        <v>245</v>
      </c>
      <c r="C1077" t="s">
        <v>252</v>
      </c>
      <c r="D1077" s="46" t="s">
        <v>313</v>
      </c>
      <c r="E1077">
        <v>4</v>
      </c>
      <c r="F1077">
        <v>1</v>
      </c>
      <c r="G1077" s="1">
        <v>35</v>
      </c>
      <c r="H1077" s="16">
        <f t="shared" si="478"/>
        <v>380</v>
      </c>
      <c r="I1077">
        <v>3</v>
      </c>
      <c r="J1077" s="17">
        <f t="shared" si="479"/>
        <v>0.75</v>
      </c>
      <c r="K1077">
        <v>1</v>
      </c>
      <c r="L1077">
        <v>1</v>
      </c>
      <c r="M1077" s="17">
        <f t="shared" si="480"/>
        <v>0.25</v>
      </c>
      <c r="N1077" s="17">
        <f t="shared" si="481"/>
        <v>0.25</v>
      </c>
      <c r="O1077" s="18">
        <f t="shared" si="482"/>
        <v>1</v>
      </c>
      <c r="P1077">
        <v>1</v>
      </c>
      <c r="Q1077">
        <v>1</v>
      </c>
      <c r="R1077" s="17">
        <f t="shared" si="483"/>
        <v>0.25</v>
      </c>
      <c r="S1077" s="17">
        <f t="shared" si="484"/>
        <v>0.25</v>
      </c>
      <c r="T1077" s="18">
        <f t="shared" si="485"/>
        <v>1</v>
      </c>
      <c r="U1077">
        <v>0</v>
      </c>
      <c r="V1077">
        <v>0</v>
      </c>
      <c r="W1077" s="17">
        <f t="shared" si="486"/>
        <v>0</v>
      </c>
      <c r="X1077" s="17">
        <f t="shared" si="487"/>
        <v>0</v>
      </c>
      <c r="Y1077" s="18" t="e">
        <f t="shared" si="488"/>
        <v>#DIV/0!</v>
      </c>
      <c r="Z1077">
        <v>1</v>
      </c>
      <c r="AA1077">
        <v>1</v>
      </c>
      <c r="AB1077" s="17">
        <f t="shared" si="489"/>
        <v>0.25</v>
      </c>
      <c r="AC1077" s="17">
        <f t="shared" si="490"/>
        <v>0.25</v>
      </c>
      <c r="AD1077" s="18">
        <f t="shared" si="491"/>
        <v>1</v>
      </c>
      <c r="AE1077">
        <v>0</v>
      </c>
      <c r="AF1077" s="17">
        <f t="shared" si="492"/>
        <v>0</v>
      </c>
      <c r="AG1077">
        <v>0</v>
      </c>
      <c r="AH1077" s="17">
        <f t="shared" si="493"/>
        <v>0</v>
      </c>
      <c r="AI1077">
        <v>0</v>
      </c>
      <c r="AJ1077" s="17">
        <f t="shared" si="494"/>
        <v>0</v>
      </c>
      <c r="AK1077">
        <v>0</v>
      </c>
      <c r="AL1077" s="17">
        <f t="shared" si="495"/>
        <v>0</v>
      </c>
      <c r="AM1077">
        <v>1</v>
      </c>
      <c r="AN1077" s="17">
        <f t="shared" si="496"/>
        <v>0.25</v>
      </c>
      <c r="AO1077">
        <v>0</v>
      </c>
      <c r="AQ1077">
        <v>0</v>
      </c>
      <c r="AR1077" s="17">
        <f t="shared" si="497"/>
        <v>0</v>
      </c>
      <c r="AS1077">
        <v>0</v>
      </c>
      <c r="AT1077" s="17">
        <f t="shared" si="498"/>
        <v>0</v>
      </c>
      <c r="BD1077" s="65">
        <f t="shared" si="499"/>
        <v>104.16666666666667</v>
      </c>
      <c r="BE1077" s="65">
        <f t="shared" si="500"/>
        <v>100</v>
      </c>
      <c r="BF1077" s="66">
        <f>IFERROR(100*((L1077+0.44*AA1077+AQ1077)*2400)/((SUMIFS(팀공격력!Q:Q,팀공격력!A:A,B1077,팀공격력!B:B,D1077)+0.44*SUMIFS(팀공격력!T:T,팀공격력!A:A,B1077,팀공격력!B:B,D1077)+SUMIFS(팀공격력!AK:AK,팀공격력!A:A,B1077,팀공격력!B:B,D1077))*(F1077*60+G1077)),"")</f>
        <v>4.5500984801407167</v>
      </c>
      <c r="BG1077" s="38">
        <f t="shared" si="501"/>
        <v>0</v>
      </c>
      <c r="BH1077" s="38">
        <f t="shared" si="502"/>
        <v>1</v>
      </c>
      <c r="BI1077" s="67">
        <f>IFERROR(((AG1077*(12000/5))/((F1077*60+G1077)*(SUMIFS(팀공격력!X:X,팀공격력!A:A,B1077,팀공격력!B:B,D1077)+SUMIFS(팀수비력!X:X,팀수비력!A:A,B1077,팀수비력!B:B,D1077))))*100,"")</f>
        <v>0</v>
      </c>
      <c r="BJ1077" s="67">
        <f>IFERROR(((AI1077*(12000/5))/((F1077*60+G1077)*(SUMIFS(팀공격력!V:V,팀공격력!A:A,B1077,팀공격력!B:B,D1077)+SUMIFS(팀수비력!W:W,팀수비력!A:A,B1077,팀수비력!B:B,D1077))))*100,"")</f>
        <v>0</v>
      </c>
      <c r="BK1077" s="67">
        <f>IFERROR(((AE1077*(12000/5))/((F1077*60+G1077)*(SUMIFS(팀공격력!X:X,팀공격력!A:A,B1077,팀공격력!B:B,D1077)+SUMIFS(팀수비력!X:X,팀수비력!A:A,B1077,팀수비력!B:B,D1077))))*100,"")</f>
        <v>0</v>
      </c>
      <c r="BL1077" s="67">
        <f>IFERROR(100*AK1077/(((((F1077*60+G1077)/(12000/5))*SUMIFS(팀공격력!P:P,팀공격력!A:A,B1077,팀공격력!B:B,D1077))-K1077)),"")</f>
        <v>0</v>
      </c>
      <c r="BM1077" s="67">
        <f>IFERROR(100*((AM1077/E1077*(2400))/((F1077*60+G1077)*SUMIFS(팀공격력!AR:AR,팀공격력!A:A,B1077,팀공격력!B:B,D1077))),"")</f>
        <v>8.1149652900633313</v>
      </c>
      <c r="BN1077" s="67">
        <f>IFERROR((AO1077*40)/(((F1077*60+G1077)/60)*(SUMIFS(팀수비력!Q:Q,팀수비력!A:A,B1077,팀수비력!B:B,D1077)-SUMIFS(팀수비력!N:N,팀수비력!A:A,B1077,팀수비력!B:B,D1077)))*100,"")</f>
        <v>0</v>
      </c>
      <c r="BO1077" s="67">
        <f t="shared" si="503"/>
        <v>0</v>
      </c>
      <c r="BT1077" t="s">
        <v>89</v>
      </c>
      <c r="BV1077" t="s">
        <v>90</v>
      </c>
      <c r="CF1077">
        <v>1</v>
      </c>
      <c r="CG1077">
        <v>3</v>
      </c>
    </row>
    <row r="1078" spans="1:85" x14ac:dyDescent="0.4">
      <c r="A1078" s="11" t="s">
        <v>85</v>
      </c>
      <c r="B1078" t="s">
        <v>245</v>
      </c>
      <c r="C1078" t="s">
        <v>253</v>
      </c>
      <c r="D1078" s="46" t="s">
        <v>313</v>
      </c>
      <c r="E1078">
        <v>6</v>
      </c>
      <c r="F1078">
        <v>24</v>
      </c>
      <c r="G1078" s="1">
        <v>14</v>
      </c>
      <c r="H1078" s="16">
        <f t="shared" si="478"/>
        <v>8724</v>
      </c>
      <c r="I1078">
        <v>64</v>
      </c>
      <c r="J1078" s="17">
        <f t="shared" si="479"/>
        <v>10.666666666666666</v>
      </c>
      <c r="K1078">
        <v>25</v>
      </c>
      <c r="L1078">
        <v>57</v>
      </c>
      <c r="M1078" s="17">
        <f t="shared" si="480"/>
        <v>4.166666666666667</v>
      </c>
      <c r="N1078" s="17">
        <f t="shared" si="481"/>
        <v>9.5</v>
      </c>
      <c r="O1078" s="18">
        <f t="shared" si="482"/>
        <v>0.43859649122807015</v>
      </c>
      <c r="P1078">
        <v>17</v>
      </c>
      <c r="Q1078">
        <v>28</v>
      </c>
      <c r="R1078" s="17">
        <f t="shared" si="483"/>
        <v>2.8333333333333335</v>
      </c>
      <c r="S1078" s="17">
        <f t="shared" si="484"/>
        <v>4.666666666666667</v>
      </c>
      <c r="T1078" s="18">
        <f t="shared" si="485"/>
        <v>0.6071428571428571</v>
      </c>
      <c r="U1078">
        <v>8</v>
      </c>
      <c r="V1078">
        <v>29</v>
      </c>
      <c r="W1078" s="17">
        <f t="shared" si="486"/>
        <v>1.3333333333333333</v>
      </c>
      <c r="X1078" s="17">
        <f t="shared" si="487"/>
        <v>4.833333333333333</v>
      </c>
      <c r="Y1078" s="18">
        <f t="shared" si="488"/>
        <v>0.27586206896551724</v>
      </c>
      <c r="Z1078">
        <v>6</v>
      </c>
      <c r="AA1078">
        <v>9</v>
      </c>
      <c r="AB1078" s="17">
        <f t="shared" si="489"/>
        <v>1</v>
      </c>
      <c r="AC1078" s="17">
        <f t="shared" si="490"/>
        <v>1.5</v>
      </c>
      <c r="AD1078" s="18">
        <f t="shared" si="491"/>
        <v>0.66666666666666663</v>
      </c>
      <c r="AE1078">
        <v>15</v>
      </c>
      <c r="AF1078" s="17">
        <f t="shared" si="492"/>
        <v>2.5</v>
      </c>
      <c r="AG1078">
        <v>3</v>
      </c>
      <c r="AH1078" s="17">
        <f t="shared" si="493"/>
        <v>0.5</v>
      </c>
      <c r="AI1078">
        <v>12</v>
      </c>
      <c r="AJ1078" s="17">
        <f t="shared" si="494"/>
        <v>2</v>
      </c>
      <c r="AK1078">
        <v>20</v>
      </c>
      <c r="AL1078" s="17">
        <f t="shared" si="495"/>
        <v>3.3333333333333335</v>
      </c>
      <c r="AM1078">
        <v>4</v>
      </c>
      <c r="AN1078" s="17">
        <f t="shared" si="496"/>
        <v>0.66666666666666663</v>
      </c>
      <c r="AO1078">
        <v>1</v>
      </c>
      <c r="AQ1078">
        <v>10</v>
      </c>
      <c r="AR1078" s="17">
        <f t="shared" si="497"/>
        <v>1.6666666666666667</v>
      </c>
      <c r="AS1078">
        <v>9</v>
      </c>
      <c r="AT1078" s="17">
        <f t="shared" si="498"/>
        <v>1.5</v>
      </c>
      <c r="BD1078" s="65">
        <f t="shared" si="499"/>
        <v>52.493438320209975</v>
      </c>
      <c r="BE1078" s="65">
        <f t="shared" si="500"/>
        <v>50.877192982456144</v>
      </c>
      <c r="BF1078" s="66">
        <f>IFERROR(100*((L1078+0.44*AA1078+AQ1078)*2400)/((SUMIFS(팀공격력!Q:Q,팀공격력!A:A,B1078,팀공격력!B:B,D1078)+0.44*SUMIFS(팀공격력!T:T,팀공격력!A:A,B1078,팀공격력!B:B,D1078)+SUMIFS(팀공격력!AK:AK,팀공격력!A:A,B1078,팀공격력!B:B,D1078))*(F1078*60+G1078)),"")</f>
        <v>14.649780239532992</v>
      </c>
      <c r="BG1078" s="38">
        <f t="shared" si="501"/>
        <v>0.50877192982456143</v>
      </c>
      <c r="BH1078" s="38">
        <f t="shared" si="502"/>
        <v>0.15789473684210525</v>
      </c>
      <c r="BI1078" s="67">
        <f>IFERROR(((AG1078*(12000/5))/((F1078*60+G1078)*(SUMIFS(팀공격력!X:X,팀공격력!A:A,B1078,팀공격력!B:B,D1078)+SUMIFS(팀수비력!X:X,팀수비력!A:A,B1078,팀수비력!B:B,D1078))))*100,"")</f>
        <v>0.75028135550831565</v>
      </c>
      <c r="BJ1078" s="67">
        <f>IFERROR(((AI1078*(12000/5))/((F1078*60+G1078)*(SUMIFS(팀공격력!V:V,팀공격력!A:A,B1078,팀공격력!B:B,D1078)+SUMIFS(팀수비력!W:W,팀수비력!A:A,B1078,팀수비력!B:B,D1078))))*100,"")</f>
        <v>6.1898211829436036</v>
      </c>
      <c r="BK1078" s="67">
        <f>IFERROR(((AE1078*(12000/5))/((F1078*60+G1078)*(SUMIFS(팀공격력!X:X,팀공격력!A:A,B1078,팀공격력!B:B,D1078)+SUMIFS(팀수비력!X:X,팀수비력!A:A,B1078,팀수비력!B:B,D1078))))*100,"")</f>
        <v>3.751406777541578</v>
      </c>
      <c r="BL1078" s="67">
        <f>IFERROR(100*AK1078/(((((F1078*60+G1078)/(12000/5))*SUMIFS(팀공격력!P:P,팀공격력!A:A,B1078,팀공격력!B:B,D1078))-K1078)),"")</f>
        <v>12.104217311048124</v>
      </c>
      <c r="BM1078" s="67">
        <f>IFERROR(100*((AM1078/E1078*(2400))/((F1078*60+G1078)*SUMIFS(팀공격력!AR:AR,팀공격력!A:A,B1078,팀공격력!B:B,D1078))),"")</f>
        <v>1.4138866621843493</v>
      </c>
      <c r="BN1078" s="67">
        <f>IFERROR((AO1078*40)/(((F1078*60+G1078)/60)*(SUMIFS(팀수비력!Q:Q,팀수비력!A:A,B1078,팀수비력!B:B,D1078)-SUMIFS(팀수비력!N:N,팀수비력!A:A,B1078,팀수비력!B:B,D1078)))*100,"")</f>
        <v>0.35119552811027538</v>
      </c>
      <c r="BO1078" s="67">
        <f t="shared" si="503"/>
        <v>14.092446448703493</v>
      </c>
      <c r="BT1078" t="s">
        <v>113</v>
      </c>
      <c r="BV1078" t="s">
        <v>90</v>
      </c>
      <c r="CF1078">
        <v>1</v>
      </c>
      <c r="CG1078">
        <v>5</v>
      </c>
    </row>
    <row r="1079" spans="1:85" x14ac:dyDescent="0.4">
      <c r="A1079" s="11" t="s">
        <v>85</v>
      </c>
      <c r="B1079" t="s">
        <v>245</v>
      </c>
      <c r="C1079" t="s">
        <v>254</v>
      </c>
      <c r="D1079" s="46" t="s">
        <v>313</v>
      </c>
      <c r="E1079">
        <v>5</v>
      </c>
      <c r="F1079">
        <v>25</v>
      </c>
      <c r="G1079" s="1">
        <v>41</v>
      </c>
      <c r="H1079" s="16">
        <f t="shared" si="478"/>
        <v>7705</v>
      </c>
      <c r="I1079">
        <v>52</v>
      </c>
      <c r="J1079" s="17">
        <f t="shared" si="479"/>
        <v>10.4</v>
      </c>
      <c r="K1079">
        <v>20</v>
      </c>
      <c r="L1079">
        <v>42</v>
      </c>
      <c r="M1079" s="17">
        <f t="shared" si="480"/>
        <v>4</v>
      </c>
      <c r="N1079" s="17">
        <f t="shared" si="481"/>
        <v>8.4</v>
      </c>
      <c r="O1079" s="18">
        <f t="shared" si="482"/>
        <v>0.47619047619047616</v>
      </c>
      <c r="P1079">
        <v>12</v>
      </c>
      <c r="Q1079">
        <v>24</v>
      </c>
      <c r="R1079" s="17">
        <f t="shared" si="483"/>
        <v>2.4</v>
      </c>
      <c r="S1079" s="17">
        <f t="shared" si="484"/>
        <v>4.8</v>
      </c>
      <c r="T1079" s="18">
        <f t="shared" si="485"/>
        <v>0.5</v>
      </c>
      <c r="U1079">
        <v>8</v>
      </c>
      <c r="V1079">
        <v>18</v>
      </c>
      <c r="W1079" s="17">
        <f t="shared" si="486"/>
        <v>1.6</v>
      </c>
      <c r="X1079" s="17">
        <f t="shared" si="487"/>
        <v>3.6</v>
      </c>
      <c r="Y1079" s="18">
        <f t="shared" si="488"/>
        <v>0.44444444444444442</v>
      </c>
      <c r="Z1079">
        <v>4</v>
      </c>
      <c r="AA1079">
        <v>6</v>
      </c>
      <c r="AB1079" s="17">
        <f t="shared" si="489"/>
        <v>0.8</v>
      </c>
      <c r="AC1079" s="17">
        <f t="shared" si="490"/>
        <v>1.2</v>
      </c>
      <c r="AD1079" s="18">
        <f t="shared" si="491"/>
        <v>0.66666666666666663</v>
      </c>
      <c r="AE1079">
        <v>17</v>
      </c>
      <c r="AF1079" s="17">
        <f t="shared" si="492"/>
        <v>3.4</v>
      </c>
      <c r="AG1079">
        <v>8</v>
      </c>
      <c r="AH1079" s="17">
        <f t="shared" si="493"/>
        <v>1.6</v>
      </c>
      <c r="AI1079">
        <v>9</v>
      </c>
      <c r="AJ1079" s="17">
        <f t="shared" si="494"/>
        <v>1.8</v>
      </c>
      <c r="AK1079">
        <v>18</v>
      </c>
      <c r="AL1079" s="17">
        <f t="shared" si="495"/>
        <v>3.6</v>
      </c>
      <c r="AM1079">
        <v>0</v>
      </c>
      <c r="AN1079" s="17">
        <f t="shared" si="496"/>
        <v>0</v>
      </c>
      <c r="AO1079">
        <v>0</v>
      </c>
      <c r="AQ1079">
        <v>10</v>
      </c>
      <c r="AR1079" s="17">
        <f t="shared" si="497"/>
        <v>2</v>
      </c>
      <c r="AS1079">
        <v>14</v>
      </c>
      <c r="AT1079" s="17">
        <f t="shared" si="498"/>
        <v>2.8</v>
      </c>
      <c r="BD1079" s="65">
        <f t="shared" si="499"/>
        <v>58.243727598566309</v>
      </c>
      <c r="BE1079" s="65">
        <f t="shared" si="500"/>
        <v>57.142857142857139</v>
      </c>
      <c r="BF1079" s="66">
        <f>IFERROR(100*((L1079+0.44*AA1079+AQ1079)*2400)/((SUMIFS(팀공격력!Q:Q,팀공격력!A:A,B1079,팀공격력!B:B,D1079)+0.44*SUMIFS(팀공격력!T:T,팀공격력!A:A,B1079,팀공격력!B:B,D1079)+SUMIFS(팀공격력!AK:AK,팀공격력!A:A,B1079,팀공격력!B:B,D1079))*(F1079*60+G1079)),"")</f>
        <v>10.643634720741595</v>
      </c>
      <c r="BG1079" s="38">
        <f t="shared" si="501"/>
        <v>0.42857142857142855</v>
      </c>
      <c r="BH1079" s="38">
        <f t="shared" si="502"/>
        <v>0.14285714285714285</v>
      </c>
      <c r="BI1079" s="67">
        <f>IFERROR(((AG1079*(12000/5))/((F1079*60+G1079)*(SUMIFS(팀공격력!X:X,팀공격력!A:A,B1079,팀공격력!B:B,D1079)+SUMIFS(팀수비력!X:X,팀수비력!A:A,B1079,팀수비력!B:B,D1079))))*100,"")</f>
        <v>1.8877942304288833</v>
      </c>
      <c r="BJ1079" s="67">
        <f>IFERROR(((AI1079*(12000/5))/((F1079*60+G1079)*(SUMIFS(팀공격력!V:V,팀공격력!A:A,B1079,팀공격력!B:B,D1079)+SUMIFS(팀수비력!W:W,팀수비력!A:A,B1079,팀수비력!B:B,D1079))))*100,"")</f>
        <v>4.3802725502920179</v>
      </c>
      <c r="BK1079" s="67">
        <f>IFERROR(((AE1079*(12000/5))/((F1079*60+G1079)*(SUMIFS(팀공격력!X:X,팀공격력!A:A,B1079,팀공격력!B:B,D1079)+SUMIFS(팀수비력!X:X,팀수비력!A:A,B1079,팀수비력!B:B,D1079))))*100,"")</f>
        <v>4.0115627396613771</v>
      </c>
      <c r="BL1079" s="67">
        <f>IFERROR(100*AK1079/(((((F1079*60+G1079)/(12000/5))*SUMIFS(팀공격력!P:P,팀공격력!A:A,B1079,팀공격력!B:B,D1079))-K1079)),"")</f>
        <v>9.9111211038052272</v>
      </c>
      <c r="BM1079" s="67">
        <f>IFERROR(100*((AM1079/E1079*(2400))/((F1079*60+G1079)*SUMIFS(팀공격력!AR:AR,팀공격력!A:A,B1079,팀공격력!B:B,D1079))),"")</f>
        <v>0</v>
      </c>
      <c r="BN1079" s="67">
        <f>IFERROR((AO1079*40)/(((F1079*60+G1079)/60)*(SUMIFS(팀수비력!Q:Q,팀수비력!A:A,B1079,팀수비력!B:B,D1079)-SUMIFS(팀수비력!N:N,팀수비력!A:A,B1079,팀수비력!B:B,D1079)))*100,"")</f>
        <v>0</v>
      </c>
      <c r="BO1079" s="67">
        <f t="shared" si="503"/>
        <v>18.301610541727673</v>
      </c>
      <c r="BT1079" t="s">
        <v>89</v>
      </c>
      <c r="BV1079" t="s">
        <v>90</v>
      </c>
      <c r="CF1079">
        <v>1</v>
      </c>
      <c r="CG1079">
        <v>4</v>
      </c>
    </row>
    <row r="1080" spans="1:85" x14ac:dyDescent="0.4">
      <c r="A1080" s="11" t="s">
        <v>85</v>
      </c>
      <c r="B1080" t="s">
        <v>245</v>
      </c>
      <c r="C1080" t="s">
        <v>255</v>
      </c>
      <c r="D1080" s="46" t="s">
        <v>313</v>
      </c>
      <c r="E1080">
        <v>1</v>
      </c>
      <c r="F1080">
        <v>2</v>
      </c>
      <c r="G1080" s="1">
        <v>7</v>
      </c>
      <c r="H1080" s="16">
        <f t="shared" si="478"/>
        <v>127</v>
      </c>
      <c r="I1080">
        <v>0</v>
      </c>
      <c r="J1080" s="17">
        <f t="shared" si="479"/>
        <v>0</v>
      </c>
      <c r="K1080">
        <v>0</v>
      </c>
      <c r="L1080">
        <v>0</v>
      </c>
      <c r="M1080" s="17">
        <f t="shared" si="480"/>
        <v>0</v>
      </c>
      <c r="N1080" s="17">
        <f t="shared" si="481"/>
        <v>0</v>
      </c>
      <c r="O1080" s="18" t="e">
        <f t="shared" si="482"/>
        <v>#DIV/0!</v>
      </c>
      <c r="P1080">
        <v>0</v>
      </c>
      <c r="Q1080">
        <v>0</v>
      </c>
      <c r="R1080" s="17">
        <f t="shared" si="483"/>
        <v>0</v>
      </c>
      <c r="S1080" s="17">
        <f t="shared" si="484"/>
        <v>0</v>
      </c>
      <c r="T1080" s="18" t="e">
        <f t="shared" si="485"/>
        <v>#DIV/0!</v>
      </c>
      <c r="U1080">
        <v>0</v>
      </c>
      <c r="V1080">
        <v>0</v>
      </c>
      <c r="W1080" s="17">
        <f t="shared" si="486"/>
        <v>0</v>
      </c>
      <c r="X1080" s="17">
        <f t="shared" si="487"/>
        <v>0</v>
      </c>
      <c r="Y1080" s="18" t="e">
        <f t="shared" si="488"/>
        <v>#DIV/0!</v>
      </c>
      <c r="Z1080">
        <v>0</v>
      </c>
      <c r="AA1080">
        <v>0</v>
      </c>
      <c r="AB1080" s="17">
        <f t="shared" si="489"/>
        <v>0</v>
      </c>
      <c r="AC1080" s="17">
        <f t="shared" si="490"/>
        <v>0</v>
      </c>
      <c r="AD1080" s="18" t="e">
        <f t="shared" si="491"/>
        <v>#DIV/0!</v>
      </c>
      <c r="AE1080">
        <v>1</v>
      </c>
      <c r="AF1080" s="17">
        <f t="shared" si="492"/>
        <v>1</v>
      </c>
      <c r="AG1080">
        <v>0</v>
      </c>
      <c r="AH1080" s="17">
        <f t="shared" si="493"/>
        <v>0</v>
      </c>
      <c r="AI1080">
        <v>1</v>
      </c>
      <c r="AJ1080" s="17">
        <f t="shared" si="494"/>
        <v>1</v>
      </c>
      <c r="AK1080">
        <v>0</v>
      </c>
      <c r="AL1080" s="17">
        <f t="shared" si="495"/>
        <v>0</v>
      </c>
      <c r="AM1080">
        <v>0</v>
      </c>
      <c r="AN1080" s="17">
        <f t="shared" si="496"/>
        <v>0</v>
      </c>
      <c r="AO1080">
        <v>0</v>
      </c>
      <c r="AQ1080">
        <v>0</v>
      </c>
      <c r="AR1080" s="17">
        <f t="shared" si="497"/>
        <v>0</v>
      </c>
      <c r="AS1080">
        <v>1</v>
      </c>
      <c r="AT1080" s="17">
        <f t="shared" si="498"/>
        <v>1</v>
      </c>
      <c r="BD1080" s="65" t="str">
        <f t="shared" si="499"/>
        <v/>
      </c>
      <c r="BE1080" s="65" t="str">
        <f t="shared" si="500"/>
        <v/>
      </c>
      <c r="BF1080" s="66">
        <f>IFERROR(100*((L1080+0.44*AA1080+AQ1080)*2400)/((SUMIFS(팀공격력!Q:Q,팀공격력!A:A,B1080,팀공격력!B:B,D1080)+0.44*SUMIFS(팀공격력!T:T,팀공격력!A:A,B1080,팀공격력!B:B,D1080)+SUMIFS(팀공격력!AK:AK,팀공격력!A:A,B1080,팀공격력!B:B,D1080))*(F1080*60+G1080)),"")</f>
        <v>0</v>
      </c>
      <c r="BG1080" s="38" t="str">
        <f t="shared" si="501"/>
        <v/>
      </c>
      <c r="BH1080" s="38" t="str">
        <f t="shared" si="502"/>
        <v/>
      </c>
      <c r="BI1080" s="67">
        <f>IFERROR(((AG1080*(12000/5))/((F1080*60+G1080)*(SUMIFS(팀공격력!X:X,팀공격력!A:A,B1080,팀공격력!B:B,D1080)+SUMIFS(팀수비력!X:X,팀수비력!A:A,B1080,팀수비력!B:B,D1080))))*100,"")</f>
        <v>0</v>
      </c>
      <c r="BJ1080" s="67">
        <f>IFERROR(((AI1080*(12000/5))/((F1080*60+G1080)*(SUMIFS(팀공격력!V:V,팀공격력!A:A,B1080,팀공격력!B:B,D1080)+SUMIFS(팀수비력!W:W,팀수비력!A:A,B1080,팀수비력!B:B,D1080))))*100,"")</f>
        <v>5.9055118110236222</v>
      </c>
      <c r="BK1080" s="67">
        <f>IFERROR(((AE1080*(12000/5))/((F1080*60+G1080)*(SUMIFS(팀공격력!X:X,팀공격력!A:A,B1080,팀공격력!B:B,D1080)+SUMIFS(팀수비력!X:X,팀수비력!A:A,B1080,팀수비력!B:B,D1080))))*100,"")</f>
        <v>2.863278453829635</v>
      </c>
      <c r="BL1080" s="67">
        <f>IFERROR(100*AK1080/(((((F1080*60+G1080)/(12000/5))*SUMIFS(팀공격력!P:P,팀공격력!A:A,B1080,팀공격력!B:B,D1080))-K1080)),"")</f>
        <v>0</v>
      </c>
      <c r="BM1080" s="67">
        <f>IFERROR(100*((AM1080/E1080*(2400))/((F1080*60+G1080)*SUMIFS(팀공격력!AR:AR,팀공격력!A:A,B1080,팀공격력!B:B,D1080))),"")</f>
        <v>0</v>
      </c>
      <c r="BN1080" s="67">
        <f>IFERROR((AO1080*40)/(((F1080*60+G1080)/60)*(SUMIFS(팀수비력!Q:Q,팀수비력!A:A,B1080,팀수비력!B:B,D1080)-SUMIFS(팀수비력!N:N,팀수비력!A:A,B1080,팀수비력!B:B,D1080)))*100,"")</f>
        <v>0</v>
      </c>
      <c r="BO1080" s="67" t="str">
        <f t="shared" si="503"/>
        <v/>
      </c>
      <c r="BT1080" t="s">
        <v>89</v>
      </c>
      <c r="BV1080" t="s">
        <v>93</v>
      </c>
      <c r="CF1080">
        <v>0</v>
      </c>
      <c r="CG1080">
        <v>1</v>
      </c>
    </row>
    <row r="1081" spans="1:85" x14ac:dyDescent="0.4">
      <c r="A1081" s="11" t="s">
        <v>85</v>
      </c>
      <c r="B1081" t="s">
        <v>245</v>
      </c>
      <c r="C1081" t="s">
        <v>257</v>
      </c>
      <c r="D1081" s="46" t="s">
        <v>313</v>
      </c>
      <c r="E1081">
        <v>9</v>
      </c>
      <c r="F1081">
        <v>15</v>
      </c>
      <c r="G1081" s="1">
        <v>13</v>
      </c>
      <c r="H1081" s="16">
        <f t="shared" si="478"/>
        <v>8217</v>
      </c>
      <c r="I1081">
        <v>37</v>
      </c>
      <c r="J1081" s="17">
        <f t="shared" si="479"/>
        <v>4.1111111111111107</v>
      </c>
      <c r="K1081">
        <v>17</v>
      </c>
      <c r="L1081">
        <v>39</v>
      </c>
      <c r="M1081" s="17">
        <f t="shared" si="480"/>
        <v>1.8888888888888888</v>
      </c>
      <c r="N1081" s="17">
        <f t="shared" si="481"/>
        <v>4.333333333333333</v>
      </c>
      <c r="O1081" s="18">
        <f t="shared" si="482"/>
        <v>0.4358974358974359</v>
      </c>
      <c r="P1081">
        <v>15</v>
      </c>
      <c r="Q1081">
        <v>19</v>
      </c>
      <c r="R1081" s="17">
        <f t="shared" si="483"/>
        <v>1.6666666666666667</v>
      </c>
      <c r="S1081" s="17">
        <f t="shared" si="484"/>
        <v>2.1111111111111112</v>
      </c>
      <c r="T1081" s="18">
        <f t="shared" si="485"/>
        <v>0.78947368421052633</v>
      </c>
      <c r="U1081">
        <v>2</v>
      </c>
      <c r="V1081">
        <v>20</v>
      </c>
      <c r="W1081" s="17">
        <f t="shared" si="486"/>
        <v>0.22222222222222221</v>
      </c>
      <c r="X1081" s="17">
        <f t="shared" si="487"/>
        <v>2.2222222222222223</v>
      </c>
      <c r="Y1081" s="18">
        <f t="shared" si="488"/>
        <v>0.1</v>
      </c>
      <c r="Z1081">
        <v>1</v>
      </c>
      <c r="AA1081">
        <v>2</v>
      </c>
      <c r="AB1081" s="17">
        <f t="shared" si="489"/>
        <v>0.1111111111111111</v>
      </c>
      <c r="AC1081" s="17">
        <f t="shared" si="490"/>
        <v>0.22222222222222221</v>
      </c>
      <c r="AD1081" s="18">
        <f t="shared" si="491"/>
        <v>0.5</v>
      </c>
      <c r="AE1081">
        <v>25</v>
      </c>
      <c r="AF1081" s="17">
        <f t="shared" si="492"/>
        <v>2.7777777777777777</v>
      </c>
      <c r="AG1081">
        <v>6</v>
      </c>
      <c r="AH1081" s="17">
        <f t="shared" si="493"/>
        <v>0.66666666666666663</v>
      </c>
      <c r="AI1081">
        <v>19</v>
      </c>
      <c r="AJ1081" s="17">
        <f t="shared" si="494"/>
        <v>2.1111111111111112</v>
      </c>
      <c r="AK1081">
        <v>8</v>
      </c>
      <c r="AL1081" s="17">
        <f t="shared" si="495"/>
        <v>0.88888888888888884</v>
      </c>
      <c r="AM1081">
        <v>7</v>
      </c>
      <c r="AN1081" s="17">
        <f t="shared" si="496"/>
        <v>0.77777777777777779</v>
      </c>
      <c r="AO1081">
        <v>0</v>
      </c>
      <c r="AQ1081">
        <v>6</v>
      </c>
      <c r="AR1081" s="17">
        <f t="shared" si="497"/>
        <v>0.66666666666666663</v>
      </c>
      <c r="AS1081">
        <v>17</v>
      </c>
      <c r="AT1081" s="17">
        <f t="shared" si="498"/>
        <v>1.8888888888888888</v>
      </c>
      <c r="BD1081" s="65">
        <f t="shared" si="499"/>
        <v>46.389167502507519</v>
      </c>
      <c r="BE1081" s="65">
        <f t="shared" si="500"/>
        <v>46.153846153846153</v>
      </c>
      <c r="BF1081" s="66">
        <f>IFERROR(100*((L1081+0.44*AA1081+AQ1081)*2400)/((SUMIFS(팀공격력!Q:Q,팀공격력!A:A,B1081,팀공격력!B:B,D1081)+0.44*SUMIFS(팀공격력!T:T,팀공격력!A:A,B1081,팀공격력!B:B,D1081)+SUMIFS(팀공격력!AK:AK,팀공격력!A:A,B1081,팀공격력!B:B,D1081))*(F1081*60+G1081)),"")</f>
        <v>15.084625802863975</v>
      </c>
      <c r="BG1081" s="38">
        <f t="shared" si="501"/>
        <v>0.51282051282051277</v>
      </c>
      <c r="BH1081" s="38">
        <f t="shared" si="502"/>
        <v>5.128205128205128E-2</v>
      </c>
      <c r="BI1081" s="67">
        <f>IFERROR(((AG1081*(12000/5))/((F1081*60+G1081)*(SUMIFS(팀공격력!X:X,팀공격력!A:A,B1081,팀공격력!B:B,D1081)+SUMIFS(팀수비력!X:X,팀수비력!A:A,B1081,팀수비력!B:B,D1081))))*100,"")</f>
        <v>2.3897241860001994</v>
      </c>
      <c r="BJ1081" s="67">
        <f>IFERROR(((AI1081*(12000/5))/((F1081*60+G1081)*(SUMIFS(팀공격력!V:V,팀공격력!A:A,B1081,팀공격력!B:B,D1081)+SUMIFS(팀수비력!W:W,팀수비력!A:A,B1081,팀수비력!B:B,D1081))))*100,"")</f>
        <v>15.6078860898138</v>
      </c>
      <c r="BK1081" s="67">
        <f>IFERROR(((AE1081*(12000/5))/((F1081*60+G1081)*(SUMIFS(팀공격력!X:X,팀공격력!A:A,B1081,팀공격력!B:B,D1081)+SUMIFS(팀수비력!X:X,팀수비력!A:A,B1081,팀수비력!B:B,D1081))))*100,"")</f>
        <v>9.9571841083341628</v>
      </c>
      <c r="BL1081" s="67">
        <f>IFERROR(100*AK1081/(((((F1081*60+G1081)/(12000/5))*SUMIFS(팀공격력!P:P,팀공격력!A:A,B1081,팀공격력!B:B,D1081))-K1081)),"")</f>
        <v>7.8086236487420795</v>
      </c>
      <c r="BM1081" s="67">
        <f>IFERROR(100*((AM1081/E1081*(2400))/((F1081*60+G1081)*SUMIFS(팀공격력!AR:AR,팀공격력!A:A,B1081,팀공격력!B:B,D1081))),"")</f>
        <v>2.6269694136021005</v>
      </c>
      <c r="BN1081" s="67">
        <f>IFERROR((AO1081*40)/(((F1081*60+G1081)/60)*(SUMIFS(팀수비력!Q:Q,팀수비력!A:A,B1081,팀수비력!B:B,D1081)-SUMIFS(팀수비력!N:N,팀수비력!A:A,B1081,팀수비력!B:B,D1081)))*100,"")</f>
        <v>0</v>
      </c>
      <c r="BO1081" s="67">
        <f t="shared" si="503"/>
        <v>13.077593722755012</v>
      </c>
      <c r="BT1081" t="s">
        <v>89</v>
      </c>
      <c r="BV1081" t="s">
        <v>93</v>
      </c>
      <c r="CF1081">
        <v>2</v>
      </c>
      <c r="CG1081">
        <v>7</v>
      </c>
    </row>
    <row r="1082" spans="1:85" x14ac:dyDescent="0.4">
      <c r="A1082" s="11" t="s">
        <v>85</v>
      </c>
      <c r="B1082" t="s">
        <v>245</v>
      </c>
      <c r="C1082" t="s">
        <v>258</v>
      </c>
      <c r="D1082" s="46" t="s">
        <v>313</v>
      </c>
      <c r="E1082">
        <v>9</v>
      </c>
      <c r="F1082">
        <v>34</v>
      </c>
      <c r="G1082" s="1">
        <v>35</v>
      </c>
      <c r="H1082" s="16">
        <f t="shared" si="478"/>
        <v>18675</v>
      </c>
      <c r="I1082">
        <v>123</v>
      </c>
      <c r="J1082" s="17">
        <f t="shared" si="479"/>
        <v>13.666666666666666</v>
      </c>
      <c r="K1082">
        <v>55</v>
      </c>
      <c r="L1082">
        <v>109</v>
      </c>
      <c r="M1082" s="17">
        <f t="shared" si="480"/>
        <v>6.1111111111111107</v>
      </c>
      <c r="N1082" s="17">
        <f t="shared" si="481"/>
        <v>12.111111111111111</v>
      </c>
      <c r="O1082" s="18">
        <f t="shared" si="482"/>
        <v>0.50458715596330272</v>
      </c>
      <c r="P1082">
        <v>47</v>
      </c>
      <c r="Q1082">
        <v>86</v>
      </c>
      <c r="R1082" s="17">
        <f t="shared" si="483"/>
        <v>5.2222222222222223</v>
      </c>
      <c r="S1082" s="17">
        <f t="shared" si="484"/>
        <v>9.5555555555555554</v>
      </c>
      <c r="T1082" s="18">
        <f t="shared" si="485"/>
        <v>0.54651162790697672</v>
      </c>
      <c r="U1082">
        <v>8</v>
      </c>
      <c r="V1082">
        <v>23</v>
      </c>
      <c r="W1082" s="17">
        <f t="shared" si="486"/>
        <v>0.88888888888888884</v>
      </c>
      <c r="X1082" s="17">
        <f t="shared" si="487"/>
        <v>2.5555555555555554</v>
      </c>
      <c r="Y1082" s="18">
        <f t="shared" si="488"/>
        <v>0.34782608695652173</v>
      </c>
      <c r="Z1082">
        <v>5</v>
      </c>
      <c r="AA1082">
        <v>12</v>
      </c>
      <c r="AB1082" s="17">
        <f t="shared" si="489"/>
        <v>0.55555555555555558</v>
      </c>
      <c r="AC1082" s="17">
        <f t="shared" si="490"/>
        <v>1.3333333333333333</v>
      </c>
      <c r="AD1082" s="18">
        <f t="shared" si="491"/>
        <v>0.41666666666666669</v>
      </c>
      <c r="AE1082">
        <v>44</v>
      </c>
      <c r="AF1082" s="17">
        <f t="shared" si="492"/>
        <v>4.8888888888888893</v>
      </c>
      <c r="AG1082">
        <v>9</v>
      </c>
      <c r="AH1082" s="17">
        <f t="shared" si="493"/>
        <v>1</v>
      </c>
      <c r="AI1082">
        <v>35</v>
      </c>
      <c r="AJ1082" s="17">
        <f t="shared" si="494"/>
        <v>3.8888888888888888</v>
      </c>
      <c r="AK1082">
        <v>39</v>
      </c>
      <c r="AL1082" s="17">
        <f t="shared" si="495"/>
        <v>4.333333333333333</v>
      </c>
      <c r="AM1082">
        <v>11</v>
      </c>
      <c r="AN1082" s="17">
        <f t="shared" si="496"/>
        <v>1.2222222222222223</v>
      </c>
      <c r="AO1082">
        <v>0</v>
      </c>
      <c r="AQ1082">
        <v>11</v>
      </c>
      <c r="AR1082" s="17">
        <f t="shared" si="497"/>
        <v>1.2222222222222223</v>
      </c>
      <c r="AS1082">
        <v>16</v>
      </c>
      <c r="AT1082" s="17">
        <f t="shared" si="498"/>
        <v>1.7777777777777777</v>
      </c>
      <c r="BD1082" s="65">
        <f t="shared" si="499"/>
        <v>53.815190759537977</v>
      </c>
      <c r="BE1082" s="65">
        <f t="shared" si="500"/>
        <v>54.128440366972477</v>
      </c>
      <c r="BF1082" s="66">
        <f>IFERROR(100*((L1082+0.44*AA1082+AQ1082)*2400)/((SUMIFS(팀공격력!Q:Q,팀공격력!A:A,B1082,팀공격력!B:B,D1082)+0.44*SUMIFS(팀공격력!T:T,팀공격력!A:A,B1082,팀공격력!B:B,D1082)+SUMIFS(팀공격력!AK:AK,팀공격력!A:A,B1082,팀공격력!B:B,D1082))*(F1082*60+G1082)),"")</f>
        <v>18.123645271500248</v>
      </c>
      <c r="BG1082" s="38">
        <f t="shared" si="501"/>
        <v>0.21100917431192662</v>
      </c>
      <c r="BH1082" s="38">
        <f t="shared" si="502"/>
        <v>0.11009174311926606</v>
      </c>
      <c r="BI1082" s="67">
        <f>IFERROR(((AG1082*(12000/5))/((F1082*60+G1082)*(SUMIFS(팀공격력!X:X,팀공격력!A:A,B1082,팀공격력!B:B,D1082)+SUMIFS(팀수비력!X:X,팀수비력!A:A,B1082,팀수비력!B:B,D1082))))*100,"")</f>
        <v>1.5772179627601315</v>
      </c>
      <c r="BJ1082" s="67">
        <f>IFERROR(((AI1082*(12000/5))/((F1082*60+G1082)*(SUMIFS(팀공격력!V:V,팀공격력!A:A,B1082,팀공격력!B:B,D1082)+SUMIFS(팀수비력!W:W,팀수비력!A:A,B1082,팀수비력!B:B,D1082))))*100,"")</f>
        <v>12.650602409638553</v>
      </c>
      <c r="BK1082" s="67">
        <f>IFERROR(((AE1082*(12000/5))/((F1082*60+G1082)*(SUMIFS(팀공격력!X:X,팀공격력!A:A,B1082,팀공격력!B:B,D1082)+SUMIFS(팀수비력!X:X,팀수비력!A:A,B1082,팀수비력!B:B,D1082))))*100,"")</f>
        <v>7.7108433734939767</v>
      </c>
      <c r="BL1082" s="67">
        <f>IFERROR(100*AK1082/(((((F1082*60+G1082)/(12000/5))*SUMIFS(팀공격력!P:P,팀공격력!A:A,B1082,팀공격력!B:B,D1082))-K1082)),"")</f>
        <v>18.015590414782022</v>
      </c>
      <c r="BM1082" s="67">
        <f>IFERROR(100*((AM1082/E1082*(2400))/((F1082*60+G1082)*SUMIFS(팀공격력!AR:AR,팀공격력!A:A,B1082,팀공격력!B:B,D1082))),"")</f>
        <v>1.8163617088334523</v>
      </c>
      <c r="BN1082" s="67">
        <f>IFERROR((AO1082*40)/(((F1082*60+G1082)/60)*(SUMIFS(팀수비력!Q:Q,팀수비력!A:A,B1082,팀수비력!B:B,D1082)-SUMIFS(팀수비력!N:N,팀수비력!A:A,B1082,팀수비력!B:B,D1082)))*100,"")</f>
        <v>0</v>
      </c>
      <c r="BO1082" s="67">
        <f t="shared" si="503"/>
        <v>8.7803320561941245</v>
      </c>
      <c r="BT1082" t="s">
        <v>89</v>
      </c>
      <c r="BV1082" t="s">
        <v>93</v>
      </c>
      <c r="CF1082">
        <v>2</v>
      </c>
      <c r="CG1082">
        <v>7</v>
      </c>
    </row>
    <row r="1083" spans="1:85" x14ac:dyDescent="0.4">
      <c r="A1083" s="11" t="s">
        <v>85</v>
      </c>
      <c r="B1083" t="s">
        <v>245</v>
      </c>
      <c r="C1083" t="s">
        <v>259</v>
      </c>
      <c r="D1083" s="46" t="s">
        <v>313</v>
      </c>
      <c r="E1083">
        <v>8</v>
      </c>
      <c r="F1083">
        <v>14</v>
      </c>
      <c r="G1083" s="1">
        <v>35</v>
      </c>
      <c r="H1083" s="16">
        <f t="shared" si="478"/>
        <v>7000</v>
      </c>
      <c r="I1083">
        <v>40</v>
      </c>
      <c r="J1083" s="17">
        <f t="shared" si="479"/>
        <v>5</v>
      </c>
      <c r="K1083">
        <v>18</v>
      </c>
      <c r="L1083">
        <v>32</v>
      </c>
      <c r="M1083" s="17">
        <f t="shared" si="480"/>
        <v>2.25</v>
      </c>
      <c r="N1083" s="17">
        <f t="shared" si="481"/>
        <v>4</v>
      </c>
      <c r="O1083" s="18">
        <f t="shared" si="482"/>
        <v>0.5625</v>
      </c>
      <c r="P1083">
        <v>18</v>
      </c>
      <c r="Q1083">
        <v>31</v>
      </c>
      <c r="R1083" s="17">
        <f t="shared" si="483"/>
        <v>2.25</v>
      </c>
      <c r="S1083" s="17">
        <f t="shared" si="484"/>
        <v>3.875</v>
      </c>
      <c r="T1083" s="18">
        <f t="shared" si="485"/>
        <v>0.58064516129032262</v>
      </c>
      <c r="U1083">
        <v>0</v>
      </c>
      <c r="V1083">
        <v>1</v>
      </c>
      <c r="W1083" s="17">
        <f t="shared" si="486"/>
        <v>0</v>
      </c>
      <c r="X1083" s="17">
        <f t="shared" si="487"/>
        <v>0.125</v>
      </c>
      <c r="Y1083" s="18">
        <f t="shared" si="488"/>
        <v>0</v>
      </c>
      <c r="Z1083">
        <v>4</v>
      </c>
      <c r="AA1083">
        <v>6</v>
      </c>
      <c r="AB1083" s="17">
        <f t="shared" si="489"/>
        <v>0.5</v>
      </c>
      <c r="AC1083" s="17">
        <f t="shared" si="490"/>
        <v>0.75</v>
      </c>
      <c r="AD1083" s="18">
        <f t="shared" si="491"/>
        <v>0.66666666666666663</v>
      </c>
      <c r="AE1083">
        <v>22</v>
      </c>
      <c r="AF1083" s="17">
        <f t="shared" si="492"/>
        <v>2.75</v>
      </c>
      <c r="AG1083">
        <v>7</v>
      </c>
      <c r="AH1083" s="17">
        <f t="shared" si="493"/>
        <v>0.875</v>
      </c>
      <c r="AI1083">
        <v>15</v>
      </c>
      <c r="AJ1083" s="17">
        <f t="shared" si="494"/>
        <v>1.875</v>
      </c>
      <c r="AK1083">
        <v>13</v>
      </c>
      <c r="AL1083" s="17">
        <f t="shared" si="495"/>
        <v>1.625</v>
      </c>
      <c r="AM1083">
        <v>6</v>
      </c>
      <c r="AN1083" s="17">
        <f t="shared" si="496"/>
        <v>0.75</v>
      </c>
      <c r="AO1083">
        <v>3</v>
      </c>
      <c r="AQ1083">
        <v>11</v>
      </c>
      <c r="AR1083" s="17">
        <f t="shared" si="497"/>
        <v>1.375</v>
      </c>
      <c r="AS1083">
        <v>17</v>
      </c>
      <c r="AT1083" s="17">
        <f t="shared" si="498"/>
        <v>2.125</v>
      </c>
      <c r="BD1083" s="65">
        <f t="shared" si="499"/>
        <v>57.736720554272516</v>
      </c>
      <c r="BE1083" s="65">
        <f t="shared" si="500"/>
        <v>56.25</v>
      </c>
      <c r="BF1083" s="66">
        <f>IFERROR(100*((L1083+0.44*AA1083+AQ1083)*2400)/((SUMIFS(팀공격력!Q:Q,팀공격력!A:A,B1083,팀공격력!B:B,D1083)+0.44*SUMIFS(팀공격력!T:T,팀공격력!A:A,B1083,팀공격력!B:B,D1083)+SUMIFS(팀공격력!AK:AK,팀공격력!A:A,B1083,팀공격력!B:B,D1083))*(F1083*60+G1083)),"")</f>
        <v>15.657394436661997</v>
      </c>
      <c r="BG1083" s="38">
        <f t="shared" si="501"/>
        <v>3.125E-2</v>
      </c>
      <c r="BH1083" s="38">
        <f t="shared" si="502"/>
        <v>0.1875</v>
      </c>
      <c r="BI1083" s="67">
        <f>IFERROR(((AG1083*(12000/5))/((F1083*60+G1083)*(SUMIFS(팀공격력!X:X,팀공격력!A:A,B1083,팀공격력!B:B,D1083)+SUMIFS(팀수비력!X:X,팀수비력!A:A,B1083,팀수비력!B:B,D1083))))*100,"")</f>
        <v>2.9090909090909092</v>
      </c>
      <c r="BJ1083" s="67">
        <f>IFERROR(((AI1083*(12000/5))/((F1083*60+G1083)*(SUMIFS(팀공격력!V:V,팀공격력!A:A,B1083,팀공격력!B:B,D1083)+SUMIFS(팀수비력!W:W,팀수비력!A:A,B1083,팀수비력!B:B,D1083))))*100,"")</f>
        <v>12.857142857142856</v>
      </c>
      <c r="BK1083" s="67">
        <f>IFERROR(((AE1083*(12000/5))/((F1083*60+G1083)*(SUMIFS(팀공격력!X:X,팀공격력!A:A,B1083,팀공격력!B:B,D1083)+SUMIFS(팀수비력!X:X,팀수비력!A:A,B1083,팀수비력!B:B,D1083))))*100,"")</f>
        <v>9.1428571428571423</v>
      </c>
      <c r="BL1083" s="67">
        <f>IFERROR(100*AK1083/(((((F1083*60+G1083)/(12000/5))*SUMIFS(팀공격력!P:P,팀공격력!A:A,B1083,팀공격력!B:B,D1083))-K1083)),"")</f>
        <v>13.474411574174045</v>
      </c>
      <c r="BM1083" s="67">
        <f>IFERROR(100*((AM1083/E1083*(2400))/((F1083*60+G1083)*SUMIFS(팀공격력!AR:AR,팀공격력!A:A,B1083,팀공격력!B:B,D1083))),"")</f>
        <v>2.6431601230491997</v>
      </c>
      <c r="BN1083" s="67">
        <f>IFERROR((AO1083*40)/(((F1083*60+G1083)/60)*(SUMIFS(팀수비력!Q:Q,팀수비력!A:A,B1083,팀수비력!B:B,D1083)-SUMIFS(팀수비력!N:N,팀수비력!A:A,B1083,팀수비력!B:B,D1083)))*100,"")</f>
        <v>1.7507598784194527</v>
      </c>
      <c r="BO1083" s="67">
        <f t="shared" si="503"/>
        <v>24.101665205959684</v>
      </c>
      <c r="BT1083" t="s">
        <v>89</v>
      </c>
      <c r="BV1083" t="s">
        <v>102</v>
      </c>
      <c r="CF1083">
        <v>2</v>
      </c>
      <c r="CG1083">
        <v>6</v>
      </c>
    </row>
    <row r="1084" spans="1:85" x14ac:dyDescent="0.4">
      <c r="A1084" s="11" t="s">
        <v>85</v>
      </c>
      <c r="B1084" t="s">
        <v>245</v>
      </c>
      <c r="C1084" t="s">
        <v>260</v>
      </c>
      <c r="D1084" s="46" t="s">
        <v>313</v>
      </c>
      <c r="E1084">
        <v>5</v>
      </c>
      <c r="F1084">
        <v>7</v>
      </c>
      <c r="G1084" s="1">
        <v>55</v>
      </c>
      <c r="H1084" s="16">
        <f t="shared" si="478"/>
        <v>2375</v>
      </c>
      <c r="I1084">
        <v>9</v>
      </c>
      <c r="J1084" s="17">
        <f t="shared" si="479"/>
        <v>1.8</v>
      </c>
      <c r="K1084">
        <v>2</v>
      </c>
      <c r="L1084">
        <v>7</v>
      </c>
      <c r="M1084" s="17">
        <f t="shared" si="480"/>
        <v>0.4</v>
      </c>
      <c r="N1084" s="17">
        <f t="shared" si="481"/>
        <v>1.4</v>
      </c>
      <c r="O1084" s="18">
        <f t="shared" si="482"/>
        <v>0.2857142857142857</v>
      </c>
      <c r="P1084">
        <v>1</v>
      </c>
      <c r="Q1084">
        <v>4</v>
      </c>
      <c r="R1084" s="17">
        <f t="shared" si="483"/>
        <v>0.2</v>
      </c>
      <c r="S1084" s="17">
        <f t="shared" si="484"/>
        <v>0.8</v>
      </c>
      <c r="T1084" s="18">
        <f t="shared" si="485"/>
        <v>0.25</v>
      </c>
      <c r="U1084">
        <v>1</v>
      </c>
      <c r="V1084">
        <v>3</v>
      </c>
      <c r="W1084" s="17">
        <f t="shared" si="486"/>
        <v>0.2</v>
      </c>
      <c r="X1084" s="17">
        <f t="shared" si="487"/>
        <v>0.6</v>
      </c>
      <c r="Y1084" s="18">
        <f t="shared" si="488"/>
        <v>0.33333333333333331</v>
      </c>
      <c r="Z1084">
        <v>4</v>
      </c>
      <c r="AA1084">
        <v>4</v>
      </c>
      <c r="AB1084" s="17">
        <f t="shared" si="489"/>
        <v>0.8</v>
      </c>
      <c r="AC1084" s="17">
        <f t="shared" si="490"/>
        <v>0.8</v>
      </c>
      <c r="AD1084" s="18">
        <f t="shared" si="491"/>
        <v>1</v>
      </c>
      <c r="AE1084">
        <v>3</v>
      </c>
      <c r="AF1084" s="17">
        <f t="shared" si="492"/>
        <v>0.6</v>
      </c>
      <c r="AG1084">
        <v>1</v>
      </c>
      <c r="AH1084" s="17">
        <f t="shared" si="493"/>
        <v>0.2</v>
      </c>
      <c r="AI1084">
        <v>2</v>
      </c>
      <c r="AJ1084" s="17">
        <f t="shared" si="494"/>
        <v>0.4</v>
      </c>
      <c r="AK1084">
        <v>7</v>
      </c>
      <c r="AL1084" s="17">
        <f t="shared" si="495"/>
        <v>1.4</v>
      </c>
      <c r="AM1084">
        <v>2</v>
      </c>
      <c r="AN1084" s="17">
        <f t="shared" si="496"/>
        <v>0.4</v>
      </c>
      <c r="AO1084">
        <v>0</v>
      </c>
      <c r="AQ1084">
        <v>2</v>
      </c>
      <c r="AR1084" s="17">
        <f t="shared" si="497"/>
        <v>0.4</v>
      </c>
      <c r="AS1084">
        <v>4</v>
      </c>
      <c r="AT1084" s="17">
        <f t="shared" si="498"/>
        <v>0.8</v>
      </c>
      <c r="BD1084" s="65">
        <f t="shared" si="499"/>
        <v>51.369863013698634</v>
      </c>
      <c r="BE1084" s="65">
        <f t="shared" si="500"/>
        <v>35.714285714285715</v>
      </c>
      <c r="BF1084" s="66">
        <f>IFERROR(100*((L1084+0.44*AA1084+AQ1084)*2400)/((SUMIFS(팀공격력!Q:Q,팀공격력!A:A,B1084,팀공격력!B:B,D1084)+0.44*SUMIFS(팀공격력!T:T,팀공격력!A:A,B1084,팀공격력!B:B,D1084)+SUMIFS(팀공격력!AK:AK,팀공격력!A:A,B1084,팀공격력!B:B,D1084))*(F1084*60+G1084)),"")</f>
        <v>6.7998693953214033</v>
      </c>
      <c r="BG1084" s="38">
        <f t="shared" si="501"/>
        <v>0.42857142857142855</v>
      </c>
      <c r="BH1084" s="38">
        <f t="shared" si="502"/>
        <v>0.5714285714285714</v>
      </c>
      <c r="BI1084" s="67">
        <f>IFERROR(((AG1084*(12000/5))/((F1084*60+G1084)*(SUMIFS(팀공격력!X:X,팀공격력!A:A,B1084,팀공격력!B:B,D1084)+SUMIFS(팀수비력!X:X,팀수비력!A:A,B1084,팀수비력!B:B,D1084))))*100,"")</f>
        <v>0.76555023923444976</v>
      </c>
      <c r="BJ1084" s="67">
        <f>IFERROR(((AI1084*(12000/5))/((F1084*60+G1084)*(SUMIFS(팀공격력!V:V,팀공격력!A:A,B1084,팀공격력!B:B,D1084)+SUMIFS(팀수비력!W:W,팀수비력!A:A,B1084,팀수비력!B:B,D1084))))*100,"")</f>
        <v>3.1578947368421053</v>
      </c>
      <c r="BK1084" s="67">
        <f>IFERROR(((AE1084*(12000/5))/((F1084*60+G1084)*(SUMIFS(팀공격력!X:X,팀공격력!A:A,B1084,팀공격력!B:B,D1084)+SUMIFS(팀수비력!X:X,팀수비력!A:A,B1084,팀수비력!B:B,D1084))))*100,"")</f>
        <v>2.2966507177033493</v>
      </c>
      <c r="BL1084" s="67">
        <f>IFERROR(100*AK1084/(((((F1084*60+G1084)/(12000/5))*SUMIFS(팀공격력!P:P,팀공격력!A:A,B1084,팀공격력!B:B,D1084))-K1084)),"")</f>
        <v>11.638378940076205</v>
      </c>
      <c r="BM1084" s="67">
        <f>IFERROR(100*((AM1084/E1084*(2400))/((F1084*60+G1084)*SUMIFS(팀공격력!AR:AR,팀공격력!A:A,B1084,팀공격력!B:B,D1084))),"")</f>
        <v>2.5967888928202663</v>
      </c>
      <c r="BN1084" s="67">
        <f>IFERROR((AO1084*40)/(((F1084*60+G1084)/60)*(SUMIFS(팀수비력!Q:Q,팀수비력!A:A,B1084,팀수비력!B:B,D1084)-SUMIFS(팀수비력!N:N,팀수비력!A:A,B1084,팀수비력!B:B,D1084)))*100,"")</f>
        <v>0</v>
      </c>
      <c r="BO1084" s="67">
        <f t="shared" si="503"/>
        <v>18.587360594795541</v>
      </c>
      <c r="BT1084" t="s">
        <v>89</v>
      </c>
      <c r="BV1084" t="s">
        <v>93</v>
      </c>
      <c r="CF1084">
        <v>1</v>
      </c>
      <c r="CG1084">
        <v>4</v>
      </c>
    </row>
    <row r="1085" spans="1:85" x14ac:dyDescent="0.4">
      <c r="A1085" s="11" t="s">
        <v>85</v>
      </c>
      <c r="B1085" t="s">
        <v>245</v>
      </c>
      <c r="C1085" t="s">
        <v>261</v>
      </c>
      <c r="D1085" s="46" t="s">
        <v>313</v>
      </c>
      <c r="E1085">
        <v>4</v>
      </c>
      <c r="F1085">
        <v>22</v>
      </c>
      <c r="G1085" s="1">
        <v>35</v>
      </c>
      <c r="H1085" s="16">
        <f t="shared" si="478"/>
        <v>5420</v>
      </c>
      <c r="I1085">
        <v>68</v>
      </c>
      <c r="J1085" s="17">
        <f t="shared" si="479"/>
        <v>17</v>
      </c>
      <c r="K1085">
        <v>24</v>
      </c>
      <c r="L1085">
        <v>51</v>
      </c>
      <c r="M1085" s="17">
        <f t="shared" si="480"/>
        <v>6</v>
      </c>
      <c r="N1085" s="17">
        <f t="shared" si="481"/>
        <v>12.75</v>
      </c>
      <c r="O1085" s="18">
        <f t="shared" si="482"/>
        <v>0.47058823529411764</v>
      </c>
      <c r="P1085">
        <v>14</v>
      </c>
      <c r="Q1085">
        <v>27</v>
      </c>
      <c r="R1085" s="17">
        <f t="shared" si="483"/>
        <v>3.5</v>
      </c>
      <c r="S1085" s="17">
        <f t="shared" si="484"/>
        <v>6.75</v>
      </c>
      <c r="T1085" s="18">
        <f t="shared" si="485"/>
        <v>0.51851851851851849</v>
      </c>
      <c r="U1085">
        <v>10</v>
      </c>
      <c r="V1085">
        <v>24</v>
      </c>
      <c r="W1085" s="17">
        <f t="shared" si="486"/>
        <v>2.5</v>
      </c>
      <c r="X1085" s="17">
        <f t="shared" si="487"/>
        <v>6</v>
      </c>
      <c r="Y1085" s="18">
        <f t="shared" si="488"/>
        <v>0.41666666666666669</v>
      </c>
      <c r="Z1085">
        <v>10</v>
      </c>
      <c r="AA1085">
        <v>15</v>
      </c>
      <c r="AB1085" s="17">
        <f t="shared" si="489"/>
        <v>2.5</v>
      </c>
      <c r="AC1085" s="17">
        <f t="shared" si="490"/>
        <v>3.75</v>
      </c>
      <c r="AD1085" s="18">
        <f t="shared" si="491"/>
        <v>0.66666666666666663</v>
      </c>
      <c r="AE1085">
        <v>31</v>
      </c>
      <c r="AF1085" s="17">
        <f t="shared" si="492"/>
        <v>7.75</v>
      </c>
      <c r="AG1085">
        <v>8</v>
      </c>
      <c r="AH1085" s="17">
        <f t="shared" si="493"/>
        <v>2</v>
      </c>
      <c r="AI1085">
        <v>23</v>
      </c>
      <c r="AJ1085" s="17">
        <f t="shared" si="494"/>
        <v>5.75</v>
      </c>
      <c r="AK1085">
        <v>9</v>
      </c>
      <c r="AL1085" s="17">
        <f t="shared" si="495"/>
        <v>2.25</v>
      </c>
      <c r="AM1085">
        <v>3</v>
      </c>
      <c r="AN1085" s="17">
        <f t="shared" si="496"/>
        <v>0.75</v>
      </c>
      <c r="AO1085">
        <v>5</v>
      </c>
      <c r="AQ1085">
        <v>11</v>
      </c>
      <c r="AR1085" s="17">
        <f t="shared" si="497"/>
        <v>2.75</v>
      </c>
      <c r="AS1085">
        <v>8</v>
      </c>
      <c r="AT1085" s="17">
        <f t="shared" si="498"/>
        <v>2</v>
      </c>
      <c r="BD1085" s="65">
        <f t="shared" si="499"/>
        <v>59.027777777777779</v>
      </c>
      <c r="BE1085" s="65">
        <f t="shared" si="500"/>
        <v>56.862745098039213</v>
      </c>
      <c r="BF1085" s="66">
        <f>IFERROR(100*((L1085+0.44*AA1085+AQ1085)*2400)/((SUMIFS(팀공격력!Q:Q,팀공격력!A:A,B1085,팀공격력!B:B,D1085)+0.44*SUMIFS(팀공격력!T:T,팀공격력!A:A,B1085,팀공격력!B:B,D1085)+SUMIFS(팀공격력!AK:AK,팀공격력!A:A,B1085,팀공격력!B:B,D1085))*(F1085*60+G1085)),"")</f>
        <v>15.197310268079669</v>
      </c>
      <c r="BG1085" s="38">
        <f t="shared" si="501"/>
        <v>0.47058823529411764</v>
      </c>
      <c r="BH1085" s="38">
        <f t="shared" si="502"/>
        <v>0.29411764705882354</v>
      </c>
      <c r="BI1085" s="67">
        <f>IFERROR(((AG1085*(12000/5))/((F1085*60+G1085)*(SUMIFS(팀공격력!X:X,팀공격력!A:A,B1085,팀공격력!B:B,D1085)+SUMIFS(팀수비력!X:X,팀수비력!A:A,B1085,팀수비력!B:B,D1085))))*100,"")</f>
        <v>2.1469305602146931</v>
      </c>
      <c r="BJ1085" s="67">
        <f>IFERROR(((AI1085*(12000/5))/((F1085*60+G1085)*(SUMIFS(팀공격력!V:V,팀공격력!A:A,B1085,팀공격력!B:B,D1085)+SUMIFS(팀수비력!W:W,팀수비력!A:A,B1085,팀수비력!B:B,D1085))))*100,"")</f>
        <v>12.730627306273062</v>
      </c>
      <c r="BK1085" s="67">
        <f>IFERROR(((AE1085*(12000/5))/((F1085*60+G1085)*(SUMIFS(팀공격력!X:X,팀공격력!A:A,B1085,팀공격력!B:B,D1085)+SUMIFS(팀수비력!X:X,팀수비력!A:A,B1085,팀수비력!B:B,D1085))))*100,"")</f>
        <v>8.3193559208319368</v>
      </c>
      <c r="BL1085" s="67">
        <f>IFERROR(100*AK1085/(((((F1085*60+G1085)/(12000/5))*SUMIFS(팀공격력!P:P,팀공격력!A:A,B1085,팀공격력!B:B,D1085))-K1085)),"")</f>
        <v>5.8716394378448911</v>
      </c>
      <c r="BM1085" s="67">
        <f>IFERROR(100*((AM1085/E1085*(2400))/((F1085*60+G1085)*SUMIFS(팀공격력!AR:AR,팀공격력!A:A,B1085,팀공격력!B:B,D1085))),"")</f>
        <v>1.7068377178361991</v>
      </c>
      <c r="BN1085" s="67">
        <f>IFERROR((AO1085*40)/(((F1085*60+G1085)/60)*(SUMIFS(팀수비력!Q:Q,팀수비력!A:A,B1085,팀수비력!B:B,D1085)-SUMIFS(팀수비력!N:N,팀수비력!A:A,B1085,팀수비력!B:B,D1085)))*100,"")</f>
        <v>1.8842741618905552</v>
      </c>
      <c r="BO1085" s="67">
        <f t="shared" si="503"/>
        <v>16.034985422740526</v>
      </c>
      <c r="BT1085" t="s">
        <v>96</v>
      </c>
      <c r="BV1085" t="s">
        <v>93</v>
      </c>
      <c r="CF1085">
        <v>1</v>
      </c>
      <c r="CG1085">
        <v>3</v>
      </c>
    </row>
    <row r="1086" spans="1:85" x14ac:dyDescent="0.4">
      <c r="A1086" s="11" t="s">
        <v>85</v>
      </c>
      <c r="B1086" t="s">
        <v>245</v>
      </c>
      <c r="C1086" t="s">
        <v>262</v>
      </c>
      <c r="D1086" s="46" t="s">
        <v>313</v>
      </c>
      <c r="E1086">
        <v>9</v>
      </c>
      <c r="F1086">
        <v>19</v>
      </c>
      <c r="G1086" s="1">
        <v>21</v>
      </c>
      <c r="H1086" s="16">
        <f t="shared" si="478"/>
        <v>10449</v>
      </c>
      <c r="I1086">
        <v>68</v>
      </c>
      <c r="J1086" s="17">
        <f t="shared" si="479"/>
        <v>7.5555555555555554</v>
      </c>
      <c r="K1086">
        <v>26</v>
      </c>
      <c r="L1086">
        <v>42</v>
      </c>
      <c r="M1086" s="17">
        <f t="shared" si="480"/>
        <v>2.8888888888888888</v>
      </c>
      <c r="N1086" s="17">
        <f t="shared" si="481"/>
        <v>4.666666666666667</v>
      </c>
      <c r="O1086" s="18">
        <f t="shared" si="482"/>
        <v>0.61904761904761907</v>
      </c>
      <c r="P1086">
        <v>18</v>
      </c>
      <c r="Q1086">
        <v>27</v>
      </c>
      <c r="R1086" s="17">
        <f t="shared" si="483"/>
        <v>2</v>
      </c>
      <c r="S1086" s="17">
        <f t="shared" si="484"/>
        <v>3</v>
      </c>
      <c r="T1086" s="18">
        <f t="shared" si="485"/>
        <v>0.66666666666666663</v>
      </c>
      <c r="U1086">
        <v>8</v>
      </c>
      <c r="V1086">
        <v>15</v>
      </c>
      <c r="W1086" s="17">
        <f t="shared" si="486"/>
        <v>0.88888888888888884</v>
      </c>
      <c r="X1086" s="17">
        <f t="shared" si="487"/>
        <v>1.6666666666666667</v>
      </c>
      <c r="Y1086" s="18">
        <f t="shared" si="488"/>
        <v>0.53333333333333333</v>
      </c>
      <c r="Z1086">
        <v>8</v>
      </c>
      <c r="AA1086">
        <v>10</v>
      </c>
      <c r="AB1086" s="17">
        <f t="shared" si="489"/>
        <v>0.88888888888888884</v>
      </c>
      <c r="AC1086" s="17">
        <f t="shared" si="490"/>
        <v>1.1111111111111112</v>
      </c>
      <c r="AD1086" s="18">
        <f t="shared" si="491"/>
        <v>0.8</v>
      </c>
      <c r="AE1086">
        <v>28</v>
      </c>
      <c r="AF1086" s="17">
        <f t="shared" si="492"/>
        <v>3.1111111111111112</v>
      </c>
      <c r="AG1086">
        <v>12</v>
      </c>
      <c r="AH1086" s="17">
        <f t="shared" si="493"/>
        <v>1.3333333333333333</v>
      </c>
      <c r="AI1086">
        <v>16</v>
      </c>
      <c r="AJ1086" s="17">
        <f t="shared" si="494"/>
        <v>1.7777777777777777</v>
      </c>
      <c r="AK1086">
        <v>25</v>
      </c>
      <c r="AL1086" s="17">
        <f t="shared" si="495"/>
        <v>2.7777777777777777</v>
      </c>
      <c r="AM1086">
        <v>5</v>
      </c>
      <c r="AN1086" s="17">
        <f t="shared" si="496"/>
        <v>0.55555555555555558</v>
      </c>
      <c r="AO1086">
        <v>4</v>
      </c>
      <c r="AQ1086">
        <v>8</v>
      </c>
      <c r="AR1086" s="17">
        <f t="shared" si="497"/>
        <v>0.88888888888888884</v>
      </c>
      <c r="AS1086">
        <v>11</v>
      </c>
      <c r="AT1086" s="17">
        <f t="shared" si="498"/>
        <v>1.2222222222222223</v>
      </c>
      <c r="BD1086" s="65">
        <f t="shared" si="499"/>
        <v>73.275862068965523</v>
      </c>
      <c r="BE1086" s="65">
        <f t="shared" si="500"/>
        <v>71.428571428571431</v>
      </c>
      <c r="BF1086" s="66">
        <f>IFERROR(100*((L1086+0.44*AA1086+AQ1086)*2400)/((SUMIFS(팀공격력!Q:Q,팀공격력!A:A,B1086,팀공격력!B:B,D1086)+0.44*SUMIFS(팀공격력!T:T,팀공격력!A:A,B1086,팀공격력!B:B,D1086)+SUMIFS(팀공격력!AK:AK,팀공격력!A:A,B1086,팀공격력!B:B,D1086))*(F1086*60+G1086)),"")</f>
        <v>14.065286717249988</v>
      </c>
      <c r="BG1086" s="38">
        <f t="shared" si="501"/>
        <v>0.35714285714285715</v>
      </c>
      <c r="BH1086" s="38">
        <f t="shared" si="502"/>
        <v>0.23809523809523808</v>
      </c>
      <c r="BI1086" s="67">
        <f>IFERROR(((AG1086*(12000/5))/((F1086*60+G1086)*(SUMIFS(팀공격력!X:X,팀공격력!A:A,B1086,팀공격력!B:B,D1086)+SUMIFS(팀수비력!X:X,팀수비력!A:A,B1086,팀수비력!B:B,D1086))))*100,"")</f>
        <v>3.7585153864223635</v>
      </c>
      <c r="BJ1086" s="67">
        <f>IFERROR(((AI1086*(12000/5))/((F1086*60+G1086)*(SUMIFS(팀공격력!V:V,팀공격력!A:A,B1086,팀공격력!B:B,D1086)+SUMIFS(팀수비력!W:W,팀수비력!A:A,B1086,팀수비력!B:B,D1086))))*100,"")</f>
        <v>10.335917312661499</v>
      </c>
      <c r="BK1086" s="67">
        <f>IFERROR(((AE1086*(12000/5))/((F1086*60+G1086)*(SUMIFS(팀공격력!X:X,팀공격력!A:A,B1086,팀공격력!B:B,D1086)+SUMIFS(팀수비력!X:X,팀수비력!A:A,B1086,팀수비력!B:B,D1086))))*100,"")</f>
        <v>8.7698692349855136</v>
      </c>
      <c r="BL1086" s="67">
        <f>IFERROR(100*AK1086/(((((F1086*60+G1086)/(12000/5))*SUMIFS(팀공격력!P:P,팀공격력!A:A,B1086,팀공격력!B:B,D1086))-K1086)),"")</f>
        <v>19.857423697849441</v>
      </c>
      <c r="BM1086" s="67">
        <f>IFERROR(100*((AM1086/E1086*(2400))/((F1086*60+G1086)*SUMIFS(팀공격력!AR:AR,팀공격력!A:A,B1086,팀공격력!B:B,D1086))),"")</f>
        <v>1.4755894392880018</v>
      </c>
      <c r="BN1086" s="67">
        <f>IFERROR((AO1086*40)/(((F1086*60+G1086)/60)*(SUMIFS(팀수비력!Q:Q,팀수비력!A:A,B1086,팀수비력!B:B,D1086)-SUMIFS(팀수비력!N:N,팀수비력!A:A,B1086,팀수비력!B:B,D1086)))*100,"")</f>
        <v>1.7593050744955743</v>
      </c>
      <c r="BO1086" s="67">
        <f t="shared" si="503"/>
        <v>14.705882352941178</v>
      </c>
      <c r="BT1086" t="s">
        <v>89</v>
      </c>
      <c r="BV1086" t="s">
        <v>93</v>
      </c>
      <c r="CF1086">
        <v>2</v>
      </c>
      <c r="CG1086">
        <v>7</v>
      </c>
    </row>
    <row r="1087" spans="1:85" x14ac:dyDescent="0.4">
      <c r="A1087" s="11" t="s">
        <v>85</v>
      </c>
      <c r="B1087" t="s">
        <v>263</v>
      </c>
      <c r="C1087" t="s">
        <v>264</v>
      </c>
      <c r="D1087" s="46" t="s">
        <v>313</v>
      </c>
      <c r="E1087">
        <v>7</v>
      </c>
      <c r="F1087">
        <v>35</v>
      </c>
      <c r="G1087" s="1">
        <v>39</v>
      </c>
      <c r="H1087" s="16">
        <f t="shared" si="478"/>
        <v>14973</v>
      </c>
      <c r="I1087">
        <v>93</v>
      </c>
      <c r="J1087" s="17">
        <f t="shared" si="479"/>
        <v>13.285714285714286</v>
      </c>
      <c r="K1087">
        <v>33</v>
      </c>
      <c r="L1087">
        <v>65</v>
      </c>
      <c r="M1087" s="17">
        <f t="shared" si="480"/>
        <v>4.7142857142857144</v>
      </c>
      <c r="N1087" s="17">
        <f t="shared" si="481"/>
        <v>9.2857142857142865</v>
      </c>
      <c r="O1087" s="18">
        <f t="shared" si="482"/>
        <v>0.50769230769230766</v>
      </c>
      <c r="P1087">
        <v>22</v>
      </c>
      <c r="Q1087">
        <v>38</v>
      </c>
      <c r="R1087" s="17">
        <f t="shared" si="483"/>
        <v>3.1428571428571428</v>
      </c>
      <c r="S1087" s="17">
        <f t="shared" si="484"/>
        <v>5.4285714285714288</v>
      </c>
      <c r="T1087" s="18">
        <f t="shared" si="485"/>
        <v>0.57894736842105265</v>
      </c>
      <c r="U1087">
        <v>11</v>
      </c>
      <c r="V1087">
        <v>27</v>
      </c>
      <c r="W1087" s="17">
        <f t="shared" si="486"/>
        <v>1.5714285714285714</v>
      </c>
      <c r="X1087" s="17">
        <f t="shared" si="487"/>
        <v>3.8571428571428572</v>
      </c>
      <c r="Y1087" s="18">
        <f t="shared" si="488"/>
        <v>0.40740740740740738</v>
      </c>
      <c r="Z1087">
        <v>16</v>
      </c>
      <c r="AA1087">
        <v>22</v>
      </c>
      <c r="AB1087" s="17">
        <f t="shared" si="489"/>
        <v>2.2857142857142856</v>
      </c>
      <c r="AC1087" s="17">
        <f t="shared" si="490"/>
        <v>3.1428571428571428</v>
      </c>
      <c r="AD1087" s="18">
        <f t="shared" si="491"/>
        <v>0.72727272727272729</v>
      </c>
      <c r="AE1087">
        <v>47</v>
      </c>
      <c r="AF1087" s="17">
        <f t="shared" si="492"/>
        <v>6.7142857142857144</v>
      </c>
      <c r="AG1087">
        <v>3</v>
      </c>
      <c r="AH1087" s="17">
        <f t="shared" si="493"/>
        <v>0.42857142857142855</v>
      </c>
      <c r="AI1087">
        <v>44</v>
      </c>
      <c r="AJ1087" s="17">
        <f t="shared" si="494"/>
        <v>6.2857142857142856</v>
      </c>
      <c r="AK1087">
        <v>33</v>
      </c>
      <c r="AL1087" s="17">
        <f t="shared" si="495"/>
        <v>4.7142857142857144</v>
      </c>
      <c r="AM1087">
        <v>4</v>
      </c>
      <c r="AN1087" s="17">
        <f t="shared" si="496"/>
        <v>0.5714285714285714</v>
      </c>
      <c r="AO1087">
        <v>5</v>
      </c>
      <c r="AQ1087">
        <v>25</v>
      </c>
      <c r="AR1087" s="17">
        <f t="shared" si="497"/>
        <v>3.5714285714285716</v>
      </c>
      <c r="AS1087">
        <v>20</v>
      </c>
      <c r="AT1087" s="17">
        <f t="shared" si="498"/>
        <v>2.8571428571428572</v>
      </c>
      <c r="BD1087" s="65">
        <f t="shared" si="499"/>
        <v>62.265666845206205</v>
      </c>
      <c r="BE1087" s="65">
        <f t="shared" si="500"/>
        <v>59.230769230769234</v>
      </c>
      <c r="BF1087" s="66">
        <f>IFERROR(100*((L1087+0.44*AA1087+AQ1087)*2400)/((SUMIFS(팀공격력!Q:Q,팀공격력!A:A,B1087,팀공격력!B:B,D1087)+0.44*SUMIFS(팀공격력!T:T,팀공격력!A:A,B1087,팀공격력!B:B,D1087)+SUMIFS(팀공격력!AK:AK,팀공격력!A:A,B1087,팀공격력!B:B,D1087))*(F1087*60+G1087)),"")</f>
        <v>13.681425509009628</v>
      </c>
      <c r="BG1087" s="38">
        <f t="shared" si="501"/>
        <v>0.41538461538461541</v>
      </c>
      <c r="BH1087" s="38">
        <f t="shared" si="502"/>
        <v>0.33846153846153848</v>
      </c>
      <c r="BI1087" s="67">
        <f>IFERROR(((AG1087*(12000/5))/((F1087*60+G1087)*(SUMIFS(팀공격력!X:X,팀공격력!A:A,B1087,팀공격력!B:B,D1087)+SUMIFS(팀수비력!X:X,팀수비력!A:A,B1087,팀수비력!B:B,D1087))))*100,"")</f>
        <v>0.49720220177708357</v>
      </c>
      <c r="BJ1087" s="67">
        <f>IFERROR(((AI1087*(12000/5))/((F1087*60+G1087)*(SUMIFS(팀공격력!V:V,팀공격력!A:A,B1087,팀공격력!B:B,D1087)+SUMIFS(팀수비력!W:W,팀수비력!A:A,B1087,팀수비력!B:B,D1087))))*100,"")</f>
        <v>15.097511912880494</v>
      </c>
      <c r="BK1087" s="67">
        <f>IFERROR(((AE1087*(12000/5))/((F1087*60+G1087)*(SUMIFS(팀공격력!X:X,팀공격력!A:A,B1087,팀공격력!B:B,D1087)+SUMIFS(팀수비력!X:X,팀수비력!A:A,B1087,팀수비력!B:B,D1087))))*100,"")</f>
        <v>7.789501161174309</v>
      </c>
      <c r="BL1087" s="67">
        <f>IFERROR(100*AK1087/(((((F1087*60+G1087)/(12000/5))*SUMIFS(팀공격력!P:P,팀공격력!A:A,B1087,팀공격력!B:B,D1087))-K1087)),"")</f>
        <v>13.76591684134781</v>
      </c>
      <c r="BM1087" s="67">
        <f>IFERROR(100*((AM1087/E1087*(2400))/((F1087*60+G1087)*SUMIFS(팀공격력!AR:AR,팀공격력!A:A,B1087,팀공격력!B:B,D1087))),"")</f>
        <v>0.81753416179055016</v>
      </c>
      <c r="BN1087" s="67">
        <f>IFERROR((AO1087*40)/(((F1087*60+G1087)/60)*(SUMIFS(팀수비력!Q:Q,팀수비력!A:A,B1087,팀수비력!B:B,D1087)-SUMIFS(팀수비력!N:N,팀수비력!A:A,B1087,팀수비력!B:B,D1087)))*100,"")</f>
        <v>1.1936379099400196</v>
      </c>
      <c r="BO1087" s="67">
        <f t="shared" si="503"/>
        <v>25.080256821829852</v>
      </c>
      <c r="BT1087" t="s">
        <v>89</v>
      </c>
      <c r="BV1087" t="s">
        <v>93</v>
      </c>
      <c r="CF1087">
        <v>5</v>
      </c>
      <c r="CG1087">
        <v>2</v>
      </c>
    </row>
    <row r="1088" spans="1:85" x14ac:dyDescent="0.4">
      <c r="A1088" s="11" t="s">
        <v>85</v>
      </c>
      <c r="B1088" t="s">
        <v>263</v>
      </c>
      <c r="C1088" t="s">
        <v>266</v>
      </c>
      <c r="D1088" s="46" t="s">
        <v>313</v>
      </c>
      <c r="E1088">
        <v>9</v>
      </c>
      <c r="F1088">
        <v>13</v>
      </c>
      <c r="G1088" s="1">
        <v>35</v>
      </c>
      <c r="H1088" s="16">
        <f t="shared" si="478"/>
        <v>7335</v>
      </c>
      <c r="I1088">
        <v>37</v>
      </c>
      <c r="J1088" s="17">
        <f t="shared" si="479"/>
        <v>4.1111111111111107</v>
      </c>
      <c r="K1088">
        <v>14</v>
      </c>
      <c r="L1088">
        <v>37</v>
      </c>
      <c r="M1088" s="17">
        <f t="shared" si="480"/>
        <v>1.5555555555555556</v>
      </c>
      <c r="N1088" s="17">
        <f t="shared" si="481"/>
        <v>4.1111111111111107</v>
      </c>
      <c r="O1088" s="18">
        <f t="shared" si="482"/>
        <v>0.3783783783783784</v>
      </c>
      <c r="P1088">
        <v>5</v>
      </c>
      <c r="Q1088">
        <v>11</v>
      </c>
      <c r="R1088" s="17">
        <f t="shared" si="483"/>
        <v>0.55555555555555558</v>
      </c>
      <c r="S1088" s="17">
        <f t="shared" si="484"/>
        <v>1.2222222222222223</v>
      </c>
      <c r="T1088" s="18">
        <f t="shared" si="485"/>
        <v>0.45454545454545453</v>
      </c>
      <c r="U1088">
        <v>9</v>
      </c>
      <c r="V1088">
        <v>26</v>
      </c>
      <c r="W1088" s="17">
        <f t="shared" si="486"/>
        <v>1</v>
      </c>
      <c r="X1088" s="17">
        <f t="shared" si="487"/>
        <v>2.8888888888888888</v>
      </c>
      <c r="Y1088" s="18">
        <f t="shared" si="488"/>
        <v>0.34615384615384615</v>
      </c>
      <c r="Z1088">
        <v>0</v>
      </c>
      <c r="AA1088">
        <v>0</v>
      </c>
      <c r="AB1088" s="17">
        <f t="shared" si="489"/>
        <v>0</v>
      </c>
      <c r="AC1088" s="17">
        <f t="shared" si="490"/>
        <v>0</v>
      </c>
      <c r="AD1088" s="18" t="e">
        <f t="shared" si="491"/>
        <v>#DIV/0!</v>
      </c>
      <c r="AE1088">
        <v>8</v>
      </c>
      <c r="AF1088" s="17">
        <f t="shared" si="492"/>
        <v>0.88888888888888884</v>
      </c>
      <c r="AG1088">
        <v>4</v>
      </c>
      <c r="AH1088" s="17">
        <f t="shared" si="493"/>
        <v>0.44444444444444442</v>
      </c>
      <c r="AI1088">
        <v>4</v>
      </c>
      <c r="AJ1088" s="17">
        <f t="shared" si="494"/>
        <v>0.44444444444444442</v>
      </c>
      <c r="AK1088">
        <v>7</v>
      </c>
      <c r="AL1088" s="17">
        <f t="shared" si="495"/>
        <v>0.77777777777777779</v>
      </c>
      <c r="AM1088">
        <v>5</v>
      </c>
      <c r="AN1088" s="17">
        <f t="shared" si="496"/>
        <v>0.55555555555555558</v>
      </c>
      <c r="AO1088">
        <v>0</v>
      </c>
      <c r="AQ1088">
        <v>4</v>
      </c>
      <c r="AR1088" s="17">
        <f t="shared" si="497"/>
        <v>0.44444444444444442</v>
      </c>
      <c r="AS1088">
        <v>21</v>
      </c>
      <c r="AT1088" s="17">
        <f t="shared" si="498"/>
        <v>2.3333333333333335</v>
      </c>
      <c r="BD1088" s="65">
        <f t="shared" si="499"/>
        <v>50</v>
      </c>
      <c r="BE1088" s="65">
        <f t="shared" si="500"/>
        <v>50</v>
      </c>
      <c r="BF1088" s="66">
        <f>IFERROR(100*((L1088+0.44*AA1088+AQ1088)*2400)/((SUMIFS(팀공격력!Q:Q,팀공격력!A:A,B1088,팀공격력!B:B,D1088)+0.44*SUMIFS(팀공격력!T:T,팀공격력!A:A,B1088,팀공격력!B:B,D1088)+SUMIFS(팀공격력!AK:AK,팀공격력!A:A,B1088,팀공격력!B:B,D1088))*(F1088*60+G1088)),"")</f>
        <v>14.769315006974898</v>
      </c>
      <c r="BG1088" s="38">
        <f t="shared" si="501"/>
        <v>0.70270270270270274</v>
      </c>
      <c r="BH1088" s="38">
        <f t="shared" si="502"/>
        <v>0</v>
      </c>
      <c r="BI1088" s="67">
        <f>IFERROR(((AG1088*(12000/5))/((F1088*60+G1088)*(SUMIFS(팀공격력!X:X,팀공격력!A:A,B1088,팀공격력!B:B,D1088)+SUMIFS(팀수비력!X:X,팀수비력!A:A,B1088,팀수비력!B:B,D1088))))*100,"")</f>
        <v>1.7399026741941623</v>
      </c>
      <c r="BJ1088" s="67">
        <f>IFERROR(((AI1088*(12000/5))/((F1088*60+G1088)*(SUMIFS(팀공격력!V:V,팀공격력!A:A,B1088,팀공격력!B:B,D1088)+SUMIFS(팀수비력!W:W,팀수비력!A:A,B1088,팀수비력!B:B,D1088))))*100,"")</f>
        <v>3.6021838239432653</v>
      </c>
      <c r="BK1088" s="67">
        <f>IFERROR(((AE1088*(12000/5))/((F1088*60+G1088)*(SUMIFS(팀공격력!X:X,팀공격력!A:A,B1088,팀공격력!B:B,D1088)+SUMIFS(팀수비력!X:X,팀수비력!A:A,B1088,팀수비력!B:B,D1088))))*100,"")</f>
        <v>3.4798053483883247</v>
      </c>
      <c r="BL1088" s="67">
        <f>IFERROR(100*AK1088/(((((F1088*60+G1088)/(12000/5))*SUMIFS(팀공격력!P:P,팀공격력!A:A,B1088,팀공격력!B:B,D1088))-K1088)),"")</f>
        <v>7.7853468650076456</v>
      </c>
      <c r="BM1088" s="67">
        <f>IFERROR(100*((AM1088/E1088*(2400))/((F1088*60+G1088)*SUMIFS(팀공격력!AR:AR,팀공격력!A:A,B1088,팀공격력!B:B,D1088))),"")</f>
        <v>2.0860495917671966</v>
      </c>
      <c r="BN1088" s="67">
        <f>IFERROR((AO1088*40)/(((F1088*60+G1088)/60)*(SUMIFS(팀수비력!Q:Q,팀수비력!A:A,B1088,팀수비력!B:B,D1088)-SUMIFS(팀수비력!N:N,팀수비력!A:A,B1088,팀수비력!B:B,D1088)))*100,"")</f>
        <v>0</v>
      </c>
      <c r="BO1088" s="67">
        <f t="shared" si="503"/>
        <v>9.7560975609756095</v>
      </c>
      <c r="BT1088" t="s">
        <v>89</v>
      </c>
      <c r="BV1088" t="s">
        <v>90</v>
      </c>
      <c r="CF1088">
        <v>6</v>
      </c>
      <c r="CG1088">
        <v>3</v>
      </c>
    </row>
    <row r="1089" spans="1:85" x14ac:dyDescent="0.4">
      <c r="A1089" s="11" t="s">
        <v>85</v>
      </c>
      <c r="B1089" t="s">
        <v>263</v>
      </c>
      <c r="C1089" t="s">
        <v>267</v>
      </c>
      <c r="D1089" s="46" t="s">
        <v>313</v>
      </c>
      <c r="E1089">
        <v>5</v>
      </c>
      <c r="F1089">
        <v>21</v>
      </c>
      <c r="G1089" s="1">
        <v>43</v>
      </c>
      <c r="H1089" s="16">
        <f t="shared" si="478"/>
        <v>6515</v>
      </c>
      <c r="I1089">
        <v>52</v>
      </c>
      <c r="J1089" s="17">
        <f t="shared" si="479"/>
        <v>10.4</v>
      </c>
      <c r="K1089">
        <v>20</v>
      </c>
      <c r="L1089">
        <v>38</v>
      </c>
      <c r="M1089" s="17">
        <f t="shared" si="480"/>
        <v>4</v>
      </c>
      <c r="N1089" s="17">
        <f t="shared" si="481"/>
        <v>7.6</v>
      </c>
      <c r="O1089" s="18">
        <f t="shared" si="482"/>
        <v>0.52631578947368418</v>
      </c>
      <c r="P1089">
        <v>20</v>
      </c>
      <c r="Q1089">
        <v>35</v>
      </c>
      <c r="R1089" s="17">
        <f t="shared" si="483"/>
        <v>4</v>
      </c>
      <c r="S1089" s="17">
        <f t="shared" si="484"/>
        <v>7</v>
      </c>
      <c r="T1089" s="18">
        <f t="shared" si="485"/>
        <v>0.5714285714285714</v>
      </c>
      <c r="U1089">
        <v>0</v>
      </c>
      <c r="V1089">
        <v>3</v>
      </c>
      <c r="W1089" s="17">
        <f t="shared" si="486"/>
        <v>0</v>
      </c>
      <c r="X1089" s="17">
        <f t="shared" si="487"/>
        <v>0.6</v>
      </c>
      <c r="Y1089" s="18">
        <f t="shared" si="488"/>
        <v>0</v>
      </c>
      <c r="Z1089">
        <v>12</v>
      </c>
      <c r="AA1089">
        <v>14</v>
      </c>
      <c r="AB1089" s="17">
        <f t="shared" si="489"/>
        <v>2.4</v>
      </c>
      <c r="AC1089" s="17">
        <f t="shared" si="490"/>
        <v>2.8</v>
      </c>
      <c r="AD1089" s="18">
        <f t="shared" si="491"/>
        <v>0.8571428571428571</v>
      </c>
      <c r="AE1089">
        <v>24</v>
      </c>
      <c r="AF1089" s="17">
        <f t="shared" si="492"/>
        <v>4.8</v>
      </c>
      <c r="AG1089">
        <v>12</v>
      </c>
      <c r="AH1089" s="17">
        <f t="shared" si="493"/>
        <v>2.4</v>
      </c>
      <c r="AI1089">
        <v>12</v>
      </c>
      <c r="AJ1089" s="17">
        <f t="shared" si="494"/>
        <v>2.4</v>
      </c>
      <c r="AK1089">
        <v>5</v>
      </c>
      <c r="AL1089" s="17">
        <f t="shared" si="495"/>
        <v>1</v>
      </c>
      <c r="AM1089">
        <v>2</v>
      </c>
      <c r="AN1089" s="17">
        <f t="shared" si="496"/>
        <v>0.4</v>
      </c>
      <c r="AO1089">
        <v>8</v>
      </c>
      <c r="AQ1089">
        <v>2</v>
      </c>
      <c r="AR1089" s="17">
        <f t="shared" si="497"/>
        <v>0.4</v>
      </c>
      <c r="AS1089">
        <v>12</v>
      </c>
      <c r="AT1089" s="17">
        <f t="shared" si="498"/>
        <v>2.4</v>
      </c>
      <c r="BD1089" s="65">
        <f t="shared" si="499"/>
        <v>58.876811594202906</v>
      </c>
      <c r="BE1089" s="65">
        <f t="shared" si="500"/>
        <v>52.631578947368418</v>
      </c>
      <c r="BF1089" s="66">
        <f>IFERROR(100*((L1089+0.44*AA1089+AQ1089)*2400)/((SUMIFS(팀공격력!Q:Q,팀공격력!A:A,B1089,팀공격력!B:B,D1089)+0.44*SUMIFS(팀공격력!T:T,팀공격력!A:A,B1089,팀공격력!B:B,D1089)+SUMIFS(팀공격력!AK:AK,팀공격력!A:A,B1089,팀공격력!B:B,D1089))*(F1089*60+G1089)),"")</f>
        <v>10.400530451086581</v>
      </c>
      <c r="BG1089" s="38">
        <f t="shared" si="501"/>
        <v>7.8947368421052627E-2</v>
      </c>
      <c r="BH1089" s="38">
        <f t="shared" si="502"/>
        <v>0.36842105263157893</v>
      </c>
      <c r="BI1089" s="67">
        <f>IFERROR(((AG1089*(12000/5))/((F1089*60+G1089)*(SUMIFS(팀공격력!X:X,팀공격력!A:A,B1089,팀공격력!B:B,D1089)+SUMIFS(팀수비력!X:X,팀수비력!A:A,B1089,팀수비력!B:B,D1089))))*100,"")</f>
        <v>3.264821211362031</v>
      </c>
      <c r="BJ1089" s="67">
        <f>IFERROR(((AI1089*(12000/5))/((F1089*60+G1089)*(SUMIFS(팀공격력!V:V,팀공격력!A:A,B1089,팀공격력!B:B,D1089)+SUMIFS(팀수비력!W:W,팀수비력!A:A,B1089,팀수비력!B:B,D1089))))*100,"")</f>
        <v>6.7592781654192509</v>
      </c>
      <c r="BK1089" s="67">
        <f>IFERROR(((AE1089*(12000/5))/((F1089*60+G1089)*(SUMIFS(팀공격력!X:X,팀공격력!A:A,B1089,팀공격력!B:B,D1089)+SUMIFS(팀수비력!X:X,팀수비력!A:A,B1089,팀수비력!B:B,D1089))))*100,"")</f>
        <v>6.5296424227240619</v>
      </c>
      <c r="BL1089" s="67">
        <f>IFERROR(100*AK1089/(((((F1089*60+G1089)/(12000/5))*SUMIFS(팀공격력!P:P,팀공격력!A:A,B1089,팀공격력!B:B,D1089))-K1089)),"")</f>
        <v>3.4215523583049623</v>
      </c>
      <c r="BM1089" s="67">
        <f>IFERROR(100*((AM1089/E1089*(2400))/((F1089*60+G1089)*SUMIFS(팀공격력!AR:AR,팀공격력!A:A,B1089,팀공격력!B:B,D1089))),"")</f>
        <v>0.93944274785033832</v>
      </c>
      <c r="BN1089" s="67">
        <f>IFERROR((AO1089*40)/(((F1089*60+G1089)/60)*(SUMIFS(팀수비력!Q:Q,팀수비력!A:A,B1089,팀수비력!B:B,D1089)-SUMIFS(팀수비력!N:N,팀수비력!A:A,B1089,팀수비력!B:B,D1089)))*100,"")</f>
        <v>3.135154553322121</v>
      </c>
      <c r="BO1089" s="67">
        <f t="shared" si="503"/>
        <v>4.3327556325823231</v>
      </c>
      <c r="BT1089" t="s">
        <v>89</v>
      </c>
      <c r="BV1089" t="s">
        <v>102</v>
      </c>
      <c r="CF1089">
        <v>4</v>
      </c>
      <c r="CG1089">
        <v>1</v>
      </c>
    </row>
    <row r="1090" spans="1:85" x14ac:dyDescent="0.4">
      <c r="A1090" s="11" t="s">
        <v>85</v>
      </c>
      <c r="B1090" t="s">
        <v>263</v>
      </c>
      <c r="C1090" t="s">
        <v>268</v>
      </c>
      <c r="D1090" s="46" t="s">
        <v>313</v>
      </c>
      <c r="E1090">
        <v>3</v>
      </c>
      <c r="F1090">
        <v>2</v>
      </c>
      <c r="G1090" s="1">
        <v>58</v>
      </c>
      <c r="H1090" s="16">
        <f t="shared" ref="H1090:H1153" si="504">(F1090*60+G1090)*E1090</f>
        <v>534</v>
      </c>
      <c r="I1090">
        <v>0</v>
      </c>
      <c r="J1090" s="17">
        <f t="shared" ref="J1090:J1153" si="505">I1090/$E1090</f>
        <v>0</v>
      </c>
      <c r="K1090">
        <v>0</v>
      </c>
      <c r="L1090">
        <v>1</v>
      </c>
      <c r="M1090" s="17">
        <f t="shared" ref="M1090:M1118" si="506">K1090/$E1090</f>
        <v>0</v>
      </c>
      <c r="N1090" s="17">
        <f t="shared" ref="N1090:N1118" si="507">L1090/$E1090</f>
        <v>0.33333333333333331</v>
      </c>
      <c r="O1090" s="18">
        <f t="shared" ref="O1090:O1118" si="508">K1090/L1090</f>
        <v>0</v>
      </c>
      <c r="P1090">
        <v>0</v>
      </c>
      <c r="Q1090">
        <v>1</v>
      </c>
      <c r="R1090" s="17">
        <f t="shared" ref="R1090:R1118" si="509">P1090/$E1090</f>
        <v>0</v>
      </c>
      <c r="S1090" s="17">
        <f t="shared" ref="S1090:S1118" si="510">Q1090/$E1090</f>
        <v>0.33333333333333331</v>
      </c>
      <c r="T1090" s="18">
        <f t="shared" ref="T1090:T1118" si="511">P1090/Q1090</f>
        <v>0</v>
      </c>
      <c r="U1090">
        <v>0</v>
      </c>
      <c r="V1090">
        <v>0</v>
      </c>
      <c r="W1090" s="17">
        <f t="shared" ref="W1090:W1118" si="512">U1090/$E1090</f>
        <v>0</v>
      </c>
      <c r="X1090" s="17">
        <f t="shared" ref="X1090:X1118" si="513">V1090/$E1090</f>
        <v>0</v>
      </c>
      <c r="Y1090" s="18" t="e">
        <f t="shared" ref="Y1090:Y1118" si="514">U1090/V1090</f>
        <v>#DIV/0!</v>
      </c>
      <c r="Z1090">
        <v>0</v>
      </c>
      <c r="AA1090">
        <v>0</v>
      </c>
      <c r="AB1090" s="17">
        <f t="shared" ref="AB1090:AB1118" si="515">Z1090/$E1090</f>
        <v>0</v>
      </c>
      <c r="AC1090" s="17">
        <f t="shared" ref="AC1090:AC1118" si="516">AA1090/$E1090</f>
        <v>0</v>
      </c>
      <c r="AD1090" s="18" t="e">
        <f t="shared" ref="AD1090:AD1118" si="517">Z1090/AA1090</f>
        <v>#DIV/0!</v>
      </c>
      <c r="AE1090">
        <v>1</v>
      </c>
      <c r="AF1090" s="17">
        <f t="shared" ref="AF1090:AF1153" si="518">AE1090/$E1090</f>
        <v>0.33333333333333331</v>
      </c>
      <c r="AG1090">
        <v>0</v>
      </c>
      <c r="AH1090" s="17">
        <f t="shared" ref="AH1090:AH1153" si="519">AG1090/$E1090</f>
        <v>0</v>
      </c>
      <c r="AI1090">
        <v>1</v>
      </c>
      <c r="AJ1090" s="17">
        <f t="shared" ref="AJ1090:AJ1153" si="520">AI1090/$E1090</f>
        <v>0.33333333333333331</v>
      </c>
      <c r="AK1090">
        <v>1</v>
      </c>
      <c r="AL1090" s="17">
        <f t="shared" ref="AL1090:AL1153" si="521">AK1090/$E1090</f>
        <v>0.33333333333333331</v>
      </c>
      <c r="AM1090">
        <v>0</v>
      </c>
      <c r="AN1090" s="17">
        <f t="shared" ref="AN1090:AN1153" si="522">AM1090/$E1090</f>
        <v>0</v>
      </c>
      <c r="AO1090">
        <v>0</v>
      </c>
      <c r="AQ1090">
        <v>2</v>
      </c>
      <c r="AR1090" s="17">
        <f t="shared" ref="AR1090:AR1153" si="523">AQ1090/$E1090</f>
        <v>0.66666666666666663</v>
      </c>
      <c r="AS1090">
        <v>3</v>
      </c>
      <c r="AT1090" s="17">
        <f t="shared" ref="AT1090:AT1153" si="524">AS1090/$E1090</f>
        <v>1</v>
      </c>
      <c r="BD1090" s="65">
        <f t="shared" ref="BD1090:BD1118" si="525">IFERROR((I1090/(2*(L1090+(0.44*AA1090))))*100,"")</f>
        <v>0</v>
      </c>
      <c r="BE1090" s="65">
        <f t="shared" ref="BE1090:BE1118" si="526">IFERROR(((P1090+(1.5*U1090))/L1090)*100,"")</f>
        <v>0</v>
      </c>
      <c r="BF1090" s="66">
        <f>IFERROR(100*((L1090+0.44*AA1090+AQ1090)*2400)/((SUMIFS(팀공격력!Q:Q,팀공격력!A:A,B1090,팀공격력!B:B,D1090)+0.44*SUMIFS(팀공격력!T:T,팀공격력!A:A,B1090,팀공격력!B:B,D1090)+SUMIFS(팀공격력!AK:AK,팀공격력!A:A,B1090,팀공격력!B:B,D1090))*(F1090*60+G1090)),"")</f>
        <v>4.9480645645455779</v>
      </c>
      <c r="BG1090" s="38">
        <f t="shared" ref="BG1090:BG1118" si="527">IFERROR(V1090/L1090,"")</f>
        <v>0</v>
      </c>
      <c r="BH1090" s="38">
        <f t="shared" ref="BH1090:BH1118" si="528">IFERROR(AA1090/L1090,"")</f>
        <v>0</v>
      </c>
      <c r="BI1090" s="67">
        <f>IFERROR(((AG1090*(12000/5))/((F1090*60+G1090)*(SUMIFS(팀공격력!X:X,팀공격력!A:A,B1090,팀공격력!B:B,D1090)+SUMIFS(팀수비력!X:X,팀수비력!A:A,B1090,팀수비력!B:B,D1090))))*100,"")</f>
        <v>0</v>
      </c>
      <c r="BJ1090" s="67">
        <f>IFERROR(((AI1090*(12000/5))/((F1090*60+G1090)*(SUMIFS(팀공격력!V:V,팀공격력!A:A,B1090,팀공격력!B:B,D1090)+SUMIFS(팀수비력!W:W,팀수비력!A:A,B1090,팀수비력!B:B,D1090))))*100,"")</f>
        <v>4.1232862591485411</v>
      </c>
      <c r="BK1090" s="67">
        <f>IFERROR(((AE1090*(12000/5))/((F1090*60+G1090)*(SUMIFS(팀공격력!X:X,팀공격력!A:A,B1090,팀공격력!B:B,D1090)+SUMIFS(팀수비력!X:X,팀수비력!A:A,B1090,팀수비력!B:B,D1090))))*100,"")</f>
        <v>1.9916020779048347</v>
      </c>
      <c r="BL1090" s="67">
        <f>IFERROR(100*AK1090/(((((F1090*60+G1090)/(12000/5))*SUMIFS(팀공격력!P:P,팀공격력!A:A,B1090,팀공격력!B:B,D1090))-K1090)),"")</f>
        <v>4.4062568847763828</v>
      </c>
      <c r="BM1090" s="67">
        <f>IFERROR(100*((AM1090/E1090*(2400))/((F1090*60+G1090)*SUMIFS(팀공격력!AR:AR,팀공격력!A:A,B1090,팀공격력!B:B,D1090))),"")</f>
        <v>0</v>
      </c>
      <c r="BN1090" s="67">
        <f>IFERROR((AO1090*40)/(((F1090*60+G1090)/60)*(SUMIFS(팀수비력!Q:Q,팀수비력!A:A,B1090,팀수비력!B:B,D1090)-SUMIFS(팀수비력!N:N,팀수비력!A:A,B1090,팀수비력!B:B,D1090)))*100,"")</f>
        <v>0</v>
      </c>
      <c r="BO1090" s="67">
        <f t="shared" ref="BO1090:BO1118" si="529">IFERROR(100*AQ1090/(L1090+0.44*AA1090+AQ1090),"")</f>
        <v>66.666666666666671</v>
      </c>
      <c r="BT1090" t="s">
        <v>89</v>
      </c>
      <c r="BV1090" t="s">
        <v>90</v>
      </c>
      <c r="CF1090">
        <v>2</v>
      </c>
      <c r="CG1090">
        <v>1</v>
      </c>
    </row>
    <row r="1091" spans="1:85" x14ac:dyDescent="0.4">
      <c r="A1091" s="11" t="s">
        <v>85</v>
      </c>
      <c r="B1091" t="s">
        <v>263</v>
      </c>
      <c r="C1091" t="s">
        <v>269</v>
      </c>
      <c r="D1091" s="46" t="s">
        <v>313</v>
      </c>
      <c r="E1091">
        <v>1</v>
      </c>
      <c r="F1091">
        <v>10</v>
      </c>
      <c r="G1091" s="1">
        <v>9</v>
      </c>
      <c r="H1091" s="16">
        <f t="shared" si="504"/>
        <v>609</v>
      </c>
      <c r="I1091">
        <v>0</v>
      </c>
      <c r="J1091" s="17">
        <f t="shared" si="505"/>
        <v>0</v>
      </c>
      <c r="K1091">
        <v>0</v>
      </c>
      <c r="L1091">
        <v>3</v>
      </c>
      <c r="M1091" s="17">
        <f t="shared" si="506"/>
        <v>0</v>
      </c>
      <c r="N1091" s="17">
        <f t="shared" si="507"/>
        <v>3</v>
      </c>
      <c r="O1091" s="18">
        <f t="shared" si="508"/>
        <v>0</v>
      </c>
      <c r="P1091">
        <v>0</v>
      </c>
      <c r="Q1091">
        <v>1</v>
      </c>
      <c r="R1091" s="17">
        <f t="shared" si="509"/>
        <v>0</v>
      </c>
      <c r="S1091" s="17">
        <f t="shared" si="510"/>
        <v>1</v>
      </c>
      <c r="T1091" s="18">
        <f t="shared" si="511"/>
        <v>0</v>
      </c>
      <c r="U1091">
        <v>0</v>
      </c>
      <c r="V1091">
        <v>2</v>
      </c>
      <c r="W1091" s="17">
        <f t="shared" si="512"/>
        <v>0</v>
      </c>
      <c r="X1091" s="17">
        <f t="shared" si="513"/>
        <v>2</v>
      </c>
      <c r="Y1091" s="18">
        <f t="shared" si="514"/>
        <v>0</v>
      </c>
      <c r="Z1091">
        <v>0</v>
      </c>
      <c r="AA1091">
        <v>0</v>
      </c>
      <c r="AB1091" s="17">
        <f t="shared" si="515"/>
        <v>0</v>
      </c>
      <c r="AC1091" s="17">
        <f t="shared" si="516"/>
        <v>0</v>
      </c>
      <c r="AD1091" s="18" t="e">
        <f t="shared" si="517"/>
        <v>#DIV/0!</v>
      </c>
      <c r="AE1091">
        <v>1</v>
      </c>
      <c r="AF1091" s="17">
        <f t="shared" si="518"/>
        <v>1</v>
      </c>
      <c r="AG1091">
        <v>1</v>
      </c>
      <c r="AH1091" s="17">
        <f t="shared" si="519"/>
        <v>1</v>
      </c>
      <c r="AI1091">
        <v>0</v>
      </c>
      <c r="AJ1091" s="17">
        <f t="shared" si="520"/>
        <v>0</v>
      </c>
      <c r="AK1091">
        <v>0</v>
      </c>
      <c r="AL1091" s="17">
        <f t="shared" si="521"/>
        <v>0</v>
      </c>
      <c r="AM1091">
        <v>1</v>
      </c>
      <c r="AN1091" s="17">
        <f t="shared" si="522"/>
        <v>1</v>
      </c>
      <c r="AO1091">
        <v>0</v>
      </c>
      <c r="AQ1091">
        <v>2</v>
      </c>
      <c r="AR1091" s="17">
        <f t="shared" si="523"/>
        <v>2</v>
      </c>
      <c r="AS1091">
        <v>2</v>
      </c>
      <c r="AT1091" s="17">
        <f t="shared" si="524"/>
        <v>2</v>
      </c>
      <c r="BD1091" s="65">
        <f t="shared" si="525"/>
        <v>0</v>
      </c>
      <c r="BE1091" s="65">
        <f t="shared" si="526"/>
        <v>0</v>
      </c>
      <c r="BF1091" s="66">
        <f>IFERROR(100*((L1091+0.44*AA1091+AQ1091)*2400)/((SUMIFS(팀공격력!Q:Q,팀공격력!A:A,B1091,팀공격력!B:B,D1091)+0.44*SUMIFS(팀공격력!T:T,팀공격력!A:A,B1091,팀공격력!B:B,D1091)+SUMIFS(팀공격력!AK:AK,팀공격력!A:A,B1091,팀공격력!B:B,D1091))*(F1091*60+G1091)),"")</f>
        <v>2.4103872262975172</v>
      </c>
      <c r="BG1091" s="38">
        <f t="shared" si="527"/>
        <v>0.66666666666666663</v>
      </c>
      <c r="BH1091" s="38">
        <f t="shared" si="528"/>
        <v>0</v>
      </c>
      <c r="BI1091" s="67">
        <f>IFERROR(((AG1091*(12000/5))/((F1091*60+G1091)*(SUMIFS(팀공격력!X:X,팀공격력!A:A,B1091,팀공격력!B:B,D1091)+SUMIFS(팀수비력!X:X,팀수비력!A:A,B1091,팀수비력!B:B,D1091))))*100,"")</f>
        <v>0.58211029534821113</v>
      </c>
      <c r="BJ1091" s="67">
        <f>IFERROR(((AI1091*(12000/5))/((F1091*60+G1091)*(SUMIFS(팀공격력!V:V,팀공격력!A:A,B1091,팀공격력!B:B,D1091)+SUMIFS(팀수비력!W:W,팀수비력!A:A,B1091,팀수비력!B:B,D1091))))*100,"")</f>
        <v>0</v>
      </c>
      <c r="BK1091" s="67">
        <f>IFERROR(((AE1091*(12000/5))/((F1091*60+G1091)*(SUMIFS(팀공격력!X:X,팀공격력!A:A,B1091,팀공격력!B:B,D1091)+SUMIFS(팀수비력!X:X,팀수비력!A:A,B1091,팀수비력!B:B,D1091))))*100,"")</f>
        <v>0.58211029534821113</v>
      </c>
      <c r="BL1091" s="67">
        <f>IFERROR(100*AK1091/(((((F1091*60+G1091)/(12000/5))*SUMIFS(팀공격력!P:P,팀공격력!A:A,B1091,팀공격력!B:B,D1091))-K1091)),"")</f>
        <v>0</v>
      </c>
      <c r="BM1091" s="67">
        <f>IFERROR(100*((AM1091/E1091*(2400))/((F1091*60+G1091)*SUMIFS(팀공격력!AR:AR,팀공격력!A:A,B1091,팀공격력!B:B,D1091))),"")</f>
        <v>5.0250160116953646</v>
      </c>
      <c r="BN1091" s="67">
        <f>IFERROR((AO1091*40)/(((F1091*60+G1091)/60)*(SUMIFS(팀수비력!Q:Q,팀수비력!A:A,B1091,팀수비력!B:B,D1091)-SUMIFS(팀수비력!N:N,팀수비력!A:A,B1091,팀수비력!B:B,D1091)))*100,"")</f>
        <v>0</v>
      </c>
      <c r="BO1091" s="67">
        <f t="shared" si="529"/>
        <v>40</v>
      </c>
      <c r="BT1091" t="s">
        <v>89</v>
      </c>
      <c r="BV1091" t="s">
        <v>93</v>
      </c>
      <c r="CF1091">
        <v>0</v>
      </c>
      <c r="CG1091">
        <v>1</v>
      </c>
    </row>
    <row r="1092" spans="1:85" x14ac:dyDescent="0.4">
      <c r="A1092" s="11" t="s">
        <v>85</v>
      </c>
      <c r="B1092" t="s">
        <v>263</v>
      </c>
      <c r="C1092" t="s">
        <v>270</v>
      </c>
      <c r="D1092" s="46" t="s">
        <v>313</v>
      </c>
      <c r="E1092">
        <v>2</v>
      </c>
      <c r="F1092">
        <v>13</v>
      </c>
      <c r="G1092" s="1">
        <v>27</v>
      </c>
      <c r="H1092" s="16">
        <f t="shared" si="504"/>
        <v>1614</v>
      </c>
      <c r="I1092">
        <v>10</v>
      </c>
      <c r="J1092" s="17">
        <f t="shared" si="505"/>
        <v>5</v>
      </c>
      <c r="K1092">
        <v>4</v>
      </c>
      <c r="L1092">
        <v>7</v>
      </c>
      <c r="M1092" s="17">
        <f t="shared" si="506"/>
        <v>2</v>
      </c>
      <c r="N1092" s="17">
        <f t="shared" si="507"/>
        <v>3.5</v>
      </c>
      <c r="O1092" s="18">
        <f t="shared" si="508"/>
        <v>0.5714285714285714</v>
      </c>
      <c r="P1092">
        <v>2</v>
      </c>
      <c r="Q1092">
        <v>3</v>
      </c>
      <c r="R1092" s="17">
        <f t="shared" si="509"/>
        <v>1</v>
      </c>
      <c r="S1092" s="17">
        <f t="shared" si="510"/>
        <v>1.5</v>
      </c>
      <c r="T1092" s="18">
        <f t="shared" si="511"/>
        <v>0.66666666666666663</v>
      </c>
      <c r="U1092">
        <v>2</v>
      </c>
      <c r="V1092">
        <v>4</v>
      </c>
      <c r="W1092" s="17">
        <f t="shared" si="512"/>
        <v>1</v>
      </c>
      <c r="X1092" s="17">
        <f t="shared" si="513"/>
        <v>2</v>
      </c>
      <c r="Y1092" s="18">
        <f t="shared" si="514"/>
        <v>0.5</v>
      </c>
      <c r="Z1092">
        <v>0</v>
      </c>
      <c r="AA1092">
        <v>0</v>
      </c>
      <c r="AB1092" s="17">
        <f t="shared" si="515"/>
        <v>0</v>
      </c>
      <c r="AC1092" s="17">
        <f t="shared" si="516"/>
        <v>0</v>
      </c>
      <c r="AD1092" s="18" t="e">
        <f t="shared" si="517"/>
        <v>#DIV/0!</v>
      </c>
      <c r="AE1092">
        <v>6</v>
      </c>
      <c r="AF1092" s="17">
        <f t="shared" si="518"/>
        <v>3</v>
      </c>
      <c r="AG1092">
        <v>1</v>
      </c>
      <c r="AH1092" s="17">
        <f t="shared" si="519"/>
        <v>0.5</v>
      </c>
      <c r="AI1092">
        <v>5</v>
      </c>
      <c r="AJ1092" s="17">
        <f t="shared" si="520"/>
        <v>2.5</v>
      </c>
      <c r="AK1092">
        <v>0</v>
      </c>
      <c r="AL1092" s="17">
        <f t="shared" si="521"/>
        <v>0</v>
      </c>
      <c r="AM1092">
        <v>2</v>
      </c>
      <c r="AN1092" s="17">
        <f t="shared" si="522"/>
        <v>1</v>
      </c>
      <c r="AO1092">
        <v>0</v>
      </c>
      <c r="AQ1092">
        <v>0</v>
      </c>
      <c r="AR1092" s="17">
        <f t="shared" si="523"/>
        <v>0</v>
      </c>
      <c r="AS1092">
        <v>2</v>
      </c>
      <c r="AT1092" s="17">
        <f t="shared" si="524"/>
        <v>1</v>
      </c>
      <c r="BD1092" s="65">
        <f t="shared" si="525"/>
        <v>71.428571428571431</v>
      </c>
      <c r="BE1092" s="65">
        <f t="shared" si="526"/>
        <v>71.428571428571431</v>
      </c>
      <c r="BF1092" s="66">
        <f>IFERROR(100*((L1092+0.44*AA1092+AQ1092)*2400)/((SUMIFS(팀공격력!Q:Q,팀공격력!A:A,B1092,팀공격력!B:B,D1092)+0.44*SUMIFS(팀공격력!T:T,팀공격력!A:A,B1092,팀공격력!B:B,D1092)+SUMIFS(팀공격력!AK:AK,팀공격력!A:A,B1092,팀공격력!B:B,D1092))*(F1092*60+G1092)),"")</f>
        <v>2.5465875454042917</v>
      </c>
      <c r="BG1092" s="38">
        <f t="shared" si="527"/>
        <v>0.5714285714285714</v>
      </c>
      <c r="BH1092" s="38">
        <f t="shared" si="528"/>
        <v>0</v>
      </c>
      <c r="BI1092" s="67">
        <f>IFERROR(((AG1092*(12000/5))/((F1092*60+G1092)*(SUMIFS(팀공격력!X:X,팀공격력!A:A,B1092,팀공격력!B:B,D1092)+SUMIFS(팀수비력!X:X,팀수비력!A:A,B1092,팀수비력!B:B,D1092))))*100,"")</f>
        <v>0.43928769500255332</v>
      </c>
      <c r="BJ1092" s="67">
        <f>IFERROR(((AI1092*(12000/5))/((F1092*60+G1092)*(SUMIFS(팀공격력!V:V,팀공격력!A:A,B1092,팀공격력!B:B,D1092)+SUMIFS(팀수비력!W:W,팀수비력!A:A,B1092,팀수비력!B:B,D1092))))*100,"")</f>
        <v>4.547366506371997</v>
      </c>
      <c r="BK1092" s="67">
        <f>IFERROR(((AE1092*(12000/5))/((F1092*60+G1092)*(SUMIFS(팀공격력!X:X,팀공격력!A:A,B1092,팀공격력!B:B,D1092)+SUMIFS(팀수비력!X:X,팀수비력!A:A,B1092,팀수비력!B:B,D1092))))*100,"")</f>
        <v>2.6357261700153201</v>
      </c>
      <c r="BL1092" s="67">
        <f>IFERROR(100*AK1092/(((((F1092*60+G1092)/(12000/5))*SUMIFS(팀공격력!P:P,팀공격력!A:A,B1092,팀공격력!B:B,D1092))-K1092)),"")</f>
        <v>0</v>
      </c>
      <c r="BM1092" s="67">
        <f>IFERROR(100*((AM1092/E1092*(2400))/((F1092*60+G1092)*SUMIFS(팀공격력!AR:AR,팀공격력!A:A,B1092,팀공격력!B:B,D1092))),"")</f>
        <v>3.792112454922524</v>
      </c>
      <c r="BN1092" s="67">
        <f>IFERROR((AO1092*40)/(((F1092*60+G1092)/60)*(SUMIFS(팀수비력!Q:Q,팀수비력!A:A,B1092,팀수비력!B:B,D1092)-SUMIFS(팀수비력!N:N,팀수비력!A:A,B1092,팀수비력!B:B,D1092)))*100,"")</f>
        <v>0</v>
      </c>
      <c r="BO1092" s="67">
        <f t="shared" si="529"/>
        <v>0</v>
      </c>
      <c r="BT1092" t="s">
        <v>89</v>
      </c>
      <c r="BV1092" t="s">
        <v>93</v>
      </c>
      <c r="CF1092">
        <v>2</v>
      </c>
      <c r="CG1092">
        <v>0</v>
      </c>
    </row>
    <row r="1093" spans="1:85" x14ac:dyDescent="0.4">
      <c r="A1093" s="11" t="s">
        <v>85</v>
      </c>
      <c r="B1093" t="s">
        <v>263</v>
      </c>
      <c r="C1093" t="s">
        <v>272</v>
      </c>
      <c r="D1093" s="46" t="s">
        <v>313</v>
      </c>
      <c r="E1093">
        <v>8</v>
      </c>
      <c r="F1093">
        <v>25</v>
      </c>
      <c r="G1093" s="1">
        <v>29</v>
      </c>
      <c r="H1093" s="16">
        <f t="shared" si="504"/>
        <v>12232</v>
      </c>
      <c r="I1093">
        <v>161</v>
      </c>
      <c r="J1093" s="17">
        <f t="shared" si="505"/>
        <v>20.125</v>
      </c>
      <c r="K1093">
        <v>54</v>
      </c>
      <c r="L1093">
        <v>122</v>
      </c>
      <c r="M1093" s="17">
        <f t="shared" si="506"/>
        <v>6.75</v>
      </c>
      <c r="N1093" s="17">
        <f t="shared" si="507"/>
        <v>15.25</v>
      </c>
      <c r="O1093" s="18">
        <f t="shared" si="508"/>
        <v>0.44262295081967212</v>
      </c>
      <c r="P1093">
        <v>28</v>
      </c>
      <c r="Q1093">
        <v>55</v>
      </c>
      <c r="R1093" s="17">
        <f t="shared" si="509"/>
        <v>3.5</v>
      </c>
      <c r="S1093" s="17">
        <f t="shared" si="510"/>
        <v>6.875</v>
      </c>
      <c r="T1093" s="18">
        <f t="shared" si="511"/>
        <v>0.50909090909090904</v>
      </c>
      <c r="U1093">
        <v>26</v>
      </c>
      <c r="V1093">
        <v>67</v>
      </c>
      <c r="W1093" s="17">
        <f t="shared" si="512"/>
        <v>3.25</v>
      </c>
      <c r="X1093" s="17">
        <f t="shared" si="513"/>
        <v>8.375</v>
      </c>
      <c r="Y1093" s="18">
        <f t="shared" si="514"/>
        <v>0.38805970149253732</v>
      </c>
      <c r="Z1093">
        <v>27</v>
      </c>
      <c r="AA1093">
        <v>36</v>
      </c>
      <c r="AB1093" s="17">
        <f t="shared" si="515"/>
        <v>3.375</v>
      </c>
      <c r="AC1093" s="17">
        <f t="shared" si="516"/>
        <v>4.5</v>
      </c>
      <c r="AD1093" s="18">
        <f t="shared" si="517"/>
        <v>0.75</v>
      </c>
      <c r="AE1093">
        <v>61</v>
      </c>
      <c r="AF1093" s="17">
        <f t="shared" si="518"/>
        <v>7.625</v>
      </c>
      <c r="AG1093">
        <v>12</v>
      </c>
      <c r="AH1093" s="17">
        <f t="shared" si="519"/>
        <v>1.5</v>
      </c>
      <c r="AI1093">
        <v>49</v>
      </c>
      <c r="AJ1093" s="17">
        <f t="shared" si="520"/>
        <v>6.125</v>
      </c>
      <c r="AK1093">
        <v>24</v>
      </c>
      <c r="AL1093" s="17">
        <f t="shared" si="521"/>
        <v>3</v>
      </c>
      <c r="AM1093">
        <v>11</v>
      </c>
      <c r="AN1093" s="17">
        <f t="shared" si="522"/>
        <v>1.375</v>
      </c>
      <c r="AO1093">
        <v>14</v>
      </c>
      <c r="AQ1093">
        <v>15</v>
      </c>
      <c r="AR1093" s="17">
        <f t="shared" si="523"/>
        <v>1.875</v>
      </c>
      <c r="AS1093">
        <v>15</v>
      </c>
      <c r="AT1093" s="17">
        <f t="shared" si="524"/>
        <v>1.875</v>
      </c>
      <c r="BD1093" s="65">
        <f t="shared" si="525"/>
        <v>58.401044689495066</v>
      </c>
      <c r="BE1093" s="65">
        <f t="shared" si="526"/>
        <v>54.918032786885249</v>
      </c>
      <c r="BF1093" s="66">
        <f>IFERROR(100*((L1093+0.44*AA1093+AQ1093)*2400)/((SUMIFS(팀공격력!Q:Q,팀공격력!A:A,B1093,팀공격력!B:B,D1093)+0.44*SUMIFS(팀공격력!T:T,팀공격력!A:A,B1093,팀공격력!B:B,D1093)+SUMIFS(팀공격력!AK:AK,팀공격력!A:A,B1093,팀공격력!B:B,D1093))*(F1093*60+G1093)),"")</f>
        <v>29.346995742759105</v>
      </c>
      <c r="BG1093" s="38">
        <f t="shared" si="527"/>
        <v>0.54918032786885251</v>
      </c>
      <c r="BH1093" s="38">
        <f t="shared" si="528"/>
        <v>0.29508196721311475</v>
      </c>
      <c r="BI1093" s="67">
        <f>IFERROR(((AG1093*(12000/5))/((F1093*60+G1093)*(SUMIFS(팀공격력!X:X,팀공격력!A:A,B1093,팀공격력!B:B,D1093)+SUMIFS(팀수비력!X:X,팀수비력!A:A,B1093,팀수비력!B:B,D1093))))*100,"")</f>
        <v>2.7822511696564596</v>
      </c>
      <c r="BJ1093" s="67">
        <f>IFERROR(((AI1093*(12000/5))/((F1093*60+G1093)*(SUMIFS(팀공격력!V:V,팀공격력!A:A,B1093,팀공격력!B:B,D1093)+SUMIFS(팀수비력!W:W,팀수비력!A:A,B1093,팀수비력!B:B,D1093))))*100,"")</f>
        <v>23.520799707190044</v>
      </c>
      <c r="BK1093" s="67">
        <f>IFERROR(((AE1093*(12000/5))/((F1093*60+G1093)*(SUMIFS(팀공격력!X:X,팀공격력!A:A,B1093,팀공격력!B:B,D1093)+SUMIFS(팀수비력!X:X,팀수비력!A:A,B1093,팀수비력!B:B,D1093))))*100,"")</f>
        <v>14.143110112420338</v>
      </c>
      <c r="BL1093" s="67">
        <f>IFERROR(100*AK1093/(((((F1093*60+G1093)/(12000/5))*SUMIFS(팀공격력!P:P,팀공격력!A:A,B1093,팀공격력!B:B,D1093))-K1093)),"")</f>
        <v>17.027616665779814</v>
      </c>
      <c r="BM1093" s="67">
        <f>IFERROR(100*((AM1093/E1093*(2400))/((F1093*60+G1093)*SUMIFS(팀공격력!AR:AR,팀공격력!A:A,B1093,팀공격력!B:B,D1093))),"")</f>
        <v>2.7520096682756083</v>
      </c>
      <c r="BN1093" s="67">
        <f>IFERROR((AO1093*40)/(((F1093*60+G1093)/60)*(SUMIFS(팀수비력!Q:Q,팀수비력!A:A,B1093,팀수비력!B:B,D1093)-SUMIFS(팀수비력!N:N,팀수비력!A:A,B1093,팀수비력!B:B,D1093)))*100,"")</f>
        <v>4.6755632244687799</v>
      </c>
      <c r="BO1093" s="67">
        <f t="shared" si="529"/>
        <v>9.814184768385239</v>
      </c>
      <c r="BT1093" t="s">
        <v>96</v>
      </c>
      <c r="BV1093" t="s">
        <v>93</v>
      </c>
      <c r="CF1093">
        <v>5</v>
      </c>
      <c r="CG1093">
        <v>3</v>
      </c>
    </row>
    <row r="1094" spans="1:85" x14ac:dyDescent="0.4">
      <c r="A1094" s="11" t="s">
        <v>85</v>
      </c>
      <c r="B1094" t="s">
        <v>263</v>
      </c>
      <c r="C1094" t="s">
        <v>273</v>
      </c>
      <c r="D1094" s="46" t="s">
        <v>313</v>
      </c>
      <c r="E1094">
        <v>2</v>
      </c>
      <c r="F1094">
        <v>1</v>
      </c>
      <c r="G1094" s="1">
        <v>37</v>
      </c>
      <c r="H1094" s="16">
        <f t="shared" si="504"/>
        <v>194</v>
      </c>
      <c r="I1094">
        <v>0</v>
      </c>
      <c r="J1094" s="17">
        <f t="shared" si="505"/>
        <v>0</v>
      </c>
      <c r="K1094">
        <v>0</v>
      </c>
      <c r="L1094">
        <v>0</v>
      </c>
      <c r="M1094" s="17">
        <f t="shared" si="506"/>
        <v>0</v>
      </c>
      <c r="N1094" s="17">
        <f t="shared" si="507"/>
        <v>0</v>
      </c>
      <c r="O1094" s="18" t="e">
        <f t="shared" si="508"/>
        <v>#DIV/0!</v>
      </c>
      <c r="P1094">
        <v>0</v>
      </c>
      <c r="Q1094">
        <v>0</v>
      </c>
      <c r="R1094" s="17">
        <f t="shared" si="509"/>
        <v>0</v>
      </c>
      <c r="S1094" s="17">
        <f t="shared" si="510"/>
        <v>0</v>
      </c>
      <c r="T1094" s="18" t="e">
        <f t="shared" si="511"/>
        <v>#DIV/0!</v>
      </c>
      <c r="U1094">
        <v>0</v>
      </c>
      <c r="V1094">
        <v>0</v>
      </c>
      <c r="W1094" s="17">
        <f t="shared" si="512"/>
        <v>0</v>
      </c>
      <c r="X1094" s="17">
        <f t="shared" si="513"/>
        <v>0</v>
      </c>
      <c r="Y1094" s="18" t="e">
        <f t="shared" si="514"/>
        <v>#DIV/0!</v>
      </c>
      <c r="Z1094">
        <v>0</v>
      </c>
      <c r="AA1094">
        <v>0</v>
      </c>
      <c r="AB1094" s="17">
        <f t="shared" si="515"/>
        <v>0</v>
      </c>
      <c r="AC1094" s="17">
        <f t="shared" si="516"/>
        <v>0</v>
      </c>
      <c r="AD1094" s="18" t="e">
        <f t="shared" si="517"/>
        <v>#DIV/0!</v>
      </c>
      <c r="AE1094">
        <v>0</v>
      </c>
      <c r="AF1094" s="17">
        <f t="shared" si="518"/>
        <v>0</v>
      </c>
      <c r="AG1094">
        <v>0</v>
      </c>
      <c r="AH1094" s="17">
        <f t="shared" si="519"/>
        <v>0</v>
      </c>
      <c r="AI1094">
        <v>0</v>
      </c>
      <c r="AJ1094" s="17">
        <f t="shared" si="520"/>
        <v>0</v>
      </c>
      <c r="AK1094">
        <v>0</v>
      </c>
      <c r="AL1094" s="17">
        <f t="shared" si="521"/>
        <v>0</v>
      </c>
      <c r="AM1094">
        <v>0</v>
      </c>
      <c r="AN1094" s="17">
        <f t="shared" si="522"/>
        <v>0</v>
      </c>
      <c r="AO1094">
        <v>0</v>
      </c>
      <c r="AQ1094">
        <v>1</v>
      </c>
      <c r="AR1094" s="17">
        <f t="shared" si="523"/>
        <v>0.5</v>
      </c>
      <c r="AS1094">
        <v>0</v>
      </c>
      <c r="AT1094" s="17">
        <f t="shared" si="524"/>
        <v>0</v>
      </c>
      <c r="BD1094" s="65" t="str">
        <f t="shared" si="525"/>
        <v/>
      </c>
      <c r="BE1094" s="65" t="str">
        <f t="shared" si="526"/>
        <v/>
      </c>
      <c r="BF1094" s="66">
        <f>IFERROR(100*((L1094+0.44*AA1094+AQ1094)*2400)/((SUMIFS(팀공격력!Q:Q,팀공격력!A:A,B1094,팀공격력!B:B,D1094)+0.44*SUMIFS(팀공격력!T:T,팀공격력!A:A,B1094,팀공격력!B:B,D1094)+SUMIFS(팀공격력!AK:AK,팀공격력!A:A,B1094,팀공격력!B:B,D1094))*(F1094*60+G1094)),"")</f>
        <v>3.0266511769385325</v>
      </c>
      <c r="BG1094" s="38" t="str">
        <f t="shared" si="527"/>
        <v/>
      </c>
      <c r="BH1094" s="38" t="str">
        <f t="shared" si="528"/>
        <v/>
      </c>
      <c r="BI1094" s="67">
        <f>IFERROR(((AG1094*(12000/5))/((F1094*60+G1094)*(SUMIFS(팀공격력!X:X,팀공격력!A:A,B1094,팀공격력!B:B,D1094)+SUMIFS(팀수비력!X:X,팀수비력!A:A,B1094,팀수비력!B:B,D1094))))*100,"")</f>
        <v>0</v>
      </c>
      <c r="BJ1094" s="67">
        <f>IFERROR(((AI1094*(12000/5))/((F1094*60+G1094)*(SUMIFS(팀공격력!V:V,팀공격력!A:A,B1094,팀공격력!B:B,D1094)+SUMIFS(팀수비력!W:W,팀수비력!A:A,B1094,팀수비력!B:B,D1094))))*100,"")</f>
        <v>0</v>
      </c>
      <c r="BK1094" s="67">
        <f>IFERROR(((AE1094*(12000/5))/((F1094*60+G1094)*(SUMIFS(팀공격력!X:X,팀공격력!A:A,B1094,팀공격력!B:B,D1094)+SUMIFS(팀수비력!X:X,팀수비력!A:A,B1094,팀수비력!B:B,D1094))))*100,"")</f>
        <v>0</v>
      </c>
      <c r="BL1094" s="67">
        <f>IFERROR(100*AK1094/(((((F1094*60+G1094)/(12000/5))*SUMIFS(팀공격력!P:P,팀공격력!A:A,B1094,팀공격력!B:B,D1094))-K1094)),"")</f>
        <v>0</v>
      </c>
      <c r="BM1094" s="67">
        <f>IFERROR(100*((AM1094/E1094*(2400))/((F1094*60+G1094)*SUMIFS(팀공격력!AR:AR,팀공격력!A:A,B1094,팀공격력!B:B,D1094))),"")</f>
        <v>0</v>
      </c>
      <c r="BN1094" s="67">
        <f>IFERROR((AO1094*40)/(((F1094*60+G1094)/60)*(SUMIFS(팀수비력!Q:Q,팀수비력!A:A,B1094,팀수비력!B:B,D1094)-SUMIFS(팀수비력!N:N,팀수비력!A:A,B1094,팀수비력!B:B,D1094)))*100,"")</f>
        <v>0</v>
      </c>
      <c r="BO1094" s="67">
        <f t="shared" si="529"/>
        <v>100</v>
      </c>
      <c r="BT1094" t="s">
        <v>89</v>
      </c>
      <c r="BV1094" t="s">
        <v>90</v>
      </c>
      <c r="CF1094">
        <v>2</v>
      </c>
      <c r="CG1094">
        <v>0</v>
      </c>
    </row>
    <row r="1095" spans="1:85" x14ac:dyDescent="0.4">
      <c r="A1095" s="11" t="s">
        <v>85</v>
      </c>
      <c r="B1095" t="s">
        <v>263</v>
      </c>
      <c r="C1095" t="s">
        <v>274</v>
      </c>
      <c r="D1095" s="46" t="s">
        <v>313</v>
      </c>
      <c r="E1095">
        <v>9</v>
      </c>
      <c r="F1095">
        <v>26</v>
      </c>
      <c r="G1095" s="1">
        <v>2</v>
      </c>
      <c r="H1095" s="16">
        <f t="shared" si="504"/>
        <v>14058</v>
      </c>
      <c r="I1095">
        <v>88</v>
      </c>
      <c r="J1095" s="17">
        <f t="shared" si="505"/>
        <v>9.7777777777777786</v>
      </c>
      <c r="K1095">
        <v>34</v>
      </c>
      <c r="L1095">
        <v>72</v>
      </c>
      <c r="M1095" s="17">
        <f t="shared" si="506"/>
        <v>3.7777777777777777</v>
      </c>
      <c r="N1095" s="17">
        <f t="shared" si="507"/>
        <v>8</v>
      </c>
      <c r="O1095" s="18">
        <f t="shared" si="508"/>
        <v>0.47222222222222221</v>
      </c>
      <c r="P1095">
        <v>21</v>
      </c>
      <c r="Q1095">
        <v>33</v>
      </c>
      <c r="R1095" s="17">
        <f t="shared" si="509"/>
        <v>2.3333333333333335</v>
      </c>
      <c r="S1095" s="17">
        <f t="shared" si="510"/>
        <v>3.6666666666666665</v>
      </c>
      <c r="T1095" s="18">
        <f t="shared" si="511"/>
        <v>0.63636363636363635</v>
      </c>
      <c r="U1095">
        <v>13</v>
      </c>
      <c r="V1095">
        <v>39</v>
      </c>
      <c r="W1095" s="17">
        <f t="shared" si="512"/>
        <v>1.4444444444444444</v>
      </c>
      <c r="X1095" s="17">
        <f t="shared" si="513"/>
        <v>4.333333333333333</v>
      </c>
      <c r="Y1095" s="18">
        <f t="shared" si="514"/>
        <v>0.33333333333333331</v>
      </c>
      <c r="Z1095">
        <v>7</v>
      </c>
      <c r="AA1095">
        <v>7</v>
      </c>
      <c r="AB1095" s="17">
        <f t="shared" si="515"/>
        <v>0.77777777777777779</v>
      </c>
      <c r="AC1095" s="17">
        <f t="shared" si="516"/>
        <v>0.77777777777777779</v>
      </c>
      <c r="AD1095" s="18">
        <f t="shared" si="517"/>
        <v>1</v>
      </c>
      <c r="AE1095">
        <v>34</v>
      </c>
      <c r="AF1095" s="17">
        <f t="shared" si="518"/>
        <v>3.7777777777777777</v>
      </c>
      <c r="AG1095">
        <v>12</v>
      </c>
      <c r="AH1095" s="17">
        <f t="shared" si="519"/>
        <v>1.3333333333333333</v>
      </c>
      <c r="AI1095">
        <v>22</v>
      </c>
      <c r="AJ1095" s="17">
        <f t="shared" si="520"/>
        <v>2.4444444444444446</v>
      </c>
      <c r="AK1095">
        <v>7</v>
      </c>
      <c r="AL1095" s="17">
        <f t="shared" si="521"/>
        <v>0.77777777777777779</v>
      </c>
      <c r="AM1095">
        <v>5</v>
      </c>
      <c r="AN1095" s="17">
        <f t="shared" si="522"/>
        <v>0.55555555555555558</v>
      </c>
      <c r="AO1095">
        <v>0</v>
      </c>
      <c r="AQ1095">
        <v>5</v>
      </c>
      <c r="AR1095" s="17">
        <f t="shared" si="523"/>
        <v>0.55555555555555558</v>
      </c>
      <c r="AS1095">
        <v>22</v>
      </c>
      <c r="AT1095" s="17">
        <f t="shared" si="524"/>
        <v>2.4444444444444446</v>
      </c>
      <c r="BD1095" s="65">
        <f t="shared" si="525"/>
        <v>58.604155567394777</v>
      </c>
      <c r="BE1095" s="65">
        <f t="shared" si="526"/>
        <v>56.25</v>
      </c>
      <c r="BF1095" s="66">
        <f>IFERROR(100*((L1095+0.44*AA1095+AQ1095)*2400)/((SUMIFS(팀공격력!Q:Q,팀공격력!A:A,B1095,팀공격력!B:B,D1095)+0.44*SUMIFS(팀공격력!T:T,팀공격력!A:A,B1095,팀공격력!B:B,D1095)+SUMIFS(팀공격력!AK:AK,팀공격력!A:A,B1095,팀공격력!B:B,D1095))*(F1095*60+G1095)),"")</f>
        <v>15.051408416245872</v>
      </c>
      <c r="BG1095" s="38">
        <f t="shared" si="527"/>
        <v>0.54166666666666663</v>
      </c>
      <c r="BH1095" s="38">
        <f t="shared" si="528"/>
        <v>9.7222222222222224E-2</v>
      </c>
      <c r="BI1095" s="67">
        <f>IFERROR(((AG1095*(12000/5))/((F1095*60+G1095)*(SUMIFS(팀공격력!X:X,팀공격력!A:A,B1095,팀공격력!B:B,D1095)+SUMIFS(팀수비력!X:X,팀수비력!A:A,B1095,팀수비력!B:B,D1095))))*100,"")</f>
        <v>2.723471215367943</v>
      </c>
      <c r="BJ1095" s="67">
        <f>IFERROR(((AI1095*(12000/5))/((F1095*60+G1095)*(SUMIFS(팀공격력!V:V,팀공격력!A:A,B1095,팀공격력!B:B,D1095)+SUMIFS(팀수비력!W:W,팀수비력!A:A,B1095,팀수비력!B:B,D1095))))*100,"")</f>
        <v>10.337252875048456</v>
      </c>
      <c r="BK1095" s="67">
        <f>IFERROR(((AE1095*(12000/5))/((F1095*60+G1095)*(SUMIFS(팀공격력!X:X,팀공격력!A:A,B1095,팀공격력!B:B,D1095)+SUMIFS(팀수비력!X:X,팀수비력!A:A,B1095,팀수비력!B:B,D1095))))*100,"")</f>
        <v>7.7165017768758375</v>
      </c>
      <c r="BL1095" s="67">
        <f>IFERROR(100*AK1095/(((((F1095*60+G1095)/(12000/5))*SUMIFS(팀공격력!P:P,팀공격력!A:A,B1095,팀공격력!B:B,D1095))-K1095)),"")</f>
        <v>4.2384426750628199</v>
      </c>
      <c r="BM1095" s="67">
        <f>IFERROR(100*((AM1095/E1095*(2400))/((F1095*60+G1095)*SUMIFS(팀공격력!AR:AR,팀공격력!A:A,B1095,팀공격력!B:B,D1095))),"")</f>
        <v>1.0884317652306437</v>
      </c>
      <c r="BN1095" s="67">
        <f>IFERROR((AO1095*40)/(((F1095*60+G1095)/60)*(SUMIFS(팀수비력!Q:Q,팀수비력!A:A,B1095,팀수비력!B:B,D1095)-SUMIFS(팀수비력!N:N,팀수비력!A:A,B1095,팀수비력!B:B,D1095)))*100,"")</f>
        <v>0</v>
      </c>
      <c r="BO1095" s="67">
        <f t="shared" si="529"/>
        <v>6.2437562437562439</v>
      </c>
      <c r="BT1095" t="s">
        <v>89</v>
      </c>
      <c r="BV1095" t="s">
        <v>93</v>
      </c>
      <c r="CF1095">
        <v>6</v>
      </c>
      <c r="CG1095">
        <v>3</v>
      </c>
    </row>
    <row r="1096" spans="1:85" x14ac:dyDescent="0.4">
      <c r="A1096" s="11" t="s">
        <v>85</v>
      </c>
      <c r="B1096" t="s">
        <v>263</v>
      </c>
      <c r="C1096" t="s">
        <v>276</v>
      </c>
      <c r="D1096" s="46" t="s">
        <v>313</v>
      </c>
      <c r="E1096">
        <v>7</v>
      </c>
      <c r="F1096">
        <v>11</v>
      </c>
      <c r="G1096" s="1">
        <v>13</v>
      </c>
      <c r="H1096" s="16">
        <f t="shared" si="504"/>
        <v>4711</v>
      </c>
      <c r="I1096">
        <v>18</v>
      </c>
      <c r="J1096" s="17">
        <f t="shared" si="505"/>
        <v>2.5714285714285716</v>
      </c>
      <c r="K1096">
        <v>7</v>
      </c>
      <c r="L1096">
        <v>16</v>
      </c>
      <c r="M1096" s="17">
        <f t="shared" si="506"/>
        <v>1</v>
      </c>
      <c r="N1096" s="17">
        <f t="shared" si="507"/>
        <v>2.2857142857142856</v>
      </c>
      <c r="O1096" s="18">
        <f t="shared" si="508"/>
        <v>0.4375</v>
      </c>
      <c r="P1096">
        <v>3</v>
      </c>
      <c r="Q1096">
        <v>6</v>
      </c>
      <c r="R1096" s="17">
        <f t="shared" si="509"/>
        <v>0.42857142857142855</v>
      </c>
      <c r="S1096" s="17">
        <f t="shared" si="510"/>
        <v>0.8571428571428571</v>
      </c>
      <c r="T1096" s="18">
        <f t="shared" si="511"/>
        <v>0.5</v>
      </c>
      <c r="U1096">
        <v>4</v>
      </c>
      <c r="V1096">
        <v>10</v>
      </c>
      <c r="W1096" s="17">
        <f t="shared" si="512"/>
        <v>0.5714285714285714</v>
      </c>
      <c r="X1096" s="17">
        <f t="shared" si="513"/>
        <v>1.4285714285714286</v>
      </c>
      <c r="Y1096" s="18">
        <f t="shared" si="514"/>
        <v>0.4</v>
      </c>
      <c r="Z1096">
        <v>0</v>
      </c>
      <c r="AA1096">
        <v>2</v>
      </c>
      <c r="AB1096" s="17">
        <f t="shared" si="515"/>
        <v>0</v>
      </c>
      <c r="AC1096" s="17">
        <f t="shared" si="516"/>
        <v>0.2857142857142857</v>
      </c>
      <c r="AD1096" s="18">
        <f t="shared" si="517"/>
        <v>0</v>
      </c>
      <c r="AE1096">
        <v>11</v>
      </c>
      <c r="AF1096" s="17">
        <f t="shared" si="518"/>
        <v>1.5714285714285714</v>
      </c>
      <c r="AG1096">
        <v>5</v>
      </c>
      <c r="AH1096" s="17">
        <f t="shared" si="519"/>
        <v>0.7142857142857143</v>
      </c>
      <c r="AI1096">
        <v>6</v>
      </c>
      <c r="AJ1096" s="17">
        <f t="shared" si="520"/>
        <v>0.8571428571428571</v>
      </c>
      <c r="AK1096">
        <v>1</v>
      </c>
      <c r="AL1096" s="17">
        <f t="shared" si="521"/>
        <v>0.14285714285714285</v>
      </c>
      <c r="AM1096">
        <v>0</v>
      </c>
      <c r="AN1096" s="17">
        <f t="shared" si="522"/>
        <v>0</v>
      </c>
      <c r="AO1096">
        <v>0</v>
      </c>
      <c r="AQ1096">
        <v>6</v>
      </c>
      <c r="AR1096" s="17">
        <f t="shared" si="523"/>
        <v>0.8571428571428571</v>
      </c>
      <c r="AS1096">
        <v>13</v>
      </c>
      <c r="AT1096" s="17">
        <f t="shared" si="524"/>
        <v>1.8571428571428572</v>
      </c>
      <c r="BD1096" s="65">
        <f t="shared" si="525"/>
        <v>53.317535545023695</v>
      </c>
      <c r="BE1096" s="65">
        <f t="shared" si="526"/>
        <v>56.25</v>
      </c>
      <c r="BF1096" s="66">
        <f>IFERROR(100*((L1096+0.44*AA1096+AQ1096)*2400)/((SUMIFS(팀공격력!Q:Q,팀공격력!A:A,B1096,팀공격력!B:B,D1096)+0.44*SUMIFS(팀공격력!T:T,팀공격력!A:A,B1096,팀공격력!B:B,D1096)+SUMIFS(팀공격력!AK:AK,팀공격력!A:A,B1096,팀공격력!B:B,D1096))*(F1096*60+G1096)),"")</f>
        <v>9.981023114487817</v>
      </c>
      <c r="BG1096" s="38">
        <f t="shared" si="527"/>
        <v>0.625</v>
      </c>
      <c r="BH1096" s="38">
        <f t="shared" si="528"/>
        <v>0.125</v>
      </c>
      <c r="BI1096" s="67">
        <f>IFERROR(((AG1096*(12000/5))/((F1096*60+G1096)*(SUMIFS(팀공격력!X:X,팀공격력!A:A,B1096,팀공격력!B:B,D1096)+SUMIFS(팀수비력!X:X,팀수비력!A:A,B1096,팀수비력!B:B,D1096))))*100,"")</f>
        <v>2.6337679782099594</v>
      </c>
      <c r="BJ1096" s="67">
        <f>IFERROR(((AI1096*(12000/5))/((F1096*60+G1096)*(SUMIFS(팀공격력!V:V,팀공격력!A:A,B1096,팀공격력!B:B,D1096)+SUMIFS(팀수비력!W:W,팀수비력!A:A,B1096,팀수비력!B:B,D1096))))*100,"")</f>
        <v>6.5433428302684131</v>
      </c>
      <c r="BK1096" s="67">
        <f>IFERROR(((AE1096*(12000/5))/((F1096*60+G1096)*(SUMIFS(팀공격력!X:X,팀공격력!A:A,B1096,팀공격력!B:B,D1096)+SUMIFS(팀수비력!X:X,팀수비력!A:A,B1096,팀수비력!B:B,D1096))))*100,"")</f>
        <v>5.7942895520619109</v>
      </c>
      <c r="BL1096" s="67">
        <f>IFERROR(100*AK1096/(((((F1096*60+G1096)/(12000/5))*SUMIFS(팀공격력!P:P,팀공격력!A:A,B1096,팀공격력!B:B,D1096))-K1096)),"")</f>
        <v>1.2689147606509534</v>
      </c>
      <c r="BM1096" s="67">
        <f>IFERROR(100*((AM1096/E1096*(2400))/((F1096*60+G1096)*SUMIFS(팀공격력!AR:AR,팀공격력!A:A,B1096,팀공격력!B:B,D1096))),"")</f>
        <v>0</v>
      </c>
      <c r="BN1096" s="67">
        <f>IFERROR((AO1096*40)/(((F1096*60+G1096)/60)*(SUMIFS(팀수비력!Q:Q,팀수비력!A:A,B1096,팀수비력!B:B,D1096)-SUMIFS(팀수비력!N:N,팀수비력!A:A,B1096,팀수비력!B:B,D1096)))*100,"")</f>
        <v>0</v>
      </c>
      <c r="BO1096" s="67">
        <f t="shared" si="529"/>
        <v>26.223776223776223</v>
      </c>
      <c r="BT1096" t="s">
        <v>89</v>
      </c>
      <c r="BV1096" t="s">
        <v>93</v>
      </c>
      <c r="CF1096">
        <v>6</v>
      </c>
      <c r="CG1096">
        <v>1</v>
      </c>
    </row>
    <row r="1097" spans="1:85" x14ac:dyDescent="0.4">
      <c r="A1097" s="11" t="s">
        <v>85</v>
      </c>
      <c r="B1097" t="s">
        <v>263</v>
      </c>
      <c r="C1097" t="s">
        <v>277</v>
      </c>
      <c r="D1097" s="46" t="s">
        <v>313</v>
      </c>
      <c r="E1097">
        <v>9</v>
      </c>
      <c r="F1097">
        <v>17</v>
      </c>
      <c r="G1097" s="1">
        <v>9</v>
      </c>
      <c r="H1097" s="16">
        <f t="shared" si="504"/>
        <v>9261</v>
      </c>
      <c r="I1097">
        <v>51</v>
      </c>
      <c r="J1097" s="17">
        <f t="shared" si="505"/>
        <v>5.666666666666667</v>
      </c>
      <c r="K1097">
        <v>16</v>
      </c>
      <c r="L1097">
        <v>36</v>
      </c>
      <c r="M1097" s="17">
        <f t="shared" si="506"/>
        <v>1.7777777777777777</v>
      </c>
      <c r="N1097" s="17">
        <f t="shared" si="507"/>
        <v>4</v>
      </c>
      <c r="O1097" s="18">
        <f t="shared" si="508"/>
        <v>0.44444444444444442</v>
      </c>
      <c r="P1097">
        <v>7</v>
      </c>
      <c r="Q1097">
        <v>14</v>
      </c>
      <c r="R1097" s="17">
        <f t="shared" si="509"/>
        <v>0.77777777777777779</v>
      </c>
      <c r="S1097" s="17">
        <f t="shared" si="510"/>
        <v>1.5555555555555556</v>
      </c>
      <c r="T1097" s="18">
        <f t="shared" si="511"/>
        <v>0.5</v>
      </c>
      <c r="U1097">
        <v>9</v>
      </c>
      <c r="V1097">
        <v>22</v>
      </c>
      <c r="W1097" s="17">
        <f t="shared" si="512"/>
        <v>1</v>
      </c>
      <c r="X1097" s="17">
        <f t="shared" si="513"/>
        <v>2.4444444444444446</v>
      </c>
      <c r="Y1097" s="18">
        <f t="shared" si="514"/>
        <v>0.40909090909090912</v>
      </c>
      <c r="Z1097">
        <v>10</v>
      </c>
      <c r="AA1097">
        <v>12</v>
      </c>
      <c r="AB1097" s="17">
        <f t="shared" si="515"/>
        <v>1.1111111111111112</v>
      </c>
      <c r="AC1097" s="17">
        <f t="shared" si="516"/>
        <v>1.3333333333333333</v>
      </c>
      <c r="AD1097" s="18">
        <f t="shared" si="517"/>
        <v>0.83333333333333337</v>
      </c>
      <c r="AE1097">
        <v>14</v>
      </c>
      <c r="AF1097" s="17">
        <f t="shared" si="518"/>
        <v>1.5555555555555556</v>
      </c>
      <c r="AG1097">
        <v>3</v>
      </c>
      <c r="AH1097" s="17">
        <f t="shared" si="519"/>
        <v>0.33333333333333331</v>
      </c>
      <c r="AI1097">
        <v>11</v>
      </c>
      <c r="AJ1097" s="17">
        <f t="shared" si="520"/>
        <v>1.2222222222222223</v>
      </c>
      <c r="AK1097">
        <v>34</v>
      </c>
      <c r="AL1097" s="17">
        <f t="shared" si="521"/>
        <v>3.7777777777777777</v>
      </c>
      <c r="AM1097">
        <v>7</v>
      </c>
      <c r="AN1097" s="17">
        <f t="shared" si="522"/>
        <v>0.77777777777777779</v>
      </c>
      <c r="AO1097">
        <v>2</v>
      </c>
      <c r="AQ1097">
        <v>12</v>
      </c>
      <c r="AR1097" s="17">
        <f t="shared" si="523"/>
        <v>1.3333333333333333</v>
      </c>
      <c r="AS1097">
        <v>15</v>
      </c>
      <c r="AT1097" s="17">
        <f t="shared" si="524"/>
        <v>1.6666666666666667</v>
      </c>
      <c r="BD1097" s="65">
        <f t="shared" si="525"/>
        <v>61.77325581395349</v>
      </c>
      <c r="BE1097" s="65">
        <f t="shared" si="526"/>
        <v>56.944444444444443</v>
      </c>
      <c r="BF1097" s="66">
        <f>IFERROR(100*((L1097+0.44*AA1097+AQ1097)*2400)/((SUMIFS(팀공격력!Q:Q,팀공격력!A:A,B1097,팀공격력!B:B,D1097)+0.44*SUMIFS(팀공격력!T:T,팀공격력!A:A,B1097,팀공격력!B:B,D1097)+SUMIFS(팀공격력!AK:AK,팀공격력!A:A,B1097,팀공격력!B:B,D1097))*(F1097*60+G1097)),"")</f>
        <v>15.20137759631355</v>
      </c>
      <c r="BG1097" s="38">
        <f t="shared" si="527"/>
        <v>0.61111111111111116</v>
      </c>
      <c r="BH1097" s="38">
        <f t="shared" si="528"/>
        <v>0.33333333333333331</v>
      </c>
      <c r="BI1097" s="67">
        <f>IFERROR(((AG1097*(12000/5))/((F1097*60+G1097)*(SUMIFS(팀공격력!X:X,팀공격력!A:A,B1097,팀공격력!B:B,D1097)+SUMIFS(팀수비력!X:X,팀수비력!A:A,B1097,팀수비력!B:B,D1097))))*100,"")</f>
        <v>1.0335427692917218</v>
      </c>
      <c r="BJ1097" s="67">
        <f>IFERROR(((AI1097*(12000/5))/((F1097*60+G1097)*(SUMIFS(팀공격력!V:V,팀공격력!A:A,B1097,팀공격력!B:B,D1097)+SUMIFS(팀수비력!W:W,팀수비력!A:A,B1097,팀수비력!B:B,D1097))))*100,"")</f>
        <v>7.845864427029003</v>
      </c>
      <c r="BK1097" s="67">
        <f>IFERROR(((AE1097*(12000/5))/((F1097*60+G1097)*(SUMIFS(팀공격력!X:X,팀공격력!A:A,B1097,팀공격력!B:B,D1097)+SUMIFS(팀수비력!X:X,팀수비력!A:A,B1097,팀수비력!B:B,D1097))))*100,"")</f>
        <v>4.8231995900280351</v>
      </c>
      <c r="BL1097" s="67">
        <f>IFERROR(100*AK1097/(((((F1097*60+G1097)/(12000/5))*SUMIFS(팀공격력!P:P,팀공격력!A:A,B1097,팀공격력!B:B,D1097))-K1097)),"")</f>
        <v>29.514529395169163</v>
      </c>
      <c r="BM1097" s="67">
        <f>IFERROR(100*((AM1097/E1097*(2400))/((F1097*60+G1097)*SUMIFS(팀공격력!AR:AR,팀공격력!A:A,B1097,팀공격력!B:B,D1097))),"")</f>
        <v>2.3131026085581836</v>
      </c>
      <c r="BN1097" s="67">
        <f>IFERROR((AO1097*40)/(((F1097*60+G1097)/60)*(SUMIFS(팀수비력!Q:Q,팀수비력!A:A,B1097,팀수비력!B:B,D1097)-SUMIFS(팀수비력!N:N,팀수비력!A:A,B1097,팀수비력!B:B,D1097)))*100,"")</f>
        <v>0.9924942621425471</v>
      </c>
      <c r="BO1097" s="67">
        <f t="shared" si="529"/>
        <v>22.522522522522522</v>
      </c>
      <c r="BT1097" t="s">
        <v>89</v>
      </c>
      <c r="BV1097" t="s">
        <v>90</v>
      </c>
      <c r="CF1097">
        <v>6</v>
      </c>
      <c r="CG1097">
        <v>3</v>
      </c>
    </row>
    <row r="1098" spans="1:85" x14ac:dyDescent="0.4">
      <c r="A1098" s="11" t="s">
        <v>85</v>
      </c>
      <c r="B1098" t="s">
        <v>263</v>
      </c>
      <c r="C1098" t="s">
        <v>278</v>
      </c>
      <c r="D1098" s="46" t="s">
        <v>313</v>
      </c>
      <c r="E1098">
        <v>9</v>
      </c>
      <c r="F1098">
        <v>30</v>
      </c>
      <c r="G1098" s="1">
        <v>20</v>
      </c>
      <c r="H1098" s="16">
        <f t="shared" si="504"/>
        <v>16380</v>
      </c>
      <c r="I1098">
        <v>169</v>
      </c>
      <c r="J1098" s="17">
        <f t="shared" si="505"/>
        <v>18.777777777777779</v>
      </c>
      <c r="K1098">
        <v>64</v>
      </c>
      <c r="L1098">
        <v>129</v>
      </c>
      <c r="M1098" s="17">
        <f t="shared" si="506"/>
        <v>7.1111111111111107</v>
      </c>
      <c r="N1098" s="17">
        <f t="shared" si="507"/>
        <v>14.333333333333334</v>
      </c>
      <c r="O1098" s="18">
        <f t="shared" si="508"/>
        <v>0.49612403100775193</v>
      </c>
      <c r="P1098">
        <v>45</v>
      </c>
      <c r="Q1098">
        <v>77</v>
      </c>
      <c r="R1098" s="17">
        <f t="shared" si="509"/>
        <v>5</v>
      </c>
      <c r="S1098" s="17">
        <f t="shared" si="510"/>
        <v>8.5555555555555554</v>
      </c>
      <c r="T1098" s="18">
        <f t="shared" si="511"/>
        <v>0.58441558441558439</v>
      </c>
      <c r="U1098">
        <v>19</v>
      </c>
      <c r="V1098">
        <v>52</v>
      </c>
      <c r="W1098" s="17">
        <f t="shared" si="512"/>
        <v>2.1111111111111112</v>
      </c>
      <c r="X1098" s="17">
        <f t="shared" si="513"/>
        <v>5.7777777777777777</v>
      </c>
      <c r="Y1098" s="18">
        <f t="shared" si="514"/>
        <v>0.36538461538461536</v>
      </c>
      <c r="Z1098">
        <v>22</v>
      </c>
      <c r="AA1098">
        <v>31</v>
      </c>
      <c r="AB1098" s="17">
        <f t="shared" si="515"/>
        <v>2.4444444444444446</v>
      </c>
      <c r="AC1098" s="17">
        <f t="shared" si="516"/>
        <v>3.4444444444444446</v>
      </c>
      <c r="AD1098" s="18">
        <f t="shared" si="517"/>
        <v>0.70967741935483875</v>
      </c>
      <c r="AE1098">
        <v>28</v>
      </c>
      <c r="AF1098" s="17">
        <f t="shared" si="518"/>
        <v>3.1111111111111112</v>
      </c>
      <c r="AG1098">
        <v>9</v>
      </c>
      <c r="AH1098" s="17">
        <f t="shared" si="519"/>
        <v>1</v>
      </c>
      <c r="AI1098">
        <v>19</v>
      </c>
      <c r="AJ1098" s="17">
        <f t="shared" si="520"/>
        <v>2.1111111111111112</v>
      </c>
      <c r="AK1098">
        <v>55</v>
      </c>
      <c r="AL1098" s="17">
        <f t="shared" si="521"/>
        <v>6.1111111111111107</v>
      </c>
      <c r="AM1098">
        <v>9</v>
      </c>
      <c r="AN1098" s="17">
        <f t="shared" si="522"/>
        <v>1</v>
      </c>
      <c r="AO1098">
        <v>2</v>
      </c>
      <c r="AQ1098">
        <v>16</v>
      </c>
      <c r="AR1098" s="17">
        <f t="shared" si="523"/>
        <v>1.7777777777777777</v>
      </c>
      <c r="AS1098">
        <v>18</v>
      </c>
      <c r="AT1098" s="17">
        <f t="shared" si="524"/>
        <v>2</v>
      </c>
      <c r="BD1098" s="65">
        <f t="shared" si="525"/>
        <v>59.240044868199668</v>
      </c>
      <c r="BE1098" s="65">
        <f t="shared" si="526"/>
        <v>56.97674418604651</v>
      </c>
      <c r="BF1098" s="66">
        <f>IFERROR(100*((L1098+0.44*AA1098+AQ1098)*2400)/((SUMIFS(팀공격력!Q:Q,팀공격력!A:A,B1098,팀공격력!B:B,D1098)+0.44*SUMIFS(팀공격력!T:T,팀공격력!A:A,B1098,팀공격력!B:B,D1098)+SUMIFS(팀공격력!AK:AK,팀공격력!A:A,B1098,팀공격력!B:B,D1098))*(F1098*60+G1098)),"")</f>
        <v>25.59030244111224</v>
      </c>
      <c r="BG1098" s="38">
        <f t="shared" si="527"/>
        <v>0.40310077519379844</v>
      </c>
      <c r="BH1098" s="38">
        <f t="shared" si="528"/>
        <v>0.24031007751937986</v>
      </c>
      <c r="BI1098" s="67">
        <f>IFERROR(((AG1098*(12000/5))/((F1098*60+G1098)*(SUMIFS(팀공격력!X:X,팀공격력!A:A,B1098,팀공격력!B:B,D1098)+SUMIFS(팀수비력!X:X,팀수비력!A:A,B1098,팀수비력!B:B,D1098))))*100,"")</f>
        <v>1.7530475432986512</v>
      </c>
      <c r="BJ1098" s="67">
        <f>IFERROR(((AI1098*(12000/5))/((F1098*60+G1098)*(SUMIFS(팀공격력!V:V,팀공격력!A:A,B1098,팀공격력!B:B,D1098)+SUMIFS(팀수비력!W:W,팀수비력!A:A,B1098,팀수비력!B:B,D1098))))*100,"")</f>
        <v>7.6620627079342682</v>
      </c>
      <c r="BK1098" s="67">
        <f>IFERROR(((AE1098*(12000/5))/((F1098*60+G1098)*(SUMIFS(팀공격력!X:X,팀공격력!A:A,B1098,팀공격력!B:B,D1098)+SUMIFS(팀수비력!X:X,팀수비력!A:A,B1098,팀수비력!B:B,D1098))))*100,"")</f>
        <v>5.4539256902624702</v>
      </c>
      <c r="BL1098" s="67">
        <f>IFERROR(100*AK1098/(((((F1098*60+G1098)/(12000/5))*SUMIFS(팀공격력!P:P,팀공격력!A:A,B1098,팀공격력!B:B,D1098))-K1098)),"")</f>
        <v>32.72835465635228</v>
      </c>
      <c r="BM1098" s="67">
        <f>IFERROR(100*((AM1098/E1098*(2400))/((F1098*60+G1098)*SUMIFS(팀공격력!AR:AR,팀공격력!A:A,B1098,팀공격력!B:B,D1098))),"")</f>
        <v>1.6814476654519104</v>
      </c>
      <c r="BN1098" s="67">
        <f>IFERROR((AO1098*40)/(((F1098*60+G1098)/60)*(SUMIFS(팀수비력!Q:Q,팀수비력!A:A,B1098,팀수비력!B:B,D1098)-SUMIFS(팀수비력!N:N,팀수비력!A:A,B1098,팀수비력!B:B,D1098)))*100,"")</f>
        <v>0.56114098667290158</v>
      </c>
      <c r="BO1098" s="67">
        <f t="shared" si="529"/>
        <v>10.085728693898135</v>
      </c>
      <c r="BT1098" t="s">
        <v>113</v>
      </c>
      <c r="BV1098" t="s">
        <v>90</v>
      </c>
      <c r="CF1098">
        <v>6</v>
      </c>
      <c r="CG1098">
        <v>3</v>
      </c>
    </row>
    <row r="1099" spans="1:85" x14ac:dyDescent="0.4">
      <c r="A1099" s="11" t="s">
        <v>85</v>
      </c>
      <c r="B1099" t="s">
        <v>263</v>
      </c>
      <c r="C1099" t="s">
        <v>279</v>
      </c>
      <c r="D1099" s="46" t="s">
        <v>313</v>
      </c>
      <c r="E1099">
        <v>2</v>
      </c>
      <c r="F1099">
        <v>14</v>
      </c>
      <c r="G1099" s="1">
        <v>16</v>
      </c>
      <c r="H1099" s="16">
        <f t="shared" si="504"/>
        <v>1712</v>
      </c>
      <c r="I1099">
        <v>5</v>
      </c>
      <c r="J1099" s="17">
        <f t="shared" si="505"/>
        <v>2.5</v>
      </c>
      <c r="K1099">
        <v>2</v>
      </c>
      <c r="L1099">
        <v>8</v>
      </c>
      <c r="M1099" s="17">
        <f t="shared" si="506"/>
        <v>1</v>
      </c>
      <c r="N1099" s="17">
        <f t="shared" si="507"/>
        <v>4</v>
      </c>
      <c r="O1099" s="18">
        <f t="shared" si="508"/>
        <v>0.25</v>
      </c>
      <c r="P1099">
        <v>1</v>
      </c>
      <c r="Q1099">
        <v>3</v>
      </c>
      <c r="R1099" s="17">
        <f t="shared" si="509"/>
        <v>0.5</v>
      </c>
      <c r="S1099" s="17">
        <f t="shared" si="510"/>
        <v>1.5</v>
      </c>
      <c r="T1099" s="18">
        <f t="shared" si="511"/>
        <v>0.33333333333333331</v>
      </c>
      <c r="U1099">
        <v>1</v>
      </c>
      <c r="V1099">
        <v>5</v>
      </c>
      <c r="W1099" s="17">
        <f t="shared" si="512"/>
        <v>0.5</v>
      </c>
      <c r="X1099" s="17">
        <f t="shared" si="513"/>
        <v>2.5</v>
      </c>
      <c r="Y1099" s="18">
        <f t="shared" si="514"/>
        <v>0.2</v>
      </c>
      <c r="Z1099">
        <v>0</v>
      </c>
      <c r="AA1099">
        <v>0</v>
      </c>
      <c r="AB1099" s="17">
        <f t="shared" si="515"/>
        <v>0</v>
      </c>
      <c r="AC1099" s="17">
        <f t="shared" si="516"/>
        <v>0</v>
      </c>
      <c r="AD1099" s="18" t="e">
        <f t="shared" si="517"/>
        <v>#DIV/0!</v>
      </c>
      <c r="AE1099">
        <v>5</v>
      </c>
      <c r="AF1099" s="17">
        <f t="shared" si="518"/>
        <v>2.5</v>
      </c>
      <c r="AG1099">
        <v>3</v>
      </c>
      <c r="AH1099" s="17">
        <f t="shared" si="519"/>
        <v>1.5</v>
      </c>
      <c r="AI1099">
        <v>2</v>
      </c>
      <c r="AJ1099" s="17">
        <f t="shared" si="520"/>
        <v>1</v>
      </c>
      <c r="AK1099">
        <v>4</v>
      </c>
      <c r="AL1099" s="17">
        <f t="shared" si="521"/>
        <v>2</v>
      </c>
      <c r="AM1099">
        <v>1</v>
      </c>
      <c r="AN1099" s="17">
        <f t="shared" si="522"/>
        <v>0.5</v>
      </c>
      <c r="AO1099">
        <v>0</v>
      </c>
      <c r="AQ1099">
        <v>1</v>
      </c>
      <c r="AR1099" s="17">
        <f t="shared" si="523"/>
        <v>0.5</v>
      </c>
      <c r="AS1099">
        <v>1</v>
      </c>
      <c r="AT1099" s="17">
        <f t="shared" si="524"/>
        <v>0.5</v>
      </c>
      <c r="BD1099" s="65">
        <f t="shared" si="525"/>
        <v>31.25</v>
      </c>
      <c r="BE1099" s="65">
        <f t="shared" si="526"/>
        <v>31.25</v>
      </c>
      <c r="BF1099" s="66">
        <f>IFERROR(100*((L1099+0.44*AA1099+AQ1099)*2400)/((SUMIFS(팀공격력!Q:Q,팀공격력!A:A,B1099,팀공격력!B:B,D1099)+0.44*SUMIFS(팀공격력!T:T,팀공격력!A:A,B1099,팀공격력!B:B,D1099)+SUMIFS(팀공격력!AK:AK,팀공격력!A:A,B1099,팀공격력!B:B,D1099))*(F1099*60+G1099)),"")</f>
        <v>3.0867599035833395</v>
      </c>
      <c r="BG1099" s="38">
        <f t="shared" si="527"/>
        <v>0.625</v>
      </c>
      <c r="BH1099" s="38">
        <f t="shared" si="528"/>
        <v>0</v>
      </c>
      <c r="BI1099" s="67">
        <f>IFERROR(((AG1099*(12000/5))/((F1099*60+G1099)*(SUMIFS(팀공격력!X:X,팀공격력!A:A,B1099,팀공격력!B:B,D1099)+SUMIFS(팀수비력!X:X,팀수비력!A:A,B1099,팀수비력!B:B,D1099))))*100,"")</f>
        <v>1.2424246607490439</v>
      </c>
      <c r="BJ1099" s="67">
        <f>IFERROR(((AI1099*(12000/5))/((F1099*60+G1099)*(SUMIFS(팀공격력!V:V,팀공격력!A:A,B1099,팀공격력!B:B,D1099)+SUMIFS(팀수비력!W:W,팀수비력!A:A,B1099,팀수비력!B:B,D1099))))*100,"")</f>
        <v>1.7148246591785992</v>
      </c>
      <c r="BK1099" s="67">
        <f>IFERROR(((AE1099*(12000/5))/((F1099*60+G1099)*(SUMIFS(팀공격력!X:X,팀공격력!A:A,B1099,팀공격력!B:B,D1099)+SUMIFS(팀수비력!X:X,팀수비력!A:A,B1099,팀수비력!B:B,D1099))))*100,"")</f>
        <v>2.0707077679150734</v>
      </c>
      <c r="BL1099" s="67">
        <f>IFERROR(100*AK1099/(((((F1099*60+G1099)/(12000/5))*SUMIFS(팀공격력!P:P,팀공격력!A:A,B1099,팀공격력!B:B,D1099))-K1099)),"")</f>
        <v>3.7334328915437744</v>
      </c>
      <c r="BM1099" s="67">
        <f>IFERROR(100*((AM1099/E1099*(2400))/((F1099*60+G1099)*SUMIFS(팀공격력!AR:AR,팀공격력!A:A,B1099,팀공격력!B:B,D1099))),"")</f>
        <v>1.7875202985528484</v>
      </c>
      <c r="BN1099" s="67">
        <f>IFERROR((AO1099*40)/(((F1099*60+G1099)/60)*(SUMIFS(팀수비력!Q:Q,팀수비력!A:A,B1099,팀수비력!B:B,D1099)-SUMIFS(팀수비력!N:N,팀수비력!A:A,B1099,팀수비력!B:B,D1099)))*100,"")</f>
        <v>0</v>
      </c>
      <c r="BO1099" s="67">
        <f t="shared" si="529"/>
        <v>11.111111111111111</v>
      </c>
      <c r="BT1099" t="s">
        <v>89</v>
      </c>
      <c r="BV1099" t="s">
        <v>90</v>
      </c>
      <c r="CF1099">
        <v>2</v>
      </c>
      <c r="CG1099">
        <v>0</v>
      </c>
    </row>
    <row r="1100" spans="1:85" x14ac:dyDescent="0.4">
      <c r="A1100" s="11" t="s">
        <v>85</v>
      </c>
      <c r="B1100" t="s">
        <v>263</v>
      </c>
      <c r="C1100" t="s">
        <v>280</v>
      </c>
      <c r="D1100" s="46" t="s">
        <v>313</v>
      </c>
      <c r="E1100">
        <v>3</v>
      </c>
      <c r="F1100">
        <v>3</v>
      </c>
      <c r="G1100" s="1">
        <v>39</v>
      </c>
      <c r="H1100" s="16">
        <f t="shared" si="504"/>
        <v>657</v>
      </c>
      <c r="I1100">
        <v>2</v>
      </c>
      <c r="J1100" s="17">
        <f t="shared" si="505"/>
        <v>0.66666666666666663</v>
      </c>
      <c r="K1100">
        <v>1</v>
      </c>
      <c r="L1100">
        <v>3</v>
      </c>
      <c r="M1100" s="17">
        <f t="shared" si="506"/>
        <v>0.33333333333333331</v>
      </c>
      <c r="N1100" s="17">
        <f t="shared" si="507"/>
        <v>1</v>
      </c>
      <c r="O1100" s="18">
        <f t="shared" si="508"/>
        <v>0.33333333333333331</v>
      </c>
      <c r="P1100">
        <v>1</v>
      </c>
      <c r="Q1100">
        <v>3</v>
      </c>
      <c r="R1100" s="17">
        <f t="shared" si="509"/>
        <v>0.33333333333333331</v>
      </c>
      <c r="S1100" s="17">
        <f t="shared" si="510"/>
        <v>1</v>
      </c>
      <c r="T1100" s="18">
        <f t="shared" si="511"/>
        <v>0.33333333333333331</v>
      </c>
      <c r="U1100">
        <v>0</v>
      </c>
      <c r="V1100">
        <v>0</v>
      </c>
      <c r="W1100" s="17">
        <f t="shared" si="512"/>
        <v>0</v>
      </c>
      <c r="X1100" s="17">
        <f t="shared" si="513"/>
        <v>0</v>
      </c>
      <c r="Y1100" s="18" t="e">
        <f t="shared" si="514"/>
        <v>#DIV/0!</v>
      </c>
      <c r="Z1100">
        <v>0</v>
      </c>
      <c r="AA1100">
        <v>2</v>
      </c>
      <c r="AB1100" s="17">
        <f t="shared" si="515"/>
        <v>0</v>
      </c>
      <c r="AC1100" s="17">
        <f t="shared" si="516"/>
        <v>0.66666666666666663</v>
      </c>
      <c r="AD1100" s="18">
        <f t="shared" si="517"/>
        <v>0</v>
      </c>
      <c r="AE1100">
        <v>4</v>
      </c>
      <c r="AF1100" s="17">
        <f t="shared" si="518"/>
        <v>1.3333333333333333</v>
      </c>
      <c r="AG1100">
        <v>3</v>
      </c>
      <c r="AH1100" s="17">
        <f t="shared" si="519"/>
        <v>1</v>
      </c>
      <c r="AI1100">
        <v>1</v>
      </c>
      <c r="AJ1100" s="17">
        <f t="shared" si="520"/>
        <v>0.33333333333333331</v>
      </c>
      <c r="AK1100">
        <v>0</v>
      </c>
      <c r="AL1100" s="17">
        <f t="shared" si="521"/>
        <v>0</v>
      </c>
      <c r="AM1100">
        <v>0</v>
      </c>
      <c r="AN1100" s="17">
        <f t="shared" si="522"/>
        <v>0</v>
      </c>
      <c r="AO1100">
        <v>0</v>
      </c>
      <c r="AQ1100">
        <v>1</v>
      </c>
      <c r="AR1100" s="17">
        <f t="shared" si="523"/>
        <v>0.33333333333333331</v>
      </c>
      <c r="AS1100">
        <v>4</v>
      </c>
      <c r="AT1100" s="17">
        <f t="shared" si="524"/>
        <v>1.3333333333333333</v>
      </c>
      <c r="BD1100" s="65">
        <f t="shared" si="525"/>
        <v>25.773195876288664</v>
      </c>
      <c r="BE1100" s="65">
        <f t="shared" si="526"/>
        <v>33.333333333333329</v>
      </c>
      <c r="BF1100" s="66">
        <f>IFERROR(100*((L1100+0.44*AA1100+AQ1100)*2400)/((SUMIFS(팀공격력!Q:Q,팀공격력!A:A,B1100,팀공격력!B:B,D1100)+0.44*SUMIFS(팀공격력!T:T,팀공격력!A:A,B1100,팀공격력!B:B,D1100)+SUMIFS(팀공격력!AK:AK,팀공격력!A:A,B1100,팀공격력!B:B,D1100))*(F1100*60+G1100)),"")</f>
        <v>6.5419890461900625</v>
      </c>
      <c r="BG1100" s="38">
        <f t="shared" si="527"/>
        <v>0</v>
      </c>
      <c r="BH1100" s="38">
        <f t="shared" si="528"/>
        <v>0.66666666666666663</v>
      </c>
      <c r="BI1100" s="67">
        <f>IFERROR(((AG1100*(12000/5))/((F1100*60+G1100)*(SUMIFS(팀공격력!X:X,팀공격력!A:A,B1100,팀공격력!B:B,D1100)+SUMIFS(팀수비력!X:X,팀수비력!A:A,B1100,팀수비력!B:B,D1100))))*100,"")</f>
        <v>4.8562352036583638</v>
      </c>
      <c r="BJ1100" s="67">
        <f>IFERROR(((AI1100*(12000/5))/((F1100*60+G1100)*(SUMIFS(팀공격력!V:V,팀공격력!A:A,B1100,팀공격력!B:B,D1100)+SUMIFS(팀수비력!W:W,팀수비력!A:A,B1100,팀수비력!B:B,D1100))))*100,"")</f>
        <v>3.3513468225042939</v>
      </c>
      <c r="BK1100" s="67">
        <f>IFERROR(((AE1100*(12000/5))/((F1100*60+G1100)*(SUMIFS(팀공격력!X:X,팀공격력!A:A,B1100,팀공격력!B:B,D1100)+SUMIFS(팀수비력!X:X,팀수비력!A:A,B1100,팀수비력!B:B,D1100))))*100,"")</f>
        <v>6.4749802715444851</v>
      </c>
      <c r="BL1100" s="67">
        <f>IFERROR(100*AK1100/(((((F1100*60+G1100)/(12000/5))*SUMIFS(팀공격력!P:P,팀공격력!A:A,B1100,팀공격력!B:B,D1100))-K1100)),"")</f>
        <v>0</v>
      </c>
      <c r="BM1100" s="67">
        <f>IFERROR(100*((AM1100/E1100*(2400))/((F1100*60+G1100)*SUMIFS(팀공격력!AR:AR,팀공격력!A:A,B1100,팀공격력!B:B,D1100))),"")</f>
        <v>0</v>
      </c>
      <c r="BN1100" s="67">
        <f>IFERROR((AO1100*40)/(((F1100*60+G1100)/60)*(SUMIFS(팀수비력!Q:Q,팀수비력!A:A,B1100,팀수비력!B:B,D1100)-SUMIFS(팀수비력!N:N,팀수비력!A:A,B1100,팀수비력!B:B,D1100)))*100,"")</f>
        <v>0</v>
      </c>
      <c r="BO1100" s="67">
        <f t="shared" si="529"/>
        <v>20.491803278688526</v>
      </c>
      <c r="BT1100" t="s">
        <v>89</v>
      </c>
      <c r="BV1100" t="s">
        <v>102</v>
      </c>
      <c r="CF1100">
        <v>1</v>
      </c>
      <c r="CG1100">
        <v>2</v>
      </c>
    </row>
    <row r="1101" spans="1:85" x14ac:dyDescent="0.4">
      <c r="A1101" s="11" t="s">
        <v>85</v>
      </c>
      <c r="B1101" t="s">
        <v>263</v>
      </c>
      <c r="C1101" t="s">
        <v>281</v>
      </c>
      <c r="D1101" s="46" t="s">
        <v>313</v>
      </c>
      <c r="E1101">
        <v>1</v>
      </c>
      <c r="F1101">
        <v>11</v>
      </c>
      <c r="G1101" s="1">
        <v>29</v>
      </c>
      <c r="H1101" s="16">
        <f t="shared" si="504"/>
        <v>689</v>
      </c>
      <c r="I1101">
        <v>3</v>
      </c>
      <c r="J1101" s="17">
        <f t="shared" si="505"/>
        <v>3</v>
      </c>
      <c r="K1101">
        <v>1</v>
      </c>
      <c r="L1101">
        <v>7</v>
      </c>
      <c r="M1101" s="17">
        <f t="shared" si="506"/>
        <v>1</v>
      </c>
      <c r="N1101" s="17">
        <f t="shared" si="507"/>
        <v>7</v>
      </c>
      <c r="O1101" s="18">
        <f t="shared" si="508"/>
        <v>0.14285714285714285</v>
      </c>
      <c r="P1101">
        <v>1</v>
      </c>
      <c r="Q1101">
        <v>7</v>
      </c>
      <c r="R1101" s="17">
        <f t="shared" si="509"/>
        <v>1</v>
      </c>
      <c r="S1101" s="17">
        <f t="shared" si="510"/>
        <v>7</v>
      </c>
      <c r="T1101" s="18">
        <f t="shared" si="511"/>
        <v>0.14285714285714285</v>
      </c>
      <c r="U1101">
        <v>0</v>
      </c>
      <c r="V1101">
        <v>0</v>
      </c>
      <c r="W1101" s="17">
        <f t="shared" si="512"/>
        <v>0</v>
      </c>
      <c r="X1101" s="17">
        <f t="shared" si="513"/>
        <v>0</v>
      </c>
      <c r="Y1101" s="18" t="e">
        <f t="shared" si="514"/>
        <v>#DIV/0!</v>
      </c>
      <c r="Z1101">
        <v>1</v>
      </c>
      <c r="AA1101">
        <v>2</v>
      </c>
      <c r="AB1101" s="17">
        <f t="shared" si="515"/>
        <v>1</v>
      </c>
      <c r="AC1101" s="17">
        <f t="shared" si="516"/>
        <v>2</v>
      </c>
      <c r="AD1101" s="18">
        <f t="shared" si="517"/>
        <v>0.5</v>
      </c>
      <c r="AE1101">
        <v>1</v>
      </c>
      <c r="AF1101" s="17">
        <f t="shared" si="518"/>
        <v>1</v>
      </c>
      <c r="AG1101">
        <v>1</v>
      </c>
      <c r="AH1101" s="17">
        <f t="shared" si="519"/>
        <v>1</v>
      </c>
      <c r="AI1101">
        <v>0</v>
      </c>
      <c r="AJ1101" s="17">
        <f t="shared" si="520"/>
        <v>0</v>
      </c>
      <c r="AK1101">
        <v>2</v>
      </c>
      <c r="AL1101" s="17">
        <f t="shared" si="521"/>
        <v>2</v>
      </c>
      <c r="AM1101">
        <v>0</v>
      </c>
      <c r="AN1101" s="17">
        <f t="shared" si="522"/>
        <v>0</v>
      </c>
      <c r="AO1101">
        <v>0</v>
      </c>
      <c r="AQ1101">
        <v>1</v>
      </c>
      <c r="AR1101" s="17">
        <f t="shared" si="523"/>
        <v>1</v>
      </c>
      <c r="AS1101">
        <v>1</v>
      </c>
      <c r="AT1101" s="17">
        <f t="shared" si="524"/>
        <v>1</v>
      </c>
      <c r="BD1101" s="65">
        <f t="shared" si="525"/>
        <v>19.035532994923859</v>
      </c>
      <c r="BE1101" s="65">
        <f t="shared" si="526"/>
        <v>14.285714285714285</v>
      </c>
      <c r="BF1101" s="66">
        <f>IFERROR(100*((L1101+0.44*AA1101+AQ1101)*2400)/((SUMIFS(팀공격력!Q:Q,팀공격력!A:A,B1101,팀공격력!B:B,D1101)+0.44*SUMIFS(팀공격력!T:T,팀공격력!A:A,B1101,팀공격력!B:B,D1101)+SUMIFS(팀공격력!AK:AK,팀공격력!A:A,B1101,팀공격력!B:B,D1101))*(F1101*60+G1101)),"")</f>
        <v>3.7837971810853031</v>
      </c>
      <c r="BG1101" s="38">
        <f t="shared" si="527"/>
        <v>0</v>
      </c>
      <c r="BH1101" s="38">
        <f t="shared" si="528"/>
        <v>0.2857142857142857</v>
      </c>
      <c r="BI1101" s="67">
        <f>IFERROR(((AG1101*(12000/5))/((F1101*60+G1101)*(SUMIFS(팀공격력!X:X,팀공격력!A:A,B1101,팀공격력!B:B,D1101)+SUMIFS(팀수비력!X:X,팀수비력!A:A,B1101,팀수비력!B:B,D1101))))*100,"")</f>
        <v>0.51452129153419535</v>
      </c>
      <c r="BJ1101" s="67">
        <f>IFERROR(((AI1101*(12000/5))/((F1101*60+G1101)*(SUMIFS(팀공격력!V:V,팀공격력!A:A,B1101,팀공격력!B:B,D1101)+SUMIFS(팀수비력!W:W,팀수비력!A:A,B1101,팀수비력!B:B,D1101))))*100,"")</f>
        <v>0</v>
      </c>
      <c r="BK1101" s="67">
        <f>IFERROR(((AE1101*(12000/5))/((F1101*60+G1101)*(SUMIFS(팀공격력!X:X,팀공격력!A:A,B1101,팀공격력!B:B,D1101)+SUMIFS(팀수비력!X:X,팀수비력!A:A,B1101,팀수비력!B:B,D1101))))*100,"")</f>
        <v>0.51452129153419535</v>
      </c>
      <c r="BL1101" s="67">
        <f>IFERROR(100*AK1101/(((((F1101*60+G1101)/(12000/5))*SUMIFS(팀공격력!P:P,팀공격력!A:A,B1101,팀공격력!B:B,D1101))-K1101)),"")</f>
        <v>2.302887244883272</v>
      </c>
      <c r="BM1101" s="67">
        <f>IFERROR(100*((AM1101/E1101*(2400))/((F1101*60+G1101)*SUMIFS(팀공격력!AR:AR,팀공격력!A:A,B1101,팀공격력!B:B,D1101))),"")</f>
        <v>0</v>
      </c>
      <c r="BN1101" s="67">
        <f>IFERROR((AO1101*40)/(((F1101*60+G1101)/60)*(SUMIFS(팀수비력!Q:Q,팀수비력!A:A,B1101,팀수비력!B:B,D1101)-SUMIFS(팀수비력!N:N,팀수비력!A:A,B1101,팀수비력!B:B,D1101)))*100,"")</f>
        <v>0</v>
      </c>
      <c r="BO1101" s="67">
        <f t="shared" si="529"/>
        <v>11.261261261261263</v>
      </c>
      <c r="BT1101" t="s">
        <v>89</v>
      </c>
      <c r="BV1101" t="s">
        <v>90</v>
      </c>
      <c r="CF1101">
        <v>0</v>
      </c>
      <c r="CG1101">
        <v>1</v>
      </c>
    </row>
    <row r="1102" spans="1:85" x14ac:dyDescent="0.4">
      <c r="A1102" s="11" t="s">
        <v>85</v>
      </c>
      <c r="B1102" t="s">
        <v>263</v>
      </c>
      <c r="C1102" t="s">
        <v>282</v>
      </c>
      <c r="D1102" s="46" t="s">
        <v>313</v>
      </c>
      <c r="E1102">
        <v>1</v>
      </c>
      <c r="F1102">
        <v>12</v>
      </c>
      <c r="G1102" s="1">
        <v>48</v>
      </c>
      <c r="H1102" s="16">
        <f t="shared" si="504"/>
        <v>768</v>
      </c>
      <c r="I1102">
        <v>0</v>
      </c>
      <c r="J1102" s="17">
        <f t="shared" si="505"/>
        <v>0</v>
      </c>
      <c r="K1102">
        <v>0</v>
      </c>
      <c r="L1102">
        <v>1</v>
      </c>
      <c r="M1102" s="17">
        <f t="shared" si="506"/>
        <v>0</v>
      </c>
      <c r="N1102" s="17">
        <f t="shared" si="507"/>
        <v>1</v>
      </c>
      <c r="O1102" s="18">
        <f t="shared" si="508"/>
        <v>0</v>
      </c>
      <c r="P1102">
        <v>0</v>
      </c>
      <c r="Q1102">
        <v>1</v>
      </c>
      <c r="R1102" s="17">
        <f t="shared" si="509"/>
        <v>0</v>
      </c>
      <c r="S1102" s="17">
        <f t="shared" si="510"/>
        <v>1</v>
      </c>
      <c r="T1102" s="18">
        <f t="shared" si="511"/>
        <v>0</v>
      </c>
      <c r="U1102">
        <v>0</v>
      </c>
      <c r="V1102">
        <v>0</v>
      </c>
      <c r="W1102" s="17">
        <f t="shared" si="512"/>
        <v>0</v>
      </c>
      <c r="X1102" s="17">
        <f t="shared" si="513"/>
        <v>0</v>
      </c>
      <c r="Y1102" s="18" t="e">
        <f t="shared" si="514"/>
        <v>#DIV/0!</v>
      </c>
      <c r="Z1102">
        <v>0</v>
      </c>
      <c r="AA1102">
        <v>0</v>
      </c>
      <c r="AB1102" s="17">
        <f t="shared" si="515"/>
        <v>0</v>
      </c>
      <c r="AC1102" s="17">
        <f t="shared" si="516"/>
        <v>0</v>
      </c>
      <c r="AD1102" s="18" t="e">
        <f t="shared" si="517"/>
        <v>#DIV/0!</v>
      </c>
      <c r="AE1102">
        <v>0</v>
      </c>
      <c r="AF1102" s="17">
        <f t="shared" si="518"/>
        <v>0</v>
      </c>
      <c r="AG1102">
        <v>0</v>
      </c>
      <c r="AH1102" s="17">
        <f t="shared" si="519"/>
        <v>0</v>
      </c>
      <c r="AI1102">
        <v>0</v>
      </c>
      <c r="AJ1102" s="17">
        <f t="shared" si="520"/>
        <v>0</v>
      </c>
      <c r="AK1102">
        <v>0</v>
      </c>
      <c r="AL1102" s="17">
        <f t="shared" si="521"/>
        <v>0</v>
      </c>
      <c r="AM1102">
        <v>0</v>
      </c>
      <c r="AN1102" s="17">
        <f t="shared" si="522"/>
        <v>0</v>
      </c>
      <c r="AO1102">
        <v>0</v>
      </c>
      <c r="AQ1102">
        <v>0</v>
      </c>
      <c r="AR1102" s="17">
        <f t="shared" si="523"/>
        <v>0</v>
      </c>
      <c r="AS1102">
        <v>2</v>
      </c>
      <c r="AT1102" s="17">
        <f t="shared" si="524"/>
        <v>2</v>
      </c>
      <c r="BD1102" s="65">
        <f t="shared" si="525"/>
        <v>0</v>
      </c>
      <c r="BE1102" s="65">
        <f t="shared" si="526"/>
        <v>0</v>
      </c>
      <c r="BF1102" s="66">
        <f>IFERROR(100*((L1102+0.44*AA1102+AQ1102)*2400)/((SUMIFS(팀공격력!Q:Q,팀공격력!A:A,B1102,팀공격력!B:B,D1102)+0.44*SUMIFS(팀공격력!T:T,팀공격력!A:A,B1102,팀공격력!B:B,D1102)+SUMIFS(팀공격력!AK:AK,팀공격력!A:A,B1102,팀공격력!B:B,D1102))*(F1102*60+G1102)),"")</f>
        <v>0.38227234917062192</v>
      </c>
      <c r="BG1102" s="38">
        <f t="shared" si="527"/>
        <v>0</v>
      </c>
      <c r="BH1102" s="38">
        <f t="shared" si="528"/>
        <v>0</v>
      </c>
      <c r="BI1102" s="67">
        <f>IFERROR(((AG1102*(12000/5))/((F1102*60+G1102)*(SUMIFS(팀공격력!X:X,팀공격력!A:A,B1102,팀공격력!B:B,D1102)+SUMIFS(팀수비력!X:X,팀수비력!A:A,B1102,팀수비력!B:B,D1102))))*100,"")</f>
        <v>0</v>
      </c>
      <c r="BJ1102" s="67">
        <f>IFERROR(((AI1102*(12000/5))/((F1102*60+G1102)*(SUMIFS(팀공격력!V:V,팀공격력!A:A,B1102,팀공격력!B:B,D1102)+SUMIFS(팀수비력!W:W,팀수비력!A:A,B1102,팀수비력!B:B,D1102))))*100,"")</f>
        <v>0</v>
      </c>
      <c r="BK1102" s="67">
        <f>IFERROR(((AE1102*(12000/5))/((F1102*60+G1102)*(SUMIFS(팀공격력!X:X,팀공격력!A:A,B1102,팀공격력!B:B,D1102)+SUMIFS(팀수비력!X:X,팀수비력!A:A,B1102,팀수비력!B:B,D1102))))*100,"")</f>
        <v>0</v>
      </c>
      <c r="BL1102" s="67">
        <f>IFERROR(100*AK1102/(((((F1102*60+G1102)/(12000/5))*SUMIFS(팀공격력!P:P,팀공격력!A:A,B1102,팀공격력!B:B,D1102))-K1102)),"")</f>
        <v>0</v>
      </c>
      <c r="BM1102" s="67">
        <f>IFERROR(100*((AM1102/E1102*(2400))/((F1102*60+G1102)*SUMIFS(팀공격력!AR:AR,팀공격력!A:A,B1102,팀공격력!B:B,D1102))),"")</f>
        <v>0</v>
      </c>
      <c r="BN1102" s="67">
        <f>IFERROR((AO1102*40)/(((F1102*60+G1102)/60)*(SUMIFS(팀수비력!Q:Q,팀수비력!A:A,B1102,팀수비력!B:B,D1102)-SUMIFS(팀수비력!N:N,팀수비력!A:A,B1102,팀수비력!B:B,D1102)))*100,"")</f>
        <v>0</v>
      </c>
      <c r="BO1102" s="67">
        <f t="shared" si="529"/>
        <v>0</v>
      </c>
      <c r="BT1102" t="s">
        <v>89</v>
      </c>
      <c r="BV1102" t="s">
        <v>93</v>
      </c>
      <c r="CF1102">
        <v>0</v>
      </c>
      <c r="CG1102">
        <v>1</v>
      </c>
    </row>
    <row r="1103" spans="1:85" x14ac:dyDescent="0.4">
      <c r="A1103" s="11" t="s">
        <v>85</v>
      </c>
      <c r="B1103" t="s">
        <v>263</v>
      </c>
      <c r="C1103" t="s">
        <v>283</v>
      </c>
      <c r="D1103" s="46" t="s">
        <v>313</v>
      </c>
      <c r="E1103">
        <v>9</v>
      </c>
      <c r="F1103">
        <v>17</v>
      </c>
      <c r="G1103" s="1">
        <v>51</v>
      </c>
      <c r="H1103" s="16">
        <f t="shared" si="504"/>
        <v>9639</v>
      </c>
      <c r="I1103">
        <v>95</v>
      </c>
      <c r="J1103" s="17">
        <f t="shared" si="505"/>
        <v>10.555555555555555</v>
      </c>
      <c r="K1103">
        <v>40</v>
      </c>
      <c r="L1103">
        <v>70</v>
      </c>
      <c r="M1103" s="17">
        <f t="shared" si="506"/>
        <v>4.4444444444444446</v>
      </c>
      <c r="N1103" s="17">
        <f t="shared" si="507"/>
        <v>7.7777777777777777</v>
      </c>
      <c r="O1103" s="18">
        <f t="shared" si="508"/>
        <v>0.5714285714285714</v>
      </c>
      <c r="P1103">
        <v>34</v>
      </c>
      <c r="Q1103">
        <v>58</v>
      </c>
      <c r="R1103" s="17">
        <f t="shared" si="509"/>
        <v>3.7777777777777777</v>
      </c>
      <c r="S1103" s="17">
        <f t="shared" si="510"/>
        <v>6.4444444444444446</v>
      </c>
      <c r="T1103" s="18">
        <f t="shared" si="511"/>
        <v>0.58620689655172409</v>
      </c>
      <c r="U1103">
        <v>6</v>
      </c>
      <c r="V1103">
        <v>12</v>
      </c>
      <c r="W1103" s="17">
        <f t="shared" si="512"/>
        <v>0.66666666666666663</v>
      </c>
      <c r="X1103" s="17">
        <f t="shared" si="513"/>
        <v>1.3333333333333333</v>
      </c>
      <c r="Y1103" s="18">
        <f t="shared" si="514"/>
        <v>0.5</v>
      </c>
      <c r="Z1103">
        <v>9</v>
      </c>
      <c r="AA1103">
        <v>12</v>
      </c>
      <c r="AB1103" s="17">
        <f t="shared" si="515"/>
        <v>1</v>
      </c>
      <c r="AC1103" s="17">
        <f t="shared" si="516"/>
        <v>1.3333333333333333</v>
      </c>
      <c r="AD1103" s="18">
        <f t="shared" si="517"/>
        <v>0.75</v>
      </c>
      <c r="AE1103">
        <v>69</v>
      </c>
      <c r="AF1103" s="17">
        <f t="shared" si="518"/>
        <v>7.666666666666667</v>
      </c>
      <c r="AG1103">
        <v>16</v>
      </c>
      <c r="AH1103" s="17">
        <f t="shared" si="519"/>
        <v>1.7777777777777777</v>
      </c>
      <c r="AI1103">
        <v>53</v>
      </c>
      <c r="AJ1103" s="17">
        <f t="shared" si="520"/>
        <v>5.8888888888888893</v>
      </c>
      <c r="AK1103">
        <v>10</v>
      </c>
      <c r="AL1103" s="17">
        <f t="shared" si="521"/>
        <v>1.1111111111111112</v>
      </c>
      <c r="AM1103">
        <v>5</v>
      </c>
      <c r="AN1103" s="17">
        <f t="shared" si="522"/>
        <v>0.55555555555555558</v>
      </c>
      <c r="AO1103">
        <v>13</v>
      </c>
      <c r="AQ1103">
        <v>12</v>
      </c>
      <c r="AR1103" s="17">
        <f t="shared" si="523"/>
        <v>1.3333333333333333</v>
      </c>
      <c r="AS1103">
        <v>11</v>
      </c>
      <c r="AT1103" s="17">
        <f t="shared" si="524"/>
        <v>1.2222222222222223</v>
      </c>
      <c r="BD1103" s="65">
        <f t="shared" si="525"/>
        <v>63.097768331562165</v>
      </c>
      <c r="BE1103" s="65">
        <f t="shared" si="526"/>
        <v>61.428571428571431</v>
      </c>
      <c r="BF1103" s="66">
        <f>IFERROR(100*((L1103+0.44*AA1103+AQ1103)*2400)/((SUMIFS(팀공격력!Q:Q,팀공격력!A:A,B1103,팀공격력!B:B,D1103)+0.44*SUMIFS(팀공격력!T:T,팀공격력!A:A,B1103,팀공격력!B:B,D1103)+SUMIFS(팀공격력!AK:AK,팀공격력!A:A,B1103,팀공격력!B:B,D1103))*(F1103*60+G1103)),"")</f>
        <v>23.925409083239892</v>
      </c>
      <c r="BG1103" s="38">
        <f t="shared" si="527"/>
        <v>0.17142857142857143</v>
      </c>
      <c r="BH1103" s="38">
        <f t="shared" si="528"/>
        <v>0.17142857142857143</v>
      </c>
      <c r="BI1103" s="67">
        <f>IFERROR(((AG1103*(12000/5))/((F1103*60+G1103)*(SUMIFS(팀공격력!X:X,팀공격력!A:A,B1103,팀공격력!B:B,D1103)+SUMIFS(팀수비력!X:X,팀수비력!A:A,B1103,팀수비력!B:B,D1103))))*100,"")</f>
        <v>5.2960622949327441</v>
      </c>
      <c r="BJ1103" s="67">
        <f>IFERROR(((AI1103*(12000/5))/((F1103*60+G1103)*(SUMIFS(팀공격력!V:V,팀공격력!A:A,B1103,팀공격력!B:B,D1103)+SUMIFS(팀수비력!W:W,팀수비력!A:A,B1103,팀수비력!B:B,D1103))))*100,"")</f>
        <v>36.320338532966709</v>
      </c>
      <c r="BK1103" s="67">
        <f>IFERROR(((AE1103*(12000/5))/((F1103*60+G1103)*(SUMIFS(팀공격력!X:X,팀공격력!A:A,B1103,팀공격력!B:B,D1103)+SUMIFS(팀수비력!X:X,팀수비력!A:A,B1103,팀수비력!B:B,D1103))))*100,"")</f>
        <v>22.839268646897459</v>
      </c>
      <c r="BL1103" s="67">
        <f>IFERROR(100*AK1103/(((((F1103*60+G1103)/(12000/5))*SUMIFS(팀공격력!P:P,팀공격력!A:A,B1103,팀공격력!B:B,D1103))-K1103)),"")</f>
        <v>10.357059630770825</v>
      </c>
      <c r="BM1103" s="67">
        <f>IFERROR(100*((AM1103/E1103*(2400))/((F1103*60+G1103)*SUMIFS(팀공격력!AR:AR,팀공격력!A:A,B1103,팀공격력!B:B,D1103))),"")</f>
        <v>1.58742335881444</v>
      </c>
      <c r="BN1103" s="67">
        <f>IFERROR((AO1103*40)/(((F1103*60+G1103)/60)*(SUMIFS(팀수비력!Q:Q,팀수비력!A:A,B1103,팀수비력!B:B,D1103)-SUMIFS(팀수비력!N:N,팀수비력!A:A,B1103,팀수비력!B:B,D1103)))*100,"")</f>
        <v>6.1982239704392397</v>
      </c>
      <c r="BO1103" s="67">
        <f t="shared" si="529"/>
        <v>13.748854262144821</v>
      </c>
      <c r="BT1103" t="s">
        <v>96</v>
      </c>
      <c r="BV1103" t="s">
        <v>102</v>
      </c>
      <c r="CF1103">
        <v>6</v>
      </c>
      <c r="CG1103">
        <v>3</v>
      </c>
    </row>
    <row r="1104" spans="1:85" x14ac:dyDescent="0.4">
      <c r="A1104" s="11" t="s">
        <v>85</v>
      </c>
      <c r="B1104" t="s">
        <v>263</v>
      </c>
      <c r="C1104" t="s">
        <v>285</v>
      </c>
      <c r="D1104" s="46" t="s">
        <v>313</v>
      </c>
      <c r="E1104">
        <v>9</v>
      </c>
      <c r="F1104">
        <v>16</v>
      </c>
      <c r="G1104" s="1">
        <v>55</v>
      </c>
      <c r="H1104" s="16">
        <f t="shared" si="504"/>
        <v>9135</v>
      </c>
      <c r="I1104">
        <v>34</v>
      </c>
      <c r="J1104" s="17">
        <f t="shared" si="505"/>
        <v>3.7777777777777777</v>
      </c>
      <c r="K1104">
        <v>16</v>
      </c>
      <c r="L1104">
        <v>34</v>
      </c>
      <c r="M1104" s="17">
        <f t="shared" si="506"/>
        <v>1.7777777777777777</v>
      </c>
      <c r="N1104" s="17">
        <f t="shared" si="507"/>
        <v>3.7777777777777777</v>
      </c>
      <c r="O1104" s="18">
        <f t="shared" si="508"/>
        <v>0.47058823529411764</v>
      </c>
      <c r="P1104">
        <v>14</v>
      </c>
      <c r="Q1104">
        <v>26</v>
      </c>
      <c r="R1104" s="17">
        <f t="shared" si="509"/>
        <v>1.5555555555555556</v>
      </c>
      <c r="S1104" s="17">
        <f t="shared" si="510"/>
        <v>2.8888888888888888</v>
      </c>
      <c r="T1104" s="18">
        <f t="shared" si="511"/>
        <v>0.53846153846153844</v>
      </c>
      <c r="U1104">
        <v>2</v>
      </c>
      <c r="V1104">
        <v>8</v>
      </c>
      <c r="W1104" s="17">
        <f t="shared" si="512"/>
        <v>0.22222222222222221</v>
      </c>
      <c r="X1104" s="17">
        <f t="shared" si="513"/>
        <v>0.88888888888888884</v>
      </c>
      <c r="Y1104" s="18">
        <f t="shared" si="514"/>
        <v>0.25</v>
      </c>
      <c r="Z1104">
        <v>0</v>
      </c>
      <c r="AA1104">
        <v>2</v>
      </c>
      <c r="AB1104" s="17">
        <f t="shared" si="515"/>
        <v>0</v>
      </c>
      <c r="AC1104" s="17">
        <f t="shared" si="516"/>
        <v>0.22222222222222221</v>
      </c>
      <c r="AD1104" s="18">
        <f t="shared" si="517"/>
        <v>0</v>
      </c>
      <c r="AE1104">
        <v>16</v>
      </c>
      <c r="AF1104" s="17">
        <f t="shared" si="518"/>
        <v>1.7777777777777777</v>
      </c>
      <c r="AG1104">
        <v>8</v>
      </c>
      <c r="AH1104" s="17">
        <f t="shared" si="519"/>
        <v>0.88888888888888884</v>
      </c>
      <c r="AI1104">
        <v>8</v>
      </c>
      <c r="AJ1104" s="17">
        <f t="shared" si="520"/>
        <v>0.88888888888888884</v>
      </c>
      <c r="AK1104">
        <v>7</v>
      </c>
      <c r="AL1104" s="17">
        <f t="shared" si="521"/>
        <v>0.77777777777777779</v>
      </c>
      <c r="AM1104">
        <v>3</v>
      </c>
      <c r="AN1104" s="17">
        <f t="shared" si="522"/>
        <v>0.33333333333333331</v>
      </c>
      <c r="AO1104">
        <v>0</v>
      </c>
      <c r="AQ1104">
        <v>1</v>
      </c>
      <c r="AR1104" s="17">
        <f t="shared" si="523"/>
        <v>0.1111111111111111</v>
      </c>
      <c r="AS1104">
        <v>13</v>
      </c>
      <c r="AT1104" s="17">
        <f t="shared" si="524"/>
        <v>1.4444444444444444</v>
      </c>
      <c r="BD1104" s="65">
        <f t="shared" si="525"/>
        <v>48.738532110091739</v>
      </c>
      <c r="BE1104" s="65">
        <f t="shared" si="526"/>
        <v>50</v>
      </c>
      <c r="BF1104" s="66">
        <f>IFERROR(100*((L1104+0.44*AA1104+AQ1104)*2400)/((SUMIFS(팀공격력!Q:Q,팀공격력!A:A,B1104,팀공격력!B:B,D1104)+0.44*SUMIFS(팀공격력!T:T,팀공격력!A:A,B1104,팀공격력!B:B,D1104)+SUMIFS(팀공격력!AK:AK,팀공격력!A:A,B1104,팀공격력!B:B,D1104))*(F1104*60+G1104)),"")</f>
        <v>10.37816324154659</v>
      </c>
      <c r="BG1104" s="38">
        <f t="shared" si="527"/>
        <v>0.23529411764705882</v>
      </c>
      <c r="BH1104" s="38">
        <f t="shared" si="528"/>
        <v>5.8823529411764705E-2</v>
      </c>
      <c r="BI1104" s="67">
        <f>IFERROR(((AG1104*(12000/5))/((F1104*60+G1104)*(SUMIFS(팀공격력!X:X,팀공격력!A:A,B1104,팀공격력!B:B,D1104)+SUMIFS(팀수비력!X:X,팀수비력!A:A,B1104,팀수비력!B:B,D1104))))*100,"")</f>
        <v>2.7941294176714133</v>
      </c>
      <c r="BJ1104" s="67">
        <f>IFERROR(((AI1104*(12000/5))/((F1104*60+G1104)*(SUMIFS(팀공격력!V:V,팀공격력!A:A,B1104,팀공격력!B:B,D1104)+SUMIFS(팀수비력!W:W,팀수비력!A:A,B1104,팀수비력!B:B,D1104))))*100,"")</f>
        <v>5.7847878157906631</v>
      </c>
      <c r="BK1104" s="67">
        <f>IFERROR(((AE1104*(12000/5))/((F1104*60+G1104)*(SUMIFS(팀공격력!X:X,팀공격력!A:A,B1104,팀공격력!B:B,D1104)+SUMIFS(팀수비력!X:X,팀수비력!A:A,B1104,팀수비력!B:B,D1104))))*100,"")</f>
        <v>5.5882588353428266</v>
      </c>
      <c r="BL1104" s="67">
        <f>IFERROR(100*AK1104/(((((F1104*60+G1104)/(12000/5))*SUMIFS(팀공격력!P:P,팀공격력!A:A,B1104,팀공격력!B:B,D1104))-K1104)),"")</f>
        <v>6.1721591535324594</v>
      </c>
      <c r="BM1104" s="67">
        <f>IFERROR(100*((AM1104/E1104*(2400))/((F1104*60+G1104)*SUMIFS(팀공격력!AR:AR,팀공격력!A:A,B1104,팀공격력!B:B,D1104))),"")</f>
        <v>1.0050032023390729</v>
      </c>
      <c r="BN1104" s="67">
        <f>IFERROR((AO1104*40)/(((F1104*60+G1104)/60)*(SUMIFS(팀수비력!Q:Q,팀수비력!A:A,B1104,팀수비력!B:B,D1104)-SUMIFS(팀수비력!N:N,팀수비력!A:A,B1104,팀수비력!B:B,D1104)))*100,"")</f>
        <v>0</v>
      </c>
      <c r="BO1104" s="67">
        <f t="shared" si="529"/>
        <v>2.7870680044593086</v>
      </c>
      <c r="BT1104" t="s">
        <v>89</v>
      </c>
      <c r="BV1104" t="s">
        <v>93</v>
      </c>
      <c r="CF1104">
        <v>6</v>
      </c>
      <c r="CG1104">
        <v>3</v>
      </c>
    </row>
    <row r="1105" spans="1:85" x14ac:dyDescent="0.4">
      <c r="A1105" s="11" t="s">
        <v>85</v>
      </c>
      <c r="B1105" t="s">
        <v>286</v>
      </c>
      <c r="C1105" t="s">
        <v>290</v>
      </c>
      <c r="D1105" s="46" t="s">
        <v>313</v>
      </c>
      <c r="E1105">
        <v>7</v>
      </c>
      <c r="F1105">
        <v>3</v>
      </c>
      <c r="G1105" s="1">
        <v>39</v>
      </c>
      <c r="H1105" s="16">
        <f t="shared" si="504"/>
        <v>1533</v>
      </c>
      <c r="I1105">
        <v>17</v>
      </c>
      <c r="J1105" s="17">
        <f t="shared" si="505"/>
        <v>2.4285714285714284</v>
      </c>
      <c r="K1105">
        <v>6</v>
      </c>
      <c r="L1105">
        <v>7</v>
      </c>
      <c r="M1105" s="17">
        <f t="shared" si="506"/>
        <v>0.8571428571428571</v>
      </c>
      <c r="N1105" s="17">
        <f t="shared" si="507"/>
        <v>1</v>
      </c>
      <c r="O1105" s="18">
        <f t="shared" si="508"/>
        <v>0.8571428571428571</v>
      </c>
      <c r="P1105">
        <v>6</v>
      </c>
      <c r="Q1105">
        <v>7</v>
      </c>
      <c r="R1105" s="17">
        <f t="shared" si="509"/>
        <v>0.8571428571428571</v>
      </c>
      <c r="S1105" s="17">
        <f t="shared" si="510"/>
        <v>1</v>
      </c>
      <c r="T1105" s="18">
        <f t="shared" si="511"/>
        <v>0.8571428571428571</v>
      </c>
      <c r="U1105">
        <v>0</v>
      </c>
      <c r="V1105">
        <v>0</v>
      </c>
      <c r="W1105" s="17">
        <f t="shared" si="512"/>
        <v>0</v>
      </c>
      <c r="X1105" s="17">
        <f t="shared" si="513"/>
        <v>0</v>
      </c>
      <c r="Y1105" s="18" t="e">
        <f t="shared" si="514"/>
        <v>#DIV/0!</v>
      </c>
      <c r="Z1105">
        <v>5</v>
      </c>
      <c r="AA1105">
        <v>7</v>
      </c>
      <c r="AB1105" s="17">
        <f t="shared" si="515"/>
        <v>0.7142857142857143</v>
      </c>
      <c r="AC1105" s="17">
        <f t="shared" si="516"/>
        <v>1</v>
      </c>
      <c r="AD1105" s="18">
        <f t="shared" si="517"/>
        <v>0.7142857142857143</v>
      </c>
      <c r="AE1105">
        <v>7</v>
      </c>
      <c r="AF1105" s="17">
        <f t="shared" si="518"/>
        <v>1</v>
      </c>
      <c r="AG1105">
        <v>0</v>
      </c>
      <c r="AH1105" s="17">
        <f t="shared" si="519"/>
        <v>0</v>
      </c>
      <c r="AI1105">
        <v>7</v>
      </c>
      <c r="AJ1105" s="17">
        <f t="shared" si="520"/>
        <v>1</v>
      </c>
      <c r="AK1105">
        <v>0</v>
      </c>
      <c r="AL1105" s="17">
        <f t="shared" si="521"/>
        <v>0</v>
      </c>
      <c r="AM1105">
        <v>0</v>
      </c>
      <c r="AN1105" s="17">
        <f t="shared" si="522"/>
        <v>0</v>
      </c>
      <c r="AO1105">
        <v>2</v>
      </c>
      <c r="AQ1105">
        <v>3</v>
      </c>
      <c r="AR1105" s="17">
        <f t="shared" si="523"/>
        <v>0.42857142857142855</v>
      </c>
      <c r="AS1105">
        <v>2</v>
      </c>
      <c r="AT1105" s="17">
        <f t="shared" si="524"/>
        <v>0.2857142857142857</v>
      </c>
      <c r="BD1105" s="65">
        <f t="shared" si="525"/>
        <v>84.325396825396822</v>
      </c>
      <c r="BE1105" s="65">
        <f t="shared" si="526"/>
        <v>85.714285714285708</v>
      </c>
      <c r="BF1105" s="66">
        <f>IFERROR(100*((L1105+0.44*AA1105+AQ1105)*2400)/((SUMIFS(팀공격력!Q:Q,팀공격력!A:A,B1105,팀공격력!B:B,D1105)+0.44*SUMIFS(팀공격력!T:T,팀공격력!A:A,B1105,팀공격력!B:B,D1105)+SUMIFS(팀공격력!AK:AK,팀공격력!A:A,B1105,팀공격력!B:B,D1105))*(F1105*60+G1105)),"")</f>
        <v>17.845533807258686</v>
      </c>
      <c r="BG1105" s="38">
        <f t="shared" si="527"/>
        <v>0</v>
      </c>
      <c r="BH1105" s="38">
        <f t="shared" si="528"/>
        <v>1</v>
      </c>
      <c r="BI1105" s="67">
        <f>IFERROR(((AG1105*(12000/5))/((F1105*60+G1105)*(SUMIFS(팀공격력!X:X,팀공격력!A:A,B1105,팀공격력!B:B,D1105)+SUMIFS(팀수비력!X:X,팀수비력!A:A,B1105,팀수비력!B:B,D1105))))*100,"")</f>
        <v>0</v>
      </c>
      <c r="BJ1105" s="67">
        <f>IFERROR(((AI1105*(12000/5))/((F1105*60+G1105)*(SUMIFS(팀공격력!V:V,팀공격력!A:A,B1105,팀공격력!B:B,D1105)+SUMIFS(팀수비력!W:W,팀수비력!A:A,B1105,팀수비력!B:B,D1105))))*100,"")</f>
        <v>24.1233738261394</v>
      </c>
      <c r="BK1105" s="67">
        <f>IFERROR(((AE1105*(12000/5))/((F1105*60+G1105)*(SUMIFS(팀공격력!X:X,팀공격력!A:A,B1105,팀공격력!B:B,D1105)+SUMIFS(팀수비력!X:X,팀수비력!A:A,B1105,팀수비력!B:B,D1105))))*100,"")</f>
        <v>12.293642430628731</v>
      </c>
      <c r="BL1105" s="67">
        <f>IFERROR(100*AK1105/(((((F1105*60+G1105)/(12000/5))*SUMIFS(팀공격력!P:P,팀공격력!A:A,B1105,팀공격력!B:B,D1105))-K1105)),"")</f>
        <v>0</v>
      </c>
      <c r="BM1105" s="67">
        <f>IFERROR(100*((AM1105/E1105*(2400))/((F1105*60+G1105)*SUMIFS(팀공격력!AR:AR,팀공격력!A:A,B1105,팀공격력!B:B,D1105))),"")</f>
        <v>0</v>
      </c>
      <c r="BN1105" s="67">
        <f>IFERROR((AO1105*40)/(((F1105*60+G1105)/60)*(SUMIFS(팀수비력!Q:Q,팀수비력!A:A,B1105,팀수비력!B:B,D1105)-SUMIFS(팀수비력!N:N,팀수비력!A:A,B1105,팀수비력!B:B,D1105)))*100,"")</f>
        <v>5.9397854252515137</v>
      </c>
      <c r="BO1105" s="67">
        <f t="shared" si="529"/>
        <v>22.935779816513762</v>
      </c>
      <c r="BT1105" t="s">
        <v>89</v>
      </c>
      <c r="BV1105" t="s">
        <v>102</v>
      </c>
      <c r="CF1105">
        <v>6</v>
      </c>
      <c r="CG1105">
        <v>1</v>
      </c>
    </row>
    <row r="1106" spans="1:85" x14ac:dyDescent="0.4">
      <c r="A1106" s="11" t="s">
        <v>85</v>
      </c>
      <c r="B1106" t="s">
        <v>286</v>
      </c>
      <c r="C1106" t="s">
        <v>291</v>
      </c>
      <c r="D1106" s="46" t="s">
        <v>313</v>
      </c>
      <c r="E1106">
        <v>9</v>
      </c>
      <c r="F1106">
        <v>25</v>
      </c>
      <c r="G1106" s="1">
        <v>38</v>
      </c>
      <c r="H1106" s="16">
        <f t="shared" si="504"/>
        <v>13842</v>
      </c>
      <c r="I1106">
        <v>148</v>
      </c>
      <c r="J1106" s="17">
        <f t="shared" si="505"/>
        <v>16.444444444444443</v>
      </c>
      <c r="K1106">
        <v>61</v>
      </c>
      <c r="L1106">
        <v>100</v>
      </c>
      <c r="M1106" s="17">
        <f t="shared" si="506"/>
        <v>6.7777777777777777</v>
      </c>
      <c r="N1106" s="17">
        <f t="shared" si="507"/>
        <v>11.111111111111111</v>
      </c>
      <c r="O1106" s="18">
        <f t="shared" si="508"/>
        <v>0.61</v>
      </c>
      <c r="P1106">
        <v>61</v>
      </c>
      <c r="Q1106">
        <v>99</v>
      </c>
      <c r="R1106" s="17">
        <f t="shared" si="509"/>
        <v>6.7777777777777777</v>
      </c>
      <c r="S1106" s="17">
        <f t="shared" si="510"/>
        <v>11</v>
      </c>
      <c r="T1106" s="18">
        <f t="shared" si="511"/>
        <v>0.61616161616161613</v>
      </c>
      <c r="U1106">
        <v>0</v>
      </c>
      <c r="V1106">
        <v>1</v>
      </c>
      <c r="W1106" s="17">
        <f t="shared" si="512"/>
        <v>0</v>
      </c>
      <c r="X1106" s="17">
        <f t="shared" si="513"/>
        <v>0.1111111111111111</v>
      </c>
      <c r="Y1106" s="18">
        <f t="shared" si="514"/>
        <v>0</v>
      </c>
      <c r="Z1106">
        <v>26</v>
      </c>
      <c r="AA1106">
        <v>48</v>
      </c>
      <c r="AB1106" s="17">
        <f t="shared" si="515"/>
        <v>2.8888888888888888</v>
      </c>
      <c r="AC1106" s="17">
        <f t="shared" si="516"/>
        <v>5.333333333333333</v>
      </c>
      <c r="AD1106" s="18">
        <f t="shared" si="517"/>
        <v>0.54166666666666663</v>
      </c>
      <c r="AE1106">
        <v>116</v>
      </c>
      <c r="AF1106" s="17">
        <f t="shared" si="518"/>
        <v>12.888888888888889</v>
      </c>
      <c r="AG1106">
        <v>47</v>
      </c>
      <c r="AH1106" s="17">
        <f t="shared" si="519"/>
        <v>5.2222222222222223</v>
      </c>
      <c r="AI1106">
        <v>69</v>
      </c>
      <c r="AJ1106" s="17">
        <f t="shared" si="520"/>
        <v>7.666666666666667</v>
      </c>
      <c r="AK1106">
        <v>30</v>
      </c>
      <c r="AL1106" s="17">
        <f t="shared" si="521"/>
        <v>3.3333333333333335</v>
      </c>
      <c r="AM1106">
        <v>18</v>
      </c>
      <c r="AN1106" s="17">
        <f t="shared" si="522"/>
        <v>2</v>
      </c>
      <c r="AO1106">
        <v>5</v>
      </c>
      <c r="AQ1106">
        <v>20</v>
      </c>
      <c r="AR1106" s="17">
        <f t="shared" si="523"/>
        <v>2.2222222222222223</v>
      </c>
      <c r="AS1106">
        <v>19</v>
      </c>
      <c r="AT1106" s="17">
        <f t="shared" si="524"/>
        <v>2.1111111111111112</v>
      </c>
      <c r="BD1106" s="65">
        <f t="shared" si="525"/>
        <v>61.096433289299867</v>
      </c>
      <c r="BE1106" s="65">
        <f t="shared" si="526"/>
        <v>61</v>
      </c>
      <c r="BF1106" s="66">
        <f>IFERROR(100*((L1106+0.44*AA1106+AQ1106)*2400)/((SUMIFS(팀공격력!Q:Q,팀공격력!A:A,B1106,팀공격력!B:B,D1106)+0.44*SUMIFS(팀공격력!T:T,팀공격력!A:A,B1106,팀공격력!B:B,D1106)+SUMIFS(팀공격력!AK:AK,팀공격력!A:A,B1106,팀공격력!B:B,D1106))*(F1106*60+G1106)),"")</f>
        <v>27.415624717294175</v>
      </c>
      <c r="BG1106" s="38">
        <f t="shared" si="527"/>
        <v>0.01</v>
      </c>
      <c r="BH1106" s="38">
        <f t="shared" si="528"/>
        <v>0.48</v>
      </c>
      <c r="BI1106" s="67">
        <f>IFERROR(((AG1106*(12000/5))/((F1106*60+G1106)*(SUMIFS(팀공격력!X:X,팀공격력!A:A,B1106,팀공격력!B:B,D1106)+SUMIFS(팀수비력!X:X,팀수비력!A:A,B1106,팀수비력!B:B,D1106))))*100,"")</f>
        <v>11.753526057817346</v>
      </c>
      <c r="BJ1106" s="67">
        <f>IFERROR(((AI1106*(12000/5))/((F1106*60+G1106)*(SUMIFS(팀공격력!V:V,팀공격력!A:A,B1106,팀공격력!B:B,D1106)+SUMIFS(팀수비력!W:W,팀수비력!A:A,B1106,팀수비력!B:B,D1106))))*100,"")</f>
        <v>33.859214368084011</v>
      </c>
      <c r="BK1106" s="67">
        <f>IFERROR(((AE1106*(12000/5))/((F1106*60+G1106)*(SUMIFS(팀공격력!X:X,팀공격력!A:A,B1106,팀공격력!B:B,D1106)+SUMIFS(팀수비력!X:X,팀수비력!A:A,B1106,팀수비력!B:B,D1106))))*100,"")</f>
        <v>29.008702610783232</v>
      </c>
      <c r="BL1106" s="67">
        <f>IFERROR(100*AK1106/(((((F1106*60+G1106)/(12000/5))*SUMIFS(팀공격력!P:P,팀공격력!A:A,B1106,팀공격력!B:B,D1106))-K1106)),"")</f>
        <v>22.20659535882157</v>
      </c>
      <c r="BM1106" s="67">
        <f>IFERROR(100*((AM1106/E1106*(2400))/((F1106*60+G1106)*SUMIFS(팀공격력!AR:AR,팀공격력!A:A,B1106,팀공격력!B:B,D1106))),"")</f>
        <v>4.2136393972384818</v>
      </c>
      <c r="BN1106" s="67">
        <f>IFERROR((AO1106*40)/(((F1106*60+G1106)/60)*(SUMIFS(팀수비력!Q:Q,팀수비력!A:A,B1106,팀수비력!B:B,D1106)-SUMIFS(팀수비력!N:N,팀수비력!A:A,B1106,팀수비력!B:B,D1106)))*100,"")</f>
        <v>2.114455474853838</v>
      </c>
      <c r="BO1106" s="67">
        <f t="shared" si="529"/>
        <v>14.172335600907029</v>
      </c>
      <c r="BT1106" t="s">
        <v>96</v>
      </c>
      <c r="BV1106" t="s">
        <v>102</v>
      </c>
      <c r="CF1106">
        <v>8</v>
      </c>
      <c r="CG1106">
        <v>1</v>
      </c>
    </row>
    <row r="1107" spans="1:85" x14ac:dyDescent="0.4">
      <c r="A1107" s="11" t="s">
        <v>85</v>
      </c>
      <c r="B1107" t="s">
        <v>286</v>
      </c>
      <c r="C1107" t="s">
        <v>292</v>
      </c>
      <c r="D1107" s="46" t="s">
        <v>313</v>
      </c>
      <c r="E1107">
        <v>9</v>
      </c>
      <c r="F1107">
        <v>14</v>
      </c>
      <c r="G1107" s="1">
        <v>16</v>
      </c>
      <c r="H1107" s="16">
        <f t="shared" si="504"/>
        <v>7704</v>
      </c>
      <c r="I1107">
        <v>39</v>
      </c>
      <c r="J1107" s="17">
        <f t="shared" si="505"/>
        <v>4.333333333333333</v>
      </c>
      <c r="K1107">
        <v>16</v>
      </c>
      <c r="L1107">
        <v>36</v>
      </c>
      <c r="M1107" s="17">
        <f t="shared" si="506"/>
        <v>1.7777777777777777</v>
      </c>
      <c r="N1107" s="17">
        <f t="shared" si="507"/>
        <v>4</v>
      </c>
      <c r="O1107" s="18">
        <f t="shared" si="508"/>
        <v>0.44444444444444442</v>
      </c>
      <c r="P1107">
        <v>11</v>
      </c>
      <c r="Q1107">
        <v>22</v>
      </c>
      <c r="R1107" s="17">
        <f t="shared" si="509"/>
        <v>1.2222222222222223</v>
      </c>
      <c r="S1107" s="17">
        <f t="shared" si="510"/>
        <v>2.4444444444444446</v>
      </c>
      <c r="T1107" s="18">
        <f t="shared" si="511"/>
        <v>0.5</v>
      </c>
      <c r="U1107">
        <v>5</v>
      </c>
      <c r="V1107">
        <v>14</v>
      </c>
      <c r="W1107" s="17">
        <f t="shared" si="512"/>
        <v>0.55555555555555558</v>
      </c>
      <c r="X1107" s="17">
        <f t="shared" si="513"/>
        <v>1.5555555555555556</v>
      </c>
      <c r="Y1107" s="18">
        <f t="shared" si="514"/>
        <v>0.35714285714285715</v>
      </c>
      <c r="Z1107">
        <v>2</v>
      </c>
      <c r="AA1107">
        <v>2</v>
      </c>
      <c r="AB1107" s="17">
        <f t="shared" si="515"/>
        <v>0.22222222222222221</v>
      </c>
      <c r="AC1107" s="17">
        <f t="shared" si="516"/>
        <v>0.22222222222222221</v>
      </c>
      <c r="AD1107" s="18">
        <f t="shared" si="517"/>
        <v>1</v>
      </c>
      <c r="AE1107">
        <v>15</v>
      </c>
      <c r="AF1107" s="17">
        <f t="shared" si="518"/>
        <v>1.6666666666666667</v>
      </c>
      <c r="AG1107">
        <v>5</v>
      </c>
      <c r="AH1107" s="17">
        <f t="shared" si="519"/>
        <v>0.55555555555555558</v>
      </c>
      <c r="AI1107">
        <v>10</v>
      </c>
      <c r="AJ1107" s="17">
        <f t="shared" si="520"/>
        <v>1.1111111111111112</v>
      </c>
      <c r="AK1107">
        <v>17</v>
      </c>
      <c r="AL1107" s="17">
        <f t="shared" si="521"/>
        <v>1.8888888888888888</v>
      </c>
      <c r="AM1107">
        <v>6</v>
      </c>
      <c r="AN1107" s="17">
        <f t="shared" si="522"/>
        <v>0.66666666666666663</v>
      </c>
      <c r="AO1107">
        <v>0</v>
      </c>
      <c r="AQ1107">
        <v>8</v>
      </c>
      <c r="AR1107" s="17">
        <f t="shared" si="523"/>
        <v>0.88888888888888884</v>
      </c>
      <c r="AS1107">
        <v>13</v>
      </c>
      <c r="AT1107" s="17">
        <f t="shared" si="524"/>
        <v>1.4444444444444444</v>
      </c>
      <c r="BD1107" s="65">
        <f t="shared" si="525"/>
        <v>52.874186550976134</v>
      </c>
      <c r="BE1107" s="65">
        <f t="shared" si="526"/>
        <v>51.388888888888886</v>
      </c>
      <c r="BF1107" s="66">
        <f>IFERROR(100*((L1107+0.44*AA1107+AQ1107)*2400)/((SUMIFS(팀공격력!Q:Q,팀공격력!A:A,B1107,팀공격력!B:B,D1107)+0.44*SUMIFS(팀공격력!T:T,팀공격력!A:A,B1107,팀공격력!B:B,D1107)+SUMIFS(팀공격력!AK:AK,팀공격력!A:A,B1107,팀공격력!B:B,D1107))*(F1107*60+G1107)),"")</f>
        <v>15.665526579967951</v>
      </c>
      <c r="BG1107" s="38">
        <f t="shared" si="527"/>
        <v>0.3888888888888889</v>
      </c>
      <c r="BH1107" s="38">
        <f t="shared" si="528"/>
        <v>5.5555555555555552E-2</v>
      </c>
      <c r="BI1107" s="67">
        <f>IFERROR(((AG1107*(12000/5))/((F1107*60+G1107)*(SUMIFS(팀공격력!X:X,팀공격력!A:A,B1107,팀공격력!B:B,D1107)+SUMIFS(팀수비력!X:X,팀수비력!A:A,B1107,팀수비력!B:B,D1107))))*100,"")</f>
        <v>2.2465851905104239</v>
      </c>
      <c r="BJ1107" s="67">
        <f>IFERROR(((AI1107*(12000/5))/((F1107*60+G1107)*(SUMIFS(팀공격력!V:V,팀공격력!A:A,B1107,팀공격력!B:B,D1107)+SUMIFS(팀수비력!W:W,팀수비력!A:A,B1107,팀수비력!B:B,D1107))))*100,"")</f>
        <v>8.8167871627578922</v>
      </c>
      <c r="BK1107" s="67">
        <f>IFERROR(((AE1107*(12000/5))/((F1107*60+G1107)*(SUMIFS(팀공격력!X:X,팀공격력!A:A,B1107,팀공격력!B:B,D1107)+SUMIFS(팀수비력!X:X,팀수비력!A:A,B1107,팀수비력!B:B,D1107))))*100,"")</f>
        <v>6.7397555715312727</v>
      </c>
      <c r="BL1107" s="67">
        <f>IFERROR(100*AK1107/(((((F1107*60+G1107)/(12000/5))*SUMIFS(팀공격력!P:P,팀공격력!A:A,B1107,팀공격력!B:B,D1107))-K1107)),"")</f>
        <v>18.252093622503757</v>
      </c>
      <c r="BM1107" s="67">
        <f>IFERROR(100*((AM1107/E1107*(2400))/((F1107*60+G1107)*SUMIFS(팀공격력!AR:AR,팀공격력!A:A,B1107,팀공격력!B:B,D1107))),"")</f>
        <v>2.5235893274738261</v>
      </c>
      <c r="BN1107" s="67">
        <f>IFERROR((AO1107*40)/(((F1107*60+G1107)/60)*(SUMIFS(팀수비력!Q:Q,팀수비력!A:A,B1107,팀수비력!B:B,D1107)-SUMIFS(팀수비력!N:N,팀수비력!A:A,B1107,팀수비력!B:B,D1107)))*100,"")</f>
        <v>0</v>
      </c>
      <c r="BO1107" s="67">
        <f t="shared" si="529"/>
        <v>17.825311942959001</v>
      </c>
      <c r="BT1107" t="s">
        <v>89</v>
      </c>
      <c r="BV1107" t="s">
        <v>90</v>
      </c>
      <c r="CF1107">
        <v>8</v>
      </c>
      <c r="CG1107">
        <v>1</v>
      </c>
    </row>
    <row r="1108" spans="1:85" x14ac:dyDescent="0.4">
      <c r="A1108" s="11" t="s">
        <v>85</v>
      </c>
      <c r="B1108" t="s">
        <v>286</v>
      </c>
      <c r="C1108" t="s">
        <v>293</v>
      </c>
      <c r="D1108" s="46" t="s">
        <v>313</v>
      </c>
      <c r="E1108">
        <v>9</v>
      </c>
      <c r="F1108">
        <v>25</v>
      </c>
      <c r="G1108" s="1">
        <v>18</v>
      </c>
      <c r="H1108" s="16">
        <f t="shared" si="504"/>
        <v>13662</v>
      </c>
      <c r="I1108">
        <v>104</v>
      </c>
      <c r="J1108" s="17">
        <f t="shared" si="505"/>
        <v>11.555555555555555</v>
      </c>
      <c r="K1108">
        <v>43</v>
      </c>
      <c r="L1108">
        <v>90</v>
      </c>
      <c r="M1108" s="17">
        <f t="shared" si="506"/>
        <v>4.7777777777777777</v>
      </c>
      <c r="N1108" s="17">
        <f t="shared" si="507"/>
        <v>10</v>
      </c>
      <c r="O1108" s="18">
        <f t="shared" si="508"/>
        <v>0.4777777777777778</v>
      </c>
      <c r="P1108">
        <v>30</v>
      </c>
      <c r="Q1108">
        <v>52</v>
      </c>
      <c r="R1108" s="17">
        <f t="shared" si="509"/>
        <v>3.3333333333333335</v>
      </c>
      <c r="S1108" s="17">
        <f t="shared" si="510"/>
        <v>5.7777777777777777</v>
      </c>
      <c r="T1108" s="18">
        <f t="shared" si="511"/>
        <v>0.57692307692307687</v>
      </c>
      <c r="U1108">
        <v>13</v>
      </c>
      <c r="V1108">
        <v>38</v>
      </c>
      <c r="W1108" s="17">
        <f t="shared" si="512"/>
        <v>1.4444444444444444</v>
      </c>
      <c r="X1108" s="17">
        <f t="shared" si="513"/>
        <v>4.2222222222222223</v>
      </c>
      <c r="Y1108" s="18">
        <f t="shared" si="514"/>
        <v>0.34210526315789475</v>
      </c>
      <c r="Z1108">
        <v>5</v>
      </c>
      <c r="AA1108">
        <v>8</v>
      </c>
      <c r="AB1108" s="17">
        <f t="shared" si="515"/>
        <v>0.55555555555555558</v>
      </c>
      <c r="AC1108" s="17">
        <f t="shared" si="516"/>
        <v>0.88888888888888884</v>
      </c>
      <c r="AD1108" s="18">
        <f t="shared" si="517"/>
        <v>0.625</v>
      </c>
      <c r="AE1108">
        <v>46</v>
      </c>
      <c r="AF1108" s="17">
        <f t="shared" si="518"/>
        <v>5.1111111111111107</v>
      </c>
      <c r="AG1108">
        <v>17</v>
      </c>
      <c r="AH1108" s="17">
        <f t="shared" si="519"/>
        <v>1.8888888888888888</v>
      </c>
      <c r="AI1108">
        <v>29</v>
      </c>
      <c r="AJ1108" s="17">
        <f t="shared" si="520"/>
        <v>3.2222222222222223</v>
      </c>
      <c r="AK1108">
        <v>23</v>
      </c>
      <c r="AL1108" s="17">
        <f t="shared" si="521"/>
        <v>2.5555555555555554</v>
      </c>
      <c r="AM1108">
        <v>8</v>
      </c>
      <c r="AN1108" s="17">
        <f t="shared" si="522"/>
        <v>0.88888888888888884</v>
      </c>
      <c r="AO1108">
        <v>2</v>
      </c>
      <c r="AQ1108">
        <v>13</v>
      </c>
      <c r="AR1108" s="17">
        <f t="shared" si="523"/>
        <v>1.4444444444444444</v>
      </c>
      <c r="AS1108">
        <v>19</v>
      </c>
      <c r="AT1108" s="17">
        <f t="shared" si="524"/>
        <v>2.1111111111111112</v>
      </c>
      <c r="BD1108" s="65">
        <f t="shared" si="525"/>
        <v>55.603079555175363</v>
      </c>
      <c r="BE1108" s="65">
        <f t="shared" si="526"/>
        <v>55.000000000000007</v>
      </c>
      <c r="BF1108" s="66">
        <f>IFERROR(100*((L1108+0.44*AA1108+AQ1108)*2400)/((SUMIFS(팀공격력!Q:Q,팀공격력!A:A,B1108,팀공격력!B:B,D1108)+0.44*SUMIFS(팀공격력!T:T,팀공격력!A:A,B1108,팀공격력!B:B,D1108)+SUMIFS(팀공격력!AK:AK,팀공격력!A:A,B1108,팀공격력!B:B,D1108))*(F1108*60+G1108)),"")</f>
        <v>20.966469198953721</v>
      </c>
      <c r="BG1108" s="38">
        <f t="shared" si="527"/>
        <v>0.42222222222222222</v>
      </c>
      <c r="BH1108" s="38">
        <f t="shared" si="528"/>
        <v>8.8888888888888892E-2</v>
      </c>
      <c r="BI1108" s="67">
        <f>IFERROR(((AG1108*(12000/5))/((F1108*60+G1108)*(SUMIFS(팀공격력!X:X,팀공격력!A:A,B1108,팀공격력!B:B,D1108)+SUMIFS(팀수비력!X:X,팀수비력!A:A,B1108,팀수비력!B:B,D1108))))*100,"")</f>
        <v>4.3072869159825684</v>
      </c>
      <c r="BJ1108" s="67">
        <f>IFERROR(((AI1108*(12000/5))/((F1108*60+G1108)*(SUMIFS(팀공격력!V:V,팀공격력!A:A,B1108,팀공격력!B:B,D1108)+SUMIFS(팀수비력!W:W,팀수비력!A:A,B1108,팀수비력!B:B,D1108))))*100,"")</f>
        <v>14.418176846396699</v>
      </c>
      <c r="BK1108" s="67">
        <f>IFERROR(((AE1108*(12000/5))/((F1108*60+G1108)*(SUMIFS(팀공격력!X:X,팀공격력!A:A,B1108,팀공격력!B:B,D1108)+SUMIFS(팀수비력!X:X,팀수비력!A:A,B1108,팀수비력!B:B,D1108))))*100,"")</f>
        <v>11.655011655011654</v>
      </c>
      <c r="BL1108" s="67">
        <f>IFERROR(100*AK1108/(((((F1108*60+G1108)/(12000/5))*SUMIFS(팀공격력!P:P,팀공격력!A:A,B1108,팀공격력!B:B,D1108))-K1108)),"")</f>
        <v>15.277823906473149</v>
      </c>
      <c r="BM1108" s="67">
        <f>IFERROR(100*((AM1108/E1108*(2400))/((F1108*60+G1108)*SUMIFS(팀공격력!AR:AR,팀공격력!A:A,B1108,팀공격력!B:B,D1108))),"")</f>
        <v>1.8974022523650373</v>
      </c>
      <c r="BN1108" s="67">
        <f>IFERROR((AO1108*40)/(((F1108*60+G1108)/60)*(SUMIFS(팀수비력!Q:Q,팀수비력!A:A,B1108,팀수비력!B:B,D1108)-SUMIFS(팀수비력!N:N,팀수비력!A:A,B1108,팀수비력!B:B,D1108)))*100,"")</f>
        <v>0.85692556530308372</v>
      </c>
      <c r="BO1108" s="67">
        <f t="shared" si="529"/>
        <v>12.204280886218552</v>
      </c>
      <c r="BT1108" t="s">
        <v>89</v>
      </c>
      <c r="BV1108" t="s">
        <v>93</v>
      </c>
      <c r="CF1108">
        <v>8</v>
      </c>
      <c r="CG1108">
        <v>1</v>
      </c>
    </row>
    <row r="1109" spans="1:85" x14ac:dyDescent="0.4">
      <c r="A1109" s="11" t="s">
        <v>85</v>
      </c>
      <c r="B1109" t="s">
        <v>286</v>
      </c>
      <c r="C1109" t="s">
        <v>294</v>
      </c>
      <c r="D1109" s="46" t="s">
        <v>313</v>
      </c>
      <c r="E1109">
        <v>9</v>
      </c>
      <c r="F1109">
        <v>26</v>
      </c>
      <c r="G1109" s="1">
        <v>25</v>
      </c>
      <c r="H1109" s="16">
        <f t="shared" si="504"/>
        <v>14265</v>
      </c>
      <c r="I1109">
        <v>80</v>
      </c>
      <c r="J1109" s="17">
        <f t="shared" si="505"/>
        <v>8.8888888888888893</v>
      </c>
      <c r="K1109">
        <v>26</v>
      </c>
      <c r="L1109">
        <v>62</v>
      </c>
      <c r="M1109" s="17">
        <f t="shared" si="506"/>
        <v>2.8888888888888888</v>
      </c>
      <c r="N1109" s="17">
        <f t="shared" si="507"/>
        <v>6.8888888888888893</v>
      </c>
      <c r="O1109" s="18">
        <f t="shared" si="508"/>
        <v>0.41935483870967744</v>
      </c>
      <c r="P1109">
        <v>6</v>
      </c>
      <c r="Q1109">
        <v>16</v>
      </c>
      <c r="R1109" s="17">
        <f t="shared" si="509"/>
        <v>0.66666666666666663</v>
      </c>
      <c r="S1109" s="17">
        <f t="shared" si="510"/>
        <v>1.7777777777777777</v>
      </c>
      <c r="T1109" s="18">
        <f t="shared" si="511"/>
        <v>0.375</v>
      </c>
      <c r="U1109">
        <v>20</v>
      </c>
      <c r="V1109">
        <v>46</v>
      </c>
      <c r="W1109" s="17">
        <f t="shared" si="512"/>
        <v>2.2222222222222223</v>
      </c>
      <c r="X1109" s="17">
        <f t="shared" si="513"/>
        <v>5.1111111111111107</v>
      </c>
      <c r="Y1109" s="18">
        <f t="shared" si="514"/>
        <v>0.43478260869565216</v>
      </c>
      <c r="Z1109">
        <v>8</v>
      </c>
      <c r="AA1109">
        <v>12</v>
      </c>
      <c r="AB1109" s="17">
        <f t="shared" si="515"/>
        <v>0.88888888888888884</v>
      </c>
      <c r="AC1109" s="17">
        <f t="shared" si="516"/>
        <v>1.3333333333333333</v>
      </c>
      <c r="AD1109" s="18">
        <f t="shared" si="517"/>
        <v>0.66666666666666663</v>
      </c>
      <c r="AE1109">
        <v>23</v>
      </c>
      <c r="AF1109" s="17">
        <f t="shared" si="518"/>
        <v>2.5555555555555554</v>
      </c>
      <c r="AG1109">
        <v>11</v>
      </c>
      <c r="AH1109" s="17">
        <f t="shared" si="519"/>
        <v>1.2222222222222223</v>
      </c>
      <c r="AI1109">
        <v>12</v>
      </c>
      <c r="AJ1109" s="17">
        <f t="shared" si="520"/>
        <v>1.3333333333333333</v>
      </c>
      <c r="AK1109">
        <v>9</v>
      </c>
      <c r="AL1109" s="17">
        <f t="shared" si="521"/>
        <v>1</v>
      </c>
      <c r="AM1109">
        <v>11</v>
      </c>
      <c r="AN1109" s="17">
        <f t="shared" si="522"/>
        <v>1.2222222222222223</v>
      </c>
      <c r="AO1109">
        <v>5</v>
      </c>
      <c r="AQ1109">
        <v>2</v>
      </c>
      <c r="AR1109" s="17">
        <f t="shared" si="523"/>
        <v>0.22222222222222221</v>
      </c>
      <c r="AS1109">
        <v>21</v>
      </c>
      <c r="AT1109" s="17">
        <f t="shared" si="524"/>
        <v>2.3333333333333335</v>
      </c>
      <c r="BD1109" s="65">
        <f t="shared" si="525"/>
        <v>59.453032104637337</v>
      </c>
      <c r="BE1109" s="65">
        <f t="shared" si="526"/>
        <v>58.064516129032263</v>
      </c>
      <c r="BF1109" s="66">
        <f>IFERROR(100*((L1109+0.44*AA1109+AQ1109)*2400)/((SUMIFS(팀공격력!Q:Q,팀공격력!A:A,B1109,팀공격력!B:B,D1109)+0.44*SUMIFS(팀공격력!T:T,팀공격력!A:A,B1109,팀공격력!B:B,D1109)+SUMIFS(팀공격력!AK:AK,팀공격력!A:A,B1109,팀공격력!B:B,D1109))*(F1109*60+G1109)),"")</f>
        <v>13.060040589555518</v>
      </c>
      <c r="BG1109" s="38">
        <f t="shared" si="527"/>
        <v>0.74193548387096775</v>
      </c>
      <c r="BH1109" s="38">
        <f t="shared" si="528"/>
        <v>0.19354838709677419</v>
      </c>
      <c r="BI1109" s="67">
        <f>IFERROR(((AG1109*(12000/5))/((F1109*60+G1109)*(SUMIFS(팀공격력!X:X,팀공격력!A:A,B1109,팀공격력!B:B,D1109)+SUMIFS(팀수비력!X:X,팀수비력!A:A,B1109,팀수비력!B:B,D1109))))*100,"")</f>
        <v>2.6692550351856346</v>
      </c>
      <c r="BJ1109" s="67">
        <f>IFERROR(((AI1109*(12000/5))/((F1109*60+G1109)*(SUMIFS(팀공격력!V:V,팀공격력!A:A,B1109,팀공격력!B:B,D1109)+SUMIFS(팀수비력!W:W,팀수비력!A:A,B1109,팀수비력!B:B,D1109))))*100,"")</f>
        <v>5.7139455984762808</v>
      </c>
      <c r="BK1109" s="67">
        <f>IFERROR(((AE1109*(12000/5))/((F1109*60+G1109)*(SUMIFS(팀공격력!X:X,팀공격력!A:A,B1109,팀공격력!B:B,D1109)+SUMIFS(팀수비력!X:X,팀수비력!A:A,B1109,팀수비력!B:B,D1109))))*100,"")</f>
        <v>5.5811696190245081</v>
      </c>
      <c r="BL1109" s="67">
        <f>IFERROR(100*AK1109/(((((F1109*60+G1109)/(12000/5))*SUMIFS(팀공격력!P:P,팀공격력!A:A,B1109,팀공격력!B:B,D1109))-K1109)),"")</f>
        <v>5.1110953361255058</v>
      </c>
      <c r="BM1109" s="67">
        <f>IFERROR(100*((AM1109/E1109*(2400))/((F1109*60+G1109)*SUMIFS(팀공격력!AR:AR,팀공격력!A:A,B1109,팀공격력!B:B,D1109))),"")</f>
        <v>2.4986453320182491</v>
      </c>
      <c r="BN1109" s="67">
        <f>IFERROR((AO1109*40)/(((F1109*60+G1109)/60)*(SUMIFS(팀수비력!Q:Q,팀수비력!A:A,B1109,팀수비력!B:B,D1109)-SUMIFS(팀수비력!N:N,팀수비력!A:A,B1109,팀수비력!B:B,D1109)))*100,"")</f>
        <v>2.0517555333282043</v>
      </c>
      <c r="BO1109" s="67">
        <f t="shared" si="529"/>
        <v>2.8868360277136258</v>
      </c>
      <c r="BT1109" t="s">
        <v>89</v>
      </c>
      <c r="BV1109" t="s">
        <v>90</v>
      </c>
      <c r="CF1109">
        <v>8</v>
      </c>
      <c r="CG1109">
        <v>1</v>
      </c>
    </row>
    <row r="1110" spans="1:85" x14ac:dyDescent="0.4">
      <c r="A1110" s="11" t="s">
        <v>85</v>
      </c>
      <c r="B1110" t="s">
        <v>286</v>
      </c>
      <c r="C1110" t="s">
        <v>295</v>
      </c>
      <c r="D1110" s="46" t="s">
        <v>313</v>
      </c>
      <c r="E1110">
        <v>1</v>
      </c>
      <c r="F1110">
        <v>23</v>
      </c>
      <c r="G1110" s="1">
        <v>39</v>
      </c>
      <c r="H1110" s="16">
        <f t="shared" si="504"/>
        <v>1419</v>
      </c>
      <c r="I1110">
        <v>9</v>
      </c>
      <c r="J1110" s="17">
        <f t="shared" si="505"/>
        <v>9</v>
      </c>
      <c r="K1110">
        <v>3</v>
      </c>
      <c r="L1110">
        <v>6</v>
      </c>
      <c r="M1110" s="17">
        <f t="shared" si="506"/>
        <v>3</v>
      </c>
      <c r="N1110" s="17">
        <f t="shared" si="507"/>
        <v>6</v>
      </c>
      <c r="O1110" s="18">
        <f t="shared" si="508"/>
        <v>0.5</v>
      </c>
      <c r="P1110">
        <v>1</v>
      </c>
      <c r="Q1110">
        <v>2</v>
      </c>
      <c r="R1110" s="17">
        <f t="shared" si="509"/>
        <v>1</v>
      </c>
      <c r="S1110" s="17">
        <f t="shared" si="510"/>
        <v>2</v>
      </c>
      <c r="T1110" s="18">
        <f t="shared" si="511"/>
        <v>0.5</v>
      </c>
      <c r="U1110">
        <v>2</v>
      </c>
      <c r="V1110">
        <v>4</v>
      </c>
      <c r="W1110" s="17">
        <f t="shared" si="512"/>
        <v>2</v>
      </c>
      <c r="X1110" s="17">
        <f t="shared" si="513"/>
        <v>4</v>
      </c>
      <c r="Y1110" s="18">
        <f t="shared" si="514"/>
        <v>0.5</v>
      </c>
      <c r="Z1110">
        <v>1</v>
      </c>
      <c r="AA1110">
        <v>2</v>
      </c>
      <c r="AB1110" s="17">
        <f t="shared" si="515"/>
        <v>1</v>
      </c>
      <c r="AC1110" s="17">
        <f t="shared" si="516"/>
        <v>2</v>
      </c>
      <c r="AD1110" s="18">
        <f t="shared" si="517"/>
        <v>0.5</v>
      </c>
      <c r="AE1110">
        <v>4</v>
      </c>
      <c r="AF1110" s="17">
        <f t="shared" si="518"/>
        <v>4</v>
      </c>
      <c r="AG1110">
        <v>1</v>
      </c>
      <c r="AH1110" s="17">
        <f t="shared" si="519"/>
        <v>1</v>
      </c>
      <c r="AI1110">
        <v>3</v>
      </c>
      <c r="AJ1110" s="17">
        <f t="shared" si="520"/>
        <v>3</v>
      </c>
      <c r="AK1110">
        <v>2</v>
      </c>
      <c r="AL1110" s="17">
        <f t="shared" si="521"/>
        <v>2</v>
      </c>
      <c r="AM1110">
        <v>0</v>
      </c>
      <c r="AN1110" s="17">
        <f t="shared" si="522"/>
        <v>0</v>
      </c>
      <c r="AO1110">
        <v>0</v>
      </c>
      <c r="AQ1110">
        <v>0</v>
      </c>
      <c r="AR1110" s="17">
        <f t="shared" si="523"/>
        <v>0</v>
      </c>
      <c r="AS1110">
        <v>3</v>
      </c>
      <c r="AT1110" s="17">
        <f t="shared" si="524"/>
        <v>3</v>
      </c>
      <c r="BD1110" s="65">
        <f t="shared" si="525"/>
        <v>65.406976744186053</v>
      </c>
      <c r="BE1110" s="65">
        <f t="shared" si="526"/>
        <v>66.666666666666657</v>
      </c>
      <c r="BF1110" s="66">
        <f>IFERROR(100*((L1110+0.44*AA1110+AQ1110)*2400)/((SUMIFS(팀공격력!Q:Q,팀공격력!A:A,B1110,팀공격력!B:B,D1110)+0.44*SUMIFS(팀공격력!T:T,팀공격력!A:A,B1110,팀공격력!B:B,D1110)+SUMIFS(팀공격력!AK:AK,팀공격력!A:A,B1110,팀공격력!B:B,D1110))*(F1110*60+G1110)),"")</f>
        <v>1.4486783074004825</v>
      </c>
      <c r="BG1110" s="38">
        <f t="shared" si="527"/>
        <v>0.66666666666666663</v>
      </c>
      <c r="BH1110" s="38">
        <f t="shared" si="528"/>
        <v>0.33333333333333331</v>
      </c>
      <c r="BI1110" s="67">
        <f>IFERROR(((AG1110*(12000/5))/((F1110*60+G1110)*(SUMIFS(팀공격력!X:X,팀공격력!A:A,B1110,팀공격력!B:B,D1110)+SUMIFS(팀수비력!X:X,팀수비력!A:A,B1110,팀수비력!B:B,D1110))))*100,"")</f>
        <v>0.27104678267468962</v>
      </c>
      <c r="BJ1110" s="67">
        <f>IFERROR(((AI1110*(12000/5))/((F1110*60+G1110)*(SUMIFS(팀공격력!V:V,팀공격력!A:A,B1110,팀공격력!B:B,D1110)+SUMIFS(팀수비력!W:W,팀수비력!A:A,B1110,팀수비력!B:B,D1110))))*100,"")</f>
        <v>1.5955961546132675</v>
      </c>
      <c r="BK1110" s="67">
        <f>IFERROR(((AE1110*(12000/5))/((F1110*60+G1110)*(SUMIFS(팀공격력!X:X,팀공격력!A:A,B1110,팀공격력!B:B,D1110)+SUMIFS(팀수비력!X:X,팀수비력!A:A,B1110,팀수비력!B:B,D1110))))*100,"")</f>
        <v>1.0841871306987585</v>
      </c>
      <c r="BL1110" s="67">
        <f>IFERROR(100*AK1110/(((((F1110*60+G1110)/(12000/5))*SUMIFS(팀공격력!P:P,팀공격력!A:A,B1110,팀공격력!B:B,D1110))-K1110)),"")</f>
        <v>1.1240849246160547</v>
      </c>
      <c r="BM1110" s="67">
        <f>IFERROR(100*((AM1110/E1110*(2400))/((F1110*60+G1110)*SUMIFS(팀공격력!AR:AR,팀공격력!A:A,B1110,팀공격력!B:B,D1110))),"")</f>
        <v>0</v>
      </c>
      <c r="BN1110" s="67">
        <f>IFERROR((AO1110*40)/(((F1110*60+G1110)/60)*(SUMIFS(팀수비력!Q:Q,팀수비력!A:A,B1110,팀수비력!B:B,D1110)-SUMIFS(팀수비력!N:N,팀수비력!A:A,B1110,팀수비력!B:B,D1110)))*100,"")</f>
        <v>0</v>
      </c>
      <c r="BO1110" s="67">
        <f t="shared" si="529"/>
        <v>0</v>
      </c>
      <c r="BT1110" t="s">
        <v>89</v>
      </c>
      <c r="BV1110" t="s">
        <v>90</v>
      </c>
      <c r="CF1110">
        <v>1</v>
      </c>
      <c r="CG1110">
        <v>0</v>
      </c>
    </row>
    <row r="1111" spans="1:85" x14ac:dyDescent="0.4">
      <c r="A1111" s="11" t="s">
        <v>85</v>
      </c>
      <c r="B1111" t="s">
        <v>286</v>
      </c>
      <c r="C1111" t="s">
        <v>296</v>
      </c>
      <c r="D1111" s="46" t="s">
        <v>313</v>
      </c>
      <c r="E1111">
        <v>9</v>
      </c>
      <c r="F1111">
        <v>16</v>
      </c>
      <c r="G1111" s="1">
        <v>34</v>
      </c>
      <c r="H1111" s="16">
        <f t="shared" si="504"/>
        <v>8946</v>
      </c>
      <c r="I1111">
        <v>61</v>
      </c>
      <c r="J1111" s="17">
        <f t="shared" si="505"/>
        <v>6.7777777777777777</v>
      </c>
      <c r="K1111">
        <v>22</v>
      </c>
      <c r="L1111">
        <v>73</v>
      </c>
      <c r="M1111" s="17">
        <f t="shared" si="506"/>
        <v>2.4444444444444446</v>
      </c>
      <c r="N1111" s="17">
        <f t="shared" si="507"/>
        <v>8.1111111111111107</v>
      </c>
      <c r="O1111" s="18">
        <f t="shared" si="508"/>
        <v>0.30136986301369861</v>
      </c>
      <c r="P1111">
        <v>11</v>
      </c>
      <c r="Q1111">
        <v>30</v>
      </c>
      <c r="R1111" s="17">
        <f t="shared" si="509"/>
        <v>1.2222222222222223</v>
      </c>
      <c r="S1111" s="17">
        <f t="shared" si="510"/>
        <v>3.3333333333333335</v>
      </c>
      <c r="T1111" s="18">
        <f t="shared" si="511"/>
        <v>0.36666666666666664</v>
      </c>
      <c r="U1111">
        <v>11</v>
      </c>
      <c r="V1111">
        <v>43</v>
      </c>
      <c r="W1111" s="17">
        <f t="shared" si="512"/>
        <v>1.2222222222222223</v>
      </c>
      <c r="X1111" s="17">
        <f t="shared" si="513"/>
        <v>4.7777777777777777</v>
      </c>
      <c r="Y1111" s="18">
        <f t="shared" si="514"/>
        <v>0.2558139534883721</v>
      </c>
      <c r="Z1111">
        <v>6</v>
      </c>
      <c r="AA1111">
        <v>7</v>
      </c>
      <c r="AB1111" s="17">
        <f t="shared" si="515"/>
        <v>0.66666666666666663</v>
      </c>
      <c r="AC1111" s="17">
        <f t="shared" si="516"/>
        <v>0.77777777777777779</v>
      </c>
      <c r="AD1111" s="18">
        <f t="shared" si="517"/>
        <v>0.8571428571428571</v>
      </c>
      <c r="AE1111">
        <v>14</v>
      </c>
      <c r="AF1111" s="17">
        <f t="shared" si="518"/>
        <v>1.5555555555555556</v>
      </c>
      <c r="AG1111">
        <v>1</v>
      </c>
      <c r="AH1111" s="17">
        <f t="shared" si="519"/>
        <v>0.1111111111111111</v>
      </c>
      <c r="AI1111">
        <v>13</v>
      </c>
      <c r="AJ1111" s="17">
        <f t="shared" si="520"/>
        <v>1.4444444444444444</v>
      </c>
      <c r="AK1111">
        <v>3</v>
      </c>
      <c r="AL1111" s="17">
        <f t="shared" si="521"/>
        <v>0.33333333333333331</v>
      </c>
      <c r="AM1111">
        <v>4</v>
      </c>
      <c r="AN1111" s="17">
        <f t="shared" si="522"/>
        <v>0.44444444444444442</v>
      </c>
      <c r="AO1111">
        <v>2</v>
      </c>
      <c r="AQ1111">
        <v>5</v>
      </c>
      <c r="AR1111" s="17">
        <f t="shared" si="523"/>
        <v>0.55555555555555558</v>
      </c>
      <c r="AS1111">
        <v>12</v>
      </c>
      <c r="AT1111" s="17">
        <f t="shared" si="524"/>
        <v>1.3333333333333333</v>
      </c>
      <c r="BD1111" s="65">
        <f t="shared" si="525"/>
        <v>40.089379600420614</v>
      </c>
      <c r="BE1111" s="65">
        <f t="shared" si="526"/>
        <v>37.671232876712331</v>
      </c>
      <c r="BF1111" s="66">
        <f>IFERROR(100*((L1111+0.44*AA1111+AQ1111)*2400)/((SUMIFS(팀공격력!Q:Q,팀공격력!A:A,B1111,팀공격력!B:B,D1111)+0.44*SUMIFS(팀공격력!T:T,팀공격력!A:A,B1111,팀공격력!B:B,D1111)+SUMIFS(팀공격력!AK:AK,팀공격력!A:A,B1111,팀공격력!B:B,D1111))*(F1111*60+G1111)),"")</f>
        <v>24.372117872315311</v>
      </c>
      <c r="BG1111" s="38">
        <f t="shared" si="527"/>
        <v>0.58904109589041098</v>
      </c>
      <c r="BH1111" s="38">
        <f t="shared" si="528"/>
        <v>9.5890410958904104E-2</v>
      </c>
      <c r="BI1111" s="67">
        <f>IFERROR(((AG1111*(12000/5))/((F1111*60+G1111)*(SUMIFS(팀공격력!X:X,팀공격력!A:A,B1111,팀공격력!B:B,D1111)+SUMIFS(팀수비력!X:X,팀수비력!A:A,B1111,팀수비력!B:B,D1111))))*100,"")</f>
        <v>0.38693700665531655</v>
      </c>
      <c r="BJ1111" s="67">
        <f>IFERROR(((AI1111*(12000/5))/((F1111*60+G1111)*(SUMIFS(팀공격력!V:V,팀공격력!A:A,B1111,팀공격력!B:B,D1111)+SUMIFS(팀수비력!W:W,팀수비력!A:A,B1111,팀수비력!B:B,D1111))))*100,"")</f>
        <v>9.8705440188299605</v>
      </c>
      <c r="BK1111" s="67">
        <f>IFERROR(((AE1111*(12000/5))/((F1111*60+G1111)*(SUMIFS(팀공격력!X:X,팀공격력!A:A,B1111,팀공격력!B:B,D1111)+SUMIFS(팀수비력!X:X,팀수비력!A:A,B1111,팀수비력!B:B,D1111))))*100,"")</f>
        <v>5.4171180931744312</v>
      </c>
      <c r="BL1111" s="67">
        <f>IFERROR(100*AK1111/(((((F1111*60+G1111)/(12000/5))*SUMIFS(팀공격력!P:P,팀공격력!A:A,B1111,팀공격력!B:B,D1111))-K1111)),"")</f>
        <v>2.8643719864419728</v>
      </c>
      <c r="BM1111" s="67">
        <f>IFERROR(100*((AM1111/E1111*(2400))/((F1111*60+G1111)*SUMIFS(팀공격력!AR:AR,팀공격력!A:A,B1111,팀공격력!B:B,D1111))),"")</f>
        <v>1.4488212369668643</v>
      </c>
      <c r="BN1111" s="67">
        <f>IFERROR((AO1111*40)/(((F1111*60+G1111)/60)*(SUMIFS(팀수비력!Q:Q,팀수비력!A:A,B1111,팀수비력!B:B,D1111)-SUMIFS(팀수비력!N:N,팀수비력!A:A,B1111,팀수비력!B:B,D1111)))*100,"")</f>
        <v>1.3086649981187941</v>
      </c>
      <c r="BO1111" s="67">
        <f t="shared" si="529"/>
        <v>6.1667488899852003</v>
      </c>
      <c r="BT1111" t="s">
        <v>89</v>
      </c>
      <c r="BV1111" t="s">
        <v>90</v>
      </c>
      <c r="CF1111">
        <v>8</v>
      </c>
      <c r="CG1111">
        <v>1</v>
      </c>
    </row>
    <row r="1112" spans="1:85" x14ac:dyDescent="0.4">
      <c r="A1112" s="11" t="s">
        <v>85</v>
      </c>
      <c r="B1112" t="s">
        <v>286</v>
      </c>
      <c r="C1112" t="s">
        <v>297</v>
      </c>
      <c r="D1112" s="46" t="s">
        <v>313</v>
      </c>
      <c r="E1112">
        <v>2</v>
      </c>
      <c r="F1112">
        <v>4</v>
      </c>
      <c r="G1112" s="1">
        <v>16</v>
      </c>
      <c r="H1112" s="16">
        <f t="shared" si="504"/>
        <v>512</v>
      </c>
      <c r="I1112">
        <v>0</v>
      </c>
      <c r="J1112" s="17">
        <f t="shared" si="505"/>
        <v>0</v>
      </c>
      <c r="K1112">
        <v>0</v>
      </c>
      <c r="L1112">
        <v>2</v>
      </c>
      <c r="M1112" s="17">
        <f t="shared" si="506"/>
        <v>0</v>
      </c>
      <c r="N1112" s="17">
        <f t="shared" si="507"/>
        <v>1</v>
      </c>
      <c r="O1112" s="18">
        <f t="shared" si="508"/>
        <v>0</v>
      </c>
      <c r="P1112">
        <v>0</v>
      </c>
      <c r="Q1112">
        <v>0</v>
      </c>
      <c r="R1112" s="17">
        <f t="shared" si="509"/>
        <v>0</v>
      </c>
      <c r="S1112" s="17">
        <f t="shared" si="510"/>
        <v>0</v>
      </c>
      <c r="T1112" s="18" t="e">
        <f t="shared" si="511"/>
        <v>#DIV/0!</v>
      </c>
      <c r="U1112">
        <v>0</v>
      </c>
      <c r="V1112">
        <v>2</v>
      </c>
      <c r="W1112" s="17">
        <f t="shared" si="512"/>
        <v>0</v>
      </c>
      <c r="X1112" s="17">
        <f t="shared" si="513"/>
        <v>1</v>
      </c>
      <c r="Y1112" s="18">
        <f t="shared" si="514"/>
        <v>0</v>
      </c>
      <c r="Z1112">
        <v>0</v>
      </c>
      <c r="AA1112">
        <v>0</v>
      </c>
      <c r="AB1112" s="17">
        <f t="shared" si="515"/>
        <v>0</v>
      </c>
      <c r="AC1112" s="17">
        <f t="shared" si="516"/>
        <v>0</v>
      </c>
      <c r="AD1112" s="18" t="e">
        <f t="shared" si="517"/>
        <v>#DIV/0!</v>
      </c>
      <c r="AE1112">
        <v>2</v>
      </c>
      <c r="AF1112" s="17">
        <f t="shared" si="518"/>
        <v>1</v>
      </c>
      <c r="AG1112">
        <v>1</v>
      </c>
      <c r="AH1112" s="17">
        <f t="shared" si="519"/>
        <v>0.5</v>
      </c>
      <c r="AI1112">
        <v>1</v>
      </c>
      <c r="AJ1112" s="17">
        <f t="shared" si="520"/>
        <v>0.5</v>
      </c>
      <c r="AK1112">
        <v>2</v>
      </c>
      <c r="AL1112" s="17">
        <f t="shared" si="521"/>
        <v>1</v>
      </c>
      <c r="AM1112">
        <v>0</v>
      </c>
      <c r="AN1112" s="17">
        <f t="shared" si="522"/>
        <v>0</v>
      </c>
      <c r="AO1112">
        <v>0</v>
      </c>
      <c r="AQ1112">
        <v>0</v>
      </c>
      <c r="AR1112" s="17">
        <f t="shared" si="523"/>
        <v>0</v>
      </c>
      <c r="AS1112">
        <v>1</v>
      </c>
      <c r="AT1112" s="17">
        <f t="shared" si="524"/>
        <v>0.5</v>
      </c>
      <c r="BD1112" s="65">
        <f t="shared" si="525"/>
        <v>0</v>
      </c>
      <c r="BE1112" s="65">
        <f t="shared" si="526"/>
        <v>0</v>
      </c>
      <c r="BF1112" s="66">
        <f>IFERROR(100*((L1112+0.44*AA1112+AQ1112)*2400)/((SUMIFS(팀공격력!Q:Q,팀공격력!A:A,B1112,팀공격력!B:B,D1112)+0.44*SUMIFS(팀공격력!T:T,팀공격력!A:A,B1112,팀공격력!B:B,D1112)+SUMIFS(팀공격력!AK:AK,팀공격력!A:A,B1112,팀공격력!B:B,D1112))*(F1112*60+G1112)),"")</f>
        <v>2.3342961007917933</v>
      </c>
      <c r="BG1112" s="38">
        <f t="shared" si="527"/>
        <v>1</v>
      </c>
      <c r="BH1112" s="38">
        <f t="shared" si="528"/>
        <v>0</v>
      </c>
      <c r="BI1112" s="67">
        <f>IFERROR(((AG1112*(12000/5))/((F1112*60+G1112)*(SUMIFS(팀공격력!X:X,팀공격력!A:A,B1112,팀공격력!B:B,D1112)+SUMIFS(팀수비력!X:X,팀수비력!A:A,B1112,팀수비력!B:B,D1112))))*100,"")</f>
        <v>1.5024038461538463</v>
      </c>
      <c r="BJ1112" s="67">
        <f>IFERROR(((AI1112*(12000/5))/((F1112*60+G1112)*(SUMIFS(팀공격력!V:V,팀공격력!A:A,B1112,팀공격력!B:B,D1112)+SUMIFS(팀수비력!W:W,팀수비력!A:A,B1112,팀수비력!B:B,D1112))))*100,"")</f>
        <v>2.9481132075471699</v>
      </c>
      <c r="BK1112" s="67">
        <f>IFERROR(((AE1112*(12000/5))/((F1112*60+G1112)*(SUMIFS(팀공격력!X:X,팀공격력!A:A,B1112,팀공격력!B:B,D1112)+SUMIFS(팀수비력!X:X,팀수비력!A:A,B1112,팀수비력!B:B,D1112))))*100,"")</f>
        <v>3.0048076923076925</v>
      </c>
      <c r="BL1112" s="67">
        <f>IFERROR(100*AK1112/(((((F1112*60+G1112)/(12000/5))*SUMIFS(팀공격력!P:P,팀공격력!A:A,B1112,팀공격력!B:B,D1112))-K1112)),"")</f>
        <v>6.1274509803921564</v>
      </c>
      <c r="BM1112" s="67">
        <f>IFERROR(100*((AM1112/E1112*(2400))/((F1112*60+G1112)*SUMIFS(팀공격력!AR:AR,팀공격력!A:A,B1112,팀공격력!B:B,D1112))),"")</f>
        <v>0</v>
      </c>
      <c r="BN1112" s="67">
        <f>IFERROR((AO1112*40)/(((F1112*60+G1112)/60)*(SUMIFS(팀수비력!Q:Q,팀수비력!A:A,B1112,팀수비력!B:B,D1112)-SUMIFS(팀수비력!N:N,팀수비력!A:A,B1112,팀수비력!B:B,D1112)))*100,"")</f>
        <v>0</v>
      </c>
      <c r="BO1112" s="67">
        <f t="shared" si="529"/>
        <v>0</v>
      </c>
      <c r="BT1112" t="s">
        <v>89</v>
      </c>
      <c r="BV1112" t="s">
        <v>93</v>
      </c>
      <c r="CF1112">
        <v>2</v>
      </c>
      <c r="CG1112">
        <v>0</v>
      </c>
    </row>
    <row r="1113" spans="1:85" x14ac:dyDescent="0.4">
      <c r="A1113" s="11" t="s">
        <v>85</v>
      </c>
      <c r="B1113" t="s">
        <v>286</v>
      </c>
      <c r="C1113" t="s">
        <v>298</v>
      </c>
      <c r="D1113" s="46" t="s">
        <v>313</v>
      </c>
      <c r="E1113">
        <v>9</v>
      </c>
      <c r="F1113">
        <v>24</v>
      </c>
      <c r="G1113" s="1">
        <v>39</v>
      </c>
      <c r="H1113" s="16">
        <f t="shared" si="504"/>
        <v>13311</v>
      </c>
      <c r="I1113">
        <v>114</v>
      </c>
      <c r="J1113" s="17">
        <f t="shared" si="505"/>
        <v>12.666666666666666</v>
      </c>
      <c r="K1113">
        <v>43</v>
      </c>
      <c r="L1113">
        <v>85</v>
      </c>
      <c r="M1113" s="17">
        <f t="shared" si="506"/>
        <v>4.7777777777777777</v>
      </c>
      <c r="N1113" s="17">
        <f t="shared" si="507"/>
        <v>9.4444444444444446</v>
      </c>
      <c r="O1113" s="18">
        <f t="shared" si="508"/>
        <v>0.50588235294117645</v>
      </c>
      <c r="P1113">
        <v>28</v>
      </c>
      <c r="Q1113">
        <v>48</v>
      </c>
      <c r="R1113" s="17">
        <f t="shared" si="509"/>
        <v>3.1111111111111112</v>
      </c>
      <c r="S1113" s="17">
        <f t="shared" si="510"/>
        <v>5.333333333333333</v>
      </c>
      <c r="T1113" s="18">
        <f t="shared" si="511"/>
        <v>0.58333333333333337</v>
      </c>
      <c r="U1113">
        <v>15</v>
      </c>
      <c r="V1113">
        <v>37</v>
      </c>
      <c r="W1113" s="17">
        <f t="shared" si="512"/>
        <v>1.6666666666666667</v>
      </c>
      <c r="X1113" s="17">
        <f t="shared" si="513"/>
        <v>4.1111111111111107</v>
      </c>
      <c r="Y1113" s="18">
        <f t="shared" si="514"/>
        <v>0.40540540540540543</v>
      </c>
      <c r="Z1113">
        <v>13</v>
      </c>
      <c r="AA1113">
        <v>16</v>
      </c>
      <c r="AB1113" s="17">
        <f t="shared" si="515"/>
        <v>1.4444444444444444</v>
      </c>
      <c r="AC1113" s="17">
        <f t="shared" si="516"/>
        <v>1.7777777777777777</v>
      </c>
      <c r="AD1113" s="18">
        <f t="shared" si="517"/>
        <v>0.8125</v>
      </c>
      <c r="AE1113">
        <v>29</v>
      </c>
      <c r="AF1113" s="17">
        <f t="shared" si="518"/>
        <v>3.2222222222222223</v>
      </c>
      <c r="AG1113">
        <v>7</v>
      </c>
      <c r="AH1113" s="17">
        <f t="shared" si="519"/>
        <v>0.77777777777777779</v>
      </c>
      <c r="AI1113">
        <v>22</v>
      </c>
      <c r="AJ1113" s="17">
        <f t="shared" si="520"/>
        <v>2.4444444444444446</v>
      </c>
      <c r="AK1113">
        <v>40</v>
      </c>
      <c r="AL1113" s="17">
        <f t="shared" si="521"/>
        <v>4.4444444444444446</v>
      </c>
      <c r="AM1113">
        <v>8</v>
      </c>
      <c r="AN1113" s="17">
        <f t="shared" si="522"/>
        <v>0.88888888888888884</v>
      </c>
      <c r="AO1113">
        <v>4</v>
      </c>
      <c r="AQ1113">
        <v>21</v>
      </c>
      <c r="AR1113" s="17">
        <f t="shared" si="523"/>
        <v>2.3333333333333335</v>
      </c>
      <c r="AS1113">
        <v>13</v>
      </c>
      <c r="AT1113" s="17">
        <f t="shared" si="524"/>
        <v>1.4444444444444444</v>
      </c>
      <c r="BD1113" s="65">
        <f t="shared" si="525"/>
        <v>61.929595827900904</v>
      </c>
      <c r="BE1113" s="65">
        <f t="shared" si="526"/>
        <v>59.411764705882355</v>
      </c>
      <c r="BF1113" s="66">
        <f>IFERROR(100*((L1113+0.44*AA1113+AQ1113)*2400)/((SUMIFS(팀공격력!Q:Q,팀공격력!A:A,B1113,팀공격력!B:B,D1113)+0.44*SUMIFS(팀공격력!T:T,팀공격력!A:A,B1113,팀공격력!B:B,D1113)+SUMIFS(팀공격력!AK:AK,팀공격력!A:A,B1113,팀공격력!B:B,D1113))*(F1113*60+G1113)),"")</f>
        <v>22.836518186537223</v>
      </c>
      <c r="BG1113" s="38">
        <f t="shared" si="527"/>
        <v>0.43529411764705883</v>
      </c>
      <c r="BH1113" s="38">
        <f t="shared" si="528"/>
        <v>0.18823529411764706</v>
      </c>
      <c r="BI1113" s="67">
        <f>IFERROR(((AG1113*(12000/5))/((F1113*60+G1113)*(SUMIFS(팀공격력!X:X,팀공격력!A:A,B1113,팀공격력!B:B,D1113)+SUMIFS(팀수비력!X:X,팀수비력!A:A,B1113,팀수비력!B:B,D1113))))*100,"")</f>
        <v>1.8203567899308264</v>
      </c>
      <c r="BJ1113" s="67">
        <f>IFERROR(((AI1113*(12000/5))/((F1113*60+G1113)*(SUMIFS(팀공격력!V:V,팀공격력!A:A,B1113,팀공격력!B:B,D1113)+SUMIFS(팀수비력!W:W,팀수비력!A:A,B1113,팀수비력!B:B,D1113))))*100,"")</f>
        <v>11.226351308252644</v>
      </c>
      <c r="BK1113" s="67">
        <f>IFERROR(((AE1113*(12000/5))/((F1113*60+G1113)*(SUMIFS(팀공격력!X:X,팀공격력!A:A,B1113,팀공격력!B:B,D1113)+SUMIFS(팀수비력!X:X,팀수비력!A:A,B1113,팀수비력!B:B,D1113))))*100,"")</f>
        <v>7.5414781297134237</v>
      </c>
      <c r="BL1113" s="67">
        <f>IFERROR(100*AK1113/(((((F1113*60+G1113)/(12000/5))*SUMIFS(팀공격력!P:P,팀공격력!A:A,B1113,팀공격력!B:B,D1113))-K1113)),"")</f>
        <v>27.477717288636249</v>
      </c>
      <c r="BM1113" s="67">
        <f>IFERROR(100*((AM1113/E1113*(2400))/((F1113*60+G1113)*SUMIFS(팀공격력!AR:AR,팀공격력!A:A,B1113,팀공격력!B:B,D1113))),"")</f>
        <v>1.9474351717985976</v>
      </c>
      <c r="BN1113" s="67">
        <f>IFERROR((AO1113*40)/(((F1113*60+G1113)/60)*(SUMIFS(팀수비력!Q:Q,팀수비력!A:A,B1113,팀수비력!B:B,D1113)-SUMIFS(팀수비력!N:N,팀수비력!A:A,B1113,팀수비력!B:B,D1113)))*100,"")</f>
        <v>1.7590439596079528</v>
      </c>
      <c r="BO1113" s="67">
        <f t="shared" si="529"/>
        <v>18.577494692144374</v>
      </c>
      <c r="BT1113" t="s">
        <v>89</v>
      </c>
      <c r="BV1113" t="s">
        <v>90</v>
      </c>
      <c r="CF1113">
        <v>8</v>
      </c>
      <c r="CG1113">
        <v>1</v>
      </c>
    </row>
    <row r="1114" spans="1:85" x14ac:dyDescent="0.4">
      <c r="A1114" s="11" t="s">
        <v>85</v>
      </c>
      <c r="B1114" t="s">
        <v>286</v>
      </c>
      <c r="C1114" t="s">
        <v>299</v>
      </c>
      <c r="D1114" s="46" t="s">
        <v>313</v>
      </c>
      <c r="E1114">
        <v>3</v>
      </c>
      <c r="F1114">
        <v>8</v>
      </c>
      <c r="G1114" s="1">
        <v>48</v>
      </c>
      <c r="H1114" s="16">
        <f t="shared" si="504"/>
        <v>1584</v>
      </c>
      <c r="I1114">
        <v>8</v>
      </c>
      <c r="J1114" s="17">
        <f t="shared" si="505"/>
        <v>2.6666666666666665</v>
      </c>
      <c r="K1114">
        <v>3</v>
      </c>
      <c r="L1114">
        <v>10</v>
      </c>
      <c r="M1114" s="17">
        <f t="shared" si="506"/>
        <v>1</v>
      </c>
      <c r="N1114" s="17">
        <f t="shared" si="507"/>
        <v>3.3333333333333335</v>
      </c>
      <c r="O1114" s="18">
        <f t="shared" si="508"/>
        <v>0.3</v>
      </c>
      <c r="P1114">
        <v>2</v>
      </c>
      <c r="Q1114">
        <v>2</v>
      </c>
      <c r="R1114" s="17">
        <f t="shared" si="509"/>
        <v>0.66666666666666663</v>
      </c>
      <c r="S1114" s="17">
        <f t="shared" si="510"/>
        <v>0.66666666666666663</v>
      </c>
      <c r="T1114" s="18">
        <f t="shared" si="511"/>
        <v>1</v>
      </c>
      <c r="U1114">
        <v>1</v>
      </c>
      <c r="V1114">
        <v>8</v>
      </c>
      <c r="W1114" s="17">
        <f t="shared" si="512"/>
        <v>0.33333333333333331</v>
      </c>
      <c r="X1114" s="17">
        <f t="shared" si="513"/>
        <v>2.6666666666666665</v>
      </c>
      <c r="Y1114" s="18">
        <f t="shared" si="514"/>
        <v>0.125</v>
      </c>
      <c r="Z1114">
        <v>1</v>
      </c>
      <c r="AA1114">
        <v>1</v>
      </c>
      <c r="AB1114" s="17">
        <f t="shared" si="515"/>
        <v>0.33333333333333331</v>
      </c>
      <c r="AC1114" s="17">
        <f t="shared" si="516"/>
        <v>0.33333333333333331</v>
      </c>
      <c r="AD1114" s="18">
        <f t="shared" si="517"/>
        <v>1</v>
      </c>
      <c r="AE1114">
        <v>3</v>
      </c>
      <c r="AF1114" s="17">
        <f t="shared" si="518"/>
        <v>1</v>
      </c>
      <c r="AG1114">
        <v>2</v>
      </c>
      <c r="AH1114" s="17">
        <f t="shared" si="519"/>
        <v>0.66666666666666663</v>
      </c>
      <c r="AI1114">
        <v>1</v>
      </c>
      <c r="AJ1114" s="17">
        <f t="shared" si="520"/>
        <v>0.33333333333333331</v>
      </c>
      <c r="AK1114">
        <v>0</v>
      </c>
      <c r="AL1114" s="17">
        <f t="shared" si="521"/>
        <v>0</v>
      </c>
      <c r="AM1114">
        <v>0</v>
      </c>
      <c r="AN1114" s="17">
        <f t="shared" si="522"/>
        <v>0</v>
      </c>
      <c r="AO1114">
        <v>0</v>
      </c>
      <c r="AQ1114">
        <v>0</v>
      </c>
      <c r="AR1114" s="17">
        <f t="shared" si="523"/>
        <v>0</v>
      </c>
      <c r="AS1114">
        <v>5</v>
      </c>
      <c r="AT1114" s="17">
        <f t="shared" si="524"/>
        <v>1.6666666666666667</v>
      </c>
      <c r="BD1114" s="65">
        <f t="shared" si="525"/>
        <v>38.314176245210732</v>
      </c>
      <c r="BE1114" s="65">
        <f t="shared" si="526"/>
        <v>35</v>
      </c>
      <c r="BF1114" s="66">
        <f>IFERROR(100*((L1114+0.44*AA1114+AQ1114)*2400)/((SUMIFS(팀공격력!Q:Q,팀공격력!A:A,B1114,팀공격력!B:B,D1114)+0.44*SUMIFS(팀공격력!T:T,팀공격력!A:A,B1114,팀공격력!B:B,D1114)+SUMIFS(팀공격력!AK:AK,팀공격력!A:A,B1114,팀공격력!B:B,D1114))*(F1114*60+G1114)),"")</f>
        <v>5.907891222367593</v>
      </c>
      <c r="BG1114" s="38">
        <f t="shared" si="527"/>
        <v>0.8</v>
      </c>
      <c r="BH1114" s="38">
        <f t="shared" si="528"/>
        <v>0.1</v>
      </c>
      <c r="BI1114" s="67">
        <f>IFERROR(((AG1114*(12000/5))/((F1114*60+G1114)*(SUMIFS(팀공격력!X:X,팀공격력!A:A,B1114,팀공격력!B:B,D1114)+SUMIFS(팀수비력!X:X,팀수비력!A:A,B1114,팀수비력!B:B,D1114))))*100,"")</f>
        <v>1.4568764568764567</v>
      </c>
      <c r="BJ1114" s="67">
        <f>IFERROR(((AI1114*(12000/5))/((F1114*60+G1114)*(SUMIFS(팀공격력!V:V,팀공격력!A:A,B1114,팀공격력!B:B,D1114)+SUMIFS(팀수비력!W:W,팀수비력!A:A,B1114,팀수비력!B:B,D1114))))*100,"")</f>
        <v>1.4293882218410521</v>
      </c>
      <c r="BK1114" s="67">
        <f>IFERROR(((AE1114*(12000/5))/((F1114*60+G1114)*(SUMIFS(팀공격력!X:X,팀공격력!A:A,B1114,팀공격력!B:B,D1114)+SUMIFS(팀수비력!X:X,팀수비력!A:A,B1114,팀수비력!B:B,D1114))))*100,"")</f>
        <v>2.1853146853146854</v>
      </c>
      <c r="BL1114" s="67">
        <f>IFERROR(100*AK1114/(((((F1114*60+G1114)/(12000/5))*SUMIFS(팀공격력!P:P,팀공격력!A:A,B1114,팀공격력!B:B,D1114))-K1114)),"")</f>
        <v>0</v>
      </c>
      <c r="BM1114" s="67">
        <f>IFERROR(100*((AM1114/E1114*(2400))/((F1114*60+G1114)*SUMIFS(팀공격력!AR:AR,팀공격력!A:A,B1114,팀공격력!B:B,D1114))),"")</f>
        <v>0</v>
      </c>
      <c r="BN1114" s="67">
        <f>IFERROR((AO1114*40)/(((F1114*60+G1114)/60)*(SUMIFS(팀수비력!Q:Q,팀수비력!A:A,B1114,팀수비력!B:B,D1114)-SUMIFS(팀수비력!N:N,팀수비력!A:A,B1114,팀수비력!B:B,D1114)))*100,"")</f>
        <v>0</v>
      </c>
      <c r="BO1114" s="67">
        <f t="shared" si="529"/>
        <v>0</v>
      </c>
      <c r="BT1114" t="s">
        <v>89</v>
      </c>
      <c r="BV1114" t="s">
        <v>93</v>
      </c>
      <c r="CF1114">
        <v>2</v>
      </c>
      <c r="CG1114">
        <v>1</v>
      </c>
    </row>
    <row r="1115" spans="1:85" x14ac:dyDescent="0.4">
      <c r="A1115" s="11" t="s">
        <v>85</v>
      </c>
      <c r="B1115" t="s">
        <v>286</v>
      </c>
      <c r="C1115" t="s">
        <v>300</v>
      </c>
      <c r="D1115" s="46" t="s">
        <v>313</v>
      </c>
      <c r="E1115">
        <v>9</v>
      </c>
      <c r="F1115">
        <v>18</v>
      </c>
      <c r="G1115" s="1">
        <v>46</v>
      </c>
      <c r="H1115" s="16">
        <f t="shared" si="504"/>
        <v>10134</v>
      </c>
      <c r="I1115">
        <v>84</v>
      </c>
      <c r="J1115" s="17">
        <f t="shared" si="505"/>
        <v>9.3333333333333339</v>
      </c>
      <c r="K1115">
        <v>32</v>
      </c>
      <c r="L1115">
        <v>62</v>
      </c>
      <c r="M1115" s="17">
        <f t="shared" si="506"/>
        <v>3.5555555555555554</v>
      </c>
      <c r="N1115" s="17">
        <f t="shared" si="507"/>
        <v>6.8888888888888893</v>
      </c>
      <c r="O1115" s="18">
        <f t="shared" si="508"/>
        <v>0.5161290322580645</v>
      </c>
      <c r="P1115">
        <v>25</v>
      </c>
      <c r="Q1115">
        <v>46</v>
      </c>
      <c r="R1115" s="17">
        <f t="shared" si="509"/>
        <v>2.7777777777777777</v>
      </c>
      <c r="S1115" s="17">
        <f t="shared" si="510"/>
        <v>5.1111111111111107</v>
      </c>
      <c r="T1115" s="18">
        <f t="shared" si="511"/>
        <v>0.54347826086956519</v>
      </c>
      <c r="U1115">
        <v>7</v>
      </c>
      <c r="V1115">
        <v>16</v>
      </c>
      <c r="W1115" s="17">
        <f t="shared" si="512"/>
        <v>0.77777777777777779</v>
      </c>
      <c r="X1115" s="17">
        <f t="shared" si="513"/>
        <v>1.7777777777777777</v>
      </c>
      <c r="Y1115" s="18">
        <f t="shared" si="514"/>
        <v>0.4375</v>
      </c>
      <c r="Z1115">
        <v>13</v>
      </c>
      <c r="AA1115">
        <v>19</v>
      </c>
      <c r="AB1115" s="17">
        <f t="shared" si="515"/>
        <v>1.4444444444444444</v>
      </c>
      <c r="AC1115" s="17">
        <f t="shared" si="516"/>
        <v>2.1111111111111112</v>
      </c>
      <c r="AD1115" s="18">
        <f t="shared" si="517"/>
        <v>0.68421052631578949</v>
      </c>
      <c r="AE1115">
        <v>28</v>
      </c>
      <c r="AF1115" s="17">
        <f t="shared" si="518"/>
        <v>3.1111111111111112</v>
      </c>
      <c r="AG1115">
        <v>10</v>
      </c>
      <c r="AH1115" s="17">
        <f t="shared" si="519"/>
        <v>1.1111111111111112</v>
      </c>
      <c r="AI1115">
        <v>18</v>
      </c>
      <c r="AJ1115" s="17">
        <f t="shared" si="520"/>
        <v>2</v>
      </c>
      <c r="AK1115">
        <v>27</v>
      </c>
      <c r="AL1115" s="17">
        <f t="shared" si="521"/>
        <v>3</v>
      </c>
      <c r="AM1115">
        <v>9</v>
      </c>
      <c r="AN1115" s="17">
        <f t="shared" si="522"/>
        <v>1</v>
      </c>
      <c r="AO1115">
        <v>3</v>
      </c>
      <c r="AQ1115">
        <v>11</v>
      </c>
      <c r="AR1115" s="17">
        <f t="shared" si="523"/>
        <v>1.2222222222222223</v>
      </c>
      <c r="AS1115">
        <v>12</v>
      </c>
      <c r="AT1115" s="17">
        <f t="shared" si="524"/>
        <v>1.3333333333333333</v>
      </c>
      <c r="BD1115" s="65">
        <f t="shared" si="525"/>
        <v>59.693007390562826</v>
      </c>
      <c r="BE1115" s="65">
        <f t="shared" si="526"/>
        <v>57.258064516129039</v>
      </c>
      <c r="BF1115" s="66">
        <f>IFERROR(100*((L1115+0.44*AA1115+AQ1115)*2400)/((SUMIFS(팀공격력!Q:Q,팀공격력!A:A,B1115,팀공격력!B:B,D1115)+0.44*SUMIFS(팀공격력!T:T,팀공격력!A:A,B1115,팀공격력!B:B,D1115)+SUMIFS(팀공격력!AK:AK,팀공격력!A:A,B1115,팀공격력!B:B,D1115))*(F1115*60+G1115)),"")</f>
        <v>21.589295148609057</v>
      </c>
      <c r="BG1115" s="38">
        <f t="shared" si="527"/>
        <v>0.25806451612903225</v>
      </c>
      <c r="BH1115" s="38">
        <f t="shared" si="528"/>
        <v>0.30645161290322581</v>
      </c>
      <c r="BI1115" s="67">
        <f>IFERROR(((AG1115*(12000/5))/((F1115*60+G1115)*(SUMIFS(팀공격력!X:X,팀공격력!A:A,B1115,팀공격력!B:B,D1115)+SUMIFS(팀수비력!X:X,팀수비력!A:A,B1115,팀수비력!B:B,D1115))))*100,"")</f>
        <v>3.4157671813089223</v>
      </c>
      <c r="BJ1115" s="67">
        <f>IFERROR(((AI1115*(12000/5))/((F1115*60+G1115)*(SUMIFS(팀공격력!V:V,팀공격력!A:A,B1115,팀공격력!B:B,D1115)+SUMIFS(팀수비력!W:W,팀수비력!A:A,B1115,팀수비력!B:B,D1115))))*100,"")</f>
        <v>12.064747478132645</v>
      </c>
      <c r="BK1115" s="67">
        <f>IFERROR(((AE1115*(12000/5))/((F1115*60+G1115)*(SUMIFS(팀공격력!X:X,팀공격력!A:A,B1115,팀공격력!B:B,D1115)+SUMIFS(팀수비력!X:X,팀수비력!A:A,B1115,팀수비력!B:B,D1115))))*100,"")</f>
        <v>9.5641481076649804</v>
      </c>
      <c r="BL1115" s="67">
        <f>IFERROR(100*AK1115/(((((F1115*60+G1115)/(12000/5))*SUMIFS(팀공격력!P:P,팀공격력!A:A,B1115,팀공격력!B:B,D1115))-K1115)),"")</f>
        <v>24.2011383498409</v>
      </c>
      <c r="BM1115" s="67">
        <f>IFERROR(100*((AM1115/E1115*(2400))/((F1115*60+G1115)*SUMIFS(팀공격력!AR:AR,팀공격력!A:A,B1115,팀공격력!B:B,D1115))),"")</f>
        <v>2.8776986647214855</v>
      </c>
      <c r="BN1115" s="67">
        <f>IFERROR((AO1115*40)/(((F1115*60+G1115)/60)*(SUMIFS(팀수비력!Q:Q,팀수비력!A:A,B1115,팀수비력!B:B,D1115)-SUMIFS(팀수비력!N:N,팀수비력!A:A,B1115,팀수비력!B:B,D1115)))*100,"")</f>
        <v>1.7328770090542824</v>
      </c>
      <c r="BO1115" s="67">
        <f t="shared" si="529"/>
        <v>13.520157325467061</v>
      </c>
      <c r="BT1115" t="s">
        <v>113</v>
      </c>
      <c r="BV1115" t="s">
        <v>93</v>
      </c>
      <c r="CF1115">
        <v>8</v>
      </c>
      <c r="CG1115">
        <v>1</v>
      </c>
    </row>
    <row r="1116" spans="1:85" x14ac:dyDescent="0.4">
      <c r="A1116" s="11" t="s">
        <v>85</v>
      </c>
      <c r="B1116" t="s">
        <v>286</v>
      </c>
      <c r="C1116" t="s">
        <v>301</v>
      </c>
      <c r="D1116" s="46" t="s">
        <v>313</v>
      </c>
      <c r="E1116">
        <v>9</v>
      </c>
      <c r="F1116">
        <v>10</v>
      </c>
      <c r="G1116" s="1">
        <v>27</v>
      </c>
      <c r="H1116" s="16">
        <f t="shared" si="504"/>
        <v>5643</v>
      </c>
      <c r="I1116">
        <v>28</v>
      </c>
      <c r="J1116" s="17">
        <f t="shared" si="505"/>
        <v>3.1111111111111112</v>
      </c>
      <c r="K1116">
        <v>9</v>
      </c>
      <c r="L1116">
        <v>19</v>
      </c>
      <c r="M1116" s="17">
        <f t="shared" si="506"/>
        <v>1</v>
      </c>
      <c r="N1116" s="17">
        <f t="shared" si="507"/>
        <v>2.1111111111111112</v>
      </c>
      <c r="O1116" s="18">
        <f t="shared" si="508"/>
        <v>0.47368421052631576</v>
      </c>
      <c r="P1116">
        <v>5</v>
      </c>
      <c r="Q1116">
        <v>9</v>
      </c>
      <c r="R1116" s="17">
        <f t="shared" si="509"/>
        <v>0.55555555555555558</v>
      </c>
      <c r="S1116" s="17">
        <f t="shared" si="510"/>
        <v>1</v>
      </c>
      <c r="T1116" s="18">
        <f t="shared" si="511"/>
        <v>0.55555555555555558</v>
      </c>
      <c r="U1116">
        <v>4</v>
      </c>
      <c r="V1116">
        <v>10</v>
      </c>
      <c r="W1116" s="17">
        <f t="shared" si="512"/>
        <v>0.44444444444444442</v>
      </c>
      <c r="X1116" s="17">
        <f t="shared" si="513"/>
        <v>1.1111111111111112</v>
      </c>
      <c r="Y1116" s="18">
        <f t="shared" si="514"/>
        <v>0.4</v>
      </c>
      <c r="Z1116">
        <v>6</v>
      </c>
      <c r="AA1116">
        <v>8</v>
      </c>
      <c r="AB1116" s="17">
        <f t="shared" si="515"/>
        <v>0.66666666666666663</v>
      </c>
      <c r="AC1116" s="17">
        <f t="shared" si="516"/>
        <v>0.88888888888888884</v>
      </c>
      <c r="AD1116" s="18">
        <f t="shared" si="517"/>
        <v>0.75</v>
      </c>
      <c r="AE1116">
        <v>11</v>
      </c>
      <c r="AF1116" s="17">
        <f t="shared" si="518"/>
        <v>1.2222222222222223</v>
      </c>
      <c r="AG1116">
        <v>0</v>
      </c>
      <c r="AH1116" s="17">
        <f t="shared" si="519"/>
        <v>0</v>
      </c>
      <c r="AI1116">
        <v>11</v>
      </c>
      <c r="AJ1116" s="17">
        <f t="shared" si="520"/>
        <v>1.2222222222222223</v>
      </c>
      <c r="AK1116">
        <v>2</v>
      </c>
      <c r="AL1116" s="17">
        <f t="shared" si="521"/>
        <v>0.22222222222222221</v>
      </c>
      <c r="AM1116">
        <v>2</v>
      </c>
      <c r="AN1116" s="17">
        <f t="shared" si="522"/>
        <v>0.22222222222222221</v>
      </c>
      <c r="AO1116">
        <v>0</v>
      </c>
      <c r="AQ1116">
        <v>0</v>
      </c>
      <c r="AR1116" s="17">
        <f t="shared" si="523"/>
        <v>0</v>
      </c>
      <c r="AS1116">
        <v>10</v>
      </c>
      <c r="AT1116" s="17">
        <f t="shared" si="524"/>
        <v>1.1111111111111112</v>
      </c>
      <c r="BD1116" s="65">
        <f t="shared" si="525"/>
        <v>62.166962699822378</v>
      </c>
      <c r="BE1116" s="65">
        <f t="shared" si="526"/>
        <v>57.894736842105267</v>
      </c>
      <c r="BF1116" s="66">
        <f>IFERROR(100*((L1116+0.44*AA1116+AQ1116)*2400)/((SUMIFS(팀공격력!Q:Q,팀공격력!A:A,B1116,팀공격력!B:B,D1116)+0.44*SUMIFS(팀공격력!T:T,팀공격력!A:A,B1116,팀공격력!B:B,D1116)+SUMIFS(팀공격력!AK:AK,팀공격력!A:A,B1116,팀공격력!B:B,D1116))*(F1116*60+G1116)),"")</f>
        <v>10.731656408769364</v>
      </c>
      <c r="BG1116" s="38">
        <f t="shared" si="527"/>
        <v>0.52631578947368418</v>
      </c>
      <c r="BH1116" s="38">
        <f t="shared" si="528"/>
        <v>0.42105263157894735</v>
      </c>
      <c r="BI1116" s="67">
        <f>IFERROR(((AG1116*(12000/5))/((F1116*60+G1116)*(SUMIFS(팀공격력!X:X,팀공격력!A:A,B1116,팀공격력!B:B,D1116)+SUMIFS(팀수비력!X:X,팀수비력!A:A,B1116,팀수비력!B:B,D1116))))*100,"")</f>
        <v>0</v>
      </c>
      <c r="BJ1116" s="67">
        <f>IFERROR(((AI1116*(12000/5))/((F1116*60+G1116)*(SUMIFS(팀공격력!V:V,팀공격력!A:A,B1116,팀공격력!B:B,D1116)+SUMIFS(팀수비력!W:W,팀수비력!A:A,B1116,팀수비력!B:B,D1116))))*100,"")</f>
        <v>13.240648791790798</v>
      </c>
      <c r="BK1116" s="67">
        <f>IFERROR(((AE1116*(12000/5))/((F1116*60+G1116)*(SUMIFS(팀공격력!X:X,팀공격력!A:A,B1116,팀공격력!B:B,D1116)+SUMIFS(팀수비력!X:X,팀수비력!A:A,B1116,팀수비력!B:B,D1116))))*100,"")</f>
        <v>6.7476383265856947</v>
      </c>
      <c r="BL1116" s="67">
        <f>IFERROR(100*AK1116/(((((F1116*60+G1116)/(12000/5))*SUMIFS(팀공격력!P:P,팀공격력!A:A,B1116,팀공격력!B:B,D1116))-K1116)),"")</f>
        <v>2.8191845508686613</v>
      </c>
      <c r="BM1116" s="67">
        <f>IFERROR(100*((AM1116/E1116*(2400))/((F1116*60+G1116)*SUMIFS(팀공격력!AR:AR,팀공격력!A:A,B1116,팀공격력!B:B,D1116))),"")</f>
        <v>1.1484276790630488</v>
      </c>
      <c r="BN1116" s="67">
        <f>IFERROR((AO1116*40)/(((F1116*60+G1116)/60)*(SUMIFS(팀수비력!Q:Q,팀수비력!A:A,B1116,팀수비력!B:B,D1116)-SUMIFS(팀수비력!N:N,팀수비력!A:A,B1116,팀수비력!B:B,D1116)))*100,"")</f>
        <v>0</v>
      </c>
      <c r="BO1116" s="67">
        <f t="shared" si="529"/>
        <v>0</v>
      </c>
      <c r="BT1116" t="s">
        <v>89</v>
      </c>
      <c r="BV1116" t="s">
        <v>93</v>
      </c>
      <c r="CF1116">
        <v>8</v>
      </c>
      <c r="CG1116">
        <v>1</v>
      </c>
    </row>
    <row r="1117" spans="1:85" x14ac:dyDescent="0.4">
      <c r="A1117" s="11" t="s">
        <v>85</v>
      </c>
      <c r="B1117" t="s">
        <v>286</v>
      </c>
      <c r="C1117" t="s">
        <v>302</v>
      </c>
      <c r="D1117" s="46" t="s">
        <v>313</v>
      </c>
      <c r="E1117">
        <v>9</v>
      </c>
      <c r="F1117">
        <v>16</v>
      </c>
      <c r="G1117" s="1">
        <v>59</v>
      </c>
      <c r="H1117" s="16">
        <f t="shared" si="504"/>
        <v>9171</v>
      </c>
      <c r="I1117">
        <v>62</v>
      </c>
      <c r="J1117" s="17">
        <f t="shared" si="505"/>
        <v>6.8888888888888893</v>
      </c>
      <c r="K1117">
        <v>22</v>
      </c>
      <c r="L1117">
        <v>43</v>
      </c>
      <c r="M1117" s="17">
        <f t="shared" si="506"/>
        <v>2.4444444444444446</v>
      </c>
      <c r="N1117" s="17">
        <f t="shared" si="507"/>
        <v>4.7777777777777777</v>
      </c>
      <c r="O1117" s="18">
        <f t="shared" si="508"/>
        <v>0.51162790697674421</v>
      </c>
      <c r="P1117">
        <v>13</v>
      </c>
      <c r="Q1117">
        <v>13</v>
      </c>
      <c r="R1117" s="17">
        <f t="shared" si="509"/>
        <v>1.4444444444444444</v>
      </c>
      <c r="S1117" s="17">
        <f t="shared" si="510"/>
        <v>1.4444444444444444</v>
      </c>
      <c r="T1117" s="18">
        <f t="shared" si="511"/>
        <v>1</v>
      </c>
      <c r="U1117">
        <v>9</v>
      </c>
      <c r="V1117">
        <v>30</v>
      </c>
      <c r="W1117" s="17">
        <f t="shared" si="512"/>
        <v>1</v>
      </c>
      <c r="X1117" s="17">
        <f t="shared" si="513"/>
        <v>3.3333333333333335</v>
      </c>
      <c r="Y1117" s="18">
        <f t="shared" si="514"/>
        <v>0.3</v>
      </c>
      <c r="Z1117">
        <v>9</v>
      </c>
      <c r="AA1117">
        <v>12</v>
      </c>
      <c r="AB1117" s="17">
        <f t="shared" si="515"/>
        <v>1</v>
      </c>
      <c r="AC1117" s="17">
        <f t="shared" si="516"/>
        <v>1.3333333333333333</v>
      </c>
      <c r="AD1117" s="18">
        <f t="shared" si="517"/>
        <v>0.75</v>
      </c>
      <c r="AE1117">
        <v>17</v>
      </c>
      <c r="AF1117" s="17">
        <f t="shared" si="518"/>
        <v>1.8888888888888888</v>
      </c>
      <c r="AG1117">
        <v>5</v>
      </c>
      <c r="AH1117" s="17">
        <f t="shared" si="519"/>
        <v>0.55555555555555558</v>
      </c>
      <c r="AI1117">
        <v>12</v>
      </c>
      <c r="AJ1117" s="17">
        <f t="shared" si="520"/>
        <v>1.3333333333333333</v>
      </c>
      <c r="AK1117">
        <v>23</v>
      </c>
      <c r="AL1117" s="17">
        <f t="shared" si="521"/>
        <v>2.5555555555555554</v>
      </c>
      <c r="AM1117">
        <v>6</v>
      </c>
      <c r="AN1117" s="17">
        <f t="shared" si="522"/>
        <v>0.66666666666666663</v>
      </c>
      <c r="AO1117">
        <v>0</v>
      </c>
      <c r="AQ1117">
        <v>6</v>
      </c>
      <c r="AR1117" s="17">
        <f t="shared" si="523"/>
        <v>0.66666666666666663</v>
      </c>
      <c r="AS1117">
        <v>29</v>
      </c>
      <c r="AT1117" s="17">
        <f t="shared" si="524"/>
        <v>3.2222222222222223</v>
      </c>
      <c r="BD1117" s="65">
        <f t="shared" si="525"/>
        <v>64.208782104391048</v>
      </c>
      <c r="BE1117" s="65">
        <f t="shared" si="526"/>
        <v>61.627906976744185</v>
      </c>
      <c r="BF1117" s="66">
        <f>IFERROR(100*((L1117+0.44*AA1117+AQ1117)*2400)/((SUMIFS(팀공격력!Q:Q,팀공격력!A:A,B1117,팀공격력!B:B,D1117)+0.44*SUMIFS(팀공격력!T:T,팀공격력!A:A,B1117,팀공격력!B:B,D1117)+SUMIFS(팀공격력!AK:AK,팀공격력!A:A,B1117,팀공격력!B:B,D1117))*(F1117*60+G1117)),"")</f>
        <v>15.915913465088568</v>
      </c>
      <c r="BG1117" s="38">
        <f t="shared" si="527"/>
        <v>0.69767441860465118</v>
      </c>
      <c r="BH1117" s="38">
        <f t="shared" si="528"/>
        <v>0.27906976744186046</v>
      </c>
      <c r="BI1117" s="67">
        <f>IFERROR(((AG1117*(12000/5))/((F1117*60+G1117)*(SUMIFS(팀공격력!X:X,팀공격력!A:A,B1117,팀공격력!B:B,D1117)+SUMIFS(팀수비력!X:X,팀수비력!A:A,B1117,팀수비력!B:B,D1117))))*100,"")</f>
        <v>1.8872197478674417</v>
      </c>
      <c r="BJ1117" s="67">
        <f>IFERROR(((AI1117*(12000/5))/((F1117*60+G1117)*(SUMIFS(팀공격력!V:V,팀공격력!A:A,B1117,팀공격력!B:B,D1117)+SUMIFS(팀수비력!W:W,팀수비력!A:A,B1117,팀수비력!B:B,D1117))))*100,"")</f>
        <v>8.8877367748625176</v>
      </c>
      <c r="BK1117" s="67">
        <f>IFERROR(((AE1117*(12000/5))/((F1117*60+G1117)*(SUMIFS(팀공격력!X:X,팀공격력!A:A,B1117,팀공격력!B:B,D1117)+SUMIFS(팀수비력!X:X,팀수비력!A:A,B1117,팀수비력!B:B,D1117))))*100,"")</f>
        <v>6.4165471427493017</v>
      </c>
      <c r="BL1117" s="67">
        <f>IFERROR(100*AK1117/(((((F1117*60+G1117)/(12000/5))*SUMIFS(팀공격력!P:P,팀공격력!A:A,B1117,팀공격력!B:B,D1117))-K1117)),"")</f>
        <v>21.311589334939427</v>
      </c>
      <c r="BM1117" s="67">
        <f>IFERROR(100*((AM1117/E1117*(2400))/((F1117*60+G1117)*SUMIFS(팀공격력!AR:AR,팀공격력!A:A,B1117,팀공격력!B:B,D1117))),"")</f>
        <v>2.1199140964843917</v>
      </c>
      <c r="BN1117" s="67">
        <f>IFERROR((AO1117*40)/(((F1117*60+G1117)/60)*(SUMIFS(팀수비력!Q:Q,팀수비력!A:A,B1117,팀수비력!B:B,D1117)-SUMIFS(팀수비력!N:N,팀수비력!A:A,B1117,팀수비력!B:B,D1117)))*100,"")</f>
        <v>0</v>
      </c>
      <c r="BO1117" s="67">
        <f t="shared" si="529"/>
        <v>11.053795136330139</v>
      </c>
      <c r="BT1117" t="s">
        <v>89</v>
      </c>
      <c r="BV1117" t="s">
        <v>93</v>
      </c>
      <c r="CF1117">
        <v>8</v>
      </c>
      <c r="CG1117">
        <v>1</v>
      </c>
    </row>
    <row r="1118" spans="1:85" x14ac:dyDescent="0.4">
      <c r="A1118" s="11" t="s">
        <v>85</v>
      </c>
      <c r="B1118" t="s">
        <v>286</v>
      </c>
      <c r="C1118" t="s">
        <v>305</v>
      </c>
      <c r="D1118" s="46" t="s">
        <v>313</v>
      </c>
      <c r="E1118">
        <v>9</v>
      </c>
      <c r="F1118">
        <v>11</v>
      </c>
      <c r="G1118" s="1">
        <v>37</v>
      </c>
      <c r="H1118" s="16">
        <f t="shared" si="504"/>
        <v>6273</v>
      </c>
      <c r="I1118">
        <v>43</v>
      </c>
      <c r="J1118" s="17">
        <f t="shared" si="505"/>
        <v>4.7777777777777777</v>
      </c>
      <c r="K1118">
        <v>20</v>
      </c>
      <c r="L1118">
        <v>48</v>
      </c>
      <c r="M1118" s="17">
        <f t="shared" si="506"/>
        <v>2.2222222222222223</v>
      </c>
      <c r="N1118" s="17">
        <f t="shared" si="507"/>
        <v>5.333333333333333</v>
      </c>
      <c r="O1118" s="18">
        <f t="shared" si="508"/>
        <v>0.41666666666666669</v>
      </c>
      <c r="P1118">
        <v>19</v>
      </c>
      <c r="Q1118">
        <v>41</v>
      </c>
      <c r="R1118" s="17">
        <f t="shared" si="509"/>
        <v>2.1111111111111112</v>
      </c>
      <c r="S1118" s="17">
        <f t="shared" si="510"/>
        <v>4.5555555555555554</v>
      </c>
      <c r="T1118" s="18">
        <f t="shared" si="511"/>
        <v>0.46341463414634149</v>
      </c>
      <c r="U1118">
        <v>1</v>
      </c>
      <c r="V1118">
        <v>7</v>
      </c>
      <c r="W1118" s="17">
        <f t="shared" si="512"/>
        <v>0.1111111111111111</v>
      </c>
      <c r="X1118" s="17">
        <f t="shared" si="513"/>
        <v>0.77777777777777779</v>
      </c>
      <c r="Y1118" s="18">
        <f t="shared" si="514"/>
        <v>0.14285714285714285</v>
      </c>
      <c r="Z1118">
        <v>2</v>
      </c>
      <c r="AA1118">
        <v>4</v>
      </c>
      <c r="AB1118" s="17">
        <f t="shared" si="515"/>
        <v>0.22222222222222221</v>
      </c>
      <c r="AC1118" s="17">
        <f t="shared" si="516"/>
        <v>0.44444444444444442</v>
      </c>
      <c r="AD1118" s="18">
        <f t="shared" si="517"/>
        <v>0.5</v>
      </c>
      <c r="AE1118">
        <v>40</v>
      </c>
      <c r="AF1118" s="17">
        <f t="shared" si="518"/>
        <v>4.4444444444444446</v>
      </c>
      <c r="AG1118">
        <v>10</v>
      </c>
      <c r="AH1118" s="17">
        <f t="shared" si="519"/>
        <v>1.1111111111111112</v>
      </c>
      <c r="AI1118">
        <v>30</v>
      </c>
      <c r="AJ1118" s="17">
        <f t="shared" si="520"/>
        <v>3.3333333333333335</v>
      </c>
      <c r="AK1118">
        <v>12</v>
      </c>
      <c r="AL1118" s="17">
        <f t="shared" si="521"/>
        <v>1.3333333333333333</v>
      </c>
      <c r="AM1118">
        <v>5</v>
      </c>
      <c r="AN1118" s="17">
        <f t="shared" si="522"/>
        <v>0.55555555555555558</v>
      </c>
      <c r="AO1118">
        <v>1</v>
      </c>
      <c r="AQ1118">
        <v>7</v>
      </c>
      <c r="AR1118" s="17">
        <f t="shared" si="523"/>
        <v>0.77777777777777779</v>
      </c>
      <c r="AS1118">
        <v>16</v>
      </c>
      <c r="AT1118" s="17">
        <f t="shared" si="524"/>
        <v>1.7777777777777777</v>
      </c>
      <c r="BD1118" s="65">
        <f t="shared" si="525"/>
        <v>43.207395498392287</v>
      </c>
      <c r="BE1118" s="65">
        <f t="shared" si="526"/>
        <v>42.708333333333329</v>
      </c>
      <c r="BF1118" s="66">
        <f>IFERROR(100*((L1118+0.44*AA1118+AQ1118)*2400)/((SUMIFS(팀공격력!Q:Q,팀공격력!A:A,B1118,팀공격력!B:B,D1118)+0.44*SUMIFS(팀공격력!T:T,팀공격력!A:A,B1118,팀공격력!B:B,D1118)+SUMIFS(팀공격력!AK:AK,팀공격력!A:A,B1118,팀공격력!B:B,D1118))*(F1118*60+G1118)),"")</f>
        <v>24.331871987317932</v>
      </c>
      <c r="BG1118" s="38">
        <f t="shared" si="527"/>
        <v>0.14583333333333334</v>
      </c>
      <c r="BH1118" s="38">
        <f t="shared" si="528"/>
        <v>8.3333333333333329E-2</v>
      </c>
      <c r="BI1118" s="67">
        <f>IFERROR(((AG1118*(12000/5))/((F1118*60+G1118)*(SUMIFS(팀공격력!X:X,팀공격력!A:A,B1118,팀공격력!B:B,D1118)+SUMIFS(팀수비력!X:X,팀수비력!A:A,B1118,팀수비력!B:B,D1118))))*100,"")</f>
        <v>5.5181547290586028</v>
      </c>
      <c r="BJ1118" s="67">
        <f>IFERROR(((AI1118*(12000/5))/((F1118*60+G1118)*(SUMIFS(팀공격력!V:V,팀공격력!A:A,B1118,팀공격력!B:B,D1118)+SUMIFS(팀수비력!W:W,팀수비력!A:A,B1118,팀수비력!B:B,D1118))))*100,"")</f>
        <v>32.484231612571399</v>
      </c>
      <c r="BK1118" s="67">
        <f>IFERROR(((AE1118*(12000/5))/((F1118*60+G1118)*(SUMIFS(팀공격력!X:X,팀공격력!A:A,B1118,팀공격력!B:B,D1118)+SUMIFS(팀수비력!X:X,팀수비력!A:A,B1118,팀수비력!B:B,D1118))))*100,"")</f>
        <v>22.072618916234411</v>
      </c>
      <c r="BL1118" s="67">
        <f>IFERROR(100*AK1118/(((((F1118*60+G1118)/(12000/5))*SUMIFS(팀공격력!P:P,팀공격력!A:A,B1118,팀공격력!B:B,D1118))-K1118)),"")</f>
        <v>17.424764947181185</v>
      </c>
      <c r="BM1118" s="67">
        <f>IFERROR(100*((AM1118/E1118*(2400))/((F1118*60+G1118)*SUMIFS(팀공격력!AR:AR,팀공격력!A:A,B1118,팀공격력!B:B,D1118))),"")</f>
        <v>2.5827265235743608</v>
      </c>
      <c r="BN1118" s="67">
        <f>IFERROR((AO1118*40)/(((F1118*60+G1118)/60)*(SUMIFS(팀수비력!Q:Q,팀수비력!A:A,B1118,팀수비력!B:B,D1118)-SUMIFS(팀수비력!N:N,팀수비력!A:A,B1118,팀수비력!B:B,D1118)))*100,"")</f>
        <v>0.93315136881641414</v>
      </c>
      <c r="BO1118" s="67">
        <f t="shared" si="529"/>
        <v>12.332628611698379</v>
      </c>
      <c r="BT1118" t="s">
        <v>96</v>
      </c>
      <c r="BV1118" t="s">
        <v>102</v>
      </c>
      <c r="CF1118">
        <v>8</v>
      </c>
      <c r="CG1118">
        <v>1</v>
      </c>
    </row>
  </sheetData>
  <autoFilter ref="A1:BT1118" xr:uid="{00000000-0009-0000-0000-000000000000}">
    <sortState xmlns:xlrd2="http://schemas.microsoft.com/office/spreadsheetml/2017/richdata2" ref="A2:BT1039">
      <sortCondition ref="C1:C1118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72"/>
  <sheetViews>
    <sheetView zoomScale="70" zoomScaleNormal="70" workbookViewId="0">
      <selection activeCell="A3" sqref="A3:A12"/>
    </sheetView>
  </sheetViews>
  <sheetFormatPr defaultRowHeight="17.399999999999999" x14ac:dyDescent="0.4"/>
  <cols>
    <col min="1" max="1" width="14" style="49" bestFit="1" customWidth="1"/>
    <col min="2" max="2" width="8.59765625" style="49" customWidth="1"/>
    <col min="3" max="41" width="6.69921875" style="49" customWidth="1"/>
    <col min="42" max="42" width="10.5" style="49" bestFit="1" customWidth="1"/>
    <col min="43" max="43" width="12.69921875" style="49" bestFit="1" customWidth="1"/>
    <col min="44" max="44" width="12.69921875" style="49" customWidth="1"/>
    <col min="45" max="45" width="13.19921875" style="49" customWidth="1"/>
  </cols>
  <sheetData>
    <row r="1" spans="1:47" ht="17.399999999999999" customHeight="1" x14ac:dyDescent="0.4">
      <c r="A1" s="68" t="s">
        <v>314</v>
      </c>
      <c r="B1" s="68" t="s">
        <v>90</v>
      </c>
      <c r="C1" s="68" t="s">
        <v>315</v>
      </c>
      <c r="D1" s="69"/>
      <c r="E1" s="69"/>
      <c r="F1" s="69"/>
      <c r="G1" s="69"/>
      <c r="H1" s="69"/>
      <c r="I1" s="69"/>
      <c r="J1" s="68" t="s">
        <v>316</v>
      </c>
      <c r="K1" s="68" t="s">
        <v>16</v>
      </c>
      <c r="L1" s="68" t="s">
        <v>19</v>
      </c>
      <c r="M1" s="68" t="s">
        <v>317</v>
      </c>
      <c r="N1" s="68" t="s">
        <v>21</v>
      </c>
      <c r="O1" s="68" t="s">
        <v>24</v>
      </c>
      <c r="P1" s="68" t="s">
        <v>318</v>
      </c>
      <c r="Q1" s="68" t="s">
        <v>11</v>
      </c>
      <c r="R1" s="68" t="s">
        <v>14</v>
      </c>
      <c r="S1" s="68" t="s">
        <v>319</v>
      </c>
      <c r="T1" s="68" t="s">
        <v>26</v>
      </c>
      <c r="U1" s="68" t="s">
        <v>29</v>
      </c>
      <c r="V1" s="68" t="s">
        <v>320</v>
      </c>
      <c r="W1" s="68" t="s">
        <v>321</v>
      </c>
      <c r="X1" s="68" t="s">
        <v>322</v>
      </c>
      <c r="Y1" s="68" t="s">
        <v>323</v>
      </c>
      <c r="Z1" s="68" t="s">
        <v>68</v>
      </c>
      <c r="AA1" s="68" t="s">
        <v>70</v>
      </c>
      <c r="AB1" s="68" t="s">
        <v>324</v>
      </c>
      <c r="AC1" s="68" t="s">
        <v>325</v>
      </c>
      <c r="AD1" s="68" t="s">
        <v>326</v>
      </c>
      <c r="AE1" s="68" t="s">
        <v>327</v>
      </c>
      <c r="AF1" s="68" t="s">
        <v>328</v>
      </c>
      <c r="AG1" s="68" t="s">
        <v>329</v>
      </c>
      <c r="AH1" s="69"/>
      <c r="AI1" s="69"/>
      <c r="AJ1" s="68" t="s">
        <v>330</v>
      </c>
      <c r="AK1" s="68" t="s">
        <v>331</v>
      </c>
      <c r="AL1" s="68" t="s">
        <v>332</v>
      </c>
      <c r="AM1" s="68" t="s">
        <v>333</v>
      </c>
      <c r="AN1" s="68" t="s">
        <v>334</v>
      </c>
      <c r="AO1" s="68" t="s">
        <v>335</v>
      </c>
      <c r="AP1" s="68" t="s">
        <v>336</v>
      </c>
      <c r="AQ1" s="68" t="s">
        <v>337</v>
      </c>
      <c r="AR1" s="70" t="s">
        <v>338</v>
      </c>
    </row>
    <row r="2" spans="1:47" x14ac:dyDescent="0.4">
      <c r="A2" s="69"/>
      <c r="B2" s="69"/>
      <c r="C2" s="48" t="s">
        <v>339</v>
      </c>
      <c r="D2" s="48" t="s">
        <v>340</v>
      </c>
      <c r="E2" s="48" t="s">
        <v>341</v>
      </c>
      <c r="F2" s="48" t="s">
        <v>342</v>
      </c>
      <c r="G2" s="48" t="s">
        <v>343</v>
      </c>
      <c r="H2" s="48" t="s">
        <v>344</v>
      </c>
      <c r="I2" s="48" t="s">
        <v>345</v>
      </c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48" t="s">
        <v>346</v>
      </c>
      <c r="AH2" s="48" t="s">
        <v>347</v>
      </c>
      <c r="AI2" s="48" t="s">
        <v>344</v>
      </c>
      <c r="AJ2" s="69"/>
      <c r="AK2" s="69"/>
      <c r="AL2" s="69"/>
      <c r="AM2" s="69"/>
      <c r="AN2" s="69"/>
      <c r="AO2" s="69"/>
      <c r="AP2" s="69"/>
      <c r="AQ2" s="69"/>
      <c r="AR2" s="71"/>
    </row>
    <row r="3" spans="1:47" x14ac:dyDescent="0.4">
      <c r="A3" s="50" t="s">
        <v>99</v>
      </c>
      <c r="B3" s="51" t="s">
        <v>88</v>
      </c>
      <c r="C3" s="51">
        <v>1099</v>
      </c>
      <c r="D3" s="51">
        <v>1091</v>
      </c>
      <c r="E3" s="51">
        <v>1065</v>
      </c>
      <c r="F3" s="51">
        <v>977</v>
      </c>
      <c r="G3" s="51">
        <v>43</v>
      </c>
      <c r="H3" s="51">
        <v>4275</v>
      </c>
      <c r="I3" s="51">
        <v>79.17</v>
      </c>
      <c r="J3" s="51">
        <v>970</v>
      </c>
      <c r="K3" s="51">
        <v>1809</v>
      </c>
      <c r="L3" s="51">
        <v>53.62</v>
      </c>
      <c r="M3" s="51">
        <v>590</v>
      </c>
      <c r="N3" s="51">
        <v>1888</v>
      </c>
      <c r="O3" s="51">
        <v>31.25</v>
      </c>
      <c r="P3" s="51">
        <v>1560</v>
      </c>
      <c r="Q3" s="51">
        <v>3697</v>
      </c>
      <c r="R3" s="51">
        <v>42.2</v>
      </c>
      <c r="S3" s="51">
        <v>565</v>
      </c>
      <c r="T3" s="51">
        <v>753</v>
      </c>
      <c r="U3" s="51">
        <v>75.03</v>
      </c>
      <c r="V3" s="51">
        <v>520</v>
      </c>
      <c r="W3" s="51">
        <v>1181</v>
      </c>
      <c r="X3" s="51">
        <v>1701</v>
      </c>
      <c r="Y3" s="51">
        <v>922</v>
      </c>
      <c r="Z3" s="51">
        <v>0</v>
      </c>
      <c r="AA3" s="51">
        <v>0</v>
      </c>
      <c r="AB3" s="51">
        <v>372</v>
      </c>
      <c r="AC3" s="51">
        <v>108</v>
      </c>
      <c r="AD3" s="51">
        <v>81</v>
      </c>
      <c r="AE3" s="51">
        <v>59</v>
      </c>
      <c r="AF3" s="51">
        <v>59</v>
      </c>
      <c r="AG3" s="51">
        <v>498</v>
      </c>
      <c r="AH3" s="51">
        <v>585</v>
      </c>
      <c r="AI3" s="51">
        <v>1083</v>
      </c>
      <c r="AJ3" s="51">
        <v>8</v>
      </c>
      <c r="AK3" s="51">
        <v>546</v>
      </c>
      <c r="AL3" s="51">
        <v>31</v>
      </c>
      <c r="AM3" s="51">
        <v>162</v>
      </c>
      <c r="AN3" s="51">
        <v>1455</v>
      </c>
      <c r="AO3" s="51">
        <v>-1720</v>
      </c>
      <c r="AP3" s="52">
        <f>(Q3+0.4*T3-1.07*(V3/(V3+팀수비력!W3))*(Q3-P3)+AK3)/54</f>
        <v>73.03113729891507</v>
      </c>
      <c r="AQ3" s="52">
        <f>(팀수비력!Q3+0.4*팀수비력!T3-1.07*(팀수비력!V3/(팀수비력!V3+팀공격력!W3))*(팀수비력!Q3-팀수비력!P3)+팀수비력!AK3)/54</f>
        <v>72.143108028210648</v>
      </c>
      <c r="AR3" s="53">
        <f t="shared" ref="AR3:AR34" si="0">0.5*(AP3+AQ3)</f>
        <v>72.587122663562866</v>
      </c>
    </row>
    <row r="4" spans="1:47" x14ac:dyDescent="0.4">
      <c r="A4" s="54" t="s">
        <v>123</v>
      </c>
      <c r="B4" s="48" t="s">
        <v>88</v>
      </c>
      <c r="C4" s="48">
        <v>1129</v>
      </c>
      <c r="D4" s="48">
        <v>1087</v>
      </c>
      <c r="E4" s="48">
        <v>1088</v>
      </c>
      <c r="F4" s="48">
        <v>1026</v>
      </c>
      <c r="G4" s="48">
        <v>38</v>
      </c>
      <c r="H4" s="48">
        <v>4368</v>
      </c>
      <c r="I4" s="48">
        <v>80.89</v>
      </c>
      <c r="J4" s="48">
        <v>1169</v>
      </c>
      <c r="K4" s="48">
        <v>2189</v>
      </c>
      <c r="L4" s="48">
        <v>53.4</v>
      </c>
      <c r="M4" s="48">
        <v>484</v>
      </c>
      <c r="N4" s="48">
        <v>1364</v>
      </c>
      <c r="O4" s="48">
        <v>35.479999999999997</v>
      </c>
      <c r="P4" s="48">
        <v>1653</v>
      </c>
      <c r="Q4" s="48">
        <v>3553</v>
      </c>
      <c r="R4" s="48">
        <v>46.52</v>
      </c>
      <c r="S4" s="48">
        <v>578</v>
      </c>
      <c r="T4" s="48">
        <v>825</v>
      </c>
      <c r="U4" s="48">
        <v>70.06</v>
      </c>
      <c r="V4" s="48">
        <v>508</v>
      </c>
      <c r="W4" s="48">
        <v>1240</v>
      </c>
      <c r="X4" s="48">
        <v>1748</v>
      </c>
      <c r="Y4" s="48">
        <v>790</v>
      </c>
      <c r="Z4" s="48">
        <v>0</v>
      </c>
      <c r="AA4" s="48">
        <v>0</v>
      </c>
      <c r="AB4" s="48">
        <v>324</v>
      </c>
      <c r="AC4" s="48">
        <v>106</v>
      </c>
      <c r="AD4" s="48">
        <v>102</v>
      </c>
      <c r="AE4" s="48">
        <v>73</v>
      </c>
      <c r="AF4" s="48">
        <v>81</v>
      </c>
      <c r="AG4" s="48">
        <v>477</v>
      </c>
      <c r="AH4" s="48">
        <v>667</v>
      </c>
      <c r="AI4" s="48">
        <v>1144</v>
      </c>
      <c r="AJ4" s="48">
        <v>6</v>
      </c>
      <c r="AK4" s="48">
        <v>512</v>
      </c>
      <c r="AL4" s="48">
        <v>39</v>
      </c>
      <c r="AM4" s="48">
        <v>140</v>
      </c>
      <c r="AN4" s="48">
        <v>1241</v>
      </c>
      <c r="AO4" s="48">
        <v>-525</v>
      </c>
      <c r="AP4" s="55">
        <f>(Q4+0.4*T4-1.07*(V4/(V4+팀수비력!W4))*(Q4-P4)+AK4)/54</f>
        <v>70.804904794113426</v>
      </c>
      <c r="AQ4" s="55">
        <f>(팀수비력!Q4+0.4*팀수비력!T4-1.07*(팀수비력!V4/(팀수비력!V4+팀공격력!W4))*(팀수비력!Q4-팀수비력!P4)+팀수비력!AK4)/54</f>
        <v>71.093819483003273</v>
      </c>
      <c r="AR4" s="53">
        <f t="shared" si="0"/>
        <v>70.949362138558342</v>
      </c>
      <c r="AS4" s="59"/>
      <c r="AT4" s="60"/>
    </row>
    <row r="5" spans="1:47" x14ac:dyDescent="0.4">
      <c r="A5" s="54" t="s">
        <v>145</v>
      </c>
      <c r="B5" s="48" t="s">
        <v>88</v>
      </c>
      <c r="C5" s="48">
        <v>1221</v>
      </c>
      <c r="D5" s="48">
        <v>1211</v>
      </c>
      <c r="E5" s="48">
        <v>1184</v>
      </c>
      <c r="F5" s="48">
        <v>1126</v>
      </c>
      <c r="G5" s="48">
        <v>43</v>
      </c>
      <c r="H5" s="48">
        <v>4785</v>
      </c>
      <c r="I5" s="48">
        <v>88.61</v>
      </c>
      <c r="J5" s="48">
        <v>1321</v>
      </c>
      <c r="K5" s="48">
        <v>2413</v>
      </c>
      <c r="L5" s="48">
        <v>54.75</v>
      </c>
      <c r="M5" s="48">
        <v>461</v>
      </c>
      <c r="N5" s="48">
        <v>1352</v>
      </c>
      <c r="O5" s="48">
        <v>34.1</v>
      </c>
      <c r="P5" s="48">
        <v>1782</v>
      </c>
      <c r="Q5" s="48">
        <v>3765</v>
      </c>
      <c r="R5" s="48">
        <v>47.33</v>
      </c>
      <c r="S5" s="48">
        <v>760</v>
      </c>
      <c r="T5" s="48">
        <v>1008</v>
      </c>
      <c r="U5" s="48">
        <v>75.400000000000006</v>
      </c>
      <c r="V5" s="48">
        <v>570</v>
      </c>
      <c r="W5" s="48">
        <v>1423</v>
      </c>
      <c r="X5" s="48">
        <v>1993</v>
      </c>
      <c r="Y5" s="48">
        <v>1039</v>
      </c>
      <c r="Z5" s="48">
        <v>0</v>
      </c>
      <c r="AA5" s="48">
        <v>0</v>
      </c>
      <c r="AB5" s="48">
        <v>243</v>
      </c>
      <c r="AC5" s="48">
        <v>129</v>
      </c>
      <c r="AD5" s="48">
        <v>66</v>
      </c>
      <c r="AE5" s="48">
        <v>39</v>
      </c>
      <c r="AF5" s="48">
        <v>41</v>
      </c>
      <c r="AG5" s="48">
        <v>423</v>
      </c>
      <c r="AH5" s="48">
        <v>554</v>
      </c>
      <c r="AI5" s="48">
        <v>977</v>
      </c>
      <c r="AJ5" s="48">
        <v>6</v>
      </c>
      <c r="AK5" s="48">
        <v>528</v>
      </c>
      <c r="AL5" s="48">
        <v>16</v>
      </c>
      <c r="AM5" s="48">
        <v>276</v>
      </c>
      <c r="AN5" s="48">
        <v>930</v>
      </c>
      <c r="AO5" s="48">
        <v>295</v>
      </c>
      <c r="AP5" s="55">
        <f>(Q5+0.4*T5-1.07*(V5/(V5+팀수비력!W5))*(Q5-P5)+AK5)/54</f>
        <v>75.301623263888885</v>
      </c>
      <c r="AQ5" s="55">
        <f>(팀수비력!Q5+0.4*팀수비력!T5-1.07*(팀수비력!V5/(팀수비력!V5+팀공격력!W5))*(팀수비력!Q5-팀수비력!P5)+팀수비력!AK5)/54</f>
        <v>75.356879071398254</v>
      </c>
      <c r="AR5" s="53">
        <f t="shared" si="0"/>
        <v>75.329251167643577</v>
      </c>
      <c r="AS5" s="59"/>
    </row>
    <row r="6" spans="1:47" x14ac:dyDescent="0.4">
      <c r="A6" s="54" t="s">
        <v>164</v>
      </c>
      <c r="B6" s="48" t="s">
        <v>88</v>
      </c>
      <c r="C6" s="48">
        <v>1114</v>
      </c>
      <c r="D6" s="48">
        <v>1132</v>
      </c>
      <c r="E6" s="48">
        <v>1003</v>
      </c>
      <c r="F6" s="48">
        <v>1073</v>
      </c>
      <c r="G6" s="48">
        <v>1</v>
      </c>
      <c r="H6" s="48">
        <v>4323</v>
      </c>
      <c r="I6" s="48">
        <v>80.06</v>
      </c>
      <c r="J6" s="48">
        <v>1309</v>
      </c>
      <c r="K6" s="48">
        <v>2616</v>
      </c>
      <c r="L6" s="48">
        <v>50.04</v>
      </c>
      <c r="M6" s="48">
        <v>371</v>
      </c>
      <c r="N6" s="48">
        <v>1162</v>
      </c>
      <c r="O6" s="48">
        <v>31.93</v>
      </c>
      <c r="P6" s="48">
        <v>1680</v>
      </c>
      <c r="Q6" s="48">
        <v>3778</v>
      </c>
      <c r="R6" s="48">
        <v>44.47</v>
      </c>
      <c r="S6" s="48">
        <v>592</v>
      </c>
      <c r="T6" s="48">
        <v>812</v>
      </c>
      <c r="U6" s="48">
        <v>72.91</v>
      </c>
      <c r="V6" s="48">
        <v>583</v>
      </c>
      <c r="W6" s="48">
        <v>1387</v>
      </c>
      <c r="X6" s="48">
        <v>1970</v>
      </c>
      <c r="Y6" s="48">
        <v>974</v>
      </c>
      <c r="Z6" s="48">
        <v>0</v>
      </c>
      <c r="AA6" s="48">
        <v>0</v>
      </c>
      <c r="AB6" s="48">
        <v>402</v>
      </c>
      <c r="AC6" s="48">
        <v>137</v>
      </c>
      <c r="AD6" s="48">
        <v>37</v>
      </c>
      <c r="AE6" s="48">
        <v>50</v>
      </c>
      <c r="AF6" s="48">
        <v>51</v>
      </c>
      <c r="AG6" s="48">
        <v>411</v>
      </c>
      <c r="AH6" s="48">
        <v>608</v>
      </c>
      <c r="AI6" s="48">
        <v>1020</v>
      </c>
      <c r="AJ6" s="48">
        <v>8</v>
      </c>
      <c r="AK6" s="48">
        <v>471</v>
      </c>
      <c r="AL6" s="48">
        <v>37</v>
      </c>
      <c r="AM6" s="48">
        <v>302</v>
      </c>
      <c r="AN6" s="48">
        <v>1084</v>
      </c>
      <c r="AO6" s="48">
        <v>635</v>
      </c>
      <c r="AP6" s="55">
        <f>(Q6+0.4*T6-1.07*(V6/(V6+팀수비력!W6))*(Q6-P6)+AK6)/54</f>
        <v>72.484186641278384</v>
      </c>
      <c r="AQ6" s="55">
        <f>(팀수비력!Q6+0.4*팀수비력!T6-1.07*(팀수비력!V6/(팀수비력!V6+팀공격력!W6))*(팀수비력!Q6-팀수비력!P6)+팀수비력!AK6)/54</f>
        <v>72.385737746092474</v>
      </c>
      <c r="AR6" s="53">
        <f t="shared" si="0"/>
        <v>72.434962193685436</v>
      </c>
      <c r="AS6" s="59"/>
    </row>
    <row r="7" spans="1:47" x14ac:dyDescent="0.4">
      <c r="A7" s="54" t="s">
        <v>183</v>
      </c>
      <c r="B7" s="48" t="s">
        <v>88</v>
      </c>
      <c r="C7" s="48">
        <v>1078</v>
      </c>
      <c r="D7" s="48">
        <v>1067</v>
      </c>
      <c r="E7" s="48">
        <v>1060</v>
      </c>
      <c r="F7" s="48">
        <v>1033</v>
      </c>
      <c r="G7" s="48">
        <v>34</v>
      </c>
      <c r="H7" s="48">
        <v>4272</v>
      </c>
      <c r="I7" s="48">
        <v>79.11</v>
      </c>
      <c r="J7" s="48">
        <v>1238</v>
      </c>
      <c r="K7" s="48">
        <v>2465</v>
      </c>
      <c r="L7" s="48">
        <v>50.22</v>
      </c>
      <c r="M7" s="48">
        <v>375</v>
      </c>
      <c r="N7" s="48">
        <v>1276</v>
      </c>
      <c r="O7" s="48">
        <v>29.39</v>
      </c>
      <c r="P7" s="48">
        <v>1613</v>
      </c>
      <c r="Q7" s="48">
        <v>3741</v>
      </c>
      <c r="R7" s="48">
        <v>43.12</v>
      </c>
      <c r="S7" s="48">
        <v>671</v>
      </c>
      <c r="T7" s="48">
        <v>1003</v>
      </c>
      <c r="U7" s="48">
        <v>66.900000000000006</v>
      </c>
      <c r="V7" s="48">
        <v>699</v>
      </c>
      <c r="W7" s="48">
        <v>1353</v>
      </c>
      <c r="X7" s="48">
        <v>2052</v>
      </c>
      <c r="Y7" s="48">
        <v>934</v>
      </c>
      <c r="Z7" s="48">
        <v>0</v>
      </c>
      <c r="AA7" s="48">
        <v>0</v>
      </c>
      <c r="AB7" s="48">
        <v>275</v>
      </c>
      <c r="AC7" s="48">
        <v>119</v>
      </c>
      <c r="AD7" s="48">
        <v>40</v>
      </c>
      <c r="AE7" s="48">
        <v>81</v>
      </c>
      <c r="AF7" s="48">
        <v>83</v>
      </c>
      <c r="AG7" s="48">
        <v>531</v>
      </c>
      <c r="AH7" s="48">
        <v>586</v>
      </c>
      <c r="AI7" s="48">
        <v>1117</v>
      </c>
      <c r="AJ7" s="48">
        <v>8</v>
      </c>
      <c r="AK7" s="48">
        <v>632</v>
      </c>
      <c r="AL7" s="48">
        <v>27</v>
      </c>
      <c r="AM7" s="48">
        <v>149</v>
      </c>
      <c r="AN7" s="48">
        <v>1455</v>
      </c>
      <c r="AO7" s="48">
        <v>-2403</v>
      </c>
      <c r="AP7" s="55">
        <f>(Q7+0.4*T7-1.07*(V7/(V7+팀수비력!W7))*(Q7-P7)+AK7)/54</f>
        <v>74.075516645049717</v>
      </c>
      <c r="AQ7" s="55">
        <f>(팀수비력!Q7+0.4*팀수비력!T7-1.07*(팀수비력!V7/(팀수비력!V7+팀공격력!W7))*(팀수비력!Q7-팀수비력!P7)+팀수비력!AK7)/54</f>
        <v>73.881460809646853</v>
      </c>
      <c r="AR7" s="53">
        <f t="shared" si="0"/>
        <v>73.978488727348292</v>
      </c>
      <c r="AS7" s="59"/>
      <c r="AT7" s="60"/>
      <c r="AU7" s="51"/>
    </row>
    <row r="8" spans="1:47" x14ac:dyDescent="0.4">
      <c r="A8" s="54" t="s">
        <v>203</v>
      </c>
      <c r="B8" s="48" t="s">
        <v>88</v>
      </c>
      <c r="C8" s="48">
        <v>1227</v>
      </c>
      <c r="D8" s="48">
        <v>1142</v>
      </c>
      <c r="E8" s="48">
        <v>1176</v>
      </c>
      <c r="F8" s="48">
        <v>1112</v>
      </c>
      <c r="G8" s="48">
        <v>19</v>
      </c>
      <c r="H8" s="48">
        <v>4676</v>
      </c>
      <c r="I8" s="48">
        <v>86.59</v>
      </c>
      <c r="J8" s="48">
        <v>1298</v>
      </c>
      <c r="K8" s="48">
        <v>2358</v>
      </c>
      <c r="L8" s="48">
        <v>55.05</v>
      </c>
      <c r="M8" s="48">
        <v>492</v>
      </c>
      <c r="N8" s="48">
        <v>1483</v>
      </c>
      <c r="O8" s="48">
        <v>33.18</v>
      </c>
      <c r="P8" s="48">
        <v>1790</v>
      </c>
      <c r="Q8" s="48">
        <v>3841</v>
      </c>
      <c r="R8" s="48">
        <v>46.6</v>
      </c>
      <c r="S8" s="48">
        <v>604</v>
      </c>
      <c r="T8" s="48">
        <v>879</v>
      </c>
      <c r="U8" s="48">
        <v>68.709999999999994</v>
      </c>
      <c r="V8" s="48">
        <v>644</v>
      </c>
      <c r="W8" s="48">
        <v>1351</v>
      </c>
      <c r="X8" s="48">
        <v>1995</v>
      </c>
      <c r="Y8" s="48">
        <v>1058</v>
      </c>
      <c r="Z8" s="48">
        <v>0</v>
      </c>
      <c r="AA8" s="48">
        <v>0</v>
      </c>
      <c r="AB8" s="48">
        <v>436</v>
      </c>
      <c r="AC8" s="48">
        <v>126</v>
      </c>
      <c r="AD8" s="48">
        <v>43</v>
      </c>
      <c r="AE8" s="48">
        <v>141</v>
      </c>
      <c r="AF8" s="48">
        <v>152</v>
      </c>
      <c r="AG8" s="48">
        <v>527</v>
      </c>
      <c r="AH8" s="48">
        <v>569</v>
      </c>
      <c r="AI8" s="48">
        <v>1096</v>
      </c>
      <c r="AJ8" s="48">
        <v>7</v>
      </c>
      <c r="AK8" s="48">
        <v>584</v>
      </c>
      <c r="AL8" s="48">
        <v>33</v>
      </c>
      <c r="AM8" s="48">
        <v>257</v>
      </c>
      <c r="AN8" s="48">
        <v>1129</v>
      </c>
      <c r="AO8" s="48">
        <v>1045</v>
      </c>
      <c r="AP8" s="55">
        <f>(Q8+0.4*T8-1.07*(V8/(V8+팀수비력!W8))*(Q8-P8)+AK8)/54</f>
        <v>74.971640429713602</v>
      </c>
      <c r="AQ8" s="55">
        <f>(팀수비력!Q8+0.4*팀수비력!T8-1.07*(팀수비력!V8/(팀수비력!V8+팀공격력!W8))*(팀수비력!Q8-팀수비력!P8)+팀수비력!AK8)/54</f>
        <v>74.904382684810315</v>
      </c>
      <c r="AR8" s="53">
        <f t="shared" si="0"/>
        <v>74.938011557261959</v>
      </c>
      <c r="AS8" s="59"/>
    </row>
    <row r="9" spans="1:47" x14ac:dyDescent="0.4">
      <c r="A9" s="54" t="s">
        <v>224</v>
      </c>
      <c r="B9" s="48" t="s">
        <v>88</v>
      </c>
      <c r="C9" s="48">
        <v>1195</v>
      </c>
      <c r="D9" s="48">
        <v>1107</v>
      </c>
      <c r="E9" s="48">
        <v>1039</v>
      </c>
      <c r="F9" s="48">
        <v>1023</v>
      </c>
      <c r="G9" s="48">
        <v>0</v>
      </c>
      <c r="H9" s="48">
        <v>4364</v>
      </c>
      <c r="I9" s="48">
        <v>80.81</v>
      </c>
      <c r="J9" s="48">
        <v>1188</v>
      </c>
      <c r="K9" s="48">
        <v>2241</v>
      </c>
      <c r="L9" s="48">
        <v>53.01</v>
      </c>
      <c r="M9" s="48">
        <v>476</v>
      </c>
      <c r="N9" s="48">
        <v>1443</v>
      </c>
      <c r="O9" s="48">
        <v>32.99</v>
      </c>
      <c r="P9" s="48">
        <v>1664</v>
      </c>
      <c r="Q9" s="48">
        <v>3684</v>
      </c>
      <c r="R9" s="48">
        <v>45.17</v>
      </c>
      <c r="S9" s="48">
        <v>560</v>
      </c>
      <c r="T9" s="48">
        <v>740</v>
      </c>
      <c r="U9" s="48">
        <v>75.680000000000007</v>
      </c>
      <c r="V9" s="48">
        <v>496</v>
      </c>
      <c r="W9" s="48">
        <v>1261</v>
      </c>
      <c r="X9" s="48">
        <v>1757</v>
      </c>
      <c r="Y9" s="48">
        <v>929</v>
      </c>
      <c r="Z9" s="48">
        <v>0</v>
      </c>
      <c r="AA9" s="48">
        <v>0</v>
      </c>
      <c r="AB9" s="48">
        <v>341</v>
      </c>
      <c r="AC9" s="48">
        <v>189</v>
      </c>
      <c r="AD9" s="48">
        <v>43</v>
      </c>
      <c r="AE9" s="48">
        <v>41</v>
      </c>
      <c r="AF9" s="48">
        <v>48</v>
      </c>
      <c r="AG9" s="48">
        <v>452</v>
      </c>
      <c r="AH9" s="48">
        <v>557</v>
      </c>
      <c r="AI9" s="48">
        <v>1009</v>
      </c>
      <c r="AJ9" s="48">
        <v>4</v>
      </c>
      <c r="AK9" s="48">
        <v>519</v>
      </c>
      <c r="AL9" s="48">
        <v>31</v>
      </c>
      <c r="AM9" s="48">
        <v>150</v>
      </c>
      <c r="AN9" s="48">
        <v>1078</v>
      </c>
      <c r="AO9" s="48">
        <v>-1530</v>
      </c>
      <c r="AP9" s="55">
        <f>(Q9+0.4*T9-1.07*(V9/(V9+팀수비력!W9))*(Q9-P9)+AK9)/54</f>
        <v>72.909752309961945</v>
      </c>
      <c r="AQ9" s="55">
        <f>(팀수비력!Q9+0.4*팀수비력!T9-1.07*(팀수비력!V9/(팀수비력!V9+팀공격력!W9))*(팀수비력!Q9-팀수비력!P9)+팀수비력!AK9)/54</f>
        <v>72.712657407407391</v>
      </c>
      <c r="AR9" s="53">
        <f t="shared" si="0"/>
        <v>72.811204858684675</v>
      </c>
      <c r="AS9" s="59"/>
    </row>
    <row r="10" spans="1:47" x14ac:dyDescent="0.4">
      <c r="A10" s="54" t="s">
        <v>245</v>
      </c>
      <c r="B10" s="48" t="s">
        <v>88</v>
      </c>
      <c r="C10" s="48">
        <v>1192</v>
      </c>
      <c r="D10" s="48">
        <v>1197</v>
      </c>
      <c r="E10" s="48">
        <v>1078</v>
      </c>
      <c r="F10" s="48">
        <v>1154</v>
      </c>
      <c r="G10" s="48">
        <v>37</v>
      </c>
      <c r="H10" s="48">
        <v>4658</v>
      </c>
      <c r="I10" s="48">
        <v>86.26</v>
      </c>
      <c r="J10" s="48">
        <v>1420</v>
      </c>
      <c r="K10" s="48">
        <v>2622</v>
      </c>
      <c r="L10" s="48">
        <v>54.16</v>
      </c>
      <c r="M10" s="48">
        <v>384</v>
      </c>
      <c r="N10" s="48">
        <v>1182</v>
      </c>
      <c r="O10" s="48">
        <v>32.49</v>
      </c>
      <c r="P10" s="48">
        <v>1804</v>
      </c>
      <c r="Q10" s="48">
        <v>3804</v>
      </c>
      <c r="R10" s="48">
        <v>47.42</v>
      </c>
      <c r="S10" s="48">
        <v>666</v>
      </c>
      <c r="T10" s="48">
        <v>909</v>
      </c>
      <c r="U10" s="48">
        <v>73.27</v>
      </c>
      <c r="V10" s="48">
        <v>648</v>
      </c>
      <c r="W10" s="48">
        <v>1352</v>
      </c>
      <c r="X10" s="48">
        <v>2000</v>
      </c>
      <c r="Y10" s="48">
        <v>1136</v>
      </c>
      <c r="Z10" s="48">
        <v>0</v>
      </c>
      <c r="AA10" s="48">
        <v>0</v>
      </c>
      <c r="AB10" s="48">
        <v>348</v>
      </c>
      <c r="AC10" s="48">
        <v>123</v>
      </c>
      <c r="AD10" s="48">
        <v>36</v>
      </c>
      <c r="AE10" s="48">
        <v>64</v>
      </c>
      <c r="AF10" s="48">
        <v>66</v>
      </c>
      <c r="AG10" s="48">
        <v>506</v>
      </c>
      <c r="AH10" s="48">
        <v>594</v>
      </c>
      <c r="AI10" s="48">
        <v>1100</v>
      </c>
      <c r="AJ10" s="48">
        <v>12</v>
      </c>
      <c r="AK10" s="48">
        <v>590</v>
      </c>
      <c r="AL10" s="48">
        <v>33</v>
      </c>
      <c r="AM10" s="48">
        <v>269</v>
      </c>
      <c r="AN10" s="48">
        <v>1024</v>
      </c>
      <c r="AO10" s="48">
        <v>230</v>
      </c>
      <c r="AP10" s="55">
        <f>(Q10+0.4*T10-1.07*(V10/(V10+팀수비력!W10))*(Q10-P10)+AK10)/54</f>
        <v>74.644584206848364</v>
      </c>
      <c r="AQ10" s="55">
        <f>(팀수비력!Q10+0.4*팀수비력!T10-1.07*(팀수비력!V10/(팀수비력!V10+팀공격력!W10))*(팀수비력!Q10-팀수비력!P10)+팀수비력!AK10)/54</f>
        <v>74.996839609809186</v>
      </c>
      <c r="AR10" s="53">
        <f t="shared" si="0"/>
        <v>74.820711908328775</v>
      </c>
    </row>
    <row r="11" spans="1:47" x14ac:dyDescent="0.4">
      <c r="A11" s="54" t="s">
        <v>263</v>
      </c>
      <c r="B11" s="48" t="s">
        <v>88</v>
      </c>
      <c r="C11" s="48">
        <v>1264</v>
      </c>
      <c r="D11" s="48">
        <v>1226</v>
      </c>
      <c r="E11" s="48">
        <v>1274</v>
      </c>
      <c r="F11" s="48">
        <v>1067</v>
      </c>
      <c r="G11" s="48">
        <v>22</v>
      </c>
      <c r="H11" s="48">
        <v>4853</v>
      </c>
      <c r="I11" s="48">
        <v>89.87</v>
      </c>
      <c r="J11" s="48">
        <v>1302</v>
      </c>
      <c r="K11" s="48">
        <v>2282</v>
      </c>
      <c r="L11" s="48">
        <v>57.06</v>
      </c>
      <c r="M11" s="48">
        <v>540</v>
      </c>
      <c r="N11" s="48">
        <v>1441</v>
      </c>
      <c r="O11" s="48">
        <v>37.47</v>
      </c>
      <c r="P11" s="48">
        <v>1842</v>
      </c>
      <c r="Q11" s="48">
        <v>3723</v>
      </c>
      <c r="R11" s="48">
        <v>49.48</v>
      </c>
      <c r="S11" s="48">
        <v>629</v>
      </c>
      <c r="T11" s="48">
        <v>841</v>
      </c>
      <c r="U11" s="48">
        <v>74.790000000000006</v>
      </c>
      <c r="V11" s="48">
        <v>545</v>
      </c>
      <c r="W11" s="48">
        <v>1413</v>
      </c>
      <c r="X11" s="48">
        <v>1958</v>
      </c>
      <c r="Y11" s="48">
        <v>1124</v>
      </c>
      <c r="Z11" s="48">
        <v>0</v>
      </c>
      <c r="AA11" s="48">
        <v>0</v>
      </c>
      <c r="AB11" s="48">
        <v>358</v>
      </c>
      <c r="AC11" s="48">
        <v>195</v>
      </c>
      <c r="AD11" s="48">
        <v>30</v>
      </c>
      <c r="AE11" s="48">
        <v>92</v>
      </c>
      <c r="AF11" s="48">
        <v>95</v>
      </c>
      <c r="AG11" s="48">
        <v>400</v>
      </c>
      <c r="AH11" s="48">
        <v>611</v>
      </c>
      <c r="AI11" s="48">
        <v>1011</v>
      </c>
      <c r="AJ11" s="48">
        <v>10</v>
      </c>
      <c r="AK11" s="48">
        <v>592</v>
      </c>
      <c r="AL11" s="48">
        <v>20</v>
      </c>
      <c r="AM11" s="48">
        <v>271</v>
      </c>
      <c r="AN11" s="48">
        <v>1134</v>
      </c>
      <c r="AO11" s="48">
        <v>2060</v>
      </c>
      <c r="AP11" s="55">
        <f>(Q11+0.4*T11-1.07*(V11/(V11+팀수비력!W11))*(Q11-P11)+AK11)/54</f>
        <v>74.78261650415088</v>
      </c>
      <c r="AQ11" s="55">
        <f>(팀수비력!Q11+0.4*팀수비력!T11-1.07*(팀수비력!V11/(팀수비력!V11+팀공격력!W11))*(팀수비력!Q11-팀수비력!P11)+팀수비력!AK11)/54</f>
        <v>74.496306010642016</v>
      </c>
      <c r="AR11" s="53">
        <f t="shared" si="0"/>
        <v>74.639461257396448</v>
      </c>
    </row>
    <row r="12" spans="1:47" x14ac:dyDescent="0.4">
      <c r="A12" s="56" t="s">
        <v>286</v>
      </c>
      <c r="B12" s="57" t="s">
        <v>88</v>
      </c>
      <c r="C12" s="57">
        <v>1139</v>
      </c>
      <c r="D12" s="57">
        <v>1165</v>
      </c>
      <c r="E12" s="57">
        <v>1167</v>
      </c>
      <c r="F12" s="57">
        <v>1064</v>
      </c>
      <c r="G12" s="57">
        <v>0</v>
      </c>
      <c r="H12" s="57">
        <v>4535</v>
      </c>
      <c r="I12" s="57">
        <v>83.98</v>
      </c>
      <c r="J12" s="57">
        <v>1215</v>
      </c>
      <c r="K12" s="57">
        <v>2312</v>
      </c>
      <c r="L12" s="57">
        <v>52.55</v>
      </c>
      <c r="M12" s="57">
        <v>500</v>
      </c>
      <c r="N12" s="57">
        <v>1390</v>
      </c>
      <c r="O12" s="57">
        <v>35.97</v>
      </c>
      <c r="P12" s="57">
        <v>1715</v>
      </c>
      <c r="Q12" s="57">
        <v>3702</v>
      </c>
      <c r="R12" s="57">
        <v>46.33</v>
      </c>
      <c r="S12" s="57">
        <v>605</v>
      </c>
      <c r="T12" s="57">
        <v>848</v>
      </c>
      <c r="U12" s="57">
        <v>71.34</v>
      </c>
      <c r="V12" s="57">
        <v>633</v>
      </c>
      <c r="W12" s="57">
        <v>1384</v>
      </c>
      <c r="X12" s="57">
        <v>2017</v>
      </c>
      <c r="Y12" s="57">
        <v>1036</v>
      </c>
      <c r="Z12" s="57">
        <v>0</v>
      </c>
      <c r="AA12" s="57">
        <v>0</v>
      </c>
      <c r="AB12" s="57">
        <v>367</v>
      </c>
      <c r="AC12" s="57">
        <v>117</v>
      </c>
      <c r="AD12" s="57">
        <v>39</v>
      </c>
      <c r="AE12" s="57">
        <v>39</v>
      </c>
      <c r="AF12" s="57">
        <v>43</v>
      </c>
      <c r="AG12" s="57">
        <v>478</v>
      </c>
      <c r="AH12" s="57">
        <v>599</v>
      </c>
      <c r="AI12" s="57">
        <v>1077</v>
      </c>
      <c r="AJ12" s="57">
        <v>9</v>
      </c>
      <c r="AK12" s="57">
        <v>525</v>
      </c>
      <c r="AL12" s="57">
        <v>33</v>
      </c>
      <c r="AM12" s="57">
        <v>243</v>
      </c>
      <c r="AN12" s="57">
        <v>1247</v>
      </c>
      <c r="AO12" s="57">
        <v>1925</v>
      </c>
      <c r="AP12" s="58">
        <f>(Q12+0.4*T12-1.07*(V12/(V12+팀수비력!W12))*(Q12-P12)+AK12)/54</f>
        <v>71.428332260078832</v>
      </c>
      <c r="AQ12" s="58">
        <f>(팀수비력!Q12+0.4*팀수비력!T12-1.07*(팀수비력!V12/(팀수비력!V12+팀공격력!W12))*(팀수비력!Q12-팀수비력!P12)+팀수비력!AK12)/54</f>
        <v>72.36832682869138</v>
      </c>
      <c r="AR12" s="53">
        <f t="shared" si="0"/>
        <v>71.898329544385106</v>
      </c>
    </row>
    <row r="13" spans="1:47" x14ac:dyDescent="0.4">
      <c r="A13" s="50" t="s">
        <v>99</v>
      </c>
      <c r="B13" s="51" t="s">
        <v>306</v>
      </c>
      <c r="C13" s="51">
        <v>191</v>
      </c>
      <c r="D13" s="51">
        <v>196</v>
      </c>
      <c r="E13" s="51">
        <v>193</v>
      </c>
      <c r="F13" s="51">
        <v>180</v>
      </c>
      <c r="G13" s="51"/>
      <c r="H13" s="51">
        <v>760</v>
      </c>
      <c r="I13" s="51">
        <v>84.44</v>
      </c>
      <c r="J13" s="51">
        <v>138</v>
      </c>
      <c r="K13" s="51">
        <v>268</v>
      </c>
      <c r="L13" s="51"/>
      <c r="M13" s="51">
        <v>126</v>
      </c>
      <c r="N13" s="51">
        <v>351</v>
      </c>
      <c r="O13" s="51"/>
      <c r="P13" s="51">
        <v>264</v>
      </c>
      <c r="Q13" s="51">
        <v>619</v>
      </c>
      <c r="R13" s="51"/>
      <c r="S13" s="51">
        <v>106</v>
      </c>
      <c r="T13" s="51">
        <v>136</v>
      </c>
      <c r="U13" s="51"/>
      <c r="V13" s="51">
        <v>71</v>
      </c>
      <c r="W13" s="51">
        <v>180</v>
      </c>
      <c r="X13" s="51">
        <v>251</v>
      </c>
      <c r="Y13" s="51">
        <v>147</v>
      </c>
      <c r="Z13" s="51"/>
      <c r="AA13" s="51"/>
      <c r="AB13" s="51">
        <v>55</v>
      </c>
      <c r="AC13" s="51">
        <v>22</v>
      </c>
      <c r="AD13" s="51">
        <v>15</v>
      </c>
      <c r="AE13" s="51">
        <v>17</v>
      </c>
      <c r="AF13" s="51">
        <v>17</v>
      </c>
      <c r="AG13" s="51">
        <v>97</v>
      </c>
      <c r="AH13" s="51">
        <v>92</v>
      </c>
      <c r="AI13" s="51">
        <v>189</v>
      </c>
      <c r="AJ13" s="51">
        <v>1</v>
      </c>
      <c r="AK13" s="51">
        <v>69</v>
      </c>
      <c r="AL13" s="51">
        <v>1</v>
      </c>
      <c r="AM13" s="51">
        <v>16</v>
      </c>
      <c r="AN13" s="51">
        <v>266</v>
      </c>
      <c r="AO13" s="51">
        <v>-350</v>
      </c>
      <c r="AP13" s="52">
        <f>(Q13+0.4*T13-1.07*(V13/(V13+팀수비력!W13))*(Q13-P13)+AK13)/9</f>
        <v>73.12453124999999</v>
      </c>
      <c r="AQ13" s="52">
        <f>(팀수비력!Q13+0.4*팀수비력!T13-1.07*(팀수비력!V13/(팀수비력!V13+팀공격력!W13))*(팀수비력!Q13-팀수비력!P13)+팀수비력!AK13)/9</f>
        <v>72.052075919335707</v>
      </c>
      <c r="AR13" s="53">
        <f t="shared" si="0"/>
        <v>72.588303584667841</v>
      </c>
    </row>
    <row r="14" spans="1:47" x14ac:dyDescent="0.4">
      <c r="A14" s="54" t="s">
        <v>123</v>
      </c>
      <c r="B14" s="48" t="s">
        <v>306</v>
      </c>
      <c r="C14" s="48">
        <v>175</v>
      </c>
      <c r="D14" s="48">
        <v>150</v>
      </c>
      <c r="E14" s="48">
        <v>156</v>
      </c>
      <c r="F14" s="48">
        <v>158</v>
      </c>
      <c r="G14" s="48"/>
      <c r="H14" s="48">
        <v>639</v>
      </c>
      <c r="I14" s="48">
        <v>79.88</v>
      </c>
      <c r="J14" s="48">
        <v>181</v>
      </c>
      <c r="K14" s="48">
        <v>339</v>
      </c>
      <c r="L14" s="48"/>
      <c r="M14" s="48">
        <v>61</v>
      </c>
      <c r="N14" s="48">
        <v>197</v>
      </c>
      <c r="O14" s="48"/>
      <c r="P14" s="48">
        <v>242</v>
      </c>
      <c r="Q14" s="48">
        <v>536</v>
      </c>
      <c r="R14" s="48"/>
      <c r="S14" s="48">
        <v>94</v>
      </c>
      <c r="T14" s="48">
        <v>139</v>
      </c>
      <c r="U14" s="48"/>
      <c r="V14" s="48">
        <v>91</v>
      </c>
      <c r="W14" s="48">
        <v>154</v>
      </c>
      <c r="X14" s="48">
        <v>245</v>
      </c>
      <c r="Y14" s="48">
        <v>113</v>
      </c>
      <c r="Z14" s="48"/>
      <c r="AA14" s="48"/>
      <c r="AB14" s="48">
        <v>42</v>
      </c>
      <c r="AC14" s="48">
        <v>3</v>
      </c>
      <c r="AD14" s="48">
        <v>18</v>
      </c>
      <c r="AE14" s="48">
        <v>8</v>
      </c>
      <c r="AF14" s="48">
        <v>11</v>
      </c>
      <c r="AG14" s="48">
        <v>74</v>
      </c>
      <c r="AH14" s="48">
        <v>85</v>
      </c>
      <c r="AI14" s="48">
        <v>159</v>
      </c>
      <c r="AJ14" s="48"/>
      <c r="AK14" s="48">
        <v>70</v>
      </c>
      <c r="AL14" s="48">
        <v>3</v>
      </c>
      <c r="AM14" s="48">
        <v>16</v>
      </c>
      <c r="AN14" s="48">
        <v>194</v>
      </c>
      <c r="AO14" s="48">
        <v>-460</v>
      </c>
      <c r="AP14" s="55">
        <f>(Q14+0.4*T14-1.07*(V14/(V14+팀수비력!W14))*(Q14-P14)+AK14)/9</f>
        <v>62.428346883468834</v>
      </c>
      <c r="AQ14" s="55">
        <f>(팀수비력!Q14+0.4*팀수비력!T14-1.07*(팀수비력!V14/(팀수비력!V14+팀공격력!W14))*(팀수비력!Q14-팀수비력!P14)+팀수비력!AK14)/9</f>
        <v>62.92074074074074</v>
      </c>
      <c r="AR14" s="53">
        <f t="shared" si="0"/>
        <v>62.674543812104787</v>
      </c>
    </row>
    <row r="15" spans="1:47" x14ac:dyDescent="0.4">
      <c r="A15" s="54" t="s">
        <v>145</v>
      </c>
      <c r="B15" s="48" t="s">
        <v>306</v>
      </c>
      <c r="C15" s="48">
        <v>168</v>
      </c>
      <c r="D15" s="48">
        <v>163</v>
      </c>
      <c r="E15" s="48">
        <v>142</v>
      </c>
      <c r="F15" s="48">
        <v>139</v>
      </c>
      <c r="G15" s="48"/>
      <c r="H15" s="48">
        <v>612</v>
      </c>
      <c r="I15" s="48">
        <v>87.43</v>
      </c>
      <c r="J15" s="48">
        <v>173</v>
      </c>
      <c r="K15" s="48">
        <v>326</v>
      </c>
      <c r="L15" s="48"/>
      <c r="M15" s="48">
        <v>60</v>
      </c>
      <c r="N15" s="48">
        <v>163</v>
      </c>
      <c r="O15" s="48"/>
      <c r="P15" s="48">
        <v>233</v>
      </c>
      <c r="Q15" s="48">
        <v>489</v>
      </c>
      <c r="R15" s="48"/>
      <c r="S15" s="48">
        <v>86</v>
      </c>
      <c r="T15" s="48">
        <v>121</v>
      </c>
      <c r="U15" s="48"/>
      <c r="V15" s="48">
        <v>69</v>
      </c>
      <c r="W15" s="48">
        <v>174</v>
      </c>
      <c r="X15" s="48">
        <v>243</v>
      </c>
      <c r="Y15" s="48">
        <v>145</v>
      </c>
      <c r="Z15" s="48"/>
      <c r="AA15" s="48"/>
      <c r="AB15" s="48">
        <v>38</v>
      </c>
      <c r="AC15" s="48">
        <v>11</v>
      </c>
      <c r="AD15" s="48">
        <v>7</v>
      </c>
      <c r="AE15" s="48">
        <v>6</v>
      </c>
      <c r="AF15" s="48">
        <v>6</v>
      </c>
      <c r="AG15" s="48">
        <v>52</v>
      </c>
      <c r="AH15" s="48">
        <v>65</v>
      </c>
      <c r="AI15" s="48">
        <v>117</v>
      </c>
      <c r="AJ15" s="48">
        <v>1</v>
      </c>
      <c r="AK15" s="48">
        <v>58</v>
      </c>
      <c r="AL15" s="48">
        <v>1</v>
      </c>
      <c r="AM15" s="48">
        <v>39</v>
      </c>
      <c r="AN15" s="48">
        <v>137</v>
      </c>
      <c r="AO15" s="48">
        <v>-130</v>
      </c>
      <c r="AP15" s="55">
        <f>(Q15+0.4*T15-1.07*(V15/(V15+팀수비력!W15))*(Q15-P15)+AK15)/9</f>
        <v>57.755342222222225</v>
      </c>
      <c r="AQ15" s="55">
        <f>(팀수비력!Q15+0.4*팀수비력!T15-1.07*(팀수비력!V15/(팀수비력!V15+팀공격력!W15))*(팀수비력!Q15-팀수비력!P15)+팀수비력!AK15)/9</f>
        <v>57.826078971533519</v>
      </c>
      <c r="AR15" s="53">
        <f t="shared" si="0"/>
        <v>57.790710596877872</v>
      </c>
    </row>
    <row r="16" spans="1:47" x14ac:dyDescent="0.4">
      <c r="A16" s="54" t="s">
        <v>164</v>
      </c>
      <c r="B16" s="48" t="s">
        <v>306</v>
      </c>
      <c r="C16" s="48">
        <v>165</v>
      </c>
      <c r="D16" s="48">
        <v>170</v>
      </c>
      <c r="E16" s="48">
        <v>138</v>
      </c>
      <c r="F16" s="48">
        <v>160</v>
      </c>
      <c r="G16" s="48"/>
      <c r="H16" s="48">
        <v>633</v>
      </c>
      <c r="I16" s="48">
        <v>79.13</v>
      </c>
      <c r="J16" s="48">
        <v>178</v>
      </c>
      <c r="K16" s="48">
        <v>374</v>
      </c>
      <c r="L16" s="48"/>
      <c r="M16" s="48">
        <v>56</v>
      </c>
      <c r="N16" s="48">
        <v>171</v>
      </c>
      <c r="O16" s="48"/>
      <c r="P16" s="48">
        <v>234</v>
      </c>
      <c r="Q16" s="48">
        <v>545</v>
      </c>
      <c r="R16" s="48"/>
      <c r="S16" s="48">
        <v>109</v>
      </c>
      <c r="T16" s="48">
        <v>148</v>
      </c>
      <c r="U16" s="48"/>
      <c r="V16" s="48">
        <v>90</v>
      </c>
      <c r="W16" s="48">
        <v>194</v>
      </c>
      <c r="X16" s="48">
        <v>284</v>
      </c>
      <c r="Y16" s="48">
        <v>132</v>
      </c>
      <c r="Z16" s="48"/>
      <c r="AA16" s="48"/>
      <c r="AB16" s="48">
        <v>47</v>
      </c>
      <c r="AC16" s="48">
        <v>12</v>
      </c>
      <c r="AD16" s="48">
        <v>6</v>
      </c>
      <c r="AE16" s="48"/>
      <c r="AF16" s="48"/>
      <c r="AG16" s="48">
        <v>56</v>
      </c>
      <c r="AH16" s="48">
        <v>88</v>
      </c>
      <c r="AI16" s="48">
        <v>144</v>
      </c>
      <c r="AJ16" s="48"/>
      <c r="AK16" s="48">
        <v>67</v>
      </c>
      <c r="AL16" s="48">
        <v>6</v>
      </c>
      <c r="AM16" s="48">
        <v>38</v>
      </c>
      <c r="AN16" s="48">
        <v>172</v>
      </c>
      <c r="AO16" s="48">
        <v>-124</v>
      </c>
      <c r="AP16" s="55">
        <f>(Q16+0.4*T16-1.07*(V16/(V16+팀수비력!W16))*(Q16-P16)+AK16)/9</f>
        <v>63.102950191570891</v>
      </c>
      <c r="AQ16" s="55">
        <f>(팀수비력!Q16+0.4*팀수비력!T16-1.07*(팀수비력!V16/(팀수비력!V16+팀공격력!W16))*(팀수비력!Q16-팀수비력!P16)+팀수비력!AK16)/9</f>
        <v>63.679318734793192</v>
      </c>
      <c r="AR16" s="53">
        <f t="shared" si="0"/>
        <v>63.391134463182041</v>
      </c>
    </row>
    <row r="17" spans="1:44" x14ac:dyDescent="0.4">
      <c r="A17" s="54" t="s">
        <v>183</v>
      </c>
      <c r="B17" s="48" t="s">
        <v>306</v>
      </c>
      <c r="C17" s="48">
        <v>176</v>
      </c>
      <c r="D17" s="48">
        <v>211</v>
      </c>
      <c r="E17" s="48">
        <v>175</v>
      </c>
      <c r="F17" s="48">
        <v>220</v>
      </c>
      <c r="G17" s="48"/>
      <c r="H17" s="48">
        <v>782</v>
      </c>
      <c r="I17" s="48">
        <v>78.2</v>
      </c>
      <c r="J17" s="48">
        <v>222</v>
      </c>
      <c r="K17" s="48">
        <v>464</v>
      </c>
      <c r="L17" s="48"/>
      <c r="M17" s="48">
        <v>70</v>
      </c>
      <c r="N17" s="48">
        <v>229</v>
      </c>
      <c r="O17" s="48"/>
      <c r="P17" s="48">
        <v>292</v>
      </c>
      <c r="Q17" s="48">
        <v>693</v>
      </c>
      <c r="R17" s="48"/>
      <c r="S17" s="48">
        <v>128</v>
      </c>
      <c r="T17" s="48">
        <v>200</v>
      </c>
      <c r="U17" s="48"/>
      <c r="V17" s="48">
        <v>143</v>
      </c>
      <c r="W17" s="48">
        <v>251</v>
      </c>
      <c r="X17" s="48">
        <v>394</v>
      </c>
      <c r="Y17" s="48">
        <v>175</v>
      </c>
      <c r="Z17" s="48"/>
      <c r="AA17" s="48"/>
      <c r="AB17" s="48">
        <v>44</v>
      </c>
      <c r="AC17" s="48">
        <v>26</v>
      </c>
      <c r="AD17" s="48">
        <v>5</v>
      </c>
      <c r="AE17" s="48">
        <v>18</v>
      </c>
      <c r="AF17" s="48">
        <v>18</v>
      </c>
      <c r="AG17" s="48">
        <v>105</v>
      </c>
      <c r="AH17" s="48">
        <v>108</v>
      </c>
      <c r="AI17" s="48">
        <v>213</v>
      </c>
      <c r="AJ17" s="48">
        <v>2</v>
      </c>
      <c r="AK17" s="48">
        <v>119</v>
      </c>
      <c r="AL17" s="48">
        <v>5</v>
      </c>
      <c r="AM17" s="48">
        <v>22</v>
      </c>
      <c r="AN17" s="48">
        <v>284</v>
      </c>
      <c r="AO17" s="48">
        <v>-460</v>
      </c>
      <c r="AP17" s="55">
        <f>(Q17+0.4*T17-1.07*(V17/(V17+팀수비력!W17))*(Q17-P17)+AK17)/9</f>
        <v>81.585544130248493</v>
      </c>
      <c r="AQ17" s="55">
        <f>(팀수비력!Q17+0.4*팀수비력!T17-1.07*(팀수비력!V17/(팀수비력!V17+팀공격력!W17))*(팀수비력!Q17-팀수비력!P17)+팀수비력!AK17)/9</f>
        <v>81.588675089083253</v>
      </c>
      <c r="AR17" s="53">
        <f t="shared" si="0"/>
        <v>81.587109609665873</v>
      </c>
    </row>
    <row r="18" spans="1:44" x14ac:dyDescent="0.4">
      <c r="A18" s="54" t="s">
        <v>203</v>
      </c>
      <c r="B18" s="48" t="s">
        <v>306</v>
      </c>
      <c r="C18" s="48">
        <v>197</v>
      </c>
      <c r="D18" s="48">
        <v>148</v>
      </c>
      <c r="E18" s="48">
        <v>202</v>
      </c>
      <c r="F18" s="48">
        <v>181</v>
      </c>
      <c r="G18" s="48"/>
      <c r="H18" s="48">
        <v>728</v>
      </c>
      <c r="I18" s="48">
        <v>80.89</v>
      </c>
      <c r="J18" s="48">
        <v>217</v>
      </c>
      <c r="K18" s="48">
        <v>411</v>
      </c>
      <c r="L18" s="48"/>
      <c r="M18" s="48">
        <v>64</v>
      </c>
      <c r="N18" s="48">
        <v>197</v>
      </c>
      <c r="O18" s="48"/>
      <c r="P18" s="48">
        <v>281</v>
      </c>
      <c r="Q18" s="48">
        <v>608</v>
      </c>
      <c r="R18" s="48"/>
      <c r="S18" s="48">
        <v>102</v>
      </c>
      <c r="T18" s="48">
        <v>138</v>
      </c>
      <c r="U18" s="48"/>
      <c r="V18" s="48">
        <v>105</v>
      </c>
      <c r="W18" s="48">
        <v>247</v>
      </c>
      <c r="X18" s="48">
        <v>352</v>
      </c>
      <c r="Y18" s="48">
        <v>167</v>
      </c>
      <c r="Z18" s="48"/>
      <c r="AA18" s="48"/>
      <c r="AB18" s="48">
        <v>61</v>
      </c>
      <c r="AC18" s="48">
        <v>32</v>
      </c>
      <c r="AD18" s="48">
        <v>6</v>
      </c>
      <c r="AE18" s="48">
        <v>14</v>
      </c>
      <c r="AF18" s="48">
        <v>17</v>
      </c>
      <c r="AG18" s="48">
        <v>81</v>
      </c>
      <c r="AH18" s="48">
        <v>85</v>
      </c>
      <c r="AI18" s="48">
        <v>166</v>
      </c>
      <c r="AJ18" s="48">
        <v>1</v>
      </c>
      <c r="AK18" s="48">
        <v>97</v>
      </c>
      <c r="AL18" s="48">
        <v>9</v>
      </c>
      <c r="AM18" s="48">
        <v>41</v>
      </c>
      <c r="AN18" s="48">
        <v>193</v>
      </c>
      <c r="AO18" s="48">
        <v>335</v>
      </c>
      <c r="AP18" s="55">
        <f>(Q18+0.4*T18-1.07*(V18/(V18+팀수비력!W18))*(Q18-P18)+AK18)/9</f>
        <v>71.298763440860228</v>
      </c>
      <c r="AQ18" s="55">
        <f>(팀수비력!Q18+0.4*팀수비력!T18-1.07*(팀수비력!V18/(팀수비력!V18+팀공격력!W18))*(팀수비력!Q18-팀수비력!P18)+팀수비력!AK18)/9</f>
        <v>72.682818352059925</v>
      </c>
      <c r="AR18" s="53">
        <f t="shared" si="0"/>
        <v>71.990790896460084</v>
      </c>
    </row>
    <row r="19" spans="1:44" x14ac:dyDescent="0.4">
      <c r="A19" s="54" t="s">
        <v>224</v>
      </c>
      <c r="B19" s="48" t="s">
        <v>306</v>
      </c>
      <c r="C19" s="48">
        <v>240</v>
      </c>
      <c r="D19" s="48">
        <v>220</v>
      </c>
      <c r="E19" s="48">
        <v>203</v>
      </c>
      <c r="F19" s="48">
        <v>157</v>
      </c>
      <c r="G19" s="48"/>
      <c r="H19" s="48">
        <v>820</v>
      </c>
      <c r="I19" s="48">
        <v>82</v>
      </c>
      <c r="J19" s="48">
        <v>262</v>
      </c>
      <c r="K19" s="48">
        <v>489</v>
      </c>
      <c r="L19" s="48"/>
      <c r="M19" s="48">
        <v>60</v>
      </c>
      <c r="N19" s="48">
        <v>206</v>
      </c>
      <c r="O19" s="48"/>
      <c r="P19" s="48">
        <v>322</v>
      </c>
      <c r="Q19" s="48">
        <v>695</v>
      </c>
      <c r="R19" s="48"/>
      <c r="S19" s="48">
        <v>116</v>
      </c>
      <c r="T19" s="48">
        <v>144</v>
      </c>
      <c r="U19" s="48"/>
      <c r="V19" s="48">
        <v>106</v>
      </c>
      <c r="W19" s="48">
        <v>275</v>
      </c>
      <c r="X19" s="48">
        <v>381</v>
      </c>
      <c r="Y19" s="48">
        <v>159</v>
      </c>
      <c r="Z19" s="48"/>
      <c r="AA19" s="48"/>
      <c r="AB19" s="48">
        <v>59</v>
      </c>
      <c r="AC19" s="48">
        <v>48</v>
      </c>
      <c r="AD19" s="48">
        <v>10</v>
      </c>
      <c r="AE19" s="48">
        <v>15</v>
      </c>
      <c r="AF19" s="48">
        <v>17</v>
      </c>
      <c r="AG19" s="48">
        <v>86</v>
      </c>
      <c r="AH19" s="48">
        <v>99</v>
      </c>
      <c r="AI19" s="48">
        <v>185</v>
      </c>
      <c r="AJ19" s="48">
        <v>2</v>
      </c>
      <c r="AK19" s="48">
        <v>102</v>
      </c>
      <c r="AL19" s="48">
        <v>1</v>
      </c>
      <c r="AM19" s="48">
        <v>23</v>
      </c>
      <c r="AN19" s="48">
        <v>197</v>
      </c>
      <c r="AO19" s="48">
        <v>196</v>
      </c>
      <c r="AP19" s="55">
        <f>(Q19+0.4*T19-1.07*(V19/(V19+팀수비력!W19))*(Q19-P19)+AK19)/9</f>
        <v>81.788527855586679</v>
      </c>
      <c r="AQ19" s="55">
        <f>(팀수비력!Q19+0.4*팀수비력!T19-1.07*(팀수비력!V19/(팀수비력!V19+팀공격력!W19))*(팀수비력!Q19-팀수비력!P19)+팀수비력!AK19)/9</f>
        <v>81.415742971887553</v>
      </c>
      <c r="AR19" s="53">
        <f t="shared" si="0"/>
        <v>81.602135413737116</v>
      </c>
    </row>
    <row r="20" spans="1:44" x14ac:dyDescent="0.4">
      <c r="A20" s="54" t="s">
        <v>245</v>
      </c>
      <c r="B20" s="48" t="s">
        <v>306</v>
      </c>
      <c r="C20" s="48">
        <v>201</v>
      </c>
      <c r="D20" s="48">
        <v>216</v>
      </c>
      <c r="E20" s="48">
        <v>173</v>
      </c>
      <c r="F20" s="48">
        <v>195</v>
      </c>
      <c r="G20" s="48"/>
      <c r="H20" s="48">
        <v>785</v>
      </c>
      <c r="I20" s="48">
        <v>78.5</v>
      </c>
      <c r="J20" s="48">
        <v>259</v>
      </c>
      <c r="K20" s="48">
        <v>487</v>
      </c>
      <c r="L20" s="48"/>
      <c r="M20" s="48">
        <v>49</v>
      </c>
      <c r="N20" s="48">
        <v>208</v>
      </c>
      <c r="O20" s="48"/>
      <c r="P20" s="48">
        <v>308</v>
      </c>
      <c r="Q20" s="48">
        <v>695</v>
      </c>
      <c r="R20" s="48"/>
      <c r="S20" s="48">
        <v>120</v>
      </c>
      <c r="T20" s="48">
        <v>166</v>
      </c>
      <c r="U20" s="48"/>
      <c r="V20" s="48">
        <v>118</v>
      </c>
      <c r="W20" s="48">
        <v>245</v>
      </c>
      <c r="X20" s="48">
        <v>363</v>
      </c>
      <c r="Y20" s="48">
        <v>177</v>
      </c>
      <c r="Z20" s="48"/>
      <c r="AA20" s="48"/>
      <c r="AB20" s="48">
        <v>66</v>
      </c>
      <c r="AC20" s="48">
        <v>29</v>
      </c>
      <c r="AD20" s="48">
        <v>10</v>
      </c>
      <c r="AE20" s="48">
        <v>10</v>
      </c>
      <c r="AF20" s="48">
        <v>10</v>
      </c>
      <c r="AG20" s="48">
        <v>99</v>
      </c>
      <c r="AH20" s="48">
        <v>107</v>
      </c>
      <c r="AI20" s="48">
        <v>206</v>
      </c>
      <c r="AJ20" s="48">
        <v>3</v>
      </c>
      <c r="AK20" s="48">
        <v>99</v>
      </c>
      <c r="AL20" s="48">
        <v>5</v>
      </c>
      <c r="AM20" s="48">
        <v>50</v>
      </c>
      <c r="AN20" s="48">
        <v>202</v>
      </c>
      <c r="AO20" s="48">
        <v>30</v>
      </c>
      <c r="AP20" s="55">
        <f>(Q20+0.4*T20-1.07*(V20/(V20+팀수비력!W20))*(Q20-P20)+AK20)/9</f>
        <v>78.946073619631903</v>
      </c>
      <c r="AQ20" s="55">
        <f>(팀수비력!Q20+0.4*팀수비력!T20-1.07*(팀수비력!V20/(팀수비력!V20+팀공격력!W20))*(팀수비력!Q20-팀수비력!P20)+팀수비력!AK20)/9</f>
        <v>81.528888888888886</v>
      </c>
      <c r="AR20" s="53">
        <f t="shared" si="0"/>
        <v>80.237481254260388</v>
      </c>
    </row>
    <row r="21" spans="1:44" x14ac:dyDescent="0.4">
      <c r="A21" s="54" t="s">
        <v>263</v>
      </c>
      <c r="B21" s="48" t="s">
        <v>306</v>
      </c>
      <c r="C21" s="48">
        <v>235</v>
      </c>
      <c r="D21" s="48">
        <v>230</v>
      </c>
      <c r="E21" s="48">
        <v>264</v>
      </c>
      <c r="F21" s="48">
        <v>223</v>
      </c>
      <c r="G21" s="48"/>
      <c r="H21" s="48">
        <v>952</v>
      </c>
      <c r="I21" s="48">
        <v>95.2</v>
      </c>
      <c r="J21" s="48">
        <v>256</v>
      </c>
      <c r="K21" s="48">
        <v>434</v>
      </c>
      <c r="L21" s="48"/>
      <c r="M21" s="48">
        <v>103</v>
      </c>
      <c r="N21" s="48">
        <v>250</v>
      </c>
      <c r="O21" s="48"/>
      <c r="P21" s="48">
        <v>359</v>
      </c>
      <c r="Q21" s="48">
        <v>684</v>
      </c>
      <c r="R21" s="48"/>
      <c r="S21" s="48">
        <v>131</v>
      </c>
      <c r="T21" s="48">
        <v>165</v>
      </c>
      <c r="U21" s="48"/>
      <c r="V21" s="48">
        <v>95</v>
      </c>
      <c r="W21" s="48">
        <v>255</v>
      </c>
      <c r="X21" s="48">
        <v>350</v>
      </c>
      <c r="Y21" s="48">
        <v>222</v>
      </c>
      <c r="Z21" s="48"/>
      <c r="AA21" s="48"/>
      <c r="AB21" s="48">
        <v>67</v>
      </c>
      <c r="AC21" s="48">
        <v>43</v>
      </c>
      <c r="AD21" s="48">
        <v>7</v>
      </c>
      <c r="AE21" s="48">
        <v>20</v>
      </c>
      <c r="AF21" s="48">
        <v>21</v>
      </c>
      <c r="AG21" s="48">
        <v>85</v>
      </c>
      <c r="AH21" s="48">
        <v>114</v>
      </c>
      <c r="AI21" s="48">
        <v>199</v>
      </c>
      <c r="AJ21" s="48">
        <v>3</v>
      </c>
      <c r="AK21" s="48">
        <v>104</v>
      </c>
      <c r="AL21" s="48">
        <v>4</v>
      </c>
      <c r="AM21" s="48">
        <v>65</v>
      </c>
      <c r="AN21" s="48">
        <v>221</v>
      </c>
      <c r="AO21" s="48">
        <v>685</v>
      </c>
      <c r="AP21" s="55">
        <f>(Q21+0.4*T21-1.07*(V21/(V21+팀수비력!W21))*(Q21-P21)+AK21)/9</f>
        <v>82.774385771910531</v>
      </c>
      <c r="AQ21" s="55">
        <f>(팀수비력!Q21+0.4*팀수비력!T21-1.07*(팀수비력!V21/(팀수비력!V21+팀공격력!W21))*(팀수비력!Q21-팀수비력!P21)+팀수비력!AK21)/9</f>
        <v>81.98638537271448</v>
      </c>
      <c r="AR21" s="53">
        <f t="shared" si="0"/>
        <v>82.380385572312505</v>
      </c>
    </row>
    <row r="22" spans="1:44" x14ac:dyDescent="0.4">
      <c r="A22" s="56" t="s">
        <v>286</v>
      </c>
      <c r="B22" s="57" t="s">
        <v>306</v>
      </c>
      <c r="C22" s="57">
        <v>178</v>
      </c>
      <c r="D22" s="57">
        <v>184</v>
      </c>
      <c r="E22" s="57">
        <v>206</v>
      </c>
      <c r="F22" s="57">
        <v>161</v>
      </c>
      <c r="G22" s="57"/>
      <c r="H22" s="57">
        <v>729</v>
      </c>
      <c r="I22" s="57">
        <v>81</v>
      </c>
      <c r="J22" s="57">
        <v>211</v>
      </c>
      <c r="K22" s="57">
        <v>422</v>
      </c>
      <c r="L22" s="57"/>
      <c r="M22" s="57">
        <v>69</v>
      </c>
      <c r="N22" s="57">
        <v>207</v>
      </c>
      <c r="O22" s="57"/>
      <c r="P22" s="57">
        <v>280</v>
      </c>
      <c r="Q22" s="57">
        <v>629</v>
      </c>
      <c r="R22" s="57"/>
      <c r="S22" s="57">
        <v>100</v>
      </c>
      <c r="T22" s="57">
        <v>145</v>
      </c>
      <c r="U22" s="57"/>
      <c r="V22" s="57">
        <v>112</v>
      </c>
      <c r="W22" s="57">
        <v>238</v>
      </c>
      <c r="X22" s="57">
        <v>350</v>
      </c>
      <c r="Y22" s="57">
        <v>161</v>
      </c>
      <c r="Z22" s="57"/>
      <c r="AA22" s="57"/>
      <c r="AB22" s="57">
        <v>61</v>
      </c>
      <c r="AC22" s="57">
        <v>26</v>
      </c>
      <c r="AD22" s="57">
        <v>7</v>
      </c>
      <c r="AE22" s="57">
        <v>12</v>
      </c>
      <c r="AF22" s="57">
        <v>12</v>
      </c>
      <c r="AG22" s="57">
        <v>77</v>
      </c>
      <c r="AH22" s="57">
        <v>98</v>
      </c>
      <c r="AI22" s="57">
        <v>175</v>
      </c>
      <c r="AJ22" s="57">
        <v>2</v>
      </c>
      <c r="AK22" s="57">
        <v>80</v>
      </c>
      <c r="AL22" s="57">
        <v>4</v>
      </c>
      <c r="AM22" s="57">
        <v>37</v>
      </c>
      <c r="AN22" s="57">
        <v>203</v>
      </c>
      <c r="AO22" s="57">
        <v>265</v>
      </c>
      <c r="AP22" s="58">
        <f>(Q22+0.4*T22-1.07*(V22/(V22+팀수비력!W22))*(Q22-P22)+AK22)/9</f>
        <v>71.513877417240252</v>
      </c>
      <c r="AQ22" s="58">
        <f>(팀수비력!Q22+0.4*팀수비력!T22-1.07*(팀수비력!V22/(팀수비력!V22+팀공격력!W22))*(팀수비력!Q22-팀수비력!P22)+팀수비력!AK22)/9</f>
        <v>71.577485380116954</v>
      </c>
      <c r="AR22" s="53">
        <f t="shared" si="0"/>
        <v>71.545681398678596</v>
      </c>
    </row>
    <row r="23" spans="1:44" x14ac:dyDescent="0.4">
      <c r="A23" s="50" t="s">
        <v>99</v>
      </c>
      <c r="B23" s="51" t="s">
        <v>307</v>
      </c>
      <c r="C23" s="51">
        <v>175</v>
      </c>
      <c r="D23" s="51">
        <v>178</v>
      </c>
      <c r="E23" s="51">
        <v>182</v>
      </c>
      <c r="F23" s="51">
        <v>148</v>
      </c>
      <c r="G23" s="51"/>
      <c r="H23" s="51">
        <v>683</v>
      </c>
      <c r="I23" s="51">
        <v>75.89</v>
      </c>
      <c r="J23" s="51">
        <v>148</v>
      </c>
      <c r="K23" s="51">
        <v>290</v>
      </c>
      <c r="L23" s="51"/>
      <c r="M23" s="51">
        <v>101</v>
      </c>
      <c r="N23" s="51">
        <v>318</v>
      </c>
      <c r="O23" s="51"/>
      <c r="P23" s="51">
        <v>249</v>
      </c>
      <c r="Q23" s="51">
        <v>608</v>
      </c>
      <c r="R23" s="51"/>
      <c r="S23" s="51">
        <v>84</v>
      </c>
      <c r="T23" s="51">
        <v>108</v>
      </c>
      <c r="U23" s="51"/>
      <c r="V23" s="51">
        <v>85</v>
      </c>
      <c r="W23" s="51">
        <v>201</v>
      </c>
      <c r="X23" s="51">
        <v>286</v>
      </c>
      <c r="Y23" s="51">
        <v>150</v>
      </c>
      <c r="Z23" s="51"/>
      <c r="AA23" s="51"/>
      <c r="AB23" s="51">
        <v>59</v>
      </c>
      <c r="AC23" s="51">
        <v>16</v>
      </c>
      <c r="AD23" s="51">
        <v>15</v>
      </c>
      <c r="AE23" s="51">
        <v>13</v>
      </c>
      <c r="AF23" s="51">
        <v>13</v>
      </c>
      <c r="AG23" s="51">
        <v>81</v>
      </c>
      <c r="AH23" s="51">
        <v>96</v>
      </c>
      <c r="AI23" s="51">
        <v>177</v>
      </c>
      <c r="AJ23" s="51">
        <v>1</v>
      </c>
      <c r="AK23" s="51">
        <v>83</v>
      </c>
      <c r="AL23" s="51">
        <v>9</v>
      </c>
      <c r="AM23" s="51">
        <v>19</v>
      </c>
      <c r="AN23" s="51">
        <v>246</v>
      </c>
      <c r="AO23" s="51">
        <v>-145</v>
      </c>
      <c r="AP23" s="52">
        <f>(Q23+0.4*T23-1.07*(V23/(V23+팀수비력!W23))*(Q23-P23)+AK23)/9</f>
        <v>70.41502564102565</v>
      </c>
      <c r="AQ23" s="52">
        <f>(팀수비력!Q23+0.4*팀수비력!T23-1.07*(팀수비력!V23/(팀수비력!V23+팀공격력!W23))*(팀수비력!Q23-팀수비력!P23)+팀수비력!AK23)/9</f>
        <v>70.186607209215893</v>
      </c>
      <c r="AR23" s="53">
        <f t="shared" si="0"/>
        <v>70.300816425120772</v>
      </c>
    </row>
    <row r="24" spans="1:44" x14ac:dyDescent="0.4">
      <c r="A24" s="54" t="s">
        <v>123</v>
      </c>
      <c r="B24" s="48" t="s">
        <v>307</v>
      </c>
      <c r="C24" s="48">
        <v>184</v>
      </c>
      <c r="D24" s="48">
        <v>186</v>
      </c>
      <c r="E24" s="48">
        <v>156</v>
      </c>
      <c r="F24" s="48">
        <v>166</v>
      </c>
      <c r="G24" s="48">
        <v>11</v>
      </c>
      <c r="H24" s="48">
        <v>703</v>
      </c>
      <c r="I24" s="48">
        <v>78.11</v>
      </c>
      <c r="J24" s="48">
        <v>199</v>
      </c>
      <c r="K24" s="48">
        <v>374</v>
      </c>
      <c r="L24" s="48"/>
      <c r="M24" s="48">
        <v>79</v>
      </c>
      <c r="N24" s="48">
        <v>222</v>
      </c>
      <c r="O24" s="48"/>
      <c r="P24" s="48">
        <v>278</v>
      </c>
      <c r="Q24" s="48">
        <v>596</v>
      </c>
      <c r="R24" s="48"/>
      <c r="S24" s="48">
        <v>68</v>
      </c>
      <c r="T24" s="48">
        <v>104</v>
      </c>
      <c r="U24" s="48"/>
      <c r="V24" s="48">
        <v>73</v>
      </c>
      <c r="W24" s="48">
        <v>218</v>
      </c>
      <c r="X24" s="48">
        <v>291</v>
      </c>
      <c r="Y24" s="48">
        <v>126</v>
      </c>
      <c r="Z24" s="48"/>
      <c r="AA24" s="48"/>
      <c r="AB24" s="48">
        <v>45</v>
      </c>
      <c r="AC24" s="48">
        <v>16</v>
      </c>
      <c r="AD24" s="48">
        <v>16</v>
      </c>
      <c r="AE24" s="48">
        <v>5</v>
      </c>
      <c r="AF24" s="48">
        <v>6</v>
      </c>
      <c r="AG24" s="48">
        <v>74</v>
      </c>
      <c r="AH24" s="48">
        <v>125</v>
      </c>
      <c r="AI24" s="48">
        <v>199</v>
      </c>
      <c r="AJ24" s="48">
        <v>1</v>
      </c>
      <c r="AK24" s="48">
        <v>95</v>
      </c>
      <c r="AL24" s="48">
        <v>7</v>
      </c>
      <c r="AM24" s="48">
        <v>20</v>
      </c>
      <c r="AN24" s="48">
        <v>233</v>
      </c>
      <c r="AO24" s="48">
        <v>-275</v>
      </c>
      <c r="AP24" s="55">
        <f>(Q24+0.4*T24-1.07*(V24/(V24+팀수비력!W24))*(Q24-P24)+AK24)/9</f>
        <v>72.012630385487526</v>
      </c>
      <c r="AQ24" s="55">
        <f>(팀수비력!Q24+0.4*팀수비력!T24-1.07*(팀수비력!V24/(팀수비력!V24+팀공격력!W24))*(팀수비력!Q24-팀수비력!P24)+팀수비력!AK24)/9</f>
        <v>72.118671733622875</v>
      </c>
      <c r="AR24" s="53">
        <f t="shared" si="0"/>
        <v>72.065651059555194</v>
      </c>
    </row>
    <row r="25" spans="1:44" x14ac:dyDescent="0.4">
      <c r="A25" s="54" t="s">
        <v>145</v>
      </c>
      <c r="B25" s="48" t="s">
        <v>307</v>
      </c>
      <c r="C25" s="48">
        <v>172</v>
      </c>
      <c r="D25" s="48">
        <v>162</v>
      </c>
      <c r="E25" s="48">
        <v>158</v>
      </c>
      <c r="F25" s="48">
        <v>135</v>
      </c>
      <c r="G25" s="48"/>
      <c r="H25" s="48">
        <v>627</v>
      </c>
      <c r="I25" s="48">
        <v>78.38</v>
      </c>
      <c r="J25" s="48">
        <v>179</v>
      </c>
      <c r="K25" s="48">
        <v>345</v>
      </c>
      <c r="L25" s="48"/>
      <c r="M25" s="48">
        <v>51</v>
      </c>
      <c r="N25" s="48">
        <v>173</v>
      </c>
      <c r="O25" s="48"/>
      <c r="P25" s="48">
        <v>230</v>
      </c>
      <c r="Q25" s="48">
        <v>518</v>
      </c>
      <c r="R25" s="48"/>
      <c r="S25" s="48">
        <v>116</v>
      </c>
      <c r="T25" s="48">
        <v>153</v>
      </c>
      <c r="U25" s="48"/>
      <c r="V25" s="48">
        <v>79</v>
      </c>
      <c r="W25" s="48">
        <v>217</v>
      </c>
      <c r="X25" s="48">
        <v>296</v>
      </c>
      <c r="Y25" s="48">
        <v>119</v>
      </c>
      <c r="Z25" s="48"/>
      <c r="AA25" s="48"/>
      <c r="AB25" s="48">
        <v>39</v>
      </c>
      <c r="AC25" s="48">
        <v>18</v>
      </c>
      <c r="AD25" s="48">
        <v>11</v>
      </c>
      <c r="AE25" s="48">
        <v>7</v>
      </c>
      <c r="AF25" s="48">
        <v>7</v>
      </c>
      <c r="AG25" s="48">
        <v>55</v>
      </c>
      <c r="AH25" s="48">
        <v>86</v>
      </c>
      <c r="AI25" s="48">
        <v>141</v>
      </c>
      <c r="AJ25" s="48">
        <v>1</v>
      </c>
      <c r="AK25" s="48">
        <v>99</v>
      </c>
      <c r="AL25" s="48">
        <v>1</v>
      </c>
      <c r="AM25" s="48">
        <v>47</v>
      </c>
      <c r="AN25" s="48">
        <v>154</v>
      </c>
      <c r="AO25" s="48">
        <v>-110</v>
      </c>
      <c r="AP25" s="55">
        <f>(Q25+0.4*T25-1.07*(V25/(V25+팀수비력!W25))*(Q25-P25)+AK25)/9</f>
        <v>65.995832372164557</v>
      </c>
      <c r="AQ25" s="55">
        <f>(팀수비력!Q25+0.4*팀수비력!T25-1.07*(팀수비력!V25/(팀수비력!V25+팀공격력!W25))*(팀수비력!Q25-팀수비력!P25)+팀수비력!AK25)/9</f>
        <v>66.378863219655301</v>
      </c>
      <c r="AR25" s="53">
        <f t="shared" si="0"/>
        <v>66.187347795909929</v>
      </c>
    </row>
    <row r="26" spans="1:44" x14ac:dyDescent="0.4">
      <c r="A26" s="54" t="s">
        <v>164</v>
      </c>
      <c r="B26" s="48" t="s">
        <v>307</v>
      </c>
      <c r="C26" s="48">
        <v>190</v>
      </c>
      <c r="D26" s="48">
        <v>176</v>
      </c>
      <c r="E26" s="48">
        <v>147</v>
      </c>
      <c r="F26" s="48">
        <v>218</v>
      </c>
      <c r="G26" s="48"/>
      <c r="H26" s="48">
        <v>731</v>
      </c>
      <c r="I26" s="48">
        <v>81.22</v>
      </c>
      <c r="J26" s="48">
        <v>224</v>
      </c>
      <c r="K26" s="48">
        <v>435</v>
      </c>
      <c r="L26" s="48"/>
      <c r="M26" s="48">
        <v>57</v>
      </c>
      <c r="N26" s="48">
        <v>189</v>
      </c>
      <c r="O26" s="48"/>
      <c r="P26" s="48">
        <v>281</v>
      </c>
      <c r="Q26" s="48">
        <v>624</v>
      </c>
      <c r="R26" s="48"/>
      <c r="S26" s="48">
        <v>112</v>
      </c>
      <c r="T26" s="48">
        <v>142</v>
      </c>
      <c r="U26" s="48"/>
      <c r="V26" s="48">
        <v>90</v>
      </c>
      <c r="W26" s="48">
        <v>231</v>
      </c>
      <c r="X26" s="48">
        <v>321</v>
      </c>
      <c r="Y26" s="48">
        <v>160</v>
      </c>
      <c r="Z26" s="48"/>
      <c r="AA26" s="48"/>
      <c r="AB26" s="48">
        <v>70</v>
      </c>
      <c r="AC26" s="48">
        <v>23</v>
      </c>
      <c r="AD26" s="48">
        <v>9</v>
      </c>
      <c r="AE26" s="48">
        <v>10</v>
      </c>
      <c r="AF26" s="48">
        <v>10</v>
      </c>
      <c r="AG26" s="48">
        <v>71</v>
      </c>
      <c r="AH26" s="48">
        <v>102</v>
      </c>
      <c r="AI26" s="48">
        <v>173</v>
      </c>
      <c r="AJ26" s="48">
        <v>2</v>
      </c>
      <c r="AK26" s="48">
        <v>74</v>
      </c>
      <c r="AL26" s="48">
        <v>5</v>
      </c>
      <c r="AM26" s="48">
        <v>51</v>
      </c>
      <c r="AN26" s="48">
        <v>185</v>
      </c>
      <c r="AO26" s="48">
        <v>124</v>
      </c>
      <c r="AP26" s="55">
        <f>(Q26+0.4*T26-1.07*(V26/(V26+팀수비력!W26))*(Q26-P26)+AK26)/9</f>
        <v>72.643119266055038</v>
      </c>
      <c r="AQ26" s="55">
        <f>(팀수비력!Q26+0.4*팀수비력!T26-1.07*(팀수비력!V26/(팀수비력!V26+팀공격력!W26))*(팀수비력!Q26-팀수비력!P26)+팀수비력!AK26)/9</f>
        <v>72.241982905982894</v>
      </c>
      <c r="AR26" s="53">
        <f t="shared" si="0"/>
        <v>72.442551086018966</v>
      </c>
    </row>
    <row r="27" spans="1:44" x14ac:dyDescent="0.4">
      <c r="A27" s="54" t="s">
        <v>183</v>
      </c>
      <c r="B27" s="48" t="s">
        <v>307</v>
      </c>
      <c r="C27" s="48">
        <v>177</v>
      </c>
      <c r="D27" s="48">
        <v>166</v>
      </c>
      <c r="E27" s="48">
        <v>157</v>
      </c>
      <c r="F27" s="48">
        <v>168</v>
      </c>
      <c r="G27" s="48"/>
      <c r="H27" s="48">
        <v>668</v>
      </c>
      <c r="I27" s="48">
        <v>74.22</v>
      </c>
      <c r="J27" s="48">
        <v>197</v>
      </c>
      <c r="K27" s="48">
        <v>413</v>
      </c>
      <c r="L27" s="48"/>
      <c r="M27" s="48">
        <v>57</v>
      </c>
      <c r="N27" s="48">
        <v>204</v>
      </c>
      <c r="O27" s="48"/>
      <c r="P27" s="48">
        <v>254</v>
      </c>
      <c r="Q27" s="48">
        <v>617</v>
      </c>
      <c r="R27" s="48"/>
      <c r="S27" s="48">
        <v>103</v>
      </c>
      <c r="T27" s="48">
        <v>157</v>
      </c>
      <c r="U27" s="48"/>
      <c r="V27" s="48">
        <v>111</v>
      </c>
      <c r="W27" s="48">
        <v>230</v>
      </c>
      <c r="X27" s="48">
        <v>341</v>
      </c>
      <c r="Y27" s="48">
        <v>143</v>
      </c>
      <c r="Z27" s="48"/>
      <c r="AA27" s="48"/>
      <c r="AB27" s="48">
        <v>54</v>
      </c>
      <c r="AC27" s="48">
        <v>17</v>
      </c>
      <c r="AD27" s="48">
        <v>9</v>
      </c>
      <c r="AE27" s="48">
        <v>13</v>
      </c>
      <c r="AF27" s="48">
        <v>13</v>
      </c>
      <c r="AG27" s="48">
        <v>75</v>
      </c>
      <c r="AH27" s="48">
        <v>99</v>
      </c>
      <c r="AI27" s="48">
        <v>174</v>
      </c>
      <c r="AJ27" s="48">
        <v>3</v>
      </c>
      <c r="AK27" s="48">
        <v>110</v>
      </c>
      <c r="AL27" s="48">
        <v>7</v>
      </c>
      <c r="AM27" s="48">
        <v>22</v>
      </c>
      <c r="AN27" s="48">
        <v>229</v>
      </c>
      <c r="AO27" s="48">
        <v>-438</v>
      </c>
      <c r="AP27" s="55">
        <f>(Q27+0.4*T27-1.07*(V27/(V27+팀수비력!W27))*(Q27-P27)+AK27)/9</f>
        <v>73.830003229974153</v>
      </c>
      <c r="AQ27" s="55">
        <f>(팀수비력!Q27+0.4*팀수비력!T27-1.07*(팀수비력!V27/(팀수비력!V27+팀공격력!W27))*(팀수비력!Q27-팀수비력!P27)+팀수비력!AK27)/9</f>
        <v>73.712665303340145</v>
      </c>
      <c r="AR27" s="53">
        <f t="shared" si="0"/>
        <v>73.771334266657149</v>
      </c>
    </row>
    <row r="28" spans="1:44" x14ac:dyDescent="0.4">
      <c r="A28" s="54" t="s">
        <v>203</v>
      </c>
      <c r="B28" s="48" t="s">
        <v>307</v>
      </c>
      <c r="C28" s="48">
        <v>214</v>
      </c>
      <c r="D28" s="48">
        <v>201</v>
      </c>
      <c r="E28" s="48">
        <v>189</v>
      </c>
      <c r="F28" s="48">
        <v>175</v>
      </c>
      <c r="G28" s="48"/>
      <c r="H28" s="48">
        <v>779</v>
      </c>
      <c r="I28" s="48">
        <v>86.56</v>
      </c>
      <c r="J28" s="48">
        <v>213</v>
      </c>
      <c r="K28" s="48">
        <v>377</v>
      </c>
      <c r="L28" s="48"/>
      <c r="M28" s="48">
        <v>89</v>
      </c>
      <c r="N28" s="48">
        <v>277</v>
      </c>
      <c r="O28" s="48"/>
      <c r="P28" s="48">
        <v>302</v>
      </c>
      <c r="Q28" s="48">
        <v>654</v>
      </c>
      <c r="R28" s="48"/>
      <c r="S28" s="48">
        <v>86</v>
      </c>
      <c r="T28" s="48">
        <v>122</v>
      </c>
      <c r="U28" s="48"/>
      <c r="V28" s="48">
        <v>106</v>
      </c>
      <c r="W28" s="48">
        <v>191</v>
      </c>
      <c r="X28" s="48">
        <v>297</v>
      </c>
      <c r="Y28" s="48">
        <v>184</v>
      </c>
      <c r="Z28" s="48"/>
      <c r="AA28" s="48"/>
      <c r="AB28" s="48">
        <v>82</v>
      </c>
      <c r="AC28" s="48">
        <v>25</v>
      </c>
      <c r="AD28" s="48">
        <v>7</v>
      </c>
      <c r="AE28" s="48">
        <v>29</v>
      </c>
      <c r="AF28" s="48">
        <v>31</v>
      </c>
      <c r="AG28" s="48">
        <v>90</v>
      </c>
      <c r="AH28" s="48">
        <v>100</v>
      </c>
      <c r="AI28" s="48">
        <v>190</v>
      </c>
      <c r="AJ28" s="48"/>
      <c r="AK28" s="48">
        <v>96</v>
      </c>
      <c r="AL28" s="48">
        <v>2</v>
      </c>
      <c r="AM28" s="48">
        <v>34</v>
      </c>
      <c r="AN28" s="48">
        <v>221</v>
      </c>
      <c r="AO28" s="48">
        <v>85</v>
      </c>
      <c r="AP28" s="55">
        <f>(Q28+0.4*T28-1.07*(V28/(V28+팀수비력!W28))*(Q28-P28)+AK28)/9</f>
        <v>75.474171656686622</v>
      </c>
      <c r="AQ28" s="55">
        <f>(팀수비력!Q28+0.4*팀수비력!T28-1.07*(팀수비력!V28/(팀수비력!V28+팀공격력!W28))*(팀수비력!Q28-팀수비력!P28)+팀수비력!AK28)/9</f>
        <v>73.937172388335185</v>
      </c>
      <c r="AR28" s="53">
        <f t="shared" si="0"/>
        <v>74.705672022510896</v>
      </c>
    </row>
    <row r="29" spans="1:44" x14ac:dyDescent="0.4">
      <c r="A29" s="54" t="s">
        <v>224</v>
      </c>
      <c r="B29" s="48" t="s">
        <v>307</v>
      </c>
      <c r="C29" s="48">
        <v>215</v>
      </c>
      <c r="D29" s="48">
        <v>176</v>
      </c>
      <c r="E29" s="48">
        <v>171</v>
      </c>
      <c r="F29" s="48">
        <v>170</v>
      </c>
      <c r="G29" s="48"/>
      <c r="H29" s="48">
        <v>732</v>
      </c>
      <c r="I29" s="48">
        <v>81.33</v>
      </c>
      <c r="J29" s="48">
        <v>203</v>
      </c>
      <c r="K29" s="48">
        <v>382</v>
      </c>
      <c r="L29" s="48"/>
      <c r="M29" s="48">
        <v>80</v>
      </c>
      <c r="N29" s="48">
        <v>225</v>
      </c>
      <c r="O29" s="48"/>
      <c r="P29" s="48">
        <v>283</v>
      </c>
      <c r="Q29" s="48">
        <v>607</v>
      </c>
      <c r="R29" s="48"/>
      <c r="S29" s="48">
        <v>86</v>
      </c>
      <c r="T29" s="48">
        <v>122</v>
      </c>
      <c r="U29" s="48"/>
      <c r="V29" s="48">
        <v>88</v>
      </c>
      <c r="W29" s="48">
        <v>183</v>
      </c>
      <c r="X29" s="48">
        <v>271</v>
      </c>
      <c r="Y29" s="48">
        <v>168</v>
      </c>
      <c r="Z29" s="48"/>
      <c r="AA29" s="48"/>
      <c r="AB29" s="48">
        <v>50</v>
      </c>
      <c r="AC29" s="48">
        <v>21</v>
      </c>
      <c r="AD29" s="48">
        <v>10</v>
      </c>
      <c r="AE29" s="48">
        <v>8</v>
      </c>
      <c r="AF29" s="48">
        <v>11</v>
      </c>
      <c r="AG29" s="48">
        <v>60</v>
      </c>
      <c r="AH29" s="48">
        <v>94</v>
      </c>
      <c r="AI29" s="48">
        <v>154</v>
      </c>
      <c r="AJ29" s="48"/>
      <c r="AK29" s="48">
        <v>96</v>
      </c>
      <c r="AL29" s="48">
        <v>4</v>
      </c>
      <c r="AM29" s="48">
        <v>23</v>
      </c>
      <c r="AN29" s="48">
        <v>173</v>
      </c>
      <c r="AO29" s="48">
        <v>-501</v>
      </c>
      <c r="AP29" s="55">
        <f>(Q29+0.4*T29-1.07*(V29/(V29+팀수비력!W29))*(Q29-P29)+AK29)/9</f>
        <v>72.598623655913968</v>
      </c>
      <c r="AQ29" s="55">
        <f>(팀수비력!Q29+0.4*팀수비력!T29-1.07*(팀수비력!V29/(팀수비력!V29+팀공격력!W29))*(팀수비력!Q29-팀수비력!P29)+팀수비력!AK29)/9</f>
        <v>72.012685881370089</v>
      </c>
      <c r="AR29" s="53">
        <f t="shared" si="0"/>
        <v>72.305654768642029</v>
      </c>
    </row>
    <row r="30" spans="1:44" x14ac:dyDescent="0.4">
      <c r="A30" s="54" t="s">
        <v>245</v>
      </c>
      <c r="B30" s="48" t="s">
        <v>307</v>
      </c>
      <c r="C30" s="48">
        <v>199</v>
      </c>
      <c r="D30" s="48">
        <v>175</v>
      </c>
      <c r="E30" s="48">
        <v>190</v>
      </c>
      <c r="F30" s="48">
        <v>159</v>
      </c>
      <c r="G30" s="48">
        <v>12</v>
      </c>
      <c r="H30" s="48">
        <v>735</v>
      </c>
      <c r="I30" s="48">
        <v>81.67</v>
      </c>
      <c r="J30" s="48">
        <v>218</v>
      </c>
      <c r="K30" s="48">
        <v>427</v>
      </c>
      <c r="L30" s="48"/>
      <c r="M30" s="48">
        <v>67</v>
      </c>
      <c r="N30" s="48">
        <v>197</v>
      </c>
      <c r="O30" s="48"/>
      <c r="P30" s="48">
        <v>285</v>
      </c>
      <c r="Q30" s="48">
        <v>624</v>
      </c>
      <c r="R30" s="48"/>
      <c r="S30" s="48">
        <v>98</v>
      </c>
      <c r="T30" s="48">
        <v>132</v>
      </c>
      <c r="U30" s="48"/>
      <c r="V30" s="48">
        <v>106</v>
      </c>
      <c r="W30" s="48">
        <v>226</v>
      </c>
      <c r="X30" s="48">
        <v>332</v>
      </c>
      <c r="Y30" s="48">
        <v>168</v>
      </c>
      <c r="Z30" s="48"/>
      <c r="AA30" s="48"/>
      <c r="AB30" s="48">
        <v>59</v>
      </c>
      <c r="AC30" s="48">
        <v>18</v>
      </c>
      <c r="AD30" s="48">
        <v>6</v>
      </c>
      <c r="AE30" s="48">
        <v>9</v>
      </c>
      <c r="AF30" s="48">
        <v>9</v>
      </c>
      <c r="AG30" s="48">
        <v>70</v>
      </c>
      <c r="AH30" s="48">
        <v>104</v>
      </c>
      <c r="AI30" s="48">
        <v>174</v>
      </c>
      <c r="AJ30" s="48"/>
      <c r="AK30" s="48">
        <v>96</v>
      </c>
      <c r="AL30" s="48">
        <v>11</v>
      </c>
      <c r="AM30" s="48">
        <v>38</v>
      </c>
      <c r="AN30" s="48">
        <v>157</v>
      </c>
      <c r="AO30" s="48">
        <v>80</v>
      </c>
      <c r="AP30" s="55">
        <f>(Q30+0.4*T30-1.07*(V30/(V30+팀수비력!W30))*(Q30-P30)+AK30)/9</f>
        <v>72.129839228295808</v>
      </c>
      <c r="AQ30" s="55">
        <f>(팀수비력!Q30+0.4*팀수비력!T30-1.07*(팀수비력!V30/(팀수비력!V30+팀공격력!W30))*(팀수비력!Q30-팀수비력!P30)+팀수비력!AK30)/9</f>
        <v>74.122363112391938</v>
      </c>
      <c r="AR30" s="53">
        <f t="shared" si="0"/>
        <v>73.126101170343873</v>
      </c>
    </row>
    <row r="31" spans="1:44" x14ac:dyDescent="0.4">
      <c r="A31" s="54" t="s">
        <v>263</v>
      </c>
      <c r="B31" s="48" t="s">
        <v>307</v>
      </c>
      <c r="C31" s="48">
        <v>220</v>
      </c>
      <c r="D31" s="48">
        <v>207</v>
      </c>
      <c r="E31" s="48">
        <v>202</v>
      </c>
      <c r="F31" s="48">
        <v>166</v>
      </c>
      <c r="G31" s="48"/>
      <c r="H31" s="48">
        <v>795</v>
      </c>
      <c r="I31" s="48">
        <v>88.33</v>
      </c>
      <c r="J31" s="48">
        <v>237</v>
      </c>
      <c r="K31" s="48">
        <v>410</v>
      </c>
      <c r="L31" s="48"/>
      <c r="M31" s="48">
        <v>71</v>
      </c>
      <c r="N31" s="48">
        <v>202</v>
      </c>
      <c r="O31" s="48"/>
      <c r="P31" s="48">
        <v>308</v>
      </c>
      <c r="Q31" s="48">
        <v>612</v>
      </c>
      <c r="R31" s="48"/>
      <c r="S31" s="48">
        <v>108</v>
      </c>
      <c r="T31" s="48">
        <v>133</v>
      </c>
      <c r="U31" s="48"/>
      <c r="V31" s="48">
        <v>90</v>
      </c>
      <c r="W31" s="48">
        <v>244</v>
      </c>
      <c r="X31" s="48">
        <v>334</v>
      </c>
      <c r="Y31" s="48">
        <v>189</v>
      </c>
      <c r="Z31" s="48"/>
      <c r="AA31" s="48"/>
      <c r="AB31" s="48">
        <v>70</v>
      </c>
      <c r="AC31" s="48">
        <v>36</v>
      </c>
      <c r="AD31" s="48">
        <v>3</v>
      </c>
      <c r="AE31" s="48">
        <v>21</v>
      </c>
      <c r="AF31" s="48">
        <v>21</v>
      </c>
      <c r="AG31" s="48">
        <v>64</v>
      </c>
      <c r="AH31" s="48">
        <v>106</v>
      </c>
      <c r="AI31" s="48">
        <v>170</v>
      </c>
      <c r="AJ31" s="48">
        <v>3</v>
      </c>
      <c r="AK31" s="48">
        <v>108</v>
      </c>
      <c r="AL31" s="48">
        <v>2</v>
      </c>
      <c r="AM31" s="48">
        <v>45</v>
      </c>
      <c r="AN31" s="48">
        <v>203</v>
      </c>
      <c r="AO31" s="48">
        <v>450</v>
      </c>
      <c r="AP31" s="55">
        <f>(Q31+0.4*T31-1.07*(V31/(V31+팀수비력!W31))*(Q31-P31)+AK31)/9</f>
        <v>74.884670433145004</v>
      </c>
      <c r="AQ31" s="55">
        <f>(팀수비력!Q31+0.4*팀수비력!T31-1.07*(팀수비력!V31/(팀수비력!V31+팀공격력!W31))*(팀수비력!Q31-팀수비력!P31)+팀수비력!AK31)/9</f>
        <v>74.936054794520544</v>
      </c>
      <c r="AR31" s="53">
        <f t="shared" si="0"/>
        <v>74.910362613832774</v>
      </c>
    </row>
    <row r="32" spans="1:44" x14ac:dyDescent="0.4">
      <c r="A32" s="56" t="s">
        <v>286</v>
      </c>
      <c r="B32" s="57" t="s">
        <v>307</v>
      </c>
      <c r="C32" s="57">
        <v>221</v>
      </c>
      <c r="D32" s="57">
        <v>217</v>
      </c>
      <c r="E32" s="57">
        <v>242</v>
      </c>
      <c r="F32" s="57">
        <v>210</v>
      </c>
      <c r="G32" s="57"/>
      <c r="H32" s="57">
        <v>890</v>
      </c>
      <c r="I32" s="57">
        <v>89</v>
      </c>
      <c r="J32" s="57">
        <v>234</v>
      </c>
      <c r="K32" s="57">
        <v>432</v>
      </c>
      <c r="L32" s="57"/>
      <c r="M32" s="57">
        <v>103</v>
      </c>
      <c r="N32" s="57">
        <v>258</v>
      </c>
      <c r="O32" s="57"/>
      <c r="P32" s="57">
        <v>337</v>
      </c>
      <c r="Q32" s="57">
        <v>690</v>
      </c>
      <c r="R32" s="57"/>
      <c r="S32" s="57">
        <v>113</v>
      </c>
      <c r="T32" s="57">
        <v>152</v>
      </c>
      <c r="U32" s="57"/>
      <c r="V32" s="57">
        <v>127</v>
      </c>
      <c r="W32" s="57">
        <v>276</v>
      </c>
      <c r="X32" s="57">
        <v>403</v>
      </c>
      <c r="Y32" s="57">
        <v>197</v>
      </c>
      <c r="Z32" s="57"/>
      <c r="AA32" s="57"/>
      <c r="AB32" s="57">
        <v>66</v>
      </c>
      <c r="AC32" s="57">
        <v>16</v>
      </c>
      <c r="AD32" s="57">
        <v>9</v>
      </c>
      <c r="AE32" s="57">
        <v>9</v>
      </c>
      <c r="AF32" s="57">
        <v>11</v>
      </c>
      <c r="AG32" s="57">
        <v>84</v>
      </c>
      <c r="AH32" s="57">
        <v>108</v>
      </c>
      <c r="AI32" s="57">
        <v>192</v>
      </c>
      <c r="AJ32" s="57">
        <v>1</v>
      </c>
      <c r="AK32" s="57">
        <v>109</v>
      </c>
      <c r="AL32" s="57">
        <v>7</v>
      </c>
      <c r="AM32" s="57">
        <v>46</v>
      </c>
      <c r="AN32" s="57">
        <v>217</v>
      </c>
      <c r="AO32" s="57">
        <v>755</v>
      </c>
      <c r="AP32" s="58">
        <f>(Q32+0.4*T32-1.07*(V32/(V32+팀수비력!W32))*(Q32-P32)+AK32)/9</f>
        <v>79.527604270937601</v>
      </c>
      <c r="AQ32" s="58">
        <f>(팀수비력!Q32+0.4*팀수비력!T32-1.07*(팀수비력!V32/(팀수비력!V32+팀공격력!W32))*(팀수비력!Q32-팀수비력!P32)+팀수비력!AK32)/9</f>
        <v>81.230629629629632</v>
      </c>
      <c r="AR32" s="53">
        <f t="shared" si="0"/>
        <v>80.379116950283617</v>
      </c>
    </row>
    <row r="33" spans="1:44" x14ac:dyDescent="0.4">
      <c r="A33" s="50" t="s">
        <v>99</v>
      </c>
      <c r="B33" s="51" t="s">
        <v>309</v>
      </c>
      <c r="C33" s="51">
        <v>171</v>
      </c>
      <c r="D33" s="51">
        <v>183</v>
      </c>
      <c r="E33" s="51">
        <v>201</v>
      </c>
      <c r="F33" s="51">
        <v>164</v>
      </c>
      <c r="G33" s="51"/>
      <c r="H33" s="51">
        <v>719</v>
      </c>
      <c r="I33" s="51">
        <v>71.900000000000006</v>
      </c>
      <c r="J33" s="51">
        <v>177</v>
      </c>
      <c r="K33" s="51">
        <v>350</v>
      </c>
      <c r="L33" s="51"/>
      <c r="M33" s="51">
        <v>97</v>
      </c>
      <c r="N33" s="51">
        <v>331</v>
      </c>
      <c r="O33" s="51"/>
      <c r="P33" s="51">
        <v>274</v>
      </c>
      <c r="Q33" s="51">
        <v>681</v>
      </c>
      <c r="R33" s="51"/>
      <c r="S33" s="51">
        <v>74</v>
      </c>
      <c r="T33" s="51">
        <v>111</v>
      </c>
      <c r="U33" s="51"/>
      <c r="V33" s="51">
        <v>121</v>
      </c>
      <c r="W33" s="51">
        <v>230</v>
      </c>
      <c r="X33" s="51">
        <v>351</v>
      </c>
      <c r="Y33" s="51">
        <v>163</v>
      </c>
      <c r="Z33" s="51"/>
      <c r="AA33" s="51"/>
      <c r="AB33" s="51">
        <v>67</v>
      </c>
      <c r="AC33" s="51">
        <v>23</v>
      </c>
      <c r="AD33" s="51">
        <v>18</v>
      </c>
      <c r="AE33" s="51">
        <v>7</v>
      </c>
      <c r="AF33" s="51">
        <v>7</v>
      </c>
      <c r="AG33" s="51">
        <v>80</v>
      </c>
      <c r="AH33" s="51">
        <v>113</v>
      </c>
      <c r="AI33" s="51">
        <v>193</v>
      </c>
      <c r="AJ33" s="51">
        <v>3</v>
      </c>
      <c r="AK33" s="51">
        <v>129</v>
      </c>
      <c r="AL33" s="51">
        <v>8</v>
      </c>
      <c r="AM33" s="51">
        <v>19</v>
      </c>
      <c r="AN33" s="51">
        <v>277</v>
      </c>
      <c r="AO33" s="51">
        <v>-570</v>
      </c>
      <c r="AP33" s="52">
        <f>(Q33+0.4*T33-1.07*(V33/(V33+팀수비력!W33))*(Q33-P33)+AK33)/9</f>
        <v>79.60631471785922</v>
      </c>
      <c r="AQ33" s="52">
        <f>(팀수비력!Q33+0.4*팀수비력!T33-1.07*(팀수비력!V33/(팀수비력!V33+팀공격력!W33))*(팀수비력!Q33-팀수비력!P33)+팀수비력!AK33)/9</f>
        <v>79.950273556231011</v>
      </c>
      <c r="AR33" s="53">
        <f t="shared" si="0"/>
        <v>79.778294137045123</v>
      </c>
    </row>
    <row r="34" spans="1:44" x14ac:dyDescent="0.4">
      <c r="A34" s="54" t="s">
        <v>123</v>
      </c>
      <c r="B34" s="48" t="s">
        <v>309</v>
      </c>
      <c r="C34" s="48">
        <v>207</v>
      </c>
      <c r="D34" s="48">
        <v>210</v>
      </c>
      <c r="E34" s="48">
        <v>222</v>
      </c>
      <c r="F34" s="48">
        <v>194</v>
      </c>
      <c r="G34" s="48">
        <v>14</v>
      </c>
      <c r="H34" s="48">
        <v>847</v>
      </c>
      <c r="I34" s="48">
        <v>84.7</v>
      </c>
      <c r="J34" s="48">
        <v>244</v>
      </c>
      <c r="K34" s="48">
        <v>431</v>
      </c>
      <c r="L34" s="48"/>
      <c r="M34" s="48">
        <v>88</v>
      </c>
      <c r="N34" s="48">
        <v>255</v>
      </c>
      <c r="O34" s="48"/>
      <c r="P34" s="48">
        <v>332</v>
      </c>
      <c r="Q34" s="48">
        <v>686</v>
      </c>
      <c r="R34" s="48"/>
      <c r="S34" s="48">
        <v>95</v>
      </c>
      <c r="T34" s="48">
        <v>128</v>
      </c>
      <c r="U34" s="48"/>
      <c r="V34" s="48">
        <v>87</v>
      </c>
      <c r="W34" s="48">
        <v>227</v>
      </c>
      <c r="X34" s="48">
        <v>314</v>
      </c>
      <c r="Y34" s="48">
        <v>146</v>
      </c>
      <c r="Z34" s="48"/>
      <c r="AA34" s="48"/>
      <c r="AB34" s="48">
        <v>75</v>
      </c>
      <c r="AC34" s="48">
        <v>26</v>
      </c>
      <c r="AD34" s="48">
        <v>19</v>
      </c>
      <c r="AE34" s="48">
        <v>25</v>
      </c>
      <c r="AF34" s="48">
        <v>26</v>
      </c>
      <c r="AG34" s="48">
        <v>94</v>
      </c>
      <c r="AH34" s="48">
        <v>124</v>
      </c>
      <c r="AI34" s="48">
        <v>218</v>
      </c>
      <c r="AJ34" s="48">
        <v>2</v>
      </c>
      <c r="AK34" s="48">
        <v>91</v>
      </c>
      <c r="AL34" s="48">
        <v>8</v>
      </c>
      <c r="AM34" s="48">
        <v>40</v>
      </c>
      <c r="AN34" s="48">
        <v>241</v>
      </c>
      <c r="AO34" s="48">
        <v>50</v>
      </c>
      <c r="AP34" s="55">
        <f>(Q34+0.4*T34-1.07*(V34/(V34+팀수비력!W34))*(Q34-P34)+AK34)/9</f>
        <v>81.059527611443784</v>
      </c>
      <c r="AQ34" s="55">
        <f>(팀수비력!Q34+0.4*팀수비력!T34-1.07*(팀수비력!V34/(팀수비력!V34+팀공격력!W34))*(팀수비력!Q34-팀수비력!P34)+팀수비력!AK34)/9</f>
        <v>80.046881824020545</v>
      </c>
      <c r="AR34" s="53">
        <f t="shared" si="0"/>
        <v>80.553204717732172</v>
      </c>
    </row>
    <row r="35" spans="1:44" x14ac:dyDescent="0.4">
      <c r="A35" s="54" t="s">
        <v>145</v>
      </c>
      <c r="B35" s="48" t="s">
        <v>309</v>
      </c>
      <c r="C35" s="48">
        <v>190</v>
      </c>
      <c r="D35" s="48">
        <v>193</v>
      </c>
      <c r="E35" s="48">
        <v>203</v>
      </c>
      <c r="F35" s="48">
        <v>193</v>
      </c>
      <c r="G35" s="48">
        <v>19</v>
      </c>
      <c r="H35" s="48">
        <v>798</v>
      </c>
      <c r="I35" s="48">
        <v>88.67</v>
      </c>
      <c r="J35" s="48">
        <v>222</v>
      </c>
      <c r="K35" s="48">
        <v>404</v>
      </c>
      <c r="L35" s="48"/>
      <c r="M35" s="48">
        <v>77</v>
      </c>
      <c r="N35" s="48">
        <v>224</v>
      </c>
      <c r="O35" s="48"/>
      <c r="P35" s="48">
        <v>299</v>
      </c>
      <c r="Q35" s="48">
        <v>628</v>
      </c>
      <c r="R35" s="48"/>
      <c r="S35" s="48">
        <v>123</v>
      </c>
      <c r="T35" s="48">
        <v>171</v>
      </c>
      <c r="U35" s="48"/>
      <c r="V35" s="48">
        <v>109</v>
      </c>
      <c r="W35" s="48">
        <v>249</v>
      </c>
      <c r="X35" s="48">
        <v>358</v>
      </c>
      <c r="Y35" s="48">
        <v>188</v>
      </c>
      <c r="Z35" s="48"/>
      <c r="AA35" s="48"/>
      <c r="AB35" s="48">
        <v>29</v>
      </c>
      <c r="AC35" s="48">
        <v>24</v>
      </c>
      <c r="AD35" s="48">
        <v>10</v>
      </c>
      <c r="AE35" s="48">
        <v>9</v>
      </c>
      <c r="AF35" s="48">
        <v>9</v>
      </c>
      <c r="AG35" s="48">
        <v>71</v>
      </c>
      <c r="AH35" s="48">
        <v>95</v>
      </c>
      <c r="AI35" s="48">
        <v>166</v>
      </c>
      <c r="AJ35" s="48">
        <v>1</v>
      </c>
      <c r="AK35" s="48">
        <v>98</v>
      </c>
      <c r="AL35" s="48">
        <v>5</v>
      </c>
      <c r="AM35" s="48">
        <v>40</v>
      </c>
      <c r="AN35" s="48">
        <v>147</v>
      </c>
      <c r="AO35" s="48">
        <v>215</v>
      </c>
      <c r="AP35" s="55">
        <f>(Q35+0.4*T35-1.07*(V35/(V35+팀수비력!W35))*(Q35-P35)+AK35)/9</f>
        <v>74.984814814814811</v>
      </c>
      <c r="AQ35" s="55">
        <f>(팀수비력!Q35+0.4*팀수비력!T35-1.07*(팀수비력!V35/(팀수비력!V35+팀공격력!W35))*(팀수비력!Q35-팀수비력!P35)+팀수비력!AK35)/9</f>
        <v>74.818756073858111</v>
      </c>
      <c r="AR35" s="53">
        <f t="shared" ref="AR35:AR66" si="1">0.5*(AP35+AQ35)</f>
        <v>74.901785444336468</v>
      </c>
    </row>
    <row r="36" spans="1:44" x14ac:dyDescent="0.4">
      <c r="A36" s="54" t="s">
        <v>164</v>
      </c>
      <c r="B36" s="48" t="s">
        <v>309</v>
      </c>
      <c r="C36" s="48">
        <v>197</v>
      </c>
      <c r="D36" s="48">
        <v>200</v>
      </c>
      <c r="E36" s="48">
        <v>161</v>
      </c>
      <c r="F36" s="48">
        <v>174</v>
      </c>
      <c r="G36" s="48"/>
      <c r="H36" s="48">
        <v>732</v>
      </c>
      <c r="I36" s="48">
        <v>81.33</v>
      </c>
      <c r="J36" s="48">
        <v>238</v>
      </c>
      <c r="K36" s="48">
        <v>433</v>
      </c>
      <c r="L36" s="48"/>
      <c r="M36" s="48">
        <v>63</v>
      </c>
      <c r="N36" s="48">
        <v>209</v>
      </c>
      <c r="O36" s="48"/>
      <c r="P36" s="48">
        <v>301</v>
      </c>
      <c r="Q36" s="48">
        <v>642</v>
      </c>
      <c r="R36" s="48"/>
      <c r="S36" s="48">
        <v>67</v>
      </c>
      <c r="T36" s="48">
        <v>103</v>
      </c>
      <c r="U36" s="48"/>
      <c r="V36" s="48">
        <v>96</v>
      </c>
      <c r="W36" s="48">
        <v>243</v>
      </c>
      <c r="X36" s="48">
        <v>339</v>
      </c>
      <c r="Y36" s="48">
        <v>180</v>
      </c>
      <c r="Z36" s="48"/>
      <c r="AA36" s="48"/>
      <c r="AB36" s="48">
        <v>85</v>
      </c>
      <c r="AC36" s="48">
        <v>31</v>
      </c>
      <c r="AD36" s="48">
        <v>2</v>
      </c>
      <c r="AE36" s="48">
        <v>11</v>
      </c>
      <c r="AF36" s="48">
        <v>11</v>
      </c>
      <c r="AG36" s="48">
        <v>67</v>
      </c>
      <c r="AH36" s="48">
        <v>92</v>
      </c>
      <c r="AI36" s="48">
        <v>159</v>
      </c>
      <c r="AJ36" s="48"/>
      <c r="AK36" s="48">
        <v>86</v>
      </c>
      <c r="AL36" s="48">
        <v>5</v>
      </c>
      <c r="AM36" s="48">
        <v>64</v>
      </c>
      <c r="AN36" s="48">
        <v>169</v>
      </c>
      <c r="AO36" s="48">
        <v>370</v>
      </c>
      <c r="AP36" s="55">
        <f>(Q36+0.4*T36-1.07*(V36/(V36+팀수비력!W36))*(Q36-P36)+AK36)/9</f>
        <v>73.454485596707826</v>
      </c>
      <c r="AQ36" s="55">
        <f>(팀수비력!Q36+0.4*팀수비력!T36-1.07*(팀수비력!V36/(팀수비력!V36+팀공격력!W36))*(팀수비력!Q36-팀수비력!P36)+팀수비력!AK36)/9</f>
        <v>73.523100303951367</v>
      </c>
      <c r="AR36" s="53">
        <f t="shared" si="1"/>
        <v>73.488792950329596</v>
      </c>
    </row>
    <row r="37" spans="1:44" x14ac:dyDescent="0.4">
      <c r="A37" s="54" t="s">
        <v>183</v>
      </c>
      <c r="B37" s="48" t="s">
        <v>309</v>
      </c>
      <c r="C37" s="48">
        <v>157</v>
      </c>
      <c r="D37" s="48">
        <v>155</v>
      </c>
      <c r="E37" s="48">
        <v>176</v>
      </c>
      <c r="F37" s="48">
        <v>164</v>
      </c>
      <c r="G37" s="48"/>
      <c r="H37" s="48">
        <v>652</v>
      </c>
      <c r="I37" s="48">
        <v>81.5</v>
      </c>
      <c r="J37" s="48">
        <v>178</v>
      </c>
      <c r="K37" s="48">
        <v>364</v>
      </c>
      <c r="L37" s="48"/>
      <c r="M37" s="48">
        <v>57</v>
      </c>
      <c r="N37" s="48">
        <v>190</v>
      </c>
      <c r="O37" s="48"/>
      <c r="P37" s="48">
        <v>235</v>
      </c>
      <c r="Q37" s="48">
        <v>554</v>
      </c>
      <c r="R37" s="48"/>
      <c r="S37" s="48">
        <v>125</v>
      </c>
      <c r="T37" s="48">
        <v>175</v>
      </c>
      <c r="U37" s="48"/>
      <c r="V37" s="48">
        <v>107</v>
      </c>
      <c r="W37" s="48">
        <v>213</v>
      </c>
      <c r="X37" s="48">
        <v>320</v>
      </c>
      <c r="Y37" s="48">
        <v>148</v>
      </c>
      <c r="Z37" s="48"/>
      <c r="AA37" s="48"/>
      <c r="AB37" s="48">
        <v>35</v>
      </c>
      <c r="AC37" s="48">
        <v>18</v>
      </c>
      <c r="AD37" s="48">
        <v>8</v>
      </c>
      <c r="AE37" s="48">
        <v>15</v>
      </c>
      <c r="AF37" s="48">
        <v>15</v>
      </c>
      <c r="AG37" s="48">
        <v>70</v>
      </c>
      <c r="AH37" s="48">
        <v>87</v>
      </c>
      <c r="AI37" s="48">
        <v>157</v>
      </c>
      <c r="AJ37" s="48"/>
      <c r="AK37" s="48">
        <v>97</v>
      </c>
      <c r="AL37" s="48">
        <v>4</v>
      </c>
      <c r="AM37" s="48">
        <v>37</v>
      </c>
      <c r="AN37" s="48">
        <v>207</v>
      </c>
      <c r="AO37" s="48">
        <v>-320</v>
      </c>
      <c r="AP37" s="55">
        <f>(Q37+0.4*T37-1.07*(V37/(V37+팀수비력!W37))*(Q37-P37)+AK37)/9</f>
        <v>67.429753472222217</v>
      </c>
      <c r="AQ37" s="55">
        <f>(팀수비력!Q37+0.4*팀수비력!T37-1.07*(팀수비력!V37/(팀수비력!V37+팀공격력!W37))*(팀수비력!Q37-팀수비력!P37)+팀수비력!AK37)/9</f>
        <v>66.750052410901461</v>
      </c>
      <c r="AR37" s="53">
        <f t="shared" si="1"/>
        <v>67.089902941561832</v>
      </c>
    </row>
    <row r="38" spans="1:44" x14ac:dyDescent="0.4">
      <c r="A38" s="54" t="s">
        <v>203</v>
      </c>
      <c r="B38" s="48" t="s">
        <v>309</v>
      </c>
      <c r="C38" s="48">
        <v>208</v>
      </c>
      <c r="D38" s="48">
        <v>206</v>
      </c>
      <c r="E38" s="48">
        <v>207</v>
      </c>
      <c r="F38" s="48">
        <v>169</v>
      </c>
      <c r="G38" s="48"/>
      <c r="H38" s="48">
        <v>790</v>
      </c>
      <c r="I38" s="48">
        <v>87.78</v>
      </c>
      <c r="J38" s="48">
        <v>199</v>
      </c>
      <c r="K38" s="48">
        <v>369</v>
      </c>
      <c r="L38" s="48"/>
      <c r="M38" s="48">
        <v>99</v>
      </c>
      <c r="N38" s="48">
        <v>280</v>
      </c>
      <c r="O38" s="48"/>
      <c r="P38" s="48">
        <v>298</v>
      </c>
      <c r="Q38" s="48">
        <v>649</v>
      </c>
      <c r="R38" s="48"/>
      <c r="S38" s="48">
        <v>95</v>
      </c>
      <c r="T38" s="48">
        <v>139</v>
      </c>
      <c r="U38" s="48"/>
      <c r="V38" s="48">
        <v>112</v>
      </c>
      <c r="W38" s="48">
        <v>199</v>
      </c>
      <c r="X38" s="48">
        <v>311</v>
      </c>
      <c r="Y38" s="48">
        <v>185</v>
      </c>
      <c r="Z38" s="48"/>
      <c r="AA38" s="48"/>
      <c r="AB38" s="48">
        <v>88</v>
      </c>
      <c r="AC38" s="48">
        <v>15</v>
      </c>
      <c r="AD38" s="48">
        <v>5</v>
      </c>
      <c r="AE38" s="48">
        <v>22</v>
      </c>
      <c r="AF38" s="48">
        <v>23</v>
      </c>
      <c r="AG38" s="48">
        <v>82</v>
      </c>
      <c r="AH38" s="48">
        <v>97</v>
      </c>
      <c r="AI38" s="48">
        <v>179</v>
      </c>
      <c r="AJ38" s="48"/>
      <c r="AK38" s="48">
        <v>96</v>
      </c>
      <c r="AL38" s="48">
        <v>5</v>
      </c>
      <c r="AM38" s="48">
        <v>37</v>
      </c>
      <c r="AN38" s="48">
        <v>210</v>
      </c>
      <c r="AO38" s="48">
        <v>215</v>
      </c>
      <c r="AP38" s="55">
        <f>(Q38+0.4*T38-1.07*(V38/(V38+팀수비력!W38))*(Q38-P38)+AK38)/9</f>
        <v>74.706287262872635</v>
      </c>
      <c r="AQ38" s="55">
        <f>(팀수비력!Q38+0.4*팀수비력!T38-1.07*(팀수비력!V38/(팀수비력!V38+팀공격력!W38))*(팀수비력!Q38-팀수비력!P38)+팀수비력!AK38)/9</f>
        <v>73.896769759450166</v>
      </c>
      <c r="AR38" s="53">
        <f t="shared" si="1"/>
        <v>74.301528511161393</v>
      </c>
    </row>
    <row r="39" spans="1:44" x14ac:dyDescent="0.4">
      <c r="A39" s="54" t="s">
        <v>224</v>
      </c>
      <c r="B39" s="48" t="s">
        <v>309</v>
      </c>
      <c r="C39" s="48">
        <v>183</v>
      </c>
      <c r="D39" s="48">
        <v>180</v>
      </c>
      <c r="E39" s="48">
        <v>177</v>
      </c>
      <c r="F39" s="48">
        <v>177</v>
      </c>
      <c r="G39" s="48"/>
      <c r="H39" s="48">
        <v>717</v>
      </c>
      <c r="I39" s="48">
        <v>79.67</v>
      </c>
      <c r="J39" s="48">
        <v>164</v>
      </c>
      <c r="K39" s="48">
        <v>336</v>
      </c>
      <c r="L39" s="48"/>
      <c r="M39" s="48">
        <v>103</v>
      </c>
      <c r="N39" s="48">
        <v>286</v>
      </c>
      <c r="O39" s="48"/>
      <c r="P39" s="48">
        <v>267</v>
      </c>
      <c r="Q39" s="48">
        <v>622</v>
      </c>
      <c r="R39" s="48"/>
      <c r="S39" s="48">
        <v>80</v>
      </c>
      <c r="T39" s="48">
        <v>105</v>
      </c>
      <c r="U39" s="48"/>
      <c r="V39" s="48">
        <v>95</v>
      </c>
      <c r="W39" s="48">
        <v>195</v>
      </c>
      <c r="X39" s="48">
        <v>290</v>
      </c>
      <c r="Y39" s="48">
        <v>163</v>
      </c>
      <c r="Z39" s="48"/>
      <c r="AA39" s="48"/>
      <c r="AB39" s="48">
        <v>56</v>
      </c>
      <c r="AC39" s="48">
        <v>23</v>
      </c>
      <c r="AD39" s="48">
        <v>8</v>
      </c>
      <c r="AE39" s="48">
        <v>5</v>
      </c>
      <c r="AF39" s="48">
        <v>7</v>
      </c>
      <c r="AG39" s="48">
        <v>75</v>
      </c>
      <c r="AH39" s="48">
        <v>103</v>
      </c>
      <c r="AI39" s="48">
        <v>178</v>
      </c>
      <c r="AJ39" s="48"/>
      <c r="AK39" s="48">
        <v>92</v>
      </c>
      <c r="AL39" s="48">
        <v>6</v>
      </c>
      <c r="AM39" s="48">
        <v>19</v>
      </c>
      <c r="AN39" s="48">
        <v>194</v>
      </c>
      <c r="AO39" s="48">
        <v>-560</v>
      </c>
      <c r="AP39" s="55">
        <f>(Q39+0.4*T39-1.07*(V39/(V39+팀수비력!W39))*(Q39-P39)+AK39)/9</f>
        <v>72.066881613756607</v>
      </c>
      <c r="AQ39" s="55">
        <f>(팀수비력!Q39+0.4*팀수비력!T39-1.07*(팀수비력!V39/(팀수비력!V39+팀공격력!W39))*(팀수비력!Q39-팀수비력!P39)+팀수비력!AK39)/9</f>
        <v>72.965836139169468</v>
      </c>
      <c r="AR39" s="53">
        <f t="shared" si="1"/>
        <v>72.516358876463045</v>
      </c>
    </row>
    <row r="40" spans="1:44" x14ac:dyDescent="0.4">
      <c r="A40" s="54" t="s">
        <v>245</v>
      </c>
      <c r="B40" s="48" t="s">
        <v>309</v>
      </c>
      <c r="C40" s="48">
        <v>184</v>
      </c>
      <c r="D40" s="48">
        <v>184</v>
      </c>
      <c r="E40" s="48">
        <v>170</v>
      </c>
      <c r="F40" s="48">
        <v>170</v>
      </c>
      <c r="G40" s="48"/>
      <c r="H40" s="48">
        <v>708</v>
      </c>
      <c r="I40" s="48">
        <v>88.5</v>
      </c>
      <c r="J40" s="48">
        <v>201</v>
      </c>
      <c r="K40" s="48">
        <v>360</v>
      </c>
      <c r="L40" s="48"/>
      <c r="M40" s="48">
        <v>66</v>
      </c>
      <c r="N40" s="48">
        <v>170</v>
      </c>
      <c r="O40" s="48"/>
      <c r="P40" s="48">
        <v>267</v>
      </c>
      <c r="Q40" s="48">
        <v>530</v>
      </c>
      <c r="R40" s="48"/>
      <c r="S40" s="48">
        <v>108</v>
      </c>
      <c r="T40" s="48">
        <v>143</v>
      </c>
      <c r="U40" s="48"/>
      <c r="V40" s="48">
        <v>81</v>
      </c>
      <c r="W40" s="48">
        <v>196</v>
      </c>
      <c r="X40" s="48">
        <v>277</v>
      </c>
      <c r="Y40" s="48">
        <v>191</v>
      </c>
      <c r="Z40" s="48"/>
      <c r="AA40" s="48"/>
      <c r="AB40" s="48">
        <v>56</v>
      </c>
      <c r="AC40" s="48">
        <v>24</v>
      </c>
      <c r="AD40" s="48">
        <v>6</v>
      </c>
      <c r="AE40" s="48">
        <v>7</v>
      </c>
      <c r="AF40" s="48">
        <v>7</v>
      </c>
      <c r="AG40" s="48">
        <v>78</v>
      </c>
      <c r="AH40" s="48">
        <v>93</v>
      </c>
      <c r="AI40" s="48">
        <v>171</v>
      </c>
      <c r="AJ40" s="48"/>
      <c r="AK40" s="48">
        <v>90</v>
      </c>
      <c r="AL40" s="48">
        <v>8</v>
      </c>
      <c r="AM40" s="48">
        <v>43</v>
      </c>
      <c r="AN40" s="48">
        <v>144</v>
      </c>
      <c r="AO40" s="48">
        <v>175</v>
      </c>
      <c r="AP40" s="55">
        <f>(Q40+0.4*T40-1.07*(V40/(V40+팀수비력!W40))*(Q40-P40)+AK40)/9</f>
        <v>66.940542805100179</v>
      </c>
      <c r="AQ40" s="55">
        <f>(팀수비력!Q40+0.4*팀수비력!T40-1.07*(팀수비력!V40/(팀수비력!V40+팀공격력!W40))*(팀수비력!Q40-팀수비력!P40)+팀수비력!AK40)/9</f>
        <v>79.44127946127945</v>
      </c>
      <c r="AR40" s="53">
        <f t="shared" si="1"/>
        <v>73.190911133189815</v>
      </c>
    </row>
    <row r="41" spans="1:44" x14ac:dyDescent="0.4">
      <c r="A41" s="54" t="s">
        <v>263</v>
      </c>
      <c r="B41" s="48" t="s">
        <v>309</v>
      </c>
      <c r="C41" s="48">
        <v>237</v>
      </c>
      <c r="D41" s="48">
        <v>249</v>
      </c>
      <c r="E41" s="48">
        <v>235</v>
      </c>
      <c r="F41" s="48">
        <v>179</v>
      </c>
      <c r="G41" s="48"/>
      <c r="H41" s="48">
        <v>900</v>
      </c>
      <c r="I41" s="48">
        <v>90</v>
      </c>
      <c r="J41" s="48">
        <v>243</v>
      </c>
      <c r="K41" s="48">
        <v>415</v>
      </c>
      <c r="L41" s="48"/>
      <c r="M41" s="48">
        <v>96</v>
      </c>
      <c r="N41" s="48">
        <v>262</v>
      </c>
      <c r="O41" s="48"/>
      <c r="P41" s="48">
        <v>339</v>
      </c>
      <c r="Q41" s="48">
        <v>677</v>
      </c>
      <c r="R41" s="48"/>
      <c r="S41" s="48">
        <v>126</v>
      </c>
      <c r="T41" s="48">
        <v>165</v>
      </c>
      <c r="U41" s="48"/>
      <c r="V41" s="48">
        <v>88</v>
      </c>
      <c r="W41" s="48">
        <v>268</v>
      </c>
      <c r="X41" s="48">
        <v>356</v>
      </c>
      <c r="Y41" s="48">
        <v>202</v>
      </c>
      <c r="Z41" s="48"/>
      <c r="AA41" s="48"/>
      <c r="AB41" s="48">
        <v>68</v>
      </c>
      <c r="AC41" s="48">
        <v>23</v>
      </c>
      <c r="AD41" s="48">
        <v>2</v>
      </c>
      <c r="AE41" s="48">
        <v>14</v>
      </c>
      <c r="AF41" s="48">
        <v>14</v>
      </c>
      <c r="AG41" s="48">
        <v>63</v>
      </c>
      <c r="AH41" s="48">
        <v>112</v>
      </c>
      <c r="AI41" s="48">
        <v>175</v>
      </c>
      <c r="AJ41" s="48">
        <v>2</v>
      </c>
      <c r="AK41" s="48">
        <v>114</v>
      </c>
      <c r="AL41" s="48">
        <v>6</v>
      </c>
      <c r="AM41" s="48">
        <v>51</v>
      </c>
      <c r="AN41" s="48">
        <v>200</v>
      </c>
      <c r="AO41" s="48">
        <v>370</v>
      </c>
      <c r="AP41" s="55">
        <f>(Q41+0.4*T41-1.07*(V41/(V41+팀수비력!W41))*(Q41-P41)+AK41)/9</f>
        <v>83.888148148148147</v>
      </c>
      <c r="AQ41" s="55">
        <f>(팀수비력!Q41+0.4*팀수비력!T41-1.07*(팀수비력!V41/(팀수비력!V41+팀공격력!W41))*(팀수비력!Q41-팀수비력!P41)+팀수비력!AK41)/9</f>
        <v>83.159259259259258</v>
      </c>
      <c r="AR41" s="53">
        <f t="shared" si="1"/>
        <v>83.523703703703703</v>
      </c>
    </row>
    <row r="42" spans="1:44" x14ac:dyDescent="0.4">
      <c r="A42" s="56" t="s">
        <v>286</v>
      </c>
      <c r="B42" s="57" t="s">
        <v>309</v>
      </c>
      <c r="C42" s="57">
        <v>173</v>
      </c>
      <c r="D42" s="57">
        <v>167</v>
      </c>
      <c r="E42" s="57">
        <v>160</v>
      </c>
      <c r="F42" s="57">
        <v>151</v>
      </c>
      <c r="G42" s="57"/>
      <c r="H42" s="57">
        <v>651</v>
      </c>
      <c r="I42" s="57">
        <v>81.38</v>
      </c>
      <c r="J42" s="57">
        <v>161</v>
      </c>
      <c r="K42" s="57">
        <v>344</v>
      </c>
      <c r="L42" s="57"/>
      <c r="M42" s="57">
        <v>76</v>
      </c>
      <c r="N42" s="57">
        <v>216</v>
      </c>
      <c r="O42" s="57"/>
      <c r="P42" s="57">
        <v>237</v>
      </c>
      <c r="Q42" s="57">
        <v>560</v>
      </c>
      <c r="R42" s="57"/>
      <c r="S42" s="57">
        <v>101</v>
      </c>
      <c r="T42" s="57">
        <v>133</v>
      </c>
      <c r="U42" s="57"/>
      <c r="V42" s="57">
        <v>99</v>
      </c>
      <c r="W42" s="57">
        <v>203</v>
      </c>
      <c r="X42" s="57">
        <v>302</v>
      </c>
      <c r="Y42" s="57">
        <v>137</v>
      </c>
      <c r="Z42" s="57"/>
      <c r="AA42" s="57"/>
      <c r="AB42" s="57">
        <v>51</v>
      </c>
      <c r="AC42" s="57">
        <v>17</v>
      </c>
      <c r="AD42" s="57">
        <v>4</v>
      </c>
      <c r="AE42" s="57">
        <v>1</v>
      </c>
      <c r="AF42" s="57">
        <v>1</v>
      </c>
      <c r="AG42" s="57">
        <v>68</v>
      </c>
      <c r="AH42" s="57">
        <v>87</v>
      </c>
      <c r="AI42" s="57">
        <v>155</v>
      </c>
      <c r="AJ42" s="57">
        <v>1</v>
      </c>
      <c r="AK42" s="57">
        <v>71</v>
      </c>
      <c r="AL42" s="57">
        <v>5</v>
      </c>
      <c r="AM42" s="57">
        <v>39</v>
      </c>
      <c r="AN42" s="57">
        <v>187</v>
      </c>
      <c r="AO42" s="57">
        <v>55</v>
      </c>
      <c r="AP42" s="58">
        <f>(Q42+0.4*T42-1.07*(V42/(V42+팀수비력!W42))*(Q42-P42)+AK42)/9</f>
        <v>63.798074312254386</v>
      </c>
      <c r="AQ42" s="58">
        <f>(팀수비력!Q42+0.4*팀수비력!T42-1.07*(팀수비력!V42/(팀수비력!V42+팀공격력!W42))*(팀수비력!Q42-팀수비력!P42)+팀수비력!AK42)/9</f>
        <v>65.187330135891287</v>
      </c>
      <c r="AR42" s="53">
        <f t="shared" si="1"/>
        <v>64.492702224072843</v>
      </c>
    </row>
    <row r="43" spans="1:44" x14ac:dyDescent="0.4">
      <c r="A43" s="50" t="s">
        <v>99</v>
      </c>
      <c r="B43" s="51" t="s">
        <v>311</v>
      </c>
      <c r="C43" s="51">
        <v>144</v>
      </c>
      <c r="D43" s="51">
        <v>171</v>
      </c>
      <c r="E43" s="51">
        <v>148</v>
      </c>
      <c r="F43" s="51">
        <v>157</v>
      </c>
      <c r="G43" s="51"/>
      <c r="H43" s="51">
        <v>620</v>
      </c>
      <c r="I43" s="51">
        <v>77.5</v>
      </c>
      <c r="J43" s="51">
        <v>149</v>
      </c>
      <c r="K43" s="51">
        <v>268</v>
      </c>
      <c r="L43" s="51"/>
      <c r="M43" s="51">
        <v>81</v>
      </c>
      <c r="N43" s="51">
        <v>269</v>
      </c>
      <c r="O43" s="51"/>
      <c r="P43" s="51">
        <v>230</v>
      </c>
      <c r="Q43" s="51">
        <v>537</v>
      </c>
      <c r="R43" s="51"/>
      <c r="S43" s="51">
        <v>79</v>
      </c>
      <c r="T43" s="51">
        <v>113</v>
      </c>
      <c r="U43" s="51"/>
      <c r="V43" s="51">
        <v>71</v>
      </c>
      <c r="W43" s="51">
        <v>161</v>
      </c>
      <c r="X43" s="51">
        <v>232</v>
      </c>
      <c r="Y43" s="51">
        <v>143</v>
      </c>
      <c r="Z43" s="51"/>
      <c r="AA43" s="51"/>
      <c r="AB43" s="51">
        <v>57</v>
      </c>
      <c r="AC43" s="51">
        <v>17</v>
      </c>
      <c r="AD43" s="51">
        <v>9</v>
      </c>
      <c r="AE43" s="51">
        <v>9</v>
      </c>
      <c r="AF43" s="51">
        <v>9</v>
      </c>
      <c r="AG43" s="51">
        <v>68</v>
      </c>
      <c r="AH43" s="51">
        <v>94</v>
      </c>
      <c r="AI43" s="51">
        <v>162</v>
      </c>
      <c r="AJ43" s="51">
        <v>1</v>
      </c>
      <c r="AK43" s="51">
        <v>83</v>
      </c>
      <c r="AL43" s="51">
        <v>2</v>
      </c>
      <c r="AM43" s="51">
        <v>26</v>
      </c>
      <c r="AN43" s="51">
        <v>219</v>
      </c>
      <c r="AO43" s="51">
        <v>-250</v>
      </c>
      <c r="AP43" s="52">
        <f>(Q43+0.4*T43-1.07*(V43/(V43+팀수비력!W43))*(Q43-P43)+AK43)/9</f>
        <v>64.818405458089671</v>
      </c>
      <c r="AQ43" s="52">
        <f>(팀수비력!Q43+0.4*팀수비력!T43-1.07*(팀수비력!V43/(팀수비력!V43+팀공격력!W43))*(팀수비력!Q43-팀수비력!P43)+팀수비력!AK43)/9</f>
        <v>62.015832217759936</v>
      </c>
      <c r="AR43" s="53">
        <f t="shared" si="1"/>
        <v>63.417118837924804</v>
      </c>
    </row>
    <row r="44" spans="1:44" x14ac:dyDescent="0.4">
      <c r="A44" s="54" t="s">
        <v>123</v>
      </c>
      <c r="B44" s="48" t="s">
        <v>311</v>
      </c>
      <c r="C44" s="48">
        <v>212</v>
      </c>
      <c r="D44" s="48">
        <v>223</v>
      </c>
      <c r="E44" s="48">
        <v>212</v>
      </c>
      <c r="F44" s="48">
        <v>197</v>
      </c>
      <c r="G44" s="48">
        <v>13</v>
      </c>
      <c r="H44" s="48">
        <v>857</v>
      </c>
      <c r="I44" s="48">
        <v>85.7</v>
      </c>
      <c r="J44" s="48">
        <v>212</v>
      </c>
      <c r="K44" s="48">
        <v>389</v>
      </c>
      <c r="L44" s="48"/>
      <c r="M44" s="48">
        <v>102</v>
      </c>
      <c r="N44" s="48">
        <v>259</v>
      </c>
      <c r="O44" s="48"/>
      <c r="P44" s="48">
        <v>314</v>
      </c>
      <c r="Q44" s="48">
        <v>648</v>
      </c>
      <c r="R44" s="48"/>
      <c r="S44" s="48">
        <v>127</v>
      </c>
      <c r="T44" s="48">
        <v>173</v>
      </c>
      <c r="U44" s="48"/>
      <c r="V44" s="48">
        <v>96</v>
      </c>
      <c r="W44" s="48">
        <v>251</v>
      </c>
      <c r="X44" s="48">
        <v>347</v>
      </c>
      <c r="Y44" s="48">
        <v>154</v>
      </c>
      <c r="Z44" s="48"/>
      <c r="AA44" s="48"/>
      <c r="AB44" s="48">
        <v>47</v>
      </c>
      <c r="AC44" s="48">
        <v>17</v>
      </c>
      <c r="AD44" s="48">
        <v>22</v>
      </c>
      <c r="AE44" s="48">
        <v>12</v>
      </c>
      <c r="AF44" s="48">
        <v>13</v>
      </c>
      <c r="AG44" s="48">
        <v>91</v>
      </c>
      <c r="AH44" s="48">
        <v>124</v>
      </c>
      <c r="AI44" s="48">
        <v>215</v>
      </c>
      <c r="AJ44" s="48">
        <v>1</v>
      </c>
      <c r="AK44" s="48">
        <v>101</v>
      </c>
      <c r="AL44" s="48">
        <v>6</v>
      </c>
      <c r="AM44" s="48">
        <v>22</v>
      </c>
      <c r="AN44" s="48">
        <v>220</v>
      </c>
      <c r="AO44" s="48">
        <v>285</v>
      </c>
      <c r="AP44" s="55">
        <f>(Q44+0.4*T44-1.07*(V44/(V44+팀수비력!W44))*(Q44-P44)+AK44)/9</f>
        <v>79.072436162870943</v>
      </c>
      <c r="AQ44" s="55">
        <f>(팀수비력!Q44+0.4*팀수비력!T44-1.07*(팀수비력!V44/(팀수비력!V44+팀공격력!W44))*(팀수비력!Q44-팀수비력!P44)+팀수비력!AK44)/9</f>
        <v>79.648602552131976</v>
      </c>
      <c r="AR44" s="53">
        <f t="shared" si="1"/>
        <v>79.36051935750146</v>
      </c>
    </row>
    <row r="45" spans="1:44" x14ac:dyDescent="0.4">
      <c r="A45" s="54" t="s">
        <v>145</v>
      </c>
      <c r="B45" s="48" t="s">
        <v>311</v>
      </c>
      <c r="C45" s="48">
        <v>220</v>
      </c>
      <c r="D45" s="48">
        <v>219</v>
      </c>
      <c r="E45" s="48">
        <v>223</v>
      </c>
      <c r="F45" s="48">
        <v>232</v>
      </c>
      <c r="G45" s="48">
        <v>11</v>
      </c>
      <c r="H45" s="48">
        <v>905</v>
      </c>
      <c r="I45" s="48">
        <v>90.5</v>
      </c>
      <c r="J45" s="48">
        <v>229</v>
      </c>
      <c r="K45" s="48">
        <v>421</v>
      </c>
      <c r="L45" s="48"/>
      <c r="M45" s="48">
        <v>97</v>
      </c>
      <c r="N45" s="48">
        <v>254</v>
      </c>
      <c r="O45" s="48"/>
      <c r="P45" s="48">
        <v>326</v>
      </c>
      <c r="Q45" s="48">
        <v>675</v>
      </c>
      <c r="R45" s="48"/>
      <c r="S45" s="48">
        <v>156</v>
      </c>
      <c r="T45" s="48">
        <v>194</v>
      </c>
      <c r="U45" s="48"/>
      <c r="V45" s="48">
        <v>87</v>
      </c>
      <c r="W45" s="48">
        <v>264</v>
      </c>
      <c r="X45" s="48">
        <v>351</v>
      </c>
      <c r="Y45" s="48">
        <v>194</v>
      </c>
      <c r="Z45" s="48"/>
      <c r="AA45" s="48"/>
      <c r="AB45" s="48">
        <v>44</v>
      </c>
      <c r="AC45" s="48">
        <v>29</v>
      </c>
      <c r="AD45" s="48">
        <v>12</v>
      </c>
      <c r="AE45" s="48">
        <v>5</v>
      </c>
      <c r="AF45" s="48">
        <v>6</v>
      </c>
      <c r="AG45" s="48">
        <v>67</v>
      </c>
      <c r="AH45" s="48">
        <v>104</v>
      </c>
      <c r="AI45" s="48">
        <v>171</v>
      </c>
      <c r="AJ45" s="48">
        <v>1</v>
      </c>
      <c r="AK45" s="48">
        <v>88</v>
      </c>
      <c r="AL45" s="48">
        <v>1</v>
      </c>
      <c r="AM45" s="48">
        <v>53</v>
      </c>
      <c r="AN45" s="48">
        <v>146</v>
      </c>
      <c r="AO45" s="48">
        <v>225</v>
      </c>
      <c r="AP45" s="55">
        <f>(Q45+0.4*T45-1.07*(V45/(V45+팀수비력!W45))*(Q45-P45)+AK45)/9</f>
        <v>82.154444444444437</v>
      </c>
      <c r="AQ45" s="55">
        <f>(팀수비력!Q45+0.4*팀수비력!T45-1.07*(팀수비력!V45/(팀수비력!V45+팀공격력!W45))*(팀수비력!Q45-팀수비력!P45)+팀수비력!AK45)/9</f>
        <v>83.114930555555546</v>
      </c>
      <c r="AR45" s="53">
        <f t="shared" si="1"/>
        <v>82.634687499999984</v>
      </c>
    </row>
    <row r="46" spans="1:44" x14ac:dyDescent="0.4">
      <c r="A46" s="54" t="s">
        <v>164</v>
      </c>
      <c r="B46" s="48" t="s">
        <v>311</v>
      </c>
      <c r="C46" s="48">
        <v>199</v>
      </c>
      <c r="D46" s="48">
        <v>200</v>
      </c>
      <c r="E46" s="48">
        <v>198</v>
      </c>
      <c r="F46" s="48">
        <v>186</v>
      </c>
      <c r="G46" s="48"/>
      <c r="H46" s="48">
        <v>783</v>
      </c>
      <c r="I46" s="48">
        <v>78.3</v>
      </c>
      <c r="J46" s="48">
        <v>238</v>
      </c>
      <c r="K46" s="48">
        <v>487</v>
      </c>
      <c r="L46" s="48"/>
      <c r="M46" s="48">
        <v>68</v>
      </c>
      <c r="N46" s="48">
        <v>211</v>
      </c>
      <c r="O46" s="48"/>
      <c r="P46" s="48">
        <v>306</v>
      </c>
      <c r="Q46" s="48">
        <v>698</v>
      </c>
      <c r="R46" s="48"/>
      <c r="S46" s="48">
        <v>103</v>
      </c>
      <c r="T46" s="48">
        <v>145</v>
      </c>
      <c r="U46" s="48"/>
      <c r="V46" s="48">
        <v>118</v>
      </c>
      <c r="W46" s="48">
        <v>263</v>
      </c>
      <c r="X46" s="48">
        <v>381</v>
      </c>
      <c r="Y46" s="48">
        <v>172</v>
      </c>
      <c r="Z46" s="48"/>
      <c r="AA46" s="48"/>
      <c r="AB46" s="48">
        <v>55</v>
      </c>
      <c r="AC46" s="48">
        <v>27</v>
      </c>
      <c r="AD46" s="48">
        <v>8</v>
      </c>
      <c r="AE46" s="48">
        <v>9</v>
      </c>
      <c r="AF46" s="48">
        <v>9</v>
      </c>
      <c r="AG46" s="48">
        <v>87</v>
      </c>
      <c r="AH46" s="48">
        <v>115</v>
      </c>
      <c r="AI46" s="48">
        <v>202</v>
      </c>
      <c r="AJ46" s="48">
        <v>2</v>
      </c>
      <c r="AK46" s="48">
        <v>86</v>
      </c>
      <c r="AL46" s="48">
        <v>8</v>
      </c>
      <c r="AM46" s="48">
        <v>50</v>
      </c>
      <c r="AN46" s="48">
        <v>185</v>
      </c>
      <c r="AO46" s="48">
        <v>85</v>
      </c>
      <c r="AP46" s="55">
        <f>(Q46+0.4*T46-1.07*(V46/(V46+팀수비력!W46))*(Q46-P46)+AK46)/9</f>
        <v>78.488913242009119</v>
      </c>
      <c r="AQ46" s="55">
        <f>(팀수비력!Q46+0.4*팀수비력!T46-1.07*(팀수비력!V46/(팀수비력!V46+팀공격력!W46))*(팀수비력!Q46-팀수비력!P46)+팀수비력!AK46)/9</f>
        <v>78.54466109563603</v>
      </c>
      <c r="AR46" s="53">
        <f t="shared" si="1"/>
        <v>78.516787168822574</v>
      </c>
    </row>
    <row r="47" spans="1:44" x14ac:dyDescent="0.4">
      <c r="A47" s="54" t="s">
        <v>183</v>
      </c>
      <c r="B47" s="48" t="s">
        <v>311</v>
      </c>
      <c r="C47" s="48">
        <v>180</v>
      </c>
      <c r="D47" s="48">
        <v>159</v>
      </c>
      <c r="E47" s="48">
        <v>155</v>
      </c>
      <c r="F47" s="48">
        <v>166</v>
      </c>
      <c r="G47" s="48"/>
      <c r="H47" s="48">
        <v>660</v>
      </c>
      <c r="I47" s="48">
        <v>73.33</v>
      </c>
      <c r="J47" s="48">
        <v>197</v>
      </c>
      <c r="K47" s="48">
        <v>401</v>
      </c>
      <c r="L47" s="48"/>
      <c r="M47" s="48">
        <v>59</v>
      </c>
      <c r="N47" s="48">
        <v>243</v>
      </c>
      <c r="O47" s="48"/>
      <c r="P47" s="48">
        <v>256</v>
      </c>
      <c r="Q47" s="48">
        <v>644</v>
      </c>
      <c r="R47" s="48"/>
      <c r="S47" s="48">
        <v>89</v>
      </c>
      <c r="T47" s="48">
        <v>116</v>
      </c>
      <c r="U47" s="48"/>
      <c r="V47" s="48">
        <v>104</v>
      </c>
      <c r="W47" s="48">
        <v>205</v>
      </c>
      <c r="X47" s="48">
        <v>309</v>
      </c>
      <c r="Y47" s="48">
        <v>135</v>
      </c>
      <c r="Z47" s="48"/>
      <c r="AA47" s="48"/>
      <c r="AB47" s="48">
        <v>50</v>
      </c>
      <c r="AC47" s="48">
        <v>14</v>
      </c>
      <c r="AD47" s="48">
        <v>5</v>
      </c>
      <c r="AE47" s="48">
        <v>14</v>
      </c>
      <c r="AF47" s="48">
        <v>15</v>
      </c>
      <c r="AG47" s="48">
        <v>92</v>
      </c>
      <c r="AH47" s="48">
        <v>90</v>
      </c>
      <c r="AI47" s="48">
        <v>182</v>
      </c>
      <c r="AJ47" s="48"/>
      <c r="AK47" s="48">
        <v>92</v>
      </c>
      <c r="AL47" s="48">
        <v>4</v>
      </c>
      <c r="AM47" s="48">
        <v>28</v>
      </c>
      <c r="AN47" s="48">
        <v>258</v>
      </c>
      <c r="AO47" s="48">
        <v>-970</v>
      </c>
      <c r="AP47" s="55" t="e">
        <f>(Q47+0.4*T47-1.07*(V47/(V47+팀수비력!#REF!))*(Q47-P47)+AK47)/9</f>
        <v>#REF!</v>
      </c>
      <c r="AQ47" s="55" t="e">
        <f>(팀수비력!#REF!+0.4*팀수비력!#REF!-1.07*(팀수비력!#REF!/(팀수비력!#REF!+팀공격력!W47))*(팀수비력!#REF!-팀수비력!#REF!)+팀수비력!#REF!)/9</f>
        <v>#REF!</v>
      </c>
      <c r="AR47" s="53" t="e">
        <f t="shared" si="1"/>
        <v>#REF!</v>
      </c>
    </row>
    <row r="48" spans="1:44" x14ac:dyDescent="0.4">
      <c r="A48" s="54" t="s">
        <v>203</v>
      </c>
      <c r="B48" s="48" t="s">
        <v>311</v>
      </c>
      <c r="C48" s="48">
        <v>213</v>
      </c>
      <c r="D48" s="48">
        <v>176</v>
      </c>
      <c r="E48" s="48">
        <v>192</v>
      </c>
      <c r="F48" s="48">
        <v>179</v>
      </c>
      <c r="G48" s="48"/>
      <c r="H48" s="48">
        <v>760</v>
      </c>
      <c r="I48" s="48">
        <v>84.44</v>
      </c>
      <c r="J48" s="48">
        <v>220</v>
      </c>
      <c r="K48" s="48">
        <v>401</v>
      </c>
      <c r="L48" s="48"/>
      <c r="M48" s="48">
        <v>81</v>
      </c>
      <c r="N48" s="48">
        <v>235</v>
      </c>
      <c r="O48" s="48"/>
      <c r="P48" s="48">
        <v>301</v>
      </c>
      <c r="Q48" s="48">
        <v>636</v>
      </c>
      <c r="R48" s="48"/>
      <c r="S48" s="48">
        <v>77</v>
      </c>
      <c r="T48" s="48">
        <v>118</v>
      </c>
      <c r="U48" s="48"/>
      <c r="V48" s="48">
        <v>102</v>
      </c>
      <c r="W48" s="48">
        <v>250</v>
      </c>
      <c r="X48" s="48">
        <v>352</v>
      </c>
      <c r="Y48" s="48">
        <v>162</v>
      </c>
      <c r="Z48" s="48"/>
      <c r="AA48" s="48"/>
      <c r="AB48" s="48">
        <v>68</v>
      </c>
      <c r="AC48" s="48">
        <v>18</v>
      </c>
      <c r="AD48" s="48">
        <v>9</v>
      </c>
      <c r="AE48" s="48">
        <v>21</v>
      </c>
      <c r="AF48" s="48">
        <v>23</v>
      </c>
      <c r="AG48" s="48">
        <v>88</v>
      </c>
      <c r="AH48" s="48">
        <v>94</v>
      </c>
      <c r="AI48" s="48">
        <v>182</v>
      </c>
      <c r="AJ48" s="48">
        <v>3</v>
      </c>
      <c r="AK48" s="48">
        <v>92</v>
      </c>
      <c r="AL48" s="48">
        <v>8</v>
      </c>
      <c r="AM48" s="48">
        <v>40</v>
      </c>
      <c r="AN48" s="48">
        <v>148</v>
      </c>
      <c r="AO48" s="48">
        <v>340</v>
      </c>
      <c r="AP48" s="55">
        <f>(Q48+0.4*T48-1.07*(V48/(V48+팀수비력!W48))*(Q48-P48)+AK48)/9</f>
        <v>72.857407407407408</v>
      </c>
      <c r="AQ48" s="55">
        <f>(팀수비력!Q48+0.4*팀수비력!T48-1.07*(팀수비력!V48/(팀수비력!V48+팀공격력!W48))*(팀수비력!Q48-팀수비력!P48)+팀수비력!AK48)/9</f>
        <v>73.530070648683377</v>
      </c>
      <c r="AR48" s="53">
        <f t="shared" si="1"/>
        <v>73.1937390280454</v>
      </c>
    </row>
    <row r="49" spans="1:44" x14ac:dyDescent="0.4">
      <c r="A49" s="54" t="s">
        <v>224</v>
      </c>
      <c r="B49" s="48" t="s">
        <v>311</v>
      </c>
      <c r="C49" s="48">
        <v>184</v>
      </c>
      <c r="D49" s="48">
        <v>166</v>
      </c>
      <c r="E49" s="48">
        <v>156</v>
      </c>
      <c r="F49" s="48">
        <v>182</v>
      </c>
      <c r="G49" s="48"/>
      <c r="H49" s="48">
        <v>688</v>
      </c>
      <c r="I49" s="48">
        <v>86</v>
      </c>
      <c r="J49" s="48">
        <v>165</v>
      </c>
      <c r="K49" s="48">
        <v>316</v>
      </c>
      <c r="L49" s="48"/>
      <c r="M49" s="48">
        <v>87</v>
      </c>
      <c r="N49" s="48">
        <v>241</v>
      </c>
      <c r="O49" s="48"/>
      <c r="P49" s="48">
        <v>252</v>
      </c>
      <c r="Q49" s="48">
        <v>557</v>
      </c>
      <c r="R49" s="48"/>
      <c r="S49" s="48">
        <v>97</v>
      </c>
      <c r="T49" s="48">
        <v>129</v>
      </c>
      <c r="U49" s="48"/>
      <c r="V49" s="48">
        <v>77</v>
      </c>
      <c r="W49" s="48">
        <v>187</v>
      </c>
      <c r="X49" s="48">
        <v>264</v>
      </c>
      <c r="Y49" s="48">
        <v>126</v>
      </c>
      <c r="Z49" s="48"/>
      <c r="AA49" s="48"/>
      <c r="AB49" s="48">
        <v>54</v>
      </c>
      <c r="AC49" s="48">
        <v>19</v>
      </c>
      <c r="AD49" s="48">
        <v>4</v>
      </c>
      <c r="AE49" s="48">
        <v>2</v>
      </c>
      <c r="AF49" s="48">
        <v>2</v>
      </c>
      <c r="AG49" s="48">
        <v>66</v>
      </c>
      <c r="AH49" s="48">
        <v>78</v>
      </c>
      <c r="AI49" s="48">
        <v>144</v>
      </c>
      <c r="AJ49" s="48"/>
      <c r="AK49" s="48">
        <v>58</v>
      </c>
      <c r="AL49" s="48">
        <v>10</v>
      </c>
      <c r="AM49" s="48">
        <v>19</v>
      </c>
      <c r="AN49" s="48">
        <v>170</v>
      </c>
      <c r="AO49" s="48">
        <v>-90</v>
      </c>
      <c r="AP49" s="55">
        <f>(Q49+0.4*T49-1.07*(V49/(V49+팀수비력!W49))*(Q49-P49)+AK49)/9</f>
        <v>64.26980506822612</v>
      </c>
      <c r="AQ49" s="55">
        <f>(팀수비력!Q49+0.4*팀수비력!T49-1.07*(팀수비력!V49/(팀수비력!V49+팀공격력!W49))*(팀수비력!Q49-팀수비력!P49)+팀수비력!AK49)/9</f>
        <v>64.958527777777775</v>
      </c>
      <c r="AR49" s="53">
        <f t="shared" si="1"/>
        <v>64.614166423001947</v>
      </c>
    </row>
    <row r="50" spans="1:44" x14ac:dyDescent="0.4">
      <c r="A50" s="54" t="s">
        <v>245</v>
      </c>
      <c r="B50" s="48" t="s">
        <v>311</v>
      </c>
      <c r="C50" s="48">
        <v>200</v>
      </c>
      <c r="D50" s="48">
        <v>223</v>
      </c>
      <c r="E50" s="48">
        <v>191</v>
      </c>
      <c r="F50" s="48">
        <v>220</v>
      </c>
      <c r="G50" s="48"/>
      <c r="H50" s="48">
        <v>834</v>
      </c>
      <c r="I50" s="48">
        <v>92.67</v>
      </c>
      <c r="J50" s="48">
        <v>235</v>
      </c>
      <c r="K50" s="48">
        <v>442</v>
      </c>
      <c r="L50" s="48"/>
      <c r="M50" s="48">
        <v>78</v>
      </c>
      <c r="N50" s="48">
        <v>221</v>
      </c>
      <c r="O50" s="48"/>
      <c r="P50" s="48">
        <v>313</v>
      </c>
      <c r="Q50" s="48">
        <v>663</v>
      </c>
      <c r="R50" s="48"/>
      <c r="S50" s="48">
        <v>130</v>
      </c>
      <c r="T50" s="48">
        <v>183</v>
      </c>
      <c r="U50" s="48"/>
      <c r="V50" s="48">
        <v>129</v>
      </c>
      <c r="W50" s="48">
        <v>218</v>
      </c>
      <c r="X50" s="48">
        <v>347</v>
      </c>
      <c r="Y50" s="48">
        <v>199</v>
      </c>
      <c r="Z50" s="48"/>
      <c r="AA50" s="48"/>
      <c r="AB50" s="48">
        <v>64</v>
      </c>
      <c r="AC50" s="48">
        <v>17</v>
      </c>
      <c r="AD50" s="48">
        <v>4</v>
      </c>
      <c r="AE50" s="48">
        <v>18</v>
      </c>
      <c r="AF50" s="48">
        <v>19</v>
      </c>
      <c r="AG50" s="48">
        <v>82</v>
      </c>
      <c r="AH50" s="48">
        <v>98</v>
      </c>
      <c r="AI50" s="48">
        <v>180</v>
      </c>
      <c r="AJ50" s="48">
        <v>1</v>
      </c>
      <c r="AK50" s="48">
        <v>101</v>
      </c>
      <c r="AL50" s="48">
        <v>2</v>
      </c>
      <c r="AM50" s="48">
        <v>47</v>
      </c>
      <c r="AN50" s="48">
        <v>174</v>
      </c>
      <c r="AO50" s="48">
        <v>105</v>
      </c>
      <c r="AP50" s="55">
        <f>(Q50+0.4*T50-1.07*(V50/(V50+팀수비력!W50))*(Q50-P50)+AK50)/9</f>
        <v>76.656876693766947</v>
      </c>
      <c r="AQ50" s="55">
        <f>(팀수비력!Q50+0.4*팀수비력!T50-1.07*(팀수비력!V50/(팀수비력!V50+팀공격력!W50))*(팀수비력!Q50-팀수비력!P50)+팀수비력!AK50)/9</f>
        <v>64.834256944444448</v>
      </c>
      <c r="AR50" s="53">
        <f t="shared" si="1"/>
        <v>70.745566819105704</v>
      </c>
    </row>
    <row r="51" spans="1:44" x14ac:dyDescent="0.4">
      <c r="A51" s="54" t="s">
        <v>263</v>
      </c>
      <c r="B51" s="48" t="s">
        <v>311</v>
      </c>
      <c r="C51" s="48">
        <v>181</v>
      </c>
      <c r="D51" s="48">
        <v>176</v>
      </c>
      <c r="E51" s="48">
        <v>172</v>
      </c>
      <c r="F51" s="48">
        <v>172</v>
      </c>
      <c r="G51" s="48"/>
      <c r="H51" s="48">
        <v>701</v>
      </c>
      <c r="I51" s="48">
        <v>87.63</v>
      </c>
      <c r="J51" s="48">
        <v>182</v>
      </c>
      <c r="K51" s="48">
        <v>331</v>
      </c>
      <c r="L51" s="48"/>
      <c r="M51" s="48">
        <v>83</v>
      </c>
      <c r="N51" s="48">
        <v>222</v>
      </c>
      <c r="O51" s="48"/>
      <c r="P51" s="48">
        <v>265</v>
      </c>
      <c r="Q51" s="48">
        <v>553</v>
      </c>
      <c r="R51" s="48"/>
      <c r="S51" s="48">
        <v>88</v>
      </c>
      <c r="T51" s="48">
        <v>130</v>
      </c>
      <c r="U51" s="48"/>
      <c r="V51" s="48">
        <v>84</v>
      </c>
      <c r="W51" s="48">
        <v>201</v>
      </c>
      <c r="X51" s="48">
        <v>285</v>
      </c>
      <c r="Y51" s="48">
        <v>165</v>
      </c>
      <c r="Z51" s="48"/>
      <c r="AA51" s="48"/>
      <c r="AB51" s="48">
        <v>44</v>
      </c>
      <c r="AC51" s="48">
        <v>21</v>
      </c>
      <c r="AD51" s="48">
        <v>6</v>
      </c>
      <c r="AE51" s="48">
        <v>16</v>
      </c>
      <c r="AF51" s="48">
        <v>17</v>
      </c>
      <c r="AG51" s="48">
        <v>52</v>
      </c>
      <c r="AH51" s="48">
        <v>90</v>
      </c>
      <c r="AI51" s="48">
        <v>142</v>
      </c>
      <c r="AJ51" s="48">
        <v>1</v>
      </c>
      <c r="AK51" s="48">
        <v>72</v>
      </c>
      <c r="AL51" s="48">
        <v>2</v>
      </c>
      <c r="AM51" s="48">
        <v>35</v>
      </c>
      <c r="AN51" s="48">
        <v>150</v>
      </c>
      <c r="AO51" s="48">
        <v>195</v>
      </c>
      <c r="AP51" s="55">
        <f>(Q51+0.4*T51-1.07*(V51/(V51+팀수비력!W51))*(Q51-P51)+AK51)/9</f>
        <v>65.059112681586186</v>
      </c>
      <c r="AQ51" s="55">
        <f>(팀수비력!Q51+0.4*팀수비력!T51-1.07*(팀수비력!V51/(팀수비력!V51+팀공격력!W51))*(팀수비력!Q51-팀수비력!P51)+팀수비력!AK51)/9</f>
        <v>64.130495049504944</v>
      </c>
      <c r="AR51" s="53">
        <f t="shared" si="1"/>
        <v>64.594803865545572</v>
      </c>
    </row>
    <row r="52" spans="1:44" x14ac:dyDescent="0.4">
      <c r="A52" s="56" t="s">
        <v>286</v>
      </c>
      <c r="B52" s="57" t="s">
        <v>311</v>
      </c>
      <c r="C52" s="57">
        <v>185</v>
      </c>
      <c r="D52" s="57">
        <v>211</v>
      </c>
      <c r="E52" s="57">
        <v>176</v>
      </c>
      <c r="F52" s="57">
        <v>152</v>
      </c>
      <c r="G52" s="57"/>
      <c r="H52" s="57">
        <v>724</v>
      </c>
      <c r="I52" s="57">
        <v>80.44</v>
      </c>
      <c r="J52" s="57">
        <v>189</v>
      </c>
      <c r="K52" s="57">
        <v>363</v>
      </c>
      <c r="L52" s="57"/>
      <c r="M52" s="57">
        <v>85</v>
      </c>
      <c r="N52" s="57">
        <v>230</v>
      </c>
      <c r="O52" s="57"/>
      <c r="P52" s="57">
        <v>274</v>
      </c>
      <c r="Q52" s="57">
        <v>593</v>
      </c>
      <c r="R52" s="57"/>
      <c r="S52" s="57">
        <v>91</v>
      </c>
      <c r="T52" s="57">
        <v>135</v>
      </c>
      <c r="U52" s="57"/>
      <c r="V52" s="57">
        <v>86</v>
      </c>
      <c r="W52" s="57">
        <v>212</v>
      </c>
      <c r="X52" s="57">
        <v>298</v>
      </c>
      <c r="Y52" s="57">
        <v>163</v>
      </c>
      <c r="Z52" s="57"/>
      <c r="AA52" s="57"/>
      <c r="AB52" s="57">
        <v>52</v>
      </c>
      <c r="AC52" s="57">
        <v>18</v>
      </c>
      <c r="AD52" s="57">
        <v>7</v>
      </c>
      <c r="AE52" s="57">
        <v>3</v>
      </c>
      <c r="AF52" s="57">
        <v>3</v>
      </c>
      <c r="AG52" s="57">
        <v>91</v>
      </c>
      <c r="AH52" s="57">
        <v>106</v>
      </c>
      <c r="AI52" s="57">
        <v>197</v>
      </c>
      <c r="AJ52" s="57">
        <v>2</v>
      </c>
      <c r="AK52" s="57">
        <v>73</v>
      </c>
      <c r="AL52" s="57">
        <v>6</v>
      </c>
      <c r="AM52" s="57">
        <v>42</v>
      </c>
      <c r="AN52" s="57">
        <v>222</v>
      </c>
      <c r="AO52" s="57">
        <v>75</v>
      </c>
      <c r="AP52" s="58">
        <f>(Q52+0.4*T52-1.07*(V52/(V52+팀수비력!W52))*(Q52-P52)+AK52)/9</f>
        <v>69.235650898423174</v>
      </c>
      <c r="AQ52" s="58">
        <f>(팀수비력!Q52+0.4*팀수비력!T52-1.07*(팀수비력!V52/(팀수비력!V52+팀공격력!W52))*(팀수비력!Q52-팀수비력!P52)+팀수비력!AK52)/9</f>
        <v>70.400326365969931</v>
      </c>
      <c r="AR52" s="53">
        <f t="shared" si="1"/>
        <v>69.817988632196545</v>
      </c>
    </row>
    <row r="53" spans="1:44" x14ac:dyDescent="0.4">
      <c r="A53" s="50" t="s">
        <v>99</v>
      </c>
      <c r="B53" s="51" t="s">
        <v>312</v>
      </c>
      <c r="C53" s="51">
        <v>229</v>
      </c>
      <c r="D53" s="51">
        <v>208</v>
      </c>
      <c r="E53" s="51">
        <v>191</v>
      </c>
      <c r="F53" s="51">
        <v>183</v>
      </c>
      <c r="G53" s="51"/>
      <c r="H53" s="51">
        <v>811</v>
      </c>
      <c r="I53" s="51">
        <v>81.099999999999994</v>
      </c>
      <c r="J53" s="51">
        <v>177</v>
      </c>
      <c r="K53" s="51">
        <v>324</v>
      </c>
      <c r="L53" s="51"/>
      <c r="M53" s="51">
        <v>111</v>
      </c>
      <c r="N53" s="51">
        <v>359</v>
      </c>
      <c r="O53" s="51"/>
      <c r="P53" s="51">
        <v>288</v>
      </c>
      <c r="Q53" s="51">
        <v>683</v>
      </c>
      <c r="R53" s="51"/>
      <c r="S53" s="51">
        <v>124</v>
      </c>
      <c r="T53" s="51">
        <v>160</v>
      </c>
      <c r="U53" s="51"/>
      <c r="V53" s="51">
        <v>91</v>
      </c>
      <c r="W53" s="51">
        <v>202</v>
      </c>
      <c r="X53" s="51">
        <v>293</v>
      </c>
      <c r="Y53" s="51">
        <v>168</v>
      </c>
      <c r="Z53" s="51"/>
      <c r="AA53" s="51"/>
      <c r="AB53" s="51">
        <v>72</v>
      </c>
      <c r="AC53" s="51">
        <v>11</v>
      </c>
      <c r="AD53" s="51">
        <v>12</v>
      </c>
      <c r="AE53" s="51">
        <v>7</v>
      </c>
      <c r="AF53" s="51">
        <v>7</v>
      </c>
      <c r="AG53" s="51">
        <v>102</v>
      </c>
      <c r="AH53" s="51">
        <v>105</v>
      </c>
      <c r="AI53" s="51">
        <v>207</v>
      </c>
      <c r="AJ53" s="51">
        <v>2</v>
      </c>
      <c r="AK53" s="51">
        <v>103</v>
      </c>
      <c r="AL53" s="51">
        <v>4</v>
      </c>
      <c r="AM53" s="51">
        <v>36</v>
      </c>
      <c r="AN53" s="51">
        <v>265</v>
      </c>
      <c r="AO53" s="51">
        <v>-445</v>
      </c>
      <c r="AP53" s="52">
        <f>(Q53+0.4*T53-1.07*(V53/(V53+팀수비력!W53))*(Q53-P53)+AK53)/9</f>
        <v>82.987444146559426</v>
      </c>
      <c r="AQ53" s="52">
        <f>(팀수비력!Q53+0.4*팀수비력!T53-1.07*(팀수비력!V53/(팀수비력!V53+팀공격력!W53))*(팀수비력!Q53-팀수비력!P53)+팀수비력!AK53)/9</f>
        <v>81.331795150199056</v>
      </c>
      <c r="AR53" s="53">
        <f t="shared" si="1"/>
        <v>82.159619648379248</v>
      </c>
    </row>
    <row r="54" spans="1:44" x14ac:dyDescent="0.4">
      <c r="A54" s="54" t="s">
        <v>123</v>
      </c>
      <c r="B54" s="48" t="s">
        <v>312</v>
      </c>
      <c r="C54" s="48">
        <v>197</v>
      </c>
      <c r="D54" s="48">
        <v>151</v>
      </c>
      <c r="E54" s="48">
        <v>187</v>
      </c>
      <c r="F54" s="48">
        <v>175</v>
      </c>
      <c r="G54" s="48"/>
      <c r="H54" s="48">
        <v>710</v>
      </c>
      <c r="I54" s="48">
        <v>78.89</v>
      </c>
      <c r="J54" s="48">
        <v>184</v>
      </c>
      <c r="K54" s="48">
        <v>347</v>
      </c>
      <c r="L54" s="48"/>
      <c r="M54" s="48">
        <v>77</v>
      </c>
      <c r="N54" s="48">
        <v>235</v>
      </c>
      <c r="O54" s="48"/>
      <c r="P54" s="48">
        <v>261</v>
      </c>
      <c r="Q54" s="48">
        <v>582</v>
      </c>
      <c r="R54" s="48"/>
      <c r="S54" s="48">
        <v>111</v>
      </c>
      <c r="T54" s="48">
        <v>159</v>
      </c>
      <c r="U54" s="48"/>
      <c r="V54" s="48">
        <v>87</v>
      </c>
      <c r="W54" s="48">
        <v>208</v>
      </c>
      <c r="X54" s="48">
        <v>295</v>
      </c>
      <c r="Y54" s="48">
        <v>133</v>
      </c>
      <c r="Z54" s="48"/>
      <c r="AA54" s="48"/>
      <c r="AB54" s="48">
        <v>66</v>
      </c>
      <c r="AC54" s="48">
        <v>24</v>
      </c>
      <c r="AD54" s="48">
        <v>18</v>
      </c>
      <c r="AE54" s="48">
        <v>10</v>
      </c>
      <c r="AF54" s="48">
        <v>12</v>
      </c>
      <c r="AG54" s="48">
        <v>78</v>
      </c>
      <c r="AH54" s="48">
        <v>108</v>
      </c>
      <c r="AI54" s="48">
        <v>186</v>
      </c>
      <c r="AJ54" s="48">
        <v>1</v>
      </c>
      <c r="AK54" s="48">
        <v>79</v>
      </c>
      <c r="AL54" s="48">
        <v>6</v>
      </c>
      <c r="AM54" s="48">
        <v>21</v>
      </c>
      <c r="AN54" s="48">
        <v>188</v>
      </c>
      <c r="AO54" s="48">
        <v>120</v>
      </c>
      <c r="AP54" s="55">
        <f>(Q54+0.4*T54-1.07*(V54/(V54+팀수비력!W54))*(Q54-P54)+AK54)/9</f>
        <v>69.331952861952857</v>
      </c>
      <c r="AQ54" s="55">
        <f>(팀수비력!Q54+0.4*팀수비력!T54-1.07*(팀수비력!V54/(팀수비력!V54+팀공격력!W54))*(팀수비력!Q54-팀수비력!P54)+팀수비력!AK54)/9</f>
        <v>70.037448275862062</v>
      </c>
      <c r="AR54" s="53">
        <f t="shared" si="1"/>
        <v>69.684700568907459</v>
      </c>
    </row>
    <row r="55" spans="1:44" x14ac:dyDescent="0.4">
      <c r="A55" s="54" t="s">
        <v>145</v>
      </c>
      <c r="B55" s="48" t="s">
        <v>312</v>
      </c>
      <c r="C55" s="48">
        <v>210</v>
      </c>
      <c r="D55" s="48">
        <v>225</v>
      </c>
      <c r="E55" s="48">
        <v>202</v>
      </c>
      <c r="F55" s="48">
        <v>209</v>
      </c>
      <c r="G55" s="48">
        <v>13</v>
      </c>
      <c r="H55" s="48">
        <v>859</v>
      </c>
      <c r="I55" s="48">
        <v>85.9</v>
      </c>
      <c r="J55" s="48">
        <v>238</v>
      </c>
      <c r="K55" s="48">
        <v>445</v>
      </c>
      <c r="L55" s="48"/>
      <c r="M55" s="48">
        <v>85</v>
      </c>
      <c r="N55" s="48">
        <v>270</v>
      </c>
      <c r="O55" s="48"/>
      <c r="P55" s="48">
        <v>323</v>
      </c>
      <c r="Q55" s="48">
        <v>715</v>
      </c>
      <c r="R55" s="48"/>
      <c r="S55" s="48">
        <v>128</v>
      </c>
      <c r="T55" s="48">
        <v>166</v>
      </c>
      <c r="U55" s="48"/>
      <c r="V55" s="48">
        <v>116</v>
      </c>
      <c r="W55" s="48">
        <v>263</v>
      </c>
      <c r="X55" s="48">
        <v>379</v>
      </c>
      <c r="Y55" s="48">
        <v>181</v>
      </c>
      <c r="Z55" s="48"/>
      <c r="AA55" s="48"/>
      <c r="AB55" s="48">
        <v>38</v>
      </c>
      <c r="AC55" s="48">
        <v>30</v>
      </c>
      <c r="AD55" s="48">
        <v>12</v>
      </c>
      <c r="AE55" s="48">
        <v>5</v>
      </c>
      <c r="AF55" s="48">
        <v>6</v>
      </c>
      <c r="AG55" s="48">
        <v>86</v>
      </c>
      <c r="AH55" s="48">
        <v>100</v>
      </c>
      <c r="AI55" s="48">
        <v>186</v>
      </c>
      <c r="AJ55" s="48">
        <v>1</v>
      </c>
      <c r="AK55" s="48">
        <v>93</v>
      </c>
      <c r="AL55" s="48">
        <v>3</v>
      </c>
      <c r="AM55" s="48">
        <v>38</v>
      </c>
      <c r="AN55" s="48">
        <v>174</v>
      </c>
      <c r="AO55" s="48">
        <v>-20</v>
      </c>
      <c r="AP55" s="55">
        <f>(Q55+0.4*T55-1.07*(V55/(V55+팀수비력!W55))*(Q55-P55)+AK55)/9</f>
        <v>82.853662551440323</v>
      </c>
      <c r="AQ55" s="55">
        <f>(팀수비력!Q55+0.4*팀수비력!T55-1.07*(팀수비력!V55/(팀수비력!V55+팀공격력!W55))*(팀수비력!Q55-팀수비력!P55)+팀수비력!AK55)/9</f>
        <v>82.661006851355367</v>
      </c>
      <c r="AR55" s="53">
        <f t="shared" si="1"/>
        <v>82.757334701397838</v>
      </c>
    </row>
    <row r="56" spans="1:44" x14ac:dyDescent="0.4">
      <c r="A56" s="54" t="s">
        <v>164</v>
      </c>
      <c r="B56" s="48" t="s">
        <v>312</v>
      </c>
      <c r="C56" s="48">
        <v>176</v>
      </c>
      <c r="D56" s="48">
        <v>189</v>
      </c>
      <c r="E56" s="48">
        <v>176</v>
      </c>
      <c r="F56" s="48">
        <v>167</v>
      </c>
      <c r="G56" s="48">
        <v>1</v>
      </c>
      <c r="H56" s="48">
        <v>709</v>
      </c>
      <c r="I56" s="48">
        <v>78.78</v>
      </c>
      <c r="J56" s="48">
        <v>218</v>
      </c>
      <c r="K56" s="48">
        <v>460</v>
      </c>
      <c r="L56" s="48"/>
      <c r="M56" s="48">
        <v>57</v>
      </c>
      <c r="N56" s="48">
        <v>165</v>
      </c>
      <c r="O56" s="48"/>
      <c r="P56" s="48">
        <v>275</v>
      </c>
      <c r="Q56" s="48">
        <v>625</v>
      </c>
      <c r="R56" s="48"/>
      <c r="S56" s="48">
        <v>102</v>
      </c>
      <c r="T56" s="48">
        <v>144</v>
      </c>
      <c r="U56" s="48"/>
      <c r="V56" s="48">
        <v>96</v>
      </c>
      <c r="W56" s="48">
        <v>219</v>
      </c>
      <c r="X56" s="48">
        <v>315</v>
      </c>
      <c r="Y56" s="48">
        <v>167</v>
      </c>
      <c r="Z56" s="48"/>
      <c r="AA56" s="48"/>
      <c r="AB56" s="48">
        <v>73</v>
      </c>
      <c r="AC56" s="48">
        <v>19</v>
      </c>
      <c r="AD56" s="48">
        <v>5</v>
      </c>
      <c r="AE56" s="48">
        <v>11</v>
      </c>
      <c r="AF56" s="48">
        <v>12</v>
      </c>
      <c r="AG56" s="48">
        <v>64</v>
      </c>
      <c r="AH56" s="48">
        <v>106</v>
      </c>
      <c r="AI56" s="48">
        <v>170</v>
      </c>
      <c r="AJ56" s="48">
        <v>1</v>
      </c>
      <c r="AK56" s="48">
        <v>74</v>
      </c>
      <c r="AL56" s="48">
        <v>6</v>
      </c>
      <c r="AM56" s="48">
        <v>45</v>
      </c>
      <c r="AN56" s="48">
        <v>176</v>
      </c>
      <c r="AO56" s="48">
        <v>125</v>
      </c>
      <c r="AP56" s="55">
        <f>(Q56+0.4*T56-1.07*(V56/(V56+팀수비력!W56))*(Q56-P56)+AK56)/9</f>
        <v>71.961616161616178</v>
      </c>
      <c r="AQ56" s="55">
        <f>(팀수비력!Q56+0.4*팀수비력!T56-1.07*(팀수비력!V56/(팀수비력!V56+팀공격력!W56))*(팀수비력!Q56-팀수비력!P56)+팀수비력!AK56)/9</f>
        <v>71.627012012012017</v>
      </c>
      <c r="AR56" s="53">
        <f t="shared" si="1"/>
        <v>71.794314086814097</v>
      </c>
    </row>
    <row r="57" spans="1:44" x14ac:dyDescent="0.4">
      <c r="A57" s="54" t="s">
        <v>183</v>
      </c>
      <c r="B57" s="48" t="s">
        <v>312</v>
      </c>
      <c r="C57" s="48">
        <v>201</v>
      </c>
      <c r="D57" s="48">
        <v>178</v>
      </c>
      <c r="E57" s="48">
        <v>208</v>
      </c>
      <c r="F57" s="48">
        <v>150</v>
      </c>
      <c r="G57" s="48">
        <v>22</v>
      </c>
      <c r="H57" s="48">
        <v>759</v>
      </c>
      <c r="I57" s="48">
        <v>84.33</v>
      </c>
      <c r="J57" s="48">
        <v>220</v>
      </c>
      <c r="K57" s="48">
        <v>400</v>
      </c>
      <c r="L57" s="48"/>
      <c r="M57" s="48">
        <v>59</v>
      </c>
      <c r="N57" s="48">
        <v>183</v>
      </c>
      <c r="O57" s="48"/>
      <c r="P57" s="48">
        <v>279</v>
      </c>
      <c r="Q57" s="48">
        <v>583</v>
      </c>
      <c r="R57" s="48"/>
      <c r="S57" s="48">
        <v>142</v>
      </c>
      <c r="T57" s="48">
        <v>210</v>
      </c>
      <c r="U57" s="48"/>
      <c r="V57" s="48">
        <v>105</v>
      </c>
      <c r="W57" s="48">
        <v>231</v>
      </c>
      <c r="X57" s="48">
        <v>336</v>
      </c>
      <c r="Y57" s="48">
        <v>165</v>
      </c>
      <c r="Z57" s="48"/>
      <c r="AA57" s="48"/>
      <c r="AB57" s="48">
        <v>46</v>
      </c>
      <c r="AC57" s="48">
        <v>19</v>
      </c>
      <c r="AD57" s="48">
        <v>5</v>
      </c>
      <c r="AE57" s="48">
        <v>10</v>
      </c>
      <c r="AF57" s="48">
        <v>11</v>
      </c>
      <c r="AG57" s="48">
        <v>92</v>
      </c>
      <c r="AH57" s="48">
        <v>106</v>
      </c>
      <c r="AI57" s="48">
        <v>198</v>
      </c>
      <c r="AJ57" s="48">
        <v>2</v>
      </c>
      <c r="AK57" s="48">
        <v>105</v>
      </c>
      <c r="AL57" s="48">
        <v>3</v>
      </c>
      <c r="AM57" s="48">
        <v>18</v>
      </c>
      <c r="AN57" s="48">
        <v>242</v>
      </c>
      <c r="AO57" s="48">
        <v>35</v>
      </c>
      <c r="AP57" s="55">
        <f>(Q57+0.4*T57-1.07*(V57/(V57+팀수비력!W47))*(Q57-P57)+AK57)/9</f>
        <v>75.177405338299195</v>
      </c>
      <c r="AQ57" s="55">
        <f>(팀수비력!Q47+0.4*팀수비력!T47-1.07*(팀수비력!V47/(팀수비력!V47+팀공격력!W57))*(팀수비력!Q47-팀수비력!P47)+팀수비력!AK47)/9</f>
        <v>74.198408119658112</v>
      </c>
      <c r="AR57" s="53">
        <f t="shared" si="1"/>
        <v>74.687906728978646</v>
      </c>
    </row>
    <row r="58" spans="1:44" x14ac:dyDescent="0.4">
      <c r="A58" s="54" t="s">
        <v>203</v>
      </c>
      <c r="B58" s="48" t="s">
        <v>312</v>
      </c>
      <c r="C58" s="48">
        <v>213</v>
      </c>
      <c r="D58" s="48">
        <v>176</v>
      </c>
      <c r="E58" s="48">
        <v>192</v>
      </c>
      <c r="F58" s="48">
        <v>179</v>
      </c>
      <c r="G58" s="48"/>
      <c r="H58" s="48">
        <v>760</v>
      </c>
      <c r="I58" s="48">
        <v>84.44</v>
      </c>
      <c r="J58" s="48">
        <v>220</v>
      </c>
      <c r="K58" s="48">
        <v>401</v>
      </c>
      <c r="L58" s="48"/>
      <c r="M58" s="48">
        <v>81</v>
      </c>
      <c r="N58" s="48">
        <v>235</v>
      </c>
      <c r="O58" s="48"/>
      <c r="P58" s="48">
        <v>301</v>
      </c>
      <c r="Q58" s="48">
        <v>636</v>
      </c>
      <c r="R58" s="48"/>
      <c r="S58" s="48">
        <v>77</v>
      </c>
      <c r="T58" s="48">
        <v>118</v>
      </c>
      <c r="U58" s="48"/>
      <c r="V58" s="48">
        <v>102</v>
      </c>
      <c r="W58" s="48">
        <v>250</v>
      </c>
      <c r="X58" s="48">
        <v>352</v>
      </c>
      <c r="Y58" s="48">
        <v>162</v>
      </c>
      <c r="Z58" s="48"/>
      <c r="AA58" s="48"/>
      <c r="AB58" s="48">
        <v>68</v>
      </c>
      <c r="AC58" s="48">
        <v>18</v>
      </c>
      <c r="AD58" s="48">
        <v>9</v>
      </c>
      <c r="AE58" s="48">
        <v>21</v>
      </c>
      <c r="AF58" s="48">
        <v>23</v>
      </c>
      <c r="AG58" s="48">
        <v>88</v>
      </c>
      <c r="AH58" s="48">
        <v>94</v>
      </c>
      <c r="AI58" s="48">
        <v>182</v>
      </c>
      <c r="AJ58" s="48">
        <v>3</v>
      </c>
      <c r="AK58" s="48">
        <v>92</v>
      </c>
      <c r="AL58" s="48">
        <v>8</v>
      </c>
      <c r="AM58" s="48">
        <v>40</v>
      </c>
      <c r="AN58" s="48">
        <v>148</v>
      </c>
      <c r="AO58" s="48">
        <v>340</v>
      </c>
      <c r="AP58" s="55">
        <f>(Q58+0.4*T58-1.07*(V58/(V58+팀수비력!W58))*(Q58-P58)+AK58)/9</f>
        <v>71.727541371158395</v>
      </c>
      <c r="AQ58" s="55">
        <f>(팀수비력!Q58+0.4*팀수비력!T58-1.07*(팀수비력!V58/(팀수비력!V58+팀공격력!W58))*(팀수비력!Q58-팀수비력!P58)+팀수비력!AK58)/9</f>
        <v>68.154612403100771</v>
      </c>
      <c r="AR58" s="53">
        <f t="shared" si="1"/>
        <v>69.941076887129583</v>
      </c>
    </row>
    <row r="59" spans="1:44" x14ac:dyDescent="0.4">
      <c r="A59" s="54" t="s">
        <v>224</v>
      </c>
      <c r="B59" s="48" t="s">
        <v>312</v>
      </c>
      <c r="C59" s="48">
        <v>178</v>
      </c>
      <c r="D59" s="48">
        <v>182</v>
      </c>
      <c r="E59" s="48">
        <v>180</v>
      </c>
      <c r="F59" s="48">
        <v>162</v>
      </c>
      <c r="G59" s="48"/>
      <c r="H59" s="48">
        <v>702</v>
      </c>
      <c r="I59" s="48">
        <v>87.75</v>
      </c>
      <c r="J59" s="48">
        <v>197</v>
      </c>
      <c r="K59" s="48">
        <v>343</v>
      </c>
      <c r="L59" s="48"/>
      <c r="M59" s="48">
        <v>68</v>
      </c>
      <c r="N59" s="48">
        <v>196</v>
      </c>
      <c r="O59" s="48"/>
      <c r="P59" s="48">
        <v>265</v>
      </c>
      <c r="Q59" s="48">
        <v>539</v>
      </c>
      <c r="R59" s="48"/>
      <c r="S59" s="48">
        <v>104</v>
      </c>
      <c r="T59" s="48">
        <v>159</v>
      </c>
      <c r="U59" s="48"/>
      <c r="V59" s="48">
        <v>82</v>
      </c>
      <c r="W59" s="48">
        <v>209</v>
      </c>
      <c r="X59" s="48">
        <v>291</v>
      </c>
      <c r="Y59" s="48">
        <v>163</v>
      </c>
      <c r="Z59" s="48"/>
      <c r="AA59" s="48"/>
      <c r="AB59" s="48">
        <v>57</v>
      </c>
      <c r="AC59" s="48">
        <v>12</v>
      </c>
      <c r="AD59" s="48">
        <v>5</v>
      </c>
      <c r="AE59" s="48">
        <v>23</v>
      </c>
      <c r="AF59" s="48">
        <v>23</v>
      </c>
      <c r="AG59" s="48">
        <v>77</v>
      </c>
      <c r="AH59" s="48">
        <v>92</v>
      </c>
      <c r="AI59" s="48">
        <v>169</v>
      </c>
      <c r="AJ59" s="48">
        <v>2</v>
      </c>
      <c r="AK59" s="48">
        <v>88</v>
      </c>
      <c r="AL59" s="48">
        <v>5</v>
      </c>
      <c r="AM59" s="48">
        <v>50</v>
      </c>
      <c r="AN59" s="48">
        <v>170</v>
      </c>
      <c r="AO59" s="48">
        <v>115</v>
      </c>
      <c r="AP59" s="55">
        <f>(Q59+0.4*T59-1.07*(V59/(V59+팀수비력!W59))*(Q59-P59)+AK59)/9</f>
        <v>68.711725058391721</v>
      </c>
      <c r="AQ59" s="55">
        <f>(팀수비력!Q59+0.4*팀수비력!T59-1.07*(팀수비력!V59/(팀수비력!V59+팀공격력!W59))*(팀수비력!Q59-팀수비력!P59)+팀수비력!AK59)/9</f>
        <v>71.652222222222207</v>
      </c>
      <c r="AR59" s="53">
        <f t="shared" si="1"/>
        <v>70.181973640306964</v>
      </c>
    </row>
    <row r="60" spans="1:44" x14ac:dyDescent="0.4">
      <c r="A60" s="54" t="s">
        <v>245</v>
      </c>
      <c r="B60" s="48" t="s">
        <v>312</v>
      </c>
      <c r="C60" s="48">
        <v>199</v>
      </c>
      <c r="D60" s="48">
        <v>206</v>
      </c>
      <c r="E60" s="48">
        <v>178</v>
      </c>
      <c r="F60" s="48">
        <v>208</v>
      </c>
      <c r="G60" s="48">
        <v>13</v>
      </c>
      <c r="H60" s="48">
        <v>804</v>
      </c>
      <c r="I60" s="48">
        <v>89.33</v>
      </c>
      <c r="J60" s="48">
        <v>258</v>
      </c>
      <c r="K60" s="48">
        <v>464</v>
      </c>
      <c r="L60" s="48"/>
      <c r="M60" s="48">
        <v>59</v>
      </c>
      <c r="N60" s="48">
        <v>188</v>
      </c>
      <c r="O60" s="48"/>
      <c r="P60" s="48">
        <v>317</v>
      </c>
      <c r="Q60" s="48">
        <v>652</v>
      </c>
      <c r="R60" s="48"/>
      <c r="S60" s="48">
        <v>111</v>
      </c>
      <c r="T60" s="48">
        <v>152</v>
      </c>
      <c r="U60" s="48"/>
      <c r="V60" s="48">
        <v>128</v>
      </c>
      <c r="W60" s="48">
        <v>240</v>
      </c>
      <c r="X60" s="48">
        <v>368</v>
      </c>
      <c r="Y60" s="48">
        <v>202</v>
      </c>
      <c r="Z60" s="48"/>
      <c r="AA60" s="48"/>
      <c r="AB60" s="48">
        <v>47</v>
      </c>
      <c r="AC60" s="48">
        <v>18</v>
      </c>
      <c r="AD60" s="48">
        <v>7</v>
      </c>
      <c r="AE60" s="48">
        <v>14</v>
      </c>
      <c r="AF60" s="48">
        <v>14</v>
      </c>
      <c r="AG60" s="48">
        <v>93</v>
      </c>
      <c r="AH60" s="48">
        <v>92</v>
      </c>
      <c r="AI60" s="48">
        <v>185</v>
      </c>
      <c r="AJ60" s="48">
        <v>3</v>
      </c>
      <c r="AK60" s="48">
        <v>103</v>
      </c>
      <c r="AL60" s="48">
        <v>3</v>
      </c>
      <c r="AM60" s="48">
        <v>43</v>
      </c>
      <c r="AN60" s="48">
        <v>182</v>
      </c>
      <c r="AO60" s="48">
        <v>115</v>
      </c>
      <c r="AP60" s="55">
        <f>(Q60+0.4*T60-1.07*(V60/(V60+팀수비력!W60))*(Q60-P60)+AK60)/9</f>
        <v>73.763796909492271</v>
      </c>
      <c r="AQ60" s="55">
        <f>(팀수비력!Q60+0.4*팀수비력!T60-1.07*(팀수비력!V60/(팀수비력!V60+팀공격력!W60))*(팀수비력!Q60-팀수비력!P60)+팀수비력!AK60)/9</f>
        <v>65.652882882882878</v>
      </c>
      <c r="AR60" s="53">
        <f t="shared" si="1"/>
        <v>69.708339896187567</v>
      </c>
    </row>
    <row r="61" spans="1:44" x14ac:dyDescent="0.4">
      <c r="A61" s="54" t="s">
        <v>263</v>
      </c>
      <c r="B61" s="48" t="s">
        <v>312</v>
      </c>
      <c r="C61" s="48">
        <v>191</v>
      </c>
      <c r="D61" s="48">
        <v>164</v>
      </c>
      <c r="E61" s="48">
        <v>181</v>
      </c>
      <c r="F61" s="48">
        <v>151</v>
      </c>
      <c r="G61" s="48"/>
      <c r="H61" s="48">
        <v>687</v>
      </c>
      <c r="I61" s="48">
        <v>85.88</v>
      </c>
      <c r="J61" s="48">
        <v>180</v>
      </c>
      <c r="K61" s="48">
        <v>320</v>
      </c>
      <c r="L61" s="48"/>
      <c r="M61" s="48">
        <v>85</v>
      </c>
      <c r="N61" s="48">
        <v>228</v>
      </c>
      <c r="O61" s="48"/>
      <c r="P61" s="48">
        <v>265</v>
      </c>
      <c r="Q61" s="48">
        <v>548</v>
      </c>
      <c r="R61" s="48"/>
      <c r="S61" s="48">
        <v>72</v>
      </c>
      <c r="T61" s="48">
        <v>106</v>
      </c>
      <c r="U61" s="48"/>
      <c r="V61" s="48">
        <v>95</v>
      </c>
      <c r="W61" s="48">
        <v>208</v>
      </c>
      <c r="X61" s="48">
        <v>303</v>
      </c>
      <c r="Y61" s="48">
        <v>156</v>
      </c>
      <c r="Z61" s="48"/>
      <c r="AA61" s="48"/>
      <c r="AB61" s="48">
        <v>54</v>
      </c>
      <c r="AC61" s="48">
        <v>28</v>
      </c>
      <c r="AD61" s="48">
        <v>8</v>
      </c>
      <c r="AE61" s="48">
        <v>12</v>
      </c>
      <c r="AF61" s="48">
        <v>13</v>
      </c>
      <c r="AG61" s="48">
        <v>60</v>
      </c>
      <c r="AH61" s="48">
        <v>89</v>
      </c>
      <c r="AI61" s="48">
        <v>149</v>
      </c>
      <c r="AJ61" s="48"/>
      <c r="AK61" s="48">
        <v>88</v>
      </c>
      <c r="AL61" s="48">
        <v>4</v>
      </c>
      <c r="AM61" s="48">
        <v>32</v>
      </c>
      <c r="AN61" s="48">
        <v>165</v>
      </c>
      <c r="AO61" s="48">
        <v>345</v>
      </c>
      <c r="AP61" s="55">
        <f>(Q61+0.4*T61-1.07*(V61/(V61+팀수비력!W61))*(Q61-P61)+AK61)/9</f>
        <v>63.495518380834355</v>
      </c>
      <c r="AQ61" s="55">
        <f>(팀수비력!Q61+0.4*팀수비력!T61-1.07*(팀수비력!V61/(팀수비력!V61+팀공격력!W61))*(팀수비력!Q61-팀수비력!P61)+팀수비력!AK61)/9</f>
        <v>64.519782207456629</v>
      </c>
      <c r="AR61" s="53">
        <f t="shared" si="1"/>
        <v>64.007650294145492</v>
      </c>
    </row>
    <row r="62" spans="1:44" x14ac:dyDescent="0.4">
      <c r="A62" s="56" t="s">
        <v>286</v>
      </c>
      <c r="B62" s="57" t="s">
        <v>312</v>
      </c>
      <c r="C62" s="57">
        <v>196</v>
      </c>
      <c r="D62" s="57">
        <v>196</v>
      </c>
      <c r="E62" s="57">
        <v>171</v>
      </c>
      <c r="F62" s="57">
        <v>181</v>
      </c>
      <c r="G62" s="57"/>
      <c r="H62" s="57">
        <v>744</v>
      </c>
      <c r="I62" s="57">
        <v>82.67</v>
      </c>
      <c r="J62" s="57">
        <v>202</v>
      </c>
      <c r="K62" s="57">
        <v>364</v>
      </c>
      <c r="L62" s="57"/>
      <c r="M62" s="57">
        <v>79</v>
      </c>
      <c r="N62" s="57">
        <v>223</v>
      </c>
      <c r="O62" s="57"/>
      <c r="P62" s="57">
        <v>281</v>
      </c>
      <c r="Q62" s="57">
        <v>587</v>
      </c>
      <c r="R62" s="57"/>
      <c r="S62" s="57">
        <v>103</v>
      </c>
      <c r="T62" s="57">
        <v>137</v>
      </c>
      <c r="U62" s="57"/>
      <c r="V62" s="57">
        <v>92</v>
      </c>
      <c r="W62" s="57">
        <v>217</v>
      </c>
      <c r="X62" s="57">
        <v>309</v>
      </c>
      <c r="Y62" s="57">
        <v>188</v>
      </c>
      <c r="Z62" s="57"/>
      <c r="AA62" s="57"/>
      <c r="AB62" s="57">
        <v>60</v>
      </c>
      <c r="AC62" s="57">
        <v>16</v>
      </c>
      <c r="AD62" s="57">
        <v>3</v>
      </c>
      <c r="AE62" s="57">
        <v>6</v>
      </c>
      <c r="AF62" s="57">
        <v>6</v>
      </c>
      <c r="AG62" s="57">
        <v>84</v>
      </c>
      <c r="AH62" s="57">
        <v>99</v>
      </c>
      <c r="AI62" s="57">
        <v>183</v>
      </c>
      <c r="AJ62" s="57"/>
      <c r="AK62" s="57">
        <v>96</v>
      </c>
      <c r="AL62" s="57">
        <v>7</v>
      </c>
      <c r="AM62" s="57">
        <v>40</v>
      </c>
      <c r="AN62" s="57">
        <v>205</v>
      </c>
      <c r="AO62" s="57">
        <v>185</v>
      </c>
      <c r="AP62" s="58">
        <f>(Q62+0.4*T62-1.07*(V62/(V62+팀수비력!W62))*(Q62-P62)+AK62)/9</f>
        <v>70.593560090702951</v>
      </c>
      <c r="AQ62" s="58">
        <f>(팀수비력!Q62+0.4*팀수비력!T62-1.07*(팀수비력!V62/(팀수비력!V62+팀공격력!W62))*(팀수비력!Q62-팀수비력!P62)+팀수비력!AK62)/9</f>
        <v>71.52300611290903</v>
      </c>
      <c r="AR62" s="53">
        <f t="shared" si="1"/>
        <v>71.058283101805984</v>
      </c>
    </row>
    <row r="63" spans="1:44" x14ac:dyDescent="0.4">
      <c r="A63" s="50" t="s">
        <v>99</v>
      </c>
      <c r="B63" s="51" t="s">
        <v>313</v>
      </c>
      <c r="C63" s="51">
        <v>189</v>
      </c>
      <c r="D63" s="51">
        <v>155</v>
      </c>
      <c r="E63" s="51">
        <v>150</v>
      </c>
      <c r="F63" s="51">
        <v>145</v>
      </c>
      <c r="G63" s="51">
        <v>43</v>
      </c>
      <c r="H63" s="51">
        <v>682</v>
      </c>
      <c r="I63" s="51">
        <v>85.25</v>
      </c>
      <c r="J63" s="51">
        <v>181</v>
      </c>
      <c r="K63" s="51">
        <v>309</v>
      </c>
      <c r="L63" s="51"/>
      <c r="M63" s="51">
        <v>74</v>
      </c>
      <c r="N63" s="51">
        <v>260</v>
      </c>
      <c r="O63" s="51"/>
      <c r="P63" s="51">
        <v>255</v>
      </c>
      <c r="Q63" s="51">
        <v>569</v>
      </c>
      <c r="R63" s="51"/>
      <c r="S63" s="51">
        <v>98</v>
      </c>
      <c r="T63" s="51">
        <v>125</v>
      </c>
      <c r="U63" s="51"/>
      <c r="V63" s="51">
        <v>81</v>
      </c>
      <c r="W63" s="51">
        <v>207</v>
      </c>
      <c r="X63" s="51">
        <v>288</v>
      </c>
      <c r="Y63" s="51">
        <v>151</v>
      </c>
      <c r="Z63" s="51"/>
      <c r="AA63" s="51"/>
      <c r="AB63" s="51">
        <v>62</v>
      </c>
      <c r="AC63" s="51">
        <v>19</v>
      </c>
      <c r="AD63" s="51">
        <v>12</v>
      </c>
      <c r="AE63" s="51">
        <v>6</v>
      </c>
      <c r="AF63" s="51">
        <v>6</v>
      </c>
      <c r="AG63" s="51">
        <v>70</v>
      </c>
      <c r="AH63" s="51">
        <v>85</v>
      </c>
      <c r="AI63" s="51">
        <v>155</v>
      </c>
      <c r="AJ63" s="51"/>
      <c r="AK63" s="51">
        <v>79</v>
      </c>
      <c r="AL63" s="51">
        <v>7</v>
      </c>
      <c r="AM63" s="51">
        <v>46</v>
      </c>
      <c r="AN63" s="51">
        <v>182</v>
      </c>
      <c r="AO63" s="51">
        <v>40</v>
      </c>
      <c r="AP63" s="52">
        <f>(Q63+0.4*T63-1.07*(V63/(V63+팀수비력!W63))*(Q63-P63)+AK63)/9</f>
        <v>67.305318267419963</v>
      </c>
      <c r="AQ63" s="52">
        <f>(팀수비력!Q63+0.4*팀수비력!T63-1.07*(팀수비력!V63/(팀수비력!V63+팀공격력!W63))*(팀수비력!Q63-팀수비력!P63)+팀수비력!AK63)/9</f>
        <v>67.334402153018061</v>
      </c>
      <c r="AR63" s="53">
        <f t="shared" si="1"/>
        <v>67.319860210219019</v>
      </c>
    </row>
    <row r="64" spans="1:44" x14ac:dyDescent="0.4">
      <c r="A64" s="54" t="s">
        <v>123</v>
      </c>
      <c r="B64" s="48" t="s">
        <v>313</v>
      </c>
      <c r="C64" s="48">
        <v>154</v>
      </c>
      <c r="D64" s="48">
        <v>167</v>
      </c>
      <c r="E64" s="48">
        <v>155</v>
      </c>
      <c r="F64" s="48">
        <v>136</v>
      </c>
      <c r="G64" s="48"/>
      <c r="H64" s="48">
        <v>612</v>
      </c>
      <c r="I64" s="48">
        <v>76.5</v>
      </c>
      <c r="J64" s="48">
        <v>149</v>
      </c>
      <c r="K64" s="48">
        <v>309</v>
      </c>
      <c r="L64" s="48"/>
      <c r="M64" s="48">
        <v>77</v>
      </c>
      <c r="N64" s="48">
        <v>196</v>
      </c>
      <c r="O64" s="48"/>
      <c r="P64" s="48">
        <v>226</v>
      </c>
      <c r="Q64" s="48">
        <v>505</v>
      </c>
      <c r="R64" s="48"/>
      <c r="S64" s="48">
        <v>83</v>
      </c>
      <c r="T64" s="48">
        <v>122</v>
      </c>
      <c r="U64" s="48"/>
      <c r="V64" s="48">
        <v>74</v>
      </c>
      <c r="W64" s="48">
        <v>182</v>
      </c>
      <c r="X64" s="48">
        <v>256</v>
      </c>
      <c r="Y64" s="48">
        <v>118</v>
      </c>
      <c r="Z64" s="48"/>
      <c r="AA64" s="48"/>
      <c r="AB64" s="48">
        <v>49</v>
      </c>
      <c r="AC64" s="48">
        <v>20</v>
      </c>
      <c r="AD64" s="48">
        <v>9</v>
      </c>
      <c r="AE64" s="48">
        <v>13</v>
      </c>
      <c r="AF64" s="48">
        <v>13</v>
      </c>
      <c r="AG64" s="48">
        <v>66</v>
      </c>
      <c r="AH64" s="48">
        <v>101</v>
      </c>
      <c r="AI64" s="48">
        <v>167</v>
      </c>
      <c r="AJ64" s="48">
        <v>1</v>
      </c>
      <c r="AK64" s="48">
        <v>76</v>
      </c>
      <c r="AL64" s="48">
        <v>9</v>
      </c>
      <c r="AM64" s="48">
        <v>21</v>
      </c>
      <c r="AN64" s="48">
        <v>165</v>
      </c>
      <c r="AO64" s="48">
        <v>-245</v>
      </c>
      <c r="AP64" s="55">
        <f>(Q64+0.4*T64-1.07*(V64/(V64+팀수비력!W64))*(Q64-P64)+AK64)/9</f>
        <v>60.986642246642241</v>
      </c>
      <c r="AQ64" s="55">
        <f>(팀수비력!Q64+0.4*팀수비력!T64-1.07*(팀수비력!V64/(팀수비력!V64+팀공격력!W64))*(팀수비력!Q64-팀수비력!P64)+팀수비력!AK64)/9</f>
        <v>61.790156378600827</v>
      </c>
      <c r="AR64" s="53">
        <f t="shared" si="1"/>
        <v>61.38839931262153</v>
      </c>
    </row>
    <row r="65" spans="1:44" x14ac:dyDescent="0.4">
      <c r="A65" s="54" t="s">
        <v>145</v>
      </c>
      <c r="B65" s="48" t="s">
        <v>313</v>
      </c>
      <c r="C65" s="48">
        <v>261</v>
      </c>
      <c r="D65" s="48">
        <v>249</v>
      </c>
      <c r="E65" s="48">
        <v>256</v>
      </c>
      <c r="F65" s="48">
        <v>218</v>
      </c>
      <c r="G65" s="48"/>
      <c r="H65" s="48">
        <v>984</v>
      </c>
      <c r="I65" s="48">
        <v>98.4</v>
      </c>
      <c r="J65" s="48">
        <v>280</v>
      </c>
      <c r="K65" s="48">
        <v>472</v>
      </c>
      <c r="L65" s="48"/>
      <c r="M65" s="48">
        <v>91</v>
      </c>
      <c r="N65" s="48">
        <v>268</v>
      </c>
      <c r="O65" s="48"/>
      <c r="P65" s="48">
        <v>371</v>
      </c>
      <c r="Q65" s="48">
        <v>740</v>
      </c>
      <c r="R65" s="48"/>
      <c r="S65" s="48">
        <v>151</v>
      </c>
      <c r="T65" s="48">
        <v>203</v>
      </c>
      <c r="U65" s="48"/>
      <c r="V65" s="48">
        <v>110</v>
      </c>
      <c r="W65" s="48">
        <v>256</v>
      </c>
      <c r="X65" s="48">
        <v>366</v>
      </c>
      <c r="Y65" s="48">
        <v>212</v>
      </c>
      <c r="Z65" s="48"/>
      <c r="AA65" s="48"/>
      <c r="AB65" s="48">
        <v>55</v>
      </c>
      <c r="AC65" s="48">
        <v>17</v>
      </c>
      <c r="AD65" s="48">
        <v>14</v>
      </c>
      <c r="AE65" s="48">
        <v>7</v>
      </c>
      <c r="AF65" s="48">
        <v>7</v>
      </c>
      <c r="AG65" s="48">
        <v>92</v>
      </c>
      <c r="AH65" s="48">
        <v>104</v>
      </c>
      <c r="AI65" s="48">
        <v>196</v>
      </c>
      <c r="AJ65" s="48">
        <v>1</v>
      </c>
      <c r="AK65" s="48">
        <v>92</v>
      </c>
      <c r="AL65" s="48">
        <v>5</v>
      </c>
      <c r="AM65" s="48">
        <v>59</v>
      </c>
      <c r="AN65" s="48">
        <v>172</v>
      </c>
      <c r="AO65" s="48">
        <v>115</v>
      </c>
      <c r="AP65" s="55">
        <f>(Q65+0.4*T65-1.07*(V65/(V65+팀수비력!W65))*(Q65-P65)+AK65)/9</f>
        <v>88.09907663896584</v>
      </c>
      <c r="AQ65" s="55">
        <f>(팀수비력!Q65+0.4*팀수비력!T65-1.07*(팀수비력!V65/(팀수비력!V65+팀공격력!W65))*(팀수비력!Q65-팀수비력!P65)+팀수비력!AK65)/9</f>
        <v>87.318520564763659</v>
      </c>
      <c r="AR65" s="53">
        <f t="shared" si="1"/>
        <v>87.708798601864743</v>
      </c>
    </row>
    <row r="66" spans="1:44" x14ac:dyDescent="0.4">
      <c r="A66" s="54" t="s">
        <v>164</v>
      </c>
      <c r="B66" s="48" t="s">
        <v>313</v>
      </c>
      <c r="C66" s="48">
        <v>187</v>
      </c>
      <c r="D66" s="48">
        <v>197</v>
      </c>
      <c r="E66" s="48">
        <v>183</v>
      </c>
      <c r="F66" s="48">
        <v>168</v>
      </c>
      <c r="G66" s="48"/>
      <c r="H66" s="48">
        <v>735</v>
      </c>
      <c r="I66" s="48">
        <v>81.67</v>
      </c>
      <c r="J66" s="48">
        <v>213</v>
      </c>
      <c r="K66" s="48">
        <v>427</v>
      </c>
      <c r="L66" s="48"/>
      <c r="M66" s="48">
        <v>70</v>
      </c>
      <c r="N66" s="48">
        <v>217</v>
      </c>
      <c r="O66" s="48"/>
      <c r="P66" s="48">
        <v>283</v>
      </c>
      <c r="Q66" s="48">
        <v>644</v>
      </c>
      <c r="R66" s="48"/>
      <c r="S66" s="48">
        <v>99</v>
      </c>
      <c r="T66" s="48">
        <v>130</v>
      </c>
      <c r="U66" s="48"/>
      <c r="V66" s="48">
        <v>93</v>
      </c>
      <c r="W66" s="48">
        <v>237</v>
      </c>
      <c r="X66" s="48">
        <v>330</v>
      </c>
      <c r="Y66" s="48">
        <v>163</v>
      </c>
      <c r="Z66" s="48"/>
      <c r="AA66" s="48"/>
      <c r="AB66" s="48">
        <v>72</v>
      </c>
      <c r="AC66" s="48">
        <v>25</v>
      </c>
      <c r="AD66" s="48">
        <v>7</v>
      </c>
      <c r="AE66" s="48">
        <v>9</v>
      </c>
      <c r="AF66" s="48">
        <v>9</v>
      </c>
      <c r="AG66" s="48">
        <v>66</v>
      </c>
      <c r="AH66" s="48">
        <v>105</v>
      </c>
      <c r="AI66" s="48">
        <v>172</v>
      </c>
      <c r="AJ66" s="48">
        <v>3</v>
      </c>
      <c r="AK66" s="48">
        <v>84</v>
      </c>
      <c r="AL66" s="48">
        <v>7</v>
      </c>
      <c r="AM66" s="48">
        <v>54</v>
      </c>
      <c r="AN66" s="48">
        <v>197</v>
      </c>
      <c r="AO66" s="48">
        <v>55</v>
      </c>
      <c r="AP66" s="55">
        <f>(Q66+0.4*T66-1.07*(V66/(V66+팀수비력!W66))*(Q66-P66)+AK66)/9</f>
        <v>75.196963601532559</v>
      </c>
      <c r="AQ66" s="55">
        <f>(팀수비력!Q66+0.4*팀수비력!T66-1.07*(팀수비력!V66/(팀수비력!V66+팀공격력!W66))*(팀수비력!Q66-팀수비력!P66)+팀수비력!AK66)/9</f>
        <v>74.732418496340642</v>
      </c>
      <c r="AR66" s="53">
        <f t="shared" si="1"/>
        <v>74.964691048936601</v>
      </c>
    </row>
    <row r="67" spans="1:44" x14ac:dyDescent="0.4">
      <c r="A67" s="54" t="s">
        <v>183</v>
      </c>
      <c r="B67" s="48" t="s">
        <v>313</v>
      </c>
      <c r="C67" s="48">
        <v>187</v>
      </c>
      <c r="D67" s="48">
        <v>198</v>
      </c>
      <c r="E67" s="48">
        <v>189</v>
      </c>
      <c r="F67" s="48">
        <v>165</v>
      </c>
      <c r="G67" s="48">
        <v>12</v>
      </c>
      <c r="H67" s="48">
        <v>751</v>
      </c>
      <c r="I67" s="48">
        <v>83.44</v>
      </c>
      <c r="J67" s="48">
        <v>224</v>
      </c>
      <c r="K67" s="48">
        <v>423</v>
      </c>
      <c r="L67" s="48"/>
      <c r="M67" s="48">
        <v>73</v>
      </c>
      <c r="N67" s="48">
        <v>227</v>
      </c>
      <c r="O67" s="48"/>
      <c r="P67" s="48">
        <v>297</v>
      </c>
      <c r="Q67" s="48">
        <v>650</v>
      </c>
      <c r="R67" s="48"/>
      <c r="S67" s="48">
        <v>84</v>
      </c>
      <c r="T67" s="48">
        <v>145</v>
      </c>
      <c r="U67" s="48"/>
      <c r="V67" s="48">
        <v>129</v>
      </c>
      <c r="W67" s="48">
        <v>223</v>
      </c>
      <c r="X67" s="48">
        <v>352</v>
      </c>
      <c r="Y67" s="48">
        <v>168</v>
      </c>
      <c r="Z67" s="48"/>
      <c r="AA67" s="48"/>
      <c r="AB67" s="48">
        <v>46</v>
      </c>
      <c r="AC67" s="48">
        <v>25</v>
      </c>
      <c r="AD67" s="48">
        <v>8</v>
      </c>
      <c r="AE67" s="48">
        <v>11</v>
      </c>
      <c r="AF67" s="48">
        <v>11</v>
      </c>
      <c r="AG67" s="48">
        <v>97</v>
      </c>
      <c r="AH67" s="48">
        <v>96</v>
      </c>
      <c r="AI67" s="48">
        <v>193</v>
      </c>
      <c r="AJ67" s="48">
        <v>1</v>
      </c>
      <c r="AK67" s="48">
        <v>109</v>
      </c>
      <c r="AL67" s="48">
        <v>4</v>
      </c>
      <c r="AM67" s="48">
        <v>22</v>
      </c>
      <c r="AN67" s="48">
        <v>235</v>
      </c>
      <c r="AO67" s="48">
        <v>-250</v>
      </c>
      <c r="AP67" s="55">
        <f>(Q67+0.4*T67-1.07*(V67/(V67+팀수비력!W57))*(Q67-P67)+AK67)/9</f>
        <v>74.322326916582227</v>
      </c>
      <c r="AQ67" s="55">
        <f>(팀수비력!Q57+0.4*팀수비력!T57-1.07*(팀수비력!V57/(팀수비력!V57+팀공격력!W67))*(팀수비력!Q57-팀수비력!P57)+팀수비력!AK57)/9</f>
        <v>72.778493013972053</v>
      </c>
      <c r="AR67" s="53">
        <f t="shared" ref="AR67:AR98" si="2">0.5*(AP67+AQ67)</f>
        <v>73.55040996527714</v>
      </c>
    </row>
    <row r="68" spans="1:44" x14ac:dyDescent="0.4">
      <c r="A68" s="54" t="s">
        <v>203</v>
      </c>
      <c r="B68" s="48" t="s">
        <v>313</v>
      </c>
      <c r="C68" s="48">
        <v>217</v>
      </c>
      <c r="D68" s="48">
        <v>229</v>
      </c>
      <c r="E68" s="48">
        <v>206</v>
      </c>
      <c r="F68" s="48">
        <v>246</v>
      </c>
      <c r="G68" s="48">
        <v>19</v>
      </c>
      <c r="H68" s="48">
        <v>917</v>
      </c>
      <c r="I68" s="48">
        <v>91.7</v>
      </c>
      <c r="J68" s="48">
        <v>252</v>
      </c>
      <c r="K68" s="48">
        <v>457</v>
      </c>
      <c r="L68" s="48"/>
      <c r="M68" s="48">
        <v>91</v>
      </c>
      <c r="N68" s="48">
        <v>298</v>
      </c>
      <c r="O68" s="48"/>
      <c r="P68" s="48">
        <v>343</v>
      </c>
      <c r="Q68" s="48">
        <v>755</v>
      </c>
      <c r="R68" s="48"/>
      <c r="S68" s="48">
        <v>140</v>
      </c>
      <c r="T68" s="48">
        <v>203</v>
      </c>
      <c r="U68" s="48"/>
      <c r="V68" s="48">
        <v>137</v>
      </c>
      <c r="W68" s="48">
        <v>255</v>
      </c>
      <c r="X68" s="48">
        <v>392</v>
      </c>
      <c r="Y68" s="48">
        <v>197</v>
      </c>
      <c r="Z68" s="48"/>
      <c r="AA68" s="48"/>
      <c r="AB68" s="48">
        <v>80</v>
      </c>
      <c r="AC68" s="48">
        <v>24</v>
      </c>
      <c r="AD68" s="48">
        <v>11</v>
      </c>
      <c r="AE68" s="48">
        <v>32</v>
      </c>
      <c r="AF68" s="48">
        <v>35</v>
      </c>
      <c r="AG68" s="48">
        <v>109</v>
      </c>
      <c r="AH68" s="48">
        <v>101</v>
      </c>
      <c r="AI68" s="48">
        <v>210</v>
      </c>
      <c r="AJ68" s="48">
        <v>1</v>
      </c>
      <c r="AK68" s="48">
        <v>115</v>
      </c>
      <c r="AL68" s="48">
        <v>4</v>
      </c>
      <c r="AM68" s="48">
        <v>55</v>
      </c>
      <c r="AN68" s="48">
        <v>187</v>
      </c>
      <c r="AO68" s="48">
        <v>-45</v>
      </c>
      <c r="AP68" s="55">
        <f>(Q68+0.4*T68-1.07*(V68/(V68+팀수비력!W68))*(Q68-P68)+AK68)/9</f>
        <v>88.954314214463849</v>
      </c>
      <c r="AQ68" s="55">
        <f>(팀수비력!Q68+0.4*팀수비력!T68-1.07*(팀수비력!V68/(팀수비력!V68+팀공격력!W68))*(팀수비력!Q68-팀수비력!P68)+팀수비력!AK68)/9</f>
        <v>88.507593081207858</v>
      </c>
      <c r="AR68" s="53">
        <f t="shared" si="2"/>
        <v>88.730953647835861</v>
      </c>
    </row>
    <row r="69" spans="1:44" x14ac:dyDescent="0.4">
      <c r="A69" s="54" t="s">
        <v>224</v>
      </c>
      <c r="B69" s="48" t="s">
        <v>313</v>
      </c>
      <c r="C69" s="48">
        <v>182</v>
      </c>
      <c r="D69" s="48">
        <v>196</v>
      </c>
      <c r="E69" s="48">
        <v>178</v>
      </c>
      <c r="F69" s="48">
        <v>180</v>
      </c>
      <c r="G69" s="48"/>
      <c r="H69" s="48">
        <v>736</v>
      </c>
      <c r="I69" s="48">
        <v>81.78</v>
      </c>
      <c r="J69" s="48">
        <v>203</v>
      </c>
      <c r="K69" s="48">
        <v>348</v>
      </c>
      <c r="L69" s="48"/>
      <c r="M69" s="48">
        <v>79</v>
      </c>
      <c r="N69" s="48">
        <v>255</v>
      </c>
      <c r="O69" s="48"/>
      <c r="P69" s="48">
        <v>282</v>
      </c>
      <c r="Q69" s="48">
        <v>603</v>
      </c>
      <c r="R69" s="48"/>
      <c r="S69" s="48">
        <v>93</v>
      </c>
      <c r="T69" s="48">
        <v>120</v>
      </c>
      <c r="U69" s="48"/>
      <c r="V69" s="48">
        <v>63</v>
      </c>
      <c r="W69" s="48">
        <v>226</v>
      </c>
      <c r="X69" s="48">
        <v>289</v>
      </c>
      <c r="Y69" s="48">
        <v>171</v>
      </c>
      <c r="Z69" s="48"/>
      <c r="AA69" s="48"/>
      <c r="AB69" s="48">
        <v>72</v>
      </c>
      <c r="AC69" s="48">
        <v>53</v>
      </c>
      <c r="AD69" s="48">
        <v>5</v>
      </c>
      <c r="AE69" s="48">
        <v>6</v>
      </c>
      <c r="AF69" s="48">
        <v>6</v>
      </c>
      <c r="AG69" s="48">
        <v>81</v>
      </c>
      <c r="AH69" s="48">
        <v>86</v>
      </c>
      <c r="AI69" s="48">
        <v>167</v>
      </c>
      <c r="AJ69" s="48">
        <v>1</v>
      </c>
      <c r="AK69" s="48">
        <v>91</v>
      </c>
      <c r="AL69" s="48">
        <v>5</v>
      </c>
      <c r="AM69" s="48">
        <v>39</v>
      </c>
      <c r="AN69" s="48">
        <v>166</v>
      </c>
      <c r="AO69" s="48"/>
      <c r="AP69" s="55">
        <f>(Q69+0.4*T69-1.07*(V69/(V69+팀수비력!W69))*(Q69-P69)+AK69)/9</f>
        <v>74.483219278881535</v>
      </c>
      <c r="AQ69" s="55">
        <f>(팀수비력!Q69+0.4*팀수비력!T69-1.07*(팀수비력!V69/(팀수비력!V69+팀공격력!W69))*(팀수비력!Q69-팀수비력!P69)+팀수비력!AK69)/9</f>
        <v>73.848039591315441</v>
      </c>
      <c r="AR69" s="53">
        <f t="shared" si="2"/>
        <v>74.165629435098481</v>
      </c>
    </row>
    <row r="70" spans="1:44" x14ac:dyDescent="0.4">
      <c r="A70" s="54" t="s">
        <v>245</v>
      </c>
      <c r="B70" s="48" t="s">
        <v>313</v>
      </c>
      <c r="C70" s="48">
        <v>209</v>
      </c>
      <c r="D70" s="48">
        <v>193</v>
      </c>
      <c r="E70" s="48">
        <v>176</v>
      </c>
      <c r="F70" s="48">
        <v>202</v>
      </c>
      <c r="G70" s="48">
        <v>12</v>
      </c>
      <c r="H70" s="48">
        <v>792</v>
      </c>
      <c r="I70" s="48">
        <v>88</v>
      </c>
      <c r="J70" s="48">
        <v>249</v>
      </c>
      <c r="K70" s="48">
        <v>442</v>
      </c>
      <c r="L70" s="48"/>
      <c r="M70" s="48">
        <v>65</v>
      </c>
      <c r="N70" s="48">
        <v>198</v>
      </c>
      <c r="O70" s="48"/>
      <c r="P70" s="48">
        <v>314</v>
      </c>
      <c r="Q70" s="48">
        <v>640</v>
      </c>
      <c r="R70" s="48"/>
      <c r="S70" s="48">
        <v>99</v>
      </c>
      <c r="T70" s="48">
        <v>133</v>
      </c>
      <c r="U70" s="48"/>
      <c r="V70" s="48">
        <v>86</v>
      </c>
      <c r="W70" s="48">
        <v>227</v>
      </c>
      <c r="X70" s="48">
        <v>313</v>
      </c>
      <c r="Y70" s="48">
        <v>199</v>
      </c>
      <c r="Z70" s="48"/>
      <c r="AA70" s="48"/>
      <c r="AB70" s="48">
        <v>56</v>
      </c>
      <c r="AC70" s="48">
        <v>17</v>
      </c>
      <c r="AD70" s="48">
        <v>3</v>
      </c>
      <c r="AE70" s="48">
        <v>6</v>
      </c>
      <c r="AF70" s="48">
        <v>7</v>
      </c>
      <c r="AG70" s="48">
        <v>84</v>
      </c>
      <c r="AH70" s="48">
        <v>100</v>
      </c>
      <c r="AI70" s="48">
        <v>184</v>
      </c>
      <c r="AJ70" s="48">
        <v>5</v>
      </c>
      <c r="AK70" s="48">
        <v>101</v>
      </c>
      <c r="AL70" s="48">
        <v>4</v>
      </c>
      <c r="AM70" s="48">
        <v>48</v>
      </c>
      <c r="AN70" s="48">
        <v>165</v>
      </c>
      <c r="AO70" s="48">
        <v>-275</v>
      </c>
      <c r="AP70" s="55">
        <f>(Q70+0.4*T70-1.07*(V70/(V70+팀수비력!W70))*(Q70-P70)+AK70)/9</f>
        <v>77.828291666666672</v>
      </c>
      <c r="AQ70" s="55">
        <f>(팀수비력!Q70+0.4*팀수비력!T70-1.07*(팀수비력!V70/(팀수비력!V70+팀공격력!W70))*(팀수비력!Q70-팀수비력!P70)+팀수비력!AK70)/9</f>
        <v>77.829539215686268</v>
      </c>
      <c r="AR70" s="53">
        <f t="shared" si="2"/>
        <v>77.828915441176463</v>
      </c>
    </row>
    <row r="71" spans="1:44" x14ac:dyDescent="0.4">
      <c r="A71" s="54" t="s">
        <v>263</v>
      </c>
      <c r="B71" s="48" t="s">
        <v>313</v>
      </c>
      <c r="C71" s="48">
        <v>200</v>
      </c>
      <c r="D71" s="48">
        <v>200</v>
      </c>
      <c r="E71" s="48">
        <v>220</v>
      </c>
      <c r="F71" s="48">
        <v>176</v>
      </c>
      <c r="G71" s="48">
        <v>22</v>
      </c>
      <c r="H71" s="48">
        <v>818</v>
      </c>
      <c r="I71" s="48">
        <v>90.89</v>
      </c>
      <c r="J71" s="48">
        <v>204</v>
      </c>
      <c r="K71" s="48">
        <v>372</v>
      </c>
      <c r="L71" s="48"/>
      <c r="M71" s="48">
        <v>102</v>
      </c>
      <c r="N71" s="48">
        <v>277</v>
      </c>
      <c r="O71" s="48"/>
      <c r="P71" s="48">
        <v>306</v>
      </c>
      <c r="Q71" s="48">
        <v>649</v>
      </c>
      <c r="R71" s="48"/>
      <c r="S71" s="48">
        <v>104</v>
      </c>
      <c r="T71" s="48">
        <v>142</v>
      </c>
      <c r="U71" s="48"/>
      <c r="V71" s="48">
        <v>93</v>
      </c>
      <c r="W71" s="48">
        <v>237</v>
      </c>
      <c r="X71" s="48">
        <v>330</v>
      </c>
      <c r="Y71" s="48">
        <v>190</v>
      </c>
      <c r="Z71" s="48"/>
      <c r="AA71" s="48"/>
      <c r="AB71" s="48">
        <v>55</v>
      </c>
      <c r="AC71" s="48">
        <v>44</v>
      </c>
      <c r="AD71" s="48">
        <v>4</v>
      </c>
      <c r="AE71" s="48">
        <v>9</v>
      </c>
      <c r="AF71" s="48">
        <v>9</v>
      </c>
      <c r="AG71" s="48">
        <v>76</v>
      </c>
      <c r="AH71" s="48">
        <v>100</v>
      </c>
      <c r="AI71" s="48">
        <v>176</v>
      </c>
      <c r="AJ71" s="48">
        <v>1</v>
      </c>
      <c r="AK71" s="48">
        <v>106</v>
      </c>
      <c r="AL71" s="48">
        <v>2</v>
      </c>
      <c r="AM71" s="48">
        <v>43</v>
      </c>
      <c r="AN71" s="48">
        <v>195</v>
      </c>
      <c r="AO71" s="48">
        <v>15</v>
      </c>
      <c r="AP71" s="55">
        <f>(Q71+0.4*T71-1.07*(V71/(V71+팀수비력!W71))*(Q71-P71)+AK71)/9</f>
        <v>78.60233435270132</v>
      </c>
      <c r="AQ71" s="55">
        <f>(팀수비력!Q71+0.4*팀수비력!T71-1.07*(팀수비력!V71/(팀수비력!V71+팀공격력!W71))*(팀수비력!Q71-팀수비력!P71)+팀수비력!AK71)/9</f>
        <v>78.248377777777776</v>
      </c>
      <c r="AR71" s="53">
        <f t="shared" si="2"/>
        <v>78.425356065239555</v>
      </c>
    </row>
    <row r="72" spans="1:44" x14ac:dyDescent="0.4">
      <c r="A72" s="56" t="s">
        <v>286</v>
      </c>
      <c r="B72" s="57" t="s">
        <v>313</v>
      </c>
      <c r="C72" s="57">
        <v>186</v>
      </c>
      <c r="D72" s="57">
        <v>190</v>
      </c>
      <c r="E72" s="57">
        <v>212</v>
      </c>
      <c r="F72" s="57">
        <v>209</v>
      </c>
      <c r="G72" s="57"/>
      <c r="H72" s="57">
        <v>797</v>
      </c>
      <c r="I72" s="57">
        <v>88.56</v>
      </c>
      <c r="J72" s="57">
        <v>218</v>
      </c>
      <c r="K72" s="57">
        <v>387</v>
      </c>
      <c r="L72" s="57"/>
      <c r="M72" s="57">
        <v>88</v>
      </c>
      <c r="N72" s="57">
        <v>256</v>
      </c>
      <c r="O72" s="57"/>
      <c r="P72" s="57">
        <v>306</v>
      </c>
      <c r="Q72" s="57">
        <v>643</v>
      </c>
      <c r="R72" s="57"/>
      <c r="S72" s="57">
        <v>97</v>
      </c>
      <c r="T72" s="57">
        <v>146</v>
      </c>
      <c r="U72" s="57"/>
      <c r="V72" s="57">
        <v>117</v>
      </c>
      <c r="W72" s="57">
        <v>238</v>
      </c>
      <c r="X72" s="57">
        <v>355</v>
      </c>
      <c r="Y72" s="57">
        <v>190</v>
      </c>
      <c r="Z72" s="57"/>
      <c r="AA72" s="57"/>
      <c r="AB72" s="57">
        <v>77</v>
      </c>
      <c r="AC72" s="57">
        <v>24</v>
      </c>
      <c r="AD72" s="57">
        <v>9</v>
      </c>
      <c r="AE72" s="57">
        <v>8</v>
      </c>
      <c r="AF72" s="57">
        <v>10</v>
      </c>
      <c r="AG72" s="57">
        <v>74</v>
      </c>
      <c r="AH72" s="57">
        <v>101</v>
      </c>
      <c r="AI72" s="57">
        <v>175</v>
      </c>
      <c r="AJ72" s="57">
        <v>3</v>
      </c>
      <c r="AK72" s="57">
        <v>96</v>
      </c>
      <c r="AL72" s="57">
        <v>4</v>
      </c>
      <c r="AM72" s="57">
        <v>39</v>
      </c>
      <c r="AN72" s="57">
        <v>213</v>
      </c>
      <c r="AO72" s="57">
        <v>590</v>
      </c>
      <c r="AP72" s="58">
        <f>(Q72+0.4*T72-1.07*(V72/(V72+팀수비력!W72))*(Q72-P72)+AK72)/9</f>
        <v>73.858899371069185</v>
      </c>
      <c r="AQ72" s="58">
        <f>(팀수비력!Q72+0.4*팀수비력!T72-1.07*(팀수비력!V72/(팀수비력!V72+팀공격력!W72))*(팀수비력!Q72-팀수비력!P72)+팀수비력!AK72)/9</f>
        <v>74.276049382716053</v>
      </c>
      <c r="AR72" s="53">
        <f t="shared" si="2"/>
        <v>74.067474376892619</v>
      </c>
    </row>
  </sheetData>
  <autoFilter ref="A1:AQ12" xr:uid="{00000000-0009-0000-0000-000001000000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32" showButton="0"/>
    <filterColumn colId="33" showButton="0"/>
  </autoFilter>
  <mergeCells count="36">
    <mergeCell ref="AQ1:AQ2"/>
    <mergeCell ref="Z1:Z2"/>
    <mergeCell ref="C1:I1"/>
    <mergeCell ref="AR1:AR2"/>
    <mergeCell ref="A1:A2"/>
    <mergeCell ref="S1:S2"/>
    <mergeCell ref="AJ1:AJ2"/>
    <mergeCell ref="AL1:AL2"/>
    <mergeCell ref="U1:U2"/>
    <mergeCell ref="AG1:AI1"/>
    <mergeCell ref="J1:J2"/>
    <mergeCell ref="P1:P2"/>
    <mergeCell ref="R1:R2"/>
    <mergeCell ref="AN1:AN2"/>
    <mergeCell ref="AP1:AP2"/>
    <mergeCell ref="Y1:Y2"/>
    <mergeCell ref="AA1:AA2"/>
    <mergeCell ref="B1:B2"/>
    <mergeCell ref="AC1:AC2"/>
    <mergeCell ref="L1:L2"/>
    <mergeCell ref="AE1:AE2"/>
    <mergeCell ref="AK1:AK2"/>
    <mergeCell ref="T1:T2"/>
    <mergeCell ref="AF1:AF2"/>
    <mergeCell ref="AM1:AM2"/>
    <mergeCell ref="N1:N2"/>
    <mergeCell ref="AO1:AO2"/>
    <mergeCell ref="X1:X2"/>
    <mergeCell ref="AB1:AB2"/>
    <mergeCell ref="AD1:AD2"/>
    <mergeCell ref="V1:V2"/>
    <mergeCell ref="K1:K2"/>
    <mergeCell ref="M1:M2"/>
    <mergeCell ref="O1:O2"/>
    <mergeCell ref="Q1:Q2"/>
    <mergeCell ref="W1:W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72"/>
  <sheetViews>
    <sheetView zoomScale="85" zoomScaleNormal="85" workbookViewId="0">
      <selection activeCell="A3" sqref="A3:A12"/>
    </sheetView>
  </sheetViews>
  <sheetFormatPr defaultRowHeight="13.2" x14ac:dyDescent="0.4"/>
  <cols>
    <col min="1" max="1" width="14" style="61" bestFit="1" customWidth="1"/>
    <col min="2" max="2" width="8.59765625" style="61" customWidth="1"/>
    <col min="3" max="41" width="6.69921875" style="61" customWidth="1"/>
    <col min="42" max="43" width="8.796875" style="61" customWidth="1"/>
    <col min="44" max="16384" width="8.796875" style="61"/>
  </cols>
  <sheetData>
    <row r="1" spans="1:42" ht="13.2" customHeight="1" x14ac:dyDescent="0.4">
      <c r="A1" s="68" t="s">
        <v>314</v>
      </c>
      <c r="B1" s="68" t="s">
        <v>90</v>
      </c>
      <c r="C1" s="68" t="s">
        <v>315</v>
      </c>
      <c r="D1" s="72"/>
      <c r="E1" s="72"/>
      <c r="F1" s="72"/>
      <c r="G1" s="72"/>
      <c r="H1" s="72"/>
      <c r="I1" s="72"/>
      <c r="J1" s="68" t="s">
        <v>316</v>
      </c>
      <c r="K1" s="68" t="s">
        <v>16</v>
      </c>
      <c r="L1" s="68" t="s">
        <v>19</v>
      </c>
      <c r="M1" s="68" t="s">
        <v>317</v>
      </c>
      <c r="N1" s="68" t="s">
        <v>21</v>
      </c>
      <c r="O1" s="68" t="s">
        <v>24</v>
      </c>
      <c r="P1" s="68" t="s">
        <v>318</v>
      </c>
      <c r="Q1" s="68" t="s">
        <v>11</v>
      </c>
      <c r="R1" s="68" t="s">
        <v>14</v>
      </c>
      <c r="S1" s="68" t="s">
        <v>319</v>
      </c>
      <c r="T1" s="68" t="s">
        <v>26</v>
      </c>
      <c r="U1" s="68" t="s">
        <v>29</v>
      </c>
      <c r="V1" s="68" t="s">
        <v>320</v>
      </c>
      <c r="W1" s="68" t="s">
        <v>321</v>
      </c>
      <c r="X1" s="68" t="s">
        <v>322</v>
      </c>
      <c r="Y1" s="68" t="s">
        <v>323</v>
      </c>
      <c r="Z1" s="68" t="s">
        <v>68</v>
      </c>
      <c r="AA1" s="68" t="s">
        <v>70</v>
      </c>
      <c r="AB1" s="68" t="s">
        <v>324</v>
      </c>
      <c r="AC1" s="68" t="s">
        <v>325</v>
      </c>
      <c r="AD1" s="68" t="s">
        <v>326</v>
      </c>
      <c r="AE1" s="68" t="s">
        <v>327</v>
      </c>
      <c r="AF1" s="68" t="s">
        <v>328</v>
      </c>
      <c r="AG1" s="68" t="s">
        <v>329</v>
      </c>
      <c r="AH1" s="72"/>
      <c r="AI1" s="72"/>
      <c r="AJ1" s="68" t="s">
        <v>330</v>
      </c>
      <c r="AK1" s="68" t="s">
        <v>331</v>
      </c>
      <c r="AL1" s="68" t="s">
        <v>332</v>
      </c>
      <c r="AM1" s="68" t="s">
        <v>333</v>
      </c>
      <c r="AN1" s="68" t="s">
        <v>334</v>
      </c>
      <c r="AO1" s="68" t="s">
        <v>335</v>
      </c>
    </row>
    <row r="2" spans="1:42" x14ac:dyDescent="0.4">
      <c r="A2" s="72"/>
      <c r="B2" s="72"/>
      <c r="C2" s="48" t="s">
        <v>339</v>
      </c>
      <c r="D2" s="48" t="s">
        <v>340</v>
      </c>
      <c r="E2" s="48" t="s">
        <v>341</v>
      </c>
      <c r="F2" s="48" t="s">
        <v>342</v>
      </c>
      <c r="G2" s="48" t="s">
        <v>343</v>
      </c>
      <c r="H2" s="48" t="s">
        <v>344</v>
      </c>
      <c r="I2" s="48" t="s">
        <v>345</v>
      </c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48" t="s">
        <v>346</v>
      </c>
      <c r="AH2" s="48" t="s">
        <v>347</v>
      </c>
      <c r="AI2" s="48" t="s">
        <v>344</v>
      </c>
      <c r="AJ2" s="72"/>
      <c r="AK2" s="72"/>
      <c r="AL2" s="72"/>
      <c r="AM2" s="72"/>
      <c r="AN2" s="72"/>
      <c r="AO2" s="72"/>
    </row>
    <row r="3" spans="1:42" x14ac:dyDescent="0.4">
      <c r="A3" s="50" t="s">
        <v>99</v>
      </c>
      <c r="B3" s="51" t="s">
        <v>88</v>
      </c>
      <c r="C3" s="51">
        <v>1191</v>
      </c>
      <c r="D3" s="51">
        <v>1166</v>
      </c>
      <c r="E3" s="51">
        <v>1165</v>
      </c>
      <c r="F3" s="51">
        <v>1071</v>
      </c>
      <c r="G3" s="51">
        <v>26</v>
      </c>
      <c r="H3" s="51">
        <v>4619</v>
      </c>
      <c r="I3" s="51">
        <v>85.54</v>
      </c>
      <c r="J3" s="51">
        <v>1238</v>
      </c>
      <c r="K3" s="51">
        <v>2201</v>
      </c>
      <c r="L3" s="51">
        <v>56.25</v>
      </c>
      <c r="M3" s="51">
        <v>487</v>
      </c>
      <c r="N3" s="51">
        <v>1362</v>
      </c>
      <c r="O3" s="51">
        <v>35.76</v>
      </c>
      <c r="P3" s="51">
        <v>1725</v>
      </c>
      <c r="Q3" s="51">
        <v>3563</v>
      </c>
      <c r="R3" s="51">
        <v>48.41</v>
      </c>
      <c r="S3" s="51">
        <v>682</v>
      </c>
      <c r="T3" s="51">
        <v>923</v>
      </c>
      <c r="U3" s="51">
        <v>73.89</v>
      </c>
      <c r="V3" s="51">
        <v>573</v>
      </c>
      <c r="W3" s="51">
        <v>1460</v>
      </c>
      <c r="X3" s="51">
        <v>2233</v>
      </c>
      <c r="Y3" s="51">
        <v>1059</v>
      </c>
      <c r="Z3" s="51">
        <v>0</v>
      </c>
      <c r="AA3" s="51">
        <v>0</v>
      </c>
      <c r="AB3" s="51">
        <v>334</v>
      </c>
      <c r="AC3" s="51">
        <v>136</v>
      </c>
      <c r="AD3" s="51">
        <v>56</v>
      </c>
      <c r="AE3" s="51">
        <v>68</v>
      </c>
      <c r="AF3" s="51">
        <v>72</v>
      </c>
      <c r="AG3" s="51">
        <v>409</v>
      </c>
      <c r="AH3" s="51">
        <v>650</v>
      </c>
      <c r="AI3" s="51">
        <v>1059</v>
      </c>
      <c r="AJ3" s="51">
        <v>5</v>
      </c>
      <c r="AK3" s="51">
        <v>606</v>
      </c>
      <c r="AL3" s="51">
        <v>35</v>
      </c>
      <c r="AM3" s="51">
        <v>218</v>
      </c>
      <c r="AN3" s="51">
        <v>1098</v>
      </c>
      <c r="AO3" s="51">
        <v>1722</v>
      </c>
      <c r="AP3" s="62"/>
    </row>
    <row r="4" spans="1:42" x14ac:dyDescent="0.4">
      <c r="A4" s="54" t="s">
        <v>123</v>
      </c>
      <c r="B4" s="48" t="s">
        <v>88</v>
      </c>
      <c r="C4" s="48">
        <v>1193</v>
      </c>
      <c r="D4" s="48">
        <v>1124</v>
      </c>
      <c r="E4" s="48">
        <v>1066</v>
      </c>
      <c r="F4" s="48">
        <v>1050</v>
      </c>
      <c r="G4" s="48">
        <v>42</v>
      </c>
      <c r="H4" s="48">
        <v>4475</v>
      </c>
      <c r="I4" s="48">
        <v>82.87</v>
      </c>
      <c r="J4" s="48">
        <v>1204</v>
      </c>
      <c r="K4" s="48">
        <v>2166</v>
      </c>
      <c r="L4" s="48">
        <v>55.59</v>
      </c>
      <c r="M4" s="48">
        <v>474</v>
      </c>
      <c r="N4" s="48">
        <v>1396</v>
      </c>
      <c r="O4" s="48">
        <v>33.950000000000003</v>
      </c>
      <c r="P4" s="48">
        <v>1678</v>
      </c>
      <c r="Q4" s="48">
        <v>3562</v>
      </c>
      <c r="R4" s="48">
        <v>47.11</v>
      </c>
      <c r="S4" s="48">
        <v>645</v>
      </c>
      <c r="T4" s="48">
        <v>870</v>
      </c>
      <c r="U4" s="48">
        <v>74.14</v>
      </c>
      <c r="V4" s="48">
        <v>561</v>
      </c>
      <c r="W4" s="48">
        <v>1299</v>
      </c>
      <c r="X4" s="48">
        <v>2052</v>
      </c>
      <c r="Y4" s="48">
        <v>990</v>
      </c>
      <c r="Z4" s="48">
        <v>0</v>
      </c>
      <c r="AA4" s="48">
        <v>0</v>
      </c>
      <c r="AB4" s="48">
        <v>330</v>
      </c>
      <c r="AC4" s="48">
        <v>124</v>
      </c>
      <c r="AD4" s="48">
        <v>45</v>
      </c>
      <c r="AE4" s="48">
        <v>58</v>
      </c>
      <c r="AF4" s="48">
        <v>62</v>
      </c>
      <c r="AG4" s="48">
        <v>445</v>
      </c>
      <c r="AH4" s="48">
        <v>656</v>
      </c>
      <c r="AI4" s="48">
        <v>1101</v>
      </c>
      <c r="AJ4" s="48">
        <v>5</v>
      </c>
      <c r="AK4" s="48">
        <v>557</v>
      </c>
      <c r="AL4" s="48">
        <v>20</v>
      </c>
      <c r="AM4" s="48">
        <v>211</v>
      </c>
      <c r="AN4" s="48">
        <v>1154</v>
      </c>
      <c r="AO4" s="48">
        <v>528</v>
      </c>
      <c r="AP4" s="63"/>
    </row>
    <row r="5" spans="1:42" x14ac:dyDescent="0.4">
      <c r="A5" s="54" t="s">
        <v>145</v>
      </c>
      <c r="B5" s="48" t="s">
        <v>88</v>
      </c>
      <c r="C5" s="48">
        <v>1214</v>
      </c>
      <c r="D5" s="48">
        <v>1176</v>
      </c>
      <c r="E5" s="48">
        <v>1142</v>
      </c>
      <c r="F5" s="48">
        <v>1145</v>
      </c>
      <c r="G5" s="48">
        <v>49</v>
      </c>
      <c r="H5" s="48">
        <v>4726</v>
      </c>
      <c r="I5" s="48">
        <v>87.52</v>
      </c>
      <c r="J5" s="48">
        <v>1327</v>
      </c>
      <c r="K5" s="48">
        <v>2480</v>
      </c>
      <c r="L5" s="48">
        <v>53.51</v>
      </c>
      <c r="M5" s="48">
        <v>514</v>
      </c>
      <c r="N5" s="48">
        <v>1478</v>
      </c>
      <c r="O5" s="48">
        <v>34.78</v>
      </c>
      <c r="P5" s="48">
        <v>1841</v>
      </c>
      <c r="Q5" s="48">
        <v>3958</v>
      </c>
      <c r="R5" s="48">
        <v>46.51</v>
      </c>
      <c r="S5" s="48">
        <v>530</v>
      </c>
      <c r="T5" s="48">
        <v>761</v>
      </c>
      <c r="U5" s="48">
        <v>69.650000000000006</v>
      </c>
      <c r="V5" s="48">
        <v>584</v>
      </c>
      <c r="W5" s="48">
        <v>1350</v>
      </c>
      <c r="X5" s="48">
        <v>2087</v>
      </c>
      <c r="Y5" s="48">
        <v>1053</v>
      </c>
      <c r="Z5" s="48">
        <v>0</v>
      </c>
      <c r="AA5" s="48">
        <v>0</v>
      </c>
      <c r="AB5" s="48">
        <v>367</v>
      </c>
      <c r="AC5" s="48">
        <v>156</v>
      </c>
      <c r="AD5" s="48">
        <v>33</v>
      </c>
      <c r="AE5" s="48">
        <v>63</v>
      </c>
      <c r="AF5" s="48">
        <v>66</v>
      </c>
      <c r="AG5" s="48">
        <v>550</v>
      </c>
      <c r="AH5" s="48">
        <v>585</v>
      </c>
      <c r="AI5" s="48">
        <v>1135</v>
      </c>
      <c r="AJ5" s="48">
        <v>12</v>
      </c>
      <c r="AK5" s="48">
        <v>466</v>
      </c>
      <c r="AL5" s="48">
        <v>26</v>
      </c>
      <c r="AM5" s="48">
        <v>240</v>
      </c>
      <c r="AN5" s="48">
        <v>1148</v>
      </c>
      <c r="AO5" s="48">
        <v>-300</v>
      </c>
      <c r="AP5" s="63"/>
    </row>
    <row r="6" spans="1:42" x14ac:dyDescent="0.4">
      <c r="A6" s="54" t="s">
        <v>164</v>
      </c>
      <c r="B6" s="48" t="s">
        <v>88</v>
      </c>
      <c r="C6" s="48">
        <v>1056</v>
      </c>
      <c r="D6" s="48">
        <v>1078</v>
      </c>
      <c r="E6" s="48">
        <v>1031</v>
      </c>
      <c r="F6" s="48">
        <v>1023</v>
      </c>
      <c r="G6" s="48">
        <v>13</v>
      </c>
      <c r="H6" s="48">
        <v>4201</v>
      </c>
      <c r="I6" s="48">
        <v>77.8</v>
      </c>
      <c r="J6" s="48">
        <v>1101</v>
      </c>
      <c r="K6" s="48">
        <v>2121</v>
      </c>
      <c r="L6" s="48">
        <v>51.91</v>
      </c>
      <c r="M6" s="48">
        <v>482</v>
      </c>
      <c r="N6" s="48">
        <v>1482</v>
      </c>
      <c r="O6" s="48">
        <v>32.520000000000003</v>
      </c>
      <c r="P6" s="48">
        <v>1583</v>
      </c>
      <c r="Q6" s="48">
        <v>3603</v>
      </c>
      <c r="R6" s="48">
        <v>43.94</v>
      </c>
      <c r="S6" s="48">
        <v>553</v>
      </c>
      <c r="T6" s="48">
        <v>766</v>
      </c>
      <c r="U6" s="48">
        <v>72.19</v>
      </c>
      <c r="V6" s="48">
        <v>530</v>
      </c>
      <c r="W6" s="48">
        <v>1401</v>
      </c>
      <c r="X6" s="48">
        <v>2088</v>
      </c>
      <c r="Y6" s="48">
        <v>963</v>
      </c>
      <c r="Z6" s="48">
        <v>0</v>
      </c>
      <c r="AA6" s="48">
        <v>0</v>
      </c>
      <c r="AB6" s="48">
        <v>319</v>
      </c>
      <c r="AC6" s="48">
        <v>131</v>
      </c>
      <c r="AD6" s="48">
        <v>46</v>
      </c>
      <c r="AE6" s="48">
        <v>66</v>
      </c>
      <c r="AF6" s="48">
        <v>68</v>
      </c>
      <c r="AG6" s="48">
        <v>444</v>
      </c>
      <c r="AH6" s="48">
        <v>537</v>
      </c>
      <c r="AI6" s="48">
        <v>981</v>
      </c>
      <c r="AJ6" s="48">
        <v>8</v>
      </c>
      <c r="AK6" s="48">
        <v>597</v>
      </c>
      <c r="AL6" s="48">
        <v>30</v>
      </c>
      <c r="AM6" s="48">
        <v>218</v>
      </c>
      <c r="AN6" s="48">
        <v>1152</v>
      </c>
      <c r="AO6" s="48">
        <v>-597</v>
      </c>
      <c r="AP6" s="63"/>
    </row>
    <row r="7" spans="1:42" x14ac:dyDescent="0.4">
      <c r="A7" s="54" t="s">
        <v>183</v>
      </c>
      <c r="B7" s="48" t="s">
        <v>88</v>
      </c>
      <c r="C7" s="48">
        <v>1177</v>
      </c>
      <c r="D7" s="48">
        <v>1208</v>
      </c>
      <c r="E7" s="48">
        <v>1212</v>
      </c>
      <c r="F7" s="48">
        <v>1134</v>
      </c>
      <c r="G7" s="48">
        <v>22</v>
      </c>
      <c r="H7" s="48">
        <v>4753</v>
      </c>
      <c r="I7" s="48">
        <v>88.02</v>
      </c>
      <c r="J7" s="48">
        <v>1338</v>
      </c>
      <c r="K7" s="48">
        <v>2458</v>
      </c>
      <c r="L7" s="48">
        <v>54.43</v>
      </c>
      <c r="M7" s="48">
        <v>449</v>
      </c>
      <c r="N7" s="48">
        <v>1363</v>
      </c>
      <c r="O7" s="48">
        <v>32.94</v>
      </c>
      <c r="P7" s="48">
        <v>1787</v>
      </c>
      <c r="Q7" s="48">
        <v>3821</v>
      </c>
      <c r="R7" s="48">
        <v>46.77</v>
      </c>
      <c r="S7" s="48">
        <v>730</v>
      </c>
      <c r="T7" s="48">
        <v>963</v>
      </c>
      <c r="U7" s="48">
        <v>75.8</v>
      </c>
      <c r="V7" s="48">
        <v>582</v>
      </c>
      <c r="W7" s="48">
        <v>1357</v>
      </c>
      <c r="X7" s="48">
        <v>2135</v>
      </c>
      <c r="Y7" s="48">
        <v>1060</v>
      </c>
      <c r="Z7" s="48">
        <v>0</v>
      </c>
      <c r="AA7" s="48">
        <v>0</v>
      </c>
      <c r="AB7" s="48">
        <v>405</v>
      </c>
      <c r="AC7" s="48">
        <v>205</v>
      </c>
      <c r="AD7" s="48">
        <v>51</v>
      </c>
      <c r="AE7" s="48">
        <v>57</v>
      </c>
      <c r="AF7" s="48">
        <v>63</v>
      </c>
      <c r="AG7" s="48">
        <v>554</v>
      </c>
      <c r="AH7" s="48">
        <v>564</v>
      </c>
      <c r="AI7" s="48">
        <v>1118</v>
      </c>
      <c r="AJ7" s="48">
        <v>6</v>
      </c>
      <c r="AK7" s="48">
        <v>438</v>
      </c>
      <c r="AL7" s="48">
        <v>17</v>
      </c>
      <c r="AM7" s="48">
        <v>278</v>
      </c>
      <c r="AN7" s="48">
        <v>1154</v>
      </c>
      <c r="AO7" s="48">
        <v>2385</v>
      </c>
      <c r="AP7" s="63"/>
    </row>
    <row r="8" spans="1:42" x14ac:dyDescent="0.4">
      <c r="A8" s="54" t="s">
        <v>203</v>
      </c>
      <c r="B8" s="48" t="s">
        <v>88</v>
      </c>
      <c r="C8" s="48">
        <v>1184</v>
      </c>
      <c r="D8" s="48">
        <v>1130</v>
      </c>
      <c r="E8" s="48">
        <v>1105</v>
      </c>
      <c r="F8" s="48">
        <v>1021</v>
      </c>
      <c r="G8" s="48">
        <v>27</v>
      </c>
      <c r="H8" s="48">
        <v>4467</v>
      </c>
      <c r="I8" s="48">
        <v>82.72</v>
      </c>
      <c r="J8" s="48">
        <v>1171</v>
      </c>
      <c r="K8" s="48">
        <v>2189</v>
      </c>
      <c r="L8" s="48">
        <v>53.49</v>
      </c>
      <c r="M8" s="48">
        <v>472</v>
      </c>
      <c r="N8" s="48">
        <v>1511</v>
      </c>
      <c r="O8" s="48">
        <v>31.24</v>
      </c>
      <c r="P8" s="48">
        <v>1643</v>
      </c>
      <c r="Q8" s="48">
        <v>3700</v>
      </c>
      <c r="R8" s="48">
        <v>44.41</v>
      </c>
      <c r="S8" s="48">
        <v>709</v>
      </c>
      <c r="T8" s="48">
        <v>970</v>
      </c>
      <c r="U8" s="48">
        <v>73.09</v>
      </c>
      <c r="V8" s="48">
        <v>625</v>
      </c>
      <c r="W8" s="48">
        <v>1297</v>
      </c>
      <c r="X8" s="48">
        <v>2104</v>
      </c>
      <c r="Y8" s="48">
        <v>950</v>
      </c>
      <c r="Z8" s="48">
        <v>0</v>
      </c>
      <c r="AA8" s="48">
        <v>0</v>
      </c>
      <c r="AB8" s="48">
        <v>359</v>
      </c>
      <c r="AC8" s="48">
        <v>136</v>
      </c>
      <c r="AD8" s="48">
        <v>57</v>
      </c>
      <c r="AE8" s="48">
        <v>54</v>
      </c>
      <c r="AF8" s="48">
        <v>56</v>
      </c>
      <c r="AG8" s="48">
        <v>480</v>
      </c>
      <c r="AH8" s="48">
        <v>567</v>
      </c>
      <c r="AI8" s="48">
        <v>1047</v>
      </c>
      <c r="AJ8" s="48">
        <v>8</v>
      </c>
      <c r="AK8" s="48">
        <v>653</v>
      </c>
      <c r="AL8" s="48">
        <v>40</v>
      </c>
      <c r="AM8" s="48">
        <v>213</v>
      </c>
      <c r="AN8" s="48">
        <v>1190</v>
      </c>
      <c r="AO8" s="48">
        <v>-1054</v>
      </c>
      <c r="AP8" s="63"/>
    </row>
    <row r="9" spans="1:42" x14ac:dyDescent="0.4">
      <c r="A9" s="54" t="s">
        <v>224</v>
      </c>
      <c r="B9" s="48" t="s">
        <v>88</v>
      </c>
      <c r="C9" s="48">
        <v>1233</v>
      </c>
      <c r="D9" s="48">
        <v>1243</v>
      </c>
      <c r="E9" s="48">
        <v>1128</v>
      </c>
      <c r="F9" s="48">
        <v>1061</v>
      </c>
      <c r="G9" s="48">
        <v>0</v>
      </c>
      <c r="H9" s="48">
        <v>4665</v>
      </c>
      <c r="I9" s="48">
        <v>86.39</v>
      </c>
      <c r="J9" s="48">
        <v>1289</v>
      </c>
      <c r="K9" s="48">
        <v>2348</v>
      </c>
      <c r="L9" s="48">
        <v>54.9</v>
      </c>
      <c r="M9" s="48">
        <v>498</v>
      </c>
      <c r="N9" s="48">
        <v>1434</v>
      </c>
      <c r="O9" s="48">
        <v>34.729999999999997</v>
      </c>
      <c r="P9" s="48">
        <v>1787</v>
      </c>
      <c r="Q9" s="48">
        <v>3782</v>
      </c>
      <c r="R9" s="48">
        <v>47.25</v>
      </c>
      <c r="S9" s="48">
        <v>593</v>
      </c>
      <c r="T9" s="48">
        <v>826</v>
      </c>
      <c r="U9" s="48">
        <v>71.790000000000006</v>
      </c>
      <c r="V9" s="48">
        <v>639</v>
      </c>
      <c r="W9" s="48">
        <v>1412</v>
      </c>
      <c r="X9" s="48">
        <v>2215</v>
      </c>
      <c r="Y9" s="48">
        <v>1099</v>
      </c>
      <c r="Z9" s="48">
        <v>0</v>
      </c>
      <c r="AA9" s="48">
        <v>0</v>
      </c>
      <c r="AB9" s="48">
        <v>323</v>
      </c>
      <c r="AC9" s="48">
        <v>121</v>
      </c>
      <c r="AD9" s="48">
        <v>41</v>
      </c>
      <c r="AE9" s="48">
        <v>112</v>
      </c>
      <c r="AF9" s="48">
        <v>120</v>
      </c>
      <c r="AG9" s="48">
        <v>401</v>
      </c>
      <c r="AH9" s="48">
        <v>614</v>
      </c>
      <c r="AI9" s="48">
        <v>1015</v>
      </c>
      <c r="AJ9" s="48">
        <v>7</v>
      </c>
      <c r="AK9" s="48">
        <v>532</v>
      </c>
      <c r="AL9" s="48">
        <v>23</v>
      </c>
      <c r="AM9" s="48">
        <v>256</v>
      </c>
      <c r="AN9" s="48">
        <v>1229</v>
      </c>
      <c r="AO9" s="48">
        <v>1515</v>
      </c>
      <c r="AP9" s="63"/>
    </row>
    <row r="10" spans="1:42" x14ac:dyDescent="0.4">
      <c r="A10" s="54" t="s">
        <v>245</v>
      </c>
      <c r="B10" s="48" t="s">
        <v>88</v>
      </c>
      <c r="C10" s="48">
        <v>1213</v>
      </c>
      <c r="D10" s="48">
        <v>1129</v>
      </c>
      <c r="E10" s="48">
        <v>1156</v>
      </c>
      <c r="F10" s="48">
        <v>1072</v>
      </c>
      <c r="G10" s="48">
        <v>42</v>
      </c>
      <c r="H10" s="48">
        <v>4612</v>
      </c>
      <c r="I10" s="48">
        <v>85.41</v>
      </c>
      <c r="J10" s="48">
        <v>1351</v>
      </c>
      <c r="K10" s="48">
        <v>2521</v>
      </c>
      <c r="L10" s="48">
        <v>53.59</v>
      </c>
      <c r="M10" s="48">
        <v>422</v>
      </c>
      <c r="N10" s="48">
        <v>1248</v>
      </c>
      <c r="O10" s="48">
        <v>33.81</v>
      </c>
      <c r="P10" s="48">
        <v>1773</v>
      </c>
      <c r="Q10" s="48">
        <v>3769</v>
      </c>
      <c r="R10" s="48">
        <v>47.04</v>
      </c>
      <c r="S10" s="48">
        <v>644</v>
      </c>
      <c r="T10" s="48">
        <v>919</v>
      </c>
      <c r="U10" s="48">
        <v>70.08</v>
      </c>
      <c r="V10" s="48">
        <v>554</v>
      </c>
      <c r="W10" s="48">
        <v>1260</v>
      </c>
      <c r="X10" s="48">
        <v>2007</v>
      </c>
      <c r="Y10" s="48">
        <v>963</v>
      </c>
      <c r="Z10" s="48">
        <v>0</v>
      </c>
      <c r="AA10" s="48">
        <v>0</v>
      </c>
      <c r="AB10" s="48">
        <v>353</v>
      </c>
      <c r="AC10" s="48">
        <v>110</v>
      </c>
      <c r="AD10" s="48">
        <v>62</v>
      </c>
      <c r="AE10" s="48">
        <v>77</v>
      </c>
      <c r="AF10" s="48">
        <v>84</v>
      </c>
      <c r="AG10" s="48">
        <v>500</v>
      </c>
      <c r="AH10" s="48">
        <v>557</v>
      </c>
      <c r="AI10" s="48">
        <v>1058</v>
      </c>
      <c r="AJ10" s="48">
        <v>7</v>
      </c>
      <c r="AK10" s="48">
        <v>534</v>
      </c>
      <c r="AL10" s="48">
        <v>34</v>
      </c>
      <c r="AM10" s="48">
        <v>218</v>
      </c>
      <c r="AN10" s="48">
        <v>1211</v>
      </c>
      <c r="AO10" s="48">
        <v>-226</v>
      </c>
      <c r="AP10" s="63"/>
    </row>
    <row r="11" spans="1:42" x14ac:dyDescent="0.4">
      <c r="A11" s="54" t="s">
        <v>263</v>
      </c>
      <c r="B11" s="48" t="s">
        <v>88</v>
      </c>
      <c r="C11" s="48">
        <v>1184</v>
      </c>
      <c r="D11" s="48">
        <v>1068</v>
      </c>
      <c r="E11" s="48">
        <v>1121</v>
      </c>
      <c r="F11" s="48">
        <v>1052</v>
      </c>
      <c r="G11" s="48">
        <v>16</v>
      </c>
      <c r="H11" s="48">
        <v>4441</v>
      </c>
      <c r="I11" s="48">
        <v>82.24</v>
      </c>
      <c r="J11" s="48">
        <v>1235</v>
      </c>
      <c r="K11" s="48">
        <v>2538</v>
      </c>
      <c r="L11" s="48">
        <v>48.66</v>
      </c>
      <c r="M11" s="48">
        <v>480</v>
      </c>
      <c r="N11" s="48">
        <v>1446</v>
      </c>
      <c r="O11" s="48">
        <v>33.200000000000003</v>
      </c>
      <c r="P11" s="48">
        <v>1715</v>
      </c>
      <c r="Q11" s="48">
        <v>3984</v>
      </c>
      <c r="R11" s="48">
        <v>43.05</v>
      </c>
      <c r="S11" s="48">
        <v>531</v>
      </c>
      <c r="T11" s="48">
        <v>746</v>
      </c>
      <c r="U11" s="48">
        <v>71.180000000000007</v>
      </c>
      <c r="V11" s="48">
        <v>703</v>
      </c>
      <c r="W11" s="48">
        <v>1244</v>
      </c>
      <c r="X11" s="48">
        <v>2143</v>
      </c>
      <c r="Y11" s="48">
        <v>940</v>
      </c>
      <c r="Z11" s="48">
        <v>0</v>
      </c>
      <c r="AA11" s="48">
        <v>0</v>
      </c>
      <c r="AB11" s="48">
        <v>361</v>
      </c>
      <c r="AC11" s="48">
        <v>112</v>
      </c>
      <c r="AD11" s="48">
        <v>77</v>
      </c>
      <c r="AE11" s="48">
        <v>61</v>
      </c>
      <c r="AF11" s="48">
        <v>64</v>
      </c>
      <c r="AG11" s="48">
        <v>461</v>
      </c>
      <c r="AH11" s="48">
        <v>599</v>
      </c>
      <c r="AI11" s="48">
        <v>1060</v>
      </c>
      <c r="AJ11" s="48">
        <v>10</v>
      </c>
      <c r="AK11" s="48">
        <v>547</v>
      </c>
      <c r="AL11" s="48">
        <v>40</v>
      </c>
      <c r="AM11" s="48">
        <v>215</v>
      </c>
      <c r="AN11" s="48">
        <v>1192</v>
      </c>
      <c r="AO11" s="48">
        <v>-2049</v>
      </c>
      <c r="AP11" s="63"/>
    </row>
    <row r="12" spans="1:42" x14ac:dyDescent="0.4">
      <c r="A12" s="56" t="s">
        <v>286</v>
      </c>
      <c r="B12" s="57" t="s">
        <v>88</v>
      </c>
      <c r="C12" s="57">
        <v>1013</v>
      </c>
      <c r="D12" s="57">
        <v>1103</v>
      </c>
      <c r="E12" s="57">
        <v>1008</v>
      </c>
      <c r="F12" s="57">
        <v>1026</v>
      </c>
      <c r="G12" s="57">
        <v>0</v>
      </c>
      <c r="H12" s="57">
        <v>4150</v>
      </c>
      <c r="I12" s="57">
        <v>76.849999999999994</v>
      </c>
      <c r="J12" s="57">
        <v>1176</v>
      </c>
      <c r="K12" s="57">
        <v>2285</v>
      </c>
      <c r="L12" s="57">
        <v>51.47</v>
      </c>
      <c r="M12" s="57">
        <v>395</v>
      </c>
      <c r="N12" s="57">
        <v>1261</v>
      </c>
      <c r="O12" s="57">
        <v>31.32</v>
      </c>
      <c r="P12" s="57">
        <v>1571</v>
      </c>
      <c r="Q12" s="57">
        <v>3546</v>
      </c>
      <c r="R12" s="57">
        <v>44.3</v>
      </c>
      <c r="S12" s="57">
        <v>613</v>
      </c>
      <c r="T12" s="57">
        <v>874</v>
      </c>
      <c r="U12" s="57">
        <v>70.14</v>
      </c>
      <c r="V12" s="57">
        <v>495</v>
      </c>
      <c r="W12" s="57">
        <v>1265</v>
      </c>
      <c r="X12" s="57">
        <v>1964</v>
      </c>
      <c r="Y12" s="57">
        <v>865</v>
      </c>
      <c r="Z12" s="57">
        <v>0</v>
      </c>
      <c r="AA12" s="57">
        <v>0</v>
      </c>
      <c r="AB12" s="57">
        <v>315</v>
      </c>
      <c r="AC12" s="57">
        <v>118</v>
      </c>
      <c r="AD12" s="57">
        <v>49</v>
      </c>
      <c r="AE12" s="57">
        <v>63</v>
      </c>
      <c r="AF12" s="57">
        <v>64</v>
      </c>
      <c r="AG12" s="57">
        <v>459</v>
      </c>
      <c r="AH12" s="57">
        <v>601</v>
      </c>
      <c r="AI12" s="57">
        <v>1060</v>
      </c>
      <c r="AJ12" s="57">
        <v>10</v>
      </c>
      <c r="AK12" s="57">
        <v>569</v>
      </c>
      <c r="AL12" s="57">
        <v>35</v>
      </c>
      <c r="AM12" s="57">
        <v>152</v>
      </c>
      <c r="AN12" s="57">
        <v>1249</v>
      </c>
      <c r="AO12" s="57">
        <v>-1912</v>
      </c>
      <c r="AP12" s="64"/>
    </row>
    <row r="13" spans="1:42" x14ac:dyDescent="0.4">
      <c r="A13" s="50" t="s">
        <v>99</v>
      </c>
      <c r="B13" s="51" t="s">
        <v>306</v>
      </c>
      <c r="C13" s="51">
        <v>199</v>
      </c>
      <c r="D13" s="51">
        <v>205</v>
      </c>
      <c r="E13" s="51">
        <v>208</v>
      </c>
      <c r="F13" s="51">
        <v>218</v>
      </c>
      <c r="G13" s="51"/>
      <c r="H13" s="51">
        <v>830</v>
      </c>
      <c r="I13" s="51">
        <v>92.22</v>
      </c>
      <c r="J13" s="51">
        <v>226</v>
      </c>
      <c r="K13" s="51">
        <v>389</v>
      </c>
      <c r="L13" s="51"/>
      <c r="M13" s="51">
        <v>80</v>
      </c>
      <c r="N13" s="51">
        <v>207</v>
      </c>
      <c r="O13" s="51"/>
      <c r="P13" s="51">
        <v>306</v>
      </c>
      <c r="Q13" s="51">
        <v>596</v>
      </c>
      <c r="R13" s="51"/>
      <c r="S13" s="51">
        <v>138</v>
      </c>
      <c r="T13" s="51">
        <v>185</v>
      </c>
      <c r="U13" s="51"/>
      <c r="V13" s="51">
        <v>101</v>
      </c>
      <c r="W13" s="51">
        <v>249</v>
      </c>
      <c r="X13" s="51">
        <v>350</v>
      </c>
      <c r="Y13" s="51">
        <v>191</v>
      </c>
      <c r="Z13" s="51"/>
      <c r="AA13" s="51"/>
      <c r="AB13" s="51">
        <v>36</v>
      </c>
      <c r="AC13" s="51">
        <v>28</v>
      </c>
      <c r="AD13" s="51">
        <v>14</v>
      </c>
      <c r="AE13" s="51">
        <v>13</v>
      </c>
      <c r="AF13" s="51">
        <v>16</v>
      </c>
      <c r="AG13" s="51">
        <v>69</v>
      </c>
      <c r="AH13" s="51">
        <v>110</v>
      </c>
      <c r="AI13" s="51">
        <v>179</v>
      </c>
      <c r="AJ13" s="51">
        <v>1</v>
      </c>
      <c r="AK13" s="51">
        <v>90</v>
      </c>
      <c r="AL13" s="51">
        <v>3</v>
      </c>
      <c r="AM13" s="51">
        <v>38</v>
      </c>
      <c r="AN13" s="51">
        <v>182</v>
      </c>
      <c r="AO13" s="51">
        <v>353</v>
      </c>
    </row>
    <row r="14" spans="1:42" x14ac:dyDescent="0.4">
      <c r="A14" s="54" t="s">
        <v>123</v>
      </c>
      <c r="B14" s="48" t="s">
        <v>306</v>
      </c>
      <c r="C14" s="48">
        <v>196</v>
      </c>
      <c r="D14" s="48">
        <v>171</v>
      </c>
      <c r="E14" s="48">
        <v>193</v>
      </c>
      <c r="F14" s="48">
        <v>173</v>
      </c>
      <c r="G14" s="48"/>
      <c r="H14" s="48">
        <v>733</v>
      </c>
      <c r="I14" s="48">
        <v>91.63</v>
      </c>
      <c r="J14" s="48">
        <v>196</v>
      </c>
      <c r="K14" s="48">
        <v>325</v>
      </c>
      <c r="L14" s="48"/>
      <c r="M14" s="48">
        <v>81</v>
      </c>
      <c r="N14" s="48">
        <v>194</v>
      </c>
      <c r="O14" s="48"/>
      <c r="P14" s="48">
        <v>277</v>
      </c>
      <c r="Q14" s="48">
        <v>519</v>
      </c>
      <c r="R14" s="48"/>
      <c r="S14" s="48">
        <v>98</v>
      </c>
      <c r="T14" s="48">
        <v>134</v>
      </c>
      <c r="U14" s="48"/>
      <c r="V14" s="48">
        <v>77</v>
      </c>
      <c r="W14" s="48">
        <v>196</v>
      </c>
      <c r="X14" s="48">
        <v>273</v>
      </c>
      <c r="Y14" s="48">
        <v>152</v>
      </c>
      <c r="Z14" s="48"/>
      <c r="AA14" s="48"/>
      <c r="AB14" s="48">
        <v>51</v>
      </c>
      <c r="AC14" s="48">
        <v>23</v>
      </c>
      <c r="AD14" s="48">
        <v>4</v>
      </c>
      <c r="AE14" s="48">
        <v>13</v>
      </c>
      <c r="AF14" s="48">
        <v>13</v>
      </c>
      <c r="AG14" s="48">
        <v>75</v>
      </c>
      <c r="AH14" s="48">
        <v>92</v>
      </c>
      <c r="AI14" s="48">
        <v>167</v>
      </c>
      <c r="AJ14" s="48">
        <v>1</v>
      </c>
      <c r="AK14" s="48">
        <v>80</v>
      </c>
      <c r="AL14" s="48">
        <v>2</v>
      </c>
      <c r="AM14" s="48">
        <v>33</v>
      </c>
      <c r="AN14" s="48">
        <v>166</v>
      </c>
      <c r="AO14" s="48">
        <v>463</v>
      </c>
    </row>
    <row r="15" spans="1:42" x14ac:dyDescent="0.4">
      <c r="A15" s="54" t="s">
        <v>145</v>
      </c>
      <c r="B15" s="48" t="s">
        <v>306</v>
      </c>
      <c r="C15" s="48">
        <v>159</v>
      </c>
      <c r="D15" s="48">
        <v>157</v>
      </c>
      <c r="E15" s="48">
        <v>167</v>
      </c>
      <c r="F15" s="48">
        <v>155</v>
      </c>
      <c r="G15" s="48"/>
      <c r="H15" s="48">
        <v>638</v>
      </c>
      <c r="I15" s="48">
        <v>91.14</v>
      </c>
      <c r="J15" s="48">
        <v>168</v>
      </c>
      <c r="K15" s="48">
        <v>316</v>
      </c>
      <c r="L15" s="48"/>
      <c r="M15" s="48">
        <v>81</v>
      </c>
      <c r="N15" s="48">
        <v>183</v>
      </c>
      <c r="O15" s="48"/>
      <c r="P15" s="48">
        <v>249</v>
      </c>
      <c r="Q15" s="48">
        <v>499</v>
      </c>
      <c r="R15" s="48"/>
      <c r="S15" s="48">
        <v>59</v>
      </c>
      <c r="T15" s="48">
        <v>89</v>
      </c>
      <c r="U15" s="48"/>
      <c r="V15" s="48">
        <v>68</v>
      </c>
      <c r="W15" s="48">
        <v>181</v>
      </c>
      <c r="X15" s="48">
        <v>249</v>
      </c>
      <c r="Y15" s="48">
        <v>144</v>
      </c>
      <c r="Z15" s="48"/>
      <c r="AA15" s="48"/>
      <c r="AB15" s="48">
        <v>41</v>
      </c>
      <c r="AC15" s="48">
        <v>32</v>
      </c>
      <c r="AD15" s="48">
        <v>4</v>
      </c>
      <c r="AE15" s="48">
        <v>13</v>
      </c>
      <c r="AF15" s="48">
        <v>14</v>
      </c>
      <c r="AG15" s="48">
        <v>67</v>
      </c>
      <c r="AH15" s="48">
        <v>66</v>
      </c>
      <c r="AI15" s="48">
        <v>133</v>
      </c>
      <c r="AJ15" s="48">
        <v>3</v>
      </c>
      <c r="AK15" s="48">
        <v>61</v>
      </c>
      <c r="AL15" s="48"/>
      <c r="AM15" s="48">
        <v>37</v>
      </c>
      <c r="AN15" s="48">
        <v>150</v>
      </c>
      <c r="AO15" s="48">
        <v>129</v>
      </c>
    </row>
    <row r="16" spans="1:42" x14ac:dyDescent="0.4">
      <c r="A16" s="54" t="s">
        <v>164</v>
      </c>
      <c r="B16" s="48" t="s">
        <v>306</v>
      </c>
      <c r="C16" s="48">
        <v>167</v>
      </c>
      <c r="D16" s="48">
        <v>159</v>
      </c>
      <c r="E16" s="48">
        <v>169</v>
      </c>
      <c r="F16" s="48">
        <v>167</v>
      </c>
      <c r="G16" s="48"/>
      <c r="H16" s="48">
        <v>662</v>
      </c>
      <c r="I16" s="48">
        <v>82.75</v>
      </c>
      <c r="J16" s="48">
        <v>197</v>
      </c>
      <c r="K16" s="48">
        <v>354</v>
      </c>
      <c r="L16" s="48"/>
      <c r="M16" s="48">
        <v>64</v>
      </c>
      <c r="N16" s="48">
        <v>196</v>
      </c>
      <c r="O16" s="48"/>
      <c r="P16" s="48">
        <v>261</v>
      </c>
      <c r="Q16" s="48">
        <v>550</v>
      </c>
      <c r="R16" s="48"/>
      <c r="S16" s="48">
        <v>76</v>
      </c>
      <c r="T16" s="48">
        <v>106</v>
      </c>
      <c r="U16" s="48"/>
      <c r="V16" s="48">
        <v>80</v>
      </c>
      <c r="W16" s="48">
        <v>200</v>
      </c>
      <c r="X16" s="48">
        <v>280</v>
      </c>
      <c r="Y16" s="48">
        <v>155</v>
      </c>
      <c r="Z16" s="48"/>
      <c r="AA16" s="48"/>
      <c r="AB16" s="48">
        <v>44</v>
      </c>
      <c r="AC16" s="48">
        <v>21</v>
      </c>
      <c r="AD16" s="48">
        <v>8</v>
      </c>
      <c r="AE16" s="48">
        <v>11</v>
      </c>
      <c r="AF16" s="48">
        <v>11</v>
      </c>
      <c r="AG16" s="48">
        <v>79</v>
      </c>
      <c r="AH16" s="48">
        <v>80</v>
      </c>
      <c r="AI16" s="48">
        <v>159</v>
      </c>
      <c r="AJ16" s="48">
        <v>2</v>
      </c>
      <c r="AK16" s="48">
        <v>71</v>
      </c>
      <c r="AL16" s="48">
        <v>1</v>
      </c>
      <c r="AM16" s="48">
        <v>25</v>
      </c>
      <c r="AN16" s="48">
        <v>188</v>
      </c>
      <c r="AO16" s="48">
        <v>158</v>
      </c>
    </row>
    <row r="17" spans="1:41" x14ac:dyDescent="0.4">
      <c r="A17" s="54" t="s">
        <v>183</v>
      </c>
      <c r="B17" s="48" t="s">
        <v>306</v>
      </c>
      <c r="C17" s="48">
        <v>234</v>
      </c>
      <c r="D17" s="48">
        <v>227</v>
      </c>
      <c r="E17" s="48">
        <v>217</v>
      </c>
      <c r="F17" s="48">
        <v>196</v>
      </c>
      <c r="G17" s="48"/>
      <c r="H17" s="48">
        <v>874</v>
      </c>
      <c r="I17" s="48">
        <v>87.4</v>
      </c>
      <c r="J17" s="48">
        <v>263</v>
      </c>
      <c r="K17" s="48">
        <v>490</v>
      </c>
      <c r="L17" s="48"/>
      <c r="M17" s="48">
        <v>63</v>
      </c>
      <c r="N17" s="48">
        <v>205</v>
      </c>
      <c r="O17" s="48"/>
      <c r="P17" s="48">
        <v>326</v>
      </c>
      <c r="Q17" s="48">
        <v>695</v>
      </c>
      <c r="R17" s="48"/>
      <c r="S17" s="48">
        <v>159</v>
      </c>
      <c r="T17" s="48">
        <v>193</v>
      </c>
      <c r="U17" s="48"/>
      <c r="V17" s="48">
        <v>92</v>
      </c>
      <c r="W17" s="48">
        <v>246</v>
      </c>
      <c r="X17" s="48">
        <v>338</v>
      </c>
      <c r="Y17" s="48">
        <v>176</v>
      </c>
      <c r="Z17" s="48"/>
      <c r="AA17" s="48"/>
      <c r="AB17" s="48">
        <v>79</v>
      </c>
      <c r="AC17" s="48">
        <v>43</v>
      </c>
      <c r="AD17" s="48">
        <v>8</v>
      </c>
      <c r="AE17" s="48">
        <v>11</v>
      </c>
      <c r="AF17" s="48">
        <v>13</v>
      </c>
      <c r="AG17" s="48">
        <v>109</v>
      </c>
      <c r="AH17" s="48">
        <v>100</v>
      </c>
      <c r="AI17" s="48">
        <v>209</v>
      </c>
      <c r="AJ17" s="48">
        <v>2</v>
      </c>
      <c r="AK17" s="48">
        <v>68</v>
      </c>
      <c r="AL17" s="48">
        <v>4</v>
      </c>
      <c r="AM17" s="48">
        <v>52</v>
      </c>
      <c r="AN17" s="48">
        <v>238</v>
      </c>
      <c r="AO17" s="48">
        <v>440</v>
      </c>
    </row>
    <row r="18" spans="1:41" x14ac:dyDescent="0.4">
      <c r="A18" s="54" t="s">
        <v>203</v>
      </c>
      <c r="B18" s="48" t="s">
        <v>306</v>
      </c>
      <c r="C18" s="48">
        <v>172</v>
      </c>
      <c r="D18" s="48">
        <v>188</v>
      </c>
      <c r="E18" s="48">
        <v>163</v>
      </c>
      <c r="F18" s="48">
        <v>138</v>
      </c>
      <c r="G18" s="48"/>
      <c r="H18" s="48">
        <v>661</v>
      </c>
      <c r="I18" s="48">
        <v>73.44</v>
      </c>
      <c r="J18" s="48">
        <v>193</v>
      </c>
      <c r="K18" s="48">
        <v>379</v>
      </c>
      <c r="L18" s="48"/>
      <c r="M18" s="48">
        <v>58</v>
      </c>
      <c r="N18" s="48">
        <v>247</v>
      </c>
      <c r="O18" s="48"/>
      <c r="P18" s="48">
        <v>251</v>
      </c>
      <c r="Q18" s="48">
        <v>626</v>
      </c>
      <c r="R18" s="48"/>
      <c r="S18" s="48">
        <v>101</v>
      </c>
      <c r="T18" s="48">
        <v>145</v>
      </c>
      <c r="U18" s="48"/>
      <c r="V18" s="48">
        <v>109</v>
      </c>
      <c r="W18" s="48">
        <v>205</v>
      </c>
      <c r="X18" s="48">
        <v>314</v>
      </c>
      <c r="Y18" s="48">
        <v>130</v>
      </c>
      <c r="Z18" s="48"/>
      <c r="AA18" s="48"/>
      <c r="AB18" s="48">
        <v>64</v>
      </c>
      <c r="AC18" s="48">
        <v>28</v>
      </c>
      <c r="AD18" s="48">
        <v>6</v>
      </c>
      <c r="AE18" s="48">
        <v>3</v>
      </c>
      <c r="AF18" s="48">
        <v>3</v>
      </c>
      <c r="AG18" s="48">
        <v>72</v>
      </c>
      <c r="AH18" s="48">
        <v>90</v>
      </c>
      <c r="AI18" s="48">
        <v>162</v>
      </c>
      <c r="AJ18" s="48"/>
      <c r="AK18" s="48">
        <v>93</v>
      </c>
      <c r="AL18" s="48">
        <v>4</v>
      </c>
      <c r="AM18" s="48">
        <v>36</v>
      </c>
      <c r="AN18" s="48">
        <v>219</v>
      </c>
      <c r="AO18" s="48">
        <v>-348</v>
      </c>
    </row>
    <row r="19" spans="1:41" x14ac:dyDescent="0.4">
      <c r="A19" s="54" t="s">
        <v>224</v>
      </c>
      <c r="B19" s="48" t="s">
        <v>306</v>
      </c>
      <c r="C19" s="48">
        <v>211</v>
      </c>
      <c r="D19" s="48">
        <v>208</v>
      </c>
      <c r="E19" s="48">
        <v>167</v>
      </c>
      <c r="F19" s="48">
        <v>186</v>
      </c>
      <c r="G19" s="48"/>
      <c r="H19" s="48">
        <v>772</v>
      </c>
      <c r="I19" s="48">
        <v>77.2</v>
      </c>
      <c r="J19" s="48">
        <v>219</v>
      </c>
      <c r="K19" s="48">
        <v>460</v>
      </c>
      <c r="L19" s="48"/>
      <c r="M19" s="48">
        <v>73</v>
      </c>
      <c r="N19" s="48">
        <v>266</v>
      </c>
      <c r="O19" s="48"/>
      <c r="P19" s="48">
        <v>292</v>
      </c>
      <c r="Q19" s="48">
        <v>726</v>
      </c>
      <c r="R19" s="48"/>
      <c r="S19" s="48">
        <v>115</v>
      </c>
      <c r="T19" s="48">
        <v>161</v>
      </c>
      <c r="U19" s="48"/>
      <c r="V19" s="48">
        <v>140</v>
      </c>
      <c r="W19" s="48">
        <v>251</v>
      </c>
      <c r="X19" s="48">
        <v>391</v>
      </c>
      <c r="Y19" s="48">
        <v>185</v>
      </c>
      <c r="Z19" s="48"/>
      <c r="AA19" s="48"/>
      <c r="AB19" s="48">
        <v>66</v>
      </c>
      <c r="AC19" s="48">
        <v>25</v>
      </c>
      <c r="AD19" s="48">
        <v>10</v>
      </c>
      <c r="AE19" s="48">
        <v>20</v>
      </c>
      <c r="AF19" s="48">
        <v>20</v>
      </c>
      <c r="AG19" s="48">
        <v>78</v>
      </c>
      <c r="AH19" s="48">
        <v>109</v>
      </c>
      <c r="AI19" s="48">
        <v>187</v>
      </c>
      <c r="AJ19" s="48">
        <v>2</v>
      </c>
      <c r="AK19" s="48">
        <v>99</v>
      </c>
      <c r="AL19" s="48">
        <v>5</v>
      </c>
      <c r="AM19" s="48">
        <v>43</v>
      </c>
      <c r="AN19" s="48">
        <v>243</v>
      </c>
      <c r="AO19" s="48">
        <v>-230</v>
      </c>
    </row>
    <row r="20" spans="1:41" x14ac:dyDescent="0.4">
      <c r="A20" s="54" t="s">
        <v>245</v>
      </c>
      <c r="B20" s="48" t="s">
        <v>306</v>
      </c>
      <c r="C20" s="48">
        <v>242</v>
      </c>
      <c r="D20" s="48">
        <v>201</v>
      </c>
      <c r="E20" s="48">
        <v>201</v>
      </c>
      <c r="F20" s="48">
        <v>171</v>
      </c>
      <c r="G20" s="48"/>
      <c r="H20" s="48">
        <v>815</v>
      </c>
      <c r="I20" s="48">
        <v>81.5</v>
      </c>
      <c r="J20" s="48">
        <v>229</v>
      </c>
      <c r="K20" s="48">
        <v>477</v>
      </c>
      <c r="L20" s="48"/>
      <c r="M20" s="48">
        <v>80</v>
      </c>
      <c r="N20" s="48">
        <v>250</v>
      </c>
      <c r="O20" s="48"/>
      <c r="P20" s="48">
        <v>309</v>
      </c>
      <c r="Q20" s="48">
        <v>727</v>
      </c>
      <c r="R20" s="48"/>
      <c r="S20" s="48">
        <v>117</v>
      </c>
      <c r="T20" s="48">
        <v>161</v>
      </c>
      <c r="U20" s="48"/>
      <c r="V20" s="48">
        <v>140</v>
      </c>
      <c r="W20" s="48">
        <v>208</v>
      </c>
      <c r="X20" s="48">
        <v>348</v>
      </c>
      <c r="Y20" s="48">
        <v>176</v>
      </c>
      <c r="Z20" s="48"/>
      <c r="AA20" s="48"/>
      <c r="AB20" s="48">
        <v>61</v>
      </c>
      <c r="AC20" s="48">
        <v>10</v>
      </c>
      <c r="AD20" s="48">
        <v>15</v>
      </c>
      <c r="AE20" s="48">
        <v>6</v>
      </c>
      <c r="AF20" s="48">
        <v>6</v>
      </c>
      <c r="AG20" s="48">
        <v>90</v>
      </c>
      <c r="AH20" s="48">
        <v>95</v>
      </c>
      <c r="AI20" s="48">
        <v>185</v>
      </c>
      <c r="AJ20" s="48">
        <v>2</v>
      </c>
      <c r="AK20" s="48">
        <v>105</v>
      </c>
      <c r="AL20" s="48">
        <v>7</v>
      </c>
      <c r="AM20" s="48">
        <v>35</v>
      </c>
      <c r="AN20" s="48">
        <v>227</v>
      </c>
      <c r="AO20" s="48">
        <v>-674</v>
      </c>
    </row>
    <row r="21" spans="1:41" x14ac:dyDescent="0.4">
      <c r="A21" s="54" t="s">
        <v>263</v>
      </c>
      <c r="B21" s="48" t="s">
        <v>306</v>
      </c>
      <c r="C21" s="48">
        <v>242</v>
      </c>
      <c r="D21" s="48">
        <v>201</v>
      </c>
      <c r="E21" s="48">
        <v>201</v>
      </c>
      <c r="F21" s="48">
        <v>171</v>
      </c>
      <c r="G21" s="48"/>
      <c r="H21" s="48">
        <v>815</v>
      </c>
      <c r="I21" s="48">
        <v>81.5</v>
      </c>
      <c r="J21" s="48">
        <v>229</v>
      </c>
      <c r="K21" s="48">
        <v>477</v>
      </c>
      <c r="L21" s="48"/>
      <c r="M21" s="48">
        <v>80</v>
      </c>
      <c r="N21" s="48">
        <v>250</v>
      </c>
      <c r="O21" s="48"/>
      <c r="P21" s="48">
        <v>309</v>
      </c>
      <c r="Q21" s="48">
        <v>727</v>
      </c>
      <c r="R21" s="48"/>
      <c r="S21" s="48">
        <v>117</v>
      </c>
      <c r="T21" s="48">
        <v>161</v>
      </c>
      <c r="U21" s="48"/>
      <c r="V21" s="48">
        <v>140</v>
      </c>
      <c r="W21" s="48">
        <v>208</v>
      </c>
      <c r="X21" s="48">
        <v>348</v>
      </c>
      <c r="Y21" s="48">
        <v>176</v>
      </c>
      <c r="Z21" s="48"/>
      <c r="AA21" s="48"/>
      <c r="AB21" s="48">
        <v>61</v>
      </c>
      <c r="AC21" s="48">
        <v>10</v>
      </c>
      <c r="AD21" s="48">
        <v>15</v>
      </c>
      <c r="AE21" s="48">
        <v>6</v>
      </c>
      <c r="AF21" s="48">
        <v>6</v>
      </c>
      <c r="AG21" s="48">
        <v>90</v>
      </c>
      <c r="AH21" s="48">
        <v>95</v>
      </c>
      <c r="AI21" s="48">
        <v>185</v>
      </c>
      <c r="AJ21" s="48">
        <v>2</v>
      </c>
      <c r="AK21" s="48">
        <v>105</v>
      </c>
      <c r="AL21" s="48">
        <v>7</v>
      </c>
      <c r="AM21" s="48">
        <v>35</v>
      </c>
      <c r="AN21" s="48">
        <v>227</v>
      </c>
      <c r="AO21" s="48">
        <v>-674</v>
      </c>
    </row>
    <row r="22" spans="1:41" x14ac:dyDescent="0.4">
      <c r="A22" s="56" t="s">
        <v>286</v>
      </c>
      <c r="B22" s="57" t="s">
        <v>306</v>
      </c>
      <c r="C22" s="57">
        <v>157</v>
      </c>
      <c r="D22" s="57">
        <v>189</v>
      </c>
      <c r="E22" s="57">
        <v>159</v>
      </c>
      <c r="F22" s="57">
        <v>171</v>
      </c>
      <c r="G22" s="57"/>
      <c r="H22" s="57">
        <v>676</v>
      </c>
      <c r="I22" s="57">
        <v>75.11</v>
      </c>
      <c r="J22" s="57">
        <v>185</v>
      </c>
      <c r="K22" s="57">
        <v>377</v>
      </c>
      <c r="L22" s="57"/>
      <c r="M22" s="57">
        <v>70</v>
      </c>
      <c r="N22" s="57">
        <v>209</v>
      </c>
      <c r="O22" s="57"/>
      <c r="P22" s="57">
        <v>255</v>
      </c>
      <c r="Q22" s="57">
        <v>586</v>
      </c>
      <c r="R22" s="57"/>
      <c r="S22" s="57">
        <v>96</v>
      </c>
      <c r="T22" s="57">
        <v>141</v>
      </c>
      <c r="U22" s="57"/>
      <c r="V22" s="57">
        <v>85</v>
      </c>
      <c r="W22" s="57">
        <v>227</v>
      </c>
      <c r="X22" s="57">
        <v>312</v>
      </c>
      <c r="Y22" s="57">
        <v>135</v>
      </c>
      <c r="Z22" s="57"/>
      <c r="AA22" s="57"/>
      <c r="AB22" s="57">
        <v>44</v>
      </c>
      <c r="AC22" s="57">
        <v>24</v>
      </c>
      <c r="AD22" s="57">
        <v>9</v>
      </c>
      <c r="AE22" s="57">
        <v>18</v>
      </c>
      <c r="AF22" s="57">
        <v>19</v>
      </c>
      <c r="AG22" s="57">
        <v>79</v>
      </c>
      <c r="AH22" s="57">
        <v>96</v>
      </c>
      <c r="AI22" s="57">
        <v>175</v>
      </c>
      <c r="AJ22" s="57">
        <v>1</v>
      </c>
      <c r="AK22" s="57">
        <v>95</v>
      </c>
      <c r="AL22" s="57">
        <v>6</v>
      </c>
      <c r="AM22" s="57">
        <v>23</v>
      </c>
      <c r="AN22" s="57">
        <v>222</v>
      </c>
      <c r="AO22" s="57">
        <v>-278</v>
      </c>
    </row>
    <row r="23" spans="1:41" x14ac:dyDescent="0.4">
      <c r="A23" s="50" t="s">
        <v>99</v>
      </c>
      <c r="B23" s="51" t="s">
        <v>307</v>
      </c>
      <c r="C23" s="51">
        <v>187</v>
      </c>
      <c r="D23" s="51">
        <v>174</v>
      </c>
      <c r="E23" s="51">
        <v>192</v>
      </c>
      <c r="F23" s="51">
        <v>159</v>
      </c>
      <c r="G23" s="51"/>
      <c r="H23" s="51">
        <v>712</v>
      </c>
      <c r="I23" s="51">
        <v>79.11</v>
      </c>
      <c r="J23" s="51">
        <v>194</v>
      </c>
      <c r="K23" s="51">
        <v>363</v>
      </c>
      <c r="L23" s="51"/>
      <c r="M23" s="51">
        <v>70</v>
      </c>
      <c r="N23" s="51">
        <v>215</v>
      </c>
      <c r="O23" s="51"/>
      <c r="P23" s="51">
        <v>264</v>
      </c>
      <c r="Q23" s="51">
        <v>578</v>
      </c>
      <c r="R23" s="51"/>
      <c r="S23" s="51">
        <v>114</v>
      </c>
      <c r="T23" s="51">
        <v>152</v>
      </c>
      <c r="U23" s="51"/>
      <c r="V23" s="51">
        <v>98</v>
      </c>
      <c r="W23" s="51">
        <v>240</v>
      </c>
      <c r="X23" s="51">
        <v>338</v>
      </c>
      <c r="Y23" s="51">
        <v>156</v>
      </c>
      <c r="Z23" s="51"/>
      <c r="AA23" s="51"/>
      <c r="AB23" s="51">
        <v>50</v>
      </c>
      <c r="AC23" s="51">
        <v>17</v>
      </c>
      <c r="AD23" s="51">
        <v>6</v>
      </c>
      <c r="AE23" s="51">
        <v>8</v>
      </c>
      <c r="AF23" s="51">
        <v>8</v>
      </c>
      <c r="AG23" s="51">
        <v>60</v>
      </c>
      <c r="AH23" s="51">
        <v>112</v>
      </c>
      <c r="AI23" s="51">
        <v>172</v>
      </c>
      <c r="AJ23" s="51">
        <v>1</v>
      </c>
      <c r="AK23" s="51">
        <v>103</v>
      </c>
      <c r="AL23" s="51">
        <v>7</v>
      </c>
      <c r="AM23" s="51">
        <v>24</v>
      </c>
      <c r="AN23" s="51">
        <v>183</v>
      </c>
      <c r="AO23" s="51">
        <v>144</v>
      </c>
    </row>
    <row r="24" spans="1:41" x14ac:dyDescent="0.4">
      <c r="A24" s="54" t="s">
        <v>123</v>
      </c>
      <c r="B24" s="48" t="s">
        <v>307</v>
      </c>
      <c r="C24" s="48">
        <v>221</v>
      </c>
      <c r="D24" s="48">
        <v>183</v>
      </c>
      <c r="E24" s="48">
        <v>178</v>
      </c>
      <c r="F24" s="48">
        <v>164</v>
      </c>
      <c r="G24" s="48">
        <v>12</v>
      </c>
      <c r="H24" s="48">
        <v>758</v>
      </c>
      <c r="I24" s="48">
        <v>84.22</v>
      </c>
      <c r="J24" s="48">
        <v>208</v>
      </c>
      <c r="K24" s="48">
        <v>381</v>
      </c>
      <c r="L24" s="48"/>
      <c r="M24" s="48">
        <v>80</v>
      </c>
      <c r="N24" s="48">
        <v>224</v>
      </c>
      <c r="O24" s="48"/>
      <c r="P24" s="48">
        <v>288</v>
      </c>
      <c r="Q24" s="48">
        <v>605</v>
      </c>
      <c r="R24" s="48"/>
      <c r="S24" s="48">
        <v>102</v>
      </c>
      <c r="T24" s="48">
        <v>136</v>
      </c>
      <c r="U24" s="48"/>
      <c r="V24" s="48">
        <v>89</v>
      </c>
      <c r="W24" s="48">
        <v>221</v>
      </c>
      <c r="X24" s="48">
        <v>310</v>
      </c>
      <c r="Y24" s="48">
        <v>179</v>
      </c>
      <c r="Z24" s="48"/>
      <c r="AA24" s="48"/>
      <c r="AB24" s="48">
        <v>64</v>
      </c>
      <c r="AC24" s="48">
        <v>23</v>
      </c>
      <c r="AD24" s="48">
        <v>11</v>
      </c>
      <c r="AE24" s="48">
        <v>15</v>
      </c>
      <c r="AF24" s="48">
        <v>16</v>
      </c>
      <c r="AG24" s="48">
        <v>56</v>
      </c>
      <c r="AH24" s="48">
        <v>113</v>
      </c>
      <c r="AI24" s="48">
        <v>169</v>
      </c>
      <c r="AJ24" s="48"/>
      <c r="AK24" s="48">
        <v>88</v>
      </c>
      <c r="AL24" s="48">
        <v>3</v>
      </c>
      <c r="AM24" s="48">
        <v>40</v>
      </c>
      <c r="AN24" s="48">
        <v>202</v>
      </c>
      <c r="AO24" s="48">
        <v>275</v>
      </c>
    </row>
    <row r="25" spans="1:41" x14ac:dyDescent="0.4">
      <c r="A25" s="54" t="s">
        <v>145</v>
      </c>
      <c r="B25" s="48" t="s">
        <v>307</v>
      </c>
      <c r="C25" s="48">
        <v>185</v>
      </c>
      <c r="D25" s="48">
        <v>158</v>
      </c>
      <c r="E25" s="48">
        <v>148</v>
      </c>
      <c r="F25" s="48">
        <v>158</v>
      </c>
      <c r="G25" s="48"/>
      <c r="H25" s="48">
        <v>649</v>
      </c>
      <c r="I25" s="48">
        <v>81.13</v>
      </c>
      <c r="J25" s="48">
        <v>185</v>
      </c>
      <c r="K25" s="48">
        <v>356</v>
      </c>
      <c r="L25" s="48"/>
      <c r="M25" s="48">
        <v>69</v>
      </c>
      <c r="N25" s="48">
        <v>220</v>
      </c>
      <c r="O25" s="48"/>
      <c r="P25" s="48">
        <v>254</v>
      </c>
      <c r="Q25" s="48">
        <v>576</v>
      </c>
      <c r="R25" s="48"/>
      <c r="S25" s="48">
        <v>72</v>
      </c>
      <c r="T25" s="48">
        <v>98</v>
      </c>
      <c r="U25" s="48"/>
      <c r="V25" s="48">
        <v>86</v>
      </c>
      <c r="W25" s="48">
        <v>210</v>
      </c>
      <c r="X25" s="48">
        <v>296</v>
      </c>
      <c r="Y25" s="48">
        <v>145</v>
      </c>
      <c r="Z25" s="48"/>
      <c r="AA25" s="48"/>
      <c r="AB25" s="48">
        <v>68</v>
      </c>
      <c r="AC25" s="48">
        <v>13</v>
      </c>
      <c r="AD25" s="48">
        <v>11</v>
      </c>
      <c r="AE25" s="48">
        <v>10</v>
      </c>
      <c r="AF25" s="48">
        <v>10</v>
      </c>
      <c r="AG25" s="48">
        <v>84</v>
      </c>
      <c r="AH25" s="48">
        <v>87</v>
      </c>
      <c r="AI25" s="48">
        <v>171</v>
      </c>
      <c r="AJ25" s="48">
        <v>1</v>
      </c>
      <c r="AK25" s="48">
        <v>80</v>
      </c>
      <c r="AL25" s="48">
        <v>3</v>
      </c>
      <c r="AM25" s="48">
        <v>38</v>
      </c>
      <c r="AN25" s="48">
        <v>159</v>
      </c>
      <c r="AO25" s="48">
        <v>106</v>
      </c>
    </row>
    <row r="26" spans="1:41" x14ac:dyDescent="0.4">
      <c r="A26" s="54" t="s">
        <v>164</v>
      </c>
      <c r="B26" s="48" t="s">
        <v>307</v>
      </c>
      <c r="C26" s="48">
        <v>177</v>
      </c>
      <c r="D26" s="48">
        <v>191</v>
      </c>
      <c r="E26" s="48">
        <v>160</v>
      </c>
      <c r="F26" s="48">
        <v>179</v>
      </c>
      <c r="G26" s="48"/>
      <c r="H26" s="48">
        <v>707</v>
      </c>
      <c r="I26" s="48">
        <v>78.56</v>
      </c>
      <c r="J26" s="48">
        <v>174</v>
      </c>
      <c r="K26" s="48">
        <v>350</v>
      </c>
      <c r="L26" s="48"/>
      <c r="M26" s="48">
        <v>91</v>
      </c>
      <c r="N26" s="48">
        <v>255</v>
      </c>
      <c r="O26" s="48"/>
      <c r="P26" s="48">
        <v>265</v>
      </c>
      <c r="Q26" s="48">
        <v>605</v>
      </c>
      <c r="R26" s="48"/>
      <c r="S26" s="48">
        <v>86</v>
      </c>
      <c r="T26" s="48">
        <v>131</v>
      </c>
      <c r="U26" s="48"/>
      <c r="V26" s="48">
        <v>94</v>
      </c>
      <c r="W26" s="48">
        <v>237</v>
      </c>
      <c r="X26" s="48">
        <v>331</v>
      </c>
      <c r="Y26" s="48">
        <v>163</v>
      </c>
      <c r="Z26" s="48"/>
      <c r="AA26" s="48"/>
      <c r="AB26" s="48">
        <v>44</v>
      </c>
      <c r="AC26" s="48">
        <v>17</v>
      </c>
      <c r="AD26" s="48">
        <v>10</v>
      </c>
      <c r="AE26" s="48">
        <v>8</v>
      </c>
      <c r="AF26" s="48">
        <v>8</v>
      </c>
      <c r="AG26" s="48">
        <v>79</v>
      </c>
      <c r="AH26" s="48">
        <v>90</v>
      </c>
      <c r="AI26" s="48">
        <v>169</v>
      </c>
      <c r="AJ26" s="48">
        <v>1</v>
      </c>
      <c r="AK26" s="48">
        <v>98</v>
      </c>
      <c r="AL26" s="48">
        <v>8</v>
      </c>
      <c r="AM26" s="48">
        <v>36</v>
      </c>
      <c r="AN26" s="48">
        <v>199</v>
      </c>
      <c r="AO26" s="48">
        <v>-120</v>
      </c>
    </row>
    <row r="27" spans="1:41" x14ac:dyDescent="0.4">
      <c r="A27" s="54" t="s">
        <v>183</v>
      </c>
      <c r="B27" s="48" t="s">
        <v>307</v>
      </c>
      <c r="C27" s="48">
        <v>176</v>
      </c>
      <c r="D27" s="48">
        <v>171</v>
      </c>
      <c r="E27" s="48">
        <v>228</v>
      </c>
      <c r="F27" s="48">
        <v>181</v>
      </c>
      <c r="G27" s="48"/>
      <c r="H27" s="48">
        <v>756</v>
      </c>
      <c r="I27" s="48">
        <v>84</v>
      </c>
      <c r="J27" s="48">
        <v>237</v>
      </c>
      <c r="K27" s="48">
        <v>433</v>
      </c>
      <c r="L27" s="48"/>
      <c r="M27" s="48">
        <v>60</v>
      </c>
      <c r="N27" s="48">
        <v>201</v>
      </c>
      <c r="O27" s="48"/>
      <c r="P27" s="48">
        <v>297</v>
      </c>
      <c r="Q27" s="48">
        <v>634</v>
      </c>
      <c r="R27" s="48"/>
      <c r="S27" s="48">
        <v>102</v>
      </c>
      <c r="T27" s="48">
        <v>129</v>
      </c>
      <c r="U27" s="48"/>
      <c r="V27" s="48">
        <v>96</v>
      </c>
      <c r="W27" s="48">
        <v>233</v>
      </c>
      <c r="X27" s="48">
        <v>329</v>
      </c>
      <c r="Y27" s="48">
        <v>154</v>
      </c>
      <c r="Z27" s="48"/>
      <c r="AA27" s="48"/>
      <c r="AB27" s="48">
        <v>68</v>
      </c>
      <c r="AC27" s="48">
        <v>30</v>
      </c>
      <c r="AD27" s="48">
        <v>10</v>
      </c>
      <c r="AE27" s="48">
        <v>16</v>
      </c>
      <c r="AF27" s="48">
        <v>19</v>
      </c>
      <c r="AG27" s="48">
        <v>88</v>
      </c>
      <c r="AH27" s="48">
        <v>105</v>
      </c>
      <c r="AI27" s="48">
        <v>193</v>
      </c>
      <c r="AJ27" s="48">
        <v>2</v>
      </c>
      <c r="AK27" s="48">
        <v>84</v>
      </c>
      <c r="AL27" s="48">
        <v>1</v>
      </c>
      <c r="AM27" s="48">
        <v>46</v>
      </c>
      <c r="AN27" s="48">
        <v>186</v>
      </c>
      <c r="AO27" s="48">
        <v>440</v>
      </c>
    </row>
    <row r="28" spans="1:41" x14ac:dyDescent="0.4">
      <c r="A28" s="54" t="s">
        <v>203</v>
      </c>
      <c r="B28" s="48" t="s">
        <v>307</v>
      </c>
      <c r="C28" s="48">
        <v>216</v>
      </c>
      <c r="D28" s="48">
        <v>186</v>
      </c>
      <c r="E28" s="48">
        <v>190</v>
      </c>
      <c r="F28" s="48">
        <v>170</v>
      </c>
      <c r="G28" s="48"/>
      <c r="H28" s="48">
        <v>762</v>
      </c>
      <c r="I28" s="48">
        <v>84.67</v>
      </c>
      <c r="J28" s="48">
        <v>193</v>
      </c>
      <c r="K28" s="48">
        <v>349</v>
      </c>
      <c r="L28" s="48"/>
      <c r="M28" s="48">
        <v>83</v>
      </c>
      <c r="N28" s="48">
        <v>243</v>
      </c>
      <c r="O28" s="48"/>
      <c r="P28" s="48">
        <v>276</v>
      </c>
      <c r="Q28" s="48">
        <v>592</v>
      </c>
      <c r="R28" s="48"/>
      <c r="S28" s="48">
        <v>127</v>
      </c>
      <c r="T28" s="48">
        <v>165</v>
      </c>
      <c r="U28" s="48"/>
      <c r="V28" s="48">
        <v>110</v>
      </c>
      <c r="W28" s="48">
        <v>228</v>
      </c>
      <c r="X28" s="48">
        <v>338</v>
      </c>
      <c r="Y28" s="48">
        <v>149</v>
      </c>
      <c r="Z28" s="48"/>
      <c r="AA28" s="48"/>
      <c r="AB28" s="48">
        <v>57</v>
      </c>
      <c r="AC28" s="48">
        <v>28</v>
      </c>
      <c r="AD28" s="48">
        <v>10</v>
      </c>
      <c r="AE28" s="48">
        <v>11</v>
      </c>
      <c r="AF28" s="48">
        <v>11</v>
      </c>
      <c r="AG28" s="48">
        <v>69</v>
      </c>
      <c r="AH28" s="48">
        <v>94</v>
      </c>
      <c r="AI28" s="48">
        <v>163</v>
      </c>
      <c r="AJ28" s="48">
        <v>1</v>
      </c>
      <c r="AK28" s="48">
        <v>131</v>
      </c>
      <c r="AL28" s="48">
        <v>5</v>
      </c>
      <c r="AM28" s="48">
        <v>30</v>
      </c>
      <c r="AN28" s="48">
        <v>217</v>
      </c>
      <c r="AO28" s="48">
        <v>-81</v>
      </c>
    </row>
    <row r="29" spans="1:41" x14ac:dyDescent="0.4">
      <c r="A29" s="54" t="s">
        <v>224</v>
      </c>
      <c r="B29" s="48" t="s">
        <v>307</v>
      </c>
      <c r="C29" s="48">
        <v>249</v>
      </c>
      <c r="D29" s="48">
        <v>215</v>
      </c>
      <c r="E29" s="48">
        <v>198</v>
      </c>
      <c r="F29" s="48">
        <v>174</v>
      </c>
      <c r="G29" s="48"/>
      <c r="H29" s="48">
        <v>836</v>
      </c>
      <c r="I29" s="48">
        <v>92.89</v>
      </c>
      <c r="J29" s="48">
        <v>239</v>
      </c>
      <c r="K29" s="48">
        <v>389</v>
      </c>
      <c r="L29" s="48"/>
      <c r="M29" s="48">
        <v>92</v>
      </c>
      <c r="N29" s="48">
        <v>225</v>
      </c>
      <c r="O29" s="48"/>
      <c r="P29" s="48">
        <v>331</v>
      </c>
      <c r="Q29" s="48">
        <v>614</v>
      </c>
      <c r="R29" s="48"/>
      <c r="S29" s="48">
        <v>82</v>
      </c>
      <c r="T29" s="48">
        <v>109</v>
      </c>
      <c r="U29" s="48"/>
      <c r="V29" s="48">
        <v>83</v>
      </c>
      <c r="W29" s="48">
        <v>222</v>
      </c>
      <c r="X29" s="48">
        <v>305</v>
      </c>
      <c r="Y29" s="48">
        <v>211</v>
      </c>
      <c r="Z29" s="48"/>
      <c r="AA29" s="48"/>
      <c r="AB29" s="48">
        <v>61</v>
      </c>
      <c r="AC29" s="48">
        <v>24</v>
      </c>
      <c r="AD29" s="48">
        <v>6</v>
      </c>
      <c r="AE29" s="48">
        <v>18</v>
      </c>
      <c r="AF29" s="48">
        <v>19</v>
      </c>
      <c r="AG29" s="48">
        <v>62</v>
      </c>
      <c r="AH29" s="48">
        <v>104</v>
      </c>
      <c r="AI29" s="48">
        <v>166</v>
      </c>
      <c r="AJ29" s="48"/>
      <c r="AK29" s="48">
        <v>85</v>
      </c>
      <c r="AL29" s="48">
        <v>7</v>
      </c>
      <c r="AM29" s="48">
        <v>36</v>
      </c>
      <c r="AN29" s="48">
        <v>199</v>
      </c>
      <c r="AO29" s="48">
        <v>520</v>
      </c>
    </row>
    <row r="30" spans="1:41" x14ac:dyDescent="0.4">
      <c r="A30" s="54" t="s">
        <v>245</v>
      </c>
      <c r="B30" s="48" t="s">
        <v>307</v>
      </c>
      <c r="C30" s="48">
        <v>186</v>
      </c>
      <c r="D30" s="48">
        <v>169</v>
      </c>
      <c r="E30" s="48">
        <v>163</v>
      </c>
      <c r="F30" s="48">
        <v>187</v>
      </c>
      <c r="G30" s="48"/>
      <c r="H30" s="48">
        <v>705</v>
      </c>
      <c r="I30" s="48">
        <v>78.33</v>
      </c>
      <c r="J30" s="48">
        <v>202</v>
      </c>
      <c r="K30" s="48">
        <v>429</v>
      </c>
      <c r="L30" s="48"/>
      <c r="M30" s="48">
        <v>72</v>
      </c>
      <c r="N30" s="48">
        <v>243</v>
      </c>
      <c r="O30" s="48"/>
      <c r="P30" s="48">
        <v>274</v>
      </c>
      <c r="Q30" s="48">
        <v>672</v>
      </c>
      <c r="R30" s="48"/>
      <c r="S30" s="48">
        <v>85</v>
      </c>
      <c r="T30" s="48">
        <v>119</v>
      </c>
      <c r="U30" s="48"/>
      <c r="V30" s="48">
        <v>121</v>
      </c>
      <c r="W30" s="48">
        <v>205</v>
      </c>
      <c r="X30" s="48">
        <v>326</v>
      </c>
      <c r="Y30" s="48">
        <v>153</v>
      </c>
      <c r="Z30" s="48"/>
      <c r="AA30" s="48"/>
      <c r="AB30" s="48">
        <v>67</v>
      </c>
      <c r="AC30" s="48">
        <v>12</v>
      </c>
      <c r="AD30" s="48">
        <v>12</v>
      </c>
      <c r="AE30" s="48">
        <v>16</v>
      </c>
      <c r="AF30" s="48">
        <v>16</v>
      </c>
      <c r="AG30" s="48">
        <v>77</v>
      </c>
      <c r="AH30" s="48">
        <v>103</v>
      </c>
      <c r="AI30" s="48">
        <v>180</v>
      </c>
      <c r="AJ30" s="48">
        <v>1</v>
      </c>
      <c r="AK30" s="48">
        <v>96</v>
      </c>
      <c r="AL30" s="48">
        <v>12</v>
      </c>
      <c r="AM30" s="48">
        <v>36</v>
      </c>
      <c r="AN30" s="48">
        <v>228</v>
      </c>
      <c r="AO30" s="48">
        <v>-450</v>
      </c>
    </row>
    <row r="31" spans="1:41" x14ac:dyDescent="0.4">
      <c r="A31" s="54" t="s">
        <v>263</v>
      </c>
      <c r="B31" s="48" t="s">
        <v>307</v>
      </c>
      <c r="C31" s="48">
        <v>186</v>
      </c>
      <c r="D31" s="48">
        <v>169</v>
      </c>
      <c r="E31" s="48">
        <v>163</v>
      </c>
      <c r="F31" s="48">
        <v>187</v>
      </c>
      <c r="G31" s="48"/>
      <c r="H31" s="48">
        <v>705</v>
      </c>
      <c r="I31" s="48">
        <v>78.33</v>
      </c>
      <c r="J31" s="48">
        <v>202</v>
      </c>
      <c r="K31" s="48">
        <v>429</v>
      </c>
      <c r="L31" s="48"/>
      <c r="M31" s="48">
        <v>72</v>
      </c>
      <c r="N31" s="48">
        <v>243</v>
      </c>
      <c r="O31" s="48"/>
      <c r="P31" s="48">
        <v>274</v>
      </c>
      <c r="Q31" s="48">
        <v>672</v>
      </c>
      <c r="R31" s="48"/>
      <c r="S31" s="48">
        <v>85</v>
      </c>
      <c r="T31" s="48">
        <v>119</v>
      </c>
      <c r="U31" s="48"/>
      <c r="V31" s="48">
        <v>121</v>
      </c>
      <c r="W31" s="48">
        <v>205</v>
      </c>
      <c r="X31" s="48">
        <v>326</v>
      </c>
      <c r="Y31" s="48">
        <v>153</v>
      </c>
      <c r="Z31" s="48"/>
      <c r="AA31" s="48"/>
      <c r="AB31" s="48">
        <v>67</v>
      </c>
      <c r="AC31" s="48">
        <v>12</v>
      </c>
      <c r="AD31" s="48">
        <v>12</v>
      </c>
      <c r="AE31" s="48">
        <v>16</v>
      </c>
      <c r="AF31" s="48">
        <v>16</v>
      </c>
      <c r="AG31" s="48">
        <v>77</v>
      </c>
      <c r="AH31" s="48">
        <v>103</v>
      </c>
      <c r="AI31" s="48">
        <v>180</v>
      </c>
      <c r="AJ31" s="48">
        <v>1</v>
      </c>
      <c r="AK31" s="48">
        <v>96</v>
      </c>
      <c r="AL31" s="48">
        <v>12</v>
      </c>
      <c r="AM31" s="48">
        <v>36</v>
      </c>
      <c r="AN31" s="48">
        <v>228</v>
      </c>
      <c r="AO31" s="48">
        <v>-450</v>
      </c>
    </row>
    <row r="32" spans="1:41" x14ac:dyDescent="0.4">
      <c r="A32" s="56" t="s">
        <v>286</v>
      </c>
      <c r="B32" s="57" t="s">
        <v>307</v>
      </c>
      <c r="C32" s="57">
        <v>177</v>
      </c>
      <c r="D32" s="57">
        <v>214</v>
      </c>
      <c r="E32" s="57">
        <v>166</v>
      </c>
      <c r="F32" s="57">
        <v>182</v>
      </c>
      <c r="G32" s="57"/>
      <c r="H32" s="57">
        <v>739</v>
      </c>
      <c r="I32" s="57">
        <v>73.900000000000006</v>
      </c>
      <c r="J32" s="57">
        <v>206</v>
      </c>
      <c r="K32" s="57">
        <v>418</v>
      </c>
      <c r="L32" s="57"/>
      <c r="M32" s="57">
        <v>73</v>
      </c>
      <c r="N32" s="57">
        <v>238</v>
      </c>
      <c r="O32" s="57"/>
      <c r="P32" s="57">
        <v>279</v>
      </c>
      <c r="Q32" s="57">
        <v>656</v>
      </c>
      <c r="R32" s="57"/>
      <c r="S32" s="57">
        <v>108</v>
      </c>
      <c r="T32" s="57">
        <v>153</v>
      </c>
      <c r="U32" s="57"/>
      <c r="V32" s="57">
        <v>84</v>
      </c>
      <c r="W32" s="57">
        <v>206</v>
      </c>
      <c r="X32" s="57">
        <v>290</v>
      </c>
      <c r="Y32" s="57">
        <v>154</v>
      </c>
      <c r="Z32" s="57"/>
      <c r="AA32" s="57"/>
      <c r="AB32" s="57">
        <v>62</v>
      </c>
      <c r="AC32" s="57">
        <v>21</v>
      </c>
      <c r="AD32" s="57">
        <v>11</v>
      </c>
      <c r="AE32" s="57">
        <v>9</v>
      </c>
      <c r="AF32" s="57">
        <v>9</v>
      </c>
      <c r="AG32" s="57">
        <v>78</v>
      </c>
      <c r="AH32" s="57">
        <v>119</v>
      </c>
      <c r="AI32" s="57">
        <v>197</v>
      </c>
      <c r="AJ32" s="57">
        <v>4</v>
      </c>
      <c r="AK32" s="57">
        <v>108</v>
      </c>
      <c r="AL32" s="57">
        <v>5</v>
      </c>
      <c r="AM32" s="57">
        <v>26</v>
      </c>
      <c r="AN32" s="57">
        <v>235</v>
      </c>
      <c r="AO32" s="57">
        <v>-729</v>
      </c>
    </row>
    <row r="33" spans="1:41" x14ac:dyDescent="0.4">
      <c r="A33" s="50" t="s">
        <v>99</v>
      </c>
      <c r="B33" s="51" t="s">
        <v>309</v>
      </c>
      <c r="C33" s="51">
        <v>229</v>
      </c>
      <c r="D33" s="51">
        <v>209</v>
      </c>
      <c r="E33" s="51">
        <v>213</v>
      </c>
      <c r="F33" s="51">
        <v>182</v>
      </c>
      <c r="G33" s="51"/>
      <c r="H33" s="51">
        <v>833</v>
      </c>
      <c r="I33" s="51">
        <v>83.3</v>
      </c>
      <c r="J33" s="51">
        <v>212</v>
      </c>
      <c r="K33" s="51">
        <v>386</v>
      </c>
      <c r="L33" s="51"/>
      <c r="M33" s="51">
        <v>100</v>
      </c>
      <c r="N33" s="51">
        <v>274</v>
      </c>
      <c r="O33" s="51"/>
      <c r="P33" s="51">
        <v>312</v>
      </c>
      <c r="Q33" s="51">
        <v>660</v>
      </c>
      <c r="R33" s="51"/>
      <c r="S33" s="51">
        <v>109</v>
      </c>
      <c r="T33" s="51">
        <v>149</v>
      </c>
      <c r="U33" s="51"/>
      <c r="V33" s="51">
        <v>99</v>
      </c>
      <c r="W33" s="51">
        <v>261</v>
      </c>
      <c r="X33" s="51">
        <v>360</v>
      </c>
      <c r="Y33" s="51">
        <v>203</v>
      </c>
      <c r="Z33" s="51"/>
      <c r="AA33" s="51"/>
      <c r="AB33" s="51">
        <v>75</v>
      </c>
      <c r="AC33" s="51">
        <v>20</v>
      </c>
      <c r="AD33" s="51">
        <v>10</v>
      </c>
      <c r="AE33" s="51">
        <v>9</v>
      </c>
      <c r="AF33" s="51">
        <v>9</v>
      </c>
      <c r="AG33" s="51">
        <v>60</v>
      </c>
      <c r="AH33" s="51">
        <v>125</v>
      </c>
      <c r="AI33" s="51">
        <v>185</v>
      </c>
      <c r="AJ33" s="51"/>
      <c r="AK33" s="51">
        <v>112</v>
      </c>
      <c r="AL33" s="51">
        <v>9</v>
      </c>
      <c r="AM33" s="51">
        <v>47</v>
      </c>
      <c r="AN33" s="51">
        <v>205</v>
      </c>
      <c r="AO33" s="51">
        <v>570</v>
      </c>
    </row>
    <row r="34" spans="1:41" x14ac:dyDescent="0.4">
      <c r="A34" s="54" t="s">
        <v>123</v>
      </c>
      <c r="B34" s="48" t="s">
        <v>309</v>
      </c>
      <c r="C34" s="48">
        <v>217</v>
      </c>
      <c r="D34" s="48">
        <v>236</v>
      </c>
      <c r="E34" s="48">
        <v>180</v>
      </c>
      <c r="F34" s="48">
        <v>185</v>
      </c>
      <c r="G34" s="48">
        <v>19</v>
      </c>
      <c r="H34" s="48">
        <v>837</v>
      </c>
      <c r="I34" s="48">
        <v>83.7</v>
      </c>
      <c r="J34" s="48">
        <v>214</v>
      </c>
      <c r="K34" s="48">
        <v>401</v>
      </c>
      <c r="L34" s="48"/>
      <c r="M34" s="48">
        <v>93</v>
      </c>
      <c r="N34" s="48">
        <v>263</v>
      </c>
      <c r="O34" s="48"/>
      <c r="P34" s="48">
        <v>307</v>
      </c>
      <c r="Q34" s="48">
        <v>664</v>
      </c>
      <c r="R34" s="48"/>
      <c r="S34" s="48">
        <v>130</v>
      </c>
      <c r="T34" s="48">
        <v>172</v>
      </c>
      <c r="U34" s="48"/>
      <c r="V34" s="48">
        <v>119</v>
      </c>
      <c r="W34" s="48">
        <v>247</v>
      </c>
      <c r="X34" s="48">
        <v>366</v>
      </c>
      <c r="Y34" s="48">
        <v>196</v>
      </c>
      <c r="Z34" s="48"/>
      <c r="AA34" s="48"/>
      <c r="AB34" s="48">
        <v>53</v>
      </c>
      <c r="AC34" s="48">
        <v>17</v>
      </c>
      <c r="AD34" s="48">
        <v>5</v>
      </c>
      <c r="AE34" s="48">
        <v>10</v>
      </c>
      <c r="AF34" s="48">
        <v>10</v>
      </c>
      <c r="AG34" s="48">
        <v>69</v>
      </c>
      <c r="AH34" s="48">
        <v>131</v>
      </c>
      <c r="AI34" s="48">
        <v>200</v>
      </c>
      <c r="AJ34" s="48">
        <v>1</v>
      </c>
      <c r="AK34" s="48">
        <v>119</v>
      </c>
      <c r="AL34" s="48">
        <v>9</v>
      </c>
      <c r="AM34" s="48">
        <v>32</v>
      </c>
      <c r="AN34" s="48">
        <v>214</v>
      </c>
      <c r="AO34" s="48">
        <v>-50</v>
      </c>
    </row>
    <row r="35" spans="1:41" x14ac:dyDescent="0.4">
      <c r="A35" s="54" t="s">
        <v>145</v>
      </c>
      <c r="B35" s="48" t="s">
        <v>309</v>
      </c>
      <c r="C35" s="48">
        <v>190</v>
      </c>
      <c r="D35" s="48">
        <v>188</v>
      </c>
      <c r="E35" s="48">
        <v>183</v>
      </c>
      <c r="F35" s="48">
        <v>180</v>
      </c>
      <c r="G35" s="48">
        <v>14</v>
      </c>
      <c r="H35" s="48">
        <v>755</v>
      </c>
      <c r="I35" s="48">
        <v>83.89</v>
      </c>
      <c r="J35" s="48">
        <v>220</v>
      </c>
      <c r="K35" s="48">
        <v>427</v>
      </c>
      <c r="L35" s="48"/>
      <c r="M35" s="48">
        <v>73</v>
      </c>
      <c r="N35" s="48">
        <v>231</v>
      </c>
      <c r="O35" s="48"/>
      <c r="P35" s="48">
        <v>293</v>
      </c>
      <c r="Q35" s="48">
        <v>658</v>
      </c>
      <c r="R35" s="48"/>
      <c r="S35" s="48">
        <v>96</v>
      </c>
      <c r="T35" s="48">
        <v>131</v>
      </c>
      <c r="U35" s="48"/>
      <c r="V35" s="48">
        <v>94</v>
      </c>
      <c r="W35" s="48">
        <v>212</v>
      </c>
      <c r="X35" s="48">
        <v>306</v>
      </c>
      <c r="Y35" s="48">
        <v>163</v>
      </c>
      <c r="Z35" s="48"/>
      <c r="AA35" s="48"/>
      <c r="AB35" s="48">
        <v>68</v>
      </c>
      <c r="AC35" s="48">
        <v>23</v>
      </c>
      <c r="AD35" s="48">
        <v>5</v>
      </c>
      <c r="AE35" s="48">
        <v>9</v>
      </c>
      <c r="AF35" s="48">
        <v>10</v>
      </c>
      <c r="AG35" s="48">
        <v>93</v>
      </c>
      <c r="AH35" s="48">
        <v>99</v>
      </c>
      <c r="AI35" s="48">
        <v>192</v>
      </c>
      <c r="AJ35" s="48">
        <v>2</v>
      </c>
      <c r="AK35" s="48">
        <v>70</v>
      </c>
      <c r="AL35" s="48">
        <v>4</v>
      </c>
      <c r="AM35" s="48">
        <v>38</v>
      </c>
      <c r="AN35" s="48">
        <v>189</v>
      </c>
      <c r="AO35" s="48">
        <v>-215</v>
      </c>
    </row>
    <row r="36" spans="1:41" x14ac:dyDescent="0.4">
      <c r="A36" s="54" t="s">
        <v>164</v>
      </c>
      <c r="B36" s="48" t="s">
        <v>309</v>
      </c>
      <c r="C36" s="48">
        <v>157</v>
      </c>
      <c r="D36" s="48">
        <v>166</v>
      </c>
      <c r="E36" s="48">
        <v>176</v>
      </c>
      <c r="F36" s="48">
        <v>159</v>
      </c>
      <c r="G36" s="48"/>
      <c r="H36" s="48">
        <v>658</v>
      </c>
      <c r="I36" s="48">
        <v>73.11</v>
      </c>
      <c r="J36" s="48">
        <v>150</v>
      </c>
      <c r="K36" s="48">
        <v>324</v>
      </c>
      <c r="L36" s="48"/>
      <c r="M36" s="48">
        <v>86</v>
      </c>
      <c r="N36" s="48">
        <v>267</v>
      </c>
      <c r="O36" s="48"/>
      <c r="P36" s="48">
        <v>236</v>
      </c>
      <c r="Q36" s="48">
        <v>591</v>
      </c>
      <c r="R36" s="48"/>
      <c r="S36" s="48">
        <v>100</v>
      </c>
      <c r="T36" s="48">
        <v>130</v>
      </c>
      <c r="U36" s="48"/>
      <c r="V36" s="48">
        <v>86</v>
      </c>
      <c r="W36" s="48">
        <v>228</v>
      </c>
      <c r="X36" s="48">
        <v>314</v>
      </c>
      <c r="Y36" s="48">
        <v>146</v>
      </c>
      <c r="Z36" s="48"/>
      <c r="AA36" s="48"/>
      <c r="AB36" s="48">
        <v>60</v>
      </c>
      <c r="AC36" s="48">
        <v>22</v>
      </c>
      <c r="AD36" s="48">
        <v>7</v>
      </c>
      <c r="AE36" s="48">
        <v>12</v>
      </c>
      <c r="AF36" s="48">
        <v>12</v>
      </c>
      <c r="AG36" s="48">
        <v>57</v>
      </c>
      <c r="AH36" s="48">
        <v>94</v>
      </c>
      <c r="AI36" s="48">
        <v>151</v>
      </c>
      <c r="AJ36" s="48">
        <v>1</v>
      </c>
      <c r="AK36" s="48">
        <v>118</v>
      </c>
      <c r="AL36" s="48">
        <v>5</v>
      </c>
      <c r="AM36" s="48">
        <v>22</v>
      </c>
      <c r="AN36" s="48">
        <v>206</v>
      </c>
      <c r="AO36" s="48">
        <v>-370</v>
      </c>
    </row>
    <row r="37" spans="1:41" x14ac:dyDescent="0.4">
      <c r="A37" s="54" t="s">
        <v>183</v>
      </c>
      <c r="B37" s="48" t="s">
        <v>309</v>
      </c>
      <c r="C37" s="48">
        <v>170</v>
      </c>
      <c r="D37" s="48">
        <v>195</v>
      </c>
      <c r="E37" s="48">
        <v>184</v>
      </c>
      <c r="F37" s="48">
        <v>167</v>
      </c>
      <c r="G37" s="48"/>
      <c r="H37" s="48">
        <v>716</v>
      </c>
      <c r="I37" s="48">
        <v>89.5</v>
      </c>
      <c r="J37" s="48">
        <v>198</v>
      </c>
      <c r="K37" s="48">
        <v>376</v>
      </c>
      <c r="L37" s="48"/>
      <c r="M37" s="48">
        <v>74</v>
      </c>
      <c r="N37" s="48">
        <v>229</v>
      </c>
      <c r="O37" s="48"/>
      <c r="P37" s="48">
        <v>272</v>
      </c>
      <c r="Q37" s="48">
        <v>605</v>
      </c>
      <c r="R37" s="48"/>
      <c r="S37" s="48">
        <v>98</v>
      </c>
      <c r="T37" s="48">
        <v>126</v>
      </c>
      <c r="U37" s="48"/>
      <c r="V37" s="48">
        <v>105</v>
      </c>
      <c r="W37" s="48">
        <v>213</v>
      </c>
      <c r="X37" s="48">
        <v>318</v>
      </c>
      <c r="Y37" s="48">
        <v>180</v>
      </c>
      <c r="Z37" s="48"/>
      <c r="AA37" s="48"/>
      <c r="AB37" s="48">
        <v>61</v>
      </c>
      <c r="AC37" s="48">
        <v>26</v>
      </c>
      <c r="AD37" s="48">
        <v>8</v>
      </c>
      <c r="AE37" s="48">
        <v>14</v>
      </c>
      <c r="AF37" s="48">
        <v>14</v>
      </c>
      <c r="AG37" s="48">
        <v>96</v>
      </c>
      <c r="AH37" s="48">
        <v>80</v>
      </c>
      <c r="AI37" s="48">
        <v>176</v>
      </c>
      <c r="AJ37" s="48"/>
      <c r="AK37" s="48">
        <v>63</v>
      </c>
      <c r="AL37" s="48"/>
      <c r="AM37" s="48">
        <v>44</v>
      </c>
      <c r="AN37" s="48">
        <v>186</v>
      </c>
      <c r="AO37" s="48">
        <v>320</v>
      </c>
    </row>
    <row r="38" spans="1:41" x14ac:dyDescent="0.4">
      <c r="A38" s="54" t="s">
        <v>203</v>
      </c>
      <c r="B38" s="48" t="s">
        <v>309</v>
      </c>
      <c r="C38" s="48">
        <v>183</v>
      </c>
      <c r="D38" s="48">
        <v>198</v>
      </c>
      <c r="E38" s="48">
        <v>190</v>
      </c>
      <c r="F38" s="48">
        <v>176</v>
      </c>
      <c r="G38" s="48"/>
      <c r="H38" s="48">
        <v>747</v>
      </c>
      <c r="I38" s="48">
        <v>83</v>
      </c>
      <c r="J38" s="48">
        <v>191</v>
      </c>
      <c r="K38" s="48">
        <v>347</v>
      </c>
      <c r="L38" s="48"/>
      <c r="M38" s="48">
        <v>83</v>
      </c>
      <c r="N38" s="48">
        <v>236</v>
      </c>
      <c r="O38" s="48"/>
      <c r="P38" s="48">
        <v>274</v>
      </c>
      <c r="Q38" s="48">
        <v>583</v>
      </c>
      <c r="R38" s="48"/>
      <c r="S38" s="48">
        <v>116</v>
      </c>
      <c r="T38" s="48">
        <v>149</v>
      </c>
      <c r="U38" s="48"/>
      <c r="V38" s="48">
        <v>92</v>
      </c>
      <c r="W38" s="48">
        <v>216</v>
      </c>
      <c r="X38" s="48">
        <v>308</v>
      </c>
      <c r="Y38" s="48">
        <v>166</v>
      </c>
      <c r="Z38" s="48"/>
      <c r="AA38" s="48"/>
      <c r="AB38" s="48">
        <v>54</v>
      </c>
      <c r="AC38" s="48">
        <v>26</v>
      </c>
      <c r="AD38" s="48">
        <v>10</v>
      </c>
      <c r="AE38" s="48">
        <v>9</v>
      </c>
      <c r="AF38" s="48">
        <v>10</v>
      </c>
      <c r="AG38" s="48">
        <v>76</v>
      </c>
      <c r="AH38" s="48">
        <v>101</v>
      </c>
      <c r="AI38" s="48">
        <v>177</v>
      </c>
      <c r="AJ38" s="48">
        <v>3</v>
      </c>
      <c r="AK38" s="48">
        <v>127</v>
      </c>
      <c r="AL38" s="48">
        <v>9</v>
      </c>
      <c r="AM38" s="48">
        <v>36</v>
      </c>
      <c r="AN38" s="48">
        <v>203</v>
      </c>
      <c r="AO38" s="48">
        <v>-215</v>
      </c>
    </row>
    <row r="39" spans="1:41" x14ac:dyDescent="0.4">
      <c r="A39" s="54" t="s">
        <v>224</v>
      </c>
      <c r="B39" s="48" t="s">
        <v>309</v>
      </c>
      <c r="C39" s="48">
        <v>210</v>
      </c>
      <c r="D39" s="48">
        <v>221</v>
      </c>
      <c r="E39" s="48">
        <v>205</v>
      </c>
      <c r="F39" s="48">
        <v>193</v>
      </c>
      <c r="G39" s="48"/>
      <c r="H39" s="48">
        <v>829</v>
      </c>
      <c r="I39" s="48">
        <v>92.11</v>
      </c>
      <c r="J39" s="48">
        <v>250</v>
      </c>
      <c r="K39" s="48">
        <v>398</v>
      </c>
      <c r="L39" s="48"/>
      <c r="M39" s="48">
        <v>80</v>
      </c>
      <c r="N39" s="48">
        <v>230</v>
      </c>
      <c r="O39" s="48"/>
      <c r="P39" s="48">
        <v>330</v>
      </c>
      <c r="Q39" s="48">
        <v>628</v>
      </c>
      <c r="R39" s="48"/>
      <c r="S39" s="48">
        <v>89</v>
      </c>
      <c r="T39" s="48">
        <v>128</v>
      </c>
      <c r="U39" s="48"/>
      <c r="V39" s="48">
        <v>102</v>
      </c>
      <c r="W39" s="48">
        <v>241</v>
      </c>
      <c r="X39" s="48">
        <v>343</v>
      </c>
      <c r="Y39" s="48">
        <v>198</v>
      </c>
      <c r="Z39" s="48"/>
      <c r="AA39" s="48"/>
      <c r="AB39" s="48">
        <v>61</v>
      </c>
      <c r="AC39" s="48">
        <v>21</v>
      </c>
      <c r="AD39" s="48">
        <v>5</v>
      </c>
      <c r="AE39" s="48">
        <v>20</v>
      </c>
      <c r="AF39" s="48">
        <v>21</v>
      </c>
      <c r="AG39" s="48">
        <v>58</v>
      </c>
      <c r="AH39" s="48">
        <v>105</v>
      </c>
      <c r="AI39" s="48">
        <v>163</v>
      </c>
      <c r="AJ39" s="48">
        <v>2</v>
      </c>
      <c r="AK39" s="48">
        <v>87</v>
      </c>
      <c r="AL39" s="48">
        <v>4</v>
      </c>
      <c r="AM39" s="48">
        <v>65</v>
      </c>
      <c r="AN39" s="48">
        <v>211</v>
      </c>
      <c r="AO39" s="48">
        <v>560</v>
      </c>
    </row>
    <row r="40" spans="1:41" x14ac:dyDescent="0.4">
      <c r="A40" s="54" t="s">
        <v>245</v>
      </c>
      <c r="B40" s="48" t="s">
        <v>309</v>
      </c>
      <c r="C40" s="48">
        <v>217</v>
      </c>
      <c r="D40" s="48">
        <v>193</v>
      </c>
      <c r="E40" s="48">
        <v>223</v>
      </c>
      <c r="F40" s="48">
        <v>193</v>
      </c>
      <c r="G40" s="48"/>
      <c r="H40" s="48">
        <v>826</v>
      </c>
      <c r="I40" s="48">
        <v>82.6</v>
      </c>
      <c r="J40" s="48">
        <v>213</v>
      </c>
      <c r="K40" s="48">
        <v>433</v>
      </c>
      <c r="L40" s="48"/>
      <c r="M40" s="48">
        <v>106</v>
      </c>
      <c r="N40" s="48">
        <v>316</v>
      </c>
      <c r="O40" s="48"/>
      <c r="P40" s="48">
        <v>319</v>
      </c>
      <c r="Q40" s="48">
        <v>749</v>
      </c>
      <c r="R40" s="48"/>
      <c r="S40" s="48">
        <v>82</v>
      </c>
      <c r="T40" s="48">
        <v>117</v>
      </c>
      <c r="U40" s="48"/>
      <c r="V40" s="48">
        <v>134</v>
      </c>
      <c r="W40" s="48">
        <v>224</v>
      </c>
      <c r="X40" s="48">
        <v>358</v>
      </c>
      <c r="Y40" s="48">
        <v>169</v>
      </c>
      <c r="Z40" s="48"/>
      <c r="AA40" s="48"/>
      <c r="AB40" s="48">
        <v>76</v>
      </c>
      <c r="AC40" s="48">
        <v>33</v>
      </c>
      <c r="AD40" s="48">
        <v>14</v>
      </c>
      <c r="AE40" s="48">
        <v>12</v>
      </c>
      <c r="AF40" s="48">
        <v>13</v>
      </c>
      <c r="AG40" s="48">
        <v>88</v>
      </c>
      <c r="AH40" s="48">
        <v>108</v>
      </c>
      <c r="AI40" s="48">
        <v>196</v>
      </c>
      <c r="AJ40" s="48"/>
      <c r="AK40" s="48">
        <v>106</v>
      </c>
      <c r="AL40" s="48">
        <v>8</v>
      </c>
      <c r="AM40" s="48">
        <v>43</v>
      </c>
      <c r="AN40" s="48">
        <v>225</v>
      </c>
      <c r="AO40" s="48">
        <v>-370</v>
      </c>
    </row>
    <row r="41" spans="1:41" x14ac:dyDescent="0.4">
      <c r="A41" s="54" t="s">
        <v>263</v>
      </c>
      <c r="B41" s="48" t="s">
        <v>309</v>
      </c>
      <c r="C41" s="48">
        <v>217</v>
      </c>
      <c r="D41" s="48">
        <v>193</v>
      </c>
      <c r="E41" s="48">
        <v>223</v>
      </c>
      <c r="F41" s="48">
        <v>193</v>
      </c>
      <c r="G41" s="48"/>
      <c r="H41" s="48">
        <v>826</v>
      </c>
      <c r="I41" s="48">
        <v>82.6</v>
      </c>
      <c r="J41" s="48">
        <v>213</v>
      </c>
      <c r="K41" s="48">
        <v>433</v>
      </c>
      <c r="L41" s="48"/>
      <c r="M41" s="48">
        <v>106</v>
      </c>
      <c r="N41" s="48">
        <v>316</v>
      </c>
      <c r="O41" s="48"/>
      <c r="P41" s="48">
        <v>319</v>
      </c>
      <c r="Q41" s="48">
        <v>749</v>
      </c>
      <c r="R41" s="48"/>
      <c r="S41" s="48">
        <v>82</v>
      </c>
      <c r="T41" s="48">
        <v>117</v>
      </c>
      <c r="U41" s="48"/>
      <c r="V41" s="48">
        <v>134</v>
      </c>
      <c r="W41" s="48">
        <v>224</v>
      </c>
      <c r="X41" s="48">
        <v>358</v>
      </c>
      <c r="Y41" s="48">
        <v>169</v>
      </c>
      <c r="Z41" s="48"/>
      <c r="AA41" s="48"/>
      <c r="AB41" s="48">
        <v>76</v>
      </c>
      <c r="AC41" s="48">
        <v>33</v>
      </c>
      <c r="AD41" s="48">
        <v>14</v>
      </c>
      <c r="AE41" s="48">
        <v>12</v>
      </c>
      <c r="AF41" s="48">
        <v>13</v>
      </c>
      <c r="AG41" s="48">
        <v>88</v>
      </c>
      <c r="AH41" s="48">
        <v>108</v>
      </c>
      <c r="AI41" s="48">
        <v>196</v>
      </c>
      <c r="AJ41" s="48"/>
      <c r="AK41" s="48">
        <v>106</v>
      </c>
      <c r="AL41" s="48">
        <v>8</v>
      </c>
      <c r="AM41" s="48">
        <v>43</v>
      </c>
      <c r="AN41" s="48">
        <v>225</v>
      </c>
      <c r="AO41" s="48">
        <v>-370</v>
      </c>
    </row>
    <row r="42" spans="1:41" x14ac:dyDescent="0.4">
      <c r="A42" s="56" t="s">
        <v>286</v>
      </c>
      <c r="B42" s="57" t="s">
        <v>309</v>
      </c>
      <c r="C42" s="57">
        <v>159</v>
      </c>
      <c r="D42" s="57">
        <v>161</v>
      </c>
      <c r="E42" s="57">
        <v>174</v>
      </c>
      <c r="F42" s="57">
        <v>146</v>
      </c>
      <c r="G42" s="57"/>
      <c r="H42" s="57">
        <v>640</v>
      </c>
      <c r="I42" s="57">
        <v>80</v>
      </c>
      <c r="J42" s="57">
        <v>192</v>
      </c>
      <c r="K42" s="57">
        <v>356</v>
      </c>
      <c r="L42" s="57"/>
      <c r="M42" s="57">
        <v>58</v>
      </c>
      <c r="N42" s="57">
        <v>184</v>
      </c>
      <c r="O42" s="57"/>
      <c r="P42" s="57">
        <v>250</v>
      </c>
      <c r="Q42" s="57">
        <v>540</v>
      </c>
      <c r="R42" s="57"/>
      <c r="S42" s="57">
        <v>82</v>
      </c>
      <c r="T42" s="57">
        <v>126</v>
      </c>
      <c r="U42" s="57"/>
      <c r="V42" s="57">
        <v>75</v>
      </c>
      <c r="W42" s="57">
        <v>212</v>
      </c>
      <c r="X42" s="57">
        <v>287</v>
      </c>
      <c r="Y42" s="57">
        <v>135</v>
      </c>
      <c r="Z42" s="57"/>
      <c r="AA42" s="57"/>
      <c r="AB42" s="57">
        <v>42</v>
      </c>
      <c r="AC42" s="57">
        <v>15</v>
      </c>
      <c r="AD42" s="57">
        <v>6</v>
      </c>
      <c r="AE42" s="57">
        <v>12</v>
      </c>
      <c r="AF42" s="57">
        <v>12</v>
      </c>
      <c r="AG42" s="57">
        <v>72</v>
      </c>
      <c r="AH42" s="57">
        <v>84</v>
      </c>
      <c r="AI42" s="57">
        <v>156</v>
      </c>
      <c r="AJ42" s="57"/>
      <c r="AK42" s="57">
        <v>80</v>
      </c>
      <c r="AL42" s="57">
        <v>6</v>
      </c>
      <c r="AM42" s="57">
        <v>26</v>
      </c>
      <c r="AN42" s="57">
        <v>158</v>
      </c>
      <c r="AO42" s="57">
        <v>-55</v>
      </c>
    </row>
    <row r="43" spans="1:41" x14ac:dyDescent="0.4">
      <c r="A43" s="50" t="s">
        <v>99</v>
      </c>
      <c r="B43" s="51" t="s">
        <v>311</v>
      </c>
      <c r="C43" s="51">
        <v>177</v>
      </c>
      <c r="D43" s="51">
        <v>184</v>
      </c>
      <c r="E43" s="51">
        <v>157</v>
      </c>
      <c r="F43" s="51">
        <v>152</v>
      </c>
      <c r="G43" s="51"/>
      <c r="H43" s="51">
        <v>670</v>
      </c>
      <c r="I43" s="51">
        <v>83.75</v>
      </c>
      <c r="J43" s="51">
        <v>163</v>
      </c>
      <c r="K43" s="51">
        <v>305</v>
      </c>
      <c r="L43" s="51"/>
      <c r="M43" s="51">
        <v>82</v>
      </c>
      <c r="N43" s="51">
        <v>212</v>
      </c>
      <c r="O43" s="51"/>
      <c r="P43" s="51">
        <v>245</v>
      </c>
      <c r="Q43" s="51">
        <v>517</v>
      </c>
      <c r="R43" s="51"/>
      <c r="S43" s="51">
        <v>98</v>
      </c>
      <c r="T43" s="51">
        <v>130</v>
      </c>
      <c r="U43" s="51"/>
      <c r="V43" s="51">
        <v>88</v>
      </c>
      <c r="W43" s="51">
        <v>214</v>
      </c>
      <c r="X43" s="51">
        <v>302</v>
      </c>
      <c r="Y43" s="51">
        <v>153</v>
      </c>
      <c r="Z43" s="51"/>
      <c r="AA43" s="51"/>
      <c r="AB43" s="51">
        <v>51</v>
      </c>
      <c r="AC43" s="51">
        <v>19</v>
      </c>
      <c r="AD43" s="51">
        <v>9</v>
      </c>
      <c r="AE43" s="51">
        <v>7</v>
      </c>
      <c r="AF43" s="51">
        <v>7</v>
      </c>
      <c r="AG43" s="51">
        <v>65</v>
      </c>
      <c r="AH43" s="51">
        <v>96</v>
      </c>
      <c r="AI43" s="51">
        <v>161</v>
      </c>
      <c r="AJ43" s="51">
        <v>1</v>
      </c>
      <c r="AK43" s="51">
        <v>92</v>
      </c>
      <c r="AL43" s="51">
        <v>6</v>
      </c>
      <c r="AM43" s="51">
        <v>31</v>
      </c>
      <c r="AN43" s="51">
        <v>142</v>
      </c>
      <c r="AO43" s="51">
        <v>250</v>
      </c>
    </row>
    <row r="44" spans="1:41" x14ac:dyDescent="0.4">
      <c r="A44" s="54" t="s">
        <v>123</v>
      </c>
      <c r="B44" s="48" t="s">
        <v>311</v>
      </c>
      <c r="C44" s="48">
        <v>205</v>
      </c>
      <c r="D44" s="48">
        <v>194</v>
      </c>
      <c r="E44" s="48">
        <v>189</v>
      </c>
      <c r="F44" s="48">
        <v>201</v>
      </c>
      <c r="G44" s="48">
        <v>11</v>
      </c>
      <c r="H44" s="48">
        <v>800</v>
      </c>
      <c r="I44" s="48">
        <v>80</v>
      </c>
      <c r="J44" s="48">
        <v>217</v>
      </c>
      <c r="K44" s="48">
        <v>418</v>
      </c>
      <c r="L44" s="48"/>
      <c r="M44" s="48">
        <v>85</v>
      </c>
      <c r="N44" s="48">
        <v>266</v>
      </c>
      <c r="O44" s="48"/>
      <c r="P44" s="48">
        <v>302</v>
      </c>
      <c r="Q44" s="48">
        <v>684</v>
      </c>
      <c r="R44" s="48"/>
      <c r="S44" s="48">
        <v>111</v>
      </c>
      <c r="T44" s="48">
        <v>163</v>
      </c>
      <c r="U44" s="48"/>
      <c r="V44" s="48">
        <v>106</v>
      </c>
      <c r="W44" s="48">
        <v>226</v>
      </c>
      <c r="X44" s="48">
        <v>332</v>
      </c>
      <c r="Y44" s="48">
        <v>166</v>
      </c>
      <c r="Z44" s="48"/>
      <c r="AA44" s="48"/>
      <c r="AB44" s="48">
        <v>63</v>
      </c>
      <c r="AC44" s="48">
        <v>28</v>
      </c>
      <c r="AD44" s="48">
        <v>11</v>
      </c>
      <c r="AE44" s="48">
        <v>10</v>
      </c>
      <c r="AF44" s="48">
        <v>12</v>
      </c>
      <c r="AG44" s="48">
        <v>91</v>
      </c>
      <c r="AH44" s="48">
        <v>119</v>
      </c>
      <c r="AI44" s="48">
        <v>210</v>
      </c>
      <c r="AJ44" s="48"/>
      <c r="AK44" s="48">
        <v>89</v>
      </c>
      <c r="AL44" s="48">
        <v>2</v>
      </c>
      <c r="AM44" s="48">
        <v>34</v>
      </c>
      <c r="AN44" s="48">
        <v>212</v>
      </c>
      <c r="AO44" s="48">
        <v>-285</v>
      </c>
    </row>
    <row r="45" spans="1:41" x14ac:dyDescent="0.4">
      <c r="A45" s="54" t="s">
        <v>145</v>
      </c>
      <c r="B45" s="48" t="s">
        <v>311</v>
      </c>
      <c r="C45" s="48">
        <v>217</v>
      </c>
      <c r="D45" s="48">
        <v>214</v>
      </c>
      <c r="E45" s="48">
        <v>179</v>
      </c>
      <c r="F45" s="48">
        <v>237</v>
      </c>
      <c r="G45" s="48">
        <v>13</v>
      </c>
      <c r="H45" s="48">
        <v>860</v>
      </c>
      <c r="I45" s="48">
        <v>86</v>
      </c>
      <c r="J45" s="48">
        <v>256</v>
      </c>
      <c r="K45" s="48">
        <v>492</v>
      </c>
      <c r="L45" s="48"/>
      <c r="M45" s="48">
        <v>88</v>
      </c>
      <c r="N45" s="48">
        <v>267</v>
      </c>
      <c r="O45" s="48"/>
      <c r="P45" s="48">
        <v>344</v>
      </c>
      <c r="Q45" s="48">
        <v>759</v>
      </c>
      <c r="R45" s="48"/>
      <c r="S45" s="48">
        <v>84</v>
      </c>
      <c r="T45" s="48">
        <v>117</v>
      </c>
      <c r="U45" s="48"/>
      <c r="V45" s="48">
        <v>120</v>
      </c>
      <c r="W45" s="48">
        <v>234</v>
      </c>
      <c r="X45" s="48">
        <v>354</v>
      </c>
      <c r="Y45" s="48">
        <v>181</v>
      </c>
      <c r="Z45" s="48"/>
      <c r="AA45" s="48"/>
      <c r="AB45" s="48">
        <v>61</v>
      </c>
      <c r="AC45" s="48">
        <v>24</v>
      </c>
      <c r="AD45" s="48">
        <v>4</v>
      </c>
      <c r="AE45" s="48">
        <v>10</v>
      </c>
      <c r="AF45" s="48">
        <v>10</v>
      </c>
      <c r="AG45" s="48">
        <v>104</v>
      </c>
      <c r="AH45" s="48">
        <v>107</v>
      </c>
      <c r="AI45" s="48">
        <v>211</v>
      </c>
      <c r="AJ45" s="48">
        <v>2</v>
      </c>
      <c r="AK45" s="48">
        <v>81</v>
      </c>
      <c r="AL45" s="48">
        <v>7</v>
      </c>
      <c r="AM45" s="48">
        <v>33</v>
      </c>
      <c r="AN45" s="48">
        <v>206</v>
      </c>
      <c r="AO45" s="48">
        <v>-225</v>
      </c>
    </row>
    <row r="46" spans="1:41" x14ac:dyDescent="0.4">
      <c r="A46" s="54" t="s">
        <v>164</v>
      </c>
      <c r="B46" s="48" t="s">
        <v>311</v>
      </c>
      <c r="C46" s="48">
        <v>188</v>
      </c>
      <c r="D46" s="48">
        <v>206</v>
      </c>
      <c r="E46" s="48">
        <v>189</v>
      </c>
      <c r="F46" s="48">
        <v>183</v>
      </c>
      <c r="G46" s="48"/>
      <c r="H46" s="48">
        <v>766</v>
      </c>
      <c r="I46" s="48">
        <v>76.599999999999994</v>
      </c>
      <c r="J46" s="48">
        <v>199</v>
      </c>
      <c r="K46" s="48">
        <v>385</v>
      </c>
      <c r="L46" s="48"/>
      <c r="M46" s="48">
        <v>83</v>
      </c>
      <c r="N46" s="48">
        <v>272</v>
      </c>
      <c r="O46" s="48"/>
      <c r="P46" s="48">
        <v>282</v>
      </c>
      <c r="Q46" s="48">
        <v>657</v>
      </c>
      <c r="R46" s="48"/>
      <c r="S46" s="48">
        <v>119</v>
      </c>
      <c r="T46" s="48">
        <v>163</v>
      </c>
      <c r="U46" s="48"/>
      <c r="V46" s="48">
        <v>96</v>
      </c>
      <c r="W46" s="48">
        <v>247</v>
      </c>
      <c r="X46" s="48">
        <v>343</v>
      </c>
      <c r="Y46" s="48">
        <v>176</v>
      </c>
      <c r="Z46" s="48"/>
      <c r="AA46" s="48"/>
      <c r="AB46" s="48">
        <v>61</v>
      </c>
      <c r="AC46" s="48">
        <v>19</v>
      </c>
      <c r="AD46" s="48">
        <v>7</v>
      </c>
      <c r="AE46" s="48">
        <v>11</v>
      </c>
      <c r="AF46" s="48">
        <v>13</v>
      </c>
      <c r="AG46" s="48">
        <v>80</v>
      </c>
      <c r="AH46" s="48">
        <v>92</v>
      </c>
      <c r="AI46" s="48">
        <v>172</v>
      </c>
      <c r="AJ46" s="48">
        <v>1</v>
      </c>
      <c r="AK46" s="48">
        <v>92</v>
      </c>
      <c r="AL46" s="48">
        <v>5</v>
      </c>
      <c r="AM46" s="48">
        <v>48</v>
      </c>
      <c r="AN46" s="48">
        <v>182</v>
      </c>
      <c r="AO46" s="48">
        <v>-85</v>
      </c>
    </row>
    <row r="47" spans="1:41" x14ac:dyDescent="0.4">
      <c r="A47" s="54" t="s">
        <v>183</v>
      </c>
      <c r="B47" s="48" t="s">
        <v>311</v>
      </c>
      <c r="C47" s="48">
        <v>200</v>
      </c>
      <c r="D47" s="48">
        <v>217</v>
      </c>
      <c r="E47" s="48">
        <v>230</v>
      </c>
      <c r="F47" s="48">
        <v>207</v>
      </c>
      <c r="G47" s="48"/>
      <c r="H47" s="48">
        <v>854</v>
      </c>
      <c r="I47" s="48">
        <v>94.89</v>
      </c>
      <c r="J47" s="48">
        <v>203</v>
      </c>
      <c r="K47" s="48">
        <v>357</v>
      </c>
      <c r="L47" s="48"/>
      <c r="M47" s="48">
        <v>111</v>
      </c>
      <c r="N47" s="48">
        <v>258</v>
      </c>
      <c r="O47" s="48"/>
      <c r="P47" s="48">
        <v>314</v>
      </c>
      <c r="Q47" s="48">
        <v>615</v>
      </c>
      <c r="R47" s="48"/>
      <c r="S47" s="48">
        <v>115</v>
      </c>
      <c r="T47" s="48">
        <v>166</v>
      </c>
      <c r="U47" s="48"/>
      <c r="V47" s="48">
        <v>81</v>
      </c>
      <c r="W47" s="48">
        <v>253</v>
      </c>
      <c r="X47" s="48">
        <v>334</v>
      </c>
      <c r="Y47" s="48">
        <v>195</v>
      </c>
      <c r="Z47" s="48"/>
      <c r="AA47" s="48"/>
      <c r="AB47" s="48">
        <v>64</v>
      </c>
      <c r="AC47" s="48">
        <v>27</v>
      </c>
      <c r="AD47" s="48">
        <v>7</v>
      </c>
      <c r="AE47" s="48">
        <v>11</v>
      </c>
      <c r="AF47" s="48">
        <v>11</v>
      </c>
      <c r="AG47" s="48">
        <v>64</v>
      </c>
      <c r="AH47" s="48">
        <v>102</v>
      </c>
      <c r="AI47" s="48">
        <v>166</v>
      </c>
      <c r="AJ47" s="48">
        <v>1</v>
      </c>
      <c r="AK47" s="48">
        <v>70</v>
      </c>
      <c r="AL47" s="48">
        <v>3</v>
      </c>
      <c r="AM47" s="48">
        <v>51</v>
      </c>
      <c r="AN47" s="48">
        <v>179</v>
      </c>
      <c r="AO47" s="48">
        <v>970</v>
      </c>
    </row>
    <row r="48" spans="1:41" x14ac:dyDescent="0.4">
      <c r="A48" s="54" t="s">
        <v>203</v>
      </c>
      <c r="B48" s="48" t="s">
        <v>311</v>
      </c>
      <c r="C48" s="48">
        <v>196</v>
      </c>
      <c r="D48" s="48">
        <v>168</v>
      </c>
      <c r="E48" s="48">
        <v>158</v>
      </c>
      <c r="F48" s="48">
        <v>170</v>
      </c>
      <c r="G48" s="48"/>
      <c r="H48" s="48">
        <v>692</v>
      </c>
      <c r="I48" s="48">
        <v>76.89</v>
      </c>
      <c r="J48" s="48">
        <v>180</v>
      </c>
      <c r="K48" s="48">
        <v>351</v>
      </c>
      <c r="L48" s="48"/>
      <c r="M48" s="48">
        <v>74</v>
      </c>
      <c r="N48" s="48">
        <v>246</v>
      </c>
      <c r="O48" s="48"/>
      <c r="P48" s="48">
        <v>254</v>
      </c>
      <c r="Q48" s="48">
        <v>597</v>
      </c>
      <c r="R48" s="48"/>
      <c r="S48" s="48">
        <v>110</v>
      </c>
      <c r="T48" s="48">
        <v>169</v>
      </c>
      <c r="U48" s="48"/>
      <c r="V48" s="48">
        <v>96</v>
      </c>
      <c r="W48" s="48">
        <v>204</v>
      </c>
      <c r="X48" s="48">
        <v>300</v>
      </c>
      <c r="Y48" s="48">
        <v>145</v>
      </c>
      <c r="Z48" s="48"/>
      <c r="AA48" s="48"/>
      <c r="AB48" s="48">
        <v>59</v>
      </c>
      <c r="AC48" s="48">
        <v>10</v>
      </c>
      <c r="AD48" s="48">
        <v>12</v>
      </c>
      <c r="AE48" s="48">
        <v>8</v>
      </c>
      <c r="AF48" s="48">
        <v>9</v>
      </c>
      <c r="AG48" s="48">
        <v>64</v>
      </c>
      <c r="AH48" s="48">
        <v>96</v>
      </c>
      <c r="AI48" s="48">
        <v>160</v>
      </c>
      <c r="AJ48" s="48">
        <v>2</v>
      </c>
      <c r="AK48" s="48">
        <v>99</v>
      </c>
      <c r="AL48" s="48">
        <v>8</v>
      </c>
      <c r="AM48" s="48">
        <v>33</v>
      </c>
      <c r="AN48" s="48">
        <v>198</v>
      </c>
      <c r="AO48" s="48">
        <v>-340</v>
      </c>
    </row>
    <row r="49" spans="1:41" x14ac:dyDescent="0.4">
      <c r="A49" s="54" t="s">
        <v>224</v>
      </c>
      <c r="B49" s="48" t="s">
        <v>311</v>
      </c>
      <c r="C49" s="48">
        <v>158</v>
      </c>
      <c r="D49" s="48">
        <v>204</v>
      </c>
      <c r="E49" s="48">
        <v>174</v>
      </c>
      <c r="F49" s="48">
        <v>170</v>
      </c>
      <c r="G49" s="48"/>
      <c r="H49" s="48">
        <v>706</v>
      </c>
      <c r="I49" s="48">
        <v>88.25</v>
      </c>
      <c r="J49" s="48">
        <v>192</v>
      </c>
      <c r="K49" s="48">
        <v>349</v>
      </c>
      <c r="L49" s="48"/>
      <c r="M49" s="48">
        <v>77</v>
      </c>
      <c r="N49" s="48">
        <v>221</v>
      </c>
      <c r="O49" s="48"/>
      <c r="P49" s="48">
        <v>269</v>
      </c>
      <c r="Q49" s="48">
        <v>570</v>
      </c>
      <c r="R49" s="48"/>
      <c r="S49" s="48">
        <v>91</v>
      </c>
      <c r="T49" s="48">
        <v>119</v>
      </c>
      <c r="U49" s="48"/>
      <c r="V49" s="48">
        <v>93</v>
      </c>
      <c r="W49" s="48">
        <v>208</v>
      </c>
      <c r="X49" s="48">
        <v>301</v>
      </c>
      <c r="Y49" s="48">
        <v>160</v>
      </c>
      <c r="Z49" s="48"/>
      <c r="AA49" s="48"/>
      <c r="AB49" s="48">
        <v>33</v>
      </c>
      <c r="AC49" s="48">
        <v>18</v>
      </c>
      <c r="AD49" s="48">
        <v>6</v>
      </c>
      <c r="AE49" s="48">
        <v>19</v>
      </c>
      <c r="AF49" s="48">
        <v>21</v>
      </c>
      <c r="AG49" s="48">
        <v>73</v>
      </c>
      <c r="AH49" s="48">
        <v>86</v>
      </c>
      <c r="AI49" s="48">
        <v>159</v>
      </c>
      <c r="AJ49" s="48">
        <v>2</v>
      </c>
      <c r="AK49" s="48">
        <v>74</v>
      </c>
      <c r="AL49" s="48">
        <v>1</v>
      </c>
      <c r="AM49" s="48">
        <v>37</v>
      </c>
      <c r="AN49" s="48">
        <v>201</v>
      </c>
      <c r="AO49" s="48">
        <v>90</v>
      </c>
    </row>
    <row r="50" spans="1:41" x14ac:dyDescent="0.4">
      <c r="A50" s="54" t="s">
        <v>245</v>
      </c>
      <c r="B50" s="48" t="s">
        <v>311</v>
      </c>
      <c r="C50" s="48">
        <v>188</v>
      </c>
      <c r="D50" s="48">
        <v>156</v>
      </c>
      <c r="E50" s="48">
        <v>177</v>
      </c>
      <c r="F50" s="48">
        <v>141</v>
      </c>
      <c r="G50" s="48"/>
      <c r="H50" s="48">
        <v>662</v>
      </c>
      <c r="I50" s="48">
        <v>82.75</v>
      </c>
      <c r="J50" s="48">
        <v>177</v>
      </c>
      <c r="K50" s="48">
        <v>368</v>
      </c>
      <c r="L50" s="48"/>
      <c r="M50" s="48">
        <v>78</v>
      </c>
      <c r="N50" s="48">
        <v>218</v>
      </c>
      <c r="O50" s="48"/>
      <c r="P50" s="48">
        <v>255</v>
      </c>
      <c r="Q50" s="48">
        <v>586</v>
      </c>
      <c r="R50" s="48"/>
      <c r="S50" s="48">
        <v>74</v>
      </c>
      <c r="T50" s="48">
        <v>96</v>
      </c>
      <c r="U50" s="48"/>
      <c r="V50" s="48">
        <v>102</v>
      </c>
      <c r="W50" s="48">
        <v>199</v>
      </c>
      <c r="X50" s="48">
        <v>301</v>
      </c>
      <c r="Y50" s="48">
        <v>140</v>
      </c>
      <c r="Z50" s="48"/>
      <c r="AA50" s="48"/>
      <c r="AB50" s="48">
        <v>41</v>
      </c>
      <c r="AC50" s="48">
        <v>13</v>
      </c>
      <c r="AD50" s="48">
        <v>13</v>
      </c>
      <c r="AE50" s="48">
        <v>10</v>
      </c>
      <c r="AF50" s="48">
        <v>10</v>
      </c>
      <c r="AG50" s="48">
        <v>73</v>
      </c>
      <c r="AH50" s="48">
        <v>91</v>
      </c>
      <c r="AI50" s="48">
        <v>164</v>
      </c>
      <c r="AJ50" s="48">
        <v>1</v>
      </c>
      <c r="AK50" s="48">
        <v>72</v>
      </c>
      <c r="AL50" s="48">
        <v>3</v>
      </c>
      <c r="AM50" s="48">
        <v>25</v>
      </c>
      <c r="AN50" s="48">
        <v>166</v>
      </c>
      <c r="AO50" s="48">
        <v>-195</v>
      </c>
    </row>
    <row r="51" spans="1:41" x14ac:dyDescent="0.4">
      <c r="A51" s="54" t="s">
        <v>263</v>
      </c>
      <c r="B51" s="48" t="s">
        <v>311</v>
      </c>
      <c r="C51" s="48">
        <v>188</v>
      </c>
      <c r="D51" s="48">
        <v>156</v>
      </c>
      <c r="E51" s="48">
        <v>177</v>
      </c>
      <c r="F51" s="48">
        <v>141</v>
      </c>
      <c r="G51" s="48"/>
      <c r="H51" s="48">
        <v>662</v>
      </c>
      <c r="I51" s="48">
        <v>82.75</v>
      </c>
      <c r="J51" s="48">
        <v>177</v>
      </c>
      <c r="K51" s="48">
        <v>368</v>
      </c>
      <c r="L51" s="48"/>
      <c r="M51" s="48">
        <v>78</v>
      </c>
      <c r="N51" s="48">
        <v>218</v>
      </c>
      <c r="O51" s="48"/>
      <c r="P51" s="48">
        <v>255</v>
      </c>
      <c r="Q51" s="48">
        <v>586</v>
      </c>
      <c r="R51" s="48"/>
      <c r="S51" s="48">
        <v>74</v>
      </c>
      <c r="T51" s="48">
        <v>96</v>
      </c>
      <c r="U51" s="48"/>
      <c r="V51" s="48">
        <v>102</v>
      </c>
      <c r="W51" s="48">
        <v>199</v>
      </c>
      <c r="X51" s="48">
        <v>301</v>
      </c>
      <c r="Y51" s="48">
        <v>140</v>
      </c>
      <c r="Z51" s="48"/>
      <c r="AA51" s="48"/>
      <c r="AB51" s="48">
        <v>41</v>
      </c>
      <c r="AC51" s="48">
        <v>13</v>
      </c>
      <c r="AD51" s="48">
        <v>13</v>
      </c>
      <c r="AE51" s="48">
        <v>10</v>
      </c>
      <c r="AF51" s="48">
        <v>10</v>
      </c>
      <c r="AG51" s="48">
        <v>73</v>
      </c>
      <c r="AH51" s="48">
        <v>91</v>
      </c>
      <c r="AI51" s="48">
        <v>164</v>
      </c>
      <c r="AJ51" s="48">
        <v>1</v>
      </c>
      <c r="AK51" s="48">
        <v>72</v>
      </c>
      <c r="AL51" s="48">
        <v>3</v>
      </c>
      <c r="AM51" s="48">
        <v>25</v>
      </c>
      <c r="AN51" s="48">
        <v>166</v>
      </c>
      <c r="AO51" s="48">
        <v>-195</v>
      </c>
    </row>
    <row r="52" spans="1:41" x14ac:dyDescent="0.4">
      <c r="A52" s="56" t="s">
        <v>286</v>
      </c>
      <c r="B52" s="57" t="s">
        <v>311</v>
      </c>
      <c r="C52" s="57">
        <v>177</v>
      </c>
      <c r="D52" s="57">
        <v>162</v>
      </c>
      <c r="E52" s="57">
        <v>177</v>
      </c>
      <c r="F52" s="57">
        <v>193</v>
      </c>
      <c r="G52" s="57"/>
      <c r="H52" s="57">
        <v>709</v>
      </c>
      <c r="I52" s="57">
        <v>78.78</v>
      </c>
      <c r="J52" s="57">
        <v>204</v>
      </c>
      <c r="K52" s="57">
        <v>389</v>
      </c>
      <c r="L52" s="57"/>
      <c r="M52" s="57">
        <v>61</v>
      </c>
      <c r="N52" s="57">
        <v>199</v>
      </c>
      <c r="O52" s="57"/>
      <c r="P52" s="57">
        <v>265</v>
      </c>
      <c r="Q52" s="57">
        <v>588</v>
      </c>
      <c r="R52" s="57"/>
      <c r="S52" s="57">
        <v>118</v>
      </c>
      <c r="T52" s="57">
        <v>166</v>
      </c>
      <c r="U52" s="57"/>
      <c r="V52" s="57">
        <v>91</v>
      </c>
      <c r="W52" s="57">
        <v>217</v>
      </c>
      <c r="X52" s="57">
        <v>308</v>
      </c>
      <c r="Y52" s="57">
        <v>140</v>
      </c>
      <c r="Z52" s="57"/>
      <c r="AA52" s="57"/>
      <c r="AB52" s="57">
        <v>45</v>
      </c>
      <c r="AC52" s="57">
        <v>22</v>
      </c>
      <c r="AD52" s="57">
        <v>6</v>
      </c>
      <c r="AE52" s="57">
        <v>10</v>
      </c>
      <c r="AF52" s="57">
        <v>10</v>
      </c>
      <c r="AG52" s="57">
        <v>74</v>
      </c>
      <c r="AH52" s="57">
        <v>108</v>
      </c>
      <c r="AI52" s="57">
        <v>182</v>
      </c>
      <c r="AJ52" s="57"/>
      <c r="AK52" s="57">
        <v>83</v>
      </c>
      <c r="AL52" s="57">
        <v>9</v>
      </c>
      <c r="AM52" s="57">
        <v>22</v>
      </c>
      <c r="AN52" s="57">
        <v>209</v>
      </c>
      <c r="AO52" s="57">
        <v>-75</v>
      </c>
    </row>
    <row r="53" spans="1:41" x14ac:dyDescent="0.4">
      <c r="A53" s="50" t="s">
        <v>99</v>
      </c>
      <c r="B53" s="51" t="s">
        <v>312</v>
      </c>
      <c r="C53" s="51">
        <v>245</v>
      </c>
      <c r="D53" s="51">
        <v>226</v>
      </c>
      <c r="E53" s="51">
        <v>243</v>
      </c>
      <c r="F53" s="51">
        <v>186</v>
      </c>
      <c r="G53" s="51"/>
      <c r="H53" s="51">
        <v>900</v>
      </c>
      <c r="I53" s="51">
        <v>90</v>
      </c>
      <c r="J53" s="51">
        <v>262</v>
      </c>
      <c r="K53" s="51">
        <v>429</v>
      </c>
      <c r="L53" s="51"/>
      <c r="M53" s="51">
        <v>81</v>
      </c>
      <c r="N53" s="51">
        <v>225</v>
      </c>
      <c r="O53" s="51"/>
      <c r="P53" s="51">
        <v>343</v>
      </c>
      <c r="Q53" s="51">
        <v>654</v>
      </c>
      <c r="R53" s="51"/>
      <c r="S53" s="51">
        <v>133</v>
      </c>
      <c r="T53" s="51">
        <v>182</v>
      </c>
      <c r="U53" s="51"/>
      <c r="V53" s="51">
        <v>105</v>
      </c>
      <c r="W53" s="51">
        <v>282</v>
      </c>
      <c r="X53" s="51">
        <v>387</v>
      </c>
      <c r="Y53" s="51">
        <v>203</v>
      </c>
      <c r="Z53" s="51"/>
      <c r="AA53" s="51"/>
      <c r="AB53" s="51">
        <v>67</v>
      </c>
      <c r="AC53" s="51">
        <v>22</v>
      </c>
      <c r="AD53" s="51">
        <v>9</v>
      </c>
      <c r="AE53" s="51">
        <v>24</v>
      </c>
      <c r="AF53" s="51">
        <v>25</v>
      </c>
      <c r="AG53" s="51">
        <v>85</v>
      </c>
      <c r="AH53" s="51">
        <v>110</v>
      </c>
      <c r="AI53" s="51">
        <v>195</v>
      </c>
      <c r="AJ53" s="51">
        <v>2</v>
      </c>
      <c r="AK53" s="51">
        <v>119</v>
      </c>
      <c r="AL53" s="51">
        <v>8</v>
      </c>
      <c r="AM53" s="51">
        <v>52</v>
      </c>
      <c r="AN53" s="51">
        <v>223</v>
      </c>
      <c r="AO53" s="51">
        <v>445</v>
      </c>
    </row>
    <row r="54" spans="1:41" x14ac:dyDescent="0.4">
      <c r="A54" s="54" t="s">
        <v>123</v>
      </c>
      <c r="B54" s="48" t="s">
        <v>312</v>
      </c>
      <c r="C54" s="48">
        <v>182</v>
      </c>
      <c r="D54" s="48">
        <v>177</v>
      </c>
      <c r="E54" s="48">
        <v>159</v>
      </c>
      <c r="F54" s="48">
        <v>168</v>
      </c>
      <c r="G54" s="48"/>
      <c r="H54" s="48">
        <v>686</v>
      </c>
      <c r="I54" s="48">
        <v>76.22</v>
      </c>
      <c r="J54" s="48">
        <v>192</v>
      </c>
      <c r="K54" s="48">
        <v>333</v>
      </c>
      <c r="L54" s="48"/>
      <c r="M54" s="48">
        <v>63</v>
      </c>
      <c r="N54" s="48">
        <v>221</v>
      </c>
      <c r="O54" s="48"/>
      <c r="P54" s="48">
        <v>255</v>
      </c>
      <c r="Q54" s="48">
        <v>554</v>
      </c>
      <c r="R54" s="48"/>
      <c r="S54" s="48">
        <v>113</v>
      </c>
      <c r="T54" s="48">
        <v>147</v>
      </c>
      <c r="U54" s="48"/>
      <c r="V54" s="48">
        <v>82</v>
      </c>
      <c r="W54" s="48">
        <v>210</v>
      </c>
      <c r="X54" s="48">
        <v>292</v>
      </c>
      <c r="Y54" s="48">
        <v>154</v>
      </c>
      <c r="Z54" s="48"/>
      <c r="AA54" s="48"/>
      <c r="AB54" s="48">
        <v>49</v>
      </c>
      <c r="AC54" s="48">
        <v>15</v>
      </c>
      <c r="AD54" s="48">
        <v>5</v>
      </c>
      <c r="AE54" s="48">
        <v>3</v>
      </c>
      <c r="AF54" s="48">
        <v>3</v>
      </c>
      <c r="AG54" s="48">
        <v>87</v>
      </c>
      <c r="AH54" s="48">
        <v>108</v>
      </c>
      <c r="AI54" s="48">
        <v>195</v>
      </c>
      <c r="AJ54" s="48">
        <v>2</v>
      </c>
      <c r="AK54" s="48">
        <v>108</v>
      </c>
      <c r="AL54" s="48">
        <v>1</v>
      </c>
      <c r="AM54" s="48">
        <v>33</v>
      </c>
      <c r="AN54" s="48">
        <v>214</v>
      </c>
      <c r="AO54" s="48">
        <v>-120</v>
      </c>
    </row>
    <row r="55" spans="1:41" x14ac:dyDescent="0.4">
      <c r="A55" s="54" t="s">
        <v>145</v>
      </c>
      <c r="B55" s="48" t="s">
        <v>312</v>
      </c>
      <c r="C55" s="48">
        <v>220</v>
      </c>
      <c r="D55" s="48">
        <v>225</v>
      </c>
      <c r="E55" s="48">
        <v>209</v>
      </c>
      <c r="F55" s="48">
        <v>187</v>
      </c>
      <c r="G55" s="48">
        <v>22</v>
      </c>
      <c r="H55" s="48">
        <v>863</v>
      </c>
      <c r="I55" s="48">
        <v>86.3</v>
      </c>
      <c r="J55" s="48">
        <v>227</v>
      </c>
      <c r="K55" s="48">
        <v>436</v>
      </c>
      <c r="L55" s="48"/>
      <c r="M55" s="48">
        <v>100</v>
      </c>
      <c r="N55" s="48">
        <v>293</v>
      </c>
      <c r="O55" s="48"/>
      <c r="P55" s="48">
        <v>327</v>
      </c>
      <c r="Q55" s="48">
        <v>729</v>
      </c>
      <c r="R55" s="48"/>
      <c r="S55" s="48">
        <v>109</v>
      </c>
      <c r="T55" s="48">
        <v>157</v>
      </c>
      <c r="U55" s="48"/>
      <c r="V55" s="48">
        <v>110</v>
      </c>
      <c r="W55" s="48">
        <v>262</v>
      </c>
      <c r="X55" s="48">
        <v>372</v>
      </c>
      <c r="Y55" s="48">
        <v>201</v>
      </c>
      <c r="Z55" s="48"/>
      <c r="AA55" s="48"/>
      <c r="AB55" s="48">
        <v>68</v>
      </c>
      <c r="AC55" s="48">
        <v>30</v>
      </c>
      <c r="AD55" s="48">
        <v>6</v>
      </c>
      <c r="AE55" s="48">
        <v>10</v>
      </c>
      <c r="AF55" s="48">
        <v>11</v>
      </c>
      <c r="AG55" s="48">
        <v>91</v>
      </c>
      <c r="AH55" s="48">
        <v>117</v>
      </c>
      <c r="AI55" s="48">
        <v>208</v>
      </c>
      <c r="AJ55" s="48">
        <v>2</v>
      </c>
      <c r="AK55" s="48">
        <v>79</v>
      </c>
      <c r="AL55" s="48">
        <v>5</v>
      </c>
      <c r="AM55" s="48">
        <v>47</v>
      </c>
      <c r="AN55" s="48">
        <v>217</v>
      </c>
      <c r="AO55" s="48">
        <v>20</v>
      </c>
    </row>
    <row r="56" spans="1:41" x14ac:dyDescent="0.4">
      <c r="A56" s="54" t="s">
        <v>164</v>
      </c>
      <c r="B56" s="48" t="s">
        <v>312</v>
      </c>
      <c r="C56" s="48">
        <v>186</v>
      </c>
      <c r="D56" s="48">
        <v>178</v>
      </c>
      <c r="E56" s="48">
        <v>139</v>
      </c>
      <c r="F56" s="48">
        <v>168</v>
      </c>
      <c r="G56" s="48">
        <v>13</v>
      </c>
      <c r="H56" s="48">
        <v>684</v>
      </c>
      <c r="I56" s="48">
        <v>76</v>
      </c>
      <c r="J56" s="48">
        <v>188</v>
      </c>
      <c r="K56" s="48">
        <v>351</v>
      </c>
      <c r="L56" s="48"/>
      <c r="M56" s="48">
        <v>74</v>
      </c>
      <c r="N56" s="48">
        <v>227</v>
      </c>
      <c r="O56" s="48"/>
      <c r="P56" s="48">
        <v>262</v>
      </c>
      <c r="Q56" s="48">
        <v>578</v>
      </c>
      <c r="R56" s="48"/>
      <c r="S56" s="48">
        <v>86</v>
      </c>
      <c r="T56" s="48">
        <v>114</v>
      </c>
      <c r="U56" s="48"/>
      <c r="V56" s="48">
        <v>77</v>
      </c>
      <c r="W56" s="48">
        <v>234</v>
      </c>
      <c r="X56" s="48">
        <v>311</v>
      </c>
      <c r="Y56" s="48">
        <v>149</v>
      </c>
      <c r="Z56" s="48"/>
      <c r="AA56" s="48"/>
      <c r="AB56" s="48">
        <v>45</v>
      </c>
      <c r="AC56" s="48">
        <v>28</v>
      </c>
      <c r="AD56" s="48">
        <v>5</v>
      </c>
      <c r="AE56" s="48">
        <v>8</v>
      </c>
      <c r="AF56" s="48">
        <v>8</v>
      </c>
      <c r="AG56" s="48">
        <v>78</v>
      </c>
      <c r="AH56" s="48">
        <v>91</v>
      </c>
      <c r="AI56" s="48">
        <v>169</v>
      </c>
      <c r="AJ56" s="48">
        <v>1</v>
      </c>
      <c r="AK56" s="48">
        <v>109</v>
      </c>
      <c r="AL56" s="48">
        <v>7</v>
      </c>
      <c r="AM56" s="48">
        <v>32</v>
      </c>
      <c r="AN56" s="48">
        <v>200</v>
      </c>
      <c r="AO56" s="48">
        <v>-125</v>
      </c>
    </row>
    <row r="57" spans="1:41" x14ac:dyDescent="0.4">
      <c r="A57" s="54" t="s">
        <v>183</v>
      </c>
      <c r="B57" s="48" t="s">
        <v>312</v>
      </c>
      <c r="C57" s="48">
        <v>202</v>
      </c>
      <c r="D57" s="48">
        <v>173</v>
      </c>
      <c r="E57" s="48">
        <v>174</v>
      </c>
      <c r="F57" s="48">
        <v>190</v>
      </c>
      <c r="G57" s="48">
        <v>13</v>
      </c>
      <c r="H57" s="48">
        <v>752</v>
      </c>
      <c r="I57" s="48">
        <v>83.56</v>
      </c>
      <c r="J57" s="48">
        <v>206</v>
      </c>
      <c r="K57" s="48">
        <v>397</v>
      </c>
      <c r="L57" s="48"/>
      <c r="M57" s="48">
        <v>70</v>
      </c>
      <c r="N57" s="48">
        <v>244</v>
      </c>
      <c r="O57" s="48"/>
      <c r="P57" s="48">
        <v>276</v>
      </c>
      <c r="Q57" s="48">
        <v>641</v>
      </c>
      <c r="R57" s="48"/>
      <c r="S57" s="48">
        <v>130</v>
      </c>
      <c r="T57" s="48">
        <v>177</v>
      </c>
      <c r="U57" s="48"/>
      <c r="V57" s="48">
        <v>111</v>
      </c>
      <c r="W57" s="48">
        <v>200</v>
      </c>
      <c r="X57" s="48">
        <v>311</v>
      </c>
      <c r="Y57" s="48">
        <v>167</v>
      </c>
      <c r="Z57" s="48"/>
      <c r="AA57" s="48"/>
      <c r="AB57" s="48">
        <v>64</v>
      </c>
      <c r="AC57" s="48">
        <v>34</v>
      </c>
      <c r="AD57" s="48">
        <v>9</v>
      </c>
      <c r="AE57" s="48">
        <v>2</v>
      </c>
      <c r="AF57" s="48">
        <v>3</v>
      </c>
      <c r="AG57" s="48">
        <v>113</v>
      </c>
      <c r="AH57" s="48">
        <v>87</v>
      </c>
      <c r="AI57" s="48">
        <v>200</v>
      </c>
      <c r="AJ57" s="48">
        <v>1</v>
      </c>
      <c r="AK57" s="48">
        <v>73</v>
      </c>
      <c r="AL57" s="48">
        <v>4</v>
      </c>
      <c r="AM57" s="48">
        <v>37</v>
      </c>
      <c r="AN57" s="48">
        <v>173</v>
      </c>
      <c r="AO57" s="48">
        <v>-35</v>
      </c>
    </row>
    <row r="58" spans="1:41" x14ac:dyDescent="0.4">
      <c r="A58" s="54" t="s">
        <v>203</v>
      </c>
      <c r="B58" s="48" t="s">
        <v>312</v>
      </c>
      <c r="C58" s="48">
        <v>176</v>
      </c>
      <c r="D58" s="48">
        <v>161</v>
      </c>
      <c r="E58" s="48">
        <v>186</v>
      </c>
      <c r="F58" s="48">
        <v>156</v>
      </c>
      <c r="G58" s="48"/>
      <c r="H58" s="48">
        <v>679</v>
      </c>
      <c r="I58" s="48">
        <v>84.88</v>
      </c>
      <c r="J58" s="48">
        <v>178</v>
      </c>
      <c r="K58" s="48">
        <v>345</v>
      </c>
      <c r="L58" s="48"/>
      <c r="M58" s="48">
        <v>73</v>
      </c>
      <c r="N58" s="48">
        <v>220</v>
      </c>
      <c r="O58" s="48"/>
      <c r="P58" s="48">
        <v>251</v>
      </c>
      <c r="Q58" s="48">
        <v>565</v>
      </c>
      <c r="R58" s="48"/>
      <c r="S58" s="48">
        <v>104</v>
      </c>
      <c r="T58" s="48">
        <v>143</v>
      </c>
      <c r="U58" s="48"/>
      <c r="V58" s="48">
        <v>94</v>
      </c>
      <c r="W58" s="48">
        <v>180</v>
      </c>
      <c r="X58" s="48">
        <v>274</v>
      </c>
      <c r="Y58" s="48">
        <v>145</v>
      </c>
      <c r="Z58" s="48"/>
      <c r="AA58" s="48"/>
      <c r="AB58" s="48">
        <v>46</v>
      </c>
      <c r="AC58" s="48">
        <v>13</v>
      </c>
      <c r="AD58" s="48">
        <v>9</v>
      </c>
      <c r="AE58" s="48">
        <v>6</v>
      </c>
      <c r="AF58" s="48">
        <v>6</v>
      </c>
      <c r="AG58" s="48">
        <v>86</v>
      </c>
      <c r="AH58" s="48">
        <v>84</v>
      </c>
      <c r="AI58" s="48">
        <v>170</v>
      </c>
      <c r="AJ58" s="48"/>
      <c r="AK58" s="48">
        <v>83</v>
      </c>
      <c r="AL58" s="48">
        <v>5</v>
      </c>
      <c r="AM58" s="48">
        <v>25</v>
      </c>
      <c r="AN58" s="48">
        <v>152</v>
      </c>
      <c r="AO58" s="48">
        <v>-115</v>
      </c>
    </row>
    <row r="59" spans="1:41" x14ac:dyDescent="0.4">
      <c r="A59" s="54" t="s">
        <v>224</v>
      </c>
      <c r="B59" s="48" t="s">
        <v>312</v>
      </c>
      <c r="C59" s="48">
        <v>213</v>
      </c>
      <c r="D59" s="48">
        <v>213</v>
      </c>
      <c r="E59" s="48">
        <v>176</v>
      </c>
      <c r="F59" s="48">
        <v>184</v>
      </c>
      <c r="G59" s="48"/>
      <c r="H59" s="48">
        <v>786</v>
      </c>
      <c r="I59" s="48">
        <v>87.33</v>
      </c>
      <c r="J59" s="48">
        <v>202</v>
      </c>
      <c r="K59" s="48">
        <v>370</v>
      </c>
      <c r="L59" s="48"/>
      <c r="M59" s="48">
        <v>89</v>
      </c>
      <c r="N59" s="48">
        <v>229</v>
      </c>
      <c r="O59" s="48"/>
      <c r="P59" s="48">
        <v>291</v>
      </c>
      <c r="Q59" s="48">
        <v>599</v>
      </c>
      <c r="R59" s="48"/>
      <c r="S59" s="48">
        <v>115</v>
      </c>
      <c r="T59" s="48">
        <v>162</v>
      </c>
      <c r="U59" s="48"/>
      <c r="V59" s="48">
        <v>99</v>
      </c>
      <c r="W59" s="48">
        <v>251</v>
      </c>
      <c r="X59" s="48">
        <v>350</v>
      </c>
      <c r="Y59" s="48">
        <v>183</v>
      </c>
      <c r="Z59" s="48"/>
      <c r="AA59" s="48"/>
      <c r="AB59" s="48">
        <v>49</v>
      </c>
      <c r="AC59" s="48">
        <v>15</v>
      </c>
      <c r="AD59" s="48">
        <v>9</v>
      </c>
      <c r="AE59" s="48">
        <v>21</v>
      </c>
      <c r="AF59" s="48">
        <v>22</v>
      </c>
      <c r="AG59" s="48">
        <v>65</v>
      </c>
      <c r="AH59" s="48">
        <v>107</v>
      </c>
      <c r="AI59" s="48">
        <v>172</v>
      </c>
      <c r="AJ59" s="48"/>
      <c r="AK59" s="48">
        <v>87</v>
      </c>
      <c r="AL59" s="48">
        <v>2</v>
      </c>
      <c r="AM59" s="48">
        <v>38</v>
      </c>
      <c r="AN59" s="48">
        <v>186</v>
      </c>
      <c r="AO59" s="48">
        <v>575</v>
      </c>
    </row>
    <row r="60" spans="1:41" x14ac:dyDescent="0.4">
      <c r="A60" s="54" t="s">
        <v>245</v>
      </c>
      <c r="B60" s="48" t="s">
        <v>312</v>
      </c>
      <c r="C60" s="48">
        <v>158</v>
      </c>
      <c r="D60" s="48">
        <v>134</v>
      </c>
      <c r="E60" s="48">
        <v>164</v>
      </c>
      <c r="F60" s="48">
        <v>162</v>
      </c>
      <c r="G60" s="48"/>
      <c r="H60" s="48">
        <v>618</v>
      </c>
      <c r="I60" s="48">
        <v>77.25</v>
      </c>
      <c r="J60" s="48">
        <v>178</v>
      </c>
      <c r="K60" s="48">
        <v>361</v>
      </c>
      <c r="L60" s="48"/>
      <c r="M60" s="48">
        <v>62</v>
      </c>
      <c r="N60" s="48">
        <v>200</v>
      </c>
      <c r="O60" s="48"/>
      <c r="P60" s="48">
        <v>240</v>
      </c>
      <c r="Q60" s="48">
        <v>561</v>
      </c>
      <c r="R60" s="48"/>
      <c r="S60" s="48">
        <v>76</v>
      </c>
      <c r="T60" s="48">
        <v>112</v>
      </c>
      <c r="U60" s="48"/>
      <c r="V60" s="48">
        <v>93</v>
      </c>
      <c r="W60" s="48">
        <v>174</v>
      </c>
      <c r="X60" s="48">
        <v>267</v>
      </c>
      <c r="Y60" s="48">
        <v>125</v>
      </c>
      <c r="Z60" s="48"/>
      <c r="AA60" s="48"/>
      <c r="AB60" s="48">
        <v>50</v>
      </c>
      <c r="AC60" s="48">
        <v>19</v>
      </c>
      <c r="AD60" s="48">
        <v>12</v>
      </c>
      <c r="AE60" s="48">
        <v>7</v>
      </c>
      <c r="AF60" s="48">
        <v>8</v>
      </c>
      <c r="AG60" s="48">
        <v>57</v>
      </c>
      <c r="AH60" s="48">
        <v>97</v>
      </c>
      <c r="AI60" s="48">
        <v>154</v>
      </c>
      <c r="AJ60" s="48">
        <v>4</v>
      </c>
      <c r="AK60" s="48">
        <v>81</v>
      </c>
      <c r="AL60" s="48">
        <v>3</v>
      </c>
      <c r="AM60" s="48">
        <v>29</v>
      </c>
      <c r="AN60" s="48">
        <v>168</v>
      </c>
      <c r="AO60" s="48">
        <v>-345</v>
      </c>
    </row>
    <row r="61" spans="1:41" x14ac:dyDescent="0.4">
      <c r="A61" s="54" t="s">
        <v>263</v>
      </c>
      <c r="B61" s="48" t="s">
        <v>312</v>
      </c>
      <c r="C61" s="48">
        <v>158</v>
      </c>
      <c r="D61" s="48">
        <v>134</v>
      </c>
      <c r="E61" s="48">
        <v>164</v>
      </c>
      <c r="F61" s="48">
        <v>162</v>
      </c>
      <c r="G61" s="48"/>
      <c r="H61" s="48">
        <v>618</v>
      </c>
      <c r="I61" s="48">
        <v>77.25</v>
      </c>
      <c r="J61" s="48">
        <v>178</v>
      </c>
      <c r="K61" s="48">
        <v>361</v>
      </c>
      <c r="L61" s="48"/>
      <c r="M61" s="48">
        <v>62</v>
      </c>
      <c r="N61" s="48">
        <v>200</v>
      </c>
      <c r="O61" s="48"/>
      <c r="P61" s="48">
        <v>240</v>
      </c>
      <c r="Q61" s="48">
        <v>561</v>
      </c>
      <c r="R61" s="48"/>
      <c r="S61" s="48">
        <v>76</v>
      </c>
      <c r="T61" s="48">
        <v>112</v>
      </c>
      <c r="U61" s="48"/>
      <c r="V61" s="48">
        <v>93</v>
      </c>
      <c r="W61" s="48">
        <v>174</v>
      </c>
      <c r="X61" s="48">
        <v>267</v>
      </c>
      <c r="Y61" s="48">
        <v>125</v>
      </c>
      <c r="Z61" s="48"/>
      <c r="AA61" s="48"/>
      <c r="AB61" s="48">
        <v>50</v>
      </c>
      <c r="AC61" s="48">
        <v>19</v>
      </c>
      <c r="AD61" s="48">
        <v>12</v>
      </c>
      <c r="AE61" s="48">
        <v>7</v>
      </c>
      <c r="AF61" s="48">
        <v>8</v>
      </c>
      <c r="AG61" s="48">
        <v>57</v>
      </c>
      <c r="AH61" s="48">
        <v>97</v>
      </c>
      <c r="AI61" s="48">
        <v>154</v>
      </c>
      <c r="AJ61" s="48">
        <v>4</v>
      </c>
      <c r="AK61" s="48">
        <v>81</v>
      </c>
      <c r="AL61" s="48">
        <v>3</v>
      </c>
      <c r="AM61" s="48">
        <v>29</v>
      </c>
      <c r="AN61" s="48">
        <v>168</v>
      </c>
      <c r="AO61" s="48">
        <v>-345</v>
      </c>
    </row>
    <row r="62" spans="1:41" x14ac:dyDescent="0.4">
      <c r="A62" s="56" t="s">
        <v>286</v>
      </c>
      <c r="B62" s="57" t="s">
        <v>312</v>
      </c>
      <c r="C62" s="57">
        <v>170</v>
      </c>
      <c r="D62" s="57">
        <v>191</v>
      </c>
      <c r="E62" s="57">
        <v>174</v>
      </c>
      <c r="F62" s="57">
        <v>172</v>
      </c>
      <c r="G62" s="57"/>
      <c r="H62" s="57">
        <v>707</v>
      </c>
      <c r="I62" s="57">
        <v>78.56</v>
      </c>
      <c r="J62" s="57">
        <v>197</v>
      </c>
      <c r="K62" s="57">
        <v>376</v>
      </c>
      <c r="L62" s="57"/>
      <c r="M62" s="57">
        <v>69</v>
      </c>
      <c r="N62" s="57">
        <v>218</v>
      </c>
      <c r="O62" s="57"/>
      <c r="P62" s="57">
        <v>266</v>
      </c>
      <c r="Q62" s="57">
        <v>594</v>
      </c>
      <c r="R62" s="57"/>
      <c r="S62" s="57">
        <v>106</v>
      </c>
      <c r="T62" s="57">
        <v>153</v>
      </c>
      <c r="U62" s="57"/>
      <c r="V62" s="57">
        <v>92</v>
      </c>
      <c r="W62" s="57">
        <v>202</v>
      </c>
      <c r="X62" s="57">
        <v>294</v>
      </c>
      <c r="Y62" s="57">
        <v>161</v>
      </c>
      <c r="Z62" s="57"/>
      <c r="AA62" s="57"/>
      <c r="AB62" s="57">
        <v>62</v>
      </c>
      <c r="AC62" s="57">
        <v>12</v>
      </c>
      <c r="AD62" s="57">
        <v>7</v>
      </c>
      <c r="AE62" s="57">
        <v>7</v>
      </c>
      <c r="AF62" s="57">
        <v>7</v>
      </c>
      <c r="AG62" s="57">
        <v>73</v>
      </c>
      <c r="AH62" s="57">
        <v>97</v>
      </c>
      <c r="AI62" s="57">
        <v>170</v>
      </c>
      <c r="AJ62" s="57"/>
      <c r="AK62" s="57">
        <v>93</v>
      </c>
      <c r="AL62" s="57">
        <v>4</v>
      </c>
      <c r="AM62" s="57">
        <v>27</v>
      </c>
      <c r="AN62" s="57">
        <v>212</v>
      </c>
      <c r="AO62" s="57">
        <v>-185</v>
      </c>
    </row>
    <row r="63" spans="1:41" x14ac:dyDescent="0.4">
      <c r="A63" s="50" t="s">
        <v>99</v>
      </c>
      <c r="B63" s="51" t="s">
        <v>313</v>
      </c>
      <c r="C63" s="51">
        <v>154</v>
      </c>
      <c r="D63" s="51">
        <v>168</v>
      </c>
      <c r="E63" s="51">
        <v>152</v>
      </c>
      <c r="F63" s="51">
        <v>174</v>
      </c>
      <c r="G63" s="51">
        <v>26</v>
      </c>
      <c r="H63" s="51">
        <v>674</v>
      </c>
      <c r="I63" s="51">
        <v>84.25</v>
      </c>
      <c r="J63" s="51">
        <v>181</v>
      </c>
      <c r="K63" s="51">
        <v>329</v>
      </c>
      <c r="L63" s="51"/>
      <c r="M63" s="51">
        <v>74</v>
      </c>
      <c r="N63" s="51">
        <v>229</v>
      </c>
      <c r="O63" s="51"/>
      <c r="P63" s="51">
        <v>255</v>
      </c>
      <c r="Q63" s="51">
        <v>558</v>
      </c>
      <c r="R63" s="51"/>
      <c r="S63" s="51">
        <v>90</v>
      </c>
      <c r="T63" s="51">
        <v>125</v>
      </c>
      <c r="U63" s="51"/>
      <c r="V63" s="51">
        <v>82</v>
      </c>
      <c r="W63" s="51">
        <v>214</v>
      </c>
      <c r="X63" s="51">
        <v>296</v>
      </c>
      <c r="Y63" s="51">
        <v>153</v>
      </c>
      <c r="Z63" s="51"/>
      <c r="AA63" s="51"/>
      <c r="AB63" s="51">
        <v>55</v>
      </c>
      <c r="AC63" s="51">
        <v>30</v>
      </c>
      <c r="AD63" s="51">
        <v>8</v>
      </c>
      <c r="AE63" s="51">
        <v>7</v>
      </c>
      <c r="AF63" s="51">
        <v>7</v>
      </c>
      <c r="AG63" s="51">
        <v>70</v>
      </c>
      <c r="AH63" s="51">
        <v>97</v>
      </c>
      <c r="AI63" s="51">
        <v>167</v>
      </c>
      <c r="AJ63" s="51"/>
      <c r="AK63" s="51">
        <v>90</v>
      </c>
      <c r="AL63" s="51">
        <v>2</v>
      </c>
      <c r="AM63" s="51">
        <v>26</v>
      </c>
      <c r="AN63" s="51">
        <v>163</v>
      </c>
      <c r="AO63" s="51">
        <v>-40</v>
      </c>
    </row>
    <row r="64" spans="1:41" x14ac:dyDescent="0.4">
      <c r="A64" s="54" t="s">
        <v>123</v>
      </c>
      <c r="B64" s="48" t="s">
        <v>313</v>
      </c>
      <c r="C64" s="48">
        <v>172</v>
      </c>
      <c r="D64" s="48">
        <v>163</v>
      </c>
      <c r="E64" s="48">
        <v>167</v>
      </c>
      <c r="F64" s="48">
        <v>159</v>
      </c>
      <c r="G64" s="48"/>
      <c r="H64" s="48">
        <v>661</v>
      </c>
      <c r="I64" s="48">
        <v>82.63</v>
      </c>
      <c r="J64" s="48">
        <v>177</v>
      </c>
      <c r="K64" s="48">
        <v>308</v>
      </c>
      <c r="L64" s="48"/>
      <c r="M64" s="48">
        <v>72</v>
      </c>
      <c r="N64" s="48">
        <v>228</v>
      </c>
      <c r="O64" s="48"/>
      <c r="P64" s="48">
        <v>249</v>
      </c>
      <c r="Q64" s="48">
        <v>536</v>
      </c>
      <c r="R64" s="48"/>
      <c r="S64" s="48">
        <v>91</v>
      </c>
      <c r="T64" s="48">
        <v>118</v>
      </c>
      <c r="U64" s="48"/>
      <c r="V64" s="48">
        <v>88</v>
      </c>
      <c r="W64" s="48">
        <v>199</v>
      </c>
      <c r="X64" s="48">
        <v>287</v>
      </c>
      <c r="Y64" s="48">
        <v>143</v>
      </c>
      <c r="Z64" s="48"/>
      <c r="AA64" s="48"/>
      <c r="AB64" s="48">
        <v>50</v>
      </c>
      <c r="AC64" s="48">
        <v>18</v>
      </c>
      <c r="AD64" s="48">
        <v>9</v>
      </c>
      <c r="AE64" s="48">
        <v>7</v>
      </c>
      <c r="AF64" s="48">
        <v>8</v>
      </c>
      <c r="AG64" s="48">
        <v>67</v>
      </c>
      <c r="AH64" s="48">
        <v>93</v>
      </c>
      <c r="AI64" s="48">
        <v>160</v>
      </c>
      <c r="AJ64" s="48">
        <v>1</v>
      </c>
      <c r="AK64" s="48">
        <v>73</v>
      </c>
      <c r="AL64" s="48">
        <v>3</v>
      </c>
      <c r="AM64" s="48">
        <v>39</v>
      </c>
      <c r="AN64" s="48">
        <v>146</v>
      </c>
      <c r="AO64" s="48">
        <v>245</v>
      </c>
    </row>
    <row r="65" spans="1:41" x14ac:dyDescent="0.4">
      <c r="A65" s="54" t="s">
        <v>145</v>
      </c>
      <c r="B65" s="48" t="s">
        <v>313</v>
      </c>
      <c r="C65" s="48">
        <v>243</v>
      </c>
      <c r="D65" s="48">
        <v>234</v>
      </c>
      <c r="E65" s="48">
        <v>256</v>
      </c>
      <c r="F65" s="48">
        <v>228</v>
      </c>
      <c r="G65" s="48"/>
      <c r="H65" s="48">
        <v>961</v>
      </c>
      <c r="I65" s="48">
        <v>96.1</v>
      </c>
      <c r="J65" s="48">
        <v>271</v>
      </c>
      <c r="K65" s="48">
        <v>453</v>
      </c>
      <c r="L65" s="48"/>
      <c r="M65" s="48">
        <v>103</v>
      </c>
      <c r="N65" s="48">
        <v>284</v>
      </c>
      <c r="O65" s="48"/>
      <c r="P65" s="48">
        <v>374</v>
      </c>
      <c r="Q65" s="48">
        <v>737</v>
      </c>
      <c r="R65" s="48"/>
      <c r="S65" s="48">
        <v>110</v>
      </c>
      <c r="T65" s="48">
        <v>169</v>
      </c>
      <c r="U65" s="48"/>
      <c r="V65" s="48">
        <v>106</v>
      </c>
      <c r="W65" s="48">
        <v>251</v>
      </c>
      <c r="X65" s="48">
        <v>357</v>
      </c>
      <c r="Y65" s="48">
        <v>219</v>
      </c>
      <c r="Z65" s="48"/>
      <c r="AA65" s="48"/>
      <c r="AB65" s="48">
        <v>61</v>
      </c>
      <c r="AC65" s="48">
        <v>34</v>
      </c>
      <c r="AD65" s="48">
        <v>3</v>
      </c>
      <c r="AE65" s="48">
        <v>11</v>
      </c>
      <c r="AF65" s="48">
        <v>11</v>
      </c>
      <c r="AG65" s="48">
        <v>111</v>
      </c>
      <c r="AH65" s="48">
        <v>109</v>
      </c>
      <c r="AI65" s="48">
        <v>220</v>
      </c>
      <c r="AJ65" s="48">
        <v>2</v>
      </c>
      <c r="AK65" s="48">
        <v>95</v>
      </c>
      <c r="AL65" s="48">
        <v>7</v>
      </c>
      <c r="AM65" s="48">
        <v>47</v>
      </c>
      <c r="AN65" s="48">
        <v>227</v>
      </c>
      <c r="AO65" s="48">
        <v>-115</v>
      </c>
    </row>
    <row r="66" spans="1:41" x14ac:dyDescent="0.4">
      <c r="A66" s="54" t="s">
        <v>164</v>
      </c>
      <c r="B66" s="48" t="s">
        <v>313</v>
      </c>
      <c r="C66" s="48">
        <v>181</v>
      </c>
      <c r="D66" s="48">
        <v>178</v>
      </c>
      <c r="E66" s="48">
        <v>198</v>
      </c>
      <c r="F66" s="48">
        <v>167</v>
      </c>
      <c r="G66" s="48"/>
      <c r="H66" s="48">
        <v>724</v>
      </c>
      <c r="I66" s="48">
        <v>80.44</v>
      </c>
      <c r="J66" s="48">
        <v>193</v>
      </c>
      <c r="K66" s="48">
        <v>357</v>
      </c>
      <c r="L66" s="48"/>
      <c r="M66" s="48">
        <v>84</v>
      </c>
      <c r="N66" s="48">
        <v>265</v>
      </c>
      <c r="O66" s="48"/>
      <c r="P66" s="48">
        <v>277</v>
      </c>
      <c r="Q66" s="48">
        <v>622</v>
      </c>
      <c r="R66" s="48"/>
      <c r="S66" s="48">
        <v>86</v>
      </c>
      <c r="T66" s="48">
        <v>122</v>
      </c>
      <c r="U66" s="48"/>
      <c r="V66" s="48">
        <v>97</v>
      </c>
      <c r="W66" s="48">
        <v>255</v>
      </c>
      <c r="X66" s="48">
        <v>352</v>
      </c>
      <c r="Y66" s="48">
        <v>174</v>
      </c>
      <c r="Z66" s="48"/>
      <c r="AA66" s="48"/>
      <c r="AB66" s="48">
        <v>65</v>
      </c>
      <c r="AC66" s="48">
        <v>24</v>
      </c>
      <c r="AD66" s="48">
        <v>9</v>
      </c>
      <c r="AE66" s="48">
        <v>16</v>
      </c>
      <c r="AF66" s="48">
        <v>16</v>
      </c>
      <c r="AG66" s="48">
        <v>71</v>
      </c>
      <c r="AH66" s="48">
        <v>90</v>
      </c>
      <c r="AI66" s="48">
        <v>161</v>
      </c>
      <c r="AJ66" s="48">
        <v>2</v>
      </c>
      <c r="AK66" s="48">
        <v>109</v>
      </c>
      <c r="AL66" s="48">
        <v>4</v>
      </c>
      <c r="AM66" s="48">
        <v>55</v>
      </c>
      <c r="AN66" s="48">
        <v>177</v>
      </c>
      <c r="AO66" s="48">
        <v>-55</v>
      </c>
    </row>
    <row r="67" spans="1:41" x14ac:dyDescent="0.4">
      <c r="A67" s="54" t="s">
        <v>183</v>
      </c>
      <c r="B67" s="48" t="s">
        <v>313</v>
      </c>
      <c r="C67" s="48">
        <v>195</v>
      </c>
      <c r="D67" s="48">
        <v>225</v>
      </c>
      <c r="E67" s="48">
        <v>179</v>
      </c>
      <c r="F67" s="48">
        <v>193</v>
      </c>
      <c r="G67" s="48">
        <v>9</v>
      </c>
      <c r="H67" s="48">
        <v>801</v>
      </c>
      <c r="I67" s="48">
        <v>89</v>
      </c>
      <c r="J67" s="48">
        <v>231</v>
      </c>
      <c r="K67" s="48">
        <v>405</v>
      </c>
      <c r="L67" s="48"/>
      <c r="M67" s="48">
        <v>71</v>
      </c>
      <c r="N67" s="48">
        <v>226</v>
      </c>
      <c r="O67" s="48"/>
      <c r="P67" s="48">
        <v>302</v>
      </c>
      <c r="Q67" s="48">
        <v>631</v>
      </c>
      <c r="R67" s="48"/>
      <c r="S67" s="48">
        <v>126</v>
      </c>
      <c r="T67" s="48">
        <v>172</v>
      </c>
      <c r="U67" s="48"/>
      <c r="V67" s="48">
        <v>97</v>
      </c>
      <c r="W67" s="48">
        <v>212</v>
      </c>
      <c r="X67" s="48">
        <v>309</v>
      </c>
      <c r="Y67" s="48">
        <v>188</v>
      </c>
      <c r="Z67" s="48"/>
      <c r="AA67" s="48"/>
      <c r="AB67" s="48">
        <v>69</v>
      </c>
      <c r="AC67" s="48">
        <v>45</v>
      </c>
      <c r="AD67" s="48">
        <v>9</v>
      </c>
      <c r="AE67" s="48">
        <v>3</v>
      </c>
      <c r="AF67" s="48">
        <v>3</v>
      </c>
      <c r="AG67" s="48">
        <v>84</v>
      </c>
      <c r="AH67" s="48">
        <v>90</v>
      </c>
      <c r="AI67" s="48">
        <v>174</v>
      </c>
      <c r="AJ67" s="48"/>
      <c r="AK67" s="48">
        <v>80</v>
      </c>
      <c r="AL67" s="48">
        <v>5</v>
      </c>
      <c r="AM67" s="48">
        <v>48</v>
      </c>
      <c r="AN67" s="48">
        <v>192</v>
      </c>
      <c r="AO67" s="48">
        <v>250</v>
      </c>
    </row>
    <row r="68" spans="1:41" x14ac:dyDescent="0.4">
      <c r="A68" s="54" t="s">
        <v>203</v>
      </c>
      <c r="B68" s="48" t="s">
        <v>313</v>
      </c>
      <c r="C68" s="48">
        <v>241</v>
      </c>
      <c r="D68" s="48">
        <v>229</v>
      </c>
      <c r="E68" s="48">
        <v>218</v>
      </c>
      <c r="F68" s="48">
        <v>211</v>
      </c>
      <c r="G68" s="48">
        <v>27</v>
      </c>
      <c r="H68" s="48">
        <v>926</v>
      </c>
      <c r="I68" s="48">
        <v>92.6</v>
      </c>
      <c r="J68" s="48">
        <v>236</v>
      </c>
      <c r="K68" s="48">
        <v>418</v>
      </c>
      <c r="L68" s="48"/>
      <c r="M68" s="48">
        <v>101</v>
      </c>
      <c r="N68" s="48">
        <v>319</v>
      </c>
      <c r="O68" s="48"/>
      <c r="P68" s="48">
        <v>337</v>
      </c>
      <c r="Q68" s="48">
        <v>737</v>
      </c>
      <c r="R68" s="48"/>
      <c r="S68" s="48">
        <v>151</v>
      </c>
      <c r="T68" s="48">
        <v>199</v>
      </c>
      <c r="U68" s="48"/>
      <c r="V68" s="48">
        <v>124</v>
      </c>
      <c r="W68" s="48">
        <v>264</v>
      </c>
      <c r="X68" s="48">
        <v>388</v>
      </c>
      <c r="Y68" s="48">
        <v>215</v>
      </c>
      <c r="Z68" s="48"/>
      <c r="AA68" s="48"/>
      <c r="AB68" s="48">
        <v>79</v>
      </c>
      <c r="AC68" s="48">
        <v>31</v>
      </c>
      <c r="AD68" s="48">
        <v>10</v>
      </c>
      <c r="AE68" s="48">
        <v>17</v>
      </c>
      <c r="AF68" s="48">
        <v>17</v>
      </c>
      <c r="AG68" s="48">
        <v>113</v>
      </c>
      <c r="AH68" s="48">
        <v>102</v>
      </c>
      <c r="AI68" s="48">
        <v>215</v>
      </c>
      <c r="AJ68" s="48">
        <v>2</v>
      </c>
      <c r="AK68" s="48">
        <v>120</v>
      </c>
      <c r="AL68" s="48">
        <v>9</v>
      </c>
      <c r="AM68" s="48">
        <v>53</v>
      </c>
      <c r="AN68" s="48">
        <v>201</v>
      </c>
      <c r="AO68" s="48">
        <v>45</v>
      </c>
    </row>
    <row r="69" spans="1:41" x14ac:dyDescent="0.4">
      <c r="A69" s="54" t="s">
        <v>224</v>
      </c>
      <c r="B69" s="48" t="s">
        <v>313</v>
      </c>
      <c r="C69" s="48">
        <v>192</v>
      </c>
      <c r="D69" s="48">
        <v>182</v>
      </c>
      <c r="E69" s="48">
        <v>208</v>
      </c>
      <c r="F69" s="48">
        <v>154</v>
      </c>
      <c r="G69" s="48"/>
      <c r="H69" s="48">
        <v>736</v>
      </c>
      <c r="I69" s="48">
        <v>81.78</v>
      </c>
      <c r="J69" s="48">
        <v>187</v>
      </c>
      <c r="K69" s="48">
        <v>382</v>
      </c>
      <c r="L69" s="48"/>
      <c r="M69" s="48">
        <v>87</v>
      </c>
      <c r="N69" s="48">
        <v>263</v>
      </c>
      <c r="O69" s="48"/>
      <c r="P69" s="48">
        <v>274</v>
      </c>
      <c r="Q69" s="48">
        <v>645</v>
      </c>
      <c r="R69" s="48"/>
      <c r="S69" s="48">
        <v>101</v>
      </c>
      <c r="T69" s="48">
        <v>147</v>
      </c>
      <c r="U69" s="48"/>
      <c r="V69" s="48">
        <v>122</v>
      </c>
      <c r="W69" s="48">
        <v>239</v>
      </c>
      <c r="X69" s="48">
        <v>361</v>
      </c>
      <c r="Y69" s="48">
        <v>162</v>
      </c>
      <c r="Z69" s="48"/>
      <c r="AA69" s="48"/>
      <c r="AB69" s="48">
        <v>53</v>
      </c>
      <c r="AC69" s="48">
        <v>18</v>
      </c>
      <c r="AD69" s="48">
        <v>5</v>
      </c>
      <c r="AE69" s="48">
        <v>14</v>
      </c>
      <c r="AF69" s="48">
        <v>17</v>
      </c>
      <c r="AG69" s="48">
        <v>65</v>
      </c>
      <c r="AH69" s="48">
        <v>103</v>
      </c>
      <c r="AI69" s="48">
        <v>168</v>
      </c>
      <c r="AJ69" s="48">
        <v>1</v>
      </c>
      <c r="AK69" s="48">
        <v>100</v>
      </c>
      <c r="AL69" s="48">
        <v>4</v>
      </c>
      <c r="AM69" s="48">
        <v>37</v>
      </c>
      <c r="AN69" s="48">
        <v>189</v>
      </c>
      <c r="AO69" s="48"/>
    </row>
    <row r="70" spans="1:41" x14ac:dyDescent="0.4">
      <c r="A70" s="54" t="s">
        <v>245</v>
      </c>
      <c r="B70" s="48" t="s">
        <v>313</v>
      </c>
      <c r="C70" s="48">
        <v>193</v>
      </c>
      <c r="D70" s="48">
        <v>215</v>
      </c>
      <c r="E70" s="48">
        <v>193</v>
      </c>
      <c r="F70" s="48">
        <v>198</v>
      </c>
      <c r="G70" s="48">
        <v>16</v>
      </c>
      <c r="H70" s="48">
        <v>815</v>
      </c>
      <c r="I70" s="48">
        <v>90.56</v>
      </c>
      <c r="J70" s="48">
        <v>236</v>
      </c>
      <c r="K70" s="48">
        <v>470</v>
      </c>
      <c r="L70" s="48"/>
      <c r="M70" s="48">
        <v>82</v>
      </c>
      <c r="N70" s="48">
        <v>219</v>
      </c>
      <c r="O70" s="48"/>
      <c r="P70" s="48">
        <v>318</v>
      </c>
      <c r="Q70" s="48">
        <v>689</v>
      </c>
      <c r="R70" s="48"/>
      <c r="S70" s="48">
        <v>97</v>
      </c>
      <c r="T70" s="48">
        <v>141</v>
      </c>
      <c r="U70" s="48"/>
      <c r="V70" s="48">
        <v>113</v>
      </c>
      <c r="W70" s="48">
        <v>234</v>
      </c>
      <c r="X70" s="48">
        <v>347</v>
      </c>
      <c r="Y70" s="48">
        <v>177</v>
      </c>
      <c r="Z70" s="48"/>
      <c r="AA70" s="48"/>
      <c r="AB70" s="48">
        <v>66</v>
      </c>
      <c r="AC70" s="48">
        <v>25</v>
      </c>
      <c r="AD70" s="48">
        <v>11</v>
      </c>
      <c r="AE70" s="48">
        <v>10</v>
      </c>
      <c r="AF70" s="48">
        <v>11</v>
      </c>
      <c r="AG70" s="48">
        <v>76</v>
      </c>
      <c r="AH70" s="48">
        <v>105</v>
      </c>
      <c r="AI70" s="48">
        <v>181</v>
      </c>
      <c r="AJ70" s="48">
        <v>2</v>
      </c>
      <c r="AK70" s="48">
        <v>87</v>
      </c>
      <c r="AL70" s="48">
        <v>7</v>
      </c>
      <c r="AM70" s="48">
        <v>47</v>
      </c>
      <c r="AN70" s="48">
        <v>178</v>
      </c>
      <c r="AO70" s="48">
        <v>-15</v>
      </c>
    </row>
    <row r="71" spans="1:41" x14ac:dyDescent="0.4">
      <c r="A71" s="54" t="s">
        <v>263</v>
      </c>
      <c r="B71" s="48" t="s">
        <v>313</v>
      </c>
      <c r="C71" s="48">
        <v>193</v>
      </c>
      <c r="D71" s="48">
        <v>215</v>
      </c>
      <c r="E71" s="48">
        <v>193</v>
      </c>
      <c r="F71" s="48">
        <v>198</v>
      </c>
      <c r="G71" s="48">
        <v>16</v>
      </c>
      <c r="H71" s="48">
        <v>815</v>
      </c>
      <c r="I71" s="48">
        <v>90.56</v>
      </c>
      <c r="J71" s="48">
        <v>236</v>
      </c>
      <c r="K71" s="48">
        <v>470</v>
      </c>
      <c r="L71" s="48"/>
      <c r="M71" s="48">
        <v>82</v>
      </c>
      <c r="N71" s="48">
        <v>219</v>
      </c>
      <c r="O71" s="48"/>
      <c r="P71" s="48">
        <v>318</v>
      </c>
      <c r="Q71" s="48">
        <v>689</v>
      </c>
      <c r="R71" s="48"/>
      <c r="S71" s="48">
        <v>97</v>
      </c>
      <c r="T71" s="48">
        <v>141</v>
      </c>
      <c r="U71" s="48"/>
      <c r="V71" s="48">
        <v>113</v>
      </c>
      <c r="W71" s="48">
        <v>234</v>
      </c>
      <c r="X71" s="48">
        <v>347</v>
      </c>
      <c r="Y71" s="48">
        <v>177</v>
      </c>
      <c r="Z71" s="48"/>
      <c r="AA71" s="48"/>
      <c r="AB71" s="48">
        <v>66</v>
      </c>
      <c r="AC71" s="48">
        <v>25</v>
      </c>
      <c r="AD71" s="48">
        <v>11</v>
      </c>
      <c r="AE71" s="48">
        <v>10</v>
      </c>
      <c r="AF71" s="48">
        <v>11</v>
      </c>
      <c r="AG71" s="48">
        <v>76</v>
      </c>
      <c r="AH71" s="48">
        <v>105</v>
      </c>
      <c r="AI71" s="48">
        <v>181</v>
      </c>
      <c r="AJ71" s="48">
        <v>2</v>
      </c>
      <c r="AK71" s="48">
        <v>87</v>
      </c>
      <c r="AL71" s="48">
        <v>7</v>
      </c>
      <c r="AM71" s="48">
        <v>47</v>
      </c>
      <c r="AN71" s="48">
        <v>178</v>
      </c>
      <c r="AO71" s="48">
        <v>-15</v>
      </c>
    </row>
    <row r="72" spans="1:41" x14ac:dyDescent="0.4">
      <c r="A72" s="56" t="s">
        <v>286</v>
      </c>
      <c r="B72" s="57" t="s">
        <v>313</v>
      </c>
      <c r="C72" s="57">
        <v>173</v>
      </c>
      <c r="D72" s="57">
        <v>186</v>
      </c>
      <c r="E72" s="57">
        <v>158</v>
      </c>
      <c r="F72" s="57">
        <v>162</v>
      </c>
      <c r="G72" s="57"/>
      <c r="H72" s="57">
        <v>679</v>
      </c>
      <c r="I72" s="57">
        <v>75.44</v>
      </c>
      <c r="J72" s="57">
        <v>192</v>
      </c>
      <c r="K72" s="57">
        <v>369</v>
      </c>
      <c r="L72" s="57"/>
      <c r="M72" s="57">
        <v>64</v>
      </c>
      <c r="N72" s="57">
        <v>213</v>
      </c>
      <c r="O72" s="57"/>
      <c r="P72" s="57">
        <v>256</v>
      </c>
      <c r="Q72" s="57">
        <v>582</v>
      </c>
      <c r="R72" s="57"/>
      <c r="S72" s="57">
        <v>103</v>
      </c>
      <c r="T72" s="57">
        <v>135</v>
      </c>
      <c r="U72" s="57"/>
      <c r="V72" s="57">
        <v>68</v>
      </c>
      <c r="W72" s="57">
        <v>201</v>
      </c>
      <c r="X72" s="57">
        <v>269</v>
      </c>
      <c r="Y72" s="57">
        <v>140</v>
      </c>
      <c r="Z72" s="57"/>
      <c r="AA72" s="57"/>
      <c r="AB72" s="57">
        <v>60</v>
      </c>
      <c r="AC72" s="57">
        <v>24</v>
      </c>
      <c r="AD72" s="57">
        <v>10</v>
      </c>
      <c r="AE72" s="57">
        <v>7</v>
      </c>
      <c r="AF72" s="57">
        <v>7</v>
      </c>
      <c r="AG72" s="57">
        <v>83</v>
      </c>
      <c r="AH72" s="57">
        <v>97</v>
      </c>
      <c r="AI72" s="57">
        <v>180</v>
      </c>
      <c r="AJ72" s="57">
        <v>5</v>
      </c>
      <c r="AK72" s="57">
        <v>110</v>
      </c>
      <c r="AL72" s="57">
        <v>5</v>
      </c>
      <c r="AM72" s="57">
        <v>28</v>
      </c>
      <c r="AN72" s="57">
        <v>213</v>
      </c>
      <c r="AO72" s="57">
        <v>-590</v>
      </c>
    </row>
  </sheetData>
  <mergeCells count="33">
    <mergeCell ref="AO1:AO2"/>
    <mergeCell ref="X1:X2"/>
    <mergeCell ref="Z1:Z2"/>
    <mergeCell ref="C1:I1"/>
    <mergeCell ref="A1:A2"/>
    <mergeCell ref="S1:S2"/>
    <mergeCell ref="AJ1:AJ2"/>
    <mergeCell ref="AL1:AL2"/>
    <mergeCell ref="U1:U2"/>
    <mergeCell ref="AG1:AI1"/>
    <mergeCell ref="J1:J2"/>
    <mergeCell ref="P1:P2"/>
    <mergeCell ref="R1:R2"/>
    <mergeCell ref="AN1:AN2"/>
    <mergeCell ref="W1:W2"/>
    <mergeCell ref="Y1:Y2"/>
    <mergeCell ref="AA1:AA2"/>
    <mergeCell ref="B1:B2"/>
    <mergeCell ref="AC1:AC2"/>
    <mergeCell ref="L1:L2"/>
    <mergeCell ref="N1:N2"/>
    <mergeCell ref="AE1:AE2"/>
    <mergeCell ref="T1:T2"/>
    <mergeCell ref="AF1:AF2"/>
    <mergeCell ref="AM1:AM2"/>
    <mergeCell ref="AK1:AK2"/>
    <mergeCell ref="AB1:AB2"/>
    <mergeCell ref="AD1:AD2"/>
    <mergeCell ref="V1:V2"/>
    <mergeCell ref="K1:K2"/>
    <mergeCell ref="M1:M2"/>
    <mergeCell ref="O1:O2"/>
    <mergeCell ref="Q1:Q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2026-05-31T12:15:13Z</dcterms:modified>
</cp:coreProperties>
</file>