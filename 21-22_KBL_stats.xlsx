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53A5EEDB-0A75-46BF-8405-76228E68F58F}" xr6:coauthVersionLast="47" xr6:coauthVersionMax="47" xr10:uidLastSave="{00000000-0000-0000-0000-000000000000}"/>
  <bookViews>
    <workbookView xWindow="-28920" yWindow="1785" windowWidth="29040" windowHeight="15720" xr2:uid="{C857A6F3-DAC3-47BF-9FFB-2634F9EBE6C3}"/>
  </bookViews>
  <sheets>
    <sheet name="Sheet1" sheetId="1" r:id="rId1"/>
  </sheets>
  <definedNames>
    <definedName name="_xlnm._FilterDatabase" localSheetId="0" hidden="1">Sheet1!$A$1:$BO$206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X2" i="1" l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3" i="1"/>
  <c r="AS2" i="1"/>
  <c r="AQ193" i="1"/>
  <c r="AQ192" i="1"/>
  <c r="AQ191" i="1"/>
  <c r="AQ190" i="1"/>
  <c r="AQ189" i="1"/>
  <c r="AQ188" i="1"/>
  <c r="AQ187" i="1"/>
  <c r="AQ186" i="1"/>
  <c r="AQ185" i="1"/>
  <c r="AQ184" i="1"/>
  <c r="AQ183" i="1"/>
  <c r="AQ182" i="1"/>
  <c r="AQ181" i="1"/>
  <c r="AQ180" i="1"/>
  <c r="AQ179" i="1"/>
  <c r="AQ178" i="1"/>
  <c r="AQ177" i="1"/>
  <c r="AQ176" i="1"/>
  <c r="AQ175" i="1"/>
  <c r="AQ174" i="1"/>
  <c r="AQ173" i="1"/>
  <c r="AQ172" i="1"/>
  <c r="AQ171" i="1"/>
  <c r="AQ170" i="1"/>
  <c r="AQ169" i="1"/>
  <c r="AQ168" i="1"/>
  <c r="AQ167" i="1"/>
  <c r="AQ166" i="1"/>
  <c r="AQ165" i="1"/>
  <c r="AQ164" i="1"/>
  <c r="AQ163" i="1"/>
  <c r="AQ162" i="1"/>
  <c r="AQ161" i="1"/>
  <c r="AQ160" i="1"/>
  <c r="AQ159" i="1"/>
  <c r="AQ158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  <c r="AQ4" i="1"/>
  <c r="AQ3" i="1"/>
  <c r="AQ2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M5" i="1"/>
  <c r="AM4" i="1"/>
  <c r="AM3" i="1"/>
  <c r="AM2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K3" i="1"/>
  <c r="AK2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AC193" i="1"/>
  <c r="AB193" i="1"/>
  <c r="AA193" i="1"/>
  <c r="AC192" i="1"/>
  <c r="AB192" i="1"/>
  <c r="AA192" i="1"/>
  <c r="AC191" i="1"/>
  <c r="AB191" i="1"/>
  <c r="AA191" i="1"/>
  <c r="AC190" i="1"/>
  <c r="AB190" i="1"/>
  <c r="AA190" i="1"/>
  <c r="AC189" i="1"/>
  <c r="AB189" i="1"/>
  <c r="AA189" i="1"/>
  <c r="AC188" i="1"/>
  <c r="AB188" i="1"/>
  <c r="AA188" i="1"/>
  <c r="AC187" i="1"/>
  <c r="AB187" i="1"/>
  <c r="AA187" i="1"/>
  <c r="AC186" i="1"/>
  <c r="AB186" i="1"/>
  <c r="AA186" i="1"/>
  <c r="AC185" i="1"/>
  <c r="AB185" i="1"/>
  <c r="AA185" i="1"/>
  <c r="AC184" i="1"/>
  <c r="AB184" i="1"/>
  <c r="AA184" i="1"/>
  <c r="AC183" i="1"/>
  <c r="AB183" i="1"/>
  <c r="AA183" i="1"/>
  <c r="AC182" i="1"/>
  <c r="AB182" i="1"/>
  <c r="AA182" i="1"/>
  <c r="AC181" i="1"/>
  <c r="AB181" i="1"/>
  <c r="AA181" i="1"/>
  <c r="AC180" i="1"/>
  <c r="AB180" i="1"/>
  <c r="AA180" i="1"/>
  <c r="AC179" i="1"/>
  <c r="AB179" i="1"/>
  <c r="AA179" i="1"/>
  <c r="AC178" i="1"/>
  <c r="AB178" i="1"/>
  <c r="AA178" i="1"/>
  <c r="AC177" i="1"/>
  <c r="AB177" i="1"/>
  <c r="AA177" i="1"/>
  <c r="AC176" i="1"/>
  <c r="AB176" i="1"/>
  <c r="AA176" i="1"/>
  <c r="AC175" i="1"/>
  <c r="AB175" i="1"/>
  <c r="AA175" i="1"/>
  <c r="AC174" i="1"/>
  <c r="AB174" i="1"/>
  <c r="AA174" i="1"/>
  <c r="AC173" i="1"/>
  <c r="AB173" i="1"/>
  <c r="AA173" i="1"/>
  <c r="AC172" i="1"/>
  <c r="AB172" i="1"/>
  <c r="AA172" i="1"/>
  <c r="AC171" i="1"/>
  <c r="AB171" i="1"/>
  <c r="AA171" i="1"/>
  <c r="AC170" i="1"/>
  <c r="AB170" i="1"/>
  <c r="AA170" i="1"/>
  <c r="AC169" i="1"/>
  <c r="AB169" i="1"/>
  <c r="AA169" i="1"/>
  <c r="AC168" i="1"/>
  <c r="AB168" i="1"/>
  <c r="AA168" i="1"/>
  <c r="AC167" i="1"/>
  <c r="AB167" i="1"/>
  <c r="AA167" i="1"/>
  <c r="AC166" i="1"/>
  <c r="AB166" i="1"/>
  <c r="AA166" i="1"/>
  <c r="AC165" i="1"/>
  <c r="AB165" i="1"/>
  <c r="AA165" i="1"/>
  <c r="AC164" i="1"/>
  <c r="AB164" i="1"/>
  <c r="AA164" i="1"/>
  <c r="AC163" i="1"/>
  <c r="AB163" i="1"/>
  <c r="AA163" i="1"/>
  <c r="AC162" i="1"/>
  <c r="AB162" i="1"/>
  <c r="AA162" i="1"/>
  <c r="AC161" i="1"/>
  <c r="AB161" i="1"/>
  <c r="AA161" i="1"/>
  <c r="AC160" i="1"/>
  <c r="AB160" i="1"/>
  <c r="AA160" i="1"/>
  <c r="AC159" i="1"/>
  <c r="AB159" i="1"/>
  <c r="AA159" i="1"/>
  <c r="AC158" i="1"/>
  <c r="AB158" i="1"/>
  <c r="AA158" i="1"/>
  <c r="AC157" i="1"/>
  <c r="AB157" i="1"/>
  <c r="AA157" i="1"/>
  <c r="AC156" i="1"/>
  <c r="AB156" i="1"/>
  <c r="AA156" i="1"/>
  <c r="AC155" i="1"/>
  <c r="AB155" i="1"/>
  <c r="AA155" i="1"/>
  <c r="AC154" i="1"/>
  <c r="AB154" i="1"/>
  <c r="AA154" i="1"/>
  <c r="AC153" i="1"/>
  <c r="AB153" i="1"/>
  <c r="AA153" i="1"/>
  <c r="AC152" i="1"/>
  <c r="AB152" i="1"/>
  <c r="AA152" i="1"/>
  <c r="AC151" i="1"/>
  <c r="AB151" i="1"/>
  <c r="AA151" i="1"/>
  <c r="AC150" i="1"/>
  <c r="AB150" i="1"/>
  <c r="AA150" i="1"/>
  <c r="AC149" i="1"/>
  <c r="AB149" i="1"/>
  <c r="AA149" i="1"/>
  <c r="AC148" i="1"/>
  <c r="AB148" i="1"/>
  <c r="AA148" i="1"/>
  <c r="AC147" i="1"/>
  <c r="AB147" i="1"/>
  <c r="AA147" i="1"/>
  <c r="AC146" i="1"/>
  <c r="AB146" i="1"/>
  <c r="AA146" i="1"/>
  <c r="AC145" i="1"/>
  <c r="AB145" i="1"/>
  <c r="AA145" i="1"/>
  <c r="AC144" i="1"/>
  <c r="AB144" i="1"/>
  <c r="AA144" i="1"/>
  <c r="AC143" i="1"/>
  <c r="AB143" i="1"/>
  <c r="AA143" i="1"/>
  <c r="AC142" i="1"/>
  <c r="AB142" i="1"/>
  <c r="AA142" i="1"/>
  <c r="AC141" i="1"/>
  <c r="AB141" i="1"/>
  <c r="AA141" i="1"/>
  <c r="AC140" i="1"/>
  <c r="AB140" i="1"/>
  <c r="AA140" i="1"/>
  <c r="AC139" i="1"/>
  <c r="AB139" i="1"/>
  <c r="AA139" i="1"/>
  <c r="AC138" i="1"/>
  <c r="AB138" i="1"/>
  <c r="AA138" i="1"/>
  <c r="AC137" i="1"/>
  <c r="AB137" i="1"/>
  <c r="AA137" i="1"/>
  <c r="AC136" i="1"/>
  <c r="AB136" i="1"/>
  <c r="AA136" i="1"/>
  <c r="AC135" i="1"/>
  <c r="AB135" i="1"/>
  <c r="AA135" i="1"/>
  <c r="AC134" i="1"/>
  <c r="AB134" i="1"/>
  <c r="AA134" i="1"/>
  <c r="AC133" i="1"/>
  <c r="AB133" i="1"/>
  <c r="AA133" i="1"/>
  <c r="AC132" i="1"/>
  <c r="AB132" i="1"/>
  <c r="AA132" i="1"/>
  <c r="AC131" i="1"/>
  <c r="AB131" i="1"/>
  <c r="AA131" i="1"/>
  <c r="AC130" i="1"/>
  <c r="AB130" i="1"/>
  <c r="AA130" i="1"/>
  <c r="AC129" i="1"/>
  <c r="AB129" i="1"/>
  <c r="AA129" i="1"/>
  <c r="AC128" i="1"/>
  <c r="AB128" i="1"/>
  <c r="AA128" i="1"/>
  <c r="AC127" i="1"/>
  <c r="AB127" i="1"/>
  <c r="AA127" i="1"/>
  <c r="AC126" i="1"/>
  <c r="AB126" i="1"/>
  <c r="AA126" i="1"/>
  <c r="AC125" i="1"/>
  <c r="AB125" i="1"/>
  <c r="AA125" i="1"/>
  <c r="AC124" i="1"/>
  <c r="AB124" i="1"/>
  <c r="AA124" i="1"/>
  <c r="AC123" i="1"/>
  <c r="AB123" i="1"/>
  <c r="AA123" i="1"/>
  <c r="AC122" i="1"/>
  <c r="AB122" i="1"/>
  <c r="AA122" i="1"/>
  <c r="AC121" i="1"/>
  <c r="AB121" i="1"/>
  <c r="AA121" i="1"/>
  <c r="AC120" i="1"/>
  <c r="AB120" i="1"/>
  <c r="AA120" i="1"/>
  <c r="AC119" i="1"/>
  <c r="AB119" i="1"/>
  <c r="AA119" i="1"/>
  <c r="AC118" i="1"/>
  <c r="AB118" i="1"/>
  <c r="AA118" i="1"/>
  <c r="AC117" i="1"/>
  <c r="AB117" i="1"/>
  <c r="AA117" i="1"/>
  <c r="AC116" i="1"/>
  <c r="AB116" i="1"/>
  <c r="AA116" i="1"/>
  <c r="AC115" i="1"/>
  <c r="AB115" i="1"/>
  <c r="AA115" i="1"/>
  <c r="AC114" i="1"/>
  <c r="AB114" i="1"/>
  <c r="AA114" i="1"/>
  <c r="AC113" i="1"/>
  <c r="AB113" i="1"/>
  <c r="AA113" i="1"/>
  <c r="AC112" i="1"/>
  <c r="AB112" i="1"/>
  <c r="AA112" i="1"/>
  <c r="AC111" i="1"/>
  <c r="AB111" i="1"/>
  <c r="AA111" i="1"/>
  <c r="AC110" i="1"/>
  <c r="AB110" i="1"/>
  <c r="AA110" i="1"/>
  <c r="AC109" i="1"/>
  <c r="AB109" i="1"/>
  <c r="AA109" i="1"/>
  <c r="AC108" i="1"/>
  <c r="AB108" i="1"/>
  <c r="AA108" i="1"/>
  <c r="AC107" i="1"/>
  <c r="AB107" i="1"/>
  <c r="AA107" i="1"/>
  <c r="AC106" i="1"/>
  <c r="AB106" i="1"/>
  <c r="AA106" i="1"/>
  <c r="AC105" i="1"/>
  <c r="AB105" i="1"/>
  <c r="AA105" i="1"/>
  <c r="AC104" i="1"/>
  <c r="AB104" i="1"/>
  <c r="AA104" i="1"/>
  <c r="AC103" i="1"/>
  <c r="AB103" i="1"/>
  <c r="AA103" i="1"/>
  <c r="AC102" i="1"/>
  <c r="AB102" i="1"/>
  <c r="AA102" i="1"/>
  <c r="AC101" i="1"/>
  <c r="AB101" i="1"/>
  <c r="AA101" i="1"/>
  <c r="AC100" i="1"/>
  <c r="AB100" i="1"/>
  <c r="AA100" i="1"/>
  <c r="AC99" i="1"/>
  <c r="AB99" i="1"/>
  <c r="AA99" i="1"/>
  <c r="AC98" i="1"/>
  <c r="AB98" i="1"/>
  <c r="AA98" i="1"/>
  <c r="AC97" i="1"/>
  <c r="AB97" i="1"/>
  <c r="AA97" i="1"/>
  <c r="AC96" i="1"/>
  <c r="AB96" i="1"/>
  <c r="AA96" i="1"/>
  <c r="AC95" i="1"/>
  <c r="AB95" i="1"/>
  <c r="AA95" i="1"/>
  <c r="AC94" i="1"/>
  <c r="AB94" i="1"/>
  <c r="AA94" i="1"/>
  <c r="AC93" i="1"/>
  <c r="AB93" i="1"/>
  <c r="AA93" i="1"/>
  <c r="AC92" i="1"/>
  <c r="AB92" i="1"/>
  <c r="AA92" i="1"/>
  <c r="AC91" i="1"/>
  <c r="AB91" i="1"/>
  <c r="AA91" i="1"/>
  <c r="AC90" i="1"/>
  <c r="AB90" i="1"/>
  <c r="AA90" i="1"/>
  <c r="AC89" i="1"/>
  <c r="AB89" i="1"/>
  <c r="AA89" i="1"/>
  <c r="AC88" i="1"/>
  <c r="AB88" i="1"/>
  <c r="AA88" i="1"/>
  <c r="AC87" i="1"/>
  <c r="AB87" i="1"/>
  <c r="AA87" i="1"/>
  <c r="AC86" i="1"/>
  <c r="AB86" i="1"/>
  <c r="AA86" i="1"/>
  <c r="AC85" i="1"/>
  <c r="AB85" i="1"/>
  <c r="AA85" i="1"/>
  <c r="AC84" i="1"/>
  <c r="AB84" i="1"/>
  <c r="AA84" i="1"/>
  <c r="AC83" i="1"/>
  <c r="AB83" i="1"/>
  <c r="AA83" i="1"/>
  <c r="AC82" i="1"/>
  <c r="AB82" i="1"/>
  <c r="AA82" i="1"/>
  <c r="AC81" i="1"/>
  <c r="AB81" i="1"/>
  <c r="AA81" i="1"/>
  <c r="AC80" i="1"/>
  <c r="AB80" i="1"/>
  <c r="AA80" i="1"/>
  <c r="AC79" i="1"/>
  <c r="AB79" i="1"/>
  <c r="AA79" i="1"/>
  <c r="AC78" i="1"/>
  <c r="AB78" i="1"/>
  <c r="AA78" i="1"/>
  <c r="AC77" i="1"/>
  <c r="AB77" i="1"/>
  <c r="AA77" i="1"/>
  <c r="AC76" i="1"/>
  <c r="AB76" i="1"/>
  <c r="AA76" i="1"/>
  <c r="AC75" i="1"/>
  <c r="AB75" i="1"/>
  <c r="AA75" i="1"/>
  <c r="AC74" i="1"/>
  <c r="AB74" i="1"/>
  <c r="AA74" i="1"/>
  <c r="AC73" i="1"/>
  <c r="AB73" i="1"/>
  <c r="AA73" i="1"/>
  <c r="AC72" i="1"/>
  <c r="AB72" i="1"/>
  <c r="AA72" i="1"/>
  <c r="AC71" i="1"/>
  <c r="AB71" i="1"/>
  <c r="AA71" i="1"/>
  <c r="AC70" i="1"/>
  <c r="AB70" i="1"/>
  <c r="AA70" i="1"/>
  <c r="AC69" i="1"/>
  <c r="AB69" i="1"/>
  <c r="AA69" i="1"/>
  <c r="AC68" i="1"/>
  <c r="AB68" i="1"/>
  <c r="AA68" i="1"/>
  <c r="AC67" i="1"/>
  <c r="AB67" i="1"/>
  <c r="AA67" i="1"/>
  <c r="AC66" i="1"/>
  <c r="AB66" i="1"/>
  <c r="AA66" i="1"/>
  <c r="AC65" i="1"/>
  <c r="AB65" i="1"/>
  <c r="AA65" i="1"/>
  <c r="AC64" i="1"/>
  <c r="AB64" i="1"/>
  <c r="AA64" i="1"/>
  <c r="AC63" i="1"/>
  <c r="AB63" i="1"/>
  <c r="AA63" i="1"/>
  <c r="AC62" i="1"/>
  <c r="AB62" i="1"/>
  <c r="AA62" i="1"/>
  <c r="AC61" i="1"/>
  <c r="AB61" i="1"/>
  <c r="AA61" i="1"/>
  <c r="AC60" i="1"/>
  <c r="AB60" i="1"/>
  <c r="AA60" i="1"/>
  <c r="AC59" i="1"/>
  <c r="AB59" i="1"/>
  <c r="AA59" i="1"/>
  <c r="AC58" i="1"/>
  <c r="AB58" i="1"/>
  <c r="AA58" i="1"/>
  <c r="AC57" i="1"/>
  <c r="AB57" i="1"/>
  <c r="AA57" i="1"/>
  <c r="AC56" i="1"/>
  <c r="AB56" i="1"/>
  <c r="AA56" i="1"/>
  <c r="AC55" i="1"/>
  <c r="AB55" i="1"/>
  <c r="AA55" i="1"/>
  <c r="AC54" i="1"/>
  <c r="AB54" i="1"/>
  <c r="AA54" i="1"/>
  <c r="AC53" i="1"/>
  <c r="AB53" i="1"/>
  <c r="AA53" i="1"/>
  <c r="AC52" i="1"/>
  <c r="AB52" i="1"/>
  <c r="AA52" i="1"/>
  <c r="AC51" i="1"/>
  <c r="AB51" i="1"/>
  <c r="AA51" i="1"/>
  <c r="AC50" i="1"/>
  <c r="AB50" i="1"/>
  <c r="AA50" i="1"/>
  <c r="AC49" i="1"/>
  <c r="AB49" i="1"/>
  <c r="AA49" i="1"/>
  <c r="AC48" i="1"/>
  <c r="AB48" i="1"/>
  <c r="AA48" i="1"/>
  <c r="AC47" i="1"/>
  <c r="AB47" i="1"/>
  <c r="AA47" i="1"/>
  <c r="AC46" i="1"/>
  <c r="AB46" i="1"/>
  <c r="AA46" i="1"/>
  <c r="AC45" i="1"/>
  <c r="AB45" i="1"/>
  <c r="AA45" i="1"/>
  <c r="AC44" i="1"/>
  <c r="AB44" i="1"/>
  <c r="AA44" i="1"/>
  <c r="AC43" i="1"/>
  <c r="AB43" i="1"/>
  <c r="AA43" i="1"/>
  <c r="AC42" i="1"/>
  <c r="AB42" i="1"/>
  <c r="AA42" i="1"/>
  <c r="AC41" i="1"/>
  <c r="AB41" i="1"/>
  <c r="AA41" i="1"/>
  <c r="AC40" i="1"/>
  <c r="AB40" i="1"/>
  <c r="AA40" i="1"/>
  <c r="AC39" i="1"/>
  <c r="AB39" i="1"/>
  <c r="AA39" i="1"/>
  <c r="AC38" i="1"/>
  <c r="AB38" i="1"/>
  <c r="AA38" i="1"/>
  <c r="AC37" i="1"/>
  <c r="AB37" i="1"/>
  <c r="AA37" i="1"/>
  <c r="AC36" i="1"/>
  <c r="AB36" i="1"/>
  <c r="AA36" i="1"/>
  <c r="AC35" i="1"/>
  <c r="AB35" i="1"/>
  <c r="AA35" i="1"/>
  <c r="AC34" i="1"/>
  <c r="AB34" i="1"/>
  <c r="AA34" i="1"/>
  <c r="AC33" i="1"/>
  <c r="AB33" i="1"/>
  <c r="AA33" i="1"/>
  <c r="AC32" i="1"/>
  <c r="AB32" i="1"/>
  <c r="AA32" i="1"/>
  <c r="AC31" i="1"/>
  <c r="AB31" i="1"/>
  <c r="AA31" i="1"/>
  <c r="AC30" i="1"/>
  <c r="AB30" i="1"/>
  <c r="AA30" i="1"/>
  <c r="AC29" i="1"/>
  <c r="AB29" i="1"/>
  <c r="AA29" i="1"/>
  <c r="AC28" i="1"/>
  <c r="AB28" i="1"/>
  <c r="AA28" i="1"/>
  <c r="AC27" i="1"/>
  <c r="AB27" i="1"/>
  <c r="AA27" i="1"/>
  <c r="AC26" i="1"/>
  <c r="AB26" i="1"/>
  <c r="AA26" i="1"/>
  <c r="AC25" i="1"/>
  <c r="AB25" i="1"/>
  <c r="AA25" i="1"/>
  <c r="AC24" i="1"/>
  <c r="AB24" i="1"/>
  <c r="AA24" i="1"/>
  <c r="AC23" i="1"/>
  <c r="AB23" i="1"/>
  <c r="AA23" i="1"/>
  <c r="AC22" i="1"/>
  <c r="AB22" i="1"/>
  <c r="AA22" i="1"/>
  <c r="AC21" i="1"/>
  <c r="AB21" i="1"/>
  <c r="AA21" i="1"/>
  <c r="AC20" i="1"/>
  <c r="AB20" i="1"/>
  <c r="AA20" i="1"/>
  <c r="AC19" i="1"/>
  <c r="AB19" i="1"/>
  <c r="AA19" i="1"/>
  <c r="AC18" i="1"/>
  <c r="AB18" i="1"/>
  <c r="AA18" i="1"/>
  <c r="AC17" i="1"/>
  <c r="AB17" i="1"/>
  <c r="AA17" i="1"/>
  <c r="AC16" i="1"/>
  <c r="AB16" i="1"/>
  <c r="AA16" i="1"/>
  <c r="AC15" i="1"/>
  <c r="AB15" i="1"/>
  <c r="AA15" i="1"/>
  <c r="AC14" i="1"/>
  <c r="AB14" i="1"/>
  <c r="AA14" i="1"/>
  <c r="AC13" i="1"/>
  <c r="AB13" i="1"/>
  <c r="AA13" i="1"/>
  <c r="AC12" i="1"/>
  <c r="AB12" i="1"/>
  <c r="AA12" i="1"/>
  <c r="AC11" i="1"/>
  <c r="AB11" i="1"/>
  <c r="AA11" i="1"/>
  <c r="AC10" i="1"/>
  <c r="AB10" i="1"/>
  <c r="AA10" i="1"/>
  <c r="AC9" i="1"/>
  <c r="AB9" i="1"/>
  <c r="AA9" i="1"/>
  <c r="AC8" i="1"/>
  <c r="AB8" i="1"/>
  <c r="AA8" i="1"/>
  <c r="AC7" i="1"/>
  <c r="AB7" i="1"/>
  <c r="AA7" i="1"/>
  <c r="AC6" i="1"/>
  <c r="AB6" i="1"/>
  <c r="AA6" i="1"/>
  <c r="AC5" i="1"/>
  <c r="AB5" i="1"/>
  <c r="AA5" i="1"/>
  <c r="AC4" i="1"/>
  <c r="AB4" i="1"/>
  <c r="AA4" i="1"/>
  <c r="AC3" i="1"/>
  <c r="AB3" i="1"/>
  <c r="AA3" i="1"/>
  <c r="AC2" i="1"/>
  <c r="AB2" i="1"/>
  <c r="AA2" i="1"/>
  <c r="X193" i="1"/>
  <c r="W193" i="1"/>
  <c r="V193" i="1"/>
  <c r="X192" i="1"/>
  <c r="W192" i="1"/>
  <c r="V192" i="1"/>
  <c r="X191" i="1"/>
  <c r="W191" i="1"/>
  <c r="V191" i="1"/>
  <c r="X190" i="1"/>
  <c r="W190" i="1"/>
  <c r="V190" i="1"/>
  <c r="X189" i="1"/>
  <c r="W189" i="1"/>
  <c r="V189" i="1"/>
  <c r="X188" i="1"/>
  <c r="W188" i="1"/>
  <c r="V188" i="1"/>
  <c r="X187" i="1"/>
  <c r="W187" i="1"/>
  <c r="V187" i="1"/>
  <c r="X186" i="1"/>
  <c r="W186" i="1"/>
  <c r="V186" i="1"/>
  <c r="X185" i="1"/>
  <c r="W185" i="1"/>
  <c r="V185" i="1"/>
  <c r="X184" i="1"/>
  <c r="W184" i="1"/>
  <c r="V184" i="1"/>
  <c r="X183" i="1"/>
  <c r="W183" i="1"/>
  <c r="V183" i="1"/>
  <c r="X182" i="1"/>
  <c r="W182" i="1"/>
  <c r="V182" i="1"/>
  <c r="X181" i="1"/>
  <c r="W181" i="1"/>
  <c r="V181" i="1"/>
  <c r="X180" i="1"/>
  <c r="W180" i="1"/>
  <c r="V180" i="1"/>
  <c r="X179" i="1"/>
  <c r="W179" i="1"/>
  <c r="V179" i="1"/>
  <c r="X178" i="1"/>
  <c r="W178" i="1"/>
  <c r="V178" i="1"/>
  <c r="X177" i="1"/>
  <c r="W177" i="1"/>
  <c r="V177" i="1"/>
  <c r="X176" i="1"/>
  <c r="W176" i="1"/>
  <c r="V176" i="1"/>
  <c r="X175" i="1"/>
  <c r="W175" i="1"/>
  <c r="V175" i="1"/>
  <c r="X174" i="1"/>
  <c r="W174" i="1"/>
  <c r="V174" i="1"/>
  <c r="X173" i="1"/>
  <c r="W173" i="1"/>
  <c r="V173" i="1"/>
  <c r="X172" i="1"/>
  <c r="W172" i="1"/>
  <c r="V172" i="1"/>
  <c r="X171" i="1"/>
  <c r="W171" i="1"/>
  <c r="V171" i="1"/>
  <c r="X170" i="1"/>
  <c r="W170" i="1"/>
  <c r="V170" i="1"/>
  <c r="X169" i="1"/>
  <c r="W169" i="1"/>
  <c r="V169" i="1"/>
  <c r="X168" i="1"/>
  <c r="W168" i="1"/>
  <c r="V168" i="1"/>
  <c r="X167" i="1"/>
  <c r="W167" i="1"/>
  <c r="V167" i="1"/>
  <c r="X166" i="1"/>
  <c r="W166" i="1"/>
  <c r="V166" i="1"/>
  <c r="X165" i="1"/>
  <c r="W165" i="1"/>
  <c r="V165" i="1"/>
  <c r="X164" i="1"/>
  <c r="W164" i="1"/>
  <c r="V164" i="1"/>
  <c r="X163" i="1"/>
  <c r="W163" i="1"/>
  <c r="V163" i="1"/>
  <c r="X162" i="1"/>
  <c r="W162" i="1"/>
  <c r="V162" i="1"/>
  <c r="X161" i="1"/>
  <c r="W161" i="1"/>
  <c r="V161" i="1"/>
  <c r="X160" i="1"/>
  <c r="W160" i="1"/>
  <c r="V160" i="1"/>
  <c r="X159" i="1"/>
  <c r="W159" i="1"/>
  <c r="V159" i="1"/>
  <c r="X158" i="1"/>
  <c r="W158" i="1"/>
  <c r="V158" i="1"/>
  <c r="X157" i="1"/>
  <c r="W157" i="1"/>
  <c r="V157" i="1"/>
  <c r="X156" i="1"/>
  <c r="W156" i="1"/>
  <c r="V156" i="1"/>
  <c r="X155" i="1"/>
  <c r="W155" i="1"/>
  <c r="V155" i="1"/>
  <c r="X154" i="1"/>
  <c r="W154" i="1"/>
  <c r="V154" i="1"/>
  <c r="X153" i="1"/>
  <c r="W153" i="1"/>
  <c r="V153" i="1"/>
  <c r="X152" i="1"/>
  <c r="W152" i="1"/>
  <c r="V152" i="1"/>
  <c r="X151" i="1"/>
  <c r="W151" i="1"/>
  <c r="V151" i="1"/>
  <c r="X150" i="1"/>
  <c r="W150" i="1"/>
  <c r="V150" i="1"/>
  <c r="X149" i="1"/>
  <c r="W149" i="1"/>
  <c r="V149" i="1"/>
  <c r="X148" i="1"/>
  <c r="W148" i="1"/>
  <c r="V148" i="1"/>
  <c r="X147" i="1"/>
  <c r="W147" i="1"/>
  <c r="V147" i="1"/>
  <c r="X146" i="1"/>
  <c r="W146" i="1"/>
  <c r="V146" i="1"/>
  <c r="X145" i="1"/>
  <c r="W145" i="1"/>
  <c r="V145" i="1"/>
  <c r="X144" i="1"/>
  <c r="W144" i="1"/>
  <c r="V144" i="1"/>
  <c r="X143" i="1"/>
  <c r="W143" i="1"/>
  <c r="V143" i="1"/>
  <c r="X142" i="1"/>
  <c r="W142" i="1"/>
  <c r="V142" i="1"/>
  <c r="X141" i="1"/>
  <c r="W141" i="1"/>
  <c r="V141" i="1"/>
  <c r="X140" i="1"/>
  <c r="W140" i="1"/>
  <c r="V140" i="1"/>
  <c r="X139" i="1"/>
  <c r="W139" i="1"/>
  <c r="V139" i="1"/>
  <c r="X138" i="1"/>
  <c r="W138" i="1"/>
  <c r="V138" i="1"/>
  <c r="X137" i="1"/>
  <c r="W137" i="1"/>
  <c r="V137" i="1"/>
  <c r="X136" i="1"/>
  <c r="W136" i="1"/>
  <c r="V136" i="1"/>
  <c r="X135" i="1"/>
  <c r="W135" i="1"/>
  <c r="V135" i="1"/>
  <c r="X134" i="1"/>
  <c r="W134" i="1"/>
  <c r="V134" i="1"/>
  <c r="X133" i="1"/>
  <c r="W133" i="1"/>
  <c r="V133" i="1"/>
  <c r="X132" i="1"/>
  <c r="W132" i="1"/>
  <c r="V132" i="1"/>
  <c r="X131" i="1"/>
  <c r="W131" i="1"/>
  <c r="V131" i="1"/>
  <c r="X130" i="1"/>
  <c r="W130" i="1"/>
  <c r="V130" i="1"/>
  <c r="X129" i="1"/>
  <c r="W129" i="1"/>
  <c r="V129" i="1"/>
  <c r="X128" i="1"/>
  <c r="W128" i="1"/>
  <c r="V128" i="1"/>
  <c r="X127" i="1"/>
  <c r="W127" i="1"/>
  <c r="V127" i="1"/>
  <c r="X126" i="1"/>
  <c r="W126" i="1"/>
  <c r="V126" i="1"/>
  <c r="X125" i="1"/>
  <c r="W125" i="1"/>
  <c r="V125" i="1"/>
  <c r="X124" i="1"/>
  <c r="W124" i="1"/>
  <c r="V124" i="1"/>
  <c r="X123" i="1"/>
  <c r="W123" i="1"/>
  <c r="V123" i="1"/>
  <c r="X122" i="1"/>
  <c r="W122" i="1"/>
  <c r="V122" i="1"/>
  <c r="X121" i="1"/>
  <c r="W121" i="1"/>
  <c r="V121" i="1"/>
  <c r="X120" i="1"/>
  <c r="W120" i="1"/>
  <c r="V120" i="1"/>
  <c r="X119" i="1"/>
  <c r="W119" i="1"/>
  <c r="V119" i="1"/>
  <c r="X118" i="1"/>
  <c r="W118" i="1"/>
  <c r="V118" i="1"/>
  <c r="X117" i="1"/>
  <c r="W117" i="1"/>
  <c r="V117" i="1"/>
  <c r="X116" i="1"/>
  <c r="W116" i="1"/>
  <c r="V116" i="1"/>
  <c r="X115" i="1"/>
  <c r="W115" i="1"/>
  <c r="V115" i="1"/>
  <c r="X114" i="1"/>
  <c r="W114" i="1"/>
  <c r="V114" i="1"/>
  <c r="X113" i="1"/>
  <c r="W113" i="1"/>
  <c r="V113" i="1"/>
  <c r="X112" i="1"/>
  <c r="W112" i="1"/>
  <c r="V112" i="1"/>
  <c r="X111" i="1"/>
  <c r="W111" i="1"/>
  <c r="V111" i="1"/>
  <c r="X110" i="1"/>
  <c r="W110" i="1"/>
  <c r="V110" i="1"/>
  <c r="X109" i="1"/>
  <c r="W109" i="1"/>
  <c r="V109" i="1"/>
  <c r="X108" i="1"/>
  <c r="W108" i="1"/>
  <c r="V108" i="1"/>
  <c r="X107" i="1"/>
  <c r="W107" i="1"/>
  <c r="V107" i="1"/>
  <c r="X106" i="1"/>
  <c r="W106" i="1"/>
  <c r="V106" i="1"/>
  <c r="X105" i="1"/>
  <c r="W105" i="1"/>
  <c r="V105" i="1"/>
  <c r="X104" i="1"/>
  <c r="W104" i="1"/>
  <c r="V104" i="1"/>
  <c r="X103" i="1"/>
  <c r="W103" i="1"/>
  <c r="V103" i="1"/>
  <c r="X102" i="1"/>
  <c r="W102" i="1"/>
  <c r="V102" i="1"/>
  <c r="X101" i="1"/>
  <c r="W101" i="1"/>
  <c r="V101" i="1"/>
  <c r="X100" i="1"/>
  <c r="W100" i="1"/>
  <c r="V100" i="1"/>
  <c r="X99" i="1"/>
  <c r="W99" i="1"/>
  <c r="V99" i="1"/>
  <c r="X98" i="1"/>
  <c r="W98" i="1"/>
  <c r="V98" i="1"/>
  <c r="X97" i="1"/>
  <c r="W97" i="1"/>
  <c r="V97" i="1"/>
  <c r="X96" i="1"/>
  <c r="W96" i="1"/>
  <c r="V96" i="1"/>
  <c r="X95" i="1"/>
  <c r="W95" i="1"/>
  <c r="V95" i="1"/>
  <c r="X94" i="1"/>
  <c r="W94" i="1"/>
  <c r="V94" i="1"/>
  <c r="X93" i="1"/>
  <c r="W93" i="1"/>
  <c r="V93" i="1"/>
  <c r="X92" i="1"/>
  <c r="W92" i="1"/>
  <c r="V92" i="1"/>
  <c r="X91" i="1"/>
  <c r="W91" i="1"/>
  <c r="V91" i="1"/>
  <c r="X90" i="1"/>
  <c r="W90" i="1"/>
  <c r="V90" i="1"/>
  <c r="X89" i="1"/>
  <c r="W89" i="1"/>
  <c r="V89" i="1"/>
  <c r="X88" i="1"/>
  <c r="W88" i="1"/>
  <c r="V88" i="1"/>
  <c r="X87" i="1"/>
  <c r="W87" i="1"/>
  <c r="V87" i="1"/>
  <c r="X86" i="1"/>
  <c r="W86" i="1"/>
  <c r="V86" i="1"/>
  <c r="X85" i="1"/>
  <c r="W85" i="1"/>
  <c r="V85" i="1"/>
  <c r="X84" i="1"/>
  <c r="W84" i="1"/>
  <c r="V84" i="1"/>
  <c r="X83" i="1"/>
  <c r="W83" i="1"/>
  <c r="V83" i="1"/>
  <c r="X82" i="1"/>
  <c r="W82" i="1"/>
  <c r="V82" i="1"/>
  <c r="X81" i="1"/>
  <c r="W81" i="1"/>
  <c r="V81" i="1"/>
  <c r="X80" i="1"/>
  <c r="W80" i="1"/>
  <c r="V80" i="1"/>
  <c r="X79" i="1"/>
  <c r="W79" i="1"/>
  <c r="V79" i="1"/>
  <c r="X78" i="1"/>
  <c r="W78" i="1"/>
  <c r="V78" i="1"/>
  <c r="X77" i="1"/>
  <c r="W77" i="1"/>
  <c r="V77" i="1"/>
  <c r="X76" i="1"/>
  <c r="W76" i="1"/>
  <c r="V76" i="1"/>
  <c r="X75" i="1"/>
  <c r="W75" i="1"/>
  <c r="V75" i="1"/>
  <c r="X74" i="1"/>
  <c r="W74" i="1"/>
  <c r="V74" i="1"/>
  <c r="X73" i="1"/>
  <c r="W73" i="1"/>
  <c r="V73" i="1"/>
  <c r="X72" i="1"/>
  <c r="W72" i="1"/>
  <c r="V72" i="1"/>
  <c r="X71" i="1"/>
  <c r="W71" i="1"/>
  <c r="V71" i="1"/>
  <c r="X70" i="1"/>
  <c r="W70" i="1"/>
  <c r="V70" i="1"/>
  <c r="X69" i="1"/>
  <c r="W69" i="1"/>
  <c r="V69" i="1"/>
  <c r="X68" i="1"/>
  <c r="W68" i="1"/>
  <c r="V68" i="1"/>
  <c r="X67" i="1"/>
  <c r="W67" i="1"/>
  <c r="V67" i="1"/>
  <c r="X66" i="1"/>
  <c r="W66" i="1"/>
  <c r="V66" i="1"/>
  <c r="X65" i="1"/>
  <c r="W65" i="1"/>
  <c r="V65" i="1"/>
  <c r="X64" i="1"/>
  <c r="W64" i="1"/>
  <c r="V64" i="1"/>
  <c r="X63" i="1"/>
  <c r="W63" i="1"/>
  <c r="V63" i="1"/>
  <c r="X62" i="1"/>
  <c r="W62" i="1"/>
  <c r="V62" i="1"/>
  <c r="X61" i="1"/>
  <c r="W61" i="1"/>
  <c r="V61" i="1"/>
  <c r="X60" i="1"/>
  <c r="W60" i="1"/>
  <c r="V60" i="1"/>
  <c r="X59" i="1"/>
  <c r="W59" i="1"/>
  <c r="V59" i="1"/>
  <c r="X58" i="1"/>
  <c r="W58" i="1"/>
  <c r="V58" i="1"/>
  <c r="X57" i="1"/>
  <c r="W57" i="1"/>
  <c r="V57" i="1"/>
  <c r="X56" i="1"/>
  <c r="W56" i="1"/>
  <c r="V56" i="1"/>
  <c r="X55" i="1"/>
  <c r="W55" i="1"/>
  <c r="V55" i="1"/>
  <c r="X54" i="1"/>
  <c r="W54" i="1"/>
  <c r="V54" i="1"/>
  <c r="X53" i="1"/>
  <c r="W53" i="1"/>
  <c r="V53" i="1"/>
  <c r="X52" i="1"/>
  <c r="W52" i="1"/>
  <c r="V52" i="1"/>
  <c r="X51" i="1"/>
  <c r="W51" i="1"/>
  <c r="V51" i="1"/>
  <c r="X50" i="1"/>
  <c r="W50" i="1"/>
  <c r="V50" i="1"/>
  <c r="X49" i="1"/>
  <c r="W49" i="1"/>
  <c r="V49" i="1"/>
  <c r="X48" i="1"/>
  <c r="W48" i="1"/>
  <c r="V48" i="1"/>
  <c r="X47" i="1"/>
  <c r="W47" i="1"/>
  <c r="V47" i="1"/>
  <c r="X46" i="1"/>
  <c r="W46" i="1"/>
  <c r="V46" i="1"/>
  <c r="X45" i="1"/>
  <c r="W45" i="1"/>
  <c r="V45" i="1"/>
  <c r="X44" i="1"/>
  <c r="W44" i="1"/>
  <c r="V44" i="1"/>
  <c r="X43" i="1"/>
  <c r="W43" i="1"/>
  <c r="V43" i="1"/>
  <c r="X42" i="1"/>
  <c r="W42" i="1"/>
  <c r="V42" i="1"/>
  <c r="X41" i="1"/>
  <c r="W41" i="1"/>
  <c r="V41" i="1"/>
  <c r="X40" i="1"/>
  <c r="W40" i="1"/>
  <c r="V40" i="1"/>
  <c r="X39" i="1"/>
  <c r="W39" i="1"/>
  <c r="V39" i="1"/>
  <c r="X38" i="1"/>
  <c r="W38" i="1"/>
  <c r="V38" i="1"/>
  <c r="X37" i="1"/>
  <c r="W37" i="1"/>
  <c r="V37" i="1"/>
  <c r="X36" i="1"/>
  <c r="W36" i="1"/>
  <c r="V36" i="1"/>
  <c r="X35" i="1"/>
  <c r="W35" i="1"/>
  <c r="V35" i="1"/>
  <c r="X34" i="1"/>
  <c r="W34" i="1"/>
  <c r="V34" i="1"/>
  <c r="X33" i="1"/>
  <c r="W33" i="1"/>
  <c r="V33" i="1"/>
  <c r="X32" i="1"/>
  <c r="W32" i="1"/>
  <c r="V32" i="1"/>
  <c r="X31" i="1"/>
  <c r="W31" i="1"/>
  <c r="V31" i="1"/>
  <c r="X30" i="1"/>
  <c r="W30" i="1"/>
  <c r="V30" i="1"/>
  <c r="X29" i="1"/>
  <c r="W29" i="1"/>
  <c r="V29" i="1"/>
  <c r="X28" i="1"/>
  <c r="W28" i="1"/>
  <c r="V28" i="1"/>
  <c r="X27" i="1"/>
  <c r="W27" i="1"/>
  <c r="V27" i="1"/>
  <c r="X26" i="1"/>
  <c r="W26" i="1"/>
  <c r="V26" i="1"/>
  <c r="X25" i="1"/>
  <c r="W25" i="1"/>
  <c r="V25" i="1"/>
  <c r="X24" i="1"/>
  <c r="W24" i="1"/>
  <c r="V24" i="1"/>
  <c r="X23" i="1"/>
  <c r="W23" i="1"/>
  <c r="V23" i="1"/>
  <c r="X22" i="1"/>
  <c r="W22" i="1"/>
  <c r="V22" i="1"/>
  <c r="X21" i="1"/>
  <c r="W21" i="1"/>
  <c r="V21" i="1"/>
  <c r="X20" i="1"/>
  <c r="W20" i="1"/>
  <c r="V20" i="1"/>
  <c r="X19" i="1"/>
  <c r="W19" i="1"/>
  <c r="V19" i="1"/>
  <c r="X18" i="1"/>
  <c r="W18" i="1"/>
  <c r="V18" i="1"/>
  <c r="X17" i="1"/>
  <c r="W17" i="1"/>
  <c r="V17" i="1"/>
  <c r="X16" i="1"/>
  <c r="W16" i="1"/>
  <c r="V16" i="1"/>
  <c r="X15" i="1"/>
  <c r="W15" i="1"/>
  <c r="V15" i="1"/>
  <c r="X14" i="1"/>
  <c r="W14" i="1"/>
  <c r="V14" i="1"/>
  <c r="X13" i="1"/>
  <c r="W13" i="1"/>
  <c r="V13" i="1"/>
  <c r="X12" i="1"/>
  <c r="W12" i="1"/>
  <c r="V12" i="1"/>
  <c r="X11" i="1"/>
  <c r="W11" i="1"/>
  <c r="V11" i="1"/>
  <c r="X10" i="1"/>
  <c r="W10" i="1"/>
  <c r="V10" i="1"/>
  <c r="X9" i="1"/>
  <c r="W9" i="1"/>
  <c r="V9" i="1"/>
  <c r="X8" i="1"/>
  <c r="W8" i="1"/>
  <c r="V8" i="1"/>
  <c r="X7" i="1"/>
  <c r="W7" i="1"/>
  <c r="V7" i="1"/>
  <c r="X6" i="1"/>
  <c r="W6" i="1"/>
  <c r="V6" i="1"/>
  <c r="X5" i="1"/>
  <c r="W5" i="1"/>
  <c r="V5" i="1"/>
  <c r="X4" i="1"/>
  <c r="W4" i="1"/>
  <c r="V4" i="1"/>
  <c r="X3" i="1"/>
  <c r="W3" i="1"/>
  <c r="V3" i="1"/>
  <c r="X2" i="1"/>
  <c r="W2" i="1"/>
  <c r="V2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S6" i="1"/>
  <c r="R6" i="1"/>
  <c r="Q6" i="1"/>
  <c r="S5" i="1"/>
  <c r="R5" i="1"/>
  <c r="Q5" i="1"/>
  <c r="S4" i="1"/>
  <c r="R4" i="1"/>
  <c r="Q4" i="1"/>
  <c r="S3" i="1"/>
  <c r="R3" i="1"/>
  <c r="Q3" i="1"/>
  <c r="S2" i="1"/>
  <c r="R2" i="1"/>
  <c r="Q2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L110" i="1"/>
  <c r="M110" i="1"/>
  <c r="N110" i="1"/>
  <c r="L111" i="1"/>
  <c r="M111" i="1"/>
  <c r="N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L149" i="1"/>
  <c r="M149" i="1"/>
  <c r="N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M164" i="1"/>
  <c r="N164" i="1"/>
  <c r="L165" i="1"/>
  <c r="M165" i="1"/>
  <c r="N165" i="1"/>
  <c r="L166" i="1"/>
  <c r="M166" i="1"/>
  <c r="N166" i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N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N2" i="1"/>
  <c r="M2" i="1"/>
  <c r="L2" i="1"/>
  <c r="BZ193" i="1"/>
  <c r="BY193" i="1"/>
  <c r="BW193" i="1"/>
  <c r="BV193" i="1"/>
  <c r="BZ192" i="1"/>
  <c r="BY192" i="1"/>
  <c r="BW192" i="1"/>
  <c r="BV192" i="1"/>
  <c r="BZ191" i="1"/>
  <c r="BY191" i="1"/>
  <c r="BW191" i="1"/>
  <c r="BV191" i="1"/>
  <c r="BZ190" i="1"/>
  <c r="BY190" i="1"/>
  <c r="BW190" i="1"/>
  <c r="BV190" i="1"/>
  <c r="BZ189" i="1"/>
  <c r="BY189" i="1"/>
  <c r="BX189" i="1" s="1"/>
  <c r="BW189" i="1"/>
  <c r="BV189" i="1"/>
  <c r="BU189" i="1" s="1"/>
  <c r="BZ188" i="1"/>
  <c r="BY188" i="1"/>
  <c r="BX188" i="1" s="1"/>
  <c r="BW188" i="1"/>
  <c r="BV188" i="1"/>
  <c r="BZ187" i="1"/>
  <c r="BY187" i="1"/>
  <c r="BX187" i="1" s="1"/>
  <c r="BW187" i="1"/>
  <c r="BV187" i="1"/>
  <c r="BU187" i="1" s="1"/>
  <c r="BZ186" i="1"/>
  <c r="BY186" i="1"/>
  <c r="BW186" i="1"/>
  <c r="BV186" i="1"/>
  <c r="BZ185" i="1"/>
  <c r="BY185" i="1"/>
  <c r="BX185" i="1" s="1"/>
  <c r="BW185" i="1"/>
  <c r="BV185" i="1"/>
  <c r="BU185" i="1" s="1"/>
  <c r="BZ184" i="1"/>
  <c r="BY184" i="1"/>
  <c r="BW184" i="1"/>
  <c r="BV184" i="1"/>
  <c r="BZ183" i="1"/>
  <c r="BY183" i="1"/>
  <c r="BX183" i="1" s="1"/>
  <c r="BW183" i="1"/>
  <c r="BV183" i="1"/>
  <c r="BZ182" i="1"/>
  <c r="BY182" i="1"/>
  <c r="BW182" i="1"/>
  <c r="BV182" i="1"/>
  <c r="BU182" i="1" s="1"/>
  <c r="BZ181" i="1"/>
  <c r="BY181" i="1"/>
  <c r="BX181" i="1" s="1"/>
  <c r="BW181" i="1"/>
  <c r="BV181" i="1"/>
  <c r="BU181" i="1" s="1"/>
  <c r="BZ180" i="1"/>
  <c r="BY180" i="1"/>
  <c r="BX180" i="1" s="1"/>
  <c r="BW180" i="1"/>
  <c r="BV180" i="1"/>
  <c r="BZ179" i="1"/>
  <c r="BY179" i="1"/>
  <c r="BX179" i="1" s="1"/>
  <c r="BW179" i="1"/>
  <c r="BV179" i="1"/>
  <c r="BU179" i="1" s="1"/>
  <c r="BZ178" i="1"/>
  <c r="BY178" i="1"/>
  <c r="BX178" i="1" s="1"/>
  <c r="BW178" i="1"/>
  <c r="BV178" i="1"/>
  <c r="BZ177" i="1"/>
  <c r="BY177" i="1"/>
  <c r="BX177" i="1" s="1"/>
  <c r="BW177" i="1"/>
  <c r="BV177" i="1"/>
  <c r="BU177" i="1" s="1"/>
  <c r="BZ176" i="1"/>
  <c r="BY176" i="1"/>
  <c r="BX176" i="1" s="1"/>
  <c r="BW176" i="1"/>
  <c r="BV176" i="1"/>
  <c r="BU176" i="1" s="1"/>
  <c r="BZ175" i="1"/>
  <c r="BY175" i="1"/>
  <c r="BW175" i="1"/>
  <c r="BV175" i="1"/>
  <c r="BZ174" i="1"/>
  <c r="BY174" i="1"/>
  <c r="BX174" i="1" s="1"/>
  <c r="BW174" i="1"/>
  <c r="BV174" i="1"/>
  <c r="BZ173" i="1"/>
  <c r="BY173" i="1"/>
  <c r="BX173" i="1" s="1"/>
  <c r="BW173" i="1"/>
  <c r="BV173" i="1"/>
  <c r="BU173" i="1" s="1"/>
  <c r="BZ172" i="1"/>
  <c r="BY172" i="1"/>
  <c r="BW172" i="1"/>
  <c r="BV172" i="1"/>
  <c r="BZ171" i="1"/>
  <c r="BY171" i="1"/>
  <c r="BX171" i="1" s="1"/>
  <c r="BW171" i="1"/>
  <c r="BV171" i="1"/>
  <c r="BU171" i="1" s="1"/>
  <c r="BZ170" i="1"/>
  <c r="BY170" i="1"/>
  <c r="BW170" i="1"/>
  <c r="BV170" i="1"/>
  <c r="BU170" i="1" s="1"/>
  <c r="BZ169" i="1"/>
  <c r="BY169" i="1"/>
  <c r="BX169" i="1" s="1"/>
  <c r="BW169" i="1"/>
  <c r="BV169" i="1"/>
  <c r="BZ168" i="1"/>
  <c r="BY168" i="1"/>
  <c r="BW168" i="1"/>
  <c r="BV168" i="1"/>
  <c r="BU168" i="1" s="1"/>
  <c r="BZ167" i="1"/>
  <c r="BY167" i="1"/>
  <c r="BX167" i="1" s="1"/>
  <c r="BW167" i="1"/>
  <c r="BV167" i="1"/>
  <c r="BZ166" i="1"/>
  <c r="BY166" i="1"/>
  <c r="BX166" i="1" s="1"/>
  <c r="BW166" i="1"/>
  <c r="BV166" i="1"/>
  <c r="BZ165" i="1"/>
  <c r="BY165" i="1"/>
  <c r="BX165" i="1" s="1"/>
  <c r="BW165" i="1"/>
  <c r="BV165" i="1"/>
  <c r="BU165" i="1" s="1"/>
  <c r="BZ164" i="1"/>
  <c r="BY164" i="1"/>
  <c r="BX164" i="1" s="1"/>
  <c r="BW164" i="1"/>
  <c r="BV164" i="1"/>
  <c r="BU164" i="1" s="1"/>
  <c r="BZ163" i="1"/>
  <c r="BY163" i="1"/>
  <c r="BX163" i="1" s="1"/>
  <c r="BW163" i="1"/>
  <c r="BV163" i="1"/>
  <c r="BU163" i="1" s="1"/>
  <c r="BZ162" i="1"/>
  <c r="BY162" i="1"/>
  <c r="BX162" i="1" s="1"/>
  <c r="BW162" i="1"/>
  <c r="BV162" i="1"/>
  <c r="BU162" i="1" s="1"/>
  <c r="BZ161" i="1"/>
  <c r="BY161" i="1"/>
  <c r="BX161" i="1" s="1"/>
  <c r="BW161" i="1"/>
  <c r="BV161" i="1"/>
  <c r="BZ160" i="1"/>
  <c r="BY160" i="1"/>
  <c r="BW160" i="1"/>
  <c r="BV160" i="1"/>
  <c r="BZ159" i="1"/>
  <c r="BY159" i="1"/>
  <c r="BX159" i="1" s="1"/>
  <c r="BW159" i="1"/>
  <c r="BV159" i="1"/>
  <c r="BU159" i="1" s="1"/>
  <c r="BZ158" i="1"/>
  <c r="BY158" i="1"/>
  <c r="BX158" i="1" s="1"/>
  <c r="BW158" i="1"/>
  <c r="BV158" i="1"/>
  <c r="BU158" i="1" s="1"/>
  <c r="BZ157" i="1"/>
  <c r="BY157" i="1"/>
  <c r="BX157" i="1" s="1"/>
  <c r="BW157" i="1"/>
  <c r="BV157" i="1"/>
  <c r="BU157" i="1" s="1"/>
  <c r="BZ156" i="1"/>
  <c r="BY156" i="1"/>
  <c r="BW156" i="1"/>
  <c r="BV156" i="1"/>
  <c r="BZ155" i="1"/>
  <c r="BY155" i="1"/>
  <c r="BW155" i="1"/>
  <c r="BV155" i="1"/>
  <c r="BZ154" i="1"/>
  <c r="BY154" i="1"/>
  <c r="BX154" i="1" s="1"/>
  <c r="BW154" i="1"/>
  <c r="BV154" i="1"/>
  <c r="BZ153" i="1"/>
  <c r="BY153" i="1"/>
  <c r="BX153" i="1" s="1"/>
  <c r="BW153" i="1"/>
  <c r="BV153" i="1"/>
  <c r="BZ152" i="1"/>
  <c r="BY152" i="1"/>
  <c r="BX152" i="1" s="1"/>
  <c r="BW152" i="1"/>
  <c r="BV152" i="1"/>
  <c r="BU152" i="1" s="1"/>
  <c r="BZ151" i="1"/>
  <c r="BY151" i="1"/>
  <c r="BX151" i="1" s="1"/>
  <c r="BW151" i="1"/>
  <c r="BV151" i="1"/>
  <c r="BU151" i="1" s="1"/>
  <c r="BZ150" i="1"/>
  <c r="BY150" i="1"/>
  <c r="BX150" i="1" s="1"/>
  <c r="BW150" i="1"/>
  <c r="BV150" i="1"/>
  <c r="BU150" i="1" s="1"/>
  <c r="BZ149" i="1"/>
  <c r="BY149" i="1"/>
  <c r="BX149" i="1" s="1"/>
  <c r="BW149" i="1"/>
  <c r="BV149" i="1"/>
  <c r="BZ148" i="1"/>
  <c r="BY148" i="1"/>
  <c r="BX148" i="1" s="1"/>
  <c r="BW148" i="1"/>
  <c r="BV148" i="1"/>
  <c r="BZ147" i="1"/>
  <c r="BY147" i="1"/>
  <c r="BX147" i="1" s="1"/>
  <c r="BW147" i="1"/>
  <c r="BV147" i="1"/>
  <c r="BZ146" i="1"/>
  <c r="BY146" i="1"/>
  <c r="BX146" i="1" s="1"/>
  <c r="BW146" i="1"/>
  <c r="BV146" i="1"/>
  <c r="BZ145" i="1"/>
  <c r="BY145" i="1"/>
  <c r="BX145" i="1" s="1"/>
  <c r="BW145" i="1"/>
  <c r="BV145" i="1"/>
  <c r="BZ144" i="1"/>
  <c r="BY144" i="1"/>
  <c r="BW144" i="1"/>
  <c r="BV144" i="1"/>
  <c r="BZ143" i="1"/>
  <c r="BY143" i="1"/>
  <c r="BW143" i="1"/>
  <c r="BV143" i="1"/>
  <c r="BZ142" i="1"/>
  <c r="BY142" i="1"/>
  <c r="BX142" i="1" s="1"/>
  <c r="BW142" i="1"/>
  <c r="BV142" i="1"/>
  <c r="BU142" i="1" s="1"/>
  <c r="BZ141" i="1"/>
  <c r="BY141" i="1"/>
  <c r="BX141" i="1" s="1"/>
  <c r="BW141" i="1"/>
  <c r="BV141" i="1"/>
  <c r="BZ140" i="1"/>
  <c r="BY140" i="1"/>
  <c r="BW140" i="1"/>
  <c r="BV140" i="1"/>
  <c r="BZ139" i="1"/>
  <c r="BY139" i="1"/>
  <c r="BW139" i="1"/>
  <c r="BV139" i="1"/>
  <c r="BU139" i="1" s="1"/>
  <c r="BZ138" i="1"/>
  <c r="BY138" i="1"/>
  <c r="BX138" i="1" s="1"/>
  <c r="BW138" i="1"/>
  <c r="BV138" i="1"/>
  <c r="BU138" i="1" s="1"/>
  <c r="BZ137" i="1"/>
  <c r="BY137" i="1"/>
  <c r="BW137" i="1"/>
  <c r="BV137" i="1"/>
  <c r="BZ136" i="1"/>
  <c r="BY136" i="1"/>
  <c r="BX136" i="1" s="1"/>
  <c r="BW136" i="1"/>
  <c r="BV136" i="1"/>
  <c r="BU136" i="1" s="1"/>
  <c r="BZ135" i="1"/>
  <c r="BY135" i="1"/>
  <c r="BX135" i="1" s="1"/>
  <c r="BW135" i="1"/>
  <c r="BV135" i="1"/>
  <c r="BZ134" i="1"/>
  <c r="BY134" i="1"/>
  <c r="BX134" i="1" s="1"/>
  <c r="BW134" i="1"/>
  <c r="BV134" i="1"/>
  <c r="BU134" i="1" s="1"/>
  <c r="BZ133" i="1"/>
  <c r="BY133" i="1"/>
  <c r="BW133" i="1"/>
  <c r="BV133" i="1"/>
  <c r="BZ132" i="1"/>
  <c r="BY132" i="1"/>
  <c r="BW132" i="1"/>
  <c r="BV132" i="1"/>
  <c r="BU132" i="1" s="1"/>
  <c r="BZ131" i="1"/>
  <c r="BY131" i="1"/>
  <c r="BX131" i="1" s="1"/>
  <c r="BW131" i="1"/>
  <c r="BV131" i="1"/>
  <c r="BU131" i="1" s="1"/>
  <c r="BZ130" i="1"/>
  <c r="BY130" i="1"/>
  <c r="BX130" i="1" s="1"/>
  <c r="BW130" i="1"/>
  <c r="BV130" i="1"/>
  <c r="BU130" i="1" s="1"/>
  <c r="BZ129" i="1"/>
  <c r="BY129" i="1"/>
  <c r="BX129" i="1" s="1"/>
  <c r="BW129" i="1"/>
  <c r="BV129" i="1"/>
  <c r="BU129" i="1" s="1"/>
  <c r="BZ128" i="1"/>
  <c r="BY128" i="1"/>
  <c r="BW128" i="1"/>
  <c r="BV128" i="1"/>
  <c r="BZ127" i="1"/>
  <c r="BY127" i="1"/>
  <c r="BX127" i="1" s="1"/>
  <c r="BW127" i="1"/>
  <c r="BV127" i="1"/>
  <c r="BZ126" i="1"/>
  <c r="BY126" i="1"/>
  <c r="BX126" i="1" s="1"/>
  <c r="BW126" i="1"/>
  <c r="BV126" i="1"/>
  <c r="BZ125" i="1"/>
  <c r="BY125" i="1"/>
  <c r="BX125" i="1" s="1"/>
  <c r="BW125" i="1"/>
  <c r="BV125" i="1"/>
  <c r="BU125" i="1" s="1"/>
  <c r="BZ124" i="1"/>
  <c r="BY124" i="1"/>
  <c r="BW124" i="1"/>
  <c r="BV124" i="1"/>
  <c r="BU124" i="1" s="1"/>
  <c r="BZ123" i="1"/>
  <c r="BY123" i="1"/>
  <c r="BW123" i="1"/>
  <c r="BV123" i="1"/>
  <c r="BU123" i="1" s="1"/>
  <c r="BZ122" i="1"/>
  <c r="BY122" i="1"/>
  <c r="BW122" i="1"/>
  <c r="BV122" i="1"/>
  <c r="BU122" i="1" s="1"/>
  <c r="BZ121" i="1"/>
  <c r="BY121" i="1"/>
  <c r="BX121" i="1" s="1"/>
  <c r="BW121" i="1"/>
  <c r="BV121" i="1"/>
  <c r="BU121" i="1" s="1"/>
  <c r="BZ120" i="1"/>
  <c r="BY120" i="1"/>
  <c r="BW120" i="1"/>
  <c r="BV120" i="1"/>
  <c r="BZ119" i="1"/>
  <c r="BY119" i="1"/>
  <c r="BW119" i="1"/>
  <c r="BV119" i="1"/>
  <c r="BU119" i="1" s="1"/>
  <c r="BZ118" i="1"/>
  <c r="BY118" i="1"/>
  <c r="BX118" i="1" s="1"/>
  <c r="BW118" i="1"/>
  <c r="BV118" i="1"/>
  <c r="BU118" i="1" s="1"/>
  <c r="BZ117" i="1"/>
  <c r="BY117" i="1"/>
  <c r="BX117" i="1" s="1"/>
  <c r="BW117" i="1"/>
  <c r="BV117" i="1"/>
  <c r="BU117" i="1" s="1"/>
  <c r="BZ116" i="1"/>
  <c r="BY116" i="1"/>
  <c r="BW116" i="1"/>
  <c r="BV116" i="1"/>
  <c r="BU116" i="1" s="1"/>
  <c r="BZ115" i="1"/>
  <c r="BY115" i="1"/>
  <c r="BW115" i="1"/>
  <c r="BV115" i="1"/>
  <c r="BZ114" i="1"/>
  <c r="BY114" i="1"/>
  <c r="BX114" i="1" s="1"/>
  <c r="BW114" i="1"/>
  <c r="BV114" i="1"/>
  <c r="BU114" i="1" s="1"/>
  <c r="BZ113" i="1"/>
  <c r="BY113" i="1"/>
  <c r="BX113" i="1" s="1"/>
  <c r="BW113" i="1"/>
  <c r="BV113" i="1"/>
  <c r="BU113" i="1" s="1"/>
  <c r="BZ112" i="1"/>
  <c r="BY112" i="1"/>
  <c r="BX112" i="1" s="1"/>
  <c r="BW112" i="1"/>
  <c r="BV112" i="1"/>
  <c r="BZ111" i="1"/>
  <c r="BY111" i="1"/>
  <c r="BX111" i="1" s="1"/>
  <c r="BW111" i="1"/>
  <c r="BV111" i="1"/>
  <c r="BU111" i="1" s="1"/>
  <c r="BZ110" i="1"/>
  <c r="BY110" i="1"/>
  <c r="BX110" i="1" s="1"/>
  <c r="BW110" i="1"/>
  <c r="BV110" i="1"/>
  <c r="BU110" i="1" s="1"/>
  <c r="BZ109" i="1"/>
  <c r="BY109" i="1"/>
  <c r="BX109" i="1" s="1"/>
  <c r="BW109" i="1"/>
  <c r="BV109" i="1"/>
  <c r="BU109" i="1" s="1"/>
  <c r="BZ108" i="1"/>
  <c r="BY108" i="1"/>
  <c r="BX108" i="1" s="1"/>
  <c r="BW108" i="1"/>
  <c r="BV108" i="1"/>
  <c r="BU108" i="1" s="1"/>
  <c r="BZ107" i="1"/>
  <c r="BY107" i="1"/>
  <c r="BX107" i="1" s="1"/>
  <c r="BW107" i="1"/>
  <c r="BV107" i="1"/>
  <c r="BU107" i="1" s="1"/>
  <c r="BZ106" i="1"/>
  <c r="BY106" i="1"/>
  <c r="BW106" i="1"/>
  <c r="BV106" i="1"/>
  <c r="BZ105" i="1"/>
  <c r="BY105" i="1"/>
  <c r="BX105" i="1" s="1"/>
  <c r="BW105" i="1"/>
  <c r="BV105" i="1"/>
  <c r="BU105" i="1" s="1"/>
  <c r="BZ104" i="1"/>
  <c r="BY104" i="1"/>
  <c r="BW104" i="1"/>
  <c r="BV104" i="1"/>
  <c r="BU104" i="1" s="1"/>
  <c r="BZ103" i="1"/>
  <c r="BY103" i="1"/>
  <c r="BX103" i="1" s="1"/>
  <c r="BW103" i="1"/>
  <c r="BV103" i="1"/>
  <c r="BZ102" i="1"/>
  <c r="BY102" i="1"/>
  <c r="BX102" i="1" s="1"/>
  <c r="BW102" i="1"/>
  <c r="BV102" i="1"/>
  <c r="BU102" i="1" s="1"/>
  <c r="BZ101" i="1"/>
  <c r="BY101" i="1"/>
  <c r="BX101" i="1" s="1"/>
  <c r="BW101" i="1"/>
  <c r="BV101" i="1"/>
  <c r="BZ100" i="1"/>
  <c r="BY100" i="1"/>
  <c r="BX100" i="1" s="1"/>
  <c r="BW100" i="1"/>
  <c r="BV100" i="1"/>
  <c r="BU100" i="1" s="1"/>
  <c r="BZ99" i="1"/>
  <c r="BY99" i="1"/>
  <c r="BX99" i="1" s="1"/>
  <c r="BW99" i="1"/>
  <c r="BV99" i="1"/>
  <c r="BU99" i="1" s="1"/>
  <c r="BZ98" i="1"/>
  <c r="BY98" i="1"/>
  <c r="BX98" i="1" s="1"/>
  <c r="BW98" i="1"/>
  <c r="BV98" i="1"/>
  <c r="BU98" i="1" s="1"/>
  <c r="BZ97" i="1"/>
  <c r="BY97" i="1"/>
  <c r="BX97" i="1" s="1"/>
  <c r="BW97" i="1"/>
  <c r="BV97" i="1"/>
  <c r="BU97" i="1" s="1"/>
  <c r="BZ96" i="1"/>
  <c r="BY96" i="1"/>
  <c r="BX96" i="1" s="1"/>
  <c r="BW96" i="1"/>
  <c r="BV96" i="1"/>
  <c r="BZ95" i="1"/>
  <c r="BY95" i="1"/>
  <c r="BX95" i="1" s="1"/>
  <c r="BW95" i="1"/>
  <c r="BV95" i="1"/>
  <c r="BU95" i="1" s="1"/>
  <c r="BZ94" i="1"/>
  <c r="BY94" i="1"/>
  <c r="BW94" i="1"/>
  <c r="BV94" i="1"/>
  <c r="BZ93" i="1"/>
  <c r="BY93" i="1"/>
  <c r="BX93" i="1" s="1"/>
  <c r="BW93" i="1"/>
  <c r="BV93" i="1"/>
  <c r="BZ92" i="1"/>
  <c r="BY92" i="1"/>
  <c r="BX92" i="1" s="1"/>
  <c r="BW92" i="1"/>
  <c r="BV92" i="1"/>
  <c r="BZ91" i="1"/>
  <c r="BY91" i="1"/>
  <c r="BX91" i="1" s="1"/>
  <c r="BW91" i="1"/>
  <c r="BV91" i="1"/>
  <c r="BZ90" i="1"/>
  <c r="BY90" i="1"/>
  <c r="BW90" i="1"/>
  <c r="BV90" i="1"/>
  <c r="BU90" i="1" s="1"/>
  <c r="BZ89" i="1"/>
  <c r="BY89" i="1"/>
  <c r="BX89" i="1" s="1"/>
  <c r="BW89" i="1"/>
  <c r="BV89" i="1"/>
  <c r="BZ88" i="1"/>
  <c r="BY88" i="1"/>
  <c r="BX88" i="1" s="1"/>
  <c r="BW88" i="1"/>
  <c r="BV88" i="1"/>
  <c r="BU88" i="1" s="1"/>
  <c r="BZ87" i="1"/>
  <c r="BY87" i="1"/>
  <c r="BX87" i="1" s="1"/>
  <c r="BW87" i="1"/>
  <c r="BV87" i="1"/>
  <c r="BU87" i="1" s="1"/>
  <c r="BZ86" i="1"/>
  <c r="BY86" i="1"/>
  <c r="BX86" i="1" s="1"/>
  <c r="BW86" i="1"/>
  <c r="BV86" i="1"/>
  <c r="BU86" i="1" s="1"/>
  <c r="BZ85" i="1"/>
  <c r="BY85" i="1"/>
  <c r="BW85" i="1"/>
  <c r="BV85" i="1"/>
  <c r="BU85" i="1" s="1"/>
  <c r="BZ84" i="1"/>
  <c r="BY84" i="1"/>
  <c r="BX84" i="1" s="1"/>
  <c r="BW84" i="1"/>
  <c r="BV84" i="1"/>
  <c r="BU84" i="1" s="1"/>
  <c r="BZ83" i="1"/>
  <c r="BY83" i="1"/>
  <c r="BX83" i="1" s="1"/>
  <c r="BW83" i="1"/>
  <c r="BV83" i="1"/>
  <c r="BU83" i="1" s="1"/>
  <c r="BZ82" i="1"/>
  <c r="BY82" i="1"/>
  <c r="BX82" i="1" s="1"/>
  <c r="BW82" i="1"/>
  <c r="BV82" i="1"/>
  <c r="BU82" i="1" s="1"/>
  <c r="BZ81" i="1"/>
  <c r="BY81" i="1"/>
  <c r="BW81" i="1"/>
  <c r="BV81" i="1"/>
  <c r="BU81" i="1" s="1"/>
  <c r="BZ80" i="1"/>
  <c r="BY80" i="1"/>
  <c r="BX80" i="1" s="1"/>
  <c r="BW80" i="1"/>
  <c r="BV80" i="1"/>
  <c r="BU80" i="1" s="1"/>
  <c r="BZ79" i="1"/>
  <c r="BY79" i="1"/>
  <c r="BX79" i="1" s="1"/>
  <c r="BW79" i="1"/>
  <c r="BV79" i="1"/>
  <c r="BU79" i="1" s="1"/>
  <c r="BZ78" i="1"/>
  <c r="BY78" i="1"/>
  <c r="BX78" i="1" s="1"/>
  <c r="BW78" i="1"/>
  <c r="BV78" i="1"/>
  <c r="BU78" i="1" s="1"/>
  <c r="BZ77" i="1"/>
  <c r="BY77" i="1"/>
  <c r="BX77" i="1" s="1"/>
  <c r="BW77" i="1"/>
  <c r="BV77" i="1"/>
  <c r="BZ76" i="1"/>
  <c r="BY76" i="1"/>
  <c r="BX76" i="1" s="1"/>
  <c r="BW76" i="1"/>
  <c r="BV76" i="1"/>
  <c r="BZ75" i="1"/>
  <c r="BY75" i="1"/>
  <c r="BX75" i="1" s="1"/>
  <c r="BW75" i="1"/>
  <c r="BV75" i="1"/>
  <c r="BU75" i="1" s="1"/>
  <c r="BZ74" i="1"/>
  <c r="BY74" i="1"/>
  <c r="BW74" i="1"/>
  <c r="BV74" i="1"/>
  <c r="BU74" i="1" s="1"/>
  <c r="BZ73" i="1"/>
  <c r="BY73" i="1"/>
  <c r="BX73" i="1" s="1"/>
  <c r="BW73" i="1"/>
  <c r="BV73" i="1"/>
  <c r="BU73" i="1" s="1"/>
  <c r="BZ72" i="1"/>
  <c r="BY72" i="1"/>
  <c r="BX72" i="1" s="1"/>
  <c r="BW72" i="1"/>
  <c r="BV72" i="1"/>
  <c r="BU72" i="1" s="1"/>
  <c r="BZ71" i="1"/>
  <c r="BY71" i="1"/>
  <c r="BW71" i="1"/>
  <c r="BV71" i="1"/>
  <c r="BU71" i="1" s="1"/>
  <c r="BZ70" i="1"/>
  <c r="BY70" i="1"/>
  <c r="BX70" i="1" s="1"/>
  <c r="BW70" i="1"/>
  <c r="BV70" i="1"/>
  <c r="BU70" i="1" s="1"/>
  <c r="BZ69" i="1"/>
  <c r="BY69" i="1"/>
  <c r="BX69" i="1" s="1"/>
  <c r="BW69" i="1"/>
  <c r="BV69" i="1"/>
  <c r="BU69" i="1" s="1"/>
  <c r="BZ68" i="1"/>
  <c r="BY68" i="1"/>
  <c r="BW68" i="1"/>
  <c r="BV68" i="1"/>
  <c r="BZ67" i="1"/>
  <c r="BY67" i="1"/>
  <c r="BX67" i="1" s="1"/>
  <c r="BW67" i="1"/>
  <c r="BV67" i="1"/>
  <c r="BU67" i="1" s="1"/>
  <c r="BZ66" i="1"/>
  <c r="BY66" i="1"/>
  <c r="BX66" i="1" s="1"/>
  <c r="BW66" i="1"/>
  <c r="BV66" i="1"/>
  <c r="BU66" i="1" s="1"/>
  <c r="BZ65" i="1"/>
  <c r="BY65" i="1"/>
  <c r="BX65" i="1" s="1"/>
  <c r="BW65" i="1"/>
  <c r="BV65" i="1"/>
  <c r="BU65" i="1" s="1"/>
  <c r="BZ64" i="1"/>
  <c r="BY64" i="1"/>
  <c r="BX64" i="1" s="1"/>
  <c r="BW64" i="1"/>
  <c r="BV64" i="1"/>
  <c r="BU64" i="1" s="1"/>
  <c r="BZ63" i="1"/>
  <c r="BY63" i="1"/>
  <c r="BW63" i="1"/>
  <c r="BV63" i="1"/>
  <c r="BU63" i="1" s="1"/>
  <c r="BZ62" i="1"/>
  <c r="BY62" i="1"/>
  <c r="BW62" i="1"/>
  <c r="BV62" i="1"/>
  <c r="BZ61" i="1"/>
  <c r="BY61" i="1"/>
  <c r="BW61" i="1"/>
  <c r="BV61" i="1"/>
  <c r="BU61" i="1" s="1"/>
  <c r="BZ60" i="1"/>
  <c r="BY60" i="1"/>
  <c r="BW60" i="1"/>
  <c r="BV60" i="1"/>
  <c r="BZ59" i="1"/>
  <c r="BY59" i="1"/>
  <c r="BX59" i="1" s="1"/>
  <c r="BW59" i="1"/>
  <c r="BV59" i="1"/>
  <c r="BU59" i="1" s="1"/>
  <c r="BZ58" i="1"/>
  <c r="BY58" i="1"/>
  <c r="BX58" i="1" s="1"/>
  <c r="BW58" i="1"/>
  <c r="BV58" i="1"/>
  <c r="BZ57" i="1"/>
  <c r="BY57" i="1"/>
  <c r="BX57" i="1" s="1"/>
  <c r="BW57" i="1"/>
  <c r="BV57" i="1"/>
  <c r="BU57" i="1" s="1"/>
  <c r="BZ56" i="1"/>
  <c r="BY56" i="1"/>
  <c r="BX56" i="1" s="1"/>
  <c r="BW56" i="1"/>
  <c r="BV56" i="1"/>
  <c r="BZ55" i="1"/>
  <c r="BY55" i="1"/>
  <c r="BX55" i="1" s="1"/>
  <c r="BW55" i="1"/>
  <c r="BV55" i="1"/>
  <c r="BU55" i="1" s="1"/>
  <c r="BZ54" i="1"/>
  <c r="BY54" i="1"/>
  <c r="BX54" i="1" s="1"/>
  <c r="BW54" i="1"/>
  <c r="BV54" i="1"/>
  <c r="BU54" i="1" s="1"/>
  <c r="BZ53" i="1"/>
  <c r="BY53" i="1"/>
  <c r="BX53" i="1" s="1"/>
  <c r="BW53" i="1"/>
  <c r="BV53" i="1"/>
  <c r="BU53" i="1" s="1"/>
  <c r="BZ52" i="1"/>
  <c r="BY52" i="1"/>
  <c r="BX52" i="1" s="1"/>
  <c r="BW52" i="1"/>
  <c r="BV52" i="1"/>
  <c r="BZ51" i="1"/>
  <c r="BY51" i="1"/>
  <c r="BW51" i="1"/>
  <c r="BV51" i="1"/>
  <c r="BZ50" i="1"/>
  <c r="BY50" i="1"/>
  <c r="BW50" i="1"/>
  <c r="BV50" i="1"/>
  <c r="BU50" i="1" s="1"/>
  <c r="BZ49" i="1"/>
  <c r="BY49" i="1"/>
  <c r="BX49" i="1" s="1"/>
  <c r="BW49" i="1"/>
  <c r="BV49" i="1"/>
  <c r="BZ48" i="1"/>
  <c r="BY48" i="1"/>
  <c r="BW48" i="1"/>
  <c r="BV48" i="1"/>
  <c r="BU48" i="1" s="1"/>
  <c r="BZ47" i="1"/>
  <c r="BY47" i="1"/>
  <c r="BW47" i="1"/>
  <c r="BV47" i="1"/>
  <c r="BZ46" i="1"/>
  <c r="BY46" i="1"/>
  <c r="BW46" i="1"/>
  <c r="BV46" i="1"/>
  <c r="BU46" i="1" s="1"/>
  <c r="BZ45" i="1"/>
  <c r="BY45" i="1"/>
  <c r="BX45" i="1" s="1"/>
  <c r="BW45" i="1"/>
  <c r="BV45" i="1"/>
  <c r="BU45" i="1" s="1"/>
  <c r="BZ44" i="1"/>
  <c r="BY44" i="1"/>
  <c r="BW44" i="1"/>
  <c r="BV44" i="1"/>
  <c r="BZ43" i="1"/>
  <c r="BY43" i="1"/>
  <c r="BX43" i="1" s="1"/>
  <c r="BW43" i="1"/>
  <c r="BV43" i="1"/>
  <c r="BU43" i="1" s="1"/>
  <c r="BZ42" i="1"/>
  <c r="BY42" i="1"/>
  <c r="BX42" i="1" s="1"/>
  <c r="BW42" i="1"/>
  <c r="BV42" i="1"/>
  <c r="BU42" i="1" s="1"/>
  <c r="BZ41" i="1"/>
  <c r="BY41" i="1"/>
  <c r="BW41" i="1"/>
  <c r="BV41" i="1"/>
  <c r="BZ40" i="1"/>
  <c r="BY40" i="1"/>
  <c r="BX40" i="1" s="1"/>
  <c r="BW40" i="1"/>
  <c r="BV40" i="1"/>
  <c r="BZ39" i="1"/>
  <c r="BY39" i="1"/>
  <c r="BX39" i="1" s="1"/>
  <c r="BW39" i="1"/>
  <c r="BV39" i="1"/>
  <c r="BZ38" i="1"/>
  <c r="BY38" i="1"/>
  <c r="BW38" i="1"/>
  <c r="BV38" i="1"/>
  <c r="BZ37" i="1"/>
  <c r="BY37" i="1"/>
  <c r="BX37" i="1" s="1"/>
  <c r="BW37" i="1"/>
  <c r="BV37" i="1"/>
  <c r="BU37" i="1" s="1"/>
  <c r="BZ36" i="1"/>
  <c r="BY36" i="1"/>
  <c r="BW36" i="1"/>
  <c r="BV36" i="1"/>
  <c r="BU36" i="1" s="1"/>
  <c r="BZ35" i="1"/>
  <c r="BY35" i="1"/>
  <c r="BW35" i="1"/>
  <c r="BV35" i="1"/>
  <c r="BU35" i="1" s="1"/>
  <c r="BZ34" i="1"/>
  <c r="BY34" i="1"/>
  <c r="BX34" i="1" s="1"/>
  <c r="BW34" i="1"/>
  <c r="BV34" i="1"/>
  <c r="BU34" i="1" s="1"/>
  <c r="BZ33" i="1"/>
  <c r="BY33" i="1"/>
  <c r="BX33" i="1" s="1"/>
  <c r="BW33" i="1"/>
  <c r="BV33" i="1"/>
  <c r="BU33" i="1" s="1"/>
  <c r="BZ32" i="1"/>
  <c r="BY32" i="1"/>
  <c r="BW32" i="1"/>
  <c r="BV32" i="1"/>
  <c r="BZ31" i="1"/>
  <c r="BY31" i="1"/>
  <c r="BX31" i="1" s="1"/>
  <c r="BW31" i="1"/>
  <c r="BV31" i="1"/>
  <c r="BZ30" i="1"/>
  <c r="BY30" i="1"/>
  <c r="BX30" i="1" s="1"/>
  <c r="BW30" i="1"/>
  <c r="BV30" i="1"/>
  <c r="BU30" i="1" s="1"/>
  <c r="BZ29" i="1"/>
  <c r="BY29" i="1"/>
  <c r="BX29" i="1" s="1"/>
  <c r="BW29" i="1"/>
  <c r="BV29" i="1"/>
  <c r="BU29" i="1" s="1"/>
  <c r="BZ28" i="1"/>
  <c r="BY28" i="1"/>
  <c r="BX28" i="1" s="1"/>
  <c r="BW28" i="1"/>
  <c r="BV28" i="1"/>
  <c r="BZ27" i="1"/>
  <c r="BY27" i="1"/>
  <c r="BX27" i="1" s="1"/>
  <c r="BW27" i="1"/>
  <c r="BV27" i="1"/>
  <c r="BU27" i="1" s="1"/>
  <c r="BZ26" i="1"/>
  <c r="BY26" i="1"/>
  <c r="BX26" i="1" s="1"/>
  <c r="BW26" i="1"/>
  <c r="BV26" i="1"/>
  <c r="BU26" i="1" s="1"/>
  <c r="BZ25" i="1"/>
  <c r="BY25" i="1"/>
  <c r="BX25" i="1" s="1"/>
  <c r="BW25" i="1"/>
  <c r="BV25" i="1"/>
  <c r="BU25" i="1" s="1"/>
  <c r="BZ24" i="1"/>
  <c r="BY24" i="1"/>
  <c r="BX24" i="1" s="1"/>
  <c r="BW24" i="1"/>
  <c r="BV24" i="1"/>
  <c r="BZ23" i="1"/>
  <c r="BY23" i="1"/>
  <c r="BX23" i="1" s="1"/>
  <c r="BW23" i="1"/>
  <c r="BV23" i="1"/>
  <c r="BU23" i="1" s="1"/>
  <c r="BZ22" i="1"/>
  <c r="BY22" i="1"/>
  <c r="BX22" i="1" s="1"/>
  <c r="BW22" i="1"/>
  <c r="BV22" i="1"/>
  <c r="BU22" i="1" s="1"/>
  <c r="BZ21" i="1"/>
  <c r="BY21" i="1"/>
  <c r="BX21" i="1" s="1"/>
  <c r="BW21" i="1"/>
  <c r="BV21" i="1"/>
  <c r="BU21" i="1" s="1"/>
  <c r="BZ20" i="1"/>
  <c r="BY20" i="1"/>
  <c r="BX20" i="1" s="1"/>
  <c r="BW20" i="1"/>
  <c r="BV20" i="1"/>
  <c r="BU20" i="1" s="1"/>
  <c r="BZ19" i="1"/>
  <c r="BY19" i="1"/>
  <c r="BX19" i="1" s="1"/>
  <c r="BW19" i="1"/>
  <c r="BV19" i="1"/>
  <c r="BZ18" i="1"/>
  <c r="BY18" i="1"/>
  <c r="BX18" i="1" s="1"/>
  <c r="BW18" i="1"/>
  <c r="BV18" i="1"/>
  <c r="BZ17" i="1"/>
  <c r="BY17" i="1"/>
  <c r="BX17" i="1" s="1"/>
  <c r="BW17" i="1"/>
  <c r="BV17" i="1"/>
  <c r="BU17" i="1" s="1"/>
  <c r="BZ16" i="1"/>
  <c r="BY16" i="1"/>
  <c r="BX16" i="1" s="1"/>
  <c r="BW16" i="1"/>
  <c r="BV16" i="1"/>
  <c r="BU16" i="1" s="1"/>
  <c r="BZ15" i="1"/>
  <c r="BY15" i="1"/>
  <c r="BW15" i="1"/>
  <c r="BV15" i="1"/>
  <c r="BU15" i="1" s="1"/>
  <c r="BZ14" i="1"/>
  <c r="BY14" i="1"/>
  <c r="BX14" i="1" s="1"/>
  <c r="BW14" i="1"/>
  <c r="BV14" i="1"/>
  <c r="BZ13" i="1"/>
  <c r="BY13" i="1"/>
  <c r="BX13" i="1" s="1"/>
  <c r="BW13" i="1"/>
  <c r="BV13" i="1"/>
  <c r="BZ12" i="1"/>
  <c r="BY12" i="1"/>
  <c r="BW12" i="1"/>
  <c r="BV12" i="1"/>
  <c r="BZ11" i="1"/>
  <c r="BY11" i="1"/>
  <c r="BW11" i="1"/>
  <c r="BV11" i="1"/>
  <c r="BU11" i="1" s="1"/>
  <c r="BZ10" i="1"/>
  <c r="BY10" i="1"/>
  <c r="BX10" i="1" s="1"/>
  <c r="BW10" i="1"/>
  <c r="BV10" i="1"/>
  <c r="BU10" i="1" s="1"/>
  <c r="BZ9" i="1"/>
  <c r="BY9" i="1"/>
  <c r="BX9" i="1" s="1"/>
  <c r="BW9" i="1"/>
  <c r="BV9" i="1"/>
  <c r="BU9" i="1" s="1"/>
  <c r="BZ8" i="1"/>
  <c r="BY8" i="1"/>
  <c r="BX8" i="1" s="1"/>
  <c r="BW8" i="1"/>
  <c r="BV8" i="1"/>
  <c r="BU8" i="1" s="1"/>
  <c r="BZ7" i="1"/>
  <c r="BY7" i="1"/>
  <c r="BW7" i="1"/>
  <c r="BV7" i="1"/>
  <c r="BU7" i="1" s="1"/>
  <c r="BZ6" i="1"/>
  <c r="BY6" i="1"/>
  <c r="BX6" i="1" s="1"/>
  <c r="BW6" i="1"/>
  <c r="BV6" i="1"/>
  <c r="BU6" i="1" s="1"/>
  <c r="BZ5" i="1"/>
  <c r="BY5" i="1"/>
  <c r="BX5" i="1" s="1"/>
  <c r="BW5" i="1"/>
  <c r="BV5" i="1"/>
  <c r="BU5" i="1" s="1"/>
  <c r="BZ4" i="1"/>
  <c r="BY4" i="1"/>
  <c r="BW4" i="1"/>
  <c r="BV4" i="1"/>
  <c r="BZ3" i="1"/>
  <c r="BY3" i="1"/>
  <c r="BX3" i="1" s="1"/>
  <c r="BW3" i="1"/>
  <c r="BV3" i="1"/>
  <c r="BZ2" i="1"/>
  <c r="BY2" i="1"/>
  <c r="BW2" i="1"/>
  <c r="BV2" i="1"/>
  <c r="BU166" i="1" l="1"/>
  <c r="BU49" i="1"/>
  <c r="BU160" i="1"/>
  <c r="BU145" i="1"/>
  <c r="BX144" i="1"/>
  <c r="BX123" i="1"/>
  <c r="BU186" i="1"/>
  <c r="BU51" i="1"/>
  <c r="BX11" i="1"/>
  <c r="BU174" i="1"/>
  <c r="BU193" i="1"/>
  <c r="BU13" i="1"/>
  <c r="BU144" i="1"/>
  <c r="BX35" i="1"/>
  <c r="BU14" i="1"/>
  <c r="BX143" i="1"/>
  <c r="BX192" i="1"/>
  <c r="BU89" i="1"/>
  <c r="BU191" i="1"/>
  <c r="BU149" i="1"/>
  <c r="BU92" i="1"/>
  <c r="BX63" i="1"/>
  <c r="BX44" i="1"/>
  <c r="BX15" i="1"/>
  <c r="BU3" i="1"/>
  <c r="BU156" i="1"/>
  <c r="BU2" i="1"/>
  <c r="BU106" i="1"/>
  <c r="BX12" i="1"/>
  <c r="BX190" i="1"/>
  <c r="BU180" i="1"/>
  <c r="BU148" i="1"/>
  <c r="BU68" i="1"/>
  <c r="BX133" i="1"/>
  <c r="BU77" i="1"/>
  <c r="BU167" i="1"/>
  <c r="BX116" i="1"/>
  <c r="BU112" i="1"/>
  <c r="BU154" i="1"/>
  <c r="BU126" i="1"/>
  <c r="BU12" i="1"/>
  <c r="BX128" i="1"/>
  <c r="BX124" i="1"/>
  <c r="BX122" i="1"/>
  <c r="BU101" i="1"/>
  <c r="BU155" i="1"/>
  <c r="BU184" i="1"/>
  <c r="BX168" i="1"/>
  <c r="BU103" i="1"/>
  <c r="BX90" i="1"/>
  <c r="BU44" i="1"/>
  <c r="BU56" i="1"/>
  <c r="BU94" i="1"/>
  <c r="BX68" i="1"/>
  <c r="BU58" i="1"/>
  <c r="BX156" i="1"/>
  <c r="BU52" i="1"/>
  <c r="BX115" i="1"/>
  <c r="BU192" i="1"/>
  <c r="BU183" i="1"/>
  <c r="BX139" i="1"/>
  <c r="BX104" i="1"/>
  <c r="BU91" i="1"/>
  <c r="BU41" i="1"/>
  <c r="BX74" i="1"/>
  <c r="BU40" i="1"/>
  <c r="BX193" i="1"/>
  <c r="BU28" i="1"/>
  <c r="BU62" i="1"/>
  <c r="BX184" i="1"/>
  <c r="BX140" i="1"/>
  <c r="BX137" i="1"/>
  <c r="BX46" i="1"/>
  <c r="BX41" i="1"/>
  <c r="BX50" i="1"/>
  <c r="BU47" i="1"/>
  <c r="BU31" i="1"/>
  <c r="BX85" i="1"/>
  <c r="BX47" i="1"/>
  <c r="BX155" i="1"/>
  <c r="BX132" i="1"/>
  <c r="BX48" i="1"/>
  <c r="BX32" i="1"/>
  <c r="BU19" i="1"/>
  <c r="BU39" i="1"/>
  <c r="BU153" i="1"/>
  <c r="BU140" i="1"/>
  <c r="BU96" i="1"/>
  <c r="BU76" i="1"/>
  <c r="BU60" i="1"/>
  <c r="BU18" i="1"/>
  <c r="BU172" i="1"/>
  <c r="BU24" i="1"/>
  <c r="BU169" i="1"/>
  <c r="BX160" i="1"/>
  <c r="BU38" i="1"/>
  <c r="BX182" i="1"/>
  <c r="BU133" i="1"/>
  <c r="BU161" i="1"/>
  <c r="BX36" i="1"/>
  <c r="BU120" i="1"/>
  <c r="BU175" i="1"/>
  <c r="BU143" i="1"/>
  <c r="BX120" i="1"/>
  <c r="BX106" i="1"/>
  <c r="BU141" i="1"/>
  <c r="BX61" i="1"/>
  <c r="BX71" i="1"/>
  <c r="BX94" i="1"/>
  <c r="BU135" i="1"/>
  <c r="BX4" i="1"/>
  <c r="BX81" i="1"/>
  <c r="BX38" i="1"/>
  <c r="BU128" i="1"/>
  <c r="BU93" i="1"/>
  <c r="BU146" i="1"/>
  <c r="BU32" i="1"/>
  <c r="BX175" i="1"/>
  <c r="BU147" i="1"/>
  <c r="BU188" i="1"/>
  <c r="BU137" i="1"/>
  <c r="BX62" i="1"/>
  <c r="BX60" i="1"/>
  <c r="BX172" i="1"/>
  <c r="BX170" i="1"/>
  <c r="BX51" i="1"/>
  <c r="BX7" i="1"/>
  <c r="BU4" i="1"/>
  <c r="BX119" i="1"/>
  <c r="BU115" i="1"/>
  <c r="BX191" i="1"/>
  <c r="BU190" i="1"/>
  <c r="BX186" i="1"/>
  <c r="BU178" i="1"/>
  <c r="BU127" i="1"/>
</calcChain>
</file>

<file path=xl/sharedStrings.xml><?xml version="1.0" encoding="utf-8"?>
<sst xmlns="http://schemas.openxmlformats.org/spreadsheetml/2006/main" count="1040" uniqueCount="293">
  <si>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</si>
  <si>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</si>
  <si>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</si>
  <si>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</si>
  <si>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</si>
  <si>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</si>
  <si>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</si>
  <si>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</si>
  <si>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</si>
  <si>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FGA</t>
  </si>
  <si>
    <t>FG%</t>
  </si>
  <si>
    <t>2PA</t>
  </si>
  <si>
    <t>2P%</t>
  </si>
  <si>
    <t>3P%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</si>
  <si>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</si>
  <si>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</si>
  <si>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</si>
  <si>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</si>
  <si>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</si>
  <si>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</si>
  <si>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</si>
  <si>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</si>
  <si>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</si>
  <si>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</si>
  <si>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</si>
  <si>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</si>
  <si>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</si>
  <si>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</si>
  <si>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</si>
  <si>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</si>
  <si>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</si>
  <si>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</si>
  <si>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</si>
  <si>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</si>
  <si>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</si>
  <si>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</si>
  <si>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</si>
  <si>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</si>
  <si>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</si>
  <si>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</si>
  <si>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</si>
  <si>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</si>
  <si>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</si>
  <si>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</si>
  <si>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</si>
  <si>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</si>
  <si>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</si>
  <si>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</si>
  <si>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</si>
  <si>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</si>
  <si>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</si>
  <si>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</si>
  <si>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</si>
  <si>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</si>
  <si>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</si>
  <si>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</si>
  <si>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</si>
  <si>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</si>
  <si>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리온 윌리엄스</t>
  </si>
  <si>
    <t>오재현</t>
  </si>
  <si>
    <t>안영준</t>
  </si>
  <si>
    <t>김선형</t>
  </si>
  <si>
    <t>양우섭</t>
  </si>
  <si>
    <t>송창용</t>
  </si>
  <si>
    <t>김형빈</t>
  </si>
  <si>
    <t>박민우</t>
  </si>
  <si>
    <t>선상혁</t>
  </si>
  <si>
    <t>하윤기</t>
  </si>
  <si>
    <t>문성곤</t>
  </si>
  <si>
    <t>한희원</t>
  </si>
  <si>
    <t>정성우</t>
  </si>
  <si>
    <t>최창진</t>
  </si>
  <si>
    <t>허훈</t>
  </si>
  <si>
    <t>이현석</t>
  </si>
  <si>
    <t>최성모</t>
  </si>
  <si>
    <t>이윤기</t>
  </si>
  <si>
    <t>김준환</t>
  </si>
  <si>
    <t>박준영</t>
  </si>
  <si>
    <t>라건아</t>
  </si>
  <si>
    <t>이승현</t>
  </si>
  <si>
    <t>최준용</t>
  </si>
  <si>
    <t>이호현</t>
  </si>
  <si>
    <t>정창영</t>
  </si>
  <si>
    <t>송교창</t>
  </si>
  <si>
    <t>이근휘</t>
  </si>
  <si>
    <t>곽정훈</t>
  </si>
  <si>
    <t>허웅</t>
  </si>
  <si>
    <t>서정현</t>
  </si>
  <si>
    <t>전준범</t>
  </si>
  <si>
    <t>김동현</t>
  </si>
  <si>
    <t>이진욱</t>
  </si>
  <si>
    <t>함지훈</t>
  </si>
  <si>
    <t>장재석</t>
  </si>
  <si>
    <t>이우석</t>
  </si>
  <si>
    <t>김준일</t>
  </si>
  <si>
    <t>김국찬</t>
  </si>
  <si>
    <t>최진수</t>
  </si>
  <si>
    <t>신민석</t>
  </si>
  <si>
    <t>김지완</t>
  </si>
  <si>
    <t>김현민</t>
  </si>
  <si>
    <t>김현수</t>
  </si>
  <si>
    <t>서명진</t>
  </si>
  <si>
    <t>김종규</t>
  </si>
  <si>
    <t>강상재</t>
  </si>
  <si>
    <t>최승욱</t>
  </si>
  <si>
    <t>서민수</t>
  </si>
  <si>
    <t>김영현</t>
  </si>
  <si>
    <t>이용우</t>
  </si>
  <si>
    <t>김훈</t>
  </si>
  <si>
    <t>두경민</t>
  </si>
  <si>
    <t>유현준</t>
  </si>
  <si>
    <t>박찬희</t>
  </si>
  <si>
    <t>이준희</t>
  </si>
  <si>
    <t>김현호</t>
  </si>
  <si>
    <t>김진유</t>
  </si>
  <si>
    <t>김민욱</t>
  </si>
  <si>
    <t>최현민</t>
  </si>
  <si>
    <t>이정현</t>
  </si>
  <si>
    <t>김강선</t>
  </si>
  <si>
    <t>한호빈</t>
  </si>
  <si>
    <t>함준후</t>
  </si>
  <si>
    <t>전성현</t>
  </si>
  <si>
    <t>이진석</t>
  </si>
  <si>
    <t>김진용</t>
  </si>
  <si>
    <t>조은후</t>
  </si>
  <si>
    <t>이원석</t>
  </si>
  <si>
    <t>차민석</t>
  </si>
  <si>
    <t>이동엽</t>
  </si>
  <si>
    <t>김승원</t>
  </si>
  <si>
    <t>김시래</t>
  </si>
  <si>
    <t>조우성</t>
  </si>
  <si>
    <t>홍경기</t>
  </si>
  <si>
    <t>아셈 마레이</t>
  </si>
  <si>
    <t>양홍석</t>
  </si>
  <si>
    <t>이재도</t>
  </si>
  <si>
    <t>정희재</t>
  </si>
  <si>
    <t>이관희</t>
  </si>
  <si>
    <t>박정현</t>
  </si>
  <si>
    <t>정인덕</t>
  </si>
  <si>
    <t>윤원상</t>
  </si>
  <si>
    <t>이승우</t>
  </si>
  <si>
    <t>임동섭</t>
  </si>
  <si>
    <t>박인태</t>
  </si>
  <si>
    <t>한상혁</t>
  </si>
  <si>
    <t>앤드류 니콜슨</t>
  </si>
  <si>
    <t>차바위</t>
  </si>
  <si>
    <t>이대헌</t>
  </si>
  <si>
    <t>신승민</t>
  </si>
  <si>
    <t>박봉진</t>
  </si>
  <si>
    <t>박지훈</t>
  </si>
  <si>
    <t>김낙현</t>
  </si>
  <si>
    <t>김동량</t>
  </si>
  <si>
    <t>양준우</t>
  </si>
  <si>
    <t>조상열</t>
  </si>
  <si>
    <t>이도헌</t>
  </si>
  <si>
    <t>이원대</t>
  </si>
  <si>
    <t>이종현</t>
  </si>
  <si>
    <t>정준원</t>
  </si>
  <si>
    <t>배병준</t>
  </si>
  <si>
    <t>김철욱</t>
  </si>
  <si>
    <t>이우정</t>
  </si>
  <si>
    <t>김상규</t>
  </si>
  <si>
    <t>구분</t>
    <phoneticPr fontId="1" type="noConversion"/>
  </si>
  <si>
    <t>연봉</t>
    <phoneticPr fontId="1" type="noConversion"/>
  </si>
  <si>
    <t>FG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</si>
  <si>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</si>
  <si>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</si>
  <si>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</si>
  <si>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FTA</t>
    <phoneticPr fontId="1" type="noConversion"/>
  </si>
  <si>
    <t>FT</t>
    <phoneticPr fontId="1" type="noConversion"/>
  </si>
  <si>
    <t>평균 3p 성공</t>
    <phoneticPr fontId="1" type="noConversion"/>
  </si>
  <si>
    <t>평균 3p 시도</t>
    <phoneticPr fontId="1" type="noConversion"/>
  </si>
  <si>
    <t>평균 2p 시도</t>
    <phoneticPr fontId="1" type="noConversion"/>
  </si>
  <si>
    <t>평균 2p 성공</t>
    <phoneticPr fontId="1" type="noConversion"/>
  </si>
  <si>
    <t>평균 FG 성공</t>
    <phoneticPr fontId="1" type="noConversion"/>
  </si>
  <si>
    <t>평균 FG 시도</t>
    <phoneticPr fontId="1" type="noConversion"/>
  </si>
  <si>
    <t>국내</t>
  </si>
  <si>
    <t>평균 FT 성공</t>
    <phoneticPr fontId="1" type="noConversion"/>
  </si>
  <si>
    <t>2021-22</t>
    <phoneticPr fontId="1" type="noConversion"/>
  </si>
  <si>
    <t>송창무</t>
  </si>
  <si>
    <t>김동욱</t>
  </si>
  <si>
    <t>김영환</t>
  </si>
  <si>
    <t>김윤태</t>
  </si>
  <si>
    <t>김종범</t>
  </si>
  <si>
    <t>마이크 마이어스</t>
  </si>
  <si>
    <t>문상옥</t>
  </si>
  <si>
    <t>박지원</t>
  </si>
  <si>
    <t>캐디 라렌</t>
  </si>
  <si>
    <t>곽동기</t>
  </si>
  <si>
    <t>라타비우스 윌리엄스</t>
  </si>
  <si>
    <t>박재현</t>
  </si>
  <si>
    <t>유병훈</t>
  </si>
  <si>
    <t>강병현</t>
  </si>
  <si>
    <t>김동준</t>
  </si>
  <si>
    <t>김수찬</t>
  </si>
  <si>
    <t>라숀 토마스</t>
  </si>
  <si>
    <t>에릭 버크너</t>
  </si>
  <si>
    <t>윤성준</t>
  </si>
  <si>
    <t>이현민</t>
  </si>
  <si>
    <t>정성호</t>
  </si>
  <si>
    <t>김영훈</t>
  </si>
  <si>
    <t>나카무라 타이치</t>
  </si>
  <si>
    <t>레나드 프리먼</t>
  </si>
  <si>
    <t>맹상훈</t>
  </si>
  <si>
    <t>박경상</t>
  </si>
  <si>
    <t>박상권</t>
  </si>
  <si>
    <t>배강률</t>
  </si>
  <si>
    <t>윤호영</t>
  </si>
  <si>
    <t>이민석</t>
  </si>
  <si>
    <t>정호영</t>
  </si>
  <si>
    <t>조니 오브라이언트</t>
  </si>
  <si>
    <t>김세창</t>
  </si>
  <si>
    <t>머피 할로웨이</t>
  </si>
  <si>
    <t>문시윤</t>
  </si>
  <si>
    <t>박진철</t>
  </si>
  <si>
    <t>오용준</t>
  </si>
  <si>
    <t>이대성</t>
  </si>
  <si>
    <t>이정제</t>
  </si>
  <si>
    <t>임종일</t>
  </si>
  <si>
    <t>제임스 메이스</t>
  </si>
  <si>
    <t>조석호</t>
  </si>
  <si>
    <t>조한진</t>
  </si>
  <si>
    <t>강바일</t>
  </si>
  <si>
    <t>배수용</t>
  </si>
  <si>
    <t>장민국</t>
  </si>
  <si>
    <t>전형준</t>
  </si>
  <si>
    <t>정준수</t>
  </si>
  <si>
    <t>정희원</t>
  </si>
  <si>
    <t>제키 카마이클</t>
  </si>
  <si>
    <t>김종호</t>
  </si>
  <si>
    <t>변기훈</t>
  </si>
  <si>
    <t>사마르도 사무엘스</t>
  </si>
  <si>
    <t>이광진</t>
  </si>
  <si>
    <t>정해원</t>
  </si>
  <si>
    <t>디제이 화이트</t>
  </si>
  <si>
    <t>임준수</t>
  </si>
  <si>
    <t>전현우</t>
  </si>
  <si>
    <t>정영삼</t>
  </si>
  <si>
    <t>대릴 먼로</t>
  </si>
  <si>
    <t>박재한</t>
  </si>
  <si>
    <t>박형철</t>
  </si>
  <si>
    <t>변준형</t>
  </si>
  <si>
    <t>양승면</t>
  </si>
  <si>
    <t>양희종</t>
  </si>
  <si>
    <t>오마리 스펠맨</t>
  </si>
  <si>
    <t>우동현</t>
  </si>
  <si>
    <t>정강호</t>
  </si>
  <si>
    <t>주현우</t>
  </si>
  <si>
    <t>한승희</t>
  </si>
  <si>
    <t>외국인</t>
    <phoneticPr fontId="1" type="noConversion"/>
  </si>
  <si>
    <t>아시아쿼터</t>
    <phoneticPr fontId="1" type="noConversion"/>
  </si>
  <si>
    <t>서울 SK</t>
    <phoneticPr fontId="1" type="noConversion"/>
  </si>
  <si>
    <t>수원 KT</t>
    <phoneticPr fontId="1" type="noConversion"/>
  </si>
  <si>
    <t>울산 모비스</t>
    <phoneticPr fontId="1" type="noConversion"/>
  </si>
  <si>
    <t>원주 DB</t>
    <phoneticPr fontId="1" type="noConversion"/>
  </si>
  <si>
    <t>서울 삼성</t>
    <phoneticPr fontId="1" type="noConversion"/>
  </si>
  <si>
    <t>창원 LG</t>
    <phoneticPr fontId="1" type="noConversion"/>
  </si>
  <si>
    <t>대구 가스공사</t>
    <phoneticPr fontId="1" type="noConversion"/>
  </si>
  <si>
    <t>안양 KGC</t>
    <phoneticPr fontId="1" type="noConversion"/>
  </si>
  <si>
    <t>이정현1</t>
    <phoneticPr fontId="1" type="noConversion"/>
  </si>
  <si>
    <t>박지훈1</t>
    <phoneticPr fontId="1" type="noConversion"/>
  </si>
  <si>
    <t>강병현1</t>
    <phoneticPr fontId="1" type="noConversion"/>
  </si>
  <si>
    <t>고양 오리온</t>
    <phoneticPr fontId="1" type="noConversion"/>
  </si>
  <si>
    <t>전주 KCC</t>
    <phoneticPr fontId="1" type="noConversion"/>
  </si>
  <si>
    <t>포지션</t>
    <phoneticPr fontId="1" type="noConversion"/>
  </si>
  <si>
    <t>아이재아 힉스</t>
  </si>
  <si>
    <t>C</t>
  </si>
  <si>
    <t>G</t>
  </si>
  <si>
    <t>F</t>
  </si>
  <si>
    <t>승</t>
  </si>
  <si>
    <t>패</t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</si>
  <si>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</si>
  <si>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</si>
  <si>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</si>
  <si>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</si>
  <si>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</si>
  <si>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</si>
  <si>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</si>
  <si>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</si>
  <si>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</si>
  <si>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다니엘 오셰푸</t>
  </si>
  <si>
    <t>미로슬라브 라둘리차</t>
  </si>
  <si>
    <t>서울 삼성</t>
  </si>
  <si>
    <t>고양 오리온</t>
  </si>
  <si>
    <t>압둘 말릭 아부</t>
  </si>
  <si>
    <t>얀테 메이튼</t>
  </si>
  <si>
    <t>얼 클락</t>
  </si>
  <si>
    <t>창원 LG</t>
  </si>
  <si>
    <t>원주 DB</t>
  </si>
  <si>
    <t>천기범</t>
  </si>
  <si>
    <t>클리프 알렉산더</t>
  </si>
  <si>
    <t>토마스 로빈슨</t>
  </si>
  <si>
    <t>브랜든 브라운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</si>
</sst>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0.000_);[Red]\(0.000\)"/>
  </numFmts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theme="5"/>
      <name val="맑은 고딕"/>
      <family val="3"/>
      <charset val="129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6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177" fontId="7" fillId="0" borderId="1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9" fontId="9" fillId="4" borderId="4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177" fontId="10" fillId="3" borderId="5" xfId="0" applyNumberFormat="1" applyFont="1" applyFill="1" applyBorder="1" applyAlignment="1">
      <alignment horizontal="center" vertical="center" wrapText="1"/>
    </xf>
    <xf numFmtId="177" fontId="10" fillId="0" borderId="5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0" fontId="7" fillId="0" borderId="6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7" fontId="7" fillId="0" borderId="0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10" fillId="5" borderId="0" xfId="0" applyFont="1" applyFill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" fontId="4" fillId="0" borderId="2" xfId="0" applyNumberFormat="1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1" fontId="3" fillId="0" borderId="0" xfId="0" applyNumberFormat="1" applyFont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177" fontId="4" fillId="0" borderId="0" xfId="0" applyNumberFormat="1" applyFont="1" applyBorder="1" applyAlignment="1">
      <alignment horizontal="center" vertical="center" wrapText="1"/>
    </xf>
    <xf numFmtId="1" fontId="4" fillId="0" borderId="0" xfId="0" applyNumberFormat="1" applyFont="1" applyBorder="1" applyAlignment="1">
      <alignment horizontal="center" vertical="center" wrapText="1"/>
    </xf>
    <xf numFmtId="177" fontId="8" fillId="0" borderId="0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7" fillId="0" borderId="7" xfId="0" applyNumberFormat="1" applyFont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 wrapText="1"/>
    </xf>
    <xf numFmtId="0" fontId="7" fillId="5" borderId="0" xfId="0" applyFont="1" applyFill="1" applyBorder="1" applyAlignment="1">
      <alignment horizontal="center" vertical="center"/>
    </xf>
    <xf numFmtId="177" fontId="3" fillId="0" borderId="0" xfId="0" applyNumberFormat="1" applyFont="1" applyBorder="1" applyAlignment="1">
      <alignment horizontal="center" vertical="center" wrapText="1"/>
    </xf>
    <xf numFmtId="176" fontId="7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</cellXfs>
  <cellStyles count="4">
    <cellStyle name="백분율" xfId="1" builtinId="5"/>
    <cellStyle name="쉼표 [0]" xfId="2" builtinId="6"/>
    <cellStyle name="표준" xfId="0" builtinId="0"/>
    <cellStyle name="표준 2 8" xfId="3" xr:uid="{F1B91AA9-50A4-4F18-BB08-7E54A1316908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206"/>
  <sheetViews>
    <sheetView tabSelected="1" zoomScale="70" zoomScaleNormal="70" workbookViewId="0">
      <pane xSplit="3" ySplit="1" topLeftCell="D109" activePane="bottomRight" state="frozen"/>
      <selection pane="topRight" activeCell="E1" sqref="E1"/>
      <selection pane="bottomLeft" activeCell="A2" sqref="A2"/>
      <selection pane="bottomRight" activeCell="CA2" sqref="CA2:CB193"/>
    </sheetView>
  </sheetViews>
  <sheetFormatPr defaultRowHeight="17.399999999999999" x14ac:dyDescent="0.4"/>
  <cols>
    <col min="1" max="1" width="12" bestFit="1" customWidth="1"/>
    <col min="2" max="2" width="13.69921875" bestFit="1" customWidth="1"/>
    <col min="3" max="3" width="22.69921875" bestFit="1" customWidth="1"/>
    <col min="4" max="4" width="15" bestFit="1" customWidth="1"/>
    <col min="5" max="5" width="7.09765625" bestFit="1" customWidth="1"/>
    <col min="6" max="6" width="17.3984375" style="3" bestFit="1" customWidth="1"/>
    <col min="7" max="7" width="10" style="3" bestFit="1" customWidth="1"/>
    <col min="8" max="8" width="14.09765625" bestFit="1" customWidth="1"/>
    <col min="9" max="9" width="9.59765625" style="3" bestFit="1" customWidth="1"/>
    <col min="10" max="10" width="8.5" bestFit="1" customWidth="1"/>
    <col min="11" max="12" width="16.8984375" bestFit="1" customWidth="1"/>
    <col min="13" max="13" width="10" bestFit="1" customWidth="1"/>
    <col min="14" max="14" width="9.59765625" bestFit="1" customWidth="1"/>
    <col min="15" max="15" width="8.5" bestFit="1" customWidth="1"/>
    <col min="16" max="17" width="16.8984375" bestFit="1" customWidth="1"/>
    <col min="18" max="18" width="10" bestFit="1" customWidth="1"/>
    <col min="19" max="19" width="9.59765625" bestFit="1" customWidth="1"/>
    <col min="20" max="20" width="8.5" bestFit="1" customWidth="1"/>
    <col min="21" max="22" width="16.8984375" bestFit="1" customWidth="1"/>
    <col min="23" max="23" width="10" bestFit="1" customWidth="1"/>
    <col min="24" max="24" width="9.3984375" bestFit="1" customWidth="1"/>
    <col min="25" max="25" width="8.19921875" bestFit="1" customWidth="1"/>
    <col min="26" max="27" width="16.59765625" bestFit="1" customWidth="1"/>
    <col min="28" max="28" width="9.59765625" bestFit="1" customWidth="1"/>
    <col min="29" max="29" width="13.5" bestFit="1" customWidth="1"/>
    <col min="30" max="31" width="17.8984375" bestFit="1" customWidth="1"/>
    <col min="32" max="32" width="22.59765625" bestFit="1" customWidth="1"/>
    <col min="33" max="33" width="17.8984375" bestFit="1" customWidth="1"/>
    <col min="34" max="34" width="22.59765625" bestFit="1" customWidth="1"/>
    <col min="35" max="35" width="13.5" bestFit="1" customWidth="1"/>
    <col min="36" max="36" width="17.8984375" bestFit="1" customWidth="1"/>
    <col min="37" max="37" width="10" bestFit="1" customWidth="1"/>
    <col min="38" max="38" width="14.09765625" bestFit="1" customWidth="1"/>
    <col min="39" max="39" width="10" bestFit="1" customWidth="1"/>
    <col min="40" max="40" width="14.09765625" bestFit="1" customWidth="1"/>
    <col min="41" max="41" width="11.69921875" bestFit="1" customWidth="1"/>
    <col min="42" max="42" width="16" bestFit="1" customWidth="1"/>
    <col min="43" max="43" width="10" bestFit="1" customWidth="1"/>
    <col min="44" max="44" width="14.09765625" bestFit="1" customWidth="1"/>
    <col min="45" max="45" width="9.09765625" bestFit="1" customWidth="1"/>
    <col min="46" max="46" width="11.8984375" bestFit="1" customWidth="1"/>
    <col min="47" max="47" width="17.5" bestFit="1" customWidth="1"/>
    <col min="48" max="48" width="17.69921875" bestFit="1" customWidth="1"/>
    <col min="49" max="49" width="19.8984375" bestFit="1" customWidth="1"/>
    <col min="50" max="50" width="20.09765625" bestFit="1" customWidth="1"/>
    <col min="51" max="51" width="9.3984375" bestFit="1" customWidth="1"/>
    <col min="52" max="52" width="9.09765625" bestFit="1" customWidth="1"/>
    <col min="53" max="53" width="11.8984375" bestFit="1" customWidth="1"/>
    <col min="54" max="54" width="9.8984375" bestFit="1" customWidth="1"/>
    <col min="55" max="55" width="10.8984375" bestFit="1" customWidth="1"/>
    <col min="56" max="56" width="11.19921875" bestFit="1" customWidth="1"/>
    <col min="57" max="57" width="10.19921875" bestFit="1" customWidth="1"/>
    <col min="58" max="58" width="8.69921875" bestFit="1" customWidth="1"/>
    <col min="59" max="60" width="11.19921875" bestFit="1" customWidth="1"/>
    <col min="61" max="61" width="10.8984375" bestFit="1" customWidth="1"/>
    <col min="62" max="62" width="11" bestFit="1" customWidth="1"/>
    <col min="63" max="63" width="10.69921875" bestFit="1" customWidth="1"/>
    <col min="64" max="64" width="10" bestFit="1" customWidth="1"/>
    <col min="65" max="65" width="11.19921875" bestFit="1" customWidth="1"/>
    <col min="66" max="66" width="11" bestFit="1" customWidth="1"/>
    <col min="67" max="67" width="10" bestFit="1" customWidth="1"/>
    <col min="69" max="69" width="16.59765625" bestFit="1" customWidth="1"/>
    <col min="70" max="70" width="10.8984375" bestFit="1" customWidth="1"/>
    <col min="71" max="72" width="15.69921875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customWidth="1"/>
    <col min="80" max="80" width="5.69921875" customWidth="1"/>
  </cols>
  <sheetData>
    <row r="1" spans="1:80" ht="18" thickBot="1" x14ac:dyDescent="0.45">
      <c r="A1" s="16" t="s">
        <v>0</v>
      </c>
      <c r="B1" s="16" t="s">
        <v>1</v>
      </c>
      <c r="C1" s="16" t="s">
        <v>2</v>
      </c>
      <c r="D1" s="17" t="s">
        <v>3</v>
      </c>
      <c r="E1" s="17" t="s">
        <v>4</v>
      </c>
      <c r="F1" s="17" t="s">
        <v>5</v>
      </c>
      <c r="G1" s="18" t="s">
        <v>6</v>
      </c>
      <c r="H1" s="18" t="s">
        <v>7</v>
      </c>
      <c r="I1" s="16" t="s">
        <v>8</v>
      </c>
      <c r="J1" s="17" t="s">
        <v>164</v>
      </c>
      <c r="K1" s="17" t="s">
        <v>9</v>
      </c>
      <c r="L1" s="16" t="s">
        <v>174</v>
      </c>
      <c r="M1" s="16" t="s">
        <v>175</v>
      </c>
      <c r="N1" s="16" t="s">
        <v>10</v>
      </c>
      <c r="O1" s="19" t="s">
        <v>165</v>
      </c>
      <c r="P1" s="19" t="s">
        <v>11</v>
      </c>
      <c r="Q1" s="16" t="s">
        <v>173</v>
      </c>
      <c r="R1" s="16" t="s">
        <v>172</v>
      </c>
      <c r="S1" s="16" t="s">
        <v>12</v>
      </c>
      <c r="T1" s="19" t="s">
        <v>166</v>
      </c>
      <c r="U1" s="19" t="s">
        <v>167</v>
      </c>
      <c r="V1" s="16" t="s">
        <v>170</v>
      </c>
      <c r="W1" s="16" t="s">
        <v>171</v>
      </c>
      <c r="X1" s="16" t="s">
        <v>13</v>
      </c>
      <c r="Y1" s="19" t="s">
        <v>169</v>
      </c>
      <c r="Z1" s="19" t="s">
        <v>168</v>
      </c>
      <c r="AA1" s="16" t="s">
        <v>177</v>
      </c>
      <c r="AB1" s="16" t="s">
        <v>14</v>
      </c>
      <c r="AC1" s="16" t="s">
        <v>15</v>
      </c>
      <c r="AD1" s="19" t="s">
        <v>16</v>
      </c>
      <c r="AE1" s="16" t="s">
        <v>17</v>
      </c>
      <c r="AF1" s="19" t="s">
        <v>18</v>
      </c>
      <c r="AG1" s="16" t="s">
        <v>19</v>
      </c>
      <c r="AH1" s="19" t="s">
        <v>20</v>
      </c>
      <c r="AI1" s="16" t="s">
        <v>21</v>
      </c>
      <c r="AJ1" s="19" t="s">
        <v>22</v>
      </c>
      <c r="AK1" s="16" t="s">
        <v>23</v>
      </c>
      <c r="AL1" s="19" t="s">
        <v>24</v>
      </c>
      <c r="AM1" s="16" t="s">
        <v>25</v>
      </c>
      <c r="AN1" s="19" t="s">
        <v>26</v>
      </c>
      <c r="AO1" s="16" t="s">
        <v>27</v>
      </c>
      <c r="AP1" s="19" t="s">
        <v>28</v>
      </c>
      <c r="AQ1" s="16" t="s">
        <v>29</v>
      </c>
      <c r="AR1" s="19" t="s">
        <v>30</v>
      </c>
      <c r="AS1" s="16" t="s">
        <v>31</v>
      </c>
      <c r="AT1" s="16" t="s">
        <v>32</v>
      </c>
      <c r="AU1" s="16" t="s">
        <v>33</v>
      </c>
      <c r="AV1" s="16" t="s">
        <v>34</v>
      </c>
      <c r="AW1" s="16" t="s">
        <v>35</v>
      </c>
      <c r="AX1" s="16" t="s">
        <v>36</v>
      </c>
      <c r="AY1" s="16" t="s">
        <v>37</v>
      </c>
      <c r="AZ1" s="16" t="s">
        <v>38</v>
      </c>
      <c r="BA1" s="16" t="s">
        <v>39</v>
      </c>
      <c r="BB1" s="16" t="s">
        <v>40</v>
      </c>
      <c r="BC1" s="16" t="s">
        <v>41</v>
      </c>
      <c r="BD1" s="16" t="s">
        <v>42</v>
      </c>
      <c r="BE1" s="16" t="s">
        <v>43</v>
      </c>
      <c r="BF1" s="16" t="s">
        <v>44</v>
      </c>
      <c r="BG1" s="16" t="s">
        <v>45</v>
      </c>
      <c r="BH1" s="16" t="s">
        <v>46</v>
      </c>
      <c r="BI1" s="16" t="s">
        <v>47</v>
      </c>
      <c r="BJ1" s="16" t="s">
        <v>48</v>
      </c>
      <c r="BK1" s="16" t="s">
        <v>49</v>
      </c>
      <c r="BL1" s="16" t="s">
        <v>50</v>
      </c>
      <c r="BM1" s="16" t="s">
        <v>51</v>
      </c>
      <c r="BN1" s="16" t="s">
        <v>52</v>
      </c>
      <c r="BO1" s="16" t="s">
        <v>162</v>
      </c>
      <c r="BP1" s="16" t="s">
        <v>163</v>
      </c>
      <c r="BQ1" s="16" t="s">
        <v>264</v>
      </c>
      <c r="BR1" s="31" t="s">
        <v>271</v>
      </c>
      <c r="BS1" s="31" t="s">
        <v>272</v>
      </c>
      <c r="BT1" s="31" t="s">
        <v>273</v>
      </c>
      <c r="BU1" s="31" t="s">
        <v>274</v>
      </c>
      <c r="BV1" s="31" t="s">
        <v>275</v>
      </c>
      <c r="BW1" s="31" t="s">
        <v>276</v>
      </c>
      <c r="BX1" s="31" t="s">
        <v>277</v>
      </c>
      <c r="BY1" s="31" t="s">
        <v>278</v>
      </c>
      <c r="BZ1" s="31" t="s">
        <v>279</v>
      </c>
      <c r="CA1" s="31" t="s">
        <v>269</v>
      </c>
      <c r="CB1" s="31" t="s">
        <v>270</v>
      </c>
    </row>
    <row r="2" spans="1:80" ht="18" thickTop="1" x14ac:dyDescent="0.4">
      <c r="A2" s="16" t="s">
        <v>178</v>
      </c>
      <c r="B2" s="16" t="s">
        <v>262</v>
      </c>
      <c r="C2" s="16" t="s">
        <v>118</v>
      </c>
      <c r="D2" s="20">
        <v>42</v>
      </c>
      <c r="E2" s="20">
        <v>17</v>
      </c>
      <c r="F2" s="20">
        <v>55</v>
      </c>
      <c r="G2" s="21">
        <v>45150</v>
      </c>
      <c r="H2" s="21">
        <v>240</v>
      </c>
      <c r="I2" s="22">
        <f t="shared" ref="I2:I65" si="0">H2/$D2</f>
        <v>5.7142857142857144</v>
      </c>
      <c r="J2" s="23">
        <v>81</v>
      </c>
      <c r="K2" s="23">
        <v>197</v>
      </c>
      <c r="L2" s="22">
        <f t="shared" ref="L2:M2" si="1">J2/$D2</f>
        <v>1.9285714285714286</v>
      </c>
      <c r="M2" s="22">
        <f t="shared" si="1"/>
        <v>4.6904761904761907</v>
      </c>
      <c r="N2" s="24">
        <f t="shared" ref="N2" si="2">J2/K2</f>
        <v>0.41116751269035534</v>
      </c>
      <c r="O2" s="21">
        <v>30</v>
      </c>
      <c r="P2" s="23">
        <v>59</v>
      </c>
      <c r="Q2" s="22">
        <f t="shared" ref="Q2:Q65" si="3">O2/$D2</f>
        <v>0.7142857142857143</v>
      </c>
      <c r="R2" s="22">
        <f t="shared" ref="R2:R65" si="4">P2/$D2</f>
        <v>1.4047619047619047</v>
      </c>
      <c r="S2" s="24">
        <f t="shared" ref="S2:S65" si="5">O2/P2</f>
        <v>0.50847457627118642</v>
      </c>
      <c r="T2" s="23">
        <v>51</v>
      </c>
      <c r="U2" s="23">
        <v>138</v>
      </c>
      <c r="V2" s="22">
        <f t="shared" ref="V2:V65" si="6">T2/$D2</f>
        <v>1.2142857142857142</v>
      </c>
      <c r="W2" s="22">
        <f t="shared" ref="W2:W65" si="7">U2/$D2</f>
        <v>3.2857142857142856</v>
      </c>
      <c r="X2" s="24">
        <f t="shared" ref="X2:X65" si="8">T2/U2</f>
        <v>0.36956521739130432</v>
      </c>
      <c r="Y2" s="23">
        <v>27</v>
      </c>
      <c r="Z2" s="23">
        <v>33</v>
      </c>
      <c r="AA2" s="22">
        <f t="shared" ref="AA2:AA65" si="9">Y2/$D2</f>
        <v>0.6428571428571429</v>
      </c>
      <c r="AB2" s="22">
        <f t="shared" ref="AB2:AB65" si="10">Z2/$D2</f>
        <v>0.7857142857142857</v>
      </c>
      <c r="AC2" s="24">
        <f t="shared" ref="AC2:AC65" si="11">Y2/Z2</f>
        <v>0.81818181818181823</v>
      </c>
      <c r="AD2" s="23">
        <v>55</v>
      </c>
      <c r="AE2" s="22">
        <f t="shared" ref="AE2:AE65" si="12">AD2/$D2</f>
        <v>1.3095238095238095</v>
      </c>
      <c r="AF2" s="23">
        <v>21</v>
      </c>
      <c r="AG2" s="22">
        <f t="shared" ref="AG2:AG65" si="13">AF2/$D2</f>
        <v>0.5</v>
      </c>
      <c r="AH2" s="23">
        <v>34</v>
      </c>
      <c r="AI2" s="22">
        <f t="shared" ref="AI2:AI65" si="14">AH2/$D2</f>
        <v>0.80952380952380953</v>
      </c>
      <c r="AJ2" s="23">
        <v>33</v>
      </c>
      <c r="AK2" s="22">
        <f t="shared" ref="AK2:AK65" si="15">AJ2/$D2</f>
        <v>0.7857142857142857</v>
      </c>
      <c r="AL2" s="23">
        <v>29</v>
      </c>
      <c r="AM2" s="22">
        <f t="shared" ref="AM2:AM65" si="16">AL2/$D2</f>
        <v>0.69047619047619047</v>
      </c>
      <c r="AN2" s="39">
        <v>4</v>
      </c>
      <c r="AO2" s="22">
        <f t="shared" ref="AO2:AO65" si="17">AN2/$D2</f>
        <v>9.5238095238095233E-2</v>
      </c>
      <c r="AP2" s="10">
        <v>21</v>
      </c>
      <c r="AQ2" s="22">
        <f t="shared" ref="AQ2:AQ65" si="18">AP2/$D2</f>
        <v>0.5</v>
      </c>
      <c r="AR2" s="23">
        <v>69</v>
      </c>
      <c r="AS2" s="22">
        <f t="shared" ref="AS2:AS65" si="19">AR2/$D2</f>
        <v>1.6428571428571428</v>
      </c>
      <c r="AT2" s="25">
        <v>1.2694017377715585</v>
      </c>
      <c r="AU2" s="25">
        <v>6.7476504333371878E-2</v>
      </c>
      <c r="AV2" s="25">
        <v>1.0508950107113297</v>
      </c>
      <c r="AW2" s="25">
        <v>0.21850672706022875</v>
      </c>
      <c r="AX2" s="25">
        <v>113.5254177376795</v>
      </c>
      <c r="AY2" s="25">
        <v>114.76126932985993</v>
      </c>
      <c r="AZ2" s="25">
        <v>7.5571506630564871</v>
      </c>
      <c r="BA2" s="25">
        <v>5.1904761904761907</v>
      </c>
      <c r="BB2" s="25">
        <v>11.588039867109634</v>
      </c>
      <c r="BC2" s="24">
        <v>0.56732223903177004</v>
      </c>
      <c r="BD2" s="24">
        <v>0.54060913705583757</v>
      </c>
      <c r="BE2" s="25">
        <v>10.820293867864164</v>
      </c>
      <c r="BF2" s="24">
        <v>0.70050761421319796</v>
      </c>
      <c r="BG2" s="24">
        <v>0.16751269035532995</v>
      </c>
      <c r="BH2" s="25">
        <v>2.4405893248429233</v>
      </c>
      <c r="BI2" s="25">
        <v>3.9514303354599711</v>
      </c>
      <c r="BJ2" s="25">
        <v>2.9781881560615719</v>
      </c>
      <c r="BK2" s="25">
        <v>4.5473466634130935</v>
      </c>
      <c r="BL2" s="25">
        <v>2.064516326963262</v>
      </c>
      <c r="BM2" s="25">
        <v>0.39081980560785706</v>
      </c>
      <c r="BN2" s="25">
        <v>9.0314811629107172</v>
      </c>
      <c r="BO2" s="26" t="s">
        <v>176</v>
      </c>
      <c r="BP2" s="27"/>
      <c r="BQ2" s="33" t="s">
        <v>267</v>
      </c>
      <c r="BR2" s="33">
        <v>438.45</v>
      </c>
      <c r="BS2" s="33">
        <v>582.04999999999995</v>
      </c>
      <c r="BT2" s="33">
        <v>143.6</v>
      </c>
      <c r="BU2" s="36">
        <f>BV2-BW2</f>
        <v>10.439285714285713</v>
      </c>
      <c r="BV2" s="36">
        <f>BS2/$D2</f>
        <v>13.858333333333333</v>
      </c>
      <c r="BW2" s="36">
        <f>BT2/$D2</f>
        <v>3.4190476190476189</v>
      </c>
      <c r="BX2" s="37">
        <f>BY2-BZ2</f>
        <v>23.306312292358804</v>
      </c>
      <c r="BY2" s="37">
        <f t="shared" ref="BY2:BZ2" si="20">BS2*2400/$G2</f>
        <v>30.939534883720931</v>
      </c>
      <c r="BZ2" s="37">
        <f t="shared" si="20"/>
        <v>7.6332225913621263</v>
      </c>
      <c r="CA2" s="34">
        <v>23</v>
      </c>
      <c r="CB2" s="34">
        <v>19</v>
      </c>
    </row>
    <row r="3" spans="1:80" x14ac:dyDescent="0.4">
      <c r="A3" s="16" t="s">
        <v>178</v>
      </c>
      <c r="B3" s="16" t="s">
        <v>262</v>
      </c>
      <c r="C3" s="16" t="s">
        <v>211</v>
      </c>
      <c r="D3" s="20">
        <v>15</v>
      </c>
      <c r="E3" s="20">
        <v>5</v>
      </c>
      <c r="F3" s="20">
        <v>3</v>
      </c>
      <c r="G3" s="21">
        <v>4545</v>
      </c>
      <c r="H3" s="21">
        <v>26</v>
      </c>
      <c r="I3" s="22">
        <f t="shared" si="0"/>
        <v>1.7333333333333334</v>
      </c>
      <c r="J3" s="23">
        <v>9</v>
      </c>
      <c r="K3" s="23">
        <v>24</v>
      </c>
      <c r="L3" s="22">
        <f t="shared" ref="L3:L9" si="21">J3/$D3</f>
        <v>0.6</v>
      </c>
      <c r="M3" s="22">
        <f t="shared" ref="M3:M9" si="22">K3/$D3</f>
        <v>1.6</v>
      </c>
      <c r="N3" s="24">
        <f t="shared" ref="N3:N9" si="23">J3/K3</f>
        <v>0.375</v>
      </c>
      <c r="O3" s="21">
        <v>4</v>
      </c>
      <c r="P3" s="23">
        <v>12</v>
      </c>
      <c r="Q3" s="22">
        <f t="shared" si="3"/>
        <v>0.26666666666666666</v>
      </c>
      <c r="R3" s="22">
        <f t="shared" si="4"/>
        <v>0.8</v>
      </c>
      <c r="S3" s="24">
        <f t="shared" si="5"/>
        <v>0.33333333333333331</v>
      </c>
      <c r="T3" s="23">
        <v>5</v>
      </c>
      <c r="U3" s="23">
        <v>12</v>
      </c>
      <c r="V3" s="22">
        <f t="shared" si="6"/>
        <v>0.33333333333333331</v>
      </c>
      <c r="W3" s="22">
        <f t="shared" si="7"/>
        <v>0.8</v>
      </c>
      <c r="X3" s="24">
        <f t="shared" si="8"/>
        <v>0.41666666666666669</v>
      </c>
      <c r="Y3" s="23">
        <v>3</v>
      </c>
      <c r="Z3" s="23">
        <v>4</v>
      </c>
      <c r="AA3" s="22">
        <f t="shared" si="9"/>
        <v>0.2</v>
      </c>
      <c r="AB3" s="22">
        <f t="shared" si="10"/>
        <v>0.26666666666666666</v>
      </c>
      <c r="AC3" s="24">
        <f t="shared" si="11"/>
        <v>0.75</v>
      </c>
      <c r="AD3" s="23">
        <v>4</v>
      </c>
      <c r="AE3" s="22">
        <f t="shared" si="12"/>
        <v>0.26666666666666666</v>
      </c>
      <c r="AF3" s="23">
        <v>2</v>
      </c>
      <c r="AG3" s="22">
        <f t="shared" si="13"/>
        <v>0.13333333333333333</v>
      </c>
      <c r="AH3" s="23">
        <v>2</v>
      </c>
      <c r="AI3" s="22">
        <f t="shared" si="14"/>
        <v>0.13333333333333333</v>
      </c>
      <c r="AJ3" s="23">
        <v>10</v>
      </c>
      <c r="AK3" s="22">
        <f t="shared" si="15"/>
        <v>0.66666666666666663</v>
      </c>
      <c r="AL3" s="23">
        <v>5</v>
      </c>
      <c r="AM3" s="22">
        <f t="shared" si="16"/>
        <v>0.33333333333333331</v>
      </c>
      <c r="AN3" s="39">
        <v>0</v>
      </c>
      <c r="AO3" s="22">
        <f t="shared" si="17"/>
        <v>0</v>
      </c>
      <c r="AP3" s="10">
        <v>5</v>
      </c>
      <c r="AQ3" s="22">
        <f t="shared" si="18"/>
        <v>0.33333333333333331</v>
      </c>
      <c r="AR3" s="23">
        <v>9</v>
      </c>
      <c r="AS3" s="22">
        <f t="shared" si="19"/>
        <v>0.6</v>
      </c>
      <c r="AT3" s="25">
        <v>7.0533906442370189E-2</v>
      </c>
      <c r="AU3" s="25">
        <v>3.7245627164287892E-2</v>
      </c>
      <c r="AV3" s="25">
        <v>2.3602179796049439E-2</v>
      </c>
      <c r="AW3" s="25">
        <v>4.6931726646320754E-2</v>
      </c>
      <c r="AX3" s="25">
        <v>101.72050198109477</v>
      </c>
      <c r="AY3" s="25">
        <v>112.41901960714716</v>
      </c>
      <c r="AZ3" s="25">
        <v>2.759918667766323</v>
      </c>
      <c r="BA3" s="25">
        <v>1.6</v>
      </c>
      <c r="BB3" s="25">
        <v>12.673267326732674</v>
      </c>
      <c r="BC3" s="24">
        <v>0.50465838509316763</v>
      </c>
      <c r="BD3" s="24">
        <v>0.47916666666666669</v>
      </c>
      <c r="BE3" s="25">
        <v>5.078446814166159</v>
      </c>
      <c r="BF3" s="24">
        <v>0.5</v>
      </c>
      <c r="BG3" s="24">
        <v>0.16666666666666666</v>
      </c>
      <c r="BH3" s="25">
        <v>0.82465300147922127</v>
      </c>
      <c r="BI3" s="25">
        <v>0.82465300147922127</v>
      </c>
      <c r="BJ3" s="25">
        <v>0.76844938920280581</v>
      </c>
      <c r="BK3" s="25">
        <v>4.5792525515022815</v>
      </c>
      <c r="BL3" s="25">
        <v>3.5360157870487186</v>
      </c>
      <c r="BM3" s="25">
        <v>0</v>
      </c>
      <c r="BN3" s="25">
        <v>16.254876462938881</v>
      </c>
      <c r="BO3" s="26" t="s">
        <v>176</v>
      </c>
      <c r="BP3" s="27"/>
      <c r="BQ3" s="32" t="s">
        <v>267</v>
      </c>
      <c r="BR3" s="32">
        <v>47.33</v>
      </c>
      <c r="BS3" s="32">
        <v>69.930000000000007</v>
      </c>
      <c r="BT3" s="32">
        <v>22.6</v>
      </c>
      <c r="BU3" s="36">
        <f t="shared" ref="BU3:BU66" si="24">BV3-BW3</f>
        <v>3.155333333333334</v>
      </c>
      <c r="BV3" s="36">
        <f t="shared" ref="BV3:BV66" si="25">BS3/$D3</f>
        <v>4.6620000000000008</v>
      </c>
      <c r="BW3" s="36">
        <f t="shared" ref="BW3:BW66" si="26">BT3/$D3</f>
        <v>1.5066666666666668</v>
      </c>
      <c r="BX3" s="37">
        <f t="shared" ref="BX3:BX66" si="27">BY3-BZ3</f>
        <v>24.992739273927398</v>
      </c>
      <c r="BY3" s="37">
        <f t="shared" ref="BY3:BY66" si="28">BS3*2400/$G3</f>
        <v>36.926732673267331</v>
      </c>
      <c r="BZ3" s="37">
        <f t="shared" ref="BZ3:BZ66" si="29">BT3*2400/$G3</f>
        <v>11.933993399339935</v>
      </c>
      <c r="CA3" s="34">
        <v>7</v>
      </c>
      <c r="CB3" s="34">
        <v>8</v>
      </c>
    </row>
    <row r="4" spans="1:80" x14ac:dyDescent="0.4">
      <c r="A4" s="16" t="s">
        <v>178</v>
      </c>
      <c r="B4" s="16" t="s">
        <v>262</v>
      </c>
      <c r="C4" s="16" t="s">
        <v>114</v>
      </c>
      <c r="D4" s="20">
        <v>38</v>
      </c>
      <c r="E4" s="20">
        <v>6</v>
      </c>
      <c r="F4" s="20">
        <v>39</v>
      </c>
      <c r="G4" s="21">
        <v>15162</v>
      </c>
      <c r="H4" s="21">
        <v>45</v>
      </c>
      <c r="I4" s="22">
        <f t="shared" si="0"/>
        <v>1.1842105263157894</v>
      </c>
      <c r="J4" s="23">
        <v>17</v>
      </c>
      <c r="K4" s="23">
        <v>46</v>
      </c>
      <c r="L4" s="22">
        <f t="shared" si="21"/>
        <v>0.44736842105263158</v>
      </c>
      <c r="M4" s="22">
        <f t="shared" si="22"/>
        <v>1.2105263157894737</v>
      </c>
      <c r="N4" s="24">
        <f t="shared" si="23"/>
        <v>0.36956521739130432</v>
      </c>
      <c r="O4" s="21">
        <v>10</v>
      </c>
      <c r="P4" s="23">
        <v>21</v>
      </c>
      <c r="Q4" s="22">
        <f t="shared" si="3"/>
        <v>0.26315789473684209</v>
      </c>
      <c r="R4" s="22">
        <f t="shared" si="4"/>
        <v>0.55263157894736847</v>
      </c>
      <c r="S4" s="24">
        <f t="shared" si="5"/>
        <v>0.47619047619047616</v>
      </c>
      <c r="T4" s="23">
        <v>7</v>
      </c>
      <c r="U4" s="23">
        <v>25</v>
      </c>
      <c r="V4" s="22">
        <f t="shared" si="6"/>
        <v>0.18421052631578946</v>
      </c>
      <c r="W4" s="22">
        <f t="shared" si="7"/>
        <v>0.65789473684210531</v>
      </c>
      <c r="X4" s="24">
        <f t="shared" si="8"/>
        <v>0.28000000000000003</v>
      </c>
      <c r="Y4" s="23">
        <v>4</v>
      </c>
      <c r="Z4" s="23">
        <v>6</v>
      </c>
      <c r="AA4" s="22">
        <f t="shared" si="9"/>
        <v>0.10526315789473684</v>
      </c>
      <c r="AB4" s="22">
        <f t="shared" si="10"/>
        <v>0.15789473684210525</v>
      </c>
      <c r="AC4" s="24">
        <f t="shared" si="11"/>
        <v>0.66666666666666663</v>
      </c>
      <c r="AD4" s="23">
        <v>47</v>
      </c>
      <c r="AE4" s="22">
        <f t="shared" si="12"/>
        <v>1.236842105263158</v>
      </c>
      <c r="AF4" s="23">
        <v>18</v>
      </c>
      <c r="AG4" s="22">
        <f t="shared" si="13"/>
        <v>0.47368421052631576</v>
      </c>
      <c r="AH4" s="23">
        <v>29</v>
      </c>
      <c r="AI4" s="22">
        <f t="shared" si="14"/>
        <v>0.76315789473684215</v>
      </c>
      <c r="AJ4" s="23">
        <v>16</v>
      </c>
      <c r="AK4" s="22">
        <f t="shared" si="15"/>
        <v>0.42105263157894735</v>
      </c>
      <c r="AL4" s="23">
        <v>13</v>
      </c>
      <c r="AM4" s="22">
        <f t="shared" si="16"/>
        <v>0.34210526315789475</v>
      </c>
      <c r="AN4" s="28">
        <v>1</v>
      </c>
      <c r="AO4" s="22">
        <f t="shared" si="17"/>
        <v>2.6315789473684209E-2</v>
      </c>
      <c r="AP4" s="11">
        <v>5</v>
      </c>
      <c r="AQ4" s="22">
        <f t="shared" si="18"/>
        <v>0.13157894736842105</v>
      </c>
      <c r="AR4" s="23">
        <v>42</v>
      </c>
      <c r="AS4" s="22">
        <f t="shared" si="19"/>
        <v>1.1052631578947369</v>
      </c>
      <c r="AT4" s="25">
        <v>0.46314888927305442</v>
      </c>
      <c r="AU4" s="25">
        <v>7.3312052120784232E-2</v>
      </c>
      <c r="AV4" s="25">
        <v>0.21699559617030606</v>
      </c>
      <c r="AW4" s="25">
        <v>0.24615329310274839</v>
      </c>
      <c r="AX4" s="25">
        <v>110.47199957967754</v>
      </c>
      <c r="AY4" s="25">
        <v>109.8964272492522</v>
      </c>
      <c r="AZ4" s="25">
        <v>5.0995637061821775</v>
      </c>
      <c r="BA4" s="25">
        <v>2.263157894736842</v>
      </c>
      <c r="BB4" s="25">
        <v>13.612979817965968</v>
      </c>
      <c r="BC4" s="24">
        <v>0.46258223684210525</v>
      </c>
      <c r="BD4" s="24">
        <v>0.44565217391304346</v>
      </c>
      <c r="BE4" s="25">
        <v>6.7251670948256086</v>
      </c>
      <c r="BF4" s="24">
        <v>0.54347826086956519</v>
      </c>
      <c r="BG4" s="24">
        <v>0.13043478260869565</v>
      </c>
      <c r="BH4" s="25">
        <v>5.6361622431925724</v>
      </c>
      <c r="BI4" s="25">
        <v>9.0804836140324774</v>
      </c>
      <c r="BJ4" s="25">
        <v>6.8568218995220285</v>
      </c>
      <c r="BK4" s="25">
        <v>5.6653963785724084</v>
      </c>
      <c r="BL4" s="25">
        <v>2.7559094153511881</v>
      </c>
      <c r="BM4" s="25">
        <v>0.26324015728599398</v>
      </c>
      <c r="BN4" s="25">
        <v>9.3214019388516025</v>
      </c>
      <c r="BO4" s="26" t="s">
        <v>176</v>
      </c>
      <c r="BP4" s="27"/>
      <c r="BQ4" s="32" t="s">
        <v>267</v>
      </c>
      <c r="BR4" s="32">
        <v>167.36</v>
      </c>
      <c r="BS4" s="32">
        <v>203.66</v>
      </c>
      <c r="BT4" s="32">
        <v>36.299999999999997</v>
      </c>
      <c r="BU4" s="36">
        <f t="shared" si="24"/>
        <v>4.4042105263157891</v>
      </c>
      <c r="BV4" s="36">
        <f t="shared" si="25"/>
        <v>5.3594736842105259</v>
      </c>
      <c r="BW4" s="36">
        <f t="shared" si="26"/>
        <v>0.95526315789473681</v>
      </c>
      <c r="BX4" s="37">
        <f t="shared" si="27"/>
        <v>26.491491887613769</v>
      </c>
      <c r="BY4" s="37">
        <f t="shared" si="28"/>
        <v>32.237435694499403</v>
      </c>
      <c r="BZ4" s="37">
        <f t="shared" si="29"/>
        <v>5.7459438068856352</v>
      </c>
      <c r="CA4" s="34">
        <v>20</v>
      </c>
      <c r="CB4" s="34">
        <v>18</v>
      </c>
    </row>
    <row r="5" spans="1:80" x14ac:dyDescent="0.4">
      <c r="A5" s="16" t="s">
        <v>178</v>
      </c>
      <c r="B5" s="16" t="s">
        <v>262</v>
      </c>
      <c r="C5" s="16" t="s">
        <v>212</v>
      </c>
      <c r="D5" s="29">
        <v>49</v>
      </c>
      <c r="E5" s="29">
        <v>28</v>
      </c>
      <c r="F5" s="29">
        <v>39</v>
      </c>
      <c r="G5" s="21">
        <v>84231</v>
      </c>
      <c r="H5" s="21">
        <v>740</v>
      </c>
      <c r="I5" s="22">
        <f t="shared" si="0"/>
        <v>15.102040816326531</v>
      </c>
      <c r="J5" s="23">
        <v>325</v>
      </c>
      <c r="K5" s="23">
        <v>566</v>
      </c>
      <c r="L5" s="22">
        <f t="shared" si="21"/>
        <v>6.6326530612244898</v>
      </c>
      <c r="M5" s="22">
        <f t="shared" si="22"/>
        <v>11.551020408163266</v>
      </c>
      <c r="N5" s="24">
        <f t="shared" si="23"/>
        <v>0.5742049469964664</v>
      </c>
      <c r="O5" s="21">
        <v>323</v>
      </c>
      <c r="P5" s="23">
        <v>547</v>
      </c>
      <c r="Q5" s="22">
        <f t="shared" si="3"/>
        <v>6.591836734693878</v>
      </c>
      <c r="R5" s="22">
        <f t="shared" si="4"/>
        <v>11.163265306122449</v>
      </c>
      <c r="S5" s="24">
        <f t="shared" si="5"/>
        <v>0.59049360146252283</v>
      </c>
      <c r="T5" s="23">
        <v>2</v>
      </c>
      <c r="U5" s="23">
        <v>19</v>
      </c>
      <c r="V5" s="22">
        <f t="shared" si="6"/>
        <v>4.0816326530612242E-2</v>
      </c>
      <c r="W5" s="22">
        <f t="shared" si="7"/>
        <v>0.38775510204081631</v>
      </c>
      <c r="X5" s="24">
        <f t="shared" si="8"/>
        <v>0.10526315789473684</v>
      </c>
      <c r="Y5" s="15">
        <v>88</v>
      </c>
      <c r="Z5" s="15">
        <v>145</v>
      </c>
      <c r="AA5" s="22">
        <f t="shared" si="9"/>
        <v>1.7959183673469388</v>
      </c>
      <c r="AB5" s="22">
        <f t="shared" si="10"/>
        <v>2.9591836734693877</v>
      </c>
      <c r="AC5" s="24">
        <f t="shared" si="11"/>
        <v>0.60689655172413792</v>
      </c>
      <c r="AD5" s="23">
        <v>527</v>
      </c>
      <c r="AE5" s="22">
        <f t="shared" si="12"/>
        <v>10.755102040816327</v>
      </c>
      <c r="AF5" s="23">
        <v>136</v>
      </c>
      <c r="AG5" s="22">
        <f t="shared" si="13"/>
        <v>2.7755102040816326</v>
      </c>
      <c r="AH5" s="23">
        <v>391</v>
      </c>
      <c r="AI5" s="22">
        <f t="shared" si="14"/>
        <v>7.9795918367346941</v>
      </c>
      <c r="AJ5" s="23">
        <v>132</v>
      </c>
      <c r="AK5" s="22">
        <f t="shared" si="15"/>
        <v>2.693877551020408</v>
      </c>
      <c r="AL5" s="23">
        <v>106</v>
      </c>
      <c r="AM5" s="22">
        <f t="shared" si="16"/>
        <v>2.1632653061224492</v>
      </c>
      <c r="AN5" s="8">
        <v>46</v>
      </c>
      <c r="AO5" s="22">
        <f t="shared" si="17"/>
        <v>0.93877551020408168</v>
      </c>
      <c r="AP5" s="12">
        <v>97</v>
      </c>
      <c r="AQ5" s="22">
        <f t="shared" si="18"/>
        <v>1.9795918367346939</v>
      </c>
      <c r="AR5" s="23">
        <v>98</v>
      </c>
      <c r="AS5" s="22">
        <f t="shared" si="19"/>
        <v>2</v>
      </c>
      <c r="AT5" s="25">
        <v>7.1574626174297205</v>
      </c>
      <c r="AU5" s="25">
        <v>0.20393810214566288</v>
      </c>
      <c r="AV5" s="25">
        <v>3.5709642225705314</v>
      </c>
      <c r="AW5" s="25">
        <v>3.5864983948591895</v>
      </c>
      <c r="AX5" s="25">
        <v>113.77210352011605</v>
      </c>
      <c r="AY5" s="25">
        <v>98.649562305267409</v>
      </c>
      <c r="AZ5" s="25">
        <v>24.764114227552806</v>
      </c>
      <c r="BA5" s="25">
        <v>23.591836734693878</v>
      </c>
      <c r="BB5" s="25">
        <v>32.937991950706987</v>
      </c>
      <c r="BC5" s="24">
        <v>0.58748809145760561</v>
      </c>
      <c r="BD5" s="24">
        <v>0.57597173144876324</v>
      </c>
      <c r="BE5" s="25">
        <v>21.150773176000449</v>
      </c>
      <c r="BF5" s="24">
        <v>3.3568904593639579E-2</v>
      </c>
      <c r="BG5" s="24">
        <v>0.25618374558303886</v>
      </c>
      <c r="BH5" s="25">
        <v>9.884322537799811</v>
      </c>
      <c r="BI5" s="25">
        <v>28.417427296174459</v>
      </c>
      <c r="BJ5" s="25">
        <v>17.845661273602854</v>
      </c>
      <c r="BK5" s="25">
        <v>13.679234895520954</v>
      </c>
      <c r="BL5" s="25">
        <v>4.0449390977821977</v>
      </c>
      <c r="BM5" s="25">
        <v>2.8106514524881523</v>
      </c>
      <c r="BN5" s="25">
        <v>13.346175013758945</v>
      </c>
      <c r="BO5" s="26" t="s">
        <v>249</v>
      </c>
      <c r="BP5" s="27"/>
      <c r="BQ5" s="33" t="s">
        <v>268</v>
      </c>
      <c r="BR5" s="33">
        <v>1608.46</v>
      </c>
      <c r="BS5" s="33">
        <v>2038.86</v>
      </c>
      <c r="BT5" s="33">
        <v>430.4</v>
      </c>
      <c r="BU5" s="36">
        <f t="shared" si="24"/>
        <v>32.825714285714284</v>
      </c>
      <c r="BV5" s="36">
        <f t="shared" si="25"/>
        <v>41.609387755102041</v>
      </c>
      <c r="BW5" s="36">
        <f t="shared" si="26"/>
        <v>8.7836734693877538</v>
      </c>
      <c r="BX5" s="37">
        <f t="shared" si="27"/>
        <v>45.829967589129893</v>
      </c>
      <c r="BY5" s="37">
        <f t="shared" si="28"/>
        <v>58.093386045517683</v>
      </c>
      <c r="BZ5" s="37">
        <f t="shared" si="29"/>
        <v>12.263418456387791</v>
      </c>
      <c r="CA5" s="34">
        <v>25</v>
      </c>
      <c r="CB5" s="34">
        <v>24</v>
      </c>
    </row>
    <row r="6" spans="1:80" x14ac:dyDescent="0.4">
      <c r="A6" s="16" t="s">
        <v>178</v>
      </c>
      <c r="B6" s="16" t="s">
        <v>262</v>
      </c>
      <c r="C6" s="16" t="s">
        <v>213</v>
      </c>
      <c r="D6" s="23">
        <v>11</v>
      </c>
      <c r="E6" s="23">
        <v>3</v>
      </c>
      <c r="F6" s="23">
        <v>40</v>
      </c>
      <c r="G6" s="21">
        <v>2420</v>
      </c>
      <c r="H6" s="21">
        <v>11</v>
      </c>
      <c r="I6" s="22">
        <f t="shared" si="0"/>
        <v>1</v>
      </c>
      <c r="J6" s="23">
        <v>5</v>
      </c>
      <c r="K6" s="23">
        <v>11</v>
      </c>
      <c r="L6" s="22">
        <f t="shared" si="21"/>
        <v>0.45454545454545453</v>
      </c>
      <c r="M6" s="22">
        <f t="shared" si="22"/>
        <v>1</v>
      </c>
      <c r="N6" s="24">
        <f t="shared" si="23"/>
        <v>0.45454545454545453</v>
      </c>
      <c r="O6" s="21">
        <v>5</v>
      </c>
      <c r="P6" s="23">
        <v>9</v>
      </c>
      <c r="Q6" s="22">
        <f t="shared" si="3"/>
        <v>0.45454545454545453</v>
      </c>
      <c r="R6" s="22">
        <f t="shared" si="4"/>
        <v>0.81818181818181823</v>
      </c>
      <c r="S6" s="24">
        <f t="shared" si="5"/>
        <v>0.55555555555555558</v>
      </c>
      <c r="T6" s="23">
        <v>0</v>
      </c>
      <c r="U6" s="23">
        <v>2</v>
      </c>
      <c r="V6" s="22">
        <f t="shared" si="6"/>
        <v>0</v>
      </c>
      <c r="W6" s="22">
        <f t="shared" si="7"/>
        <v>0.18181818181818182</v>
      </c>
      <c r="X6" s="24">
        <f t="shared" si="8"/>
        <v>0</v>
      </c>
      <c r="Y6" s="23">
        <v>1</v>
      </c>
      <c r="Z6" s="23">
        <v>4</v>
      </c>
      <c r="AA6" s="22">
        <f t="shared" si="9"/>
        <v>9.0909090909090912E-2</v>
      </c>
      <c r="AB6" s="22">
        <f t="shared" si="10"/>
        <v>0.36363636363636365</v>
      </c>
      <c r="AC6" s="24">
        <f t="shared" si="11"/>
        <v>0.25</v>
      </c>
      <c r="AD6" s="23">
        <v>10</v>
      </c>
      <c r="AE6" s="22">
        <f t="shared" si="12"/>
        <v>0.90909090909090906</v>
      </c>
      <c r="AF6" s="23">
        <v>8</v>
      </c>
      <c r="AG6" s="22">
        <f t="shared" si="13"/>
        <v>0.72727272727272729</v>
      </c>
      <c r="AH6" s="23">
        <v>2</v>
      </c>
      <c r="AI6" s="22">
        <f t="shared" si="14"/>
        <v>0.18181818181818182</v>
      </c>
      <c r="AJ6" s="23">
        <v>1</v>
      </c>
      <c r="AK6" s="22">
        <f t="shared" si="15"/>
        <v>9.0909090909090912E-2</v>
      </c>
      <c r="AL6" s="23">
        <v>0</v>
      </c>
      <c r="AM6" s="22">
        <f t="shared" si="16"/>
        <v>0</v>
      </c>
      <c r="AN6" s="20">
        <v>0</v>
      </c>
      <c r="AO6" s="22">
        <f t="shared" si="17"/>
        <v>0</v>
      </c>
      <c r="AP6" s="10">
        <v>1</v>
      </c>
      <c r="AQ6" s="22">
        <f t="shared" si="18"/>
        <v>9.0909090909090912E-2</v>
      </c>
      <c r="AR6" s="23">
        <v>4</v>
      </c>
      <c r="AS6" s="22">
        <f t="shared" si="19"/>
        <v>0.36363636363636365</v>
      </c>
      <c r="AT6" s="25">
        <v>1.7836700855111728E-2</v>
      </c>
      <c r="AU6" s="25">
        <v>1.7689290104243034E-2</v>
      </c>
      <c r="AV6" s="25">
        <v>3.2941469094805033E-2</v>
      </c>
      <c r="AW6" s="25">
        <v>-1.5104768239693304E-2</v>
      </c>
      <c r="AX6" s="25">
        <v>105.83976111908815</v>
      </c>
      <c r="AY6" s="25">
        <v>119.49201841848804</v>
      </c>
      <c r="AZ6" s="25">
        <v>1.9638787417357086</v>
      </c>
      <c r="BA6" s="25">
        <v>1.0909090909090908</v>
      </c>
      <c r="BB6" s="25">
        <v>11.900826446280991</v>
      </c>
      <c r="BC6" s="24">
        <v>0.43103448275862072</v>
      </c>
      <c r="BD6" s="24">
        <v>0.45454545454545453</v>
      </c>
      <c r="BE6" s="25">
        <v>3.1288371458456505</v>
      </c>
      <c r="BF6" s="24">
        <v>0.18181818181818182</v>
      </c>
      <c r="BG6" s="24">
        <v>0.36363636363636365</v>
      </c>
      <c r="BH6" s="25">
        <v>4.5430883536037099</v>
      </c>
      <c r="BI6" s="25">
        <v>1.1357720884009275</v>
      </c>
      <c r="BJ6" s="25">
        <v>2.6459109650960246</v>
      </c>
      <c r="BK6" s="25">
        <v>0.62464213211181097</v>
      </c>
      <c r="BL6" s="25">
        <v>0</v>
      </c>
      <c r="BM6" s="25">
        <v>0</v>
      </c>
      <c r="BN6" s="25">
        <v>7.2674418604651168</v>
      </c>
      <c r="BO6" s="26" t="s">
        <v>176</v>
      </c>
      <c r="BP6" s="27"/>
      <c r="BQ6" s="32" t="s">
        <v>268</v>
      </c>
      <c r="BR6" s="32">
        <v>26.88</v>
      </c>
      <c r="BS6" s="32">
        <v>36.58</v>
      </c>
      <c r="BT6" s="32">
        <v>9.6999999999999993</v>
      </c>
      <c r="BU6" s="36">
        <f t="shared" si="24"/>
        <v>2.4436363636363634</v>
      </c>
      <c r="BV6" s="36">
        <f t="shared" si="25"/>
        <v>3.3254545454545452</v>
      </c>
      <c r="BW6" s="36">
        <f t="shared" si="26"/>
        <v>0.88181818181818172</v>
      </c>
      <c r="BX6" s="37">
        <f t="shared" si="27"/>
        <v>26.657851239669419</v>
      </c>
      <c r="BY6" s="37">
        <f t="shared" si="28"/>
        <v>36.277685950413222</v>
      </c>
      <c r="BZ6" s="37">
        <f t="shared" si="29"/>
        <v>9.6198347107438025</v>
      </c>
      <c r="CA6" s="34">
        <v>4</v>
      </c>
      <c r="CB6" s="34">
        <v>7</v>
      </c>
    </row>
    <row r="7" spans="1:80" x14ac:dyDescent="0.4">
      <c r="A7" s="47" t="s">
        <v>178</v>
      </c>
      <c r="B7" s="48" t="s">
        <v>283</v>
      </c>
      <c r="C7" s="48" t="s">
        <v>281</v>
      </c>
      <c r="D7" s="42">
        <v>21</v>
      </c>
      <c r="E7" s="43">
        <v>16</v>
      </c>
      <c r="F7" s="43">
        <v>26</v>
      </c>
      <c r="G7" s="44">
        <v>20706</v>
      </c>
      <c r="H7" s="15">
        <v>174</v>
      </c>
      <c r="I7" s="22">
        <f t="shared" si="0"/>
        <v>8.2857142857142865</v>
      </c>
      <c r="J7" s="45">
        <v>66</v>
      </c>
      <c r="K7" s="45">
        <v>138</v>
      </c>
      <c r="L7" s="22">
        <f t="shared" si="21"/>
        <v>3.1428571428571428</v>
      </c>
      <c r="M7" s="22">
        <f t="shared" si="22"/>
        <v>6.5714285714285712</v>
      </c>
      <c r="N7" s="24">
        <f t="shared" si="23"/>
        <v>0.47826086956521741</v>
      </c>
      <c r="O7" s="15">
        <v>56</v>
      </c>
      <c r="P7" s="15">
        <v>113</v>
      </c>
      <c r="Q7" s="22">
        <f t="shared" si="3"/>
        <v>2.6666666666666665</v>
      </c>
      <c r="R7" s="22">
        <f t="shared" si="4"/>
        <v>5.3809523809523814</v>
      </c>
      <c r="S7" s="24">
        <f t="shared" si="5"/>
        <v>0.49557522123893805</v>
      </c>
      <c r="T7" s="15">
        <v>10</v>
      </c>
      <c r="U7" s="15">
        <v>25</v>
      </c>
      <c r="V7" s="22">
        <f t="shared" si="6"/>
        <v>0.47619047619047616</v>
      </c>
      <c r="W7" s="22">
        <f t="shared" si="7"/>
        <v>1.1904761904761905</v>
      </c>
      <c r="X7" s="24">
        <f t="shared" si="8"/>
        <v>0.4</v>
      </c>
      <c r="Y7" s="15">
        <v>32</v>
      </c>
      <c r="Z7" s="15">
        <v>42</v>
      </c>
      <c r="AA7" s="22">
        <f t="shared" si="9"/>
        <v>1.5238095238095237</v>
      </c>
      <c r="AB7" s="22">
        <f t="shared" si="10"/>
        <v>2</v>
      </c>
      <c r="AC7" s="24">
        <f t="shared" si="11"/>
        <v>0.76190476190476186</v>
      </c>
      <c r="AD7" s="10">
        <v>106</v>
      </c>
      <c r="AE7" s="22">
        <f t="shared" si="12"/>
        <v>5.0476190476190474</v>
      </c>
      <c r="AF7" s="10">
        <v>21</v>
      </c>
      <c r="AG7" s="22">
        <f t="shared" si="13"/>
        <v>1</v>
      </c>
      <c r="AH7" s="10">
        <v>85</v>
      </c>
      <c r="AI7" s="22">
        <f t="shared" si="14"/>
        <v>4.0476190476190474</v>
      </c>
      <c r="AJ7" s="10">
        <v>35</v>
      </c>
      <c r="AK7" s="22">
        <f t="shared" si="15"/>
        <v>1.6666666666666667</v>
      </c>
      <c r="AL7" s="10">
        <v>10</v>
      </c>
      <c r="AM7" s="22">
        <f t="shared" si="16"/>
        <v>0.47619047619047616</v>
      </c>
      <c r="AN7" s="10">
        <v>7</v>
      </c>
      <c r="AO7" s="22">
        <f t="shared" si="17"/>
        <v>0.33333333333333331</v>
      </c>
      <c r="AP7" s="10">
        <v>38</v>
      </c>
      <c r="AQ7" s="22">
        <f t="shared" si="18"/>
        <v>1.8095238095238095</v>
      </c>
      <c r="AR7" s="46">
        <v>50</v>
      </c>
      <c r="AS7" s="22">
        <f t="shared" si="19"/>
        <v>2.3809523809523809</v>
      </c>
      <c r="AT7" s="25">
        <v>0.63752254924194784</v>
      </c>
      <c r="AU7" s="25">
        <v>0.11384331236463355</v>
      </c>
      <c r="AV7" s="25">
        <v>0.40306398250773356</v>
      </c>
      <c r="AW7" s="25">
        <v>0.23445856673421431</v>
      </c>
      <c r="AX7" s="25">
        <v>122.39813230423447</v>
      </c>
      <c r="AY7" s="25">
        <v>109.37987957752112</v>
      </c>
      <c r="AZ7" s="25">
        <v>5.0697824624552457</v>
      </c>
      <c r="BA7" s="25">
        <v>4</v>
      </c>
      <c r="BB7" s="25">
        <v>17.142857142857142</v>
      </c>
      <c r="BC7" s="24">
        <v>0.61669829222011385</v>
      </c>
      <c r="BD7" s="24">
        <v>0.63888888888888884</v>
      </c>
      <c r="BE7" s="25">
        <v>4.3021510755377683</v>
      </c>
      <c r="BF7" s="24">
        <v>0</v>
      </c>
      <c r="BG7" s="24">
        <v>0.3888888888888889</v>
      </c>
      <c r="BH7" s="25">
        <v>4.6850598646538257</v>
      </c>
      <c r="BI7" s="25">
        <v>5.8005503086190231</v>
      </c>
      <c r="BJ7" s="25">
        <v>4.8854856034094452</v>
      </c>
      <c r="BK7" s="25">
        <v>1.5104472602164973</v>
      </c>
      <c r="BL7" s="25">
        <v>2.1523917525182719</v>
      </c>
      <c r="BM7" s="25">
        <v>1.6880275085964365</v>
      </c>
      <c r="BN7" s="25">
        <v>12.458471760797343</v>
      </c>
      <c r="BO7" s="26" t="s">
        <v>249</v>
      </c>
      <c r="BP7" s="26"/>
      <c r="BQ7" s="33" t="s">
        <v>266</v>
      </c>
      <c r="BR7" s="33">
        <v>312.29000000000002</v>
      </c>
      <c r="BS7" s="33">
        <v>447.79</v>
      </c>
      <c r="BT7" s="33">
        <v>135.5</v>
      </c>
      <c r="BU7" s="36">
        <f t="shared" si="24"/>
        <v>14.870952380952382</v>
      </c>
      <c r="BV7" s="36">
        <f t="shared" si="25"/>
        <v>21.323333333333334</v>
      </c>
      <c r="BW7" s="36">
        <f t="shared" si="26"/>
        <v>6.4523809523809526</v>
      </c>
      <c r="BX7" s="37">
        <f t="shared" si="27"/>
        <v>36.197044334975367</v>
      </c>
      <c r="BY7" s="37">
        <f t="shared" si="28"/>
        <v>51.902636916835696</v>
      </c>
      <c r="BZ7" s="37">
        <f t="shared" si="29"/>
        <v>15.70559258186033</v>
      </c>
      <c r="CA7" s="35">
        <v>11</v>
      </c>
      <c r="CB7" s="35">
        <v>10</v>
      </c>
    </row>
    <row r="8" spans="1:80" x14ac:dyDescent="0.4">
      <c r="A8" s="16" t="s">
        <v>178</v>
      </c>
      <c r="B8" s="16" t="s">
        <v>262</v>
      </c>
      <c r="C8" s="16" t="s">
        <v>214</v>
      </c>
      <c r="D8" s="39">
        <v>24</v>
      </c>
      <c r="E8" s="39">
        <v>9</v>
      </c>
      <c r="F8" s="39">
        <v>20</v>
      </c>
      <c r="G8" s="21">
        <v>13440</v>
      </c>
      <c r="H8" s="21">
        <v>52</v>
      </c>
      <c r="I8" s="22">
        <f t="shared" si="0"/>
        <v>2.1666666666666665</v>
      </c>
      <c r="J8" s="23">
        <v>23</v>
      </c>
      <c r="K8" s="23">
        <v>36</v>
      </c>
      <c r="L8" s="22">
        <f t="shared" si="21"/>
        <v>0.95833333333333337</v>
      </c>
      <c r="M8" s="22">
        <f t="shared" si="22"/>
        <v>1.5</v>
      </c>
      <c r="N8" s="24">
        <f t="shared" si="23"/>
        <v>0.63888888888888884</v>
      </c>
      <c r="O8" s="21">
        <v>23</v>
      </c>
      <c r="P8" s="23">
        <v>36</v>
      </c>
      <c r="Q8" s="22">
        <f t="shared" si="3"/>
        <v>0.95833333333333337</v>
      </c>
      <c r="R8" s="22">
        <f t="shared" si="4"/>
        <v>1.5</v>
      </c>
      <c r="S8" s="24">
        <f t="shared" si="5"/>
        <v>0.63888888888888884</v>
      </c>
      <c r="T8" s="23">
        <v>0</v>
      </c>
      <c r="U8" s="23">
        <v>0</v>
      </c>
      <c r="V8" s="22">
        <f t="shared" si="6"/>
        <v>0</v>
      </c>
      <c r="W8" s="22">
        <f t="shared" si="7"/>
        <v>0</v>
      </c>
      <c r="X8" s="24" t="e">
        <f t="shared" si="8"/>
        <v>#DIV/0!</v>
      </c>
      <c r="Y8" s="23">
        <v>6</v>
      </c>
      <c r="Z8" s="23">
        <v>14</v>
      </c>
      <c r="AA8" s="22">
        <f t="shared" si="9"/>
        <v>0.25</v>
      </c>
      <c r="AB8" s="22">
        <f t="shared" si="10"/>
        <v>0.58333333333333337</v>
      </c>
      <c r="AC8" s="24">
        <f t="shared" si="11"/>
        <v>0.42857142857142855</v>
      </c>
      <c r="AD8" s="23">
        <v>47</v>
      </c>
      <c r="AE8" s="22">
        <f t="shared" si="12"/>
        <v>1.9583333333333333</v>
      </c>
      <c r="AF8" s="23">
        <v>21</v>
      </c>
      <c r="AG8" s="22">
        <f t="shared" si="13"/>
        <v>0.875</v>
      </c>
      <c r="AH8" s="23">
        <v>26</v>
      </c>
      <c r="AI8" s="22">
        <f t="shared" si="14"/>
        <v>1.0833333333333333</v>
      </c>
      <c r="AJ8" s="23">
        <v>6</v>
      </c>
      <c r="AK8" s="22">
        <f t="shared" si="15"/>
        <v>0.25</v>
      </c>
      <c r="AL8" s="23">
        <v>9</v>
      </c>
      <c r="AM8" s="22">
        <f t="shared" si="16"/>
        <v>0.375</v>
      </c>
      <c r="AN8" s="20">
        <v>9</v>
      </c>
      <c r="AO8" s="22">
        <f t="shared" si="17"/>
        <v>0.375</v>
      </c>
      <c r="AP8" s="10">
        <v>6</v>
      </c>
      <c r="AQ8" s="22">
        <f t="shared" si="18"/>
        <v>0.25</v>
      </c>
      <c r="AR8" s="23">
        <v>35</v>
      </c>
      <c r="AS8" s="22">
        <f t="shared" si="19"/>
        <v>1.4583333333333333</v>
      </c>
      <c r="AT8" s="25">
        <v>4.4025984134458185E-2</v>
      </c>
      <c r="AU8" s="25">
        <v>1.5798798134374945E-2</v>
      </c>
      <c r="AV8" s="25">
        <v>-8.4264957987832713E-3</v>
      </c>
      <c r="AW8" s="25">
        <v>5.245247993324146E-2</v>
      </c>
      <c r="AX8" s="25">
        <v>98.575606145344977</v>
      </c>
      <c r="AY8" s="25">
        <v>113.47915381360349</v>
      </c>
      <c r="AZ8" s="25">
        <v>1.2738714706297136</v>
      </c>
      <c r="BA8" s="25">
        <v>1.625</v>
      </c>
      <c r="BB8" s="25">
        <v>9.330143540669857</v>
      </c>
      <c r="BC8" s="24">
        <v>0.58695652173913049</v>
      </c>
      <c r="BD8" s="24">
        <v>0.58695652173913049</v>
      </c>
      <c r="BE8" s="25">
        <v>3.3509577755384869</v>
      </c>
      <c r="BF8" s="24">
        <v>0.86956521739130432</v>
      </c>
      <c r="BG8" s="24">
        <v>0</v>
      </c>
      <c r="BH8" s="25">
        <v>0.59777478336890921</v>
      </c>
      <c r="BI8" s="25">
        <v>2.3910991334756369</v>
      </c>
      <c r="BJ8" s="25">
        <v>1.3925847184715918</v>
      </c>
      <c r="BK8" s="25">
        <v>0.65860063829378523</v>
      </c>
      <c r="BL8" s="25">
        <v>1.9223913579110556</v>
      </c>
      <c r="BM8" s="25">
        <v>0.25127469559117604</v>
      </c>
      <c r="BN8" s="25">
        <v>17.857142857142858</v>
      </c>
      <c r="BO8" s="26" t="s">
        <v>176</v>
      </c>
      <c r="BP8" s="27"/>
      <c r="BQ8" s="33" t="s">
        <v>266</v>
      </c>
      <c r="BR8" s="33">
        <v>164.05</v>
      </c>
      <c r="BS8" s="33">
        <v>192.45</v>
      </c>
      <c r="BT8" s="33">
        <v>28.4</v>
      </c>
      <c r="BU8" s="36">
        <f t="shared" si="24"/>
        <v>6.8354166666666654</v>
      </c>
      <c r="BV8" s="36">
        <f t="shared" si="25"/>
        <v>8.0187499999999989</v>
      </c>
      <c r="BW8" s="36">
        <f t="shared" si="26"/>
        <v>1.1833333333333333</v>
      </c>
      <c r="BX8" s="37">
        <f t="shared" si="27"/>
        <v>29.294642857142861</v>
      </c>
      <c r="BY8" s="37">
        <f t="shared" si="28"/>
        <v>34.366071428571431</v>
      </c>
      <c r="BZ8" s="37">
        <f t="shared" si="29"/>
        <v>5.0714285714285712</v>
      </c>
      <c r="CA8" s="35">
        <v>11</v>
      </c>
      <c r="CB8" s="35">
        <v>13</v>
      </c>
    </row>
    <row r="9" spans="1:80" x14ac:dyDescent="0.4">
      <c r="A9" s="16" t="s">
        <v>178</v>
      </c>
      <c r="B9" s="16" t="s">
        <v>262</v>
      </c>
      <c r="C9" s="16" t="s">
        <v>215</v>
      </c>
      <c r="D9" s="23">
        <v>16</v>
      </c>
      <c r="E9" s="23">
        <v>6</v>
      </c>
      <c r="F9" s="23">
        <v>58</v>
      </c>
      <c r="G9" s="21">
        <v>6688</v>
      </c>
      <c r="H9" s="21">
        <v>27</v>
      </c>
      <c r="I9" s="22">
        <f t="shared" si="0"/>
        <v>1.6875</v>
      </c>
      <c r="J9" s="23">
        <v>10</v>
      </c>
      <c r="K9" s="23">
        <v>23</v>
      </c>
      <c r="L9" s="22">
        <f t="shared" si="21"/>
        <v>0.625</v>
      </c>
      <c r="M9" s="22">
        <f t="shared" si="22"/>
        <v>1.4375</v>
      </c>
      <c r="N9" s="24">
        <f t="shared" si="23"/>
        <v>0.43478260869565216</v>
      </c>
      <c r="O9" s="21">
        <v>3</v>
      </c>
      <c r="P9" s="23">
        <v>3</v>
      </c>
      <c r="Q9" s="22">
        <f t="shared" si="3"/>
        <v>0.1875</v>
      </c>
      <c r="R9" s="22">
        <f t="shared" si="4"/>
        <v>0.1875</v>
      </c>
      <c r="S9" s="24">
        <f t="shared" si="5"/>
        <v>1</v>
      </c>
      <c r="T9" s="23">
        <v>7</v>
      </c>
      <c r="U9" s="23">
        <v>20</v>
      </c>
      <c r="V9" s="22">
        <f t="shared" si="6"/>
        <v>0.4375</v>
      </c>
      <c r="W9" s="22">
        <f t="shared" si="7"/>
        <v>1.25</v>
      </c>
      <c r="X9" s="24">
        <f t="shared" si="8"/>
        <v>0.35</v>
      </c>
      <c r="Y9" s="23">
        <v>0</v>
      </c>
      <c r="Z9" s="23">
        <v>0</v>
      </c>
      <c r="AA9" s="22">
        <f t="shared" si="9"/>
        <v>0</v>
      </c>
      <c r="AB9" s="22">
        <f t="shared" si="10"/>
        <v>0</v>
      </c>
      <c r="AC9" s="24" t="e">
        <f t="shared" si="11"/>
        <v>#DIV/0!</v>
      </c>
      <c r="AD9" s="23">
        <v>10</v>
      </c>
      <c r="AE9" s="22">
        <f t="shared" si="12"/>
        <v>0.625</v>
      </c>
      <c r="AF9" s="23">
        <v>2</v>
      </c>
      <c r="AG9" s="22">
        <f t="shared" si="13"/>
        <v>0.125</v>
      </c>
      <c r="AH9" s="23">
        <v>8</v>
      </c>
      <c r="AI9" s="22">
        <f t="shared" si="14"/>
        <v>0.5</v>
      </c>
      <c r="AJ9" s="23">
        <v>2</v>
      </c>
      <c r="AK9" s="22">
        <f t="shared" si="15"/>
        <v>0.125</v>
      </c>
      <c r="AL9" s="23">
        <v>4</v>
      </c>
      <c r="AM9" s="22">
        <f t="shared" si="16"/>
        <v>0.25</v>
      </c>
      <c r="AN9" s="20">
        <v>1</v>
      </c>
      <c r="AO9" s="22">
        <f t="shared" si="17"/>
        <v>6.25E-2</v>
      </c>
      <c r="AP9" s="10">
        <v>5</v>
      </c>
      <c r="AQ9" s="22">
        <f t="shared" si="18"/>
        <v>0.3125</v>
      </c>
      <c r="AR9" s="23">
        <v>17</v>
      </c>
      <c r="AS9" s="22">
        <f t="shared" si="19"/>
        <v>1.0625</v>
      </c>
      <c r="AT9" s="25">
        <v>3.2201285209516559</v>
      </c>
      <c r="AU9" s="25">
        <v>8.2041490979660028E-2</v>
      </c>
      <c r="AV9" s="25">
        <v>2.9224011732935962</v>
      </c>
      <c r="AW9" s="25">
        <v>0.29772734765805992</v>
      </c>
      <c r="AX9" s="25">
        <v>109.46516155887691</v>
      </c>
      <c r="AY9" s="25">
        <v>115.47805544109892</v>
      </c>
      <c r="AZ9" s="25">
        <v>15.370783200493669</v>
      </c>
      <c r="BA9" s="25">
        <v>14.42</v>
      </c>
      <c r="BB9" s="25">
        <v>18.369426751592357</v>
      </c>
      <c r="BC9" s="24">
        <v>0.5611005492184199</v>
      </c>
      <c r="BD9" s="24">
        <v>0.51046337817638265</v>
      </c>
      <c r="BE9" s="25">
        <v>23.245168231674224</v>
      </c>
      <c r="BF9" s="24">
        <v>0.31240657698056801</v>
      </c>
      <c r="BG9" s="24">
        <v>0.30044843049327352</v>
      </c>
      <c r="BH9" s="25">
        <v>2.5199189647111875</v>
      </c>
      <c r="BI9" s="25">
        <v>6.9629339814388072</v>
      </c>
      <c r="BJ9" s="25">
        <v>4.4182780765350813</v>
      </c>
      <c r="BK9" s="25">
        <v>17.751186040539384</v>
      </c>
      <c r="BL9" s="25">
        <v>1.4330999014643948</v>
      </c>
      <c r="BM9" s="25">
        <v>0.33449943553220252</v>
      </c>
      <c r="BN9" s="25">
        <v>13.478936306314537</v>
      </c>
      <c r="BO9" s="26" t="s">
        <v>176</v>
      </c>
      <c r="BP9" s="26"/>
      <c r="BQ9" s="32" t="s">
        <v>268</v>
      </c>
      <c r="BR9" s="32">
        <v>54.65</v>
      </c>
      <c r="BS9" s="32">
        <v>73.849999999999994</v>
      </c>
      <c r="BT9" s="32">
        <v>19.2</v>
      </c>
      <c r="BU9" s="36">
        <f t="shared" si="24"/>
        <v>3.4156249999999995</v>
      </c>
      <c r="BV9" s="36">
        <f t="shared" si="25"/>
        <v>4.6156249999999996</v>
      </c>
      <c r="BW9" s="36">
        <f t="shared" si="26"/>
        <v>1.2</v>
      </c>
      <c r="BX9" s="37">
        <f t="shared" si="27"/>
        <v>19.611244019138756</v>
      </c>
      <c r="BY9" s="37">
        <f t="shared" si="28"/>
        <v>26.501196172248804</v>
      </c>
      <c r="BZ9" s="37">
        <f t="shared" si="29"/>
        <v>6.8899521531100483</v>
      </c>
      <c r="CA9" s="35">
        <v>7</v>
      </c>
      <c r="CB9" s="35">
        <v>9</v>
      </c>
    </row>
    <row r="10" spans="1:80" x14ac:dyDescent="0.4">
      <c r="A10" s="16" t="s">
        <v>178</v>
      </c>
      <c r="B10" s="16" t="s">
        <v>262</v>
      </c>
      <c r="C10" s="16" t="s">
        <v>216</v>
      </c>
      <c r="D10" s="23">
        <v>50</v>
      </c>
      <c r="E10" s="23">
        <v>31</v>
      </c>
      <c r="F10" s="23">
        <v>24</v>
      </c>
      <c r="G10" s="21">
        <v>94200</v>
      </c>
      <c r="H10" s="21">
        <v>850</v>
      </c>
      <c r="I10" s="22">
        <f t="shared" si="0"/>
        <v>17</v>
      </c>
      <c r="J10" s="23">
        <v>304</v>
      </c>
      <c r="K10" s="23">
        <v>669</v>
      </c>
      <c r="L10" s="22">
        <f t="shared" ref="L10:L73" si="30">J10/$D10</f>
        <v>6.08</v>
      </c>
      <c r="M10" s="22">
        <f t="shared" ref="M10:M73" si="31">K10/$D10</f>
        <v>13.38</v>
      </c>
      <c r="N10" s="24">
        <f t="shared" ref="N10:N73" si="32">J10/K10</f>
        <v>0.45440956651718983</v>
      </c>
      <c r="O10" s="21">
        <v>229</v>
      </c>
      <c r="P10" s="23">
        <v>460</v>
      </c>
      <c r="Q10" s="22">
        <f t="shared" si="3"/>
        <v>4.58</v>
      </c>
      <c r="R10" s="22">
        <f t="shared" si="4"/>
        <v>9.1999999999999993</v>
      </c>
      <c r="S10" s="24">
        <f t="shared" si="5"/>
        <v>0.49782608695652175</v>
      </c>
      <c r="T10" s="23">
        <v>75</v>
      </c>
      <c r="U10" s="23">
        <v>209</v>
      </c>
      <c r="V10" s="22">
        <f t="shared" si="6"/>
        <v>1.5</v>
      </c>
      <c r="W10" s="22">
        <f t="shared" si="7"/>
        <v>4.18</v>
      </c>
      <c r="X10" s="24">
        <f t="shared" si="8"/>
        <v>0.35885167464114831</v>
      </c>
      <c r="Y10" s="23">
        <v>167</v>
      </c>
      <c r="Z10" s="23">
        <v>201</v>
      </c>
      <c r="AA10" s="22">
        <f t="shared" si="9"/>
        <v>3.34</v>
      </c>
      <c r="AB10" s="22">
        <f t="shared" si="10"/>
        <v>4.0199999999999996</v>
      </c>
      <c r="AC10" s="24">
        <f t="shared" si="11"/>
        <v>0.8308457711442786</v>
      </c>
      <c r="AD10" s="23">
        <v>143</v>
      </c>
      <c r="AE10" s="22">
        <f t="shared" si="12"/>
        <v>2.86</v>
      </c>
      <c r="AF10" s="23">
        <v>38</v>
      </c>
      <c r="AG10" s="22">
        <f t="shared" si="13"/>
        <v>0.76</v>
      </c>
      <c r="AH10" s="23">
        <v>105</v>
      </c>
      <c r="AI10" s="22">
        <f t="shared" si="14"/>
        <v>2.1</v>
      </c>
      <c r="AJ10" s="23">
        <v>197</v>
      </c>
      <c r="AK10" s="22">
        <f t="shared" si="15"/>
        <v>3.94</v>
      </c>
      <c r="AL10" s="23">
        <v>42</v>
      </c>
      <c r="AM10" s="22">
        <f t="shared" si="16"/>
        <v>0.84</v>
      </c>
      <c r="AN10" s="20">
        <v>6</v>
      </c>
      <c r="AO10" s="22">
        <f t="shared" si="17"/>
        <v>0.12</v>
      </c>
      <c r="AP10" s="10">
        <v>118</v>
      </c>
      <c r="AQ10" s="22">
        <f t="shared" si="18"/>
        <v>2.36</v>
      </c>
      <c r="AR10" s="23">
        <v>79</v>
      </c>
      <c r="AS10" s="22">
        <f t="shared" si="19"/>
        <v>1.58</v>
      </c>
      <c r="AT10" s="25">
        <v>3.6260706836643504</v>
      </c>
      <c r="AU10" s="25">
        <v>8.7968721098116223E-2</v>
      </c>
      <c r="AV10" s="25">
        <v>2.7226872648809692</v>
      </c>
      <c r="AW10" s="25">
        <v>0.90338341878338091</v>
      </c>
      <c r="AX10" s="25">
        <v>111.72996944749951</v>
      </c>
      <c r="AY10" s="25">
        <v>112.92887969720061</v>
      </c>
      <c r="AZ10" s="25">
        <v>13.691066709130327</v>
      </c>
      <c r="BA10" s="25">
        <v>15.458333333333334</v>
      </c>
      <c r="BB10" s="25">
        <v>18.00097040271713</v>
      </c>
      <c r="BC10" s="24">
        <v>0.53553719008264467</v>
      </c>
      <c r="BD10" s="24">
        <v>0.50786713286713292</v>
      </c>
      <c r="BE10" s="25">
        <v>16.141015680086525</v>
      </c>
      <c r="BF10" s="24">
        <v>0.18356643356643357</v>
      </c>
      <c r="BG10" s="24">
        <v>0.13111888111888112</v>
      </c>
      <c r="BH10" s="25">
        <v>5.0313436036392378</v>
      </c>
      <c r="BI10" s="25">
        <v>11.153821964694213</v>
      </c>
      <c r="BJ10" s="25">
        <v>7.5410388204629051</v>
      </c>
      <c r="BK10" s="25">
        <v>10.269606570196386</v>
      </c>
      <c r="BL10" s="25">
        <v>1.5270621307423826</v>
      </c>
      <c r="BM10" s="25">
        <v>0.9173172293197519</v>
      </c>
      <c r="BN10" s="25">
        <v>9.022556390977444</v>
      </c>
      <c r="BO10" s="26" t="s">
        <v>176</v>
      </c>
      <c r="BP10" s="27"/>
      <c r="BQ10" s="33" t="s">
        <v>267</v>
      </c>
      <c r="BR10" s="33">
        <v>1199.6600000000001</v>
      </c>
      <c r="BS10" s="33">
        <v>1755.46</v>
      </c>
      <c r="BT10" s="33">
        <v>555.79999999999995</v>
      </c>
      <c r="BU10" s="36">
        <f t="shared" si="24"/>
        <v>23.993200000000002</v>
      </c>
      <c r="BV10" s="36">
        <f t="shared" si="25"/>
        <v>35.109200000000001</v>
      </c>
      <c r="BW10" s="36">
        <f t="shared" si="26"/>
        <v>11.116</v>
      </c>
      <c r="BX10" s="37">
        <f t="shared" si="27"/>
        <v>30.564585987261147</v>
      </c>
      <c r="BY10" s="37">
        <f t="shared" si="28"/>
        <v>44.725095541401274</v>
      </c>
      <c r="BZ10" s="37">
        <f t="shared" si="29"/>
        <v>14.160509554140127</v>
      </c>
      <c r="CA10" s="35">
        <v>25</v>
      </c>
      <c r="CB10" s="35">
        <v>25</v>
      </c>
    </row>
    <row r="11" spans="1:80" x14ac:dyDescent="0.4">
      <c r="A11" s="16" t="s">
        <v>178</v>
      </c>
      <c r="B11" s="16" t="s">
        <v>262</v>
      </c>
      <c r="C11" s="16" t="s">
        <v>79</v>
      </c>
      <c r="D11" s="23">
        <v>48</v>
      </c>
      <c r="E11" s="23">
        <v>34</v>
      </c>
      <c r="F11" s="23">
        <v>21</v>
      </c>
      <c r="G11" s="21">
        <v>98928</v>
      </c>
      <c r="H11" s="21">
        <v>648</v>
      </c>
      <c r="I11" s="22">
        <f t="shared" si="0"/>
        <v>13.5</v>
      </c>
      <c r="J11" s="23">
        <v>271</v>
      </c>
      <c r="K11" s="23">
        <v>572</v>
      </c>
      <c r="L11" s="22">
        <f t="shared" si="30"/>
        <v>5.645833333333333</v>
      </c>
      <c r="M11" s="22">
        <f t="shared" si="31"/>
        <v>11.916666666666666</v>
      </c>
      <c r="N11" s="24">
        <f t="shared" si="32"/>
        <v>0.4737762237762238</v>
      </c>
      <c r="O11" s="21">
        <v>232</v>
      </c>
      <c r="P11" s="23">
        <v>467</v>
      </c>
      <c r="Q11" s="22">
        <f t="shared" si="3"/>
        <v>4.833333333333333</v>
      </c>
      <c r="R11" s="22">
        <f t="shared" si="4"/>
        <v>9.7291666666666661</v>
      </c>
      <c r="S11" s="24">
        <f t="shared" si="5"/>
        <v>0.49678800856531047</v>
      </c>
      <c r="T11" s="23">
        <v>39</v>
      </c>
      <c r="U11" s="23">
        <v>105</v>
      </c>
      <c r="V11" s="22">
        <f t="shared" si="6"/>
        <v>0.8125</v>
      </c>
      <c r="W11" s="22">
        <f t="shared" si="7"/>
        <v>2.1875</v>
      </c>
      <c r="X11" s="24">
        <f t="shared" si="8"/>
        <v>0.37142857142857144</v>
      </c>
      <c r="Y11" s="23">
        <v>67</v>
      </c>
      <c r="Z11" s="23">
        <v>75</v>
      </c>
      <c r="AA11" s="22">
        <f t="shared" si="9"/>
        <v>1.3958333333333333</v>
      </c>
      <c r="AB11" s="22">
        <f t="shared" si="10"/>
        <v>1.5625</v>
      </c>
      <c r="AC11" s="24">
        <f t="shared" si="11"/>
        <v>0.89333333333333331</v>
      </c>
      <c r="AD11" s="23">
        <v>267</v>
      </c>
      <c r="AE11" s="22">
        <f t="shared" si="12"/>
        <v>5.5625</v>
      </c>
      <c r="AF11" s="23">
        <v>83</v>
      </c>
      <c r="AG11" s="22">
        <f t="shared" si="13"/>
        <v>1.7291666666666667</v>
      </c>
      <c r="AH11" s="23">
        <v>184</v>
      </c>
      <c r="AI11" s="22">
        <f t="shared" si="14"/>
        <v>3.8333333333333335</v>
      </c>
      <c r="AJ11" s="23">
        <v>131</v>
      </c>
      <c r="AK11" s="22">
        <f t="shared" si="15"/>
        <v>2.7291666666666665</v>
      </c>
      <c r="AL11" s="23">
        <v>47</v>
      </c>
      <c r="AM11" s="22">
        <f t="shared" si="16"/>
        <v>0.97916666666666663</v>
      </c>
      <c r="AN11" s="20">
        <v>18</v>
      </c>
      <c r="AO11" s="22">
        <f t="shared" si="17"/>
        <v>0.375</v>
      </c>
      <c r="AP11" s="10">
        <v>60</v>
      </c>
      <c r="AQ11" s="22">
        <f t="shared" si="18"/>
        <v>1.25</v>
      </c>
      <c r="AR11" s="23">
        <v>82</v>
      </c>
      <c r="AS11" s="22">
        <f t="shared" si="19"/>
        <v>1.7083333333333333</v>
      </c>
      <c r="AT11" s="25">
        <v>7.1272753836603267E-2</v>
      </c>
      <c r="AU11" s="25">
        <v>1.5008739949798004E-2</v>
      </c>
      <c r="AV11" s="25">
        <v>2.201042870968865E-2</v>
      </c>
      <c r="AW11" s="25">
        <v>4.926232512691462E-2</v>
      </c>
      <c r="AX11" s="25">
        <v>100.45042345156843</v>
      </c>
      <c r="AY11" s="25">
        <v>114.98206144441517</v>
      </c>
      <c r="AZ11" s="25">
        <v>3.0225576262221034</v>
      </c>
      <c r="BA11" s="25">
        <v>2.2413793103448274</v>
      </c>
      <c r="BB11" s="25">
        <v>13.68781258225849</v>
      </c>
      <c r="BC11" s="24">
        <v>0.47937771345875541</v>
      </c>
      <c r="BD11" s="24">
        <v>0.46</v>
      </c>
      <c r="BE11" s="25">
        <v>8.3094982605806713</v>
      </c>
      <c r="BF11" s="24">
        <v>0</v>
      </c>
      <c r="BG11" s="24">
        <v>0.24</v>
      </c>
      <c r="BH11" s="25">
        <v>6.9938128598733966</v>
      </c>
      <c r="BI11" s="25">
        <v>5.7222105217145973</v>
      </c>
      <c r="BJ11" s="25">
        <v>5.9246861304949148</v>
      </c>
      <c r="BK11" s="25">
        <v>3.3098730755616441</v>
      </c>
      <c r="BL11" s="25">
        <v>0.56404989917123549</v>
      </c>
      <c r="BM11" s="25">
        <v>0.80177727295505041</v>
      </c>
      <c r="BN11" s="25">
        <v>15.318627450980392</v>
      </c>
      <c r="BO11" s="26" t="s">
        <v>176</v>
      </c>
      <c r="BP11" s="27"/>
      <c r="BQ11" s="32" t="s">
        <v>268</v>
      </c>
      <c r="BR11" s="32">
        <v>1243.93</v>
      </c>
      <c r="BS11" s="32">
        <v>1634.73</v>
      </c>
      <c r="BT11" s="32">
        <v>390.8</v>
      </c>
      <c r="BU11" s="36">
        <f t="shared" si="24"/>
        <v>25.915208333333332</v>
      </c>
      <c r="BV11" s="36">
        <f t="shared" si="25"/>
        <v>34.056874999999998</v>
      </c>
      <c r="BW11" s="36">
        <f t="shared" si="26"/>
        <v>8.1416666666666675</v>
      </c>
      <c r="BX11" s="37">
        <f t="shared" si="27"/>
        <v>30.177826297913633</v>
      </c>
      <c r="BY11" s="37">
        <f t="shared" si="28"/>
        <v>39.658660844250363</v>
      </c>
      <c r="BZ11" s="37">
        <f t="shared" si="29"/>
        <v>9.4808345463367303</v>
      </c>
      <c r="CA11" s="35">
        <v>25</v>
      </c>
      <c r="CB11" s="35">
        <v>23</v>
      </c>
    </row>
    <row r="12" spans="1:80" x14ac:dyDescent="0.4">
      <c r="A12" s="16" t="s">
        <v>178</v>
      </c>
      <c r="B12" s="16" t="s">
        <v>262</v>
      </c>
      <c r="C12" s="16" t="s">
        <v>217</v>
      </c>
      <c r="D12" s="23">
        <v>29</v>
      </c>
      <c r="E12" s="23">
        <v>6</v>
      </c>
      <c r="F12" s="23">
        <v>33</v>
      </c>
      <c r="G12" s="21">
        <v>11397</v>
      </c>
      <c r="H12" s="21">
        <v>53</v>
      </c>
      <c r="I12" s="22">
        <f t="shared" si="0"/>
        <v>1.8275862068965518</v>
      </c>
      <c r="J12" s="23">
        <v>23</v>
      </c>
      <c r="K12" s="23">
        <v>50</v>
      </c>
      <c r="L12" s="22">
        <f t="shared" si="30"/>
        <v>0.7931034482758621</v>
      </c>
      <c r="M12" s="22">
        <f t="shared" si="31"/>
        <v>1.7241379310344827</v>
      </c>
      <c r="N12" s="24">
        <f t="shared" si="32"/>
        <v>0.46</v>
      </c>
      <c r="O12" s="21">
        <v>23</v>
      </c>
      <c r="P12" s="23">
        <v>50</v>
      </c>
      <c r="Q12" s="22">
        <f t="shared" si="3"/>
        <v>0.7931034482758621</v>
      </c>
      <c r="R12" s="22">
        <f t="shared" si="4"/>
        <v>1.7241379310344827</v>
      </c>
      <c r="S12" s="24">
        <f t="shared" si="5"/>
        <v>0.46</v>
      </c>
      <c r="T12" s="23">
        <v>0</v>
      </c>
      <c r="U12" s="23">
        <v>0</v>
      </c>
      <c r="V12" s="22">
        <f t="shared" si="6"/>
        <v>0</v>
      </c>
      <c r="W12" s="22">
        <f t="shared" si="7"/>
        <v>0</v>
      </c>
      <c r="X12" s="24" t="e">
        <f t="shared" si="8"/>
        <v>#DIV/0!</v>
      </c>
      <c r="Y12" s="23">
        <v>7</v>
      </c>
      <c r="Z12" s="23">
        <v>12</v>
      </c>
      <c r="AA12" s="22">
        <f t="shared" si="9"/>
        <v>0.2413793103448276</v>
      </c>
      <c r="AB12" s="22">
        <f t="shared" si="10"/>
        <v>0.41379310344827586</v>
      </c>
      <c r="AC12" s="24">
        <f t="shared" si="11"/>
        <v>0.58333333333333337</v>
      </c>
      <c r="AD12" s="23">
        <v>40</v>
      </c>
      <c r="AE12" s="22">
        <f t="shared" si="12"/>
        <v>1.3793103448275863</v>
      </c>
      <c r="AF12" s="23">
        <v>22</v>
      </c>
      <c r="AG12" s="22">
        <f t="shared" si="13"/>
        <v>0.75862068965517238</v>
      </c>
      <c r="AH12" s="23">
        <v>18</v>
      </c>
      <c r="AI12" s="22">
        <f t="shared" si="14"/>
        <v>0.62068965517241381</v>
      </c>
      <c r="AJ12" s="23">
        <v>9</v>
      </c>
      <c r="AK12" s="22">
        <f t="shared" si="15"/>
        <v>0.31034482758620691</v>
      </c>
      <c r="AL12" s="23">
        <v>2</v>
      </c>
      <c r="AM12" s="22">
        <f t="shared" si="16"/>
        <v>6.8965517241379309E-2</v>
      </c>
      <c r="AN12" s="20">
        <v>3</v>
      </c>
      <c r="AO12" s="22">
        <f t="shared" si="17"/>
        <v>0.10344827586206896</v>
      </c>
      <c r="AP12" s="10">
        <v>10</v>
      </c>
      <c r="AQ12" s="22">
        <f t="shared" si="18"/>
        <v>0.34482758620689657</v>
      </c>
      <c r="AR12" s="23">
        <v>39</v>
      </c>
      <c r="AS12" s="22">
        <f t="shared" si="19"/>
        <v>1.3448275862068966</v>
      </c>
      <c r="AT12" s="25">
        <v>1.9477691353689461</v>
      </c>
      <c r="AU12" s="25">
        <v>6.3938148660759808E-2</v>
      </c>
      <c r="AV12" s="25">
        <v>1.1916618148136005</v>
      </c>
      <c r="AW12" s="25">
        <v>0.75610732055534569</v>
      </c>
      <c r="AX12" s="25">
        <v>106.08097964819143</v>
      </c>
      <c r="AY12" s="25">
        <v>112.41229343896852</v>
      </c>
      <c r="AZ12" s="25">
        <v>12.385294009650288</v>
      </c>
      <c r="BA12" s="25">
        <v>9.3269230769230766</v>
      </c>
      <c r="BB12" s="25">
        <v>15.920779078673817</v>
      </c>
      <c r="BC12" s="24">
        <v>0.52717802234730737</v>
      </c>
      <c r="BD12" s="24">
        <v>0.49307159353348728</v>
      </c>
      <c r="BE12" s="25">
        <v>19.288449345583174</v>
      </c>
      <c r="BF12" s="24">
        <v>0.39260969976905313</v>
      </c>
      <c r="BG12" s="24">
        <v>0.22632794457274827</v>
      </c>
      <c r="BH12" s="25">
        <v>1.6883098611365139</v>
      </c>
      <c r="BI12" s="25">
        <v>8.7081245469146502</v>
      </c>
      <c r="BJ12" s="25">
        <v>4.8439365747917265</v>
      </c>
      <c r="BK12" s="25">
        <v>15.975435373713131</v>
      </c>
      <c r="BL12" s="25">
        <v>2.3300502321458327</v>
      </c>
      <c r="BM12" s="25">
        <v>0.82173616666303528</v>
      </c>
      <c r="BN12" s="25">
        <v>12.174426326274626</v>
      </c>
      <c r="BO12" s="26" t="s">
        <v>176</v>
      </c>
      <c r="BP12" s="26"/>
      <c r="BQ12" s="32" t="s">
        <v>266</v>
      </c>
      <c r="BR12" s="32">
        <v>128.46</v>
      </c>
      <c r="BS12" s="32">
        <v>174.46</v>
      </c>
      <c r="BT12" s="32">
        <v>46</v>
      </c>
      <c r="BU12" s="36">
        <f t="shared" si="24"/>
        <v>4.4296551724137929</v>
      </c>
      <c r="BV12" s="36">
        <f t="shared" si="25"/>
        <v>6.0158620689655171</v>
      </c>
      <c r="BW12" s="36">
        <f t="shared" si="26"/>
        <v>1.5862068965517242</v>
      </c>
      <c r="BX12" s="37">
        <f t="shared" si="27"/>
        <v>27.051329297183464</v>
      </c>
      <c r="BY12" s="37">
        <f t="shared" si="28"/>
        <v>36.738088970781781</v>
      </c>
      <c r="BZ12" s="37">
        <f t="shared" si="29"/>
        <v>9.6867596735983152</v>
      </c>
      <c r="CA12" s="34">
        <v>13</v>
      </c>
      <c r="CB12" s="34">
        <v>16</v>
      </c>
    </row>
    <row r="13" spans="1:80" x14ac:dyDescent="0.4">
      <c r="A13" s="16" t="s">
        <v>178</v>
      </c>
      <c r="B13" s="16" t="s">
        <v>262</v>
      </c>
      <c r="C13" s="16" t="s">
        <v>259</v>
      </c>
      <c r="D13" s="29">
        <v>52</v>
      </c>
      <c r="E13" s="29">
        <v>23</v>
      </c>
      <c r="F13" s="29">
        <v>26</v>
      </c>
      <c r="G13" s="21">
        <v>73112</v>
      </c>
      <c r="H13" s="21">
        <v>502</v>
      </c>
      <c r="I13" s="22">
        <f t="shared" si="0"/>
        <v>9.6538461538461533</v>
      </c>
      <c r="J13" s="23">
        <v>185</v>
      </c>
      <c r="K13" s="23">
        <v>433</v>
      </c>
      <c r="L13" s="22">
        <f t="shared" si="30"/>
        <v>3.5576923076923075</v>
      </c>
      <c r="M13" s="22">
        <f t="shared" si="31"/>
        <v>8.3269230769230766</v>
      </c>
      <c r="N13" s="24">
        <f t="shared" si="32"/>
        <v>0.42725173210161665</v>
      </c>
      <c r="O13" s="21">
        <v>128</v>
      </c>
      <c r="P13" s="23">
        <v>263</v>
      </c>
      <c r="Q13" s="22">
        <f t="shared" si="3"/>
        <v>2.4615384615384617</v>
      </c>
      <c r="R13" s="22">
        <f t="shared" si="4"/>
        <v>5.0576923076923075</v>
      </c>
      <c r="S13" s="24">
        <f t="shared" si="5"/>
        <v>0.48669201520912547</v>
      </c>
      <c r="T13" s="23">
        <v>57</v>
      </c>
      <c r="U13" s="23">
        <v>170</v>
      </c>
      <c r="V13" s="22">
        <f t="shared" si="6"/>
        <v>1.0961538461538463</v>
      </c>
      <c r="W13" s="22">
        <f t="shared" si="7"/>
        <v>3.2692307692307692</v>
      </c>
      <c r="X13" s="24">
        <f t="shared" si="8"/>
        <v>0.3352941176470588</v>
      </c>
      <c r="Y13" s="15">
        <v>75</v>
      </c>
      <c r="Z13" s="15">
        <v>98</v>
      </c>
      <c r="AA13" s="22">
        <f t="shared" si="9"/>
        <v>1.4423076923076923</v>
      </c>
      <c r="AB13" s="22">
        <f t="shared" si="10"/>
        <v>1.8846153846153846</v>
      </c>
      <c r="AC13" s="24">
        <f t="shared" si="11"/>
        <v>0.76530612244897955</v>
      </c>
      <c r="AD13" s="23">
        <v>117</v>
      </c>
      <c r="AE13" s="22">
        <f t="shared" si="12"/>
        <v>2.25</v>
      </c>
      <c r="AF13" s="23">
        <v>19</v>
      </c>
      <c r="AG13" s="22">
        <f t="shared" si="13"/>
        <v>0.36538461538461536</v>
      </c>
      <c r="AH13" s="23">
        <v>98</v>
      </c>
      <c r="AI13" s="22">
        <f t="shared" si="14"/>
        <v>1.8846153846153846</v>
      </c>
      <c r="AJ13" s="23">
        <v>139</v>
      </c>
      <c r="AK13" s="22">
        <f t="shared" si="15"/>
        <v>2.6730769230769229</v>
      </c>
      <c r="AL13" s="23">
        <v>53</v>
      </c>
      <c r="AM13" s="22">
        <f t="shared" si="16"/>
        <v>1.0192307692307692</v>
      </c>
      <c r="AN13" s="8">
        <v>11</v>
      </c>
      <c r="AO13" s="22">
        <f t="shared" si="17"/>
        <v>0.21153846153846154</v>
      </c>
      <c r="AP13" s="12">
        <v>66</v>
      </c>
      <c r="AQ13" s="22">
        <f t="shared" si="18"/>
        <v>1.2692307692307692</v>
      </c>
      <c r="AR13" s="23">
        <v>112</v>
      </c>
      <c r="AS13" s="22">
        <f t="shared" si="19"/>
        <v>2.1538461538461537</v>
      </c>
      <c r="AT13" s="25">
        <v>0.31686806085777885</v>
      </c>
      <c r="AU13" s="25">
        <v>8.761328871643656E-2</v>
      </c>
      <c r="AV13" s="25">
        <v>0.11135350242757008</v>
      </c>
      <c r="AW13" s="25">
        <v>0.20551455843020874</v>
      </c>
      <c r="AX13" s="25">
        <v>104.15309817069701</v>
      </c>
      <c r="AY13" s="25">
        <v>106.71935560982951</v>
      </c>
      <c r="AZ13" s="25">
        <v>4.3974505225303062</v>
      </c>
      <c r="BA13" s="25">
        <v>5.8571428571428568</v>
      </c>
      <c r="BB13" s="25">
        <v>22.672811059907833</v>
      </c>
      <c r="BC13" s="24">
        <v>0.5745239658568615</v>
      </c>
      <c r="BD13" s="24">
        <v>0.5</v>
      </c>
      <c r="BE13" s="25">
        <v>5.883586954767706</v>
      </c>
      <c r="BF13" s="24">
        <v>1.8867924528301886E-2</v>
      </c>
      <c r="BG13" s="24">
        <v>0.33962264150943394</v>
      </c>
      <c r="BH13" s="25">
        <v>1.6120636093432519</v>
      </c>
      <c r="BI13" s="25">
        <v>5.4407146815334757</v>
      </c>
      <c r="BJ13" s="25">
        <v>3.2860507147160303</v>
      </c>
      <c r="BK13" s="25">
        <v>1.3659387983532847</v>
      </c>
      <c r="BL13" s="25">
        <v>2.2218237445349898</v>
      </c>
      <c r="BM13" s="25">
        <v>0.8470388932025128</v>
      </c>
      <c r="BN13" s="25">
        <v>16.456390565002742</v>
      </c>
      <c r="BO13" s="26" t="s">
        <v>176</v>
      </c>
      <c r="BP13" s="27"/>
      <c r="BQ13" s="32" t="s">
        <v>267</v>
      </c>
      <c r="BR13" s="32">
        <v>867.94</v>
      </c>
      <c r="BS13" s="32">
        <v>1222.04</v>
      </c>
      <c r="BT13" s="32">
        <v>354.1</v>
      </c>
      <c r="BU13" s="36">
        <f t="shared" si="24"/>
        <v>16.691153846153846</v>
      </c>
      <c r="BV13" s="36">
        <f t="shared" si="25"/>
        <v>23.50076923076923</v>
      </c>
      <c r="BW13" s="36">
        <f t="shared" si="26"/>
        <v>6.8096153846153848</v>
      </c>
      <c r="BX13" s="37">
        <f t="shared" si="27"/>
        <v>28.491301017616809</v>
      </c>
      <c r="BY13" s="37">
        <f t="shared" si="28"/>
        <v>40.115111062479485</v>
      </c>
      <c r="BZ13" s="37">
        <f t="shared" si="29"/>
        <v>11.623810044862676</v>
      </c>
      <c r="CA13" s="34">
        <v>26</v>
      </c>
      <c r="CB13" s="34">
        <v>26</v>
      </c>
    </row>
    <row r="14" spans="1:80" x14ac:dyDescent="0.4">
      <c r="A14" s="16" t="s">
        <v>178</v>
      </c>
      <c r="B14" s="16" t="s">
        <v>262</v>
      </c>
      <c r="C14" s="16" t="s">
        <v>156</v>
      </c>
      <c r="D14" s="23">
        <v>14</v>
      </c>
      <c r="E14" s="23">
        <v>10</v>
      </c>
      <c r="F14" s="23">
        <v>20</v>
      </c>
      <c r="G14" s="21">
        <v>8680</v>
      </c>
      <c r="H14" s="21">
        <v>70</v>
      </c>
      <c r="I14" s="22">
        <f t="shared" si="0"/>
        <v>5</v>
      </c>
      <c r="J14" s="23">
        <v>26</v>
      </c>
      <c r="K14" s="23">
        <v>53</v>
      </c>
      <c r="L14" s="22">
        <f t="shared" si="30"/>
        <v>1.8571428571428572</v>
      </c>
      <c r="M14" s="22">
        <f t="shared" si="31"/>
        <v>3.7857142857142856</v>
      </c>
      <c r="N14" s="24">
        <f t="shared" si="32"/>
        <v>0.49056603773584906</v>
      </c>
      <c r="O14" s="21">
        <v>25</v>
      </c>
      <c r="P14" s="23">
        <v>52</v>
      </c>
      <c r="Q14" s="22">
        <f t="shared" si="3"/>
        <v>1.7857142857142858</v>
      </c>
      <c r="R14" s="22">
        <f t="shared" si="4"/>
        <v>3.7142857142857144</v>
      </c>
      <c r="S14" s="24">
        <f t="shared" si="5"/>
        <v>0.48076923076923078</v>
      </c>
      <c r="T14" s="23">
        <v>1</v>
      </c>
      <c r="U14" s="23">
        <v>1</v>
      </c>
      <c r="V14" s="22">
        <f t="shared" si="6"/>
        <v>7.1428571428571425E-2</v>
      </c>
      <c r="W14" s="22">
        <f t="shared" si="7"/>
        <v>7.1428571428571425E-2</v>
      </c>
      <c r="X14" s="24">
        <f t="shared" si="8"/>
        <v>1</v>
      </c>
      <c r="Y14" s="23">
        <v>17</v>
      </c>
      <c r="Z14" s="23">
        <v>18</v>
      </c>
      <c r="AA14" s="22">
        <f t="shared" si="9"/>
        <v>1.2142857142857142</v>
      </c>
      <c r="AB14" s="22">
        <f t="shared" si="10"/>
        <v>1.2857142857142858</v>
      </c>
      <c r="AC14" s="24">
        <f t="shared" si="11"/>
        <v>0.94444444444444442</v>
      </c>
      <c r="AD14" s="23">
        <v>35</v>
      </c>
      <c r="AE14" s="22">
        <f t="shared" si="12"/>
        <v>2.5</v>
      </c>
      <c r="AF14" s="23">
        <v>8</v>
      </c>
      <c r="AG14" s="22">
        <f t="shared" si="13"/>
        <v>0.5714285714285714</v>
      </c>
      <c r="AH14" s="23">
        <v>27</v>
      </c>
      <c r="AI14" s="22">
        <f t="shared" si="14"/>
        <v>1.9285714285714286</v>
      </c>
      <c r="AJ14" s="23">
        <v>6</v>
      </c>
      <c r="AK14" s="22">
        <f t="shared" si="15"/>
        <v>0.42857142857142855</v>
      </c>
      <c r="AL14" s="23">
        <v>6</v>
      </c>
      <c r="AM14" s="22">
        <f t="shared" si="16"/>
        <v>0.42857142857142855</v>
      </c>
      <c r="AN14" s="20">
        <v>5</v>
      </c>
      <c r="AO14" s="22">
        <f t="shared" si="17"/>
        <v>0.35714285714285715</v>
      </c>
      <c r="AP14" s="10">
        <v>12</v>
      </c>
      <c r="AQ14" s="22">
        <f t="shared" si="18"/>
        <v>0.8571428571428571</v>
      </c>
      <c r="AR14" s="23">
        <v>11</v>
      </c>
      <c r="AS14" s="22">
        <f t="shared" si="19"/>
        <v>0.7857142857142857</v>
      </c>
      <c r="AT14" s="25">
        <v>6.4915632509160173E-2</v>
      </c>
      <c r="AU14" s="25">
        <v>1.1935763274495088E-2</v>
      </c>
      <c r="AV14" s="25">
        <v>5.7724455578117451E-2</v>
      </c>
      <c r="AW14" s="25">
        <v>7.1911769310427252E-3</v>
      </c>
      <c r="AX14" s="25">
        <v>103.27301192553597</v>
      </c>
      <c r="AY14" s="25">
        <v>116.59216415174296</v>
      </c>
      <c r="AZ14" s="25">
        <v>1.2742318336338379</v>
      </c>
      <c r="BA14" s="25">
        <v>2.3684210526315788</v>
      </c>
      <c r="BB14" s="25">
        <v>8.2739600091932886</v>
      </c>
      <c r="BC14" s="24">
        <v>0.49894957983193278</v>
      </c>
      <c r="BD14" s="24">
        <v>0.48571428571428571</v>
      </c>
      <c r="BE14" s="25">
        <v>3.2097562609543488</v>
      </c>
      <c r="BF14" s="24">
        <v>0.62857142857142856</v>
      </c>
      <c r="BG14" s="24">
        <v>0.2</v>
      </c>
      <c r="BH14" s="25">
        <v>1.2729905503183612</v>
      </c>
      <c r="BI14" s="25">
        <v>2.5459811006367223</v>
      </c>
      <c r="BJ14" s="25">
        <v>1.7793462385361911</v>
      </c>
      <c r="BK14" s="25">
        <v>2.193261204947798</v>
      </c>
      <c r="BL14" s="25">
        <v>0.73873554365141003</v>
      </c>
      <c r="BM14" s="25">
        <v>0.30577240977325065</v>
      </c>
      <c r="BN14" s="25">
        <v>13.611615245009075</v>
      </c>
      <c r="BO14" s="26" t="s">
        <v>176</v>
      </c>
      <c r="BP14" s="27"/>
      <c r="BQ14" s="32" t="s">
        <v>266</v>
      </c>
      <c r="BR14" s="32">
        <v>119.37</v>
      </c>
      <c r="BS14" s="32">
        <v>165.17</v>
      </c>
      <c r="BT14" s="32">
        <v>45.8</v>
      </c>
      <c r="BU14" s="36">
        <f t="shared" si="24"/>
        <v>8.5264285714285712</v>
      </c>
      <c r="BV14" s="36">
        <f t="shared" si="25"/>
        <v>11.797857142857142</v>
      </c>
      <c r="BW14" s="36">
        <f t="shared" si="26"/>
        <v>3.2714285714285714</v>
      </c>
      <c r="BX14" s="37">
        <f t="shared" si="27"/>
        <v>33.005529953917041</v>
      </c>
      <c r="BY14" s="37">
        <f t="shared" si="28"/>
        <v>45.669124423963126</v>
      </c>
      <c r="BZ14" s="37">
        <f t="shared" si="29"/>
        <v>12.663594470046084</v>
      </c>
      <c r="CA14" s="35">
        <v>8</v>
      </c>
      <c r="CB14" s="35">
        <v>6</v>
      </c>
    </row>
    <row r="15" spans="1:80" x14ac:dyDescent="0.4">
      <c r="A15" s="16" t="s">
        <v>178</v>
      </c>
      <c r="B15" s="16" t="s">
        <v>262</v>
      </c>
      <c r="C15" s="16" t="s">
        <v>218</v>
      </c>
      <c r="D15" s="23">
        <v>19</v>
      </c>
      <c r="E15" s="23">
        <v>11</v>
      </c>
      <c r="F15" s="23">
        <v>27</v>
      </c>
      <c r="G15" s="21">
        <v>13053</v>
      </c>
      <c r="H15" s="21">
        <v>38</v>
      </c>
      <c r="I15" s="22">
        <f t="shared" si="0"/>
        <v>2</v>
      </c>
      <c r="J15" s="23">
        <v>14</v>
      </c>
      <c r="K15" s="23">
        <v>35</v>
      </c>
      <c r="L15" s="22">
        <f t="shared" si="30"/>
        <v>0.73684210526315785</v>
      </c>
      <c r="M15" s="22">
        <f t="shared" si="31"/>
        <v>1.8421052631578947</v>
      </c>
      <c r="N15" s="24">
        <f t="shared" si="32"/>
        <v>0.4</v>
      </c>
      <c r="O15" s="21">
        <v>8</v>
      </c>
      <c r="P15" s="23">
        <v>13</v>
      </c>
      <c r="Q15" s="22">
        <f t="shared" si="3"/>
        <v>0.42105263157894735</v>
      </c>
      <c r="R15" s="22">
        <f t="shared" si="4"/>
        <v>0.68421052631578949</v>
      </c>
      <c r="S15" s="24">
        <f t="shared" si="5"/>
        <v>0.61538461538461542</v>
      </c>
      <c r="T15" s="23">
        <v>6</v>
      </c>
      <c r="U15" s="23">
        <v>22</v>
      </c>
      <c r="V15" s="22">
        <f t="shared" si="6"/>
        <v>0.31578947368421051</v>
      </c>
      <c r="W15" s="22">
        <f t="shared" si="7"/>
        <v>1.1578947368421053</v>
      </c>
      <c r="X15" s="24">
        <f t="shared" si="8"/>
        <v>0.27272727272727271</v>
      </c>
      <c r="Y15" s="23">
        <v>4</v>
      </c>
      <c r="Z15" s="23">
        <v>7</v>
      </c>
      <c r="AA15" s="22">
        <f t="shared" si="9"/>
        <v>0.21052631578947367</v>
      </c>
      <c r="AB15" s="22">
        <f t="shared" si="10"/>
        <v>0.36842105263157893</v>
      </c>
      <c r="AC15" s="24">
        <f t="shared" si="11"/>
        <v>0.5714285714285714</v>
      </c>
      <c r="AD15" s="23">
        <v>21</v>
      </c>
      <c r="AE15" s="22">
        <f t="shared" si="12"/>
        <v>1.1052631578947369</v>
      </c>
      <c r="AF15" s="23">
        <v>7</v>
      </c>
      <c r="AG15" s="22">
        <f t="shared" si="13"/>
        <v>0.36842105263157893</v>
      </c>
      <c r="AH15" s="23">
        <v>14</v>
      </c>
      <c r="AI15" s="22">
        <f t="shared" si="14"/>
        <v>0.73684210526315785</v>
      </c>
      <c r="AJ15" s="23">
        <v>11</v>
      </c>
      <c r="AK15" s="22">
        <f t="shared" si="15"/>
        <v>0.57894736842105265</v>
      </c>
      <c r="AL15" s="23">
        <v>3</v>
      </c>
      <c r="AM15" s="22">
        <f t="shared" si="16"/>
        <v>0.15789473684210525</v>
      </c>
      <c r="AN15" s="20">
        <v>2</v>
      </c>
      <c r="AO15" s="22">
        <f t="shared" si="17"/>
        <v>0.10526315789473684</v>
      </c>
      <c r="AP15" s="10">
        <v>6</v>
      </c>
      <c r="AQ15" s="22">
        <f t="shared" si="18"/>
        <v>0.31578947368421051</v>
      </c>
      <c r="AR15" s="23">
        <v>27</v>
      </c>
      <c r="AS15" s="22">
        <f t="shared" si="19"/>
        <v>1.4210526315789473</v>
      </c>
      <c r="AT15" s="25">
        <v>0.81323598482588833</v>
      </c>
      <c r="AU15" s="25">
        <v>0.10397221199563883</v>
      </c>
      <c r="AV15" s="25">
        <v>0.34984664789641179</v>
      </c>
      <c r="AW15" s="25">
        <v>0.46338933692947648</v>
      </c>
      <c r="AX15" s="25">
        <v>104.8371270461667</v>
      </c>
      <c r="AY15" s="25">
        <v>106.28887825117252</v>
      </c>
      <c r="AZ15" s="25">
        <v>7.0823764584684312</v>
      </c>
      <c r="BA15" s="25">
        <v>10.526315789473685</v>
      </c>
      <c r="BB15" s="25">
        <v>25.569997869166844</v>
      </c>
      <c r="BC15" s="24">
        <v>0.47449584816132861</v>
      </c>
      <c r="BD15" s="24">
        <v>0.44701986754966888</v>
      </c>
      <c r="BE15" s="25">
        <v>9.4986764637379402</v>
      </c>
      <c r="BF15" s="24">
        <v>0.29139072847682118</v>
      </c>
      <c r="BG15" s="24">
        <v>0.26490066225165565</v>
      </c>
      <c r="BH15" s="25">
        <v>5.9432608269562701</v>
      </c>
      <c r="BI15" s="25">
        <v>8.219403271322502</v>
      </c>
      <c r="BJ15" s="25">
        <v>6.5987091275269272</v>
      </c>
      <c r="BK15" s="25">
        <v>4.8428874371097255</v>
      </c>
      <c r="BL15" s="25">
        <v>2.2259268354759594</v>
      </c>
      <c r="BM15" s="25">
        <v>0.74415967540463701</v>
      </c>
      <c r="BN15" s="25">
        <v>10.127931769722816</v>
      </c>
      <c r="BO15" s="26" t="s">
        <v>176</v>
      </c>
      <c r="BP15" s="26"/>
      <c r="BQ15" s="33" t="s">
        <v>267</v>
      </c>
      <c r="BR15" s="33">
        <v>110.57</v>
      </c>
      <c r="BS15" s="33">
        <v>141.37</v>
      </c>
      <c r="BT15" s="33">
        <v>30.8</v>
      </c>
      <c r="BU15" s="36">
        <f t="shared" si="24"/>
        <v>5.8194736842105268</v>
      </c>
      <c r="BV15" s="36">
        <f t="shared" si="25"/>
        <v>7.4405263157894739</v>
      </c>
      <c r="BW15" s="36">
        <f t="shared" si="26"/>
        <v>1.6210526315789473</v>
      </c>
      <c r="BX15" s="37">
        <f t="shared" si="27"/>
        <v>20.33003907147782</v>
      </c>
      <c r="BY15" s="37">
        <f t="shared" si="28"/>
        <v>25.993105033325673</v>
      </c>
      <c r="BZ15" s="37">
        <f t="shared" si="29"/>
        <v>5.6630659618478507</v>
      </c>
      <c r="CA15" s="35">
        <v>10</v>
      </c>
      <c r="CB15" s="35">
        <v>9</v>
      </c>
    </row>
    <row r="16" spans="1:80" x14ac:dyDescent="0.4">
      <c r="A16" s="16" t="s">
        <v>178</v>
      </c>
      <c r="B16" s="16" t="s">
        <v>262</v>
      </c>
      <c r="C16" s="16" t="s">
        <v>219</v>
      </c>
      <c r="D16" s="23">
        <v>19</v>
      </c>
      <c r="E16" s="23">
        <v>16</v>
      </c>
      <c r="F16" s="23">
        <v>28</v>
      </c>
      <c r="G16" s="21">
        <v>18772</v>
      </c>
      <c r="H16" s="21">
        <v>160</v>
      </c>
      <c r="I16" s="22">
        <f t="shared" si="0"/>
        <v>8.4210526315789469</v>
      </c>
      <c r="J16" s="23">
        <v>60</v>
      </c>
      <c r="K16" s="23">
        <v>151</v>
      </c>
      <c r="L16" s="22">
        <f t="shared" si="30"/>
        <v>3.1578947368421053</v>
      </c>
      <c r="M16" s="22">
        <f t="shared" si="31"/>
        <v>7.9473684210526319</v>
      </c>
      <c r="N16" s="24">
        <f t="shared" si="32"/>
        <v>0.39735099337748342</v>
      </c>
      <c r="O16" s="21">
        <v>45</v>
      </c>
      <c r="P16" s="23">
        <v>107</v>
      </c>
      <c r="Q16" s="22">
        <f t="shared" si="3"/>
        <v>2.3684210526315788</v>
      </c>
      <c r="R16" s="22">
        <f t="shared" si="4"/>
        <v>5.6315789473684212</v>
      </c>
      <c r="S16" s="24">
        <f t="shared" si="5"/>
        <v>0.42056074766355139</v>
      </c>
      <c r="T16" s="23">
        <v>15</v>
      </c>
      <c r="U16" s="23">
        <v>44</v>
      </c>
      <c r="V16" s="22">
        <f t="shared" si="6"/>
        <v>0.78947368421052633</v>
      </c>
      <c r="W16" s="22">
        <f t="shared" si="7"/>
        <v>2.3157894736842106</v>
      </c>
      <c r="X16" s="24">
        <f t="shared" si="8"/>
        <v>0.34090909090909088</v>
      </c>
      <c r="Y16" s="23">
        <v>25</v>
      </c>
      <c r="Z16" s="23">
        <v>40</v>
      </c>
      <c r="AA16" s="22">
        <f t="shared" si="9"/>
        <v>1.3157894736842106</v>
      </c>
      <c r="AB16" s="22">
        <f t="shared" si="10"/>
        <v>2.1052631578947367</v>
      </c>
      <c r="AC16" s="24">
        <f t="shared" si="11"/>
        <v>0.625</v>
      </c>
      <c r="AD16" s="23">
        <v>112</v>
      </c>
      <c r="AE16" s="22">
        <f t="shared" si="12"/>
        <v>5.8947368421052628</v>
      </c>
      <c r="AF16" s="23">
        <v>47</v>
      </c>
      <c r="AG16" s="22">
        <f t="shared" si="13"/>
        <v>2.4736842105263159</v>
      </c>
      <c r="AH16" s="23">
        <v>65</v>
      </c>
      <c r="AI16" s="22">
        <f t="shared" si="14"/>
        <v>3.4210526315789473</v>
      </c>
      <c r="AJ16" s="23">
        <v>33</v>
      </c>
      <c r="AK16" s="22">
        <f t="shared" si="15"/>
        <v>1.736842105263158</v>
      </c>
      <c r="AL16" s="23">
        <v>13</v>
      </c>
      <c r="AM16" s="22">
        <f t="shared" si="16"/>
        <v>0.68421052631578949</v>
      </c>
      <c r="AN16" s="20">
        <v>7</v>
      </c>
      <c r="AO16" s="22">
        <f t="shared" si="17"/>
        <v>0.36842105263157893</v>
      </c>
      <c r="AP16" s="10">
        <v>19</v>
      </c>
      <c r="AQ16" s="22">
        <f t="shared" si="18"/>
        <v>1</v>
      </c>
      <c r="AR16" s="23">
        <v>33</v>
      </c>
      <c r="AS16" s="22">
        <f t="shared" si="19"/>
        <v>1.736842105263158</v>
      </c>
      <c r="AT16" s="25">
        <v>-9.7113359065014462E-2</v>
      </c>
      <c r="AU16" s="25">
        <v>-0.13394946077933029</v>
      </c>
      <c r="AV16" s="25">
        <v>-9.0368486771097878E-2</v>
      </c>
      <c r="AW16" s="25">
        <v>-6.7448722939165906E-3</v>
      </c>
      <c r="AX16" s="25">
        <v>80.239146447595928</v>
      </c>
      <c r="AY16" s="25">
        <v>118.48224365992451</v>
      </c>
      <c r="AZ16" s="25">
        <v>5.220167382249765E-2</v>
      </c>
      <c r="BA16" s="25">
        <v>1.25</v>
      </c>
      <c r="BB16" s="25">
        <v>6.8965517241379315</v>
      </c>
      <c r="BC16" s="24">
        <v>0.375</v>
      </c>
      <c r="BD16" s="24">
        <v>0.375</v>
      </c>
      <c r="BE16" s="25">
        <v>1.6100004025001007</v>
      </c>
      <c r="BF16" s="24">
        <v>0.33333333333333331</v>
      </c>
      <c r="BG16" s="24">
        <v>0</v>
      </c>
      <c r="BH16" s="25">
        <v>0</v>
      </c>
      <c r="BI16" s="25">
        <v>0.5744134699958714</v>
      </c>
      <c r="BJ16" s="25">
        <v>0.26763237348097718</v>
      </c>
      <c r="BK16" s="25">
        <v>1.2405745410843398</v>
      </c>
      <c r="BL16" s="25">
        <v>0</v>
      </c>
      <c r="BM16" s="25">
        <v>0</v>
      </c>
      <c r="BN16" s="25">
        <v>14.285714285714286</v>
      </c>
      <c r="BO16" s="26" t="s">
        <v>249</v>
      </c>
      <c r="BP16" s="27"/>
      <c r="BQ16" s="32" t="s">
        <v>266</v>
      </c>
      <c r="BR16" s="32">
        <v>316.10000000000002</v>
      </c>
      <c r="BS16" s="32">
        <v>444.7</v>
      </c>
      <c r="BT16" s="32">
        <v>128.6</v>
      </c>
      <c r="BU16" s="36">
        <f t="shared" si="24"/>
        <v>16.63684210526316</v>
      </c>
      <c r="BV16" s="36">
        <f t="shared" si="25"/>
        <v>23.405263157894737</v>
      </c>
      <c r="BW16" s="36">
        <f t="shared" si="26"/>
        <v>6.7684210526315782</v>
      </c>
      <c r="BX16" s="37">
        <f t="shared" si="27"/>
        <v>40.41338163221819</v>
      </c>
      <c r="BY16" s="37">
        <f t="shared" si="28"/>
        <v>56.854890262092475</v>
      </c>
      <c r="BZ16" s="37">
        <f t="shared" si="29"/>
        <v>16.441508629874281</v>
      </c>
      <c r="CA16" s="35">
        <v>8</v>
      </c>
      <c r="CB16" s="35">
        <v>11</v>
      </c>
    </row>
    <row r="17" spans="1:80" x14ac:dyDescent="0.4">
      <c r="A17" s="16" t="s">
        <v>178</v>
      </c>
      <c r="B17" s="16" t="s">
        <v>262</v>
      </c>
      <c r="C17" s="16" t="s">
        <v>220</v>
      </c>
      <c r="D17" s="23">
        <v>4</v>
      </c>
      <c r="E17" s="23">
        <v>7</v>
      </c>
      <c r="F17" s="23">
        <v>15</v>
      </c>
      <c r="G17" s="21">
        <v>1740</v>
      </c>
      <c r="H17" s="21">
        <v>9</v>
      </c>
      <c r="I17" s="22">
        <f t="shared" si="0"/>
        <v>2.25</v>
      </c>
      <c r="J17" s="23">
        <v>4</v>
      </c>
      <c r="K17" s="23">
        <v>12</v>
      </c>
      <c r="L17" s="22">
        <f t="shared" si="30"/>
        <v>1</v>
      </c>
      <c r="M17" s="22">
        <f t="shared" si="31"/>
        <v>3</v>
      </c>
      <c r="N17" s="24">
        <f t="shared" si="32"/>
        <v>0.33333333333333331</v>
      </c>
      <c r="O17" s="21">
        <v>3</v>
      </c>
      <c r="P17" s="23">
        <v>8</v>
      </c>
      <c r="Q17" s="22">
        <f t="shared" si="3"/>
        <v>0.75</v>
      </c>
      <c r="R17" s="22">
        <f t="shared" si="4"/>
        <v>2</v>
      </c>
      <c r="S17" s="24">
        <f t="shared" si="5"/>
        <v>0.375</v>
      </c>
      <c r="T17" s="23">
        <v>1</v>
      </c>
      <c r="U17" s="23">
        <v>4</v>
      </c>
      <c r="V17" s="22">
        <f t="shared" si="6"/>
        <v>0.25</v>
      </c>
      <c r="W17" s="22">
        <f t="shared" si="7"/>
        <v>1</v>
      </c>
      <c r="X17" s="24">
        <f t="shared" si="8"/>
        <v>0.25</v>
      </c>
      <c r="Y17" s="23">
        <v>0</v>
      </c>
      <c r="Z17" s="23">
        <v>0</v>
      </c>
      <c r="AA17" s="22">
        <f t="shared" si="9"/>
        <v>0</v>
      </c>
      <c r="AB17" s="22">
        <f t="shared" si="10"/>
        <v>0</v>
      </c>
      <c r="AC17" s="24" t="e">
        <f t="shared" si="11"/>
        <v>#DIV/0!</v>
      </c>
      <c r="AD17" s="23">
        <v>2</v>
      </c>
      <c r="AE17" s="22">
        <f t="shared" si="12"/>
        <v>0.5</v>
      </c>
      <c r="AF17" s="23">
        <v>0</v>
      </c>
      <c r="AG17" s="22">
        <f t="shared" si="13"/>
        <v>0</v>
      </c>
      <c r="AH17" s="23">
        <v>2</v>
      </c>
      <c r="AI17" s="22">
        <f t="shared" si="14"/>
        <v>0.5</v>
      </c>
      <c r="AJ17" s="23">
        <v>4</v>
      </c>
      <c r="AK17" s="22">
        <f t="shared" si="15"/>
        <v>1</v>
      </c>
      <c r="AL17" s="23">
        <v>0</v>
      </c>
      <c r="AM17" s="22">
        <f t="shared" si="16"/>
        <v>0</v>
      </c>
      <c r="AN17" s="20">
        <v>0</v>
      </c>
      <c r="AO17" s="22">
        <f t="shared" si="17"/>
        <v>0</v>
      </c>
      <c r="AP17" s="10">
        <v>2</v>
      </c>
      <c r="AQ17" s="22">
        <f t="shared" si="18"/>
        <v>0.5</v>
      </c>
      <c r="AR17" s="23">
        <v>4</v>
      </c>
      <c r="AS17" s="22">
        <f t="shared" si="19"/>
        <v>1</v>
      </c>
      <c r="AT17" s="25">
        <v>-0.2791912559722004</v>
      </c>
      <c r="AU17" s="25">
        <v>-2.8896800687134766E-2</v>
      </c>
      <c r="AV17" s="25">
        <v>-0.48563426009912647</v>
      </c>
      <c r="AW17" s="25">
        <v>0.20644300412692609</v>
      </c>
      <c r="AX17" s="25">
        <v>85.834519019893534</v>
      </c>
      <c r="AY17" s="25">
        <v>113.02652223190017</v>
      </c>
      <c r="AZ17" s="25">
        <v>2.7244690273360064</v>
      </c>
      <c r="BA17" s="25">
        <v>2</v>
      </c>
      <c r="BB17" s="25">
        <v>7.0381231671554261</v>
      </c>
      <c r="BC17" s="24">
        <v>0.3827037773359841</v>
      </c>
      <c r="BD17" s="24">
        <v>0.35106382978723405</v>
      </c>
      <c r="BE17" s="25">
        <v>8.0392102209462504</v>
      </c>
      <c r="BF17" s="24">
        <v>0.65957446808510634</v>
      </c>
      <c r="BG17" s="24">
        <v>0.15957446808510639</v>
      </c>
      <c r="BH17" s="25">
        <v>2.015079511679065</v>
      </c>
      <c r="BI17" s="25">
        <v>5.3124823489720807</v>
      </c>
      <c r="BJ17" s="25">
        <v>3.4140786646400318</v>
      </c>
      <c r="BK17" s="25">
        <v>2.6760855729825144</v>
      </c>
      <c r="BL17" s="25">
        <v>2.2178632744021294</v>
      </c>
      <c r="BM17" s="25">
        <v>0.46202121447409789</v>
      </c>
      <c r="BN17" s="25">
        <v>8.2116788321167888</v>
      </c>
      <c r="BO17" s="26" t="s">
        <v>176</v>
      </c>
      <c r="BP17" s="27"/>
      <c r="BQ17" s="33" t="s">
        <v>267</v>
      </c>
      <c r="BR17" s="33">
        <v>13.54</v>
      </c>
      <c r="BS17" s="33">
        <v>24.24</v>
      </c>
      <c r="BT17" s="33">
        <v>10.7</v>
      </c>
      <c r="BU17" s="36">
        <f t="shared" si="24"/>
        <v>3.3849999999999998</v>
      </c>
      <c r="BV17" s="36">
        <f t="shared" si="25"/>
        <v>6.06</v>
      </c>
      <c r="BW17" s="36">
        <f t="shared" si="26"/>
        <v>2.6749999999999998</v>
      </c>
      <c r="BX17" s="37">
        <f t="shared" si="27"/>
        <v>18.675862068965515</v>
      </c>
      <c r="BY17" s="37">
        <f t="shared" si="28"/>
        <v>33.434482758620689</v>
      </c>
      <c r="BZ17" s="37">
        <f t="shared" si="29"/>
        <v>14.758620689655173</v>
      </c>
      <c r="CA17" s="34">
        <v>3</v>
      </c>
      <c r="CB17" s="34">
        <v>1</v>
      </c>
    </row>
    <row r="18" spans="1:80" x14ac:dyDescent="0.4">
      <c r="A18" s="16" t="s">
        <v>178</v>
      </c>
      <c r="B18" s="16" t="s">
        <v>262</v>
      </c>
      <c r="C18" s="16" t="s">
        <v>221</v>
      </c>
      <c r="D18" s="23">
        <v>34</v>
      </c>
      <c r="E18" s="23">
        <v>11</v>
      </c>
      <c r="F18" s="23">
        <v>22</v>
      </c>
      <c r="G18" s="21">
        <v>23188</v>
      </c>
      <c r="H18" s="21">
        <v>77</v>
      </c>
      <c r="I18" s="22">
        <f t="shared" si="0"/>
        <v>2.2647058823529411</v>
      </c>
      <c r="J18" s="23">
        <v>26</v>
      </c>
      <c r="K18" s="23">
        <v>94</v>
      </c>
      <c r="L18" s="22">
        <f t="shared" si="30"/>
        <v>0.76470588235294112</v>
      </c>
      <c r="M18" s="22">
        <f t="shared" si="31"/>
        <v>2.7647058823529411</v>
      </c>
      <c r="N18" s="24">
        <f t="shared" si="32"/>
        <v>0.27659574468085107</v>
      </c>
      <c r="O18" s="21">
        <v>12</v>
      </c>
      <c r="P18" s="23">
        <v>32</v>
      </c>
      <c r="Q18" s="22">
        <f t="shared" si="3"/>
        <v>0.35294117647058826</v>
      </c>
      <c r="R18" s="22">
        <f t="shared" si="4"/>
        <v>0.94117647058823528</v>
      </c>
      <c r="S18" s="24">
        <f t="shared" si="5"/>
        <v>0.375</v>
      </c>
      <c r="T18" s="23">
        <v>14</v>
      </c>
      <c r="U18" s="23">
        <v>62</v>
      </c>
      <c r="V18" s="22">
        <f t="shared" si="6"/>
        <v>0.41176470588235292</v>
      </c>
      <c r="W18" s="22">
        <f t="shared" si="7"/>
        <v>1.8235294117647058</v>
      </c>
      <c r="X18" s="24">
        <f t="shared" si="8"/>
        <v>0.22580645161290322</v>
      </c>
      <c r="Y18" s="23">
        <v>11</v>
      </c>
      <c r="Z18" s="23">
        <v>15</v>
      </c>
      <c r="AA18" s="22">
        <f t="shared" si="9"/>
        <v>0.3235294117647059</v>
      </c>
      <c r="AB18" s="22">
        <f t="shared" si="10"/>
        <v>0.44117647058823528</v>
      </c>
      <c r="AC18" s="24">
        <f t="shared" si="11"/>
        <v>0.73333333333333328</v>
      </c>
      <c r="AD18" s="23">
        <v>40</v>
      </c>
      <c r="AE18" s="22">
        <f t="shared" si="12"/>
        <v>1.1764705882352942</v>
      </c>
      <c r="AF18" s="23">
        <v>11</v>
      </c>
      <c r="AG18" s="22">
        <f t="shared" si="13"/>
        <v>0.3235294117647059</v>
      </c>
      <c r="AH18" s="23">
        <v>29</v>
      </c>
      <c r="AI18" s="22">
        <f t="shared" si="14"/>
        <v>0.8529411764705882</v>
      </c>
      <c r="AJ18" s="23">
        <v>13</v>
      </c>
      <c r="AK18" s="22">
        <f t="shared" si="15"/>
        <v>0.38235294117647056</v>
      </c>
      <c r="AL18" s="23">
        <v>16</v>
      </c>
      <c r="AM18" s="22">
        <f t="shared" si="16"/>
        <v>0.47058823529411764</v>
      </c>
      <c r="AN18" s="20">
        <v>3</v>
      </c>
      <c r="AO18" s="22">
        <f t="shared" si="17"/>
        <v>8.8235294117647065E-2</v>
      </c>
      <c r="AP18" s="10">
        <v>9</v>
      </c>
      <c r="AQ18" s="22">
        <f t="shared" si="18"/>
        <v>0.26470588235294118</v>
      </c>
      <c r="AR18" s="23">
        <v>30</v>
      </c>
      <c r="AS18" s="22">
        <f t="shared" si="19"/>
        <v>0.88235294117647056</v>
      </c>
      <c r="AT18" s="25">
        <v>0.33820355523707007</v>
      </c>
      <c r="AU18" s="25">
        <v>5.8415871361566618E-2</v>
      </c>
      <c r="AV18" s="25">
        <v>0.20551434976553326</v>
      </c>
      <c r="AW18" s="25">
        <v>0.13268920547153681</v>
      </c>
      <c r="AX18" s="25">
        <v>109.66804016773631</v>
      </c>
      <c r="AY18" s="25">
        <v>112.75055904777049</v>
      </c>
      <c r="AZ18" s="25">
        <v>5.9887770550402859</v>
      </c>
      <c r="BA18" s="25">
        <v>2.1142857142857143</v>
      </c>
      <c r="BB18" s="25">
        <v>12.781576106513132</v>
      </c>
      <c r="BC18" s="24">
        <v>0.49452861952861948</v>
      </c>
      <c r="BD18" s="24">
        <v>0.47727272727272729</v>
      </c>
      <c r="BE18" s="25">
        <v>6.8699337074078599</v>
      </c>
      <c r="BF18" s="24">
        <v>0.38636363636363635</v>
      </c>
      <c r="BG18" s="24">
        <v>0.18181818181818182</v>
      </c>
      <c r="BH18" s="25">
        <v>5.9792535636220112</v>
      </c>
      <c r="BI18" s="25">
        <v>5.3498584516617997</v>
      </c>
      <c r="BJ18" s="25">
        <v>5.2784924039195253</v>
      </c>
      <c r="BK18" s="25">
        <v>5.0194428717188755</v>
      </c>
      <c r="BL18" s="25">
        <v>2.3132337894402917</v>
      </c>
      <c r="BM18" s="25">
        <v>0.52913260834816933</v>
      </c>
      <c r="BN18" s="25">
        <v>12.839325018341892</v>
      </c>
      <c r="BO18" s="26" t="s">
        <v>176</v>
      </c>
      <c r="BP18" s="27"/>
      <c r="BQ18" s="32" t="s">
        <v>268</v>
      </c>
      <c r="BR18" s="32">
        <v>180.77</v>
      </c>
      <c r="BS18" s="32">
        <v>260.67</v>
      </c>
      <c r="BT18" s="32">
        <v>79.900000000000006</v>
      </c>
      <c r="BU18" s="36">
        <f t="shared" si="24"/>
        <v>5.3167647058823526</v>
      </c>
      <c r="BV18" s="36">
        <f t="shared" si="25"/>
        <v>7.6667647058823531</v>
      </c>
      <c r="BW18" s="36">
        <f t="shared" si="26"/>
        <v>2.35</v>
      </c>
      <c r="BX18" s="37">
        <f t="shared" si="27"/>
        <v>18.710022425392445</v>
      </c>
      <c r="BY18" s="37">
        <f t="shared" si="28"/>
        <v>26.97981714680007</v>
      </c>
      <c r="BZ18" s="37">
        <f t="shared" si="29"/>
        <v>8.2697947214076244</v>
      </c>
      <c r="CA18" s="35">
        <v>17</v>
      </c>
      <c r="CB18" s="35">
        <v>17</v>
      </c>
    </row>
    <row r="19" spans="1:80" x14ac:dyDescent="0.4">
      <c r="A19" s="16" t="s">
        <v>178</v>
      </c>
      <c r="B19" s="16" t="s">
        <v>262</v>
      </c>
      <c r="C19" s="16" t="s">
        <v>104</v>
      </c>
      <c r="D19" s="23">
        <v>35</v>
      </c>
      <c r="E19" s="23">
        <v>6</v>
      </c>
      <c r="F19" s="23">
        <v>37</v>
      </c>
      <c r="G19" s="21">
        <v>13895</v>
      </c>
      <c r="H19" s="21">
        <v>47</v>
      </c>
      <c r="I19" s="22">
        <f t="shared" si="0"/>
        <v>1.3428571428571427</v>
      </c>
      <c r="J19" s="23">
        <v>19</v>
      </c>
      <c r="K19" s="23">
        <v>44</v>
      </c>
      <c r="L19" s="22">
        <f t="shared" si="30"/>
        <v>0.54285714285714282</v>
      </c>
      <c r="M19" s="22">
        <f t="shared" si="31"/>
        <v>1.2571428571428571</v>
      </c>
      <c r="N19" s="24">
        <f t="shared" si="32"/>
        <v>0.43181818181818182</v>
      </c>
      <c r="O19" s="21">
        <v>15</v>
      </c>
      <c r="P19" s="23">
        <v>27</v>
      </c>
      <c r="Q19" s="22">
        <f t="shared" si="3"/>
        <v>0.42857142857142855</v>
      </c>
      <c r="R19" s="22">
        <f t="shared" si="4"/>
        <v>0.77142857142857146</v>
      </c>
      <c r="S19" s="24">
        <f t="shared" si="5"/>
        <v>0.55555555555555558</v>
      </c>
      <c r="T19" s="23">
        <v>4</v>
      </c>
      <c r="U19" s="23">
        <v>17</v>
      </c>
      <c r="V19" s="22">
        <f t="shared" si="6"/>
        <v>0.11428571428571428</v>
      </c>
      <c r="W19" s="22">
        <f t="shared" si="7"/>
        <v>0.48571428571428571</v>
      </c>
      <c r="X19" s="24">
        <f t="shared" si="8"/>
        <v>0.23529411764705882</v>
      </c>
      <c r="Y19" s="23">
        <v>5</v>
      </c>
      <c r="Z19" s="23">
        <v>8</v>
      </c>
      <c r="AA19" s="22">
        <f t="shared" si="9"/>
        <v>0.14285714285714285</v>
      </c>
      <c r="AB19" s="22">
        <f t="shared" si="10"/>
        <v>0.22857142857142856</v>
      </c>
      <c r="AC19" s="24">
        <f t="shared" si="11"/>
        <v>0.625</v>
      </c>
      <c r="AD19" s="23">
        <v>36</v>
      </c>
      <c r="AE19" s="22">
        <f t="shared" si="12"/>
        <v>1.0285714285714285</v>
      </c>
      <c r="AF19" s="23">
        <v>19</v>
      </c>
      <c r="AG19" s="22">
        <f t="shared" si="13"/>
        <v>0.54285714285714282</v>
      </c>
      <c r="AH19" s="23">
        <v>17</v>
      </c>
      <c r="AI19" s="22">
        <f t="shared" si="14"/>
        <v>0.48571428571428571</v>
      </c>
      <c r="AJ19" s="23">
        <v>14</v>
      </c>
      <c r="AK19" s="22">
        <f t="shared" si="15"/>
        <v>0.4</v>
      </c>
      <c r="AL19" s="23">
        <v>10</v>
      </c>
      <c r="AM19" s="22">
        <f t="shared" si="16"/>
        <v>0.2857142857142857</v>
      </c>
      <c r="AN19" s="20">
        <v>2</v>
      </c>
      <c r="AO19" s="22">
        <f t="shared" si="17"/>
        <v>5.7142857142857141E-2</v>
      </c>
      <c r="AP19" s="10">
        <v>7</v>
      </c>
      <c r="AQ19" s="22">
        <f t="shared" si="18"/>
        <v>0.2</v>
      </c>
      <c r="AR19" s="23">
        <v>23</v>
      </c>
      <c r="AS19" s="22">
        <f t="shared" si="19"/>
        <v>0.65714285714285714</v>
      </c>
      <c r="AT19" s="25">
        <v>-1.6875970341374946E-2</v>
      </c>
      <c r="AU19" s="25">
        <v>-9.8629803529282534E-4</v>
      </c>
      <c r="AV19" s="25">
        <v>-0.18218272398487664</v>
      </c>
      <c r="AW19" s="25">
        <v>0.1653067536435017</v>
      </c>
      <c r="AX19" s="25">
        <v>96.771328694056834</v>
      </c>
      <c r="AY19" s="25">
        <v>115.10881452201087</v>
      </c>
      <c r="AZ19" s="25">
        <v>5.3031248854074837</v>
      </c>
      <c r="BA19" s="25">
        <v>3.4651162790697674</v>
      </c>
      <c r="BB19" s="25">
        <v>8.7081456227931326</v>
      </c>
      <c r="BC19" s="24">
        <v>0.46759590183464378</v>
      </c>
      <c r="BD19" s="24">
        <v>0.44871794871794873</v>
      </c>
      <c r="BE19" s="25">
        <v>10.155863271950111</v>
      </c>
      <c r="BF19" s="24">
        <v>0.58333333333333337</v>
      </c>
      <c r="BG19" s="24">
        <v>0.17307692307692307</v>
      </c>
      <c r="BH19" s="25">
        <v>5.3636985536001918</v>
      </c>
      <c r="BI19" s="25">
        <v>4.8404108898343194</v>
      </c>
      <c r="BJ19" s="25">
        <v>4.7543279749788256</v>
      </c>
      <c r="BK19" s="25">
        <v>3.6327973485624905</v>
      </c>
      <c r="BL19" s="25">
        <v>1.8002552553227216</v>
      </c>
      <c r="BM19" s="25">
        <v>0.32994604007469619</v>
      </c>
      <c r="BN19" s="25">
        <v>13.410356921807304</v>
      </c>
      <c r="BO19" s="26" t="s">
        <v>176</v>
      </c>
      <c r="BP19" s="27"/>
      <c r="BQ19" s="33" t="s">
        <v>268</v>
      </c>
      <c r="BR19" s="33">
        <v>146.81</v>
      </c>
      <c r="BS19" s="33">
        <v>183.41</v>
      </c>
      <c r="BT19" s="33">
        <v>36.6</v>
      </c>
      <c r="BU19" s="36">
        <f t="shared" si="24"/>
        <v>4.1945714285714288</v>
      </c>
      <c r="BV19" s="36">
        <f t="shared" si="25"/>
        <v>5.2402857142857142</v>
      </c>
      <c r="BW19" s="36">
        <f t="shared" si="26"/>
        <v>1.0457142857142858</v>
      </c>
      <c r="BX19" s="37">
        <f t="shared" si="27"/>
        <v>25.357610651313422</v>
      </c>
      <c r="BY19" s="37">
        <f t="shared" si="28"/>
        <v>31.679309103994242</v>
      </c>
      <c r="BZ19" s="37">
        <f t="shared" si="29"/>
        <v>6.3216984526808204</v>
      </c>
      <c r="CA19" s="34">
        <v>18</v>
      </c>
      <c r="CB19" s="34">
        <v>17</v>
      </c>
    </row>
    <row r="20" spans="1:80" x14ac:dyDescent="0.4">
      <c r="A20" s="16" t="s">
        <v>178</v>
      </c>
      <c r="B20" s="16" t="s">
        <v>262</v>
      </c>
      <c r="C20" s="16" t="s">
        <v>116</v>
      </c>
      <c r="D20" s="23">
        <v>43</v>
      </c>
      <c r="E20" s="23">
        <v>15</v>
      </c>
      <c r="F20" s="23">
        <v>55</v>
      </c>
      <c r="G20" s="21">
        <v>41065</v>
      </c>
      <c r="H20" s="21">
        <v>157</v>
      </c>
      <c r="I20" s="22">
        <f t="shared" si="0"/>
        <v>3.6511627906976742</v>
      </c>
      <c r="J20" s="23">
        <v>56</v>
      </c>
      <c r="K20" s="23">
        <v>156</v>
      </c>
      <c r="L20" s="22">
        <f t="shared" si="30"/>
        <v>1.3023255813953489</v>
      </c>
      <c r="M20" s="22">
        <f t="shared" si="31"/>
        <v>3.6279069767441858</v>
      </c>
      <c r="N20" s="24">
        <f t="shared" si="32"/>
        <v>0.35897435897435898</v>
      </c>
      <c r="O20" s="21">
        <v>28</v>
      </c>
      <c r="P20" s="23">
        <v>65</v>
      </c>
      <c r="Q20" s="22">
        <f t="shared" si="3"/>
        <v>0.65116279069767447</v>
      </c>
      <c r="R20" s="22">
        <f t="shared" si="4"/>
        <v>1.5116279069767442</v>
      </c>
      <c r="S20" s="24">
        <f t="shared" si="5"/>
        <v>0.43076923076923079</v>
      </c>
      <c r="T20" s="23">
        <v>28</v>
      </c>
      <c r="U20" s="23">
        <v>91</v>
      </c>
      <c r="V20" s="22">
        <f t="shared" si="6"/>
        <v>0.65116279069767447</v>
      </c>
      <c r="W20" s="22">
        <f t="shared" si="7"/>
        <v>2.1162790697674421</v>
      </c>
      <c r="X20" s="24">
        <f t="shared" si="8"/>
        <v>0.30769230769230771</v>
      </c>
      <c r="Y20" s="23">
        <v>17</v>
      </c>
      <c r="Z20" s="23">
        <v>27</v>
      </c>
      <c r="AA20" s="22">
        <f t="shared" si="9"/>
        <v>0.39534883720930231</v>
      </c>
      <c r="AB20" s="22">
        <f t="shared" si="10"/>
        <v>0.62790697674418605</v>
      </c>
      <c r="AC20" s="24">
        <f t="shared" si="11"/>
        <v>0.62962962962962965</v>
      </c>
      <c r="AD20" s="23">
        <v>78</v>
      </c>
      <c r="AE20" s="22">
        <f t="shared" si="12"/>
        <v>1.8139534883720929</v>
      </c>
      <c r="AF20" s="23">
        <v>41</v>
      </c>
      <c r="AG20" s="22">
        <f t="shared" si="13"/>
        <v>0.95348837209302328</v>
      </c>
      <c r="AH20" s="23">
        <v>37</v>
      </c>
      <c r="AI20" s="22">
        <f t="shared" si="14"/>
        <v>0.86046511627906974</v>
      </c>
      <c r="AJ20" s="23">
        <v>24</v>
      </c>
      <c r="AK20" s="22">
        <f t="shared" si="15"/>
        <v>0.55813953488372092</v>
      </c>
      <c r="AL20" s="23">
        <v>23</v>
      </c>
      <c r="AM20" s="22">
        <f t="shared" si="16"/>
        <v>0.53488372093023251</v>
      </c>
      <c r="AN20" s="20">
        <v>3</v>
      </c>
      <c r="AO20" s="22">
        <f t="shared" si="17"/>
        <v>6.9767441860465115E-2</v>
      </c>
      <c r="AP20" s="10">
        <v>26</v>
      </c>
      <c r="AQ20" s="22">
        <f t="shared" si="18"/>
        <v>0.60465116279069764</v>
      </c>
      <c r="AR20" s="23">
        <v>47</v>
      </c>
      <c r="AS20" s="22">
        <f t="shared" si="19"/>
        <v>1.0930232558139534</v>
      </c>
      <c r="AT20" s="25">
        <v>1.8896919293624221</v>
      </c>
      <c r="AU20" s="25">
        <v>6.9550678298212085E-2</v>
      </c>
      <c r="AV20" s="25">
        <v>1.6015965215479235</v>
      </c>
      <c r="AW20" s="25">
        <v>0.28809540781449849</v>
      </c>
      <c r="AX20" s="25">
        <v>112.87120036153404</v>
      </c>
      <c r="AY20" s="25">
        <v>114.94120340407906</v>
      </c>
      <c r="AZ20" s="25">
        <v>8.6037232079942232</v>
      </c>
      <c r="BA20" s="25">
        <v>8.2727272727272734</v>
      </c>
      <c r="BB20" s="25">
        <v>13.397129186602871</v>
      </c>
      <c r="BC20" s="24">
        <v>0.5686352753391859</v>
      </c>
      <c r="BD20" s="24">
        <v>0.53846153846153844</v>
      </c>
      <c r="BE20" s="25">
        <v>11.771067720094866</v>
      </c>
      <c r="BF20" s="24">
        <v>0.63003663003663002</v>
      </c>
      <c r="BG20" s="24">
        <v>0.23076923076923078</v>
      </c>
      <c r="BH20" s="25">
        <v>1.1802220081898978</v>
      </c>
      <c r="BI20" s="25">
        <v>6.2383163290037453</v>
      </c>
      <c r="BJ20" s="25">
        <v>3.4564666858474382</v>
      </c>
      <c r="BK20" s="25">
        <v>12.13497907719</v>
      </c>
      <c r="BL20" s="25">
        <v>1.6759309274096386</v>
      </c>
      <c r="BM20" s="25">
        <v>0</v>
      </c>
      <c r="BN20" s="25">
        <v>13.764624913971094</v>
      </c>
      <c r="BO20" s="26" t="s">
        <v>176</v>
      </c>
      <c r="BP20" s="27"/>
      <c r="BQ20" s="32" t="s">
        <v>268</v>
      </c>
      <c r="BR20" s="32">
        <v>352.4</v>
      </c>
      <c r="BS20" s="32">
        <v>493.1</v>
      </c>
      <c r="BT20" s="32">
        <v>140.69999999999999</v>
      </c>
      <c r="BU20" s="36">
        <f t="shared" si="24"/>
        <v>8.1953488372093037</v>
      </c>
      <c r="BV20" s="36">
        <f t="shared" si="25"/>
        <v>11.467441860465117</v>
      </c>
      <c r="BW20" s="36">
        <f t="shared" si="26"/>
        <v>3.2720930232558136</v>
      </c>
      <c r="BX20" s="37">
        <f t="shared" si="27"/>
        <v>20.595641056861073</v>
      </c>
      <c r="BY20" s="37">
        <f t="shared" si="28"/>
        <v>28.818702057713381</v>
      </c>
      <c r="BZ20" s="37">
        <f t="shared" si="29"/>
        <v>8.223061000852308</v>
      </c>
      <c r="CA20" s="35">
        <v>20</v>
      </c>
      <c r="CB20" s="35">
        <v>23</v>
      </c>
    </row>
    <row r="21" spans="1:80" x14ac:dyDescent="0.4">
      <c r="A21" s="16" t="s">
        <v>178</v>
      </c>
      <c r="B21" s="16" t="s">
        <v>262</v>
      </c>
      <c r="C21" s="16" t="s">
        <v>119</v>
      </c>
      <c r="D21" s="23">
        <v>44</v>
      </c>
      <c r="E21" s="23">
        <v>24</v>
      </c>
      <c r="F21" s="23">
        <v>42</v>
      </c>
      <c r="G21" s="21">
        <v>65208</v>
      </c>
      <c r="H21" s="21">
        <v>342</v>
      </c>
      <c r="I21" s="22">
        <f t="shared" si="0"/>
        <v>7.7727272727272725</v>
      </c>
      <c r="J21" s="23">
        <v>115</v>
      </c>
      <c r="K21" s="23">
        <v>273</v>
      </c>
      <c r="L21" s="22">
        <f t="shared" si="30"/>
        <v>2.6136363636363638</v>
      </c>
      <c r="M21" s="22">
        <f t="shared" si="31"/>
        <v>6.2045454545454541</v>
      </c>
      <c r="N21" s="24">
        <f t="shared" si="32"/>
        <v>0.42124542124542125</v>
      </c>
      <c r="O21" s="21">
        <v>51</v>
      </c>
      <c r="P21" s="23">
        <v>101</v>
      </c>
      <c r="Q21" s="22">
        <f t="shared" si="3"/>
        <v>1.1590909090909092</v>
      </c>
      <c r="R21" s="22">
        <f t="shared" si="4"/>
        <v>2.2954545454545454</v>
      </c>
      <c r="S21" s="24">
        <f t="shared" si="5"/>
        <v>0.50495049504950495</v>
      </c>
      <c r="T21" s="23">
        <v>64</v>
      </c>
      <c r="U21" s="23">
        <v>172</v>
      </c>
      <c r="V21" s="22">
        <f t="shared" si="6"/>
        <v>1.4545454545454546</v>
      </c>
      <c r="W21" s="22">
        <f t="shared" si="7"/>
        <v>3.9090909090909092</v>
      </c>
      <c r="X21" s="24">
        <f t="shared" si="8"/>
        <v>0.37209302325581395</v>
      </c>
      <c r="Y21" s="23">
        <v>48</v>
      </c>
      <c r="Z21" s="23">
        <v>63</v>
      </c>
      <c r="AA21" s="22">
        <f t="shared" si="9"/>
        <v>1.0909090909090908</v>
      </c>
      <c r="AB21" s="22">
        <f t="shared" si="10"/>
        <v>1.4318181818181819</v>
      </c>
      <c r="AC21" s="24">
        <f t="shared" si="11"/>
        <v>0.76190476190476186</v>
      </c>
      <c r="AD21" s="23">
        <v>88</v>
      </c>
      <c r="AE21" s="22">
        <f t="shared" si="12"/>
        <v>2</v>
      </c>
      <c r="AF21" s="23">
        <v>14</v>
      </c>
      <c r="AG21" s="22">
        <f t="shared" si="13"/>
        <v>0.31818181818181818</v>
      </c>
      <c r="AH21" s="23">
        <v>74</v>
      </c>
      <c r="AI21" s="22">
        <f t="shared" si="14"/>
        <v>1.6818181818181819</v>
      </c>
      <c r="AJ21" s="23">
        <v>121</v>
      </c>
      <c r="AK21" s="22">
        <f t="shared" si="15"/>
        <v>2.75</v>
      </c>
      <c r="AL21" s="23">
        <v>34</v>
      </c>
      <c r="AM21" s="22">
        <f t="shared" si="16"/>
        <v>0.77272727272727271</v>
      </c>
      <c r="AN21" s="20">
        <v>0</v>
      </c>
      <c r="AO21" s="22">
        <f t="shared" si="17"/>
        <v>0</v>
      </c>
      <c r="AP21" s="10">
        <v>48</v>
      </c>
      <c r="AQ21" s="22">
        <f t="shared" si="18"/>
        <v>1.0909090909090908</v>
      </c>
      <c r="AR21" s="23">
        <v>90</v>
      </c>
      <c r="AS21" s="22">
        <f t="shared" si="19"/>
        <v>2.0454545454545454</v>
      </c>
      <c r="AT21" s="25">
        <v>0.56664446814765179</v>
      </c>
      <c r="AU21" s="25">
        <v>6.5678871996250568E-2</v>
      </c>
      <c r="AV21" s="25">
        <v>4.4692722703885975E-2</v>
      </c>
      <c r="AW21" s="25">
        <v>0.52195174544376577</v>
      </c>
      <c r="AX21" s="25">
        <v>100.18967933469204</v>
      </c>
      <c r="AY21" s="25">
        <v>106.06576353368393</v>
      </c>
      <c r="AZ21" s="25">
        <v>5.9118920636975067</v>
      </c>
      <c r="BA21" s="25">
        <v>10.095238095238095</v>
      </c>
      <c r="BB21" s="25">
        <v>24.572587655751956</v>
      </c>
      <c r="BC21" s="24">
        <v>0.55598159509202461</v>
      </c>
      <c r="BD21" s="24">
        <v>0.51449275362318836</v>
      </c>
      <c r="BE21" s="25">
        <v>9.8670024667506162</v>
      </c>
      <c r="BF21" s="24">
        <v>0.18115942028985507</v>
      </c>
      <c r="BG21" s="24">
        <v>0.30434782608695654</v>
      </c>
      <c r="BH21" s="25">
        <v>2.6608859271867571</v>
      </c>
      <c r="BI21" s="25">
        <v>10.770252562422588</v>
      </c>
      <c r="BJ21" s="25">
        <v>6.2578746152169664</v>
      </c>
      <c r="BK21" s="25">
        <v>5.1935654197575589</v>
      </c>
      <c r="BL21" s="25">
        <v>1.5523222015006692</v>
      </c>
      <c r="BM21" s="25">
        <v>0.74566912707888566</v>
      </c>
      <c r="BN21" s="25">
        <v>19.539284245166598</v>
      </c>
      <c r="BO21" s="26" t="s">
        <v>176</v>
      </c>
      <c r="BP21" s="26"/>
      <c r="BQ21" s="32" t="s">
        <v>267</v>
      </c>
      <c r="BR21" s="32">
        <v>700.52</v>
      </c>
      <c r="BS21" s="32">
        <v>931.72</v>
      </c>
      <c r="BT21" s="32">
        <v>231.2</v>
      </c>
      <c r="BU21" s="36">
        <f t="shared" si="24"/>
        <v>15.920909090909092</v>
      </c>
      <c r="BV21" s="36">
        <f t="shared" si="25"/>
        <v>21.175454545454546</v>
      </c>
      <c r="BW21" s="36">
        <f t="shared" si="26"/>
        <v>5.254545454545454</v>
      </c>
      <c r="BX21" s="37">
        <f t="shared" si="27"/>
        <v>25.782848730217154</v>
      </c>
      <c r="BY21" s="37">
        <f t="shared" si="28"/>
        <v>34.292234081707768</v>
      </c>
      <c r="BZ21" s="37">
        <f t="shared" si="29"/>
        <v>8.5093853514906144</v>
      </c>
      <c r="CA21" s="34">
        <v>22</v>
      </c>
      <c r="CB21" s="34">
        <v>22</v>
      </c>
    </row>
    <row r="22" spans="1:80" x14ac:dyDescent="0.4">
      <c r="A22" s="16" t="s">
        <v>178</v>
      </c>
      <c r="B22" s="16" t="s">
        <v>257</v>
      </c>
      <c r="C22" s="16" t="s">
        <v>150</v>
      </c>
      <c r="D22" s="29">
        <v>53</v>
      </c>
      <c r="E22" s="29">
        <v>30</v>
      </c>
      <c r="F22" s="29">
        <v>26</v>
      </c>
      <c r="G22" s="21">
        <v>96778</v>
      </c>
      <c r="H22" s="21">
        <v>702</v>
      </c>
      <c r="I22" s="22">
        <f t="shared" si="0"/>
        <v>13.245283018867925</v>
      </c>
      <c r="J22" s="23">
        <v>249</v>
      </c>
      <c r="K22" s="23">
        <v>566</v>
      </c>
      <c r="L22" s="22">
        <f t="shared" si="30"/>
        <v>4.6981132075471699</v>
      </c>
      <c r="M22" s="22">
        <f t="shared" si="31"/>
        <v>10.679245283018869</v>
      </c>
      <c r="N22" s="24">
        <f t="shared" si="32"/>
        <v>0.43992932862190814</v>
      </c>
      <c r="O22" s="21">
        <v>137</v>
      </c>
      <c r="P22" s="23">
        <v>259</v>
      </c>
      <c r="Q22" s="22">
        <f t="shared" si="3"/>
        <v>2.5849056603773586</v>
      </c>
      <c r="R22" s="22">
        <f t="shared" si="4"/>
        <v>4.8867924528301883</v>
      </c>
      <c r="S22" s="24">
        <f t="shared" si="5"/>
        <v>0.52895752895752901</v>
      </c>
      <c r="T22" s="23">
        <v>112</v>
      </c>
      <c r="U22" s="23">
        <v>307</v>
      </c>
      <c r="V22" s="22">
        <f t="shared" si="6"/>
        <v>2.1132075471698113</v>
      </c>
      <c r="W22" s="22">
        <f t="shared" si="7"/>
        <v>5.7924528301886795</v>
      </c>
      <c r="X22" s="24">
        <f t="shared" si="8"/>
        <v>0.36482084690553745</v>
      </c>
      <c r="Y22" s="15">
        <v>92</v>
      </c>
      <c r="Z22" s="15">
        <v>112</v>
      </c>
      <c r="AA22" s="22">
        <f t="shared" si="9"/>
        <v>1.7358490566037736</v>
      </c>
      <c r="AB22" s="22">
        <f t="shared" si="10"/>
        <v>2.1132075471698113</v>
      </c>
      <c r="AC22" s="24">
        <f t="shared" si="11"/>
        <v>0.8214285714285714</v>
      </c>
      <c r="AD22" s="23">
        <v>125</v>
      </c>
      <c r="AE22" s="22">
        <f t="shared" si="12"/>
        <v>2.358490566037736</v>
      </c>
      <c r="AF22" s="23">
        <v>26</v>
      </c>
      <c r="AG22" s="22">
        <f t="shared" si="13"/>
        <v>0.49056603773584906</v>
      </c>
      <c r="AH22" s="23">
        <v>99</v>
      </c>
      <c r="AI22" s="22">
        <f t="shared" si="14"/>
        <v>1.8679245283018868</v>
      </c>
      <c r="AJ22" s="23">
        <v>302</v>
      </c>
      <c r="AK22" s="22">
        <f t="shared" si="15"/>
        <v>5.6981132075471699</v>
      </c>
      <c r="AL22" s="23">
        <v>44</v>
      </c>
      <c r="AM22" s="22">
        <f t="shared" si="16"/>
        <v>0.83018867924528306</v>
      </c>
      <c r="AN22" s="8">
        <v>2</v>
      </c>
      <c r="AO22" s="22">
        <f t="shared" si="17"/>
        <v>3.7735849056603772E-2</v>
      </c>
      <c r="AP22" s="12">
        <v>94</v>
      </c>
      <c r="AQ22" s="22">
        <f t="shared" si="18"/>
        <v>1.7735849056603774</v>
      </c>
      <c r="AR22" s="23">
        <v>101</v>
      </c>
      <c r="AS22" s="22">
        <f t="shared" si="19"/>
        <v>1.9056603773584906</v>
      </c>
      <c r="AT22" s="25">
        <v>4.3434784145154195</v>
      </c>
      <c r="AU22" s="25">
        <v>0.10771402792821723</v>
      </c>
      <c r="AV22" s="25">
        <v>4.5327233860160092</v>
      </c>
      <c r="AW22" s="25">
        <v>-0.18924497150058958</v>
      </c>
      <c r="AX22" s="25">
        <v>117.17399476542471</v>
      </c>
      <c r="AY22" s="25">
        <v>117.66269282467539</v>
      </c>
      <c r="AZ22" s="25">
        <v>15.965171043648192</v>
      </c>
      <c r="BA22" s="25">
        <v>14.037735849056604</v>
      </c>
      <c r="BB22" s="25">
        <v>18.450474281344931</v>
      </c>
      <c r="BC22" s="24">
        <v>0.57047198023664025</v>
      </c>
      <c r="BD22" s="24">
        <v>0.53886925795053009</v>
      </c>
      <c r="BE22" s="25">
        <v>19.431402448212054</v>
      </c>
      <c r="BF22" s="24">
        <v>0.54240282685512364</v>
      </c>
      <c r="BG22" s="24">
        <v>0.19787985865724381</v>
      </c>
      <c r="BH22" s="25">
        <v>1.7789201384592841</v>
      </c>
      <c r="BI22" s="25">
        <v>6.7735805272103518</v>
      </c>
      <c r="BJ22" s="25">
        <v>3.9848056703253381</v>
      </c>
      <c r="BK22" s="25">
        <v>26.933964963549215</v>
      </c>
      <c r="BL22" s="25">
        <v>1.4613495569117008</v>
      </c>
      <c r="BM22" s="25">
        <v>0.11504142689716494</v>
      </c>
      <c r="BN22" s="25">
        <v>13.252876156101964</v>
      </c>
      <c r="BO22" s="26" t="s">
        <v>176</v>
      </c>
      <c r="BP22" s="27"/>
      <c r="BQ22" s="32" t="s">
        <v>267</v>
      </c>
      <c r="BR22" s="32">
        <v>1298.22</v>
      </c>
      <c r="BS22" s="32">
        <v>1752.72</v>
      </c>
      <c r="BT22" s="32">
        <v>454.5</v>
      </c>
      <c r="BU22" s="36">
        <f t="shared" si="24"/>
        <v>24.494716981132076</v>
      </c>
      <c r="BV22" s="36">
        <f t="shared" si="25"/>
        <v>33.070188679245284</v>
      </c>
      <c r="BW22" s="36">
        <f t="shared" si="26"/>
        <v>8.5754716981132084</v>
      </c>
      <c r="BX22" s="37">
        <f t="shared" si="27"/>
        <v>32.194589679472607</v>
      </c>
      <c r="BY22" s="37">
        <f t="shared" si="28"/>
        <v>43.465746347310336</v>
      </c>
      <c r="BZ22" s="37">
        <f t="shared" si="29"/>
        <v>11.271156667837731</v>
      </c>
      <c r="CA22" s="34">
        <v>26</v>
      </c>
      <c r="CB22" s="34">
        <v>27</v>
      </c>
    </row>
    <row r="23" spans="1:80" x14ac:dyDescent="0.4">
      <c r="A23" s="16" t="s">
        <v>178</v>
      </c>
      <c r="B23" s="16" t="s">
        <v>257</v>
      </c>
      <c r="C23" s="16" t="s">
        <v>109</v>
      </c>
      <c r="D23" s="23">
        <v>39</v>
      </c>
      <c r="E23" s="23">
        <v>26</v>
      </c>
      <c r="F23" s="23">
        <v>25</v>
      </c>
      <c r="G23" s="21">
        <v>61815</v>
      </c>
      <c r="H23" s="21">
        <v>511</v>
      </c>
      <c r="I23" s="22">
        <f t="shared" si="0"/>
        <v>13.102564102564102</v>
      </c>
      <c r="J23" s="23">
        <v>180</v>
      </c>
      <c r="K23" s="23">
        <v>428</v>
      </c>
      <c r="L23" s="22">
        <f t="shared" si="30"/>
        <v>4.615384615384615</v>
      </c>
      <c r="M23" s="22">
        <f t="shared" si="31"/>
        <v>10.974358974358974</v>
      </c>
      <c r="N23" s="24">
        <f t="shared" si="32"/>
        <v>0.42056074766355139</v>
      </c>
      <c r="O23" s="21">
        <v>103</v>
      </c>
      <c r="P23" s="23">
        <v>199</v>
      </c>
      <c r="Q23" s="22">
        <f t="shared" si="3"/>
        <v>2.641025641025641</v>
      </c>
      <c r="R23" s="22">
        <f t="shared" si="4"/>
        <v>5.1025641025641022</v>
      </c>
      <c r="S23" s="24">
        <f t="shared" si="5"/>
        <v>0.51758793969849248</v>
      </c>
      <c r="T23" s="23">
        <v>77</v>
      </c>
      <c r="U23" s="23">
        <v>229</v>
      </c>
      <c r="V23" s="22">
        <f t="shared" si="6"/>
        <v>1.9743589743589745</v>
      </c>
      <c r="W23" s="22">
        <f t="shared" si="7"/>
        <v>5.8717948717948714</v>
      </c>
      <c r="X23" s="24">
        <f t="shared" si="8"/>
        <v>0.33624454148471616</v>
      </c>
      <c r="Y23" s="23">
        <v>74</v>
      </c>
      <c r="Z23" s="23">
        <v>90</v>
      </c>
      <c r="AA23" s="22">
        <f t="shared" si="9"/>
        <v>1.8974358974358974</v>
      </c>
      <c r="AB23" s="22">
        <f t="shared" si="10"/>
        <v>2.3076923076923075</v>
      </c>
      <c r="AC23" s="24">
        <f t="shared" si="11"/>
        <v>0.82222222222222219</v>
      </c>
      <c r="AD23" s="23">
        <v>93</v>
      </c>
      <c r="AE23" s="22">
        <f t="shared" si="12"/>
        <v>2.3846153846153846</v>
      </c>
      <c r="AF23" s="23">
        <v>25</v>
      </c>
      <c r="AG23" s="22">
        <f t="shared" si="13"/>
        <v>0.64102564102564108</v>
      </c>
      <c r="AH23" s="23">
        <v>68</v>
      </c>
      <c r="AI23" s="22">
        <f t="shared" si="14"/>
        <v>1.7435897435897436</v>
      </c>
      <c r="AJ23" s="23">
        <v>174</v>
      </c>
      <c r="AK23" s="22">
        <f t="shared" si="15"/>
        <v>4.4615384615384617</v>
      </c>
      <c r="AL23" s="23">
        <v>57</v>
      </c>
      <c r="AM23" s="22">
        <f t="shared" si="16"/>
        <v>1.4615384615384615</v>
      </c>
      <c r="AN23" s="23">
        <v>1</v>
      </c>
      <c r="AO23" s="22">
        <f t="shared" si="17"/>
        <v>2.564102564102564E-2</v>
      </c>
      <c r="AP23" s="9">
        <v>89</v>
      </c>
      <c r="AQ23" s="22">
        <f t="shared" si="18"/>
        <v>2.2820512820512819</v>
      </c>
      <c r="AR23" s="23">
        <v>69</v>
      </c>
      <c r="AS23" s="22">
        <f t="shared" si="19"/>
        <v>1.7692307692307692</v>
      </c>
      <c r="AT23" s="25">
        <v>1.8315237779244369</v>
      </c>
      <c r="AU23" s="25">
        <v>7.1109877327811183E-2</v>
      </c>
      <c r="AV23" s="25">
        <v>1.4172593213094027</v>
      </c>
      <c r="AW23" s="25">
        <v>0.41426445661503419</v>
      </c>
      <c r="AX23" s="25">
        <v>106.72609612097044</v>
      </c>
      <c r="AY23" s="25">
        <v>113.96453569698656</v>
      </c>
      <c r="AZ23" s="25">
        <v>12.037979348747797</v>
      </c>
      <c r="BA23" s="25">
        <v>12.384615384615385</v>
      </c>
      <c r="BB23" s="25">
        <v>18.752729919922349</v>
      </c>
      <c r="BC23" s="24">
        <v>0.54640718562874246</v>
      </c>
      <c r="BD23" s="24">
        <v>0.51051401869158874</v>
      </c>
      <c r="BE23" s="25">
        <v>17.567143193047627</v>
      </c>
      <c r="BF23" s="24">
        <v>0.53504672897196259</v>
      </c>
      <c r="BG23" s="24">
        <v>0.2102803738317757</v>
      </c>
      <c r="BH23" s="25">
        <v>1.9705824877618616</v>
      </c>
      <c r="BI23" s="25">
        <v>5.359984366712264</v>
      </c>
      <c r="BJ23" s="25">
        <v>3.4154787599914611</v>
      </c>
      <c r="BK23" s="25">
        <v>17.23778525830879</v>
      </c>
      <c r="BL23" s="25">
        <v>2.9638693840387491</v>
      </c>
      <c r="BM23" s="25">
        <v>6.6266765146442655E-2</v>
      </c>
      <c r="BN23" s="25">
        <v>15.989938914840099</v>
      </c>
      <c r="BO23" s="26" t="s">
        <v>176</v>
      </c>
      <c r="BP23" s="26"/>
      <c r="BQ23" s="32" t="s">
        <v>267</v>
      </c>
      <c r="BR23" s="32">
        <v>822.98</v>
      </c>
      <c r="BS23" s="32">
        <v>1202.08</v>
      </c>
      <c r="BT23" s="32">
        <v>379.1</v>
      </c>
      <c r="BU23" s="36">
        <f t="shared" si="24"/>
        <v>21.102051282051278</v>
      </c>
      <c r="BV23" s="36">
        <f t="shared" si="25"/>
        <v>30.822564102564101</v>
      </c>
      <c r="BW23" s="36">
        <f t="shared" si="26"/>
        <v>9.7205128205128215</v>
      </c>
      <c r="BX23" s="37">
        <f t="shared" si="27"/>
        <v>31.952632856102888</v>
      </c>
      <c r="BY23" s="37">
        <f t="shared" si="28"/>
        <v>46.671390439213781</v>
      </c>
      <c r="BZ23" s="37">
        <f t="shared" si="29"/>
        <v>14.718757583110895</v>
      </c>
      <c r="CA23" s="35">
        <v>17</v>
      </c>
      <c r="CB23" s="35">
        <v>22</v>
      </c>
    </row>
    <row r="24" spans="1:80" x14ac:dyDescent="0.4">
      <c r="A24" s="16" t="s">
        <v>178</v>
      </c>
      <c r="B24" s="16" t="s">
        <v>257</v>
      </c>
      <c r="C24" s="16" t="s">
        <v>234</v>
      </c>
      <c r="D24" s="23">
        <v>22</v>
      </c>
      <c r="E24" s="23">
        <v>19</v>
      </c>
      <c r="F24" s="23">
        <v>10</v>
      </c>
      <c r="G24" s="21">
        <v>25300</v>
      </c>
      <c r="H24" s="21">
        <v>229</v>
      </c>
      <c r="I24" s="22">
        <f t="shared" si="0"/>
        <v>10.409090909090908</v>
      </c>
      <c r="J24" s="23">
        <v>89</v>
      </c>
      <c r="K24" s="23">
        <v>174</v>
      </c>
      <c r="L24" s="22">
        <f t="shared" si="30"/>
        <v>4.0454545454545459</v>
      </c>
      <c r="M24" s="22">
        <f t="shared" si="31"/>
        <v>7.9090909090909092</v>
      </c>
      <c r="N24" s="24">
        <f t="shared" si="32"/>
        <v>0.5114942528735632</v>
      </c>
      <c r="O24" s="21">
        <v>68</v>
      </c>
      <c r="P24" s="23">
        <v>119</v>
      </c>
      <c r="Q24" s="22">
        <f t="shared" si="3"/>
        <v>3.0909090909090908</v>
      </c>
      <c r="R24" s="22">
        <f t="shared" si="4"/>
        <v>5.4090909090909092</v>
      </c>
      <c r="S24" s="24">
        <f t="shared" si="5"/>
        <v>0.5714285714285714</v>
      </c>
      <c r="T24" s="23">
        <v>21</v>
      </c>
      <c r="U24" s="23">
        <v>55</v>
      </c>
      <c r="V24" s="22">
        <f t="shared" si="6"/>
        <v>0.95454545454545459</v>
      </c>
      <c r="W24" s="22">
        <f t="shared" si="7"/>
        <v>2.5</v>
      </c>
      <c r="X24" s="24">
        <f t="shared" si="8"/>
        <v>0.38181818181818183</v>
      </c>
      <c r="Y24" s="23">
        <v>30</v>
      </c>
      <c r="Z24" s="23">
        <v>42</v>
      </c>
      <c r="AA24" s="22">
        <f t="shared" si="9"/>
        <v>1.3636363636363635</v>
      </c>
      <c r="AB24" s="22">
        <f t="shared" si="10"/>
        <v>1.9090909090909092</v>
      </c>
      <c r="AC24" s="24">
        <f t="shared" si="11"/>
        <v>0.7142857142857143</v>
      </c>
      <c r="AD24" s="23">
        <v>113</v>
      </c>
      <c r="AE24" s="22">
        <f t="shared" si="12"/>
        <v>5.1363636363636367</v>
      </c>
      <c r="AF24" s="23">
        <v>18</v>
      </c>
      <c r="AG24" s="22">
        <f t="shared" si="13"/>
        <v>0.81818181818181823</v>
      </c>
      <c r="AH24" s="23">
        <v>95</v>
      </c>
      <c r="AI24" s="22">
        <f t="shared" si="14"/>
        <v>4.3181818181818183</v>
      </c>
      <c r="AJ24" s="23">
        <v>23</v>
      </c>
      <c r="AK24" s="22">
        <f t="shared" si="15"/>
        <v>1.0454545454545454</v>
      </c>
      <c r="AL24" s="23">
        <v>6</v>
      </c>
      <c r="AM24" s="22">
        <f t="shared" si="16"/>
        <v>0.27272727272727271</v>
      </c>
      <c r="AN24" s="23">
        <v>15</v>
      </c>
      <c r="AO24" s="22">
        <f t="shared" si="17"/>
        <v>0.68181818181818177</v>
      </c>
      <c r="AP24" s="10">
        <v>20</v>
      </c>
      <c r="AQ24" s="22">
        <f t="shared" si="18"/>
        <v>0.90909090909090906</v>
      </c>
      <c r="AR24" s="23">
        <v>28</v>
      </c>
      <c r="AS24" s="22">
        <f t="shared" si="19"/>
        <v>1.2727272727272727</v>
      </c>
      <c r="AT24" s="25">
        <v>1.3829117665580153</v>
      </c>
      <c r="AU24" s="25">
        <v>0.13118530591854691</v>
      </c>
      <c r="AV24" s="25">
        <v>0.98326673240724094</v>
      </c>
      <c r="AW24" s="25">
        <v>0.39964503415077446</v>
      </c>
      <c r="AX24" s="25">
        <v>113.7967886842028</v>
      </c>
      <c r="AY24" s="25">
        <v>110.07951778758903</v>
      </c>
      <c r="AZ24" s="25">
        <v>8.4091076954433994</v>
      </c>
      <c r="BA24" s="25">
        <v>12.227272727272727</v>
      </c>
      <c r="BB24" s="25">
        <v>25.51778656126482</v>
      </c>
      <c r="BC24" s="24">
        <v>0.59486699916874486</v>
      </c>
      <c r="BD24" s="24">
        <v>0.57183908045977017</v>
      </c>
      <c r="BE24" s="25">
        <v>9.242882310720578</v>
      </c>
      <c r="BF24" s="24">
        <v>0.31609195402298851</v>
      </c>
      <c r="BG24" s="24">
        <v>0.2413793103448276</v>
      </c>
      <c r="BH24" s="25">
        <v>1.9555032478555101</v>
      </c>
      <c r="BI24" s="25">
        <v>10.320711585904082</v>
      </c>
      <c r="BJ24" s="25">
        <v>5.7197692688945363</v>
      </c>
      <c r="BK24" s="25">
        <v>2.9716562138300446</v>
      </c>
      <c r="BL24" s="25">
        <v>0.76226996452820994</v>
      </c>
      <c r="BM24" s="25">
        <v>1.3699933403101512</v>
      </c>
      <c r="BN24" s="25">
        <v>9.4126506024096397</v>
      </c>
      <c r="BO24" s="26" t="s">
        <v>249</v>
      </c>
      <c r="BP24" s="27"/>
      <c r="BQ24" s="33" t="s">
        <v>266</v>
      </c>
      <c r="BR24" s="33">
        <v>390.7</v>
      </c>
      <c r="BS24" s="33">
        <v>511.9</v>
      </c>
      <c r="BT24" s="33">
        <v>121.2</v>
      </c>
      <c r="BU24" s="36">
        <f t="shared" si="24"/>
        <v>17.759090909090908</v>
      </c>
      <c r="BV24" s="36">
        <f t="shared" si="25"/>
        <v>23.268181818181816</v>
      </c>
      <c r="BW24" s="36">
        <f t="shared" si="26"/>
        <v>5.5090909090909088</v>
      </c>
      <c r="BX24" s="37">
        <f t="shared" si="27"/>
        <v>37.062450592885376</v>
      </c>
      <c r="BY24" s="37">
        <f t="shared" si="28"/>
        <v>48.559683794466402</v>
      </c>
      <c r="BZ24" s="37">
        <f t="shared" si="29"/>
        <v>11.497233201581027</v>
      </c>
      <c r="CA24" s="35">
        <v>14</v>
      </c>
      <c r="CB24" s="35">
        <v>8</v>
      </c>
    </row>
    <row r="25" spans="1:80" x14ac:dyDescent="0.4">
      <c r="A25" s="16" t="s">
        <v>178</v>
      </c>
      <c r="B25" s="16" t="s">
        <v>257</v>
      </c>
      <c r="C25" s="16" t="s">
        <v>148</v>
      </c>
      <c r="D25" s="39">
        <v>16</v>
      </c>
      <c r="E25" s="39">
        <v>4</v>
      </c>
      <c r="F25" s="39">
        <v>25</v>
      </c>
      <c r="G25" s="21">
        <v>4240</v>
      </c>
      <c r="H25" s="21">
        <v>17</v>
      </c>
      <c r="I25" s="22">
        <f t="shared" si="0"/>
        <v>1.0625</v>
      </c>
      <c r="J25" s="23">
        <v>4</v>
      </c>
      <c r="K25" s="23">
        <v>15</v>
      </c>
      <c r="L25" s="22">
        <f t="shared" si="30"/>
        <v>0.25</v>
      </c>
      <c r="M25" s="22">
        <f t="shared" si="31"/>
        <v>0.9375</v>
      </c>
      <c r="N25" s="24">
        <f t="shared" si="32"/>
        <v>0.26666666666666666</v>
      </c>
      <c r="O25" s="21">
        <v>1</v>
      </c>
      <c r="P25" s="23">
        <v>5</v>
      </c>
      <c r="Q25" s="22">
        <f t="shared" si="3"/>
        <v>6.25E-2</v>
      </c>
      <c r="R25" s="22">
        <f t="shared" si="4"/>
        <v>0.3125</v>
      </c>
      <c r="S25" s="24">
        <f t="shared" si="5"/>
        <v>0.2</v>
      </c>
      <c r="T25" s="23">
        <v>3</v>
      </c>
      <c r="U25" s="23">
        <v>10</v>
      </c>
      <c r="V25" s="22">
        <f t="shared" si="6"/>
        <v>0.1875</v>
      </c>
      <c r="W25" s="22">
        <f t="shared" si="7"/>
        <v>0.625</v>
      </c>
      <c r="X25" s="24">
        <f t="shared" si="8"/>
        <v>0.3</v>
      </c>
      <c r="Y25" s="23">
        <v>6</v>
      </c>
      <c r="Z25" s="23">
        <v>8</v>
      </c>
      <c r="AA25" s="22">
        <f t="shared" si="9"/>
        <v>0.375</v>
      </c>
      <c r="AB25" s="22">
        <f t="shared" si="10"/>
        <v>0.5</v>
      </c>
      <c r="AC25" s="24">
        <f t="shared" si="11"/>
        <v>0.75</v>
      </c>
      <c r="AD25" s="23">
        <v>13</v>
      </c>
      <c r="AE25" s="22">
        <f t="shared" si="12"/>
        <v>0.8125</v>
      </c>
      <c r="AF25" s="23">
        <v>5</v>
      </c>
      <c r="AG25" s="22">
        <f t="shared" si="13"/>
        <v>0.3125</v>
      </c>
      <c r="AH25" s="23">
        <v>8</v>
      </c>
      <c r="AI25" s="22">
        <f t="shared" si="14"/>
        <v>0.5</v>
      </c>
      <c r="AJ25" s="23">
        <v>7</v>
      </c>
      <c r="AK25" s="22">
        <f t="shared" si="15"/>
        <v>0.4375</v>
      </c>
      <c r="AL25" s="23">
        <v>1</v>
      </c>
      <c r="AM25" s="22">
        <f t="shared" si="16"/>
        <v>6.25E-2</v>
      </c>
      <c r="AN25" s="23">
        <v>0</v>
      </c>
      <c r="AO25" s="22">
        <f t="shared" si="17"/>
        <v>0</v>
      </c>
      <c r="AP25" s="10">
        <v>0</v>
      </c>
      <c r="AQ25" s="22">
        <f t="shared" si="18"/>
        <v>0</v>
      </c>
      <c r="AR25" s="23">
        <v>16</v>
      </c>
      <c r="AS25" s="22">
        <f t="shared" si="19"/>
        <v>1</v>
      </c>
      <c r="AT25" s="25">
        <v>0.17661969736076538</v>
      </c>
      <c r="AU25" s="25">
        <v>9.9973413600433228E-2</v>
      </c>
      <c r="AV25" s="25">
        <v>0.17258460113149671</v>
      </c>
      <c r="AW25" s="25">
        <v>4.0350962292686711E-3</v>
      </c>
      <c r="AX25" s="25">
        <v>124.2664986937552</v>
      </c>
      <c r="AY25" s="25">
        <v>116.42082527759945</v>
      </c>
      <c r="AZ25" s="25">
        <v>1.6990409657666146</v>
      </c>
      <c r="BA25" s="25">
        <v>1.5625</v>
      </c>
      <c r="BB25" s="25">
        <v>14.150943396226413</v>
      </c>
      <c r="BC25" s="24">
        <v>0.45896328293736505</v>
      </c>
      <c r="BD25" s="24">
        <v>0.36666666666666664</v>
      </c>
      <c r="BE25" s="25">
        <v>3.4960876664747467</v>
      </c>
      <c r="BF25" s="24">
        <v>0.66666666666666663</v>
      </c>
      <c r="BG25" s="24">
        <v>0.53333333333333333</v>
      </c>
      <c r="BH25" s="25">
        <v>2.3572628249830569</v>
      </c>
      <c r="BI25" s="25">
        <v>3.7716205199728918</v>
      </c>
      <c r="BJ25" s="25">
        <v>2.855586928367785</v>
      </c>
      <c r="BK25" s="25">
        <v>3.5923150118140126</v>
      </c>
      <c r="BL25" s="25">
        <v>0.75807508264794476</v>
      </c>
      <c r="BM25" s="25">
        <v>0</v>
      </c>
      <c r="BN25" s="25">
        <v>0</v>
      </c>
      <c r="BO25" s="26" t="s">
        <v>176</v>
      </c>
      <c r="BP25" s="27"/>
      <c r="BQ25" s="32" t="s">
        <v>268</v>
      </c>
      <c r="BR25" s="32">
        <v>52.74</v>
      </c>
      <c r="BS25" s="32">
        <v>64.64</v>
      </c>
      <c r="BT25" s="32">
        <v>11.9</v>
      </c>
      <c r="BU25" s="36">
        <f t="shared" si="24"/>
        <v>3.2962500000000001</v>
      </c>
      <c r="BV25" s="36">
        <f t="shared" si="25"/>
        <v>4.04</v>
      </c>
      <c r="BW25" s="36">
        <f t="shared" si="26"/>
        <v>0.74375000000000002</v>
      </c>
      <c r="BX25" s="37">
        <f t="shared" si="27"/>
        <v>29.852830188679246</v>
      </c>
      <c r="BY25" s="37">
        <f t="shared" si="28"/>
        <v>36.588679245283018</v>
      </c>
      <c r="BZ25" s="37">
        <f t="shared" si="29"/>
        <v>6.7358490566037732</v>
      </c>
      <c r="CA25" s="34">
        <v>10</v>
      </c>
      <c r="CB25" s="34">
        <v>6</v>
      </c>
    </row>
    <row r="26" spans="1:80" x14ac:dyDescent="0.4">
      <c r="A26" s="16" t="s">
        <v>178</v>
      </c>
      <c r="B26" s="16" t="s">
        <v>257</v>
      </c>
      <c r="C26" s="16" t="s">
        <v>147</v>
      </c>
      <c r="D26" s="23">
        <v>50</v>
      </c>
      <c r="E26" s="23">
        <v>13</v>
      </c>
      <c r="F26" s="23">
        <v>57</v>
      </c>
      <c r="G26" s="21">
        <v>41850</v>
      </c>
      <c r="H26" s="21">
        <v>180</v>
      </c>
      <c r="I26" s="22">
        <f t="shared" si="0"/>
        <v>3.6</v>
      </c>
      <c r="J26" s="23">
        <v>66</v>
      </c>
      <c r="K26" s="23">
        <v>147</v>
      </c>
      <c r="L26" s="22">
        <f t="shared" si="30"/>
        <v>1.32</v>
      </c>
      <c r="M26" s="22">
        <f t="shared" si="31"/>
        <v>2.94</v>
      </c>
      <c r="N26" s="24">
        <f t="shared" si="32"/>
        <v>0.44897959183673469</v>
      </c>
      <c r="O26" s="21">
        <v>47</v>
      </c>
      <c r="P26" s="23">
        <v>97</v>
      </c>
      <c r="Q26" s="22">
        <f t="shared" si="3"/>
        <v>0.94</v>
      </c>
      <c r="R26" s="22">
        <f t="shared" si="4"/>
        <v>1.94</v>
      </c>
      <c r="S26" s="24">
        <f t="shared" si="5"/>
        <v>0.4845360824742268</v>
      </c>
      <c r="T26" s="23">
        <v>19</v>
      </c>
      <c r="U26" s="23">
        <v>50</v>
      </c>
      <c r="V26" s="22">
        <f t="shared" si="6"/>
        <v>0.38</v>
      </c>
      <c r="W26" s="22">
        <f t="shared" si="7"/>
        <v>1</v>
      </c>
      <c r="X26" s="24">
        <f t="shared" si="8"/>
        <v>0.38</v>
      </c>
      <c r="Y26" s="23">
        <v>29</v>
      </c>
      <c r="Z26" s="23">
        <v>40</v>
      </c>
      <c r="AA26" s="22">
        <f t="shared" si="9"/>
        <v>0.57999999999999996</v>
      </c>
      <c r="AB26" s="22">
        <f t="shared" si="10"/>
        <v>0.8</v>
      </c>
      <c r="AC26" s="24">
        <f t="shared" si="11"/>
        <v>0.72499999999999998</v>
      </c>
      <c r="AD26" s="23">
        <v>106</v>
      </c>
      <c r="AE26" s="22">
        <f t="shared" si="12"/>
        <v>2.12</v>
      </c>
      <c r="AF26" s="23">
        <v>50</v>
      </c>
      <c r="AG26" s="22">
        <f t="shared" si="13"/>
        <v>1</v>
      </c>
      <c r="AH26" s="23">
        <v>56</v>
      </c>
      <c r="AI26" s="22">
        <f t="shared" si="14"/>
        <v>1.1200000000000001</v>
      </c>
      <c r="AJ26" s="23">
        <v>51</v>
      </c>
      <c r="AK26" s="22">
        <f t="shared" si="15"/>
        <v>1.02</v>
      </c>
      <c r="AL26" s="23">
        <v>25</v>
      </c>
      <c r="AM26" s="22">
        <f t="shared" si="16"/>
        <v>0.5</v>
      </c>
      <c r="AN26" s="23">
        <v>3</v>
      </c>
      <c r="AO26" s="22">
        <f t="shared" si="17"/>
        <v>0.06</v>
      </c>
      <c r="AP26" s="10">
        <v>40</v>
      </c>
      <c r="AQ26" s="22">
        <f t="shared" si="18"/>
        <v>0.8</v>
      </c>
      <c r="AR26" s="23">
        <v>117</v>
      </c>
      <c r="AS26" s="22">
        <f t="shared" si="19"/>
        <v>2.34</v>
      </c>
      <c r="AT26" s="25">
        <v>0.70259020929563287</v>
      </c>
      <c r="AU26" s="25">
        <v>4.0291911644193996E-2</v>
      </c>
      <c r="AV26" s="25">
        <v>0.54307665658365289</v>
      </c>
      <c r="AW26" s="25">
        <v>0.15951355271197998</v>
      </c>
      <c r="AX26" s="25">
        <v>106.62353691133029</v>
      </c>
      <c r="AY26" s="25">
        <v>115.19914084560894</v>
      </c>
      <c r="AZ26" s="25">
        <v>6.4760801281741083</v>
      </c>
      <c r="BA26" s="25">
        <v>4.66</v>
      </c>
      <c r="BB26" s="25">
        <v>13.362007168458781</v>
      </c>
      <c r="BC26" s="24">
        <v>0.54678007290400976</v>
      </c>
      <c r="BD26" s="24">
        <v>0.51360544217687076</v>
      </c>
      <c r="BE26" s="25">
        <v>12.22833639041743</v>
      </c>
      <c r="BF26" s="24">
        <v>0.3401360544217687</v>
      </c>
      <c r="BG26" s="24">
        <v>0.27210884353741499</v>
      </c>
      <c r="BH26" s="25">
        <v>7.4632574506632032</v>
      </c>
      <c r="BI26" s="25">
        <v>8.3588483447427873</v>
      </c>
      <c r="BJ26" s="25">
        <v>7.3718809684634756</v>
      </c>
      <c r="BK26" s="25">
        <v>9.0731388390385135</v>
      </c>
      <c r="BL26" s="25">
        <v>1.9200945940425838</v>
      </c>
      <c r="BM26" s="25">
        <v>0.37646173031222796</v>
      </c>
      <c r="BN26" s="25">
        <v>19.550342130987293</v>
      </c>
      <c r="BO26" s="26" t="s">
        <v>176</v>
      </c>
      <c r="BP26" s="27"/>
      <c r="BQ26" s="33" t="s">
        <v>268</v>
      </c>
      <c r="BR26" s="33">
        <v>458.23</v>
      </c>
      <c r="BS26" s="33">
        <v>604.92999999999995</v>
      </c>
      <c r="BT26" s="33">
        <v>146.69999999999999</v>
      </c>
      <c r="BU26" s="36">
        <f t="shared" si="24"/>
        <v>9.1646000000000001</v>
      </c>
      <c r="BV26" s="36">
        <f t="shared" si="25"/>
        <v>12.098599999999999</v>
      </c>
      <c r="BW26" s="36">
        <f t="shared" si="26"/>
        <v>2.9339999999999997</v>
      </c>
      <c r="BX26" s="37">
        <f t="shared" si="27"/>
        <v>26.278422939068093</v>
      </c>
      <c r="BY26" s="37">
        <f t="shared" si="28"/>
        <v>34.691326164874546</v>
      </c>
      <c r="BZ26" s="37">
        <f t="shared" si="29"/>
        <v>8.4129032258064509</v>
      </c>
      <c r="CA26" s="35">
        <v>25</v>
      </c>
      <c r="CB26" s="35">
        <v>25</v>
      </c>
    </row>
    <row r="27" spans="1:80" x14ac:dyDescent="0.4">
      <c r="A27" s="16" t="s">
        <v>178</v>
      </c>
      <c r="B27" s="16" t="s">
        <v>257</v>
      </c>
      <c r="C27" s="16" t="s">
        <v>144</v>
      </c>
      <c r="D27" s="29">
        <v>41</v>
      </c>
      <c r="E27" s="29">
        <v>23</v>
      </c>
      <c r="F27" s="29">
        <v>43</v>
      </c>
      <c r="G27" s="21">
        <v>58343</v>
      </c>
      <c r="H27" s="21">
        <v>855</v>
      </c>
      <c r="I27" s="22">
        <f t="shared" si="0"/>
        <v>20.853658536585368</v>
      </c>
      <c r="J27" s="23">
        <v>342</v>
      </c>
      <c r="K27" s="23">
        <v>657</v>
      </c>
      <c r="L27" s="22">
        <f t="shared" si="30"/>
        <v>8.3414634146341466</v>
      </c>
      <c r="M27" s="22">
        <f t="shared" si="31"/>
        <v>16.024390243902438</v>
      </c>
      <c r="N27" s="24">
        <f t="shared" si="32"/>
        <v>0.52054794520547942</v>
      </c>
      <c r="O27" s="21">
        <v>267</v>
      </c>
      <c r="P27" s="23">
        <v>460</v>
      </c>
      <c r="Q27" s="22">
        <f t="shared" si="3"/>
        <v>6.5121951219512191</v>
      </c>
      <c r="R27" s="22">
        <f t="shared" si="4"/>
        <v>11.219512195121951</v>
      </c>
      <c r="S27" s="24">
        <f t="shared" si="5"/>
        <v>0.58043478260869563</v>
      </c>
      <c r="T27" s="23">
        <v>75</v>
      </c>
      <c r="U27" s="23">
        <v>197</v>
      </c>
      <c r="V27" s="22">
        <f t="shared" si="6"/>
        <v>1.8292682926829269</v>
      </c>
      <c r="W27" s="22">
        <f t="shared" si="7"/>
        <v>4.8048780487804876</v>
      </c>
      <c r="X27" s="24">
        <f t="shared" si="8"/>
        <v>0.38071065989847713</v>
      </c>
      <c r="Y27" s="15">
        <v>96</v>
      </c>
      <c r="Z27" s="15">
        <v>123</v>
      </c>
      <c r="AA27" s="22">
        <f t="shared" si="9"/>
        <v>2.3414634146341462</v>
      </c>
      <c r="AB27" s="22">
        <f t="shared" si="10"/>
        <v>3</v>
      </c>
      <c r="AC27" s="24">
        <f t="shared" si="11"/>
        <v>0.78048780487804881</v>
      </c>
      <c r="AD27" s="23">
        <v>312</v>
      </c>
      <c r="AE27" s="22">
        <f t="shared" si="12"/>
        <v>7.6097560975609753</v>
      </c>
      <c r="AF27" s="23">
        <v>49</v>
      </c>
      <c r="AG27" s="22">
        <f t="shared" si="13"/>
        <v>1.1951219512195121</v>
      </c>
      <c r="AH27" s="23">
        <v>263</v>
      </c>
      <c r="AI27" s="22">
        <f t="shared" si="14"/>
        <v>6.4146341463414638</v>
      </c>
      <c r="AJ27" s="23">
        <v>38</v>
      </c>
      <c r="AK27" s="22">
        <f t="shared" si="15"/>
        <v>0.92682926829268297</v>
      </c>
      <c r="AL27" s="23">
        <v>25</v>
      </c>
      <c r="AM27" s="22">
        <f t="shared" si="16"/>
        <v>0.6097560975609756</v>
      </c>
      <c r="AN27" s="13">
        <v>15</v>
      </c>
      <c r="AO27" s="22">
        <f t="shared" si="17"/>
        <v>0.36585365853658536</v>
      </c>
      <c r="AP27" s="12">
        <v>63</v>
      </c>
      <c r="AQ27" s="22">
        <f t="shared" si="18"/>
        <v>1.5365853658536586</v>
      </c>
      <c r="AR27" s="23">
        <v>54</v>
      </c>
      <c r="AS27" s="22">
        <f t="shared" si="19"/>
        <v>1.3170731707317074</v>
      </c>
      <c r="AT27" s="25">
        <v>4.0780669419892224</v>
      </c>
      <c r="AU27" s="25">
        <v>0.16775552612608424</v>
      </c>
      <c r="AV27" s="25">
        <v>2.8324996250674555</v>
      </c>
      <c r="AW27" s="25">
        <v>1.2455673169217674</v>
      </c>
      <c r="AX27" s="25">
        <v>111.42527077908468</v>
      </c>
      <c r="AY27" s="25">
        <v>107.70747231656381</v>
      </c>
      <c r="AZ27" s="25">
        <v>23.189492285188717</v>
      </c>
      <c r="BA27" s="25">
        <v>20.487804878048781</v>
      </c>
      <c r="BB27" s="25">
        <v>34.554273863188385</v>
      </c>
      <c r="BC27" s="24">
        <v>0.60116436044549437</v>
      </c>
      <c r="BD27" s="24">
        <v>0.57762557077625576</v>
      </c>
      <c r="BE27" s="25">
        <v>27.213888040295618</v>
      </c>
      <c r="BF27" s="24">
        <v>0.29984779299847791</v>
      </c>
      <c r="BG27" s="24">
        <v>0.18721461187214611</v>
      </c>
      <c r="BH27" s="25">
        <v>4.3020460692066056</v>
      </c>
      <c r="BI27" s="25">
        <v>23.09057380002729</v>
      </c>
      <c r="BJ27" s="25">
        <v>12.762848112733037</v>
      </c>
      <c r="BK27" s="25">
        <v>5.235292530580824</v>
      </c>
      <c r="BL27" s="25">
        <v>1.3773024829145253</v>
      </c>
      <c r="BM27" s="25">
        <v>1.1071625729843109</v>
      </c>
      <c r="BN27" s="25">
        <v>8.1382731359479141</v>
      </c>
      <c r="BO27" s="26" t="s">
        <v>249</v>
      </c>
      <c r="BP27" s="27"/>
      <c r="BQ27" s="33" t="s">
        <v>268</v>
      </c>
      <c r="BR27" s="33">
        <v>1117.1600000000001</v>
      </c>
      <c r="BS27" s="33">
        <v>1536.06</v>
      </c>
      <c r="BT27" s="33">
        <v>418.9</v>
      </c>
      <c r="BU27" s="36">
        <f t="shared" si="24"/>
        <v>27.247804878048775</v>
      </c>
      <c r="BV27" s="36">
        <f t="shared" si="25"/>
        <v>37.464878048780484</v>
      </c>
      <c r="BW27" s="36">
        <f t="shared" si="26"/>
        <v>10.217073170731707</v>
      </c>
      <c r="BX27" s="37">
        <f t="shared" si="27"/>
        <v>45.955538796428023</v>
      </c>
      <c r="BY27" s="37">
        <f t="shared" si="28"/>
        <v>63.187426083677565</v>
      </c>
      <c r="BZ27" s="37">
        <f t="shared" si="29"/>
        <v>17.231887287249542</v>
      </c>
      <c r="CA27" s="35">
        <v>24</v>
      </c>
      <c r="CB27" s="35">
        <v>17</v>
      </c>
    </row>
    <row r="28" spans="1:80" x14ac:dyDescent="0.4">
      <c r="A28" s="16" t="s">
        <v>178</v>
      </c>
      <c r="B28" s="16" t="s">
        <v>257</v>
      </c>
      <c r="C28" s="16" t="s">
        <v>152</v>
      </c>
      <c r="D28" s="23">
        <v>28</v>
      </c>
      <c r="E28" s="23">
        <v>6</v>
      </c>
      <c r="F28" s="23">
        <v>44</v>
      </c>
      <c r="G28" s="21">
        <v>11312</v>
      </c>
      <c r="H28" s="21">
        <v>49</v>
      </c>
      <c r="I28" s="22">
        <f t="shared" si="0"/>
        <v>1.75</v>
      </c>
      <c r="J28" s="23">
        <v>17</v>
      </c>
      <c r="K28" s="23">
        <v>43</v>
      </c>
      <c r="L28" s="22">
        <f t="shared" si="30"/>
        <v>0.6071428571428571</v>
      </c>
      <c r="M28" s="22">
        <f t="shared" si="31"/>
        <v>1.5357142857142858</v>
      </c>
      <c r="N28" s="24">
        <f t="shared" si="32"/>
        <v>0.39534883720930231</v>
      </c>
      <c r="O28" s="21">
        <v>8</v>
      </c>
      <c r="P28" s="23">
        <v>19</v>
      </c>
      <c r="Q28" s="22">
        <f t="shared" si="3"/>
        <v>0.2857142857142857</v>
      </c>
      <c r="R28" s="22">
        <f t="shared" si="4"/>
        <v>0.6785714285714286</v>
      </c>
      <c r="S28" s="24">
        <f t="shared" si="5"/>
        <v>0.42105263157894735</v>
      </c>
      <c r="T28" s="23">
        <v>9</v>
      </c>
      <c r="U28" s="23">
        <v>24</v>
      </c>
      <c r="V28" s="22">
        <f t="shared" si="6"/>
        <v>0.32142857142857145</v>
      </c>
      <c r="W28" s="22">
        <f t="shared" si="7"/>
        <v>0.8571428571428571</v>
      </c>
      <c r="X28" s="24">
        <f t="shared" si="8"/>
        <v>0.375</v>
      </c>
      <c r="Y28" s="23">
        <v>6</v>
      </c>
      <c r="Z28" s="23">
        <v>8</v>
      </c>
      <c r="AA28" s="22">
        <f t="shared" si="9"/>
        <v>0.21428571428571427</v>
      </c>
      <c r="AB28" s="22">
        <f t="shared" si="10"/>
        <v>0.2857142857142857</v>
      </c>
      <c r="AC28" s="24">
        <f t="shared" si="11"/>
        <v>0.75</v>
      </c>
      <c r="AD28" s="23">
        <v>23</v>
      </c>
      <c r="AE28" s="22">
        <f t="shared" si="12"/>
        <v>0.8214285714285714</v>
      </c>
      <c r="AF28" s="23">
        <v>4</v>
      </c>
      <c r="AG28" s="22">
        <f t="shared" si="13"/>
        <v>0.14285714285714285</v>
      </c>
      <c r="AH28" s="23">
        <v>19</v>
      </c>
      <c r="AI28" s="22">
        <f t="shared" si="14"/>
        <v>0.6785714285714286</v>
      </c>
      <c r="AJ28" s="23">
        <v>26</v>
      </c>
      <c r="AK28" s="22">
        <f t="shared" si="15"/>
        <v>0.9285714285714286</v>
      </c>
      <c r="AL28" s="23">
        <v>4</v>
      </c>
      <c r="AM28" s="22">
        <f t="shared" si="16"/>
        <v>0.14285714285714285</v>
      </c>
      <c r="AN28" s="23">
        <v>0</v>
      </c>
      <c r="AO28" s="22">
        <f t="shared" si="17"/>
        <v>0</v>
      </c>
      <c r="AP28" s="10">
        <v>15</v>
      </c>
      <c r="AQ28" s="22">
        <f t="shared" si="18"/>
        <v>0.5357142857142857</v>
      </c>
      <c r="AR28" s="23">
        <v>28</v>
      </c>
      <c r="AS28" s="22">
        <f t="shared" si="19"/>
        <v>1</v>
      </c>
      <c r="AT28" s="25">
        <v>-4.2804020160585564E-3</v>
      </c>
      <c r="AU28" s="25">
        <v>-9.0814752815952403E-4</v>
      </c>
      <c r="AV28" s="25">
        <v>-1.5896050512480889E-2</v>
      </c>
      <c r="AW28" s="25">
        <v>1.1615648496422333E-2</v>
      </c>
      <c r="AX28" s="25">
        <v>98.829117030718692</v>
      </c>
      <c r="AY28" s="25">
        <v>116.38871439716104</v>
      </c>
      <c r="AZ28" s="25">
        <v>2.8471300683702507</v>
      </c>
      <c r="BA28" s="25">
        <v>2.1071428571428572</v>
      </c>
      <c r="BB28" s="25">
        <v>12.517680339462519</v>
      </c>
      <c r="BC28" s="24">
        <v>0.52665520206362848</v>
      </c>
      <c r="BD28" s="24">
        <v>0.5</v>
      </c>
      <c r="BE28" s="25">
        <v>7.617670221249238</v>
      </c>
      <c r="BF28" s="24">
        <v>0.55813953488372092</v>
      </c>
      <c r="BG28" s="24">
        <v>0.18604651162790697</v>
      </c>
      <c r="BH28" s="25">
        <v>1.2369795022188319</v>
      </c>
      <c r="BI28" s="25">
        <v>5.8756526355394518</v>
      </c>
      <c r="BJ28" s="25">
        <v>3.3139379909371001</v>
      </c>
      <c r="BK28" s="25">
        <v>9.0855615284710041</v>
      </c>
      <c r="BL28" s="25">
        <v>1.1365765029799453</v>
      </c>
      <c r="BM28" s="25">
        <v>0</v>
      </c>
      <c r="BN28" s="25">
        <v>24.382314694408322</v>
      </c>
      <c r="BO28" s="26" t="s">
        <v>176</v>
      </c>
      <c r="BP28" s="27"/>
      <c r="BQ28" s="33" t="s">
        <v>267</v>
      </c>
      <c r="BR28" s="33">
        <v>117.04</v>
      </c>
      <c r="BS28" s="33">
        <v>165.64</v>
      </c>
      <c r="BT28" s="33">
        <v>48.6</v>
      </c>
      <c r="BU28" s="36">
        <f t="shared" si="24"/>
        <v>4.18</v>
      </c>
      <c r="BV28" s="36">
        <f t="shared" si="25"/>
        <v>5.9157142857142855</v>
      </c>
      <c r="BW28" s="36">
        <f t="shared" si="26"/>
        <v>1.7357142857142858</v>
      </c>
      <c r="BX28" s="37">
        <f t="shared" si="27"/>
        <v>24.831683168316829</v>
      </c>
      <c r="BY28" s="37">
        <f t="shared" si="28"/>
        <v>35.142857142857139</v>
      </c>
      <c r="BZ28" s="37">
        <f t="shared" si="29"/>
        <v>10.311173974540312</v>
      </c>
      <c r="CA28" s="35">
        <v>13</v>
      </c>
      <c r="CB28" s="35">
        <v>15</v>
      </c>
    </row>
    <row r="29" spans="1:80" x14ac:dyDescent="0.4">
      <c r="A29" s="16" t="s">
        <v>178</v>
      </c>
      <c r="B29" s="16" t="s">
        <v>257</v>
      </c>
      <c r="C29" s="16" t="s">
        <v>146</v>
      </c>
      <c r="D29" s="23">
        <v>47</v>
      </c>
      <c r="E29" s="23">
        <v>27</v>
      </c>
      <c r="F29" s="23">
        <v>33</v>
      </c>
      <c r="G29" s="21">
        <v>77691</v>
      </c>
      <c r="H29" s="21">
        <v>598</v>
      </c>
      <c r="I29" s="22">
        <f t="shared" si="0"/>
        <v>12.723404255319149</v>
      </c>
      <c r="J29" s="23">
        <v>251</v>
      </c>
      <c r="K29" s="23">
        <v>480</v>
      </c>
      <c r="L29" s="22">
        <f t="shared" si="30"/>
        <v>5.3404255319148932</v>
      </c>
      <c r="M29" s="22">
        <f t="shared" si="31"/>
        <v>10.212765957446809</v>
      </c>
      <c r="N29" s="24">
        <f t="shared" si="32"/>
        <v>0.5229166666666667</v>
      </c>
      <c r="O29" s="21">
        <v>225</v>
      </c>
      <c r="P29" s="23">
        <v>406</v>
      </c>
      <c r="Q29" s="22">
        <f t="shared" si="3"/>
        <v>4.7872340425531918</v>
      </c>
      <c r="R29" s="22">
        <f t="shared" si="4"/>
        <v>8.6382978723404253</v>
      </c>
      <c r="S29" s="24">
        <f t="shared" si="5"/>
        <v>0.55418719211822665</v>
      </c>
      <c r="T29" s="23">
        <v>26</v>
      </c>
      <c r="U29" s="23">
        <v>74</v>
      </c>
      <c r="V29" s="22">
        <f t="shared" si="6"/>
        <v>0.55319148936170215</v>
      </c>
      <c r="W29" s="22">
        <f t="shared" si="7"/>
        <v>1.574468085106383</v>
      </c>
      <c r="X29" s="24">
        <f t="shared" si="8"/>
        <v>0.35135135135135137</v>
      </c>
      <c r="Y29" s="23">
        <v>70</v>
      </c>
      <c r="Z29" s="23">
        <v>111</v>
      </c>
      <c r="AA29" s="22">
        <f t="shared" si="9"/>
        <v>1.4893617021276595</v>
      </c>
      <c r="AB29" s="22">
        <f t="shared" si="10"/>
        <v>2.3617021276595747</v>
      </c>
      <c r="AC29" s="24">
        <f t="shared" si="11"/>
        <v>0.63063063063063063</v>
      </c>
      <c r="AD29" s="23">
        <v>256</v>
      </c>
      <c r="AE29" s="22">
        <f t="shared" si="12"/>
        <v>5.4468085106382977</v>
      </c>
      <c r="AF29" s="23">
        <v>83</v>
      </c>
      <c r="AG29" s="22">
        <f t="shared" si="13"/>
        <v>1.7659574468085106</v>
      </c>
      <c r="AH29" s="23">
        <v>173</v>
      </c>
      <c r="AI29" s="22">
        <f t="shared" si="14"/>
        <v>3.6808510638297873</v>
      </c>
      <c r="AJ29" s="23">
        <v>114</v>
      </c>
      <c r="AK29" s="22">
        <f t="shared" si="15"/>
        <v>2.4255319148936172</v>
      </c>
      <c r="AL29" s="23">
        <v>34</v>
      </c>
      <c r="AM29" s="22">
        <f t="shared" si="16"/>
        <v>0.72340425531914898</v>
      </c>
      <c r="AN29" s="23">
        <v>4</v>
      </c>
      <c r="AO29" s="22">
        <f t="shared" si="17"/>
        <v>8.5106382978723402E-2</v>
      </c>
      <c r="AP29" s="10">
        <v>83</v>
      </c>
      <c r="AQ29" s="22">
        <f t="shared" si="18"/>
        <v>1.7659574468085106</v>
      </c>
      <c r="AR29" s="23">
        <v>120</v>
      </c>
      <c r="AS29" s="22">
        <f t="shared" si="19"/>
        <v>2.5531914893617023</v>
      </c>
      <c r="AT29" s="25">
        <v>2.5530753462119526</v>
      </c>
      <c r="AU29" s="25">
        <v>7.8868605512976891E-2</v>
      </c>
      <c r="AV29" s="25">
        <v>2.0977485595696073</v>
      </c>
      <c r="AW29" s="25">
        <v>0.45532678664234522</v>
      </c>
      <c r="AX29" s="25">
        <v>109.40497921673769</v>
      </c>
      <c r="AY29" s="25">
        <v>114.32376915833075</v>
      </c>
      <c r="AZ29" s="25">
        <v>13.706772443339281</v>
      </c>
      <c r="BA29" s="25">
        <v>13.893617021276595</v>
      </c>
      <c r="BB29" s="25">
        <v>20.172220720546783</v>
      </c>
      <c r="BC29" s="24">
        <v>0.56538839724680434</v>
      </c>
      <c r="BD29" s="24">
        <v>0.55000000000000004</v>
      </c>
      <c r="BE29" s="25">
        <v>18.516215155369576</v>
      </c>
      <c r="BF29" s="24">
        <v>0.15416666666666667</v>
      </c>
      <c r="BG29" s="24">
        <v>0.23125000000000001</v>
      </c>
      <c r="BH29" s="25">
        <v>6.2731997381128055</v>
      </c>
      <c r="BI29" s="25">
        <v>13.075464514379703</v>
      </c>
      <c r="BJ29" s="25">
        <v>9.01498521199081</v>
      </c>
      <c r="BK29" s="25">
        <v>11.521683378582049</v>
      </c>
      <c r="BL29" s="25">
        <v>1.4066507563878405</v>
      </c>
      <c r="BM29" s="25">
        <v>0.25416291048302864</v>
      </c>
      <c r="BN29" s="25">
        <v>13.565638075313807</v>
      </c>
      <c r="BO29" s="26" t="s">
        <v>176</v>
      </c>
      <c r="BP29" s="27"/>
      <c r="BQ29" s="32" t="s">
        <v>266</v>
      </c>
      <c r="BR29" s="32">
        <v>1054.19</v>
      </c>
      <c r="BS29" s="32">
        <v>1435.69</v>
      </c>
      <c r="BT29" s="32">
        <v>381.5</v>
      </c>
      <c r="BU29" s="36">
        <f t="shared" si="24"/>
        <v>22.429574468085107</v>
      </c>
      <c r="BV29" s="36">
        <f t="shared" si="25"/>
        <v>30.546595744680854</v>
      </c>
      <c r="BW29" s="36">
        <f t="shared" si="26"/>
        <v>8.1170212765957448</v>
      </c>
      <c r="BX29" s="37">
        <f t="shared" si="27"/>
        <v>32.565625362011041</v>
      </c>
      <c r="BY29" s="37">
        <f t="shared" si="28"/>
        <v>44.350774220952232</v>
      </c>
      <c r="BZ29" s="37">
        <f t="shared" si="29"/>
        <v>11.78514885894119</v>
      </c>
      <c r="CA29" s="35">
        <v>22</v>
      </c>
      <c r="CB29" s="35">
        <v>25</v>
      </c>
    </row>
    <row r="30" spans="1:80" x14ac:dyDescent="0.4">
      <c r="A30" s="16" t="s">
        <v>178</v>
      </c>
      <c r="B30" s="16" t="s">
        <v>257</v>
      </c>
      <c r="C30" s="16" t="s">
        <v>154</v>
      </c>
      <c r="D30" s="23">
        <v>2</v>
      </c>
      <c r="E30" s="23">
        <v>10</v>
      </c>
      <c r="F30" s="23">
        <v>9</v>
      </c>
      <c r="G30" s="21">
        <v>1218</v>
      </c>
      <c r="H30" s="21">
        <v>5</v>
      </c>
      <c r="I30" s="22">
        <f t="shared" si="0"/>
        <v>2.5</v>
      </c>
      <c r="J30" s="23">
        <v>2</v>
      </c>
      <c r="K30" s="23">
        <v>5</v>
      </c>
      <c r="L30" s="22">
        <f t="shared" si="30"/>
        <v>1</v>
      </c>
      <c r="M30" s="22">
        <f t="shared" si="31"/>
        <v>2.5</v>
      </c>
      <c r="N30" s="24">
        <f t="shared" si="32"/>
        <v>0.4</v>
      </c>
      <c r="O30" s="21">
        <v>2</v>
      </c>
      <c r="P30" s="23">
        <v>3</v>
      </c>
      <c r="Q30" s="22">
        <f t="shared" si="3"/>
        <v>1</v>
      </c>
      <c r="R30" s="22">
        <f t="shared" si="4"/>
        <v>1.5</v>
      </c>
      <c r="S30" s="24">
        <f t="shared" si="5"/>
        <v>0.66666666666666663</v>
      </c>
      <c r="T30" s="23">
        <v>0</v>
      </c>
      <c r="U30" s="23">
        <v>2</v>
      </c>
      <c r="V30" s="22">
        <f t="shared" si="6"/>
        <v>0</v>
      </c>
      <c r="W30" s="22">
        <f t="shared" si="7"/>
        <v>1</v>
      </c>
      <c r="X30" s="24">
        <f t="shared" si="8"/>
        <v>0</v>
      </c>
      <c r="Y30" s="23">
        <v>1</v>
      </c>
      <c r="Z30" s="23">
        <v>2</v>
      </c>
      <c r="AA30" s="22">
        <f t="shared" si="9"/>
        <v>0.5</v>
      </c>
      <c r="AB30" s="22">
        <f t="shared" si="10"/>
        <v>1</v>
      </c>
      <c r="AC30" s="24">
        <f t="shared" si="11"/>
        <v>0.5</v>
      </c>
      <c r="AD30" s="23">
        <v>3</v>
      </c>
      <c r="AE30" s="22">
        <f t="shared" si="12"/>
        <v>1.5</v>
      </c>
      <c r="AF30" s="23">
        <v>1</v>
      </c>
      <c r="AG30" s="22">
        <f t="shared" si="13"/>
        <v>0.5</v>
      </c>
      <c r="AH30" s="23">
        <v>2</v>
      </c>
      <c r="AI30" s="22">
        <f t="shared" si="14"/>
        <v>1</v>
      </c>
      <c r="AJ30" s="23">
        <v>6</v>
      </c>
      <c r="AK30" s="22">
        <f t="shared" si="15"/>
        <v>3</v>
      </c>
      <c r="AL30" s="23">
        <v>1</v>
      </c>
      <c r="AM30" s="22">
        <f t="shared" si="16"/>
        <v>0.5</v>
      </c>
      <c r="AN30" s="23">
        <v>0</v>
      </c>
      <c r="AO30" s="22">
        <f t="shared" si="17"/>
        <v>0</v>
      </c>
      <c r="AP30" s="10">
        <v>2</v>
      </c>
      <c r="AQ30" s="22">
        <f t="shared" si="18"/>
        <v>1</v>
      </c>
      <c r="AR30" s="23">
        <v>1</v>
      </c>
      <c r="AS30" s="22">
        <f t="shared" si="19"/>
        <v>0.5</v>
      </c>
      <c r="AT30" s="25">
        <v>1.1959123302936811E-2</v>
      </c>
      <c r="AU30" s="25">
        <v>2.3564774981156278E-2</v>
      </c>
      <c r="AV30" s="25">
        <v>2.0933062528785671E-3</v>
      </c>
      <c r="AW30" s="25">
        <v>9.8658170500582447E-3</v>
      </c>
      <c r="AX30" s="25">
        <v>100.14536082528227</v>
      </c>
      <c r="AY30" s="25">
        <v>113.36719584923677</v>
      </c>
      <c r="AZ30" s="25">
        <v>0.50496167097014022</v>
      </c>
      <c r="BA30" s="25">
        <v>4.5</v>
      </c>
      <c r="BB30" s="25">
        <v>17.733990147783249</v>
      </c>
      <c r="BC30" s="24">
        <v>0.42517006802721091</v>
      </c>
      <c r="BD30" s="24">
        <v>0.4</v>
      </c>
      <c r="BE30" s="25">
        <v>0.64728587610718324</v>
      </c>
      <c r="BF30" s="24">
        <v>0.4</v>
      </c>
      <c r="BG30" s="24">
        <v>0.4</v>
      </c>
      <c r="BH30" s="25">
        <v>0.20514766785566835</v>
      </c>
      <c r="BI30" s="25">
        <v>0.4102953357113367</v>
      </c>
      <c r="BJ30" s="25">
        <v>0.28674897158676127</v>
      </c>
      <c r="BK30" s="25">
        <v>1.3186704505182651</v>
      </c>
      <c r="BL30" s="25">
        <v>2.6389477425511374</v>
      </c>
      <c r="BM30" s="25">
        <v>0</v>
      </c>
      <c r="BN30" s="25">
        <v>25.380710659898476</v>
      </c>
      <c r="BO30" s="26" t="s">
        <v>176</v>
      </c>
      <c r="BP30" s="27"/>
      <c r="BQ30" s="33" t="s">
        <v>267</v>
      </c>
      <c r="BR30" s="33">
        <v>18.47</v>
      </c>
      <c r="BS30" s="33">
        <v>25.07</v>
      </c>
      <c r="BT30" s="33">
        <v>6.6</v>
      </c>
      <c r="BU30" s="36">
        <f t="shared" si="24"/>
        <v>9.2349999999999994</v>
      </c>
      <c r="BV30" s="36">
        <f t="shared" si="25"/>
        <v>12.535</v>
      </c>
      <c r="BW30" s="36">
        <f t="shared" si="26"/>
        <v>3.3</v>
      </c>
      <c r="BX30" s="37">
        <f t="shared" si="27"/>
        <v>36.39408866995074</v>
      </c>
      <c r="BY30" s="37">
        <f t="shared" si="28"/>
        <v>49.399014778325125</v>
      </c>
      <c r="BZ30" s="37">
        <f t="shared" si="29"/>
        <v>13.004926108374384</v>
      </c>
      <c r="CA30" s="35">
        <v>2</v>
      </c>
      <c r="CB30" s="35">
        <v>0</v>
      </c>
    </row>
    <row r="31" spans="1:80" x14ac:dyDescent="0.4">
      <c r="A31" s="16" t="s">
        <v>178</v>
      </c>
      <c r="B31" s="16" t="s">
        <v>257</v>
      </c>
      <c r="C31" s="16" t="s">
        <v>75</v>
      </c>
      <c r="D31" s="23">
        <v>20</v>
      </c>
      <c r="E31" s="23">
        <v>7</v>
      </c>
      <c r="F31" s="23">
        <v>23</v>
      </c>
      <c r="G31" s="21">
        <v>8860</v>
      </c>
      <c r="H31" s="21">
        <v>18</v>
      </c>
      <c r="I31" s="22">
        <f t="shared" si="0"/>
        <v>0.9</v>
      </c>
      <c r="J31" s="23">
        <v>6</v>
      </c>
      <c r="K31" s="23">
        <v>23</v>
      </c>
      <c r="L31" s="22">
        <f t="shared" si="30"/>
        <v>0.3</v>
      </c>
      <c r="M31" s="22">
        <f t="shared" si="31"/>
        <v>1.1499999999999999</v>
      </c>
      <c r="N31" s="24">
        <f t="shared" si="32"/>
        <v>0.2608695652173913</v>
      </c>
      <c r="O31" s="21">
        <v>2</v>
      </c>
      <c r="P31" s="23">
        <v>8</v>
      </c>
      <c r="Q31" s="22">
        <f t="shared" si="3"/>
        <v>0.1</v>
      </c>
      <c r="R31" s="22">
        <f t="shared" si="4"/>
        <v>0.4</v>
      </c>
      <c r="S31" s="24">
        <f t="shared" si="5"/>
        <v>0.25</v>
      </c>
      <c r="T31" s="23">
        <v>4</v>
      </c>
      <c r="U31" s="23">
        <v>15</v>
      </c>
      <c r="V31" s="22">
        <f t="shared" si="6"/>
        <v>0.2</v>
      </c>
      <c r="W31" s="22">
        <f t="shared" si="7"/>
        <v>0.75</v>
      </c>
      <c r="X31" s="24">
        <f t="shared" si="8"/>
        <v>0.26666666666666666</v>
      </c>
      <c r="Y31" s="23">
        <v>2</v>
      </c>
      <c r="Z31" s="23">
        <v>4</v>
      </c>
      <c r="AA31" s="22">
        <f t="shared" si="9"/>
        <v>0.1</v>
      </c>
      <c r="AB31" s="22">
        <f t="shared" si="10"/>
        <v>0.2</v>
      </c>
      <c r="AC31" s="24">
        <f t="shared" si="11"/>
        <v>0.5</v>
      </c>
      <c r="AD31" s="23">
        <v>11</v>
      </c>
      <c r="AE31" s="22">
        <f t="shared" si="12"/>
        <v>0.55000000000000004</v>
      </c>
      <c r="AF31" s="23">
        <v>4</v>
      </c>
      <c r="AG31" s="22">
        <f t="shared" si="13"/>
        <v>0.2</v>
      </c>
      <c r="AH31" s="23">
        <v>7</v>
      </c>
      <c r="AI31" s="22">
        <f t="shared" si="14"/>
        <v>0.35</v>
      </c>
      <c r="AJ31" s="23">
        <v>5</v>
      </c>
      <c r="AK31" s="22">
        <f t="shared" si="15"/>
        <v>0.25</v>
      </c>
      <c r="AL31" s="23">
        <v>2</v>
      </c>
      <c r="AM31" s="22">
        <f t="shared" si="16"/>
        <v>0.1</v>
      </c>
      <c r="AN31" s="23">
        <v>2</v>
      </c>
      <c r="AO31" s="22">
        <f t="shared" si="17"/>
        <v>0.1</v>
      </c>
      <c r="AP31" s="10">
        <v>6</v>
      </c>
      <c r="AQ31" s="22">
        <f t="shared" si="18"/>
        <v>0.3</v>
      </c>
      <c r="AR31" s="23">
        <v>29</v>
      </c>
      <c r="AS31" s="22">
        <f t="shared" si="19"/>
        <v>1.45</v>
      </c>
      <c r="AT31" s="25">
        <v>-0.3079959817866299</v>
      </c>
      <c r="AU31" s="25">
        <v>-8.3430062786446019E-2</v>
      </c>
      <c r="AV31" s="25">
        <v>-0.26569340618327336</v>
      </c>
      <c r="AW31" s="25">
        <v>-4.230257560335652E-2</v>
      </c>
      <c r="AX31" s="25">
        <v>74.938006717660613</v>
      </c>
      <c r="AY31" s="25">
        <v>118.86695762645607</v>
      </c>
      <c r="AZ31" s="25">
        <v>-1.3179800366255618</v>
      </c>
      <c r="BA31" s="25">
        <v>0.65</v>
      </c>
      <c r="BB31" s="25">
        <v>3.5214446952595941</v>
      </c>
      <c r="BC31" s="24">
        <v>0.36348949919224555</v>
      </c>
      <c r="BD31" s="24">
        <v>0.34782608695652173</v>
      </c>
      <c r="BE31" s="25">
        <v>3.4735200557389301</v>
      </c>
      <c r="BF31" s="24">
        <v>0.65217391304347827</v>
      </c>
      <c r="BG31" s="24">
        <v>0.17391304347826086</v>
      </c>
      <c r="BH31" s="25">
        <v>1.1280806295629979</v>
      </c>
      <c r="BI31" s="25">
        <v>1.9741411017352464</v>
      </c>
      <c r="BJ31" s="25">
        <v>1.4453960576822527</v>
      </c>
      <c r="BK31" s="25">
        <v>1.5317004555532439</v>
      </c>
      <c r="BL31" s="25">
        <v>0.72556170438539169</v>
      </c>
      <c r="BM31" s="25">
        <v>0.47418881605919455</v>
      </c>
      <c r="BN31" s="25">
        <v>19.505851755526656</v>
      </c>
      <c r="BO31" s="26" t="s">
        <v>176</v>
      </c>
      <c r="BP31" s="27"/>
      <c r="BQ31" s="33" t="s">
        <v>268</v>
      </c>
      <c r="BR31" s="33">
        <v>54.38</v>
      </c>
      <c r="BS31" s="33">
        <v>80.88</v>
      </c>
      <c r="BT31" s="33">
        <v>26.5</v>
      </c>
      <c r="BU31" s="36">
        <f t="shared" si="24"/>
        <v>2.7189999999999994</v>
      </c>
      <c r="BV31" s="36">
        <f t="shared" si="25"/>
        <v>4.0439999999999996</v>
      </c>
      <c r="BW31" s="36">
        <f t="shared" si="26"/>
        <v>1.325</v>
      </c>
      <c r="BX31" s="37">
        <f t="shared" si="27"/>
        <v>14.730474040632057</v>
      </c>
      <c r="BY31" s="37">
        <f t="shared" si="28"/>
        <v>21.908803611738151</v>
      </c>
      <c r="BZ31" s="37">
        <f t="shared" si="29"/>
        <v>7.1783295711060946</v>
      </c>
      <c r="CA31" s="35">
        <v>7</v>
      </c>
      <c r="CB31" s="35">
        <v>13</v>
      </c>
    </row>
    <row r="32" spans="1:80" x14ac:dyDescent="0.4">
      <c r="A32" s="16" t="s">
        <v>178</v>
      </c>
      <c r="B32" s="16" t="s">
        <v>257</v>
      </c>
      <c r="C32" s="16" t="s">
        <v>235</v>
      </c>
      <c r="D32" s="23">
        <v>9</v>
      </c>
      <c r="E32" s="23">
        <v>3</v>
      </c>
      <c r="F32" s="23">
        <v>17</v>
      </c>
      <c r="G32" s="21">
        <v>1773</v>
      </c>
      <c r="H32" s="21">
        <v>4</v>
      </c>
      <c r="I32" s="22">
        <f t="shared" si="0"/>
        <v>0.44444444444444442</v>
      </c>
      <c r="J32" s="23">
        <v>2</v>
      </c>
      <c r="K32" s="23">
        <v>6</v>
      </c>
      <c r="L32" s="22">
        <f t="shared" si="30"/>
        <v>0.22222222222222221</v>
      </c>
      <c r="M32" s="22">
        <f t="shared" si="31"/>
        <v>0.66666666666666663</v>
      </c>
      <c r="N32" s="24">
        <f t="shared" si="32"/>
        <v>0.33333333333333331</v>
      </c>
      <c r="O32" s="21">
        <v>2</v>
      </c>
      <c r="P32" s="23">
        <v>4</v>
      </c>
      <c r="Q32" s="22">
        <f t="shared" si="3"/>
        <v>0.22222222222222221</v>
      </c>
      <c r="R32" s="22">
        <f t="shared" si="4"/>
        <v>0.44444444444444442</v>
      </c>
      <c r="S32" s="24">
        <f t="shared" si="5"/>
        <v>0.5</v>
      </c>
      <c r="T32" s="23">
        <v>0</v>
      </c>
      <c r="U32" s="23">
        <v>2</v>
      </c>
      <c r="V32" s="22">
        <f t="shared" si="6"/>
        <v>0</v>
      </c>
      <c r="W32" s="22">
        <f t="shared" si="7"/>
        <v>0.22222222222222221</v>
      </c>
      <c r="X32" s="24">
        <f t="shared" si="8"/>
        <v>0</v>
      </c>
      <c r="Y32" s="23">
        <v>0</v>
      </c>
      <c r="Z32" s="23">
        <v>0</v>
      </c>
      <c r="AA32" s="22">
        <f t="shared" si="9"/>
        <v>0</v>
      </c>
      <c r="AB32" s="22">
        <f t="shared" si="10"/>
        <v>0</v>
      </c>
      <c r="AC32" s="24" t="e">
        <f t="shared" si="11"/>
        <v>#DIV/0!</v>
      </c>
      <c r="AD32" s="23">
        <v>2</v>
      </c>
      <c r="AE32" s="22">
        <f t="shared" si="12"/>
        <v>0.22222222222222221</v>
      </c>
      <c r="AF32" s="23">
        <v>1</v>
      </c>
      <c r="AG32" s="22">
        <f t="shared" si="13"/>
        <v>0.1111111111111111</v>
      </c>
      <c r="AH32" s="23">
        <v>1</v>
      </c>
      <c r="AI32" s="22">
        <f t="shared" si="14"/>
        <v>0.1111111111111111</v>
      </c>
      <c r="AJ32" s="23">
        <v>2</v>
      </c>
      <c r="AK32" s="22">
        <f t="shared" si="15"/>
        <v>0.22222222222222221</v>
      </c>
      <c r="AL32" s="23">
        <v>0</v>
      </c>
      <c r="AM32" s="22">
        <f t="shared" si="16"/>
        <v>0</v>
      </c>
      <c r="AN32" s="23">
        <v>0</v>
      </c>
      <c r="AO32" s="22">
        <f t="shared" si="17"/>
        <v>0</v>
      </c>
      <c r="AP32" s="10">
        <v>3</v>
      </c>
      <c r="AQ32" s="22">
        <f t="shared" si="18"/>
        <v>0.33333333333333331</v>
      </c>
      <c r="AR32" s="23">
        <v>2</v>
      </c>
      <c r="AS32" s="22">
        <f t="shared" si="19"/>
        <v>0.22222222222222221</v>
      </c>
      <c r="AT32" s="25">
        <v>-0.14972227637254928</v>
      </c>
      <c r="AU32" s="25">
        <v>-0.20266974805082813</v>
      </c>
      <c r="AV32" s="25">
        <v>-0.12682797819707026</v>
      </c>
      <c r="AW32" s="25">
        <v>-2.2894298175479024E-2</v>
      </c>
      <c r="AX32" s="25">
        <v>61.207334483050083</v>
      </c>
      <c r="AY32" s="25">
        <v>122.34343064569393</v>
      </c>
      <c r="AZ32" s="25">
        <v>-0.53431466753646695</v>
      </c>
      <c r="BA32" s="25">
        <v>0.1111111111111111</v>
      </c>
      <c r="BB32" s="25">
        <v>1.3536379018612521</v>
      </c>
      <c r="BC32" s="24">
        <v>0.33333333333333331</v>
      </c>
      <c r="BD32" s="24">
        <v>0.33333333333333331</v>
      </c>
      <c r="BE32" s="25">
        <v>2.2854066627222238</v>
      </c>
      <c r="BF32" s="24">
        <v>0.33333333333333331</v>
      </c>
      <c r="BG32" s="24">
        <v>0</v>
      </c>
      <c r="BH32" s="25">
        <v>0.63418746052843666</v>
      </c>
      <c r="BI32" s="25">
        <v>0.63418746052843666</v>
      </c>
      <c r="BJ32" s="25">
        <v>0.59096488560520344</v>
      </c>
      <c r="BK32" s="25">
        <v>1.3714403266313713</v>
      </c>
      <c r="BL32" s="25">
        <v>0</v>
      </c>
      <c r="BM32" s="25">
        <v>0</v>
      </c>
      <c r="BN32" s="25">
        <v>33.333333333333336</v>
      </c>
      <c r="BO32" s="26" t="s">
        <v>176</v>
      </c>
      <c r="BP32" s="27"/>
      <c r="BQ32" s="33" t="s">
        <v>267</v>
      </c>
      <c r="BR32" s="33">
        <v>10.08</v>
      </c>
      <c r="BS32" s="33">
        <v>18.38</v>
      </c>
      <c r="BT32" s="33">
        <v>8.3000000000000007</v>
      </c>
      <c r="BU32" s="36">
        <f t="shared" si="24"/>
        <v>1.1199999999999999</v>
      </c>
      <c r="BV32" s="36">
        <f t="shared" si="25"/>
        <v>2.0422222222222222</v>
      </c>
      <c r="BW32" s="36">
        <f t="shared" si="26"/>
        <v>0.92222222222222228</v>
      </c>
      <c r="BX32" s="37">
        <f t="shared" si="27"/>
        <v>13.644670050761421</v>
      </c>
      <c r="BY32" s="37">
        <f t="shared" si="28"/>
        <v>24.879864636209813</v>
      </c>
      <c r="BZ32" s="37">
        <f t="shared" si="29"/>
        <v>11.235194585448392</v>
      </c>
      <c r="CA32" s="35">
        <v>5</v>
      </c>
      <c r="CB32" s="35">
        <v>4</v>
      </c>
    </row>
    <row r="33" spans="1:80" x14ac:dyDescent="0.4">
      <c r="A33" s="16" t="s">
        <v>178</v>
      </c>
      <c r="B33" s="16" t="s">
        <v>257</v>
      </c>
      <c r="C33" s="16" t="s">
        <v>236</v>
      </c>
      <c r="D33" s="39">
        <v>54</v>
      </c>
      <c r="E33" s="39">
        <v>22</v>
      </c>
      <c r="F33" s="39">
        <v>32</v>
      </c>
      <c r="G33" s="67">
        <v>73008</v>
      </c>
      <c r="H33" s="67">
        <v>402</v>
      </c>
      <c r="I33" s="22">
        <f t="shared" si="0"/>
        <v>7.4444444444444446</v>
      </c>
      <c r="J33" s="39">
        <v>140</v>
      </c>
      <c r="K33" s="39">
        <v>336</v>
      </c>
      <c r="L33" s="22">
        <f t="shared" si="30"/>
        <v>2.5925925925925926</v>
      </c>
      <c r="M33" s="22">
        <f t="shared" si="31"/>
        <v>6.2222222222222223</v>
      </c>
      <c r="N33" s="24">
        <f t="shared" si="32"/>
        <v>0.41666666666666669</v>
      </c>
      <c r="O33" s="67">
        <v>54</v>
      </c>
      <c r="P33" s="39">
        <v>99</v>
      </c>
      <c r="Q33" s="22">
        <f t="shared" si="3"/>
        <v>1</v>
      </c>
      <c r="R33" s="22">
        <f t="shared" si="4"/>
        <v>1.8333333333333333</v>
      </c>
      <c r="S33" s="24">
        <f t="shared" si="5"/>
        <v>0.54545454545454541</v>
      </c>
      <c r="T33" s="39">
        <v>86</v>
      </c>
      <c r="U33" s="39">
        <v>237</v>
      </c>
      <c r="V33" s="22">
        <f t="shared" si="6"/>
        <v>1.5925925925925926</v>
      </c>
      <c r="W33" s="22">
        <f t="shared" si="7"/>
        <v>4.3888888888888893</v>
      </c>
      <c r="X33" s="24">
        <f t="shared" si="8"/>
        <v>0.3628691983122363</v>
      </c>
      <c r="Y33" s="39">
        <v>36</v>
      </c>
      <c r="Z33" s="39">
        <v>51</v>
      </c>
      <c r="AA33" s="22">
        <f t="shared" si="9"/>
        <v>0.66666666666666663</v>
      </c>
      <c r="AB33" s="22">
        <f t="shared" si="10"/>
        <v>0.94444444444444442</v>
      </c>
      <c r="AC33" s="24">
        <f t="shared" si="11"/>
        <v>0.70588235294117652</v>
      </c>
      <c r="AD33" s="39">
        <v>111</v>
      </c>
      <c r="AE33" s="22">
        <f t="shared" si="12"/>
        <v>2.0555555555555554</v>
      </c>
      <c r="AF33" s="39">
        <v>31</v>
      </c>
      <c r="AG33" s="22">
        <f t="shared" si="13"/>
        <v>0.57407407407407407</v>
      </c>
      <c r="AH33" s="39">
        <v>80</v>
      </c>
      <c r="AI33" s="22">
        <f t="shared" si="14"/>
        <v>1.4814814814814814</v>
      </c>
      <c r="AJ33" s="39">
        <v>38</v>
      </c>
      <c r="AK33" s="22">
        <f t="shared" si="15"/>
        <v>0.70370370370370372</v>
      </c>
      <c r="AL33" s="39">
        <v>27</v>
      </c>
      <c r="AM33" s="22">
        <f t="shared" si="16"/>
        <v>0.5</v>
      </c>
      <c r="AN33" s="39">
        <v>2</v>
      </c>
      <c r="AO33" s="22">
        <f t="shared" si="17"/>
        <v>3.7037037037037035E-2</v>
      </c>
      <c r="AP33" s="10">
        <v>24</v>
      </c>
      <c r="AQ33" s="22">
        <f t="shared" si="18"/>
        <v>0.44444444444444442</v>
      </c>
      <c r="AR33" s="39">
        <v>117</v>
      </c>
      <c r="AS33" s="22">
        <f t="shared" si="19"/>
        <v>2.1666666666666665</v>
      </c>
      <c r="AT33" s="25">
        <v>1.4409359259320993</v>
      </c>
      <c r="AU33" s="25">
        <v>4.7368044902435874E-2</v>
      </c>
      <c r="AV33" s="25">
        <v>1.633548560843699</v>
      </c>
      <c r="AW33" s="25">
        <v>-0.19261263491159974</v>
      </c>
      <c r="AX33" s="25">
        <v>112.79129249475727</v>
      </c>
      <c r="AY33" s="25">
        <v>117.95436533838998</v>
      </c>
      <c r="AZ33" s="25">
        <v>8.9075049864926612</v>
      </c>
      <c r="BA33" s="25">
        <v>6.3888888888888893</v>
      </c>
      <c r="BB33" s="25">
        <v>11.341222879684418</v>
      </c>
      <c r="BC33" s="24">
        <v>0.56076330766655502</v>
      </c>
      <c r="BD33" s="24">
        <v>0.5446428571428571</v>
      </c>
      <c r="BE33" s="25">
        <v>14.150566407464089</v>
      </c>
      <c r="BF33" s="24">
        <v>0.7053571428571429</v>
      </c>
      <c r="BG33" s="24">
        <v>0.15178571428571427</v>
      </c>
      <c r="BH33" s="25">
        <v>2.8646322643839963</v>
      </c>
      <c r="BI33" s="25">
        <v>7.3925993919586999</v>
      </c>
      <c r="BJ33" s="25">
        <v>4.779078828967819</v>
      </c>
      <c r="BK33" s="25">
        <v>4.3450255174963504</v>
      </c>
      <c r="BL33" s="25">
        <v>1.1886976148029902</v>
      </c>
      <c r="BM33" s="25">
        <v>0.15537399816140768</v>
      </c>
      <c r="BN33" s="25">
        <v>6.2754941951678695</v>
      </c>
      <c r="BO33" s="26" t="s">
        <v>176</v>
      </c>
      <c r="BP33" s="27"/>
      <c r="BQ33" s="33" t="s">
        <v>268</v>
      </c>
      <c r="BR33" s="33">
        <v>694.4</v>
      </c>
      <c r="BS33" s="33">
        <v>923.3</v>
      </c>
      <c r="BT33" s="33">
        <v>228.9</v>
      </c>
      <c r="BU33" s="36">
        <f t="shared" si="24"/>
        <v>12.859259259259259</v>
      </c>
      <c r="BV33" s="36">
        <f t="shared" si="25"/>
        <v>17.098148148148148</v>
      </c>
      <c r="BW33" s="36">
        <f t="shared" si="26"/>
        <v>4.2388888888888889</v>
      </c>
      <c r="BX33" s="37">
        <f t="shared" si="27"/>
        <v>22.82708744247206</v>
      </c>
      <c r="BY33" s="37">
        <f t="shared" si="28"/>
        <v>30.351742274819198</v>
      </c>
      <c r="BZ33" s="37">
        <f t="shared" si="29"/>
        <v>7.5246548323471396</v>
      </c>
      <c r="CA33" s="35">
        <v>27</v>
      </c>
      <c r="CB33" s="35">
        <v>27</v>
      </c>
    </row>
    <row r="34" spans="1:80" x14ac:dyDescent="0.4">
      <c r="A34" s="16" t="s">
        <v>178</v>
      </c>
      <c r="B34" s="16" t="s">
        <v>257</v>
      </c>
      <c r="C34" s="16" t="s">
        <v>237</v>
      </c>
      <c r="D34" s="29">
        <v>35</v>
      </c>
      <c r="E34" s="29">
        <v>8</v>
      </c>
      <c r="F34" s="29">
        <v>0</v>
      </c>
      <c r="G34" s="21">
        <v>16800</v>
      </c>
      <c r="H34" s="21">
        <v>40</v>
      </c>
      <c r="I34" s="22">
        <f t="shared" si="0"/>
        <v>1.1428571428571428</v>
      </c>
      <c r="J34" s="23">
        <v>15</v>
      </c>
      <c r="K34" s="23">
        <v>50</v>
      </c>
      <c r="L34" s="22">
        <f t="shared" si="30"/>
        <v>0.42857142857142855</v>
      </c>
      <c r="M34" s="22">
        <f t="shared" si="31"/>
        <v>1.4285714285714286</v>
      </c>
      <c r="N34" s="24">
        <f t="shared" si="32"/>
        <v>0.3</v>
      </c>
      <c r="O34" s="21">
        <v>12</v>
      </c>
      <c r="P34" s="23">
        <v>25</v>
      </c>
      <c r="Q34" s="22">
        <f t="shared" si="3"/>
        <v>0.34285714285714286</v>
      </c>
      <c r="R34" s="22">
        <f t="shared" si="4"/>
        <v>0.7142857142857143</v>
      </c>
      <c r="S34" s="24">
        <f t="shared" si="5"/>
        <v>0.48</v>
      </c>
      <c r="T34" s="23">
        <v>3</v>
      </c>
      <c r="U34" s="23">
        <v>25</v>
      </c>
      <c r="V34" s="22">
        <f t="shared" si="6"/>
        <v>8.5714285714285715E-2</v>
      </c>
      <c r="W34" s="22">
        <f t="shared" si="7"/>
        <v>0.7142857142857143</v>
      </c>
      <c r="X34" s="24">
        <f t="shared" si="8"/>
        <v>0.12</v>
      </c>
      <c r="Y34" s="15">
        <v>7</v>
      </c>
      <c r="Z34" s="15">
        <v>10</v>
      </c>
      <c r="AA34" s="22">
        <f t="shared" si="9"/>
        <v>0.2</v>
      </c>
      <c r="AB34" s="22">
        <f t="shared" si="10"/>
        <v>0.2857142857142857</v>
      </c>
      <c r="AC34" s="24">
        <f t="shared" si="11"/>
        <v>0.7</v>
      </c>
      <c r="AD34" s="23">
        <v>26</v>
      </c>
      <c r="AE34" s="22">
        <f t="shared" si="12"/>
        <v>0.74285714285714288</v>
      </c>
      <c r="AF34" s="23">
        <v>8</v>
      </c>
      <c r="AG34" s="22">
        <f t="shared" si="13"/>
        <v>0.22857142857142856</v>
      </c>
      <c r="AH34" s="23">
        <v>18</v>
      </c>
      <c r="AI34" s="22">
        <f t="shared" si="14"/>
        <v>0.51428571428571423</v>
      </c>
      <c r="AJ34" s="23">
        <v>16</v>
      </c>
      <c r="AK34" s="22">
        <f t="shared" si="15"/>
        <v>0.45714285714285713</v>
      </c>
      <c r="AL34" s="23">
        <v>9</v>
      </c>
      <c r="AM34" s="22">
        <f t="shared" si="16"/>
        <v>0.25714285714285712</v>
      </c>
      <c r="AN34" s="13">
        <v>0</v>
      </c>
      <c r="AO34" s="22">
        <f t="shared" si="17"/>
        <v>0</v>
      </c>
      <c r="AP34" s="12">
        <v>7</v>
      </c>
      <c r="AQ34" s="22">
        <f t="shared" si="18"/>
        <v>0.2</v>
      </c>
      <c r="AR34" s="23">
        <v>34</v>
      </c>
      <c r="AS34" s="22">
        <f t="shared" si="19"/>
        <v>0.97142857142857142</v>
      </c>
      <c r="AT34" s="25">
        <v>-0.26476078933610514</v>
      </c>
      <c r="AU34" s="25">
        <v>-3.7822969905157877E-2</v>
      </c>
      <c r="AV34" s="25">
        <v>-0.26678443836816945</v>
      </c>
      <c r="AW34" s="25">
        <v>2.0236490320643141E-3</v>
      </c>
      <c r="AX34" s="25">
        <v>87.302519060143382</v>
      </c>
      <c r="AY34" s="25">
        <v>116.77590528989829</v>
      </c>
      <c r="AZ34" s="25">
        <v>1.2343859695400801</v>
      </c>
      <c r="BA34" s="25">
        <v>1.3142857142857143</v>
      </c>
      <c r="BB34" s="25">
        <v>6.5714285714285712</v>
      </c>
      <c r="BC34" s="24">
        <v>0.36764705882352944</v>
      </c>
      <c r="BD34" s="24">
        <v>0.33</v>
      </c>
      <c r="BE34" s="25">
        <v>6.3990328497582123</v>
      </c>
      <c r="BF34" s="24">
        <v>0.5</v>
      </c>
      <c r="BG34" s="24">
        <v>0.2</v>
      </c>
      <c r="BH34" s="25">
        <v>2.0822488287350338</v>
      </c>
      <c r="BI34" s="25">
        <v>4.6850598646538257</v>
      </c>
      <c r="BJ34" s="25">
        <v>3.1530439000727624</v>
      </c>
      <c r="BK34" s="25">
        <v>4.6349942062572413</v>
      </c>
      <c r="BL34" s="25">
        <v>1.721913402014617</v>
      </c>
      <c r="BM34" s="25">
        <v>0</v>
      </c>
      <c r="BN34" s="25">
        <v>11.400651465798045</v>
      </c>
      <c r="BO34" s="26" t="s">
        <v>176</v>
      </c>
      <c r="BP34" s="27"/>
      <c r="BQ34" s="33" t="s">
        <v>267</v>
      </c>
      <c r="BR34" s="33">
        <v>130.35</v>
      </c>
      <c r="BS34" s="33">
        <v>176.05</v>
      </c>
      <c r="BT34" s="33">
        <v>45.7</v>
      </c>
      <c r="BU34" s="36">
        <f t="shared" si="24"/>
        <v>3.7242857142857142</v>
      </c>
      <c r="BV34" s="36">
        <f t="shared" si="25"/>
        <v>5.03</v>
      </c>
      <c r="BW34" s="36">
        <f t="shared" si="26"/>
        <v>1.3057142857142858</v>
      </c>
      <c r="BX34" s="37">
        <f t="shared" si="27"/>
        <v>18.62142857142857</v>
      </c>
      <c r="BY34" s="37">
        <f t="shared" si="28"/>
        <v>25.15</v>
      </c>
      <c r="BZ34" s="37">
        <f t="shared" si="29"/>
        <v>6.5285714285714285</v>
      </c>
      <c r="CA34" s="35">
        <v>20</v>
      </c>
      <c r="CB34" s="35">
        <v>15</v>
      </c>
    </row>
    <row r="35" spans="1:80" x14ac:dyDescent="0.4">
      <c r="A35" s="16" t="s">
        <v>178</v>
      </c>
      <c r="B35" s="16" t="s">
        <v>257</v>
      </c>
      <c r="C35" s="16" t="s">
        <v>153</v>
      </c>
      <c r="D35" s="23">
        <v>36</v>
      </c>
      <c r="E35" s="23">
        <v>10</v>
      </c>
      <c r="F35" s="23">
        <v>55</v>
      </c>
      <c r="G35" s="21">
        <v>23580</v>
      </c>
      <c r="H35" s="21">
        <v>107</v>
      </c>
      <c r="I35" s="22">
        <f t="shared" si="0"/>
        <v>2.9722222222222223</v>
      </c>
      <c r="J35" s="23">
        <v>35</v>
      </c>
      <c r="K35" s="23">
        <v>102</v>
      </c>
      <c r="L35" s="22">
        <f t="shared" si="30"/>
        <v>0.97222222222222221</v>
      </c>
      <c r="M35" s="22">
        <f t="shared" si="31"/>
        <v>2.8333333333333335</v>
      </c>
      <c r="N35" s="24">
        <f t="shared" si="32"/>
        <v>0.34313725490196079</v>
      </c>
      <c r="O35" s="21">
        <v>10</v>
      </c>
      <c r="P35" s="23">
        <v>23</v>
      </c>
      <c r="Q35" s="22">
        <f t="shared" si="3"/>
        <v>0.27777777777777779</v>
      </c>
      <c r="R35" s="22">
        <f t="shared" si="4"/>
        <v>0.63888888888888884</v>
      </c>
      <c r="S35" s="24">
        <f t="shared" si="5"/>
        <v>0.43478260869565216</v>
      </c>
      <c r="T35" s="23">
        <v>25</v>
      </c>
      <c r="U35" s="23">
        <v>79</v>
      </c>
      <c r="V35" s="22">
        <f t="shared" si="6"/>
        <v>0.69444444444444442</v>
      </c>
      <c r="W35" s="22">
        <f t="shared" si="7"/>
        <v>2.1944444444444446</v>
      </c>
      <c r="X35" s="24">
        <f t="shared" si="8"/>
        <v>0.31645569620253167</v>
      </c>
      <c r="Y35" s="23">
        <v>12</v>
      </c>
      <c r="Z35" s="23">
        <v>15</v>
      </c>
      <c r="AA35" s="22">
        <f t="shared" si="9"/>
        <v>0.33333333333333331</v>
      </c>
      <c r="AB35" s="22">
        <f t="shared" si="10"/>
        <v>0.41666666666666669</v>
      </c>
      <c r="AC35" s="24">
        <f t="shared" si="11"/>
        <v>0.8</v>
      </c>
      <c r="AD35" s="23">
        <v>33</v>
      </c>
      <c r="AE35" s="22">
        <f t="shared" si="12"/>
        <v>0.91666666666666663</v>
      </c>
      <c r="AF35" s="23">
        <v>18</v>
      </c>
      <c r="AG35" s="22">
        <f t="shared" si="13"/>
        <v>0.5</v>
      </c>
      <c r="AH35" s="23">
        <v>15</v>
      </c>
      <c r="AI35" s="22">
        <f t="shared" si="14"/>
        <v>0.41666666666666669</v>
      </c>
      <c r="AJ35" s="23">
        <v>27</v>
      </c>
      <c r="AK35" s="22">
        <f t="shared" si="15"/>
        <v>0.75</v>
      </c>
      <c r="AL35" s="23">
        <v>13</v>
      </c>
      <c r="AM35" s="22">
        <f t="shared" si="16"/>
        <v>0.3611111111111111</v>
      </c>
      <c r="AN35" s="23">
        <v>1</v>
      </c>
      <c r="AO35" s="22">
        <f t="shared" si="17"/>
        <v>2.7777777777777776E-2</v>
      </c>
      <c r="AP35" s="10">
        <v>12</v>
      </c>
      <c r="AQ35" s="22">
        <f t="shared" si="18"/>
        <v>0.33333333333333331</v>
      </c>
      <c r="AR35" s="23">
        <v>53</v>
      </c>
      <c r="AS35" s="22">
        <f t="shared" si="19"/>
        <v>1.4722222222222223</v>
      </c>
      <c r="AT35" s="25">
        <v>0.2448325712298362</v>
      </c>
      <c r="AU35" s="25">
        <v>2.4919345672247961E-2</v>
      </c>
      <c r="AV35" s="25">
        <v>0.29055064372077982</v>
      </c>
      <c r="AW35" s="25">
        <v>-4.5718072490943618E-2</v>
      </c>
      <c r="AX35" s="25">
        <v>106.41176632125469</v>
      </c>
      <c r="AY35" s="25">
        <v>117.65559953884325</v>
      </c>
      <c r="AZ35" s="25">
        <v>4.2890770210039344</v>
      </c>
      <c r="BA35" s="25">
        <v>2.75</v>
      </c>
      <c r="BB35" s="25">
        <v>10.076335877862594</v>
      </c>
      <c r="BC35" s="24">
        <v>0.49263351749539597</v>
      </c>
      <c r="BD35" s="24">
        <v>0.46568627450980393</v>
      </c>
      <c r="BE35" s="25">
        <v>9.2107122263421779</v>
      </c>
      <c r="BF35" s="24">
        <v>0.77450980392156865</v>
      </c>
      <c r="BG35" s="24">
        <v>0.14705882352941177</v>
      </c>
      <c r="BH35" s="25">
        <v>3.4333263130287581</v>
      </c>
      <c r="BI35" s="25">
        <v>2.8611052608572987</v>
      </c>
      <c r="BJ35" s="25">
        <v>2.9327196345949829</v>
      </c>
      <c r="BK35" s="25">
        <v>5.9142704592230224</v>
      </c>
      <c r="BL35" s="25">
        <v>1.7720567665629647</v>
      </c>
      <c r="BM35" s="25">
        <v>0.16035545459101008</v>
      </c>
      <c r="BN35" s="25">
        <v>9.9502487562189064</v>
      </c>
      <c r="BO35" s="26" t="s">
        <v>176</v>
      </c>
      <c r="BP35" s="27"/>
      <c r="BQ35" s="32" t="s">
        <v>267</v>
      </c>
      <c r="BR35" s="32">
        <v>222.77</v>
      </c>
      <c r="BS35" s="32">
        <v>304.77</v>
      </c>
      <c r="BT35" s="32">
        <v>82</v>
      </c>
      <c r="BU35" s="36">
        <f t="shared" si="24"/>
        <v>6.1880555555555548</v>
      </c>
      <c r="BV35" s="36">
        <f t="shared" si="25"/>
        <v>8.4658333333333324</v>
      </c>
      <c r="BW35" s="36">
        <f t="shared" si="26"/>
        <v>2.2777777777777777</v>
      </c>
      <c r="BX35" s="37">
        <f t="shared" si="27"/>
        <v>22.67379134860051</v>
      </c>
      <c r="BY35" s="37">
        <f t="shared" si="28"/>
        <v>31.019847328244275</v>
      </c>
      <c r="BZ35" s="37">
        <f t="shared" si="29"/>
        <v>8.3460559796437668</v>
      </c>
      <c r="CA35" s="34">
        <v>18</v>
      </c>
      <c r="CB35" s="34">
        <v>18</v>
      </c>
    </row>
    <row r="36" spans="1:80" x14ac:dyDescent="0.4">
      <c r="A36" s="16" t="s">
        <v>178</v>
      </c>
      <c r="B36" s="16" t="s">
        <v>257</v>
      </c>
      <c r="C36" s="16" t="s">
        <v>145</v>
      </c>
      <c r="D36" s="23">
        <v>42</v>
      </c>
      <c r="E36" s="23">
        <v>26</v>
      </c>
      <c r="F36" s="23">
        <v>50</v>
      </c>
      <c r="G36" s="21">
        <v>67620</v>
      </c>
      <c r="H36" s="21">
        <v>175</v>
      </c>
      <c r="I36" s="22">
        <f t="shared" si="0"/>
        <v>4.166666666666667</v>
      </c>
      <c r="J36" s="23">
        <v>63</v>
      </c>
      <c r="K36" s="23">
        <v>148</v>
      </c>
      <c r="L36" s="22">
        <f t="shared" si="30"/>
        <v>1.5</v>
      </c>
      <c r="M36" s="22">
        <f t="shared" si="31"/>
        <v>3.5238095238095237</v>
      </c>
      <c r="N36" s="24">
        <f t="shared" si="32"/>
        <v>0.42567567567567566</v>
      </c>
      <c r="O36" s="21">
        <v>41</v>
      </c>
      <c r="P36" s="23">
        <v>68</v>
      </c>
      <c r="Q36" s="22">
        <f t="shared" si="3"/>
        <v>0.97619047619047616</v>
      </c>
      <c r="R36" s="22">
        <f t="shared" si="4"/>
        <v>1.6190476190476191</v>
      </c>
      <c r="S36" s="24">
        <f t="shared" si="5"/>
        <v>0.6029411764705882</v>
      </c>
      <c r="T36" s="23">
        <v>22</v>
      </c>
      <c r="U36" s="23">
        <v>80</v>
      </c>
      <c r="V36" s="22">
        <f t="shared" si="6"/>
        <v>0.52380952380952384</v>
      </c>
      <c r="W36" s="22">
        <f t="shared" si="7"/>
        <v>1.9047619047619047</v>
      </c>
      <c r="X36" s="24">
        <f t="shared" si="8"/>
        <v>0.27500000000000002</v>
      </c>
      <c r="Y36" s="23">
        <v>27</v>
      </c>
      <c r="Z36" s="23">
        <v>34</v>
      </c>
      <c r="AA36" s="22">
        <f t="shared" si="9"/>
        <v>0.6428571428571429</v>
      </c>
      <c r="AB36" s="22">
        <f t="shared" si="10"/>
        <v>0.80952380952380953</v>
      </c>
      <c r="AC36" s="24">
        <f t="shared" si="11"/>
        <v>0.79411764705882348</v>
      </c>
      <c r="AD36" s="23">
        <v>170</v>
      </c>
      <c r="AE36" s="22">
        <f t="shared" si="12"/>
        <v>4.0476190476190474</v>
      </c>
      <c r="AF36" s="23">
        <v>47</v>
      </c>
      <c r="AG36" s="22">
        <f t="shared" si="13"/>
        <v>1.1190476190476191</v>
      </c>
      <c r="AH36" s="23">
        <v>123</v>
      </c>
      <c r="AI36" s="22">
        <f t="shared" si="14"/>
        <v>2.9285714285714284</v>
      </c>
      <c r="AJ36" s="23">
        <v>86</v>
      </c>
      <c r="AK36" s="22">
        <f t="shared" si="15"/>
        <v>2.0476190476190474</v>
      </c>
      <c r="AL36" s="23">
        <v>29</v>
      </c>
      <c r="AM36" s="22">
        <f t="shared" si="16"/>
        <v>0.69047619047619047</v>
      </c>
      <c r="AN36" s="23">
        <v>5</v>
      </c>
      <c r="AO36" s="22">
        <f t="shared" si="17"/>
        <v>0.11904761904761904</v>
      </c>
      <c r="AP36" s="10">
        <v>25</v>
      </c>
      <c r="AQ36" s="22">
        <f t="shared" si="18"/>
        <v>0.59523809523809523</v>
      </c>
      <c r="AR36" s="23">
        <v>116</v>
      </c>
      <c r="AS36" s="22">
        <f t="shared" si="19"/>
        <v>2.7619047619047619</v>
      </c>
      <c r="AT36" s="25">
        <v>1.6837692139453209</v>
      </c>
      <c r="AU36" s="25">
        <v>5.9761107859638715E-2</v>
      </c>
      <c r="AV36" s="25">
        <v>1.4554561575654303</v>
      </c>
      <c r="AW36" s="25">
        <v>0.22831305637989061</v>
      </c>
      <c r="AX36" s="25">
        <v>119.41239415977265</v>
      </c>
      <c r="AY36" s="25">
        <v>115.38502458576001</v>
      </c>
      <c r="AZ36" s="25">
        <v>5.6670839171369556</v>
      </c>
      <c r="BA36" s="25">
        <v>8.2857142857142865</v>
      </c>
      <c r="BB36" s="25">
        <v>12.351375332741792</v>
      </c>
      <c r="BC36" s="24">
        <v>0.53694158075601373</v>
      </c>
      <c r="BD36" s="24">
        <v>0.5</v>
      </c>
      <c r="BE36" s="25">
        <v>5.8401871743325069</v>
      </c>
      <c r="BF36" s="24">
        <v>0.54054054054054057</v>
      </c>
      <c r="BG36" s="24">
        <v>0.22972972972972974</v>
      </c>
      <c r="BH36" s="25">
        <v>3.6471687559209909</v>
      </c>
      <c r="BI36" s="25">
        <v>9.5447182335804648</v>
      </c>
      <c r="BJ36" s="25">
        <v>6.1464018692292743</v>
      </c>
      <c r="BK36" s="25">
        <v>7.5097965732914664</v>
      </c>
      <c r="BL36" s="25">
        <v>1.3784813984382029</v>
      </c>
      <c r="BM36" s="25">
        <v>0.32618889055003603</v>
      </c>
      <c r="BN36" s="25">
        <v>13.30070227708023</v>
      </c>
      <c r="BO36" s="26" t="s">
        <v>176</v>
      </c>
      <c r="BP36" s="26"/>
      <c r="BQ36" s="33" t="s">
        <v>268</v>
      </c>
      <c r="BR36" s="33">
        <v>716.42</v>
      </c>
      <c r="BS36" s="33">
        <v>838.72</v>
      </c>
      <c r="BT36" s="33">
        <v>122.3</v>
      </c>
      <c r="BU36" s="36">
        <f t="shared" si="24"/>
        <v>17.057619047619049</v>
      </c>
      <c r="BV36" s="36">
        <f t="shared" si="25"/>
        <v>19.96952380952381</v>
      </c>
      <c r="BW36" s="36">
        <f t="shared" si="26"/>
        <v>2.9119047619047618</v>
      </c>
      <c r="BX36" s="37">
        <f t="shared" si="27"/>
        <v>25.427506654835845</v>
      </c>
      <c r="BY36" s="37">
        <f t="shared" si="28"/>
        <v>29.768234250221827</v>
      </c>
      <c r="BZ36" s="37">
        <f t="shared" si="29"/>
        <v>4.3407275953859807</v>
      </c>
      <c r="CA36" s="34">
        <v>23</v>
      </c>
      <c r="CB36" s="34">
        <v>19</v>
      </c>
    </row>
    <row r="37" spans="1:80" x14ac:dyDescent="0.4">
      <c r="A37" s="47" t="s">
        <v>178</v>
      </c>
      <c r="B37" s="47" t="s">
        <v>257</v>
      </c>
      <c r="C37" s="48" t="s">
        <v>290</v>
      </c>
      <c r="D37" s="42">
        <v>32</v>
      </c>
      <c r="E37" s="43">
        <v>22</v>
      </c>
      <c r="F37" s="43">
        <v>38</v>
      </c>
      <c r="G37" s="44">
        <v>43456</v>
      </c>
      <c r="H37" s="15">
        <v>328</v>
      </c>
      <c r="I37" s="22">
        <f t="shared" si="0"/>
        <v>10.25</v>
      </c>
      <c r="J37" s="45">
        <v>131</v>
      </c>
      <c r="K37" s="45">
        <v>241</v>
      </c>
      <c r="L37" s="22">
        <f t="shared" si="30"/>
        <v>4.09375</v>
      </c>
      <c r="M37" s="22">
        <f t="shared" si="31"/>
        <v>7.53125</v>
      </c>
      <c r="N37" s="24">
        <f t="shared" si="32"/>
        <v>0.54356846473029041</v>
      </c>
      <c r="O37" s="15">
        <v>131</v>
      </c>
      <c r="P37" s="15">
        <v>234</v>
      </c>
      <c r="Q37" s="22">
        <f t="shared" si="3"/>
        <v>4.09375</v>
      </c>
      <c r="R37" s="22">
        <f t="shared" si="4"/>
        <v>7.3125</v>
      </c>
      <c r="S37" s="24">
        <f t="shared" si="5"/>
        <v>0.55982905982905984</v>
      </c>
      <c r="T37" s="15">
        <v>0</v>
      </c>
      <c r="U37" s="15">
        <v>7</v>
      </c>
      <c r="V37" s="22">
        <f t="shared" si="6"/>
        <v>0</v>
      </c>
      <c r="W37" s="22">
        <f t="shared" si="7"/>
        <v>0.21875</v>
      </c>
      <c r="X37" s="24">
        <f t="shared" si="8"/>
        <v>0</v>
      </c>
      <c r="Y37" s="15">
        <v>66</v>
      </c>
      <c r="Z37" s="15">
        <v>82</v>
      </c>
      <c r="AA37" s="22">
        <f t="shared" si="9"/>
        <v>2.0625</v>
      </c>
      <c r="AB37" s="22">
        <f t="shared" si="10"/>
        <v>2.5625</v>
      </c>
      <c r="AC37" s="24">
        <f t="shared" si="11"/>
        <v>0.80487804878048785</v>
      </c>
      <c r="AD37" s="10">
        <v>308</v>
      </c>
      <c r="AE37" s="22">
        <f t="shared" si="12"/>
        <v>9.625</v>
      </c>
      <c r="AF37" s="10">
        <v>74</v>
      </c>
      <c r="AG37" s="22">
        <f t="shared" si="13"/>
        <v>2.3125</v>
      </c>
      <c r="AH37" s="10">
        <v>234</v>
      </c>
      <c r="AI37" s="22">
        <f t="shared" si="14"/>
        <v>7.3125</v>
      </c>
      <c r="AJ37" s="10">
        <v>29</v>
      </c>
      <c r="AK37" s="22">
        <f t="shared" si="15"/>
        <v>0.90625</v>
      </c>
      <c r="AL37" s="10">
        <v>20</v>
      </c>
      <c r="AM37" s="22">
        <f t="shared" si="16"/>
        <v>0.625</v>
      </c>
      <c r="AN37" s="10">
        <v>15</v>
      </c>
      <c r="AO37" s="22">
        <f t="shared" si="17"/>
        <v>0.46875</v>
      </c>
      <c r="AP37" s="10">
        <v>37</v>
      </c>
      <c r="AQ37" s="22">
        <f t="shared" si="18"/>
        <v>1.15625</v>
      </c>
      <c r="AR37" s="46">
        <v>60</v>
      </c>
      <c r="AS37" s="22">
        <f t="shared" si="19"/>
        <v>1.875</v>
      </c>
      <c r="AT37" s="25">
        <v>3.1011608446705798</v>
      </c>
      <c r="AU37" s="25">
        <v>0.17127176977193925</v>
      </c>
      <c r="AV37" s="25">
        <v>1.8695203108989975</v>
      </c>
      <c r="AW37" s="25">
        <v>1.2316405337715821</v>
      </c>
      <c r="AX37" s="25">
        <v>116.68306154512011</v>
      </c>
      <c r="AY37" s="25">
        <v>104.72011630205557</v>
      </c>
      <c r="AZ37" s="25">
        <v>12.605307523798698</v>
      </c>
      <c r="BA37" s="25">
        <v>16.78125</v>
      </c>
      <c r="BB37" s="25">
        <v>29.657584683357882</v>
      </c>
      <c r="BC37" s="24">
        <v>0.59188681969106394</v>
      </c>
      <c r="BD37" s="24">
        <v>0.54356846473029041</v>
      </c>
      <c r="BE37" s="25">
        <v>11.569849726041223</v>
      </c>
      <c r="BF37" s="24">
        <v>2.9045643153526972E-2</v>
      </c>
      <c r="BG37" s="24">
        <v>0.34024896265560167</v>
      </c>
      <c r="BH37" s="25">
        <v>6.807941678632953</v>
      </c>
      <c r="BI37" s="25">
        <v>21.527815578379876</v>
      </c>
      <c r="BJ37" s="25">
        <v>13.202277392850267</v>
      </c>
      <c r="BK37" s="25">
        <v>3.2655236708239541</v>
      </c>
      <c r="BL37" s="25">
        <v>1.4793070464043103</v>
      </c>
      <c r="BM37" s="25">
        <v>1.1601563632965199</v>
      </c>
      <c r="BN37" s="25">
        <v>11.780438104941418</v>
      </c>
      <c r="BO37" s="26" t="s">
        <v>249</v>
      </c>
      <c r="BP37" s="27"/>
      <c r="BQ37" s="32" t="s">
        <v>268</v>
      </c>
      <c r="BR37" s="32">
        <v>756.52</v>
      </c>
      <c r="BS37" s="32">
        <v>934.12</v>
      </c>
      <c r="BT37" s="32">
        <v>177.6</v>
      </c>
      <c r="BU37" s="36">
        <f t="shared" si="24"/>
        <v>23.641249999999999</v>
      </c>
      <c r="BV37" s="36">
        <f t="shared" si="25"/>
        <v>29.19125</v>
      </c>
      <c r="BW37" s="36">
        <f t="shared" si="26"/>
        <v>5.55</v>
      </c>
      <c r="BX37" s="37">
        <f t="shared" si="27"/>
        <v>41.781296023564067</v>
      </c>
      <c r="BY37" s="37">
        <f t="shared" si="28"/>
        <v>51.589837997054495</v>
      </c>
      <c r="BZ37" s="37">
        <f t="shared" si="29"/>
        <v>9.8085419734904278</v>
      </c>
      <c r="CA37" s="35">
        <v>13</v>
      </c>
      <c r="CB37" s="35">
        <v>19</v>
      </c>
    </row>
    <row r="38" spans="1:80" x14ac:dyDescent="0.4">
      <c r="A38" s="16" t="s">
        <v>178</v>
      </c>
      <c r="B38" s="16" t="s">
        <v>257</v>
      </c>
      <c r="C38" s="16" t="s">
        <v>131</v>
      </c>
      <c r="D38" s="39">
        <v>37</v>
      </c>
      <c r="E38" s="39">
        <v>13</v>
      </c>
      <c r="F38" s="39">
        <v>25</v>
      </c>
      <c r="G38" s="67">
        <v>29785</v>
      </c>
      <c r="H38" s="67">
        <v>196</v>
      </c>
      <c r="I38" s="22">
        <f t="shared" si="0"/>
        <v>5.2972972972972974</v>
      </c>
      <c r="J38" s="39">
        <v>73</v>
      </c>
      <c r="K38" s="39">
        <v>148</v>
      </c>
      <c r="L38" s="22">
        <f t="shared" si="30"/>
        <v>1.972972972972973</v>
      </c>
      <c r="M38" s="22">
        <f t="shared" si="31"/>
        <v>4</v>
      </c>
      <c r="N38" s="24">
        <f t="shared" si="32"/>
        <v>0.49324324324324326</v>
      </c>
      <c r="O38" s="21">
        <v>39</v>
      </c>
      <c r="P38" s="23">
        <v>67</v>
      </c>
      <c r="Q38" s="22">
        <f t="shared" si="3"/>
        <v>1.0540540540540539</v>
      </c>
      <c r="R38" s="22">
        <f t="shared" si="4"/>
        <v>1.8108108108108107</v>
      </c>
      <c r="S38" s="24">
        <f t="shared" si="5"/>
        <v>0.58208955223880599</v>
      </c>
      <c r="T38" s="23">
        <v>34</v>
      </c>
      <c r="U38" s="23">
        <v>81</v>
      </c>
      <c r="V38" s="22">
        <f t="shared" si="6"/>
        <v>0.91891891891891897</v>
      </c>
      <c r="W38" s="22">
        <f t="shared" si="7"/>
        <v>2.189189189189189</v>
      </c>
      <c r="X38" s="24">
        <f t="shared" si="8"/>
        <v>0.41975308641975306</v>
      </c>
      <c r="Y38" s="23">
        <v>16</v>
      </c>
      <c r="Z38" s="23">
        <v>21</v>
      </c>
      <c r="AA38" s="22">
        <f t="shared" si="9"/>
        <v>0.43243243243243246</v>
      </c>
      <c r="AB38" s="22">
        <f t="shared" si="10"/>
        <v>0.56756756756756754</v>
      </c>
      <c r="AC38" s="24">
        <f t="shared" si="11"/>
        <v>0.76190476190476186</v>
      </c>
      <c r="AD38" s="39">
        <v>37</v>
      </c>
      <c r="AE38" s="22">
        <f t="shared" si="12"/>
        <v>1</v>
      </c>
      <c r="AF38" s="39">
        <v>16</v>
      </c>
      <c r="AG38" s="22">
        <f t="shared" si="13"/>
        <v>0.43243243243243246</v>
      </c>
      <c r="AH38" s="39">
        <v>21</v>
      </c>
      <c r="AI38" s="22">
        <f t="shared" si="14"/>
        <v>0.56756756756756754</v>
      </c>
      <c r="AJ38" s="39">
        <v>30</v>
      </c>
      <c r="AK38" s="22">
        <f t="shared" si="15"/>
        <v>0.81081081081081086</v>
      </c>
      <c r="AL38" s="39">
        <v>12</v>
      </c>
      <c r="AM38" s="22">
        <f t="shared" si="16"/>
        <v>0.32432432432432434</v>
      </c>
      <c r="AN38" s="39">
        <v>0</v>
      </c>
      <c r="AO38" s="22">
        <f t="shared" si="17"/>
        <v>0</v>
      </c>
      <c r="AP38" s="10">
        <v>16</v>
      </c>
      <c r="AQ38" s="22">
        <f t="shared" si="18"/>
        <v>0.43243243243243246</v>
      </c>
      <c r="AR38" s="39">
        <v>58</v>
      </c>
      <c r="AS38" s="22">
        <f t="shared" si="19"/>
        <v>1.5675675675675675</v>
      </c>
      <c r="AT38" s="25">
        <v>1.0876990403370259</v>
      </c>
      <c r="AU38" s="25">
        <v>8.7644038838638971E-2</v>
      </c>
      <c r="AV38" s="25">
        <v>1.2235372912732703</v>
      </c>
      <c r="AW38" s="25">
        <v>-0.13583825093624444</v>
      </c>
      <c r="AX38" s="25">
        <v>120.86445201049354</v>
      </c>
      <c r="AY38" s="25">
        <v>118.77557059130049</v>
      </c>
      <c r="AZ38" s="25">
        <v>8.0625490008718703</v>
      </c>
      <c r="BA38" s="25">
        <v>4.8378378378378377</v>
      </c>
      <c r="BB38" s="25">
        <v>14.423367466845727</v>
      </c>
      <c r="BC38" s="24">
        <v>0.62325108114983463</v>
      </c>
      <c r="BD38" s="24">
        <v>0.60810810810810811</v>
      </c>
      <c r="BE38" s="25">
        <v>10.765631262836386</v>
      </c>
      <c r="BF38" s="24">
        <v>0.54729729729729726</v>
      </c>
      <c r="BG38" s="24">
        <v>0.14189189189189189</v>
      </c>
      <c r="BH38" s="25">
        <v>2.4831787274355683</v>
      </c>
      <c r="BI38" s="25">
        <v>3.2591720797591832</v>
      </c>
      <c r="BJ38" s="25">
        <v>2.67549257837039</v>
      </c>
      <c r="BK38" s="25">
        <v>5.6488088466622992</v>
      </c>
      <c r="BL38" s="25">
        <v>1.2949760015151059</v>
      </c>
      <c r="BM38" s="25">
        <v>0</v>
      </c>
      <c r="BN38" s="25">
        <v>9.2357423227891928</v>
      </c>
      <c r="BO38" s="26" t="s">
        <v>176</v>
      </c>
      <c r="BP38" s="27"/>
      <c r="BQ38" s="33" t="s">
        <v>267</v>
      </c>
      <c r="BR38" s="33">
        <v>331.33</v>
      </c>
      <c r="BS38" s="33">
        <v>429.63</v>
      </c>
      <c r="BT38" s="33">
        <v>98.3</v>
      </c>
      <c r="BU38" s="36">
        <f t="shared" si="24"/>
        <v>8.9548648648648648</v>
      </c>
      <c r="BV38" s="36">
        <f t="shared" si="25"/>
        <v>11.611621621621621</v>
      </c>
      <c r="BW38" s="36">
        <f t="shared" si="26"/>
        <v>2.6567567567567565</v>
      </c>
      <c r="BX38" s="37">
        <f t="shared" si="27"/>
        <v>26.697733758603327</v>
      </c>
      <c r="BY38" s="37">
        <f t="shared" si="28"/>
        <v>34.618499244586204</v>
      </c>
      <c r="BZ38" s="37">
        <f t="shared" si="29"/>
        <v>7.9207654859828773</v>
      </c>
      <c r="CA38" s="34">
        <v>19</v>
      </c>
      <c r="CB38" s="34">
        <v>18</v>
      </c>
    </row>
    <row r="39" spans="1:80" x14ac:dyDescent="0.4">
      <c r="A39" s="16" t="s">
        <v>178</v>
      </c>
      <c r="B39" s="16" t="s">
        <v>251</v>
      </c>
      <c r="C39" s="16" t="s">
        <v>61</v>
      </c>
      <c r="D39" s="29">
        <v>44</v>
      </c>
      <c r="E39" s="29">
        <v>28</v>
      </c>
      <c r="F39" s="29">
        <v>29</v>
      </c>
      <c r="G39" s="21">
        <v>75196</v>
      </c>
      <c r="H39" s="21">
        <v>587</v>
      </c>
      <c r="I39" s="22">
        <f t="shared" si="0"/>
        <v>13.340909090909092</v>
      </c>
      <c r="J39" s="23">
        <v>230</v>
      </c>
      <c r="K39" s="23">
        <v>469</v>
      </c>
      <c r="L39" s="22">
        <f t="shared" si="30"/>
        <v>5.2272727272727275</v>
      </c>
      <c r="M39" s="22">
        <f t="shared" si="31"/>
        <v>10.659090909090908</v>
      </c>
      <c r="N39" s="24">
        <f t="shared" si="32"/>
        <v>0.49040511727078889</v>
      </c>
      <c r="O39" s="21">
        <v>180</v>
      </c>
      <c r="P39" s="23">
        <v>324</v>
      </c>
      <c r="Q39" s="22">
        <f t="shared" si="3"/>
        <v>4.0909090909090908</v>
      </c>
      <c r="R39" s="22">
        <f t="shared" si="4"/>
        <v>7.3636363636363633</v>
      </c>
      <c r="S39" s="24">
        <f t="shared" si="5"/>
        <v>0.55555555555555558</v>
      </c>
      <c r="T39" s="23">
        <v>50</v>
      </c>
      <c r="U39" s="23">
        <v>145</v>
      </c>
      <c r="V39" s="22">
        <f t="shared" si="6"/>
        <v>1.1363636363636365</v>
      </c>
      <c r="W39" s="22">
        <f t="shared" si="7"/>
        <v>3.2954545454545454</v>
      </c>
      <c r="X39" s="24">
        <f t="shared" si="8"/>
        <v>0.34482758620689657</v>
      </c>
      <c r="Y39" s="15">
        <v>77</v>
      </c>
      <c r="Z39" s="15">
        <v>102</v>
      </c>
      <c r="AA39" s="22">
        <f t="shared" si="9"/>
        <v>1.75</v>
      </c>
      <c r="AB39" s="22">
        <f t="shared" si="10"/>
        <v>2.3181818181818183</v>
      </c>
      <c r="AC39" s="24">
        <f t="shared" si="11"/>
        <v>0.75490196078431371</v>
      </c>
      <c r="AD39" s="23">
        <v>112</v>
      </c>
      <c r="AE39" s="22">
        <f t="shared" si="12"/>
        <v>2.5454545454545454</v>
      </c>
      <c r="AF39" s="23">
        <v>33</v>
      </c>
      <c r="AG39" s="22">
        <f t="shared" si="13"/>
        <v>0.75</v>
      </c>
      <c r="AH39" s="23">
        <v>79</v>
      </c>
      <c r="AI39" s="22">
        <f t="shared" si="14"/>
        <v>1.7954545454545454</v>
      </c>
      <c r="AJ39" s="23">
        <v>235</v>
      </c>
      <c r="AK39" s="22">
        <f t="shared" si="15"/>
        <v>5.3409090909090908</v>
      </c>
      <c r="AL39" s="23">
        <v>55</v>
      </c>
      <c r="AM39" s="22">
        <f t="shared" si="16"/>
        <v>1.25</v>
      </c>
      <c r="AN39" s="41">
        <v>5</v>
      </c>
      <c r="AO39" s="22">
        <f t="shared" si="17"/>
        <v>0.11363636363636363</v>
      </c>
      <c r="AP39" s="12">
        <v>92</v>
      </c>
      <c r="AQ39" s="22">
        <f t="shared" si="18"/>
        <v>2.0909090909090908</v>
      </c>
      <c r="AR39" s="23">
        <v>51</v>
      </c>
      <c r="AS39" s="22">
        <f t="shared" si="19"/>
        <v>1.1590909090909092</v>
      </c>
      <c r="AT39" s="25">
        <v>4.5914150562071026</v>
      </c>
      <c r="AU39" s="25">
        <v>0.14654231787458172</v>
      </c>
      <c r="AV39" s="25">
        <v>3.1705088952647071</v>
      </c>
      <c r="AW39" s="25">
        <v>1.4209061609423952</v>
      </c>
      <c r="AX39" s="25">
        <v>115.15546440087716</v>
      </c>
      <c r="AY39" s="25">
        <v>108.77750580243537</v>
      </c>
      <c r="AZ39" s="25">
        <v>15.002091604872469</v>
      </c>
      <c r="BA39" s="25">
        <v>14.5</v>
      </c>
      <c r="BB39" s="25">
        <v>20.362785254534813</v>
      </c>
      <c r="BC39" s="24">
        <v>0.57114501440024912</v>
      </c>
      <c r="BD39" s="24">
        <v>0.54371002132196167</v>
      </c>
      <c r="BE39" s="25">
        <v>17.735023158156025</v>
      </c>
      <c r="BF39" s="24">
        <v>0.30916844349680173</v>
      </c>
      <c r="BG39" s="24">
        <v>0.21748400852878466</v>
      </c>
      <c r="BH39" s="25">
        <v>2.4124357407228598</v>
      </c>
      <c r="BI39" s="25">
        <v>5.7752249550638153</v>
      </c>
      <c r="BJ39" s="25">
        <v>3.8148183838482179</v>
      </c>
      <c r="BK39" s="25">
        <v>22.328595369033483</v>
      </c>
      <c r="BL39" s="25">
        <v>2.3509642703534857</v>
      </c>
      <c r="BM39" s="25">
        <v>0.30729322047136215</v>
      </c>
      <c r="BN39" s="25">
        <v>15.184524988446558</v>
      </c>
      <c r="BO39" s="26" t="s">
        <v>176</v>
      </c>
      <c r="BP39" s="26"/>
      <c r="BQ39" s="33" t="s">
        <v>267</v>
      </c>
      <c r="BR39" s="33">
        <v>1058.33</v>
      </c>
      <c r="BS39" s="33">
        <v>1445.83</v>
      </c>
      <c r="BT39" s="33">
        <v>387.5</v>
      </c>
      <c r="BU39" s="36">
        <f t="shared" si="24"/>
        <v>24.052954545454547</v>
      </c>
      <c r="BV39" s="36">
        <f t="shared" si="25"/>
        <v>32.859772727272727</v>
      </c>
      <c r="BW39" s="36">
        <f t="shared" si="26"/>
        <v>8.8068181818181817</v>
      </c>
      <c r="BX39" s="37">
        <f t="shared" si="27"/>
        <v>33.778286079046765</v>
      </c>
      <c r="BY39" s="37">
        <f t="shared" si="28"/>
        <v>46.145965210915477</v>
      </c>
      <c r="BZ39" s="37">
        <f t="shared" si="29"/>
        <v>12.367679131868716</v>
      </c>
      <c r="CA39" s="35">
        <v>33</v>
      </c>
      <c r="CB39" s="35">
        <v>11</v>
      </c>
    </row>
    <row r="40" spans="1:80" x14ac:dyDescent="0.4">
      <c r="A40" s="16" t="s">
        <v>178</v>
      </c>
      <c r="B40" s="16" t="s">
        <v>251</v>
      </c>
      <c r="C40" s="16" t="s">
        <v>128</v>
      </c>
      <c r="D40" s="23">
        <v>5</v>
      </c>
      <c r="E40" s="23">
        <v>3</v>
      </c>
      <c r="F40" s="23">
        <v>8</v>
      </c>
      <c r="G40" s="21">
        <v>940</v>
      </c>
      <c r="H40" s="21">
        <v>2</v>
      </c>
      <c r="I40" s="22">
        <f t="shared" si="0"/>
        <v>0.4</v>
      </c>
      <c r="J40" s="23">
        <v>1</v>
      </c>
      <c r="K40" s="23">
        <v>4</v>
      </c>
      <c r="L40" s="22">
        <f t="shared" si="30"/>
        <v>0.2</v>
      </c>
      <c r="M40" s="22">
        <f t="shared" si="31"/>
        <v>0.8</v>
      </c>
      <c r="N40" s="24">
        <f t="shared" si="32"/>
        <v>0.25</v>
      </c>
      <c r="O40" s="21">
        <v>1</v>
      </c>
      <c r="P40" s="23">
        <v>3</v>
      </c>
      <c r="Q40" s="22">
        <f t="shared" si="3"/>
        <v>0.2</v>
      </c>
      <c r="R40" s="22">
        <f t="shared" si="4"/>
        <v>0.6</v>
      </c>
      <c r="S40" s="24">
        <f t="shared" si="5"/>
        <v>0.33333333333333331</v>
      </c>
      <c r="T40" s="23">
        <v>0</v>
      </c>
      <c r="U40" s="23">
        <v>1</v>
      </c>
      <c r="V40" s="22">
        <f t="shared" si="6"/>
        <v>0</v>
      </c>
      <c r="W40" s="22">
        <f t="shared" si="7"/>
        <v>0.2</v>
      </c>
      <c r="X40" s="24">
        <f t="shared" si="8"/>
        <v>0</v>
      </c>
      <c r="Y40" s="23">
        <v>0</v>
      </c>
      <c r="Z40" s="23">
        <v>0</v>
      </c>
      <c r="AA40" s="22">
        <f t="shared" si="9"/>
        <v>0</v>
      </c>
      <c r="AB40" s="22">
        <f t="shared" si="10"/>
        <v>0</v>
      </c>
      <c r="AC40" s="24" t="e">
        <f t="shared" si="11"/>
        <v>#DIV/0!</v>
      </c>
      <c r="AD40" s="23">
        <v>3</v>
      </c>
      <c r="AE40" s="22">
        <f t="shared" si="12"/>
        <v>0.6</v>
      </c>
      <c r="AF40" s="23">
        <v>1</v>
      </c>
      <c r="AG40" s="22">
        <f t="shared" si="13"/>
        <v>0.2</v>
      </c>
      <c r="AH40" s="23">
        <v>2</v>
      </c>
      <c r="AI40" s="22">
        <f t="shared" si="14"/>
        <v>0.4</v>
      </c>
      <c r="AJ40" s="23">
        <v>1</v>
      </c>
      <c r="AK40" s="22">
        <f t="shared" si="15"/>
        <v>0.2</v>
      </c>
      <c r="AL40" s="23">
        <v>0</v>
      </c>
      <c r="AM40" s="22">
        <f t="shared" si="16"/>
        <v>0</v>
      </c>
      <c r="AN40" s="39">
        <v>1</v>
      </c>
      <c r="AO40" s="22">
        <f t="shared" si="17"/>
        <v>0.2</v>
      </c>
      <c r="AP40" s="10">
        <v>0</v>
      </c>
      <c r="AQ40" s="22">
        <f t="shared" si="18"/>
        <v>0</v>
      </c>
      <c r="AR40" s="23">
        <v>2</v>
      </c>
      <c r="AS40" s="22">
        <f t="shared" si="19"/>
        <v>0.4</v>
      </c>
      <c r="AT40" s="25">
        <v>-9.9140663975901336E-4</v>
      </c>
      <c r="AU40" s="25">
        <v>-2.5312509951293961E-3</v>
      </c>
      <c r="AV40" s="25">
        <v>-2.0737010278459731E-2</v>
      </c>
      <c r="AW40" s="25">
        <v>1.9745603638700718E-2</v>
      </c>
      <c r="AX40" s="25">
        <v>83.267258018849205</v>
      </c>
      <c r="AY40" s="25">
        <v>107.87866048697488</v>
      </c>
      <c r="AZ40" s="25">
        <v>0.31952966587531939</v>
      </c>
      <c r="BA40" s="25">
        <v>0.8</v>
      </c>
      <c r="BB40" s="25">
        <v>10.212765957446809</v>
      </c>
      <c r="BC40" s="24">
        <v>0.25</v>
      </c>
      <c r="BD40" s="24">
        <v>0.25</v>
      </c>
      <c r="BE40" s="25">
        <v>1.0643619682181515</v>
      </c>
      <c r="BF40" s="24">
        <v>0.25</v>
      </c>
      <c r="BG40" s="24">
        <v>0</v>
      </c>
      <c r="BH40" s="25">
        <v>0.66454749853245765</v>
      </c>
      <c r="BI40" s="25">
        <v>1.3290949970649153</v>
      </c>
      <c r="BJ40" s="25">
        <v>0.92888363668264695</v>
      </c>
      <c r="BK40" s="25">
        <v>0.71388627791592796</v>
      </c>
      <c r="BL40" s="25">
        <v>0</v>
      </c>
      <c r="BM40" s="25">
        <v>0.55868522743144466</v>
      </c>
      <c r="BN40" s="25">
        <v>0</v>
      </c>
      <c r="BO40" s="26" t="s">
        <v>176</v>
      </c>
      <c r="BP40" s="27"/>
      <c r="BQ40" s="32" t="s">
        <v>266</v>
      </c>
      <c r="BR40" s="32">
        <v>9.02</v>
      </c>
      <c r="BS40" s="32">
        <v>11.92</v>
      </c>
      <c r="BT40" s="32">
        <v>2.9</v>
      </c>
      <c r="BU40" s="36">
        <f t="shared" si="24"/>
        <v>1.8039999999999998</v>
      </c>
      <c r="BV40" s="36">
        <f t="shared" si="25"/>
        <v>2.3839999999999999</v>
      </c>
      <c r="BW40" s="36">
        <f t="shared" si="26"/>
        <v>0.57999999999999996</v>
      </c>
      <c r="BX40" s="37">
        <f t="shared" si="27"/>
        <v>23.029787234042551</v>
      </c>
      <c r="BY40" s="37">
        <f t="shared" si="28"/>
        <v>30.434042553191489</v>
      </c>
      <c r="BZ40" s="37">
        <f t="shared" si="29"/>
        <v>7.4042553191489358</v>
      </c>
      <c r="CA40" s="35">
        <v>5</v>
      </c>
      <c r="CB40" s="35">
        <v>0</v>
      </c>
    </row>
    <row r="41" spans="1:80" x14ac:dyDescent="0.4">
      <c r="A41" s="16" t="s">
        <v>178</v>
      </c>
      <c r="B41" s="38" t="s">
        <v>251</v>
      </c>
      <c r="C41" s="38" t="s">
        <v>64</v>
      </c>
      <c r="D41" s="23">
        <v>3</v>
      </c>
      <c r="E41" s="23">
        <v>2</v>
      </c>
      <c r="F41" s="23">
        <v>36</v>
      </c>
      <c r="G41" s="21">
        <v>468</v>
      </c>
      <c r="H41" s="21">
        <v>0</v>
      </c>
      <c r="I41" s="22">
        <f t="shared" si="0"/>
        <v>0</v>
      </c>
      <c r="J41" s="23">
        <v>0</v>
      </c>
      <c r="K41" s="23">
        <v>0</v>
      </c>
      <c r="L41" s="22">
        <f t="shared" si="30"/>
        <v>0</v>
      </c>
      <c r="M41" s="22">
        <f t="shared" si="31"/>
        <v>0</v>
      </c>
      <c r="N41" s="24" t="e">
        <f t="shared" si="32"/>
        <v>#DIV/0!</v>
      </c>
      <c r="O41" s="21">
        <v>0</v>
      </c>
      <c r="P41" s="23">
        <v>0</v>
      </c>
      <c r="Q41" s="22">
        <f t="shared" si="3"/>
        <v>0</v>
      </c>
      <c r="R41" s="22">
        <f t="shared" si="4"/>
        <v>0</v>
      </c>
      <c r="S41" s="24" t="e">
        <f t="shared" si="5"/>
        <v>#DIV/0!</v>
      </c>
      <c r="T41" s="23">
        <v>0</v>
      </c>
      <c r="U41" s="23">
        <v>0</v>
      </c>
      <c r="V41" s="22">
        <f t="shared" si="6"/>
        <v>0</v>
      </c>
      <c r="W41" s="22">
        <f t="shared" si="7"/>
        <v>0</v>
      </c>
      <c r="X41" s="24" t="e">
        <f t="shared" si="8"/>
        <v>#DIV/0!</v>
      </c>
      <c r="Y41" s="23">
        <v>0</v>
      </c>
      <c r="Z41" s="23">
        <v>0</v>
      </c>
      <c r="AA41" s="22">
        <f t="shared" si="9"/>
        <v>0</v>
      </c>
      <c r="AB41" s="22">
        <f t="shared" si="10"/>
        <v>0</v>
      </c>
      <c r="AC41" s="24" t="e">
        <f t="shared" si="11"/>
        <v>#DIV/0!</v>
      </c>
      <c r="AD41" s="23">
        <v>0</v>
      </c>
      <c r="AE41" s="22">
        <f t="shared" si="12"/>
        <v>0</v>
      </c>
      <c r="AF41" s="23">
        <v>0</v>
      </c>
      <c r="AG41" s="22">
        <f t="shared" si="13"/>
        <v>0</v>
      </c>
      <c r="AH41" s="23">
        <v>0</v>
      </c>
      <c r="AI41" s="22">
        <f t="shared" si="14"/>
        <v>0</v>
      </c>
      <c r="AJ41" s="23">
        <v>0</v>
      </c>
      <c r="AK41" s="22">
        <f t="shared" si="15"/>
        <v>0</v>
      </c>
      <c r="AL41" s="23">
        <v>0</v>
      </c>
      <c r="AM41" s="22">
        <f t="shared" si="16"/>
        <v>0</v>
      </c>
      <c r="AN41" s="23">
        <v>0</v>
      </c>
      <c r="AO41" s="22">
        <f t="shared" si="17"/>
        <v>0</v>
      </c>
      <c r="AP41" s="10">
        <v>0</v>
      </c>
      <c r="AQ41" s="22">
        <f t="shared" si="18"/>
        <v>0</v>
      </c>
      <c r="AR41" s="23">
        <v>2</v>
      </c>
      <c r="AS41" s="22">
        <f t="shared" si="19"/>
        <v>0.66666666666666663</v>
      </c>
      <c r="AT41" s="25">
        <v>7.8314590085163662E-4</v>
      </c>
      <c r="AU41" s="25">
        <v>4.016132824880188E-3</v>
      </c>
      <c r="AV41" s="25">
        <v>0</v>
      </c>
      <c r="AW41" s="25">
        <v>7.8314590085163662E-4</v>
      </c>
      <c r="AX41" s="25">
        <v>0</v>
      </c>
      <c r="AY41" s="25">
        <v>116.1144849742893</v>
      </c>
      <c r="AZ41" s="25">
        <v>-0.45309778178573118</v>
      </c>
      <c r="BA41" s="25">
        <v>0</v>
      </c>
      <c r="BB41" s="25">
        <v>0</v>
      </c>
      <c r="BC41" s="24">
        <v>0</v>
      </c>
      <c r="BD41" s="24" t="e">
        <v>#DIV/0!</v>
      </c>
      <c r="BE41" s="25">
        <v>0</v>
      </c>
      <c r="BF41" s="24">
        <v>0</v>
      </c>
      <c r="BG41" s="24">
        <v>0</v>
      </c>
      <c r="BH41" s="25">
        <v>0</v>
      </c>
      <c r="BI41" s="25">
        <v>0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6" t="s">
        <v>176</v>
      </c>
      <c r="BP41" s="27"/>
      <c r="BQ41" s="33" t="s">
        <v>268</v>
      </c>
      <c r="BR41" s="33">
        <v>1.95</v>
      </c>
      <c r="BS41" s="33">
        <v>1.95</v>
      </c>
      <c r="BT41" s="33">
        <v>0</v>
      </c>
      <c r="BU41" s="36">
        <f t="shared" si="24"/>
        <v>0.65</v>
      </c>
      <c r="BV41" s="36">
        <f t="shared" si="25"/>
        <v>0.65</v>
      </c>
      <c r="BW41" s="36">
        <f t="shared" si="26"/>
        <v>0</v>
      </c>
      <c r="BX41" s="37">
        <f t="shared" si="27"/>
        <v>10</v>
      </c>
      <c r="BY41" s="37">
        <f t="shared" si="28"/>
        <v>10</v>
      </c>
      <c r="BZ41" s="37">
        <f t="shared" si="29"/>
        <v>0</v>
      </c>
      <c r="CA41" s="35">
        <v>2</v>
      </c>
      <c r="CB41" s="35">
        <v>1</v>
      </c>
    </row>
    <row r="42" spans="1:80" x14ac:dyDescent="0.4">
      <c r="A42" s="16" t="s">
        <v>178</v>
      </c>
      <c r="B42" s="16" t="s">
        <v>251</v>
      </c>
      <c r="C42" s="16" t="s">
        <v>58</v>
      </c>
      <c r="D42" s="23">
        <v>51</v>
      </c>
      <c r="E42" s="23">
        <v>12</v>
      </c>
      <c r="F42" s="23">
        <v>52</v>
      </c>
      <c r="G42" s="21">
        <v>39372</v>
      </c>
      <c r="H42" s="21">
        <v>254</v>
      </c>
      <c r="I42" s="22">
        <f t="shared" si="0"/>
        <v>4.9803921568627452</v>
      </c>
      <c r="J42" s="23">
        <v>105</v>
      </c>
      <c r="K42" s="23">
        <v>213</v>
      </c>
      <c r="L42" s="22">
        <f t="shared" si="30"/>
        <v>2.0588235294117645</v>
      </c>
      <c r="M42" s="22">
        <f t="shared" si="31"/>
        <v>4.1764705882352944</v>
      </c>
      <c r="N42" s="24">
        <f t="shared" si="32"/>
        <v>0.49295774647887325</v>
      </c>
      <c r="O42" s="21">
        <v>102</v>
      </c>
      <c r="P42" s="23">
        <v>191</v>
      </c>
      <c r="Q42" s="22">
        <f t="shared" si="3"/>
        <v>2</v>
      </c>
      <c r="R42" s="22">
        <f t="shared" si="4"/>
        <v>3.7450980392156863</v>
      </c>
      <c r="S42" s="24">
        <f t="shared" si="5"/>
        <v>0.53403141361256545</v>
      </c>
      <c r="T42" s="23">
        <v>3</v>
      </c>
      <c r="U42" s="23">
        <v>22</v>
      </c>
      <c r="V42" s="22">
        <f t="shared" si="6"/>
        <v>5.8823529411764705E-2</v>
      </c>
      <c r="W42" s="22">
        <f t="shared" si="7"/>
        <v>0.43137254901960786</v>
      </c>
      <c r="X42" s="24">
        <f t="shared" si="8"/>
        <v>0.13636363636363635</v>
      </c>
      <c r="Y42" s="23">
        <v>41</v>
      </c>
      <c r="Z42" s="23">
        <v>60</v>
      </c>
      <c r="AA42" s="22">
        <f t="shared" si="9"/>
        <v>0.80392156862745101</v>
      </c>
      <c r="AB42" s="22">
        <f t="shared" si="10"/>
        <v>1.1764705882352942</v>
      </c>
      <c r="AC42" s="24">
        <f t="shared" si="11"/>
        <v>0.68333333333333335</v>
      </c>
      <c r="AD42" s="23">
        <v>221</v>
      </c>
      <c r="AE42" s="22">
        <f t="shared" si="12"/>
        <v>4.333333333333333</v>
      </c>
      <c r="AF42" s="23">
        <v>77</v>
      </c>
      <c r="AG42" s="22">
        <f t="shared" si="13"/>
        <v>1.5098039215686274</v>
      </c>
      <c r="AH42" s="23">
        <v>144</v>
      </c>
      <c r="AI42" s="22">
        <f t="shared" si="14"/>
        <v>2.8235294117647061</v>
      </c>
      <c r="AJ42" s="23">
        <v>27</v>
      </c>
      <c r="AK42" s="22">
        <f t="shared" si="15"/>
        <v>0.52941176470588236</v>
      </c>
      <c r="AL42" s="23">
        <v>36</v>
      </c>
      <c r="AM42" s="22">
        <f t="shared" si="16"/>
        <v>0.70588235294117652</v>
      </c>
      <c r="AN42" s="23">
        <v>13</v>
      </c>
      <c r="AO42" s="22">
        <f t="shared" si="17"/>
        <v>0.25490196078431371</v>
      </c>
      <c r="AP42" s="10">
        <v>34</v>
      </c>
      <c r="AQ42" s="22">
        <f t="shared" si="18"/>
        <v>0.66666666666666663</v>
      </c>
      <c r="AR42" s="23">
        <v>86</v>
      </c>
      <c r="AS42" s="22">
        <f t="shared" si="19"/>
        <v>1.6862745098039216</v>
      </c>
      <c r="AT42" s="25">
        <v>2.4460068442180969</v>
      </c>
      <c r="AU42" s="25">
        <v>0.14910130108004246</v>
      </c>
      <c r="AV42" s="25">
        <v>0.91209249357965339</v>
      </c>
      <c r="AW42" s="25">
        <v>1.5339143506384436</v>
      </c>
      <c r="AX42" s="25">
        <v>109.69495460556296</v>
      </c>
      <c r="AY42" s="25">
        <v>100.23030514373792</v>
      </c>
      <c r="AZ42" s="25">
        <v>15.330315096381621</v>
      </c>
      <c r="BA42" s="25">
        <v>7.6470588235294121</v>
      </c>
      <c r="BB42" s="25">
        <v>23.773239865894542</v>
      </c>
      <c r="BC42" s="24">
        <v>0.53049289891395157</v>
      </c>
      <c r="BD42" s="24">
        <v>0.5</v>
      </c>
      <c r="BE42" s="25">
        <v>17.716111941981353</v>
      </c>
      <c r="BF42" s="24">
        <v>0.10328638497652583</v>
      </c>
      <c r="BG42" s="24">
        <v>0.28169014084507044</v>
      </c>
      <c r="BH42" s="25">
        <v>12.461126410305514</v>
      </c>
      <c r="BI42" s="25">
        <v>23.303924715376546</v>
      </c>
      <c r="BJ42" s="25">
        <v>16.663755326809419</v>
      </c>
      <c r="BK42" s="25">
        <v>5.6923395867080364</v>
      </c>
      <c r="BL42" s="25">
        <v>2.9389561265717332</v>
      </c>
      <c r="BM42" s="25">
        <v>1.7686874298477342</v>
      </c>
      <c r="BN42" s="25">
        <v>12.435991221653257</v>
      </c>
      <c r="BO42" s="26" t="s">
        <v>249</v>
      </c>
      <c r="BP42" s="27"/>
      <c r="BQ42" s="33" t="s">
        <v>266</v>
      </c>
      <c r="BR42" s="33">
        <v>596.19000000000005</v>
      </c>
      <c r="BS42" s="33">
        <v>768.49</v>
      </c>
      <c r="BT42" s="33">
        <v>172.3</v>
      </c>
      <c r="BU42" s="36">
        <f t="shared" si="24"/>
        <v>11.69</v>
      </c>
      <c r="BV42" s="36">
        <f t="shared" si="25"/>
        <v>15.06843137254902</v>
      </c>
      <c r="BW42" s="36">
        <f t="shared" si="26"/>
        <v>3.37843137254902</v>
      </c>
      <c r="BX42" s="37">
        <f t="shared" si="27"/>
        <v>36.3419689119171</v>
      </c>
      <c r="BY42" s="37">
        <f t="shared" si="28"/>
        <v>46.844864370618716</v>
      </c>
      <c r="BZ42" s="37">
        <f t="shared" si="29"/>
        <v>10.502895458701616</v>
      </c>
      <c r="CA42" s="34">
        <v>37</v>
      </c>
      <c r="CB42" s="34">
        <v>14</v>
      </c>
    </row>
    <row r="43" spans="1:80" x14ac:dyDescent="0.4">
      <c r="A43" s="16" t="s">
        <v>178</v>
      </c>
      <c r="B43" s="16" t="s">
        <v>251</v>
      </c>
      <c r="C43" s="16" t="s">
        <v>158</v>
      </c>
      <c r="D43" s="39">
        <v>19</v>
      </c>
      <c r="E43" s="39">
        <v>5</v>
      </c>
      <c r="F43" s="39">
        <v>29</v>
      </c>
      <c r="G43" s="21">
        <v>6251</v>
      </c>
      <c r="H43" s="21">
        <v>49</v>
      </c>
      <c r="I43" s="22">
        <f t="shared" si="0"/>
        <v>2.5789473684210527</v>
      </c>
      <c r="J43" s="23">
        <v>18</v>
      </c>
      <c r="K43" s="23">
        <v>41</v>
      </c>
      <c r="L43" s="22">
        <f t="shared" si="30"/>
        <v>0.94736842105263153</v>
      </c>
      <c r="M43" s="22">
        <f t="shared" si="31"/>
        <v>2.1578947368421053</v>
      </c>
      <c r="N43" s="24">
        <f t="shared" si="32"/>
        <v>0.43902439024390244</v>
      </c>
      <c r="O43" s="21">
        <v>13</v>
      </c>
      <c r="P43" s="23">
        <v>30</v>
      </c>
      <c r="Q43" s="22">
        <f t="shared" si="3"/>
        <v>0.68421052631578949</v>
      </c>
      <c r="R43" s="22">
        <f t="shared" si="4"/>
        <v>1.5789473684210527</v>
      </c>
      <c r="S43" s="24">
        <f t="shared" si="5"/>
        <v>0.43333333333333335</v>
      </c>
      <c r="T43" s="23">
        <v>5</v>
      </c>
      <c r="U43" s="23">
        <v>11</v>
      </c>
      <c r="V43" s="22">
        <f t="shared" si="6"/>
        <v>0.26315789473684209</v>
      </c>
      <c r="W43" s="22">
        <f t="shared" si="7"/>
        <v>0.57894736842105265</v>
      </c>
      <c r="X43" s="24">
        <f t="shared" si="8"/>
        <v>0.45454545454545453</v>
      </c>
      <c r="Y43" s="23">
        <v>8</v>
      </c>
      <c r="Z43" s="23">
        <v>9</v>
      </c>
      <c r="AA43" s="22">
        <f t="shared" si="9"/>
        <v>0.42105263157894735</v>
      </c>
      <c r="AB43" s="22">
        <f t="shared" si="10"/>
        <v>0.47368421052631576</v>
      </c>
      <c r="AC43" s="24">
        <f t="shared" si="11"/>
        <v>0.88888888888888884</v>
      </c>
      <c r="AD43" s="23">
        <v>12</v>
      </c>
      <c r="AE43" s="22">
        <f t="shared" si="12"/>
        <v>0.63157894736842102</v>
      </c>
      <c r="AF43" s="23">
        <v>6</v>
      </c>
      <c r="AG43" s="22">
        <f t="shared" si="13"/>
        <v>0.31578947368421051</v>
      </c>
      <c r="AH43" s="23">
        <v>6</v>
      </c>
      <c r="AI43" s="22">
        <f t="shared" si="14"/>
        <v>0.31578947368421051</v>
      </c>
      <c r="AJ43" s="23">
        <v>5</v>
      </c>
      <c r="AK43" s="22">
        <f t="shared" si="15"/>
        <v>0.26315789473684209</v>
      </c>
      <c r="AL43" s="23">
        <v>5</v>
      </c>
      <c r="AM43" s="22">
        <f t="shared" si="16"/>
        <v>0.26315789473684209</v>
      </c>
      <c r="AN43" s="23">
        <v>0</v>
      </c>
      <c r="AO43" s="22">
        <f t="shared" si="17"/>
        <v>0</v>
      </c>
      <c r="AP43" s="10">
        <v>5</v>
      </c>
      <c r="AQ43" s="22">
        <f t="shared" si="18"/>
        <v>0.26315789473684209</v>
      </c>
      <c r="AR43" s="23">
        <v>6</v>
      </c>
      <c r="AS43" s="22">
        <f t="shared" si="19"/>
        <v>0.31578947368421051</v>
      </c>
      <c r="AT43" s="25">
        <v>0.29808938154826348</v>
      </c>
      <c r="AU43" s="25">
        <v>0.11444801083279992</v>
      </c>
      <c r="AV43" s="25">
        <v>0.17844698269138615</v>
      </c>
      <c r="AW43" s="25">
        <v>0.11964239885687733</v>
      </c>
      <c r="AX43" s="25">
        <v>111.22902989938117</v>
      </c>
      <c r="AY43" s="25">
        <v>108.67369300497964</v>
      </c>
      <c r="AZ43" s="25">
        <v>5.1870141353376837</v>
      </c>
      <c r="BA43" s="25">
        <v>2.2105263157894739</v>
      </c>
      <c r="BB43" s="25">
        <v>16.12541993281075</v>
      </c>
      <c r="BC43" s="24">
        <v>0.54492882562277578</v>
      </c>
      <c r="BD43" s="24">
        <v>0.5</v>
      </c>
      <c r="BE43" s="25">
        <v>7.5965034188826923</v>
      </c>
      <c r="BF43" s="24">
        <v>0.26829268292682928</v>
      </c>
      <c r="BG43" s="24">
        <v>0.21951219512195122</v>
      </c>
      <c r="BH43" s="25">
        <v>2.2784485663969978</v>
      </c>
      <c r="BI43" s="25">
        <v>2.2784485663969978</v>
      </c>
      <c r="BJ43" s="25">
        <v>2.1231625981317643</v>
      </c>
      <c r="BK43" s="25">
        <v>2.1844832513848713</v>
      </c>
      <c r="BL43" s="25">
        <v>2.5709793236500444</v>
      </c>
      <c r="BM43" s="25">
        <v>0</v>
      </c>
      <c r="BN43" s="25">
        <v>10.0080064051241</v>
      </c>
      <c r="BO43" s="26" t="s">
        <v>176</v>
      </c>
      <c r="BP43" s="27"/>
      <c r="BQ43" s="33" t="s">
        <v>267</v>
      </c>
      <c r="BR43" s="33">
        <v>76.37</v>
      </c>
      <c r="BS43" s="33">
        <v>107.07</v>
      </c>
      <c r="BT43" s="33">
        <v>30.7</v>
      </c>
      <c r="BU43" s="36">
        <f t="shared" si="24"/>
        <v>4.0194736842105261</v>
      </c>
      <c r="BV43" s="36">
        <f t="shared" si="25"/>
        <v>5.6352631578947365</v>
      </c>
      <c r="BW43" s="36">
        <f t="shared" si="26"/>
        <v>1.6157894736842104</v>
      </c>
      <c r="BX43" s="37">
        <f t="shared" si="27"/>
        <v>29.321388577827545</v>
      </c>
      <c r="BY43" s="37">
        <f t="shared" si="28"/>
        <v>41.108302671572545</v>
      </c>
      <c r="BZ43" s="37">
        <f t="shared" si="29"/>
        <v>11.786914093745001</v>
      </c>
      <c r="CA43" s="34">
        <v>15</v>
      </c>
      <c r="CB43" s="34">
        <v>4</v>
      </c>
    </row>
    <row r="44" spans="1:80" x14ac:dyDescent="0.4">
      <c r="A44" s="47" t="s">
        <v>178</v>
      </c>
      <c r="B44" s="65" t="s">
        <v>251</v>
      </c>
      <c r="C44" s="48" t="s">
        <v>292</v>
      </c>
      <c r="D44" s="41">
        <v>1</v>
      </c>
      <c r="E44" s="41">
        <v>6</v>
      </c>
      <c r="F44" s="41">
        <v>1</v>
      </c>
      <c r="G44" s="55">
        <v>361</v>
      </c>
      <c r="H44" s="41">
        <v>1</v>
      </c>
      <c r="I44" s="22">
        <f t="shared" si="0"/>
        <v>1</v>
      </c>
      <c r="J44" s="55">
        <v>0</v>
      </c>
      <c r="K44" s="55">
        <v>2</v>
      </c>
      <c r="L44" s="22">
        <f t="shared" si="30"/>
        <v>0</v>
      </c>
      <c r="M44" s="22">
        <f t="shared" si="31"/>
        <v>2</v>
      </c>
      <c r="N44" s="24">
        <f t="shared" si="32"/>
        <v>0</v>
      </c>
      <c r="O44" s="15">
        <v>0</v>
      </c>
      <c r="P44" s="15">
        <v>1</v>
      </c>
      <c r="Q44" s="22">
        <f t="shared" si="3"/>
        <v>0</v>
      </c>
      <c r="R44" s="22">
        <f t="shared" si="4"/>
        <v>1</v>
      </c>
      <c r="S44" s="24">
        <f t="shared" si="5"/>
        <v>0</v>
      </c>
      <c r="T44" s="15">
        <v>0</v>
      </c>
      <c r="U44" s="15">
        <v>1</v>
      </c>
      <c r="V44" s="22">
        <f t="shared" si="6"/>
        <v>0</v>
      </c>
      <c r="W44" s="22">
        <f t="shared" si="7"/>
        <v>1</v>
      </c>
      <c r="X44" s="24">
        <f t="shared" si="8"/>
        <v>0</v>
      </c>
      <c r="Y44" s="15">
        <v>1</v>
      </c>
      <c r="Z44" s="15">
        <v>2</v>
      </c>
      <c r="AA44" s="22">
        <f t="shared" si="9"/>
        <v>1</v>
      </c>
      <c r="AB44" s="22">
        <f t="shared" si="10"/>
        <v>2</v>
      </c>
      <c r="AC44" s="24">
        <f t="shared" si="11"/>
        <v>0.5</v>
      </c>
      <c r="AD44" s="41">
        <v>1</v>
      </c>
      <c r="AE44" s="22">
        <f t="shared" si="12"/>
        <v>1</v>
      </c>
      <c r="AF44" s="41">
        <v>1</v>
      </c>
      <c r="AG44" s="22">
        <f t="shared" si="13"/>
        <v>1</v>
      </c>
      <c r="AH44" s="41">
        <v>0</v>
      </c>
      <c r="AI44" s="22">
        <f t="shared" si="14"/>
        <v>0</v>
      </c>
      <c r="AJ44" s="41">
        <v>1</v>
      </c>
      <c r="AK44" s="22">
        <f t="shared" si="15"/>
        <v>1</v>
      </c>
      <c r="AL44" s="41">
        <v>0</v>
      </c>
      <c r="AM44" s="22">
        <f t="shared" si="16"/>
        <v>0</v>
      </c>
      <c r="AN44" s="41">
        <v>0</v>
      </c>
      <c r="AO44" s="22">
        <f t="shared" si="17"/>
        <v>0</v>
      </c>
      <c r="AP44" s="12">
        <v>1</v>
      </c>
      <c r="AQ44" s="22">
        <f t="shared" si="18"/>
        <v>1</v>
      </c>
      <c r="AR44" s="55">
        <v>0</v>
      </c>
      <c r="AS44" s="22">
        <f t="shared" si="19"/>
        <v>0</v>
      </c>
      <c r="AT44" s="25">
        <v>-6.0577476608950097E-2</v>
      </c>
      <c r="AU44" s="25">
        <v>-0.40273114643069319</v>
      </c>
      <c r="AV44" s="25">
        <v>-5.9156722636795431E-2</v>
      </c>
      <c r="AW44" s="25">
        <v>-1.4207539721546641E-3</v>
      </c>
      <c r="AX44" s="25">
        <v>56.065103214991453</v>
      </c>
      <c r="AY44" s="25">
        <v>118.55425022030083</v>
      </c>
      <c r="AZ44" s="25">
        <v>-0.13946968592923481</v>
      </c>
      <c r="BA44" s="25">
        <v>-1</v>
      </c>
      <c r="BB44" s="25">
        <v>-6.6481994459833791</v>
      </c>
      <c r="BC44" s="24">
        <v>0.1736111111111111</v>
      </c>
      <c r="BD44" s="24">
        <v>0</v>
      </c>
      <c r="BE44" s="25">
        <v>0.53766495436083694</v>
      </c>
      <c r="BF44" s="24">
        <v>0.5</v>
      </c>
      <c r="BG44" s="24">
        <v>1</v>
      </c>
      <c r="BH44" s="25">
        <v>0.34608013773989482</v>
      </c>
      <c r="BI44" s="25">
        <v>0</v>
      </c>
      <c r="BJ44" s="25">
        <v>0.1612466516125001</v>
      </c>
      <c r="BK44" s="25">
        <v>0.3691393362567118</v>
      </c>
      <c r="BL44" s="25">
        <v>0</v>
      </c>
      <c r="BM44" s="25">
        <v>0</v>
      </c>
      <c r="BN44" s="25">
        <v>25.773195876288661</v>
      </c>
      <c r="BO44" s="26" t="s">
        <v>249</v>
      </c>
      <c r="BP44" s="27"/>
      <c r="BQ44" s="32" t="s">
        <v>268</v>
      </c>
      <c r="BR44" s="32">
        <v>1.3</v>
      </c>
      <c r="BS44" s="32">
        <v>5.5</v>
      </c>
      <c r="BT44" s="32">
        <v>4.2</v>
      </c>
      <c r="BU44" s="36">
        <f t="shared" si="24"/>
        <v>1.2999999999999998</v>
      </c>
      <c r="BV44" s="36">
        <f t="shared" si="25"/>
        <v>5.5</v>
      </c>
      <c r="BW44" s="36">
        <f t="shared" si="26"/>
        <v>4.2</v>
      </c>
      <c r="BX44" s="37">
        <f t="shared" si="27"/>
        <v>8.6426592797783961</v>
      </c>
      <c r="BY44" s="37">
        <f t="shared" si="28"/>
        <v>36.56509695290859</v>
      </c>
      <c r="BZ44" s="37">
        <f t="shared" si="29"/>
        <v>27.922437673130194</v>
      </c>
      <c r="CA44" s="34">
        <v>1</v>
      </c>
      <c r="CB44" s="34">
        <v>0</v>
      </c>
    </row>
    <row r="45" spans="1:80" x14ac:dyDescent="0.4">
      <c r="A45" s="16" t="s">
        <v>178</v>
      </c>
      <c r="B45" s="16" t="s">
        <v>251</v>
      </c>
      <c r="C45" s="16" t="s">
        <v>66</v>
      </c>
      <c r="D45" s="23">
        <v>5</v>
      </c>
      <c r="E45" s="23">
        <v>6</v>
      </c>
      <c r="F45" s="23">
        <v>39</v>
      </c>
      <c r="G45" s="21">
        <v>1995</v>
      </c>
      <c r="H45" s="21">
        <v>13</v>
      </c>
      <c r="I45" s="22">
        <f t="shared" si="0"/>
        <v>2.6</v>
      </c>
      <c r="J45" s="23">
        <v>5</v>
      </c>
      <c r="K45" s="23">
        <v>13</v>
      </c>
      <c r="L45" s="22">
        <f t="shared" si="30"/>
        <v>1</v>
      </c>
      <c r="M45" s="22">
        <f t="shared" si="31"/>
        <v>2.6</v>
      </c>
      <c r="N45" s="24">
        <f t="shared" si="32"/>
        <v>0.38461538461538464</v>
      </c>
      <c r="O45" s="21">
        <v>5</v>
      </c>
      <c r="P45" s="23">
        <v>13</v>
      </c>
      <c r="Q45" s="22">
        <f t="shared" si="3"/>
        <v>1</v>
      </c>
      <c r="R45" s="22">
        <f t="shared" si="4"/>
        <v>2.6</v>
      </c>
      <c r="S45" s="24">
        <f t="shared" si="5"/>
        <v>0.38461538461538464</v>
      </c>
      <c r="T45" s="23">
        <v>0</v>
      </c>
      <c r="U45" s="23">
        <v>0</v>
      </c>
      <c r="V45" s="22">
        <f t="shared" si="6"/>
        <v>0</v>
      </c>
      <c r="W45" s="22">
        <f t="shared" si="7"/>
        <v>0</v>
      </c>
      <c r="X45" s="24" t="e">
        <f t="shared" si="8"/>
        <v>#DIV/0!</v>
      </c>
      <c r="Y45" s="23">
        <v>3</v>
      </c>
      <c r="Z45" s="23">
        <v>4</v>
      </c>
      <c r="AA45" s="22">
        <f t="shared" si="9"/>
        <v>0.6</v>
      </c>
      <c r="AB45" s="22">
        <f t="shared" si="10"/>
        <v>0.8</v>
      </c>
      <c r="AC45" s="24">
        <f t="shared" si="11"/>
        <v>0.75</v>
      </c>
      <c r="AD45" s="23">
        <v>11</v>
      </c>
      <c r="AE45" s="22">
        <f t="shared" si="12"/>
        <v>2.2000000000000002</v>
      </c>
      <c r="AF45" s="23">
        <v>3</v>
      </c>
      <c r="AG45" s="22">
        <f t="shared" si="13"/>
        <v>0.6</v>
      </c>
      <c r="AH45" s="23">
        <v>8</v>
      </c>
      <c r="AI45" s="22">
        <f t="shared" si="14"/>
        <v>1.6</v>
      </c>
      <c r="AJ45" s="23">
        <v>1</v>
      </c>
      <c r="AK45" s="22">
        <f t="shared" si="15"/>
        <v>0.2</v>
      </c>
      <c r="AL45" s="23">
        <v>0</v>
      </c>
      <c r="AM45" s="22">
        <f t="shared" si="16"/>
        <v>0</v>
      </c>
      <c r="AN45" s="23">
        <v>0</v>
      </c>
      <c r="AO45" s="22">
        <f t="shared" si="17"/>
        <v>0</v>
      </c>
      <c r="AP45" s="10">
        <v>5</v>
      </c>
      <c r="AQ45" s="22">
        <f t="shared" si="18"/>
        <v>1</v>
      </c>
      <c r="AR45" s="23">
        <v>0</v>
      </c>
      <c r="AS45" s="22">
        <f t="shared" si="19"/>
        <v>0</v>
      </c>
      <c r="AT45" s="25">
        <v>-0.10029542051602726</v>
      </c>
      <c r="AU45" s="25">
        <v>-0.12065614498168692</v>
      </c>
      <c r="AV45" s="25">
        <v>-0.14380054489275401</v>
      </c>
      <c r="AW45" s="25">
        <v>4.3505124376726753E-2</v>
      </c>
      <c r="AX45" s="25">
        <v>76.98593287139326</v>
      </c>
      <c r="AY45" s="25">
        <v>107.53737782060298</v>
      </c>
      <c r="AZ45" s="25">
        <v>0.61438741741324443</v>
      </c>
      <c r="BA45" s="25">
        <v>2.2000000000000002</v>
      </c>
      <c r="BB45" s="25">
        <v>13.233082706766917</v>
      </c>
      <c r="BC45" s="24">
        <v>0.44037940379403795</v>
      </c>
      <c r="BD45" s="24">
        <v>0.38461538461538464</v>
      </c>
      <c r="BE45" s="25">
        <v>2.4774291907858683</v>
      </c>
      <c r="BF45" s="24">
        <v>0</v>
      </c>
      <c r="BG45" s="24">
        <v>0.30769230769230771</v>
      </c>
      <c r="BH45" s="25">
        <v>0.9393603738654287</v>
      </c>
      <c r="BI45" s="25">
        <v>2.5049609969744768</v>
      </c>
      <c r="BJ45" s="25">
        <v>1.6047881041434535</v>
      </c>
      <c r="BK45" s="25">
        <v>0.33965516509363869</v>
      </c>
      <c r="BL45" s="25">
        <v>0</v>
      </c>
      <c r="BM45" s="25">
        <v>0</v>
      </c>
      <c r="BN45" s="25">
        <v>25.303643724696357</v>
      </c>
      <c r="BO45" s="26" t="s">
        <v>176</v>
      </c>
      <c r="BP45" s="27"/>
      <c r="BQ45" s="33" t="s">
        <v>266</v>
      </c>
      <c r="BR45" s="33">
        <v>19.010000000000002</v>
      </c>
      <c r="BS45" s="33">
        <v>35.31</v>
      </c>
      <c r="BT45" s="33">
        <v>16.3</v>
      </c>
      <c r="BU45" s="36">
        <f t="shared" si="24"/>
        <v>3.802</v>
      </c>
      <c r="BV45" s="36">
        <f t="shared" si="25"/>
        <v>7.0620000000000003</v>
      </c>
      <c r="BW45" s="36">
        <f t="shared" si="26"/>
        <v>3.2600000000000002</v>
      </c>
      <c r="BX45" s="37">
        <f t="shared" si="27"/>
        <v>22.869172932330823</v>
      </c>
      <c r="BY45" s="37">
        <f t="shared" si="28"/>
        <v>42.478195488721802</v>
      </c>
      <c r="BZ45" s="37">
        <f t="shared" si="29"/>
        <v>19.609022556390979</v>
      </c>
      <c r="CA45" s="34">
        <v>4</v>
      </c>
      <c r="CB45" s="34">
        <v>1</v>
      </c>
    </row>
    <row r="46" spans="1:80" x14ac:dyDescent="0.4">
      <c r="A46" s="16" t="s">
        <v>178</v>
      </c>
      <c r="B46" s="16" t="s">
        <v>251</v>
      </c>
      <c r="C46" s="16" t="s">
        <v>179</v>
      </c>
      <c r="D46" s="23">
        <v>1</v>
      </c>
      <c r="E46" s="23">
        <v>8</v>
      </c>
      <c r="F46" s="23">
        <v>31</v>
      </c>
      <c r="G46" s="21">
        <v>511</v>
      </c>
      <c r="H46" s="21">
        <v>5</v>
      </c>
      <c r="I46" s="22">
        <f t="shared" si="0"/>
        <v>5</v>
      </c>
      <c r="J46" s="23">
        <v>2</v>
      </c>
      <c r="K46" s="23">
        <v>2</v>
      </c>
      <c r="L46" s="22">
        <f t="shared" si="30"/>
        <v>2</v>
      </c>
      <c r="M46" s="22">
        <f t="shared" si="31"/>
        <v>2</v>
      </c>
      <c r="N46" s="24">
        <f t="shared" si="32"/>
        <v>1</v>
      </c>
      <c r="O46" s="21">
        <v>2</v>
      </c>
      <c r="P46" s="23">
        <v>2</v>
      </c>
      <c r="Q46" s="22">
        <f t="shared" si="3"/>
        <v>2</v>
      </c>
      <c r="R46" s="22">
        <f t="shared" si="4"/>
        <v>2</v>
      </c>
      <c r="S46" s="24">
        <f t="shared" si="5"/>
        <v>1</v>
      </c>
      <c r="T46" s="23">
        <v>0</v>
      </c>
      <c r="U46" s="23">
        <v>0</v>
      </c>
      <c r="V46" s="22">
        <f t="shared" si="6"/>
        <v>0</v>
      </c>
      <c r="W46" s="22">
        <f t="shared" si="7"/>
        <v>0</v>
      </c>
      <c r="X46" s="24" t="e">
        <f t="shared" si="8"/>
        <v>#DIV/0!</v>
      </c>
      <c r="Y46" s="23">
        <v>1</v>
      </c>
      <c r="Z46" s="23">
        <v>2</v>
      </c>
      <c r="AA46" s="22">
        <f t="shared" si="9"/>
        <v>1</v>
      </c>
      <c r="AB46" s="22">
        <f t="shared" si="10"/>
        <v>2</v>
      </c>
      <c r="AC46" s="24">
        <f t="shared" si="11"/>
        <v>0.5</v>
      </c>
      <c r="AD46" s="23">
        <v>2</v>
      </c>
      <c r="AE46" s="22">
        <f t="shared" si="12"/>
        <v>2</v>
      </c>
      <c r="AF46" s="23">
        <v>1</v>
      </c>
      <c r="AG46" s="22">
        <f t="shared" si="13"/>
        <v>1</v>
      </c>
      <c r="AH46" s="23">
        <v>1</v>
      </c>
      <c r="AI46" s="22">
        <f t="shared" si="14"/>
        <v>1</v>
      </c>
      <c r="AJ46" s="23">
        <v>0</v>
      </c>
      <c r="AK46" s="22">
        <f t="shared" si="15"/>
        <v>0</v>
      </c>
      <c r="AL46" s="23">
        <v>0</v>
      </c>
      <c r="AM46" s="22">
        <f t="shared" si="16"/>
        <v>0</v>
      </c>
      <c r="AN46" s="23">
        <v>0</v>
      </c>
      <c r="AO46" s="22">
        <f t="shared" si="17"/>
        <v>0</v>
      </c>
      <c r="AP46" s="10">
        <v>0</v>
      </c>
      <c r="AQ46" s="22">
        <f t="shared" si="18"/>
        <v>0</v>
      </c>
      <c r="AR46" s="23">
        <v>2</v>
      </c>
      <c r="AS46" s="22">
        <f t="shared" si="19"/>
        <v>2</v>
      </c>
      <c r="AT46" s="25">
        <v>6.621955870641992E-2</v>
      </c>
      <c r="AU46" s="25">
        <v>0.31101162601841054</v>
      </c>
      <c r="AV46" s="25">
        <v>5.9985795275896862E-2</v>
      </c>
      <c r="AW46" s="25">
        <v>6.2337634305230519E-3</v>
      </c>
      <c r="AX46" s="25">
        <v>173.4302308371611</v>
      </c>
      <c r="AY46" s="25">
        <v>111.63043162604572</v>
      </c>
      <c r="AZ46" s="25">
        <v>0.4018975106949963</v>
      </c>
      <c r="BA46" s="25">
        <v>6</v>
      </c>
      <c r="BB46" s="25">
        <v>28.180039138943247</v>
      </c>
      <c r="BC46" s="24">
        <v>0.86805555555555558</v>
      </c>
      <c r="BD46" s="24">
        <v>1</v>
      </c>
      <c r="BE46" s="25">
        <v>0.28194136207046772</v>
      </c>
      <c r="BF46" s="24">
        <v>0</v>
      </c>
      <c r="BG46" s="24">
        <v>1</v>
      </c>
      <c r="BH46" s="25">
        <v>0.24449105621154998</v>
      </c>
      <c r="BI46" s="25">
        <v>0.24449105621154998</v>
      </c>
      <c r="BJ46" s="25">
        <v>0.22782795002783773</v>
      </c>
      <c r="BK46" s="25">
        <v>0</v>
      </c>
      <c r="BL46" s="25">
        <v>0</v>
      </c>
      <c r="BM46" s="25">
        <v>0</v>
      </c>
      <c r="BN46" s="25">
        <v>0</v>
      </c>
      <c r="BO46" s="26" t="s">
        <v>176</v>
      </c>
      <c r="BP46" s="27"/>
      <c r="BQ46" s="33" t="s">
        <v>266</v>
      </c>
      <c r="BR46" s="33">
        <v>8.83</v>
      </c>
      <c r="BS46" s="33">
        <v>9.6300000000000008</v>
      </c>
      <c r="BT46" s="33">
        <v>0.8</v>
      </c>
      <c r="BU46" s="36">
        <f t="shared" si="24"/>
        <v>8.83</v>
      </c>
      <c r="BV46" s="36">
        <f t="shared" si="25"/>
        <v>9.6300000000000008</v>
      </c>
      <c r="BW46" s="36">
        <f t="shared" si="26"/>
        <v>0.8</v>
      </c>
      <c r="BX46" s="37">
        <f t="shared" si="27"/>
        <v>41.471624266144822</v>
      </c>
      <c r="BY46" s="37">
        <f t="shared" si="28"/>
        <v>45.228962818003922</v>
      </c>
      <c r="BZ46" s="37">
        <f t="shared" si="29"/>
        <v>3.7573385518590996</v>
      </c>
      <c r="CA46" s="35">
        <v>0</v>
      </c>
      <c r="CB46" s="35">
        <v>1</v>
      </c>
    </row>
    <row r="47" spans="1:80" x14ac:dyDescent="0.4">
      <c r="A47" s="16" t="s">
        <v>178</v>
      </c>
      <c r="B47" s="16" t="s">
        <v>251</v>
      </c>
      <c r="C47" s="16" t="s">
        <v>60</v>
      </c>
      <c r="D47" s="23">
        <v>54</v>
      </c>
      <c r="E47" s="23">
        <v>29</v>
      </c>
      <c r="F47" s="23">
        <v>39</v>
      </c>
      <c r="G47" s="21">
        <v>96066</v>
      </c>
      <c r="H47" s="21">
        <v>784</v>
      </c>
      <c r="I47" s="22">
        <f t="shared" si="0"/>
        <v>14.518518518518519</v>
      </c>
      <c r="J47" s="23">
        <v>295</v>
      </c>
      <c r="K47" s="23">
        <v>643</v>
      </c>
      <c r="L47" s="22">
        <f t="shared" si="30"/>
        <v>5.4629629629629628</v>
      </c>
      <c r="M47" s="22">
        <f t="shared" si="31"/>
        <v>11.907407407407407</v>
      </c>
      <c r="N47" s="24">
        <f t="shared" si="32"/>
        <v>0.45878693623639194</v>
      </c>
      <c r="O47" s="21">
        <v>196</v>
      </c>
      <c r="P47" s="23">
        <v>390</v>
      </c>
      <c r="Q47" s="22">
        <f t="shared" si="3"/>
        <v>3.6296296296296298</v>
      </c>
      <c r="R47" s="22">
        <f t="shared" si="4"/>
        <v>7.2222222222222223</v>
      </c>
      <c r="S47" s="24">
        <f t="shared" si="5"/>
        <v>0.50256410256410255</v>
      </c>
      <c r="T47" s="23">
        <v>99</v>
      </c>
      <c r="U47" s="23">
        <v>253</v>
      </c>
      <c r="V47" s="22">
        <f t="shared" si="6"/>
        <v>1.8333333333333333</v>
      </c>
      <c r="W47" s="22">
        <f t="shared" si="7"/>
        <v>4.6851851851851851</v>
      </c>
      <c r="X47" s="24">
        <f t="shared" si="8"/>
        <v>0.39130434782608697</v>
      </c>
      <c r="Y47" s="23">
        <v>95</v>
      </c>
      <c r="Z47" s="23">
        <v>134</v>
      </c>
      <c r="AA47" s="22">
        <f t="shared" si="9"/>
        <v>1.7592592592592593</v>
      </c>
      <c r="AB47" s="22">
        <f t="shared" si="10"/>
        <v>2.4814814814814814</v>
      </c>
      <c r="AC47" s="24">
        <f t="shared" si="11"/>
        <v>0.70895522388059706</v>
      </c>
      <c r="AD47" s="23">
        <v>256</v>
      </c>
      <c r="AE47" s="22">
        <f t="shared" si="12"/>
        <v>4.7407407407407405</v>
      </c>
      <c r="AF47" s="23">
        <v>73</v>
      </c>
      <c r="AG47" s="22">
        <f t="shared" si="13"/>
        <v>1.3518518518518519</v>
      </c>
      <c r="AH47" s="23">
        <v>183</v>
      </c>
      <c r="AI47" s="22">
        <f t="shared" si="14"/>
        <v>3.3888888888888888</v>
      </c>
      <c r="AJ47" s="23">
        <v>121</v>
      </c>
      <c r="AK47" s="22">
        <f t="shared" si="15"/>
        <v>2.2407407407407409</v>
      </c>
      <c r="AL47" s="23">
        <v>73</v>
      </c>
      <c r="AM47" s="22">
        <f t="shared" si="16"/>
        <v>1.3518518518518519</v>
      </c>
      <c r="AN47" s="23">
        <v>23</v>
      </c>
      <c r="AO47" s="22">
        <f t="shared" si="17"/>
        <v>0.42592592592592593</v>
      </c>
      <c r="AP47" s="10">
        <v>88</v>
      </c>
      <c r="AQ47" s="22">
        <f t="shared" si="18"/>
        <v>1.6296296296296295</v>
      </c>
      <c r="AR47" s="23">
        <v>107</v>
      </c>
      <c r="AS47" s="22">
        <f t="shared" si="19"/>
        <v>1.9814814814814814</v>
      </c>
      <c r="AT47" s="25">
        <v>5.4841629139673005</v>
      </c>
      <c r="AU47" s="25">
        <v>0.1370098785576741</v>
      </c>
      <c r="AV47" s="25">
        <v>3.023621414745794</v>
      </c>
      <c r="AW47" s="25">
        <v>2.4605414992215064</v>
      </c>
      <c r="AX47" s="25">
        <v>111.90027518148335</v>
      </c>
      <c r="AY47" s="25">
        <v>105.91601312364112</v>
      </c>
      <c r="AZ47" s="25">
        <v>16.876527078990804</v>
      </c>
      <c r="BA47" s="25">
        <v>14.481481481481481</v>
      </c>
      <c r="BB47" s="25">
        <v>19.536568609081257</v>
      </c>
      <c r="BC47" s="24">
        <v>0.55843637814120461</v>
      </c>
      <c r="BD47" s="24">
        <v>0.53576982892690517</v>
      </c>
      <c r="BE47" s="25">
        <v>22.213467610702484</v>
      </c>
      <c r="BF47" s="24">
        <v>0.39346811819595645</v>
      </c>
      <c r="BG47" s="24">
        <v>0.20839813374805599</v>
      </c>
      <c r="BH47" s="25">
        <v>5.126616003293675</v>
      </c>
      <c r="BI47" s="25">
        <v>12.851653816475924</v>
      </c>
      <c r="BJ47" s="25">
        <v>8.3764871025412084</v>
      </c>
      <c r="BK47" s="25">
        <v>11.634713272828016</v>
      </c>
      <c r="BL47" s="25">
        <v>2.4424812064746302</v>
      </c>
      <c r="BM47" s="25">
        <v>1.3579285685292675</v>
      </c>
      <c r="BN47" s="25">
        <v>11.139804547065674</v>
      </c>
      <c r="BO47" s="26" t="s">
        <v>176</v>
      </c>
      <c r="BP47" s="27"/>
      <c r="BQ47" s="33" t="s">
        <v>268</v>
      </c>
      <c r="BR47" s="33">
        <v>1267.53</v>
      </c>
      <c r="BS47" s="33">
        <v>1763.33</v>
      </c>
      <c r="BT47" s="33">
        <v>495.8</v>
      </c>
      <c r="BU47" s="36">
        <f t="shared" si="24"/>
        <v>23.472777777777772</v>
      </c>
      <c r="BV47" s="36">
        <f t="shared" si="25"/>
        <v>32.654259259259256</v>
      </c>
      <c r="BW47" s="36">
        <f t="shared" si="26"/>
        <v>9.181481481481482</v>
      </c>
      <c r="BX47" s="37">
        <f t="shared" si="27"/>
        <v>31.666479295484351</v>
      </c>
      <c r="BY47" s="37">
        <f t="shared" si="28"/>
        <v>44.052963587533569</v>
      </c>
      <c r="BZ47" s="37">
        <f t="shared" si="29"/>
        <v>12.386484292049216</v>
      </c>
      <c r="CA47" s="34">
        <v>40</v>
      </c>
      <c r="CB47" s="34">
        <v>14</v>
      </c>
    </row>
    <row r="48" spans="1:80" x14ac:dyDescent="0.4">
      <c r="A48" s="16" t="s">
        <v>178</v>
      </c>
      <c r="B48" s="16" t="s">
        <v>251</v>
      </c>
      <c r="C48" s="16" t="s">
        <v>62</v>
      </c>
      <c r="D48" s="23">
        <v>36</v>
      </c>
      <c r="E48" s="23">
        <v>8</v>
      </c>
      <c r="F48" s="23">
        <v>37</v>
      </c>
      <c r="G48" s="21">
        <v>18612</v>
      </c>
      <c r="H48" s="21">
        <v>74</v>
      </c>
      <c r="I48" s="22">
        <f t="shared" si="0"/>
        <v>2.0555555555555554</v>
      </c>
      <c r="J48" s="23">
        <v>31</v>
      </c>
      <c r="K48" s="23">
        <v>64</v>
      </c>
      <c r="L48" s="22">
        <f t="shared" si="30"/>
        <v>0.86111111111111116</v>
      </c>
      <c r="M48" s="22">
        <f t="shared" si="31"/>
        <v>1.7777777777777777</v>
      </c>
      <c r="N48" s="24">
        <f t="shared" si="32"/>
        <v>0.484375</v>
      </c>
      <c r="O48" s="21">
        <v>23</v>
      </c>
      <c r="P48" s="23">
        <v>42</v>
      </c>
      <c r="Q48" s="22">
        <f t="shared" si="3"/>
        <v>0.63888888888888884</v>
      </c>
      <c r="R48" s="22">
        <f t="shared" si="4"/>
        <v>1.1666666666666667</v>
      </c>
      <c r="S48" s="24">
        <f t="shared" si="5"/>
        <v>0.54761904761904767</v>
      </c>
      <c r="T48" s="23">
        <v>8</v>
      </c>
      <c r="U48" s="23">
        <v>22</v>
      </c>
      <c r="V48" s="22">
        <f t="shared" si="6"/>
        <v>0.22222222222222221</v>
      </c>
      <c r="W48" s="22">
        <f t="shared" si="7"/>
        <v>0.61111111111111116</v>
      </c>
      <c r="X48" s="24">
        <f t="shared" si="8"/>
        <v>0.36363636363636365</v>
      </c>
      <c r="Y48" s="23">
        <v>4</v>
      </c>
      <c r="Z48" s="23">
        <v>6</v>
      </c>
      <c r="AA48" s="22">
        <f t="shared" si="9"/>
        <v>0.1111111111111111</v>
      </c>
      <c r="AB48" s="22">
        <f t="shared" si="10"/>
        <v>0.16666666666666666</v>
      </c>
      <c r="AC48" s="24">
        <f t="shared" si="11"/>
        <v>0.66666666666666663</v>
      </c>
      <c r="AD48" s="23">
        <v>31</v>
      </c>
      <c r="AE48" s="22">
        <f t="shared" si="12"/>
        <v>0.86111111111111116</v>
      </c>
      <c r="AF48" s="23">
        <v>14</v>
      </c>
      <c r="AG48" s="22">
        <f t="shared" si="13"/>
        <v>0.3888888888888889</v>
      </c>
      <c r="AH48" s="23">
        <v>17</v>
      </c>
      <c r="AI48" s="22">
        <f t="shared" si="14"/>
        <v>0.47222222222222221</v>
      </c>
      <c r="AJ48" s="23">
        <v>36</v>
      </c>
      <c r="AK48" s="22">
        <f t="shared" si="15"/>
        <v>1</v>
      </c>
      <c r="AL48" s="23">
        <v>11</v>
      </c>
      <c r="AM48" s="22">
        <f t="shared" si="16"/>
        <v>0.30555555555555558</v>
      </c>
      <c r="AN48" s="23">
        <v>3</v>
      </c>
      <c r="AO48" s="22">
        <f t="shared" si="17"/>
        <v>8.3333333333333329E-2</v>
      </c>
      <c r="AP48" s="10">
        <v>13</v>
      </c>
      <c r="AQ48" s="22">
        <f t="shared" si="18"/>
        <v>0.3611111111111111</v>
      </c>
      <c r="AR48" s="23">
        <v>19</v>
      </c>
      <c r="AS48" s="22">
        <f t="shared" si="19"/>
        <v>0.52777777777777779</v>
      </c>
      <c r="AT48" s="25">
        <v>0.76365485909530118</v>
      </c>
      <c r="AU48" s="25">
        <v>9.847258015413296E-2</v>
      </c>
      <c r="AV48" s="25">
        <v>0.45340631444618307</v>
      </c>
      <c r="AW48" s="25">
        <v>0.31024854464911811</v>
      </c>
      <c r="AX48" s="25">
        <v>115.70183313088222</v>
      </c>
      <c r="AY48" s="25">
        <v>109.72612221718082</v>
      </c>
      <c r="AZ48" s="25">
        <v>7.422119772533609</v>
      </c>
      <c r="BA48" s="25">
        <v>2.9722222222222223</v>
      </c>
      <c r="BB48" s="25">
        <v>13.797549967762734</v>
      </c>
      <c r="BC48" s="24">
        <v>0.55522208883553426</v>
      </c>
      <c r="BD48" s="24">
        <v>0.546875</v>
      </c>
      <c r="BE48" s="25">
        <v>7.7059806498994172</v>
      </c>
      <c r="BF48" s="24">
        <v>0.34375</v>
      </c>
      <c r="BG48" s="24">
        <v>9.375E-2</v>
      </c>
      <c r="BH48" s="25">
        <v>3.3831509016197843</v>
      </c>
      <c r="BI48" s="25">
        <v>4.1081118091097384</v>
      </c>
      <c r="BJ48" s="25">
        <v>3.4903506348075215</v>
      </c>
      <c r="BK48" s="25">
        <v>10.085010569417905</v>
      </c>
      <c r="BL48" s="25">
        <v>1.8996680558080883</v>
      </c>
      <c r="BM48" s="25">
        <v>0.60947479356157597</v>
      </c>
      <c r="BN48" s="25">
        <v>16.323455549974888</v>
      </c>
      <c r="BO48" s="26" t="s">
        <v>176</v>
      </c>
      <c r="BP48" s="27"/>
      <c r="BQ48" s="33" t="s">
        <v>267</v>
      </c>
      <c r="BR48" s="33">
        <v>204.9</v>
      </c>
      <c r="BS48" s="33">
        <v>257.60000000000002</v>
      </c>
      <c r="BT48" s="33">
        <v>52.7</v>
      </c>
      <c r="BU48" s="36">
        <f t="shared" si="24"/>
        <v>5.6916666666666664</v>
      </c>
      <c r="BV48" s="36">
        <f t="shared" si="25"/>
        <v>7.1555555555555559</v>
      </c>
      <c r="BW48" s="36">
        <f t="shared" si="26"/>
        <v>1.463888888888889</v>
      </c>
      <c r="BX48" s="37">
        <f t="shared" si="27"/>
        <v>26.421663442940037</v>
      </c>
      <c r="BY48" s="37">
        <f t="shared" si="28"/>
        <v>33.217279174725981</v>
      </c>
      <c r="BZ48" s="37">
        <f t="shared" si="29"/>
        <v>6.7956157317859445</v>
      </c>
      <c r="CA48" s="35">
        <v>26</v>
      </c>
      <c r="CB48" s="35">
        <v>10</v>
      </c>
    </row>
    <row r="49" spans="1:80" x14ac:dyDescent="0.4">
      <c r="A49" s="16" t="s">
        <v>178</v>
      </c>
      <c r="B49" s="16" t="s">
        <v>251</v>
      </c>
      <c r="C49" s="16" t="s">
        <v>59</v>
      </c>
      <c r="D49" s="23">
        <v>47</v>
      </c>
      <c r="E49" s="23">
        <v>14</v>
      </c>
      <c r="F49" s="23">
        <v>15</v>
      </c>
      <c r="G49" s="21">
        <v>40185</v>
      </c>
      <c r="H49" s="21">
        <v>162</v>
      </c>
      <c r="I49" s="22">
        <f t="shared" si="0"/>
        <v>3.4468085106382977</v>
      </c>
      <c r="J49" s="23">
        <v>60</v>
      </c>
      <c r="K49" s="23">
        <v>140</v>
      </c>
      <c r="L49" s="22">
        <f t="shared" si="30"/>
        <v>1.2765957446808511</v>
      </c>
      <c r="M49" s="22">
        <f t="shared" si="31"/>
        <v>2.978723404255319</v>
      </c>
      <c r="N49" s="24">
        <f t="shared" si="32"/>
        <v>0.42857142857142855</v>
      </c>
      <c r="O49" s="21">
        <v>42</v>
      </c>
      <c r="P49" s="23">
        <v>82</v>
      </c>
      <c r="Q49" s="22">
        <f t="shared" si="3"/>
        <v>0.8936170212765957</v>
      </c>
      <c r="R49" s="22">
        <f t="shared" si="4"/>
        <v>1.7446808510638299</v>
      </c>
      <c r="S49" s="24">
        <f t="shared" si="5"/>
        <v>0.51219512195121952</v>
      </c>
      <c r="T49" s="23">
        <v>18</v>
      </c>
      <c r="U49" s="23">
        <v>58</v>
      </c>
      <c r="V49" s="22">
        <f t="shared" si="6"/>
        <v>0.38297872340425532</v>
      </c>
      <c r="W49" s="22">
        <f t="shared" si="7"/>
        <v>1.2340425531914894</v>
      </c>
      <c r="X49" s="24">
        <f t="shared" si="8"/>
        <v>0.31034482758620691</v>
      </c>
      <c r="Y49" s="23">
        <v>24</v>
      </c>
      <c r="Z49" s="23">
        <v>37</v>
      </c>
      <c r="AA49" s="22">
        <f t="shared" si="9"/>
        <v>0.51063829787234039</v>
      </c>
      <c r="AB49" s="22">
        <f t="shared" si="10"/>
        <v>0.78723404255319152</v>
      </c>
      <c r="AC49" s="24">
        <f t="shared" si="11"/>
        <v>0.64864864864864868</v>
      </c>
      <c r="AD49" s="23">
        <v>65</v>
      </c>
      <c r="AE49" s="22">
        <f t="shared" si="12"/>
        <v>1.3829787234042554</v>
      </c>
      <c r="AF49" s="23">
        <v>24</v>
      </c>
      <c r="AG49" s="22">
        <f t="shared" si="13"/>
        <v>0.51063829787234039</v>
      </c>
      <c r="AH49" s="23">
        <v>41</v>
      </c>
      <c r="AI49" s="22">
        <f t="shared" si="14"/>
        <v>0.87234042553191493</v>
      </c>
      <c r="AJ49" s="23">
        <v>58</v>
      </c>
      <c r="AK49" s="22">
        <f t="shared" si="15"/>
        <v>1.2340425531914894</v>
      </c>
      <c r="AL49" s="23">
        <v>21</v>
      </c>
      <c r="AM49" s="22">
        <f t="shared" si="16"/>
        <v>0.44680851063829785</v>
      </c>
      <c r="AN49" s="23">
        <v>9</v>
      </c>
      <c r="AO49" s="22">
        <f t="shared" si="17"/>
        <v>0.19148936170212766</v>
      </c>
      <c r="AP49" s="10">
        <v>27</v>
      </c>
      <c r="AQ49" s="22">
        <f t="shared" si="18"/>
        <v>0.57446808510638303</v>
      </c>
      <c r="AR49" s="23">
        <v>94</v>
      </c>
      <c r="AS49" s="22">
        <f t="shared" si="19"/>
        <v>2</v>
      </c>
      <c r="AT49" s="25">
        <v>1.221629081316943</v>
      </c>
      <c r="AU49" s="25">
        <v>7.2960303475442662E-2</v>
      </c>
      <c r="AV49" s="25">
        <v>0.53313782380759389</v>
      </c>
      <c r="AW49" s="25">
        <v>0.68849125750934925</v>
      </c>
      <c r="AX49" s="25">
        <v>108.22711940853506</v>
      </c>
      <c r="AY49" s="25">
        <v>109.52855424783114</v>
      </c>
      <c r="AZ49" s="25">
        <v>5.7680042736874295</v>
      </c>
      <c r="BA49" s="25">
        <v>4.1489361702127656</v>
      </c>
      <c r="BB49" s="25">
        <v>11.646136618141096</v>
      </c>
      <c r="BC49" s="24">
        <v>0.51830048630662917</v>
      </c>
      <c r="BD49" s="24">
        <v>0.49285714285714288</v>
      </c>
      <c r="BE49" s="25">
        <v>10.723490400170844</v>
      </c>
      <c r="BF49" s="24">
        <v>0.41428571428571431</v>
      </c>
      <c r="BG49" s="24">
        <v>0.26428571428571429</v>
      </c>
      <c r="BH49" s="25">
        <v>3.5069453957642676</v>
      </c>
      <c r="BI49" s="25">
        <v>5.9910317177639572</v>
      </c>
      <c r="BJ49" s="25">
        <v>4.4253247720319475</v>
      </c>
      <c r="BK49" s="25">
        <v>9.9723825182415062</v>
      </c>
      <c r="BL49" s="25">
        <v>1.6797064914513622</v>
      </c>
      <c r="BM49" s="25">
        <v>1.1056086606011748</v>
      </c>
      <c r="BN49" s="25">
        <v>14.731558271497162</v>
      </c>
      <c r="BO49" s="26" t="s">
        <v>176</v>
      </c>
      <c r="BP49" s="26"/>
      <c r="BQ49" s="32" t="s">
        <v>267</v>
      </c>
      <c r="BR49" s="32">
        <v>405.57</v>
      </c>
      <c r="BS49" s="32">
        <v>532.47</v>
      </c>
      <c r="BT49" s="32">
        <v>126.9</v>
      </c>
      <c r="BU49" s="36">
        <f t="shared" si="24"/>
        <v>8.6291489361702141</v>
      </c>
      <c r="BV49" s="36">
        <f t="shared" si="25"/>
        <v>11.329148936170213</v>
      </c>
      <c r="BW49" s="36">
        <f t="shared" si="26"/>
        <v>2.7</v>
      </c>
      <c r="BX49" s="37">
        <f t="shared" si="27"/>
        <v>24.222172452407616</v>
      </c>
      <c r="BY49" s="37">
        <f t="shared" si="28"/>
        <v>31.801119820828667</v>
      </c>
      <c r="BZ49" s="37">
        <f t="shared" si="29"/>
        <v>7.5789473684210522</v>
      </c>
      <c r="CA49" s="35">
        <v>34</v>
      </c>
      <c r="CB49" s="35">
        <v>13</v>
      </c>
    </row>
    <row r="50" spans="1:80" x14ac:dyDescent="0.4">
      <c r="A50" s="16" t="s">
        <v>178</v>
      </c>
      <c r="B50" s="16" t="s">
        <v>251</v>
      </c>
      <c r="C50" s="16" t="s">
        <v>155</v>
      </c>
      <c r="D50" s="23">
        <v>8</v>
      </c>
      <c r="E50" s="23">
        <v>5</v>
      </c>
      <c r="F50" s="23">
        <v>38</v>
      </c>
      <c r="G50" s="21">
        <v>2704</v>
      </c>
      <c r="H50" s="21">
        <v>0</v>
      </c>
      <c r="I50" s="22">
        <f t="shared" si="0"/>
        <v>0</v>
      </c>
      <c r="J50" s="23">
        <v>0</v>
      </c>
      <c r="K50" s="23">
        <v>7</v>
      </c>
      <c r="L50" s="22">
        <f t="shared" si="30"/>
        <v>0</v>
      </c>
      <c r="M50" s="22">
        <f t="shared" si="31"/>
        <v>0.875</v>
      </c>
      <c r="N50" s="24">
        <f t="shared" si="32"/>
        <v>0</v>
      </c>
      <c r="O50" s="21">
        <v>0</v>
      </c>
      <c r="P50" s="23">
        <v>3</v>
      </c>
      <c r="Q50" s="22">
        <f t="shared" si="3"/>
        <v>0</v>
      </c>
      <c r="R50" s="22">
        <f t="shared" si="4"/>
        <v>0.375</v>
      </c>
      <c r="S50" s="24">
        <f t="shared" si="5"/>
        <v>0</v>
      </c>
      <c r="T50" s="23">
        <v>0</v>
      </c>
      <c r="U50" s="23">
        <v>4</v>
      </c>
      <c r="V50" s="22">
        <f t="shared" si="6"/>
        <v>0</v>
      </c>
      <c r="W50" s="22">
        <f t="shared" si="7"/>
        <v>0.5</v>
      </c>
      <c r="X50" s="24">
        <f t="shared" si="8"/>
        <v>0</v>
      </c>
      <c r="Y50" s="23">
        <v>0</v>
      </c>
      <c r="Z50" s="23">
        <v>0</v>
      </c>
      <c r="AA50" s="22">
        <f t="shared" si="9"/>
        <v>0</v>
      </c>
      <c r="AB50" s="22">
        <f t="shared" si="10"/>
        <v>0</v>
      </c>
      <c r="AC50" s="24" t="e">
        <f t="shared" si="11"/>
        <v>#DIV/0!</v>
      </c>
      <c r="AD50" s="23">
        <v>2</v>
      </c>
      <c r="AE50" s="22">
        <f t="shared" si="12"/>
        <v>0.25</v>
      </c>
      <c r="AF50" s="23">
        <v>1</v>
      </c>
      <c r="AG50" s="22">
        <f t="shared" si="13"/>
        <v>0.125</v>
      </c>
      <c r="AH50" s="23">
        <v>1</v>
      </c>
      <c r="AI50" s="22">
        <f t="shared" si="14"/>
        <v>0.125</v>
      </c>
      <c r="AJ50" s="23">
        <v>5</v>
      </c>
      <c r="AK50" s="22">
        <f t="shared" si="15"/>
        <v>0.625</v>
      </c>
      <c r="AL50" s="23">
        <v>1</v>
      </c>
      <c r="AM50" s="22">
        <f t="shared" si="16"/>
        <v>0.125</v>
      </c>
      <c r="AN50" s="23">
        <v>0</v>
      </c>
      <c r="AO50" s="22">
        <f t="shared" si="17"/>
        <v>0</v>
      </c>
      <c r="AP50" s="10">
        <v>3</v>
      </c>
      <c r="AQ50" s="22">
        <f t="shared" si="18"/>
        <v>0.375</v>
      </c>
      <c r="AR50" s="23">
        <v>6</v>
      </c>
      <c r="AS50" s="22">
        <f t="shared" si="19"/>
        <v>0.75</v>
      </c>
      <c r="AT50" s="25">
        <v>-0.19762749287004527</v>
      </c>
      <c r="AU50" s="25">
        <v>-0.17540901734027686</v>
      </c>
      <c r="AV50" s="25">
        <v>-0.22232489200502237</v>
      </c>
      <c r="AW50" s="25">
        <v>2.4697399134977087E-2</v>
      </c>
      <c r="AX50" s="25">
        <v>35.141387630763781</v>
      </c>
      <c r="AY50" s="25">
        <v>112.93635482737008</v>
      </c>
      <c r="AZ50" s="25">
        <v>-1.1377321671250222</v>
      </c>
      <c r="BA50" s="25">
        <v>-0.25</v>
      </c>
      <c r="BB50" s="25">
        <v>-1.7751479289940828</v>
      </c>
      <c r="BC50" s="24">
        <v>0</v>
      </c>
      <c r="BD50" s="24">
        <v>0</v>
      </c>
      <c r="BE50" s="25">
        <v>1.4800299558063055</v>
      </c>
      <c r="BF50" s="24">
        <v>0.5714285714285714</v>
      </c>
      <c r="BG50" s="24">
        <v>0</v>
      </c>
      <c r="BH50" s="25">
        <v>0.36962996959793504</v>
      </c>
      <c r="BI50" s="25">
        <v>0.36962996959793504</v>
      </c>
      <c r="BJ50" s="25">
        <v>0.34443811379948247</v>
      </c>
      <c r="BK50" s="25">
        <v>1.971291425867943</v>
      </c>
      <c r="BL50" s="25">
        <v>1.1886976148029902</v>
      </c>
      <c r="BM50" s="25">
        <v>0</v>
      </c>
      <c r="BN50" s="25">
        <v>30</v>
      </c>
      <c r="BO50" s="26" t="s">
        <v>176</v>
      </c>
      <c r="BP50" s="26"/>
      <c r="BQ50" s="32" t="s">
        <v>267</v>
      </c>
      <c r="BR50" s="32">
        <v>11.16</v>
      </c>
      <c r="BS50" s="32">
        <v>22.26</v>
      </c>
      <c r="BT50" s="32">
        <v>11.1</v>
      </c>
      <c r="BU50" s="36">
        <f t="shared" si="24"/>
        <v>1.3950000000000002</v>
      </c>
      <c r="BV50" s="36">
        <f t="shared" si="25"/>
        <v>2.7825000000000002</v>
      </c>
      <c r="BW50" s="36">
        <f t="shared" si="26"/>
        <v>1.3875</v>
      </c>
      <c r="BX50" s="37">
        <f t="shared" si="27"/>
        <v>9.9053254437869853</v>
      </c>
      <c r="BY50" s="37">
        <f t="shared" si="28"/>
        <v>19.757396449704146</v>
      </c>
      <c r="BZ50" s="37">
        <f t="shared" si="29"/>
        <v>9.8520710059171606</v>
      </c>
      <c r="CA50" s="34">
        <v>7</v>
      </c>
      <c r="CB50" s="34">
        <v>1</v>
      </c>
    </row>
    <row r="51" spans="1:80" x14ac:dyDescent="0.4">
      <c r="A51" s="16" t="s">
        <v>178</v>
      </c>
      <c r="B51" s="16" t="s">
        <v>251</v>
      </c>
      <c r="C51" s="16" t="s">
        <v>73</v>
      </c>
      <c r="D51" s="23">
        <v>46</v>
      </c>
      <c r="E51" s="23">
        <v>11</v>
      </c>
      <c r="F51" s="23">
        <v>4</v>
      </c>
      <c r="G51" s="21">
        <v>30544</v>
      </c>
      <c r="H51" s="21">
        <v>115</v>
      </c>
      <c r="I51" s="22">
        <f t="shared" si="0"/>
        <v>2.5</v>
      </c>
      <c r="J51" s="23">
        <v>42</v>
      </c>
      <c r="K51" s="23">
        <v>112</v>
      </c>
      <c r="L51" s="22">
        <f t="shared" si="30"/>
        <v>0.91304347826086951</v>
      </c>
      <c r="M51" s="22">
        <f t="shared" si="31"/>
        <v>2.4347826086956523</v>
      </c>
      <c r="N51" s="24">
        <f t="shared" si="32"/>
        <v>0.375</v>
      </c>
      <c r="O51" s="21">
        <v>21</v>
      </c>
      <c r="P51" s="23">
        <v>40</v>
      </c>
      <c r="Q51" s="22">
        <f t="shared" si="3"/>
        <v>0.45652173913043476</v>
      </c>
      <c r="R51" s="22">
        <f t="shared" si="4"/>
        <v>0.86956521739130432</v>
      </c>
      <c r="S51" s="24">
        <f t="shared" si="5"/>
        <v>0.52500000000000002</v>
      </c>
      <c r="T51" s="23">
        <v>21</v>
      </c>
      <c r="U51" s="23">
        <v>72</v>
      </c>
      <c r="V51" s="22">
        <f t="shared" si="6"/>
        <v>0.45652173913043476</v>
      </c>
      <c r="W51" s="22">
        <f t="shared" si="7"/>
        <v>1.5652173913043479</v>
      </c>
      <c r="X51" s="24">
        <f t="shared" si="8"/>
        <v>0.29166666666666669</v>
      </c>
      <c r="Y51" s="23">
        <v>10</v>
      </c>
      <c r="Z51" s="23">
        <v>16</v>
      </c>
      <c r="AA51" s="22">
        <f t="shared" si="9"/>
        <v>0.21739130434782608</v>
      </c>
      <c r="AB51" s="22">
        <f t="shared" si="10"/>
        <v>0.34782608695652173</v>
      </c>
      <c r="AC51" s="24">
        <f t="shared" si="11"/>
        <v>0.625</v>
      </c>
      <c r="AD51" s="23">
        <v>71</v>
      </c>
      <c r="AE51" s="22">
        <f t="shared" si="12"/>
        <v>1.5434782608695652</v>
      </c>
      <c r="AF51" s="23">
        <v>18</v>
      </c>
      <c r="AG51" s="22">
        <f t="shared" si="13"/>
        <v>0.39130434782608697</v>
      </c>
      <c r="AH51" s="23">
        <v>53</v>
      </c>
      <c r="AI51" s="22">
        <f t="shared" si="14"/>
        <v>1.1521739130434783</v>
      </c>
      <c r="AJ51" s="23">
        <v>33</v>
      </c>
      <c r="AK51" s="22">
        <f t="shared" si="15"/>
        <v>0.71739130434782605</v>
      </c>
      <c r="AL51" s="23">
        <v>17</v>
      </c>
      <c r="AM51" s="22">
        <f t="shared" si="16"/>
        <v>0.36956521739130432</v>
      </c>
      <c r="AN51" s="23">
        <v>1</v>
      </c>
      <c r="AO51" s="22">
        <f t="shared" si="17"/>
        <v>2.1739130434782608E-2</v>
      </c>
      <c r="AP51" s="10">
        <v>16</v>
      </c>
      <c r="AQ51" s="22">
        <f t="shared" si="18"/>
        <v>0.34782608695652173</v>
      </c>
      <c r="AR51" s="23">
        <v>66</v>
      </c>
      <c r="AS51" s="22">
        <f t="shared" si="19"/>
        <v>1.4347826086956521</v>
      </c>
      <c r="AT51" s="25">
        <v>0.83118988616684009</v>
      </c>
      <c r="AU51" s="25">
        <v>6.5310886812480887E-2</v>
      </c>
      <c r="AV51" s="25">
        <v>0.2206071431779488</v>
      </c>
      <c r="AW51" s="25">
        <v>0.61058274298889126</v>
      </c>
      <c r="AX51" s="25">
        <v>104.60135387921015</v>
      </c>
      <c r="AY51" s="25">
        <v>108.31135368354741</v>
      </c>
      <c r="AZ51" s="25">
        <v>5.1667871999271346</v>
      </c>
      <c r="BA51" s="25">
        <v>3.152173913043478</v>
      </c>
      <c r="BB51" s="25">
        <v>11.393399685699318</v>
      </c>
      <c r="BC51" s="24">
        <v>0.48303091397849462</v>
      </c>
      <c r="BD51" s="24">
        <v>0.46875</v>
      </c>
      <c r="BE51" s="25">
        <v>10.173761579584975</v>
      </c>
      <c r="BF51" s="24">
        <v>0.6428571428571429</v>
      </c>
      <c r="BG51" s="24">
        <v>0.14285714285714285</v>
      </c>
      <c r="BH51" s="25">
        <v>3.3867902636051759</v>
      </c>
      <c r="BI51" s="25">
        <v>9.9722157761707955</v>
      </c>
      <c r="BJ51" s="25">
        <v>6.224266457048178</v>
      </c>
      <c r="BK51" s="25">
        <v>7.2324539935565406</v>
      </c>
      <c r="BL51" s="25">
        <v>1.788961889643264</v>
      </c>
      <c r="BM51" s="25">
        <v>0.15818196198360182</v>
      </c>
      <c r="BN51" s="25">
        <v>11.848341232227487</v>
      </c>
      <c r="BO51" s="26" t="s">
        <v>176</v>
      </c>
      <c r="BP51" s="27"/>
      <c r="BQ51" s="32" t="s">
        <v>267</v>
      </c>
      <c r="BR51" s="32">
        <v>299</v>
      </c>
      <c r="BS51" s="32">
        <v>392.7</v>
      </c>
      <c r="BT51" s="32">
        <v>93.7</v>
      </c>
      <c r="BU51" s="36">
        <f t="shared" si="24"/>
        <v>6.5</v>
      </c>
      <c r="BV51" s="36">
        <f t="shared" si="25"/>
        <v>8.5369565217391301</v>
      </c>
      <c r="BW51" s="36">
        <f t="shared" si="26"/>
        <v>2.0369565217391306</v>
      </c>
      <c r="BX51" s="37">
        <f t="shared" si="27"/>
        <v>23.493975903614459</v>
      </c>
      <c r="BY51" s="37">
        <f t="shared" si="28"/>
        <v>30.856469355683604</v>
      </c>
      <c r="BZ51" s="37">
        <f t="shared" si="29"/>
        <v>7.3624934520691463</v>
      </c>
      <c r="CA51" s="35">
        <v>34</v>
      </c>
      <c r="CB51" s="35">
        <v>12</v>
      </c>
    </row>
    <row r="52" spans="1:80" x14ac:dyDescent="0.4">
      <c r="A52" s="16" t="s">
        <v>178</v>
      </c>
      <c r="B52" s="16" t="s">
        <v>251</v>
      </c>
      <c r="C52" s="16" t="s">
        <v>53</v>
      </c>
      <c r="D52" s="29">
        <v>45</v>
      </c>
      <c r="E52" s="29">
        <v>31</v>
      </c>
      <c r="F52" s="29">
        <v>44</v>
      </c>
      <c r="G52" s="21">
        <v>85680</v>
      </c>
      <c r="H52" s="21">
        <v>994</v>
      </c>
      <c r="I52" s="22">
        <f t="shared" si="0"/>
        <v>22.088888888888889</v>
      </c>
      <c r="J52" s="23">
        <v>427</v>
      </c>
      <c r="K52" s="23">
        <v>827</v>
      </c>
      <c r="L52" s="22">
        <f t="shared" si="30"/>
        <v>9.4888888888888889</v>
      </c>
      <c r="M52" s="22">
        <f t="shared" si="31"/>
        <v>18.377777777777776</v>
      </c>
      <c r="N52" s="24">
        <f t="shared" si="32"/>
        <v>0.5163240628778718</v>
      </c>
      <c r="O52" s="21">
        <v>413</v>
      </c>
      <c r="P52" s="23">
        <v>773</v>
      </c>
      <c r="Q52" s="22">
        <f t="shared" si="3"/>
        <v>9.1777777777777771</v>
      </c>
      <c r="R52" s="22">
        <f t="shared" si="4"/>
        <v>17.177777777777777</v>
      </c>
      <c r="S52" s="24">
        <f t="shared" si="5"/>
        <v>0.53428201811125486</v>
      </c>
      <c r="T52" s="23">
        <v>14</v>
      </c>
      <c r="U52" s="23">
        <v>54</v>
      </c>
      <c r="V52" s="22">
        <f t="shared" si="6"/>
        <v>0.31111111111111112</v>
      </c>
      <c r="W52" s="22">
        <f t="shared" si="7"/>
        <v>1.2</v>
      </c>
      <c r="X52" s="24">
        <f t="shared" si="8"/>
        <v>0.25925925925925924</v>
      </c>
      <c r="Y52" s="15">
        <v>126</v>
      </c>
      <c r="Z52" s="15">
        <v>169</v>
      </c>
      <c r="AA52" s="22">
        <f t="shared" si="9"/>
        <v>2.8</v>
      </c>
      <c r="AB52" s="22">
        <f t="shared" si="10"/>
        <v>3.7555555555555555</v>
      </c>
      <c r="AC52" s="24">
        <f t="shared" si="11"/>
        <v>0.74556213017751483</v>
      </c>
      <c r="AD52" s="23">
        <v>564</v>
      </c>
      <c r="AE52" s="22">
        <f t="shared" si="12"/>
        <v>12.533333333333333</v>
      </c>
      <c r="AF52" s="23">
        <v>178</v>
      </c>
      <c r="AG52" s="22">
        <f t="shared" si="13"/>
        <v>3.9555555555555557</v>
      </c>
      <c r="AH52" s="23">
        <v>386</v>
      </c>
      <c r="AI52" s="22">
        <f t="shared" si="14"/>
        <v>8.5777777777777775</v>
      </c>
      <c r="AJ52" s="23">
        <v>140</v>
      </c>
      <c r="AK52" s="22">
        <f t="shared" si="15"/>
        <v>3.1111111111111112</v>
      </c>
      <c r="AL52" s="23">
        <v>51</v>
      </c>
      <c r="AM52" s="22">
        <f t="shared" si="16"/>
        <v>1.1333333333333333</v>
      </c>
      <c r="AN52" s="13">
        <v>28</v>
      </c>
      <c r="AO52" s="22">
        <f t="shared" si="17"/>
        <v>0.62222222222222223</v>
      </c>
      <c r="AP52" s="12">
        <v>69</v>
      </c>
      <c r="AQ52" s="22">
        <f t="shared" si="18"/>
        <v>1.5333333333333334</v>
      </c>
      <c r="AR52" s="23">
        <v>51</v>
      </c>
      <c r="AS52" s="22">
        <f t="shared" si="19"/>
        <v>1.1333333333333333</v>
      </c>
      <c r="AT52" s="25">
        <v>9.0647274382052778</v>
      </c>
      <c r="AU52" s="25">
        <v>0.25391393384328509</v>
      </c>
      <c r="AV52" s="25">
        <v>5.8522659231558762</v>
      </c>
      <c r="AW52" s="25">
        <v>3.212461515049402</v>
      </c>
      <c r="AX52" s="25">
        <v>118.63883581721548</v>
      </c>
      <c r="AY52" s="25">
        <v>100.85475066536711</v>
      </c>
      <c r="AZ52" s="25">
        <v>25.223098018501243</v>
      </c>
      <c r="BA52" s="25">
        <v>28.111111111111111</v>
      </c>
      <c r="BB52" s="25">
        <v>35.434173669467782</v>
      </c>
      <c r="BC52" s="24">
        <v>0.55138901215940361</v>
      </c>
      <c r="BD52" s="24">
        <v>0.52478839177750902</v>
      </c>
      <c r="BE52" s="25">
        <v>25.494890302294003</v>
      </c>
      <c r="BF52" s="24">
        <v>6.529625151148731E-2</v>
      </c>
      <c r="BG52" s="24">
        <v>0.20435308343409916</v>
      </c>
      <c r="BH52" s="25">
        <v>11.679841119165001</v>
      </c>
      <c r="BI52" s="25">
        <v>25.328194786503879</v>
      </c>
      <c r="BJ52" s="25">
        <v>17.242890364974514</v>
      </c>
      <c r="BK52" s="25">
        <v>13.974938277355943</v>
      </c>
      <c r="BL52" s="25">
        <v>1.9132371133495745</v>
      </c>
      <c r="BM52" s="25">
        <v>1.5446003346634058</v>
      </c>
      <c r="BN52" s="25">
        <v>7.1107630157879544</v>
      </c>
      <c r="BO52" s="26" t="s">
        <v>249</v>
      </c>
      <c r="BP52" s="26"/>
      <c r="BQ52" s="32" t="s">
        <v>268</v>
      </c>
      <c r="BR52" s="32">
        <v>1759.1</v>
      </c>
      <c r="BS52" s="32">
        <v>2293</v>
      </c>
      <c r="BT52" s="32">
        <v>533.9</v>
      </c>
      <c r="BU52" s="36">
        <f t="shared" si="24"/>
        <v>39.091111111111111</v>
      </c>
      <c r="BV52" s="36">
        <f t="shared" si="25"/>
        <v>50.955555555555556</v>
      </c>
      <c r="BW52" s="36">
        <f t="shared" si="26"/>
        <v>11.864444444444445</v>
      </c>
      <c r="BX52" s="37">
        <f t="shared" si="27"/>
        <v>49.274509803921575</v>
      </c>
      <c r="BY52" s="37">
        <f t="shared" si="28"/>
        <v>64.229691876750707</v>
      </c>
      <c r="BZ52" s="37">
        <f t="shared" si="29"/>
        <v>14.955182072829132</v>
      </c>
      <c r="CA52" s="34">
        <v>35</v>
      </c>
      <c r="CB52" s="34">
        <v>10</v>
      </c>
    </row>
    <row r="53" spans="1:80" x14ac:dyDescent="0.4">
      <c r="A53" s="16" t="s">
        <v>178</v>
      </c>
      <c r="B53" s="16" t="s">
        <v>251</v>
      </c>
      <c r="C53" s="16" t="s">
        <v>55</v>
      </c>
      <c r="D53" s="23">
        <v>53</v>
      </c>
      <c r="E53" s="23">
        <v>17</v>
      </c>
      <c r="F53" s="23">
        <v>11</v>
      </c>
      <c r="G53" s="21">
        <v>54643</v>
      </c>
      <c r="H53" s="21">
        <v>249</v>
      </c>
      <c r="I53" s="22">
        <f t="shared" si="0"/>
        <v>4.6981132075471699</v>
      </c>
      <c r="J53" s="23">
        <v>103</v>
      </c>
      <c r="K53" s="23">
        <v>209</v>
      </c>
      <c r="L53" s="22">
        <f t="shared" si="30"/>
        <v>1.9433962264150944</v>
      </c>
      <c r="M53" s="22">
        <f t="shared" si="31"/>
        <v>3.9433962264150941</v>
      </c>
      <c r="N53" s="24">
        <f t="shared" si="32"/>
        <v>0.49282296650717705</v>
      </c>
      <c r="O53" s="21">
        <v>100</v>
      </c>
      <c r="P53" s="23">
        <v>190</v>
      </c>
      <c r="Q53" s="22">
        <f t="shared" si="3"/>
        <v>1.8867924528301887</v>
      </c>
      <c r="R53" s="22">
        <f t="shared" si="4"/>
        <v>3.5849056603773586</v>
      </c>
      <c r="S53" s="24">
        <f t="shared" si="5"/>
        <v>0.52631578947368418</v>
      </c>
      <c r="T53" s="23">
        <v>3</v>
      </c>
      <c r="U53" s="23">
        <v>19</v>
      </c>
      <c r="V53" s="22">
        <f t="shared" si="6"/>
        <v>5.6603773584905662E-2</v>
      </c>
      <c r="W53" s="22">
        <f t="shared" si="7"/>
        <v>0.35849056603773582</v>
      </c>
      <c r="X53" s="24">
        <f t="shared" si="8"/>
        <v>0.15789473684210525</v>
      </c>
      <c r="Y53" s="23">
        <v>40</v>
      </c>
      <c r="Z53" s="23">
        <v>56</v>
      </c>
      <c r="AA53" s="22">
        <f t="shared" si="9"/>
        <v>0.75471698113207553</v>
      </c>
      <c r="AB53" s="22">
        <f t="shared" si="10"/>
        <v>1.0566037735849056</v>
      </c>
      <c r="AC53" s="24">
        <f t="shared" si="11"/>
        <v>0.7142857142857143</v>
      </c>
      <c r="AD53" s="23">
        <v>168</v>
      </c>
      <c r="AE53" s="22">
        <f t="shared" si="12"/>
        <v>3.1698113207547172</v>
      </c>
      <c r="AF53" s="23">
        <v>56</v>
      </c>
      <c r="AG53" s="22">
        <f t="shared" si="13"/>
        <v>1.0566037735849056</v>
      </c>
      <c r="AH53" s="23">
        <v>112</v>
      </c>
      <c r="AI53" s="22">
        <f t="shared" si="14"/>
        <v>2.1132075471698113</v>
      </c>
      <c r="AJ53" s="23">
        <v>38</v>
      </c>
      <c r="AK53" s="22">
        <f t="shared" si="15"/>
        <v>0.71698113207547165</v>
      </c>
      <c r="AL53" s="23">
        <v>26</v>
      </c>
      <c r="AM53" s="22">
        <f t="shared" si="16"/>
        <v>0.49056603773584906</v>
      </c>
      <c r="AN53" s="23">
        <v>13</v>
      </c>
      <c r="AO53" s="22">
        <f t="shared" si="17"/>
        <v>0.24528301886792453</v>
      </c>
      <c r="AP53" s="10">
        <v>32</v>
      </c>
      <c r="AQ53" s="22">
        <f t="shared" si="18"/>
        <v>0.60377358490566035</v>
      </c>
      <c r="AR53" s="23">
        <v>112</v>
      </c>
      <c r="AS53" s="22">
        <f t="shared" si="19"/>
        <v>2.1132075471698113</v>
      </c>
      <c r="AT53" s="25">
        <v>2.1104724710687459</v>
      </c>
      <c r="AU53" s="25">
        <v>9.2695019134472673E-2</v>
      </c>
      <c r="AV53" s="25">
        <v>0.91116899444382715</v>
      </c>
      <c r="AW53" s="25">
        <v>1.1993034766249189</v>
      </c>
      <c r="AX53" s="25">
        <v>110.0913096735586</v>
      </c>
      <c r="AY53" s="25">
        <v>107.47735324755513</v>
      </c>
      <c r="AZ53" s="25">
        <v>8.9592363873954213</v>
      </c>
      <c r="BA53" s="25">
        <v>6.4150943396226419</v>
      </c>
      <c r="BB53" s="25">
        <v>14.933294292041065</v>
      </c>
      <c r="BC53" s="24">
        <v>0.53287108371854142</v>
      </c>
      <c r="BD53" s="24">
        <v>0.5</v>
      </c>
      <c r="BE53" s="25">
        <v>12.889082756703276</v>
      </c>
      <c r="BF53" s="24">
        <v>9.0909090909090912E-2</v>
      </c>
      <c r="BG53" s="24">
        <v>0.26794258373205743</v>
      </c>
      <c r="BH53" s="25">
        <v>6.7859903632877918</v>
      </c>
      <c r="BI53" s="25">
        <v>13.571980726575584</v>
      </c>
      <c r="BJ53" s="25">
        <v>9.4852443520804144</v>
      </c>
      <c r="BK53" s="25">
        <v>5.6658948541622278</v>
      </c>
      <c r="BL53" s="25">
        <v>1.5293852297844084</v>
      </c>
      <c r="BM53" s="25">
        <v>1.3243711889839485</v>
      </c>
      <c r="BN53" s="25">
        <v>12.046378557446168</v>
      </c>
      <c r="BO53" s="26" t="s">
        <v>176</v>
      </c>
      <c r="BP53" s="27"/>
      <c r="BQ53" s="32" t="s">
        <v>268</v>
      </c>
      <c r="BR53" s="32">
        <v>612.39</v>
      </c>
      <c r="BS53" s="32">
        <v>777.59</v>
      </c>
      <c r="BT53" s="32">
        <v>165.2</v>
      </c>
      <c r="BU53" s="36">
        <f t="shared" si="24"/>
        <v>11.554528301886794</v>
      </c>
      <c r="BV53" s="36">
        <f t="shared" si="25"/>
        <v>14.671509433962266</v>
      </c>
      <c r="BW53" s="36">
        <f t="shared" si="26"/>
        <v>3.1169811320754715</v>
      </c>
      <c r="BX53" s="37">
        <f t="shared" si="27"/>
        <v>26.897059092655969</v>
      </c>
      <c r="BY53" s="37">
        <f t="shared" si="28"/>
        <v>34.152883260435921</v>
      </c>
      <c r="BZ53" s="37">
        <f t="shared" si="29"/>
        <v>7.2558241677799531</v>
      </c>
      <c r="CA53" s="35">
        <v>39</v>
      </c>
      <c r="CB53" s="35">
        <v>14</v>
      </c>
    </row>
    <row r="54" spans="1:80" x14ac:dyDescent="0.4">
      <c r="A54" s="16" t="s">
        <v>178</v>
      </c>
      <c r="B54" s="16" t="s">
        <v>251</v>
      </c>
      <c r="C54" s="16" t="s">
        <v>56</v>
      </c>
      <c r="D54" s="29">
        <v>51</v>
      </c>
      <c r="E54" s="29">
        <v>15</v>
      </c>
      <c r="F54" s="29">
        <v>25</v>
      </c>
      <c r="G54" s="21">
        <v>47175</v>
      </c>
      <c r="H54" s="21">
        <v>123</v>
      </c>
      <c r="I54" s="22">
        <f t="shared" si="0"/>
        <v>2.4117647058823528</v>
      </c>
      <c r="J54" s="23">
        <v>42</v>
      </c>
      <c r="K54" s="23">
        <v>107</v>
      </c>
      <c r="L54" s="22">
        <f t="shared" si="30"/>
        <v>0.82352941176470584</v>
      </c>
      <c r="M54" s="22">
        <f t="shared" si="31"/>
        <v>2.0980392156862746</v>
      </c>
      <c r="N54" s="24">
        <f t="shared" si="32"/>
        <v>0.3925233644859813</v>
      </c>
      <c r="O54" s="21">
        <v>21</v>
      </c>
      <c r="P54" s="23">
        <v>43</v>
      </c>
      <c r="Q54" s="22">
        <f t="shared" si="3"/>
        <v>0.41176470588235292</v>
      </c>
      <c r="R54" s="22">
        <f t="shared" si="4"/>
        <v>0.84313725490196079</v>
      </c>
      <c r="S54" s="24">
        <f t="shared" si="5"/>
        <v>0.48837209302325579</v>
      </c>
      <c r="T54" s="23">
        <v>21</v>
      </c>
      <c r="U54" s="23">
        <v>64</v>
      </c>
      <c r="V54" s="22">
        <f t="shared" si="6"/>
        <v>0.41176470588235292</v>
      </c>
      <c r="W54" s="22">
        <f t="shared" si="7"/>
        <v>1.2549019607843137</v>
      </c>
      <c r="X54" s="24">
        <f t="shared" si="8"/>
        <v>0.328125</v>
      </c>
      <c r="Y54" s="15">
        <v>18</v>
      </c>
      <c r="Z54" s="15">
        <v>28</v>
      </c>
      <c r="AA54" s="22">
        <f t="shared" si="9"/>
        <v>0.35294117647058826</v>
      </c>
      <c r="AB54" s="22">
        <f t="shared" si="10"/>
        <v>0.5490196078431373</v>
      </c>
      <c r="AC54" s="24">
        <f t="shared" si="11"/>
        <v>0.6428571428571429</v>
      </c>
      <c r="AD54" s="23">
        <v>128</v>
      </c>
      <c r="AE54" s="22">
        <f t="shared" si="12"/>
        <v>2.5098039215686274</v>
      </c>
      <c r="AF54" s="23">
        <v>48</v>
      </c>
      <c r="AG54" s="22">
        <f t="shared" si="13"/>
        <v>0.94117647058823528</v>
      </c>
      <c r="AH54" s="23">
        <v>80</v>
      </c>
      <c r="AI54" s="22">
        <f t="shared" si="14"/>
        <v>1.5686274509803921</v>
      </c>
      <c r="AJ54" s="23">
        <v>91</v>
      </c>
      <c r="AK54" s="22">
        <f t="shared" si="15"/>
        <v>1.7843137254901962</v>
      </c>
      <c r="AL54" s="23">
        <v>36</v>
      </c>
      <c r="AM54" s="22">
        <f t="shared" si="16"/>
        <v>0.70588235294117652</v>
      </c>
      <c r="AN54" s="13">
        <v>0</v>
      </c>
      <c r="AO54" s="22">
        <f t="shared" si="17"/>
        <v>0</v>
      </c>
      <c r="AP54" s="12">
        <v>39</v>
      </c>
      <c r="AQ54" s="22">
        <f t="shared" si="18"/>
        <v>0.76470588235294112</v>
      </c>
      <c r="AR54" s="23">
        <v>118</v>
      </c>
      <c r="AS54" s="22">
        <f t="shared" si="19"/>
        <v>2.3137254901960786</v>
      </c>
      <c r="AT54" s="25">
        <v>1.669829668588116</v>
      </c>
      <c r="AU54" s="25">
        <v>8.4951588862988411E-2</v>
      </c>
      <c r="AV54" s="25">
        <v>0.5775092017294382</v>
      </c>
      <c r="AW54" s="25">
        <v>1.0923204668586779</v>
      </c>
      <c r="AX54" s="25">
        <v>108.97736012828227</v>
      </c>
      <c r="AY54" s="25">
        <v>106.96330392531691</v>
      </c>
      <c r="AZ54" s="25">
        <v>6.3719371781516303</v>
      </c>
      <c r="BA54" s="25">
        <v>5.1764705882352944</v>
      </c>
      <c r="BB54" s="25">
        <v>13.430842607313195</v>
      </c>
      <c r="BC54" s="24">
        <v>0.51542071739859208</v>
      </c>
      <c r="BD54" s="24">
        <v>0.49065420560747663</v>
      </c>
      <c r="BE54" s="25">
        <v>8.5621188972864815</v>
      </c>
      <c r="BF54" s="24">
        <v>0.59813084112149528</v>
      </c>
      <c r="BG54" s="24">
        <v>0.26168224299065418</v>
      </c>
      <c r="BH54" s="25">
        <v>6.483109866764214</v>
      </c>
      <c r="BI54" s="25">
        <v>10.805183111273688</v>
      </c>
      <c r="BJ54" s="25">
        <v>8.0550111110382758</v>
      </c>
      <c r="BK54" s="25">
        <v>13.954157016212761</v>
      </c>
      <c r="BL54" s="25">
        <v>2.4528368969874359</v>
      </c>
      <c r="BM54" s="25">
        <v>0</v>
      </c>
      <c r="BN54" s="25">
        <v>24.633653360282974</v>
      </c>
      <c r="BO54" s="26" t="s">
        <v>176</v>
      </c>
      <c r="BP54" s="27"/>
      <c r="BQ54" s="33" t="s">
        <v>267</v>
      </c>
      <c r="BR54" s="33">
        <v>522.79999999999995</v>
      </c>
      <c r="BS54" s="33">
        <v>650</v>
      </c>
      <c r="BT54" s="33">
        <v>127.2</v>
      </c>
      <c r="BU54" s="36">
        <f t="shared" si="24"/>
        <v>10.250980392156862</v>
      </c>
      <c r="BV54" s="36">
        <f t="shared" si="25"/>
        <v>12.745098039215685</v>
      </c>
      <c r="BW54" s="36">
        <f t="shared" si="26"/>
        <v>2.4941176470588236</v>
      </c>
      <c r="BX54" s="37">
        <f t="shared" si="27"/>
        <v>26.597138314785372</v>
      </c>
      <c r="BY54" s="37">
        <f t="shared" si="28"/>
        <v>33.068362480127185</v>
      </c>
      <c r="BZ54" s="37">
        <f t="shared" si="29"/>
        <v>6.4712241653418126</v>
      </c>
      <c r="CA54" s="34">
        <v>38</v>
      </c>
      <c r="CB54" s="34">
        <v>13</v>
      </c>
    </row>
    <row r="55" spans="1:80" x14ac:dyDescent="0.4">
      <c r="A55" s="16" t="s">
        <v>178</v>
      </c>
      <c r="B55" s="16" t="s">
        <v>251</v>
      </c>
      <c r="C55" s="16" t="s">
        <v>80</v>
      </c>
      <c r="D55" s="23">
        <v>54</v>
      </c>
      <c r="E55" s="23">
        <v>28</v>
      </c>
      <c r="F55" s="23">
        <v>12</v>
      </c>
      <c r="G55" s="21">
        <v>91368</v>
      </c>
      <c r="H55" s="21">
        <v>863</v>
      </c>
      <c r="I55" s="22">
        <f t="shared" si="0"/>
        <v>15.981481481481481</v>
      </c>
      <c r="J55" s="23">
        <v>312</v>
      </c>
      <c r="K55" s="23">
        <v>685</v>
      </c>
      <c r="L55" s="22">
        <f t="shared" si="30"/>
        <v>5.7777777777777777</v>
      </c>
      <c r="M55" s="22">
        <f t="shared" si="31"/>
        <v>12.685185185185185</v>
      </c>
      <c r="N55" s="24">
        <f t="shared" si="32"/>
        <v>0.4554744525547445</v>
      </c>
      <c r="O55" s="21">
        <v>225</v>
      </c>
      <c r="P55" s="23">
        <v>438</v>
      </c>
      <c r="Q55" s="22">
        <f t="shared" si="3"/>
        <v>4.166666666666667</v>
      </c>
      <c r="R55" s="22">
        <f t="shared" si="4"/>
        <v>8.1111111111111107</v>
      </c>
      <c r="S55" s="24">
        <f t="shared" si="5"/>
        <v>0.51369863013698636</v>
      </c>
      <c r="T55" s="23">
        <v>87</v>
      </c>
      <c r="U55" s="23">
        <v>247</v>
      </c>
      <c r="V55" s="22">
        <f t="shared" si="6"/>
        <v>1.6111111111111112</v>
      </c>
      <c r="W55" s="22">
        <f t="shared" si="7"/>
        <v>4.5740740740740744</v>
      </c>
      <c r="X55" s="24">
        <f t="shared" si="8"/>
        <v>0.35222672064777327</v>
      </c>
      <c r="Y55" s="23">
        <v>152</v>
      </c>
      <c r="Z55" s="23">
        <v>214</v>
      </c>
      <c r="AA55" s="22">
        <f t="shared" si="9"/>
        <v>2.8148148148148149</v>
      </c>
      <c r="AB55" s="22">
        <f t="shared" si="10"/>
        <v>3.9629629629629628</v>
      </c>
      <c r="AC55" s="24">
        <f t="shared" si="11"/>
        <v>0.71028037383177567</v>
      </c>
      <c r="AD55" s="23">
        <v>314</v>
      </c>
      <c r="AE55" s="22">
        <f t="shared" si="12"/>
        <v>5.8148148148148149</v>
      </c>
      <c r="AF55" s="23">
        <v>67</v>
      </c>
      <c r="AG55" s="22">
        <f t="shared" si="13"/>
        <v>1.2407407407407407</v>
      </c>
      <c r="AH55" s="23">
        <v>247</v>
      </c>
      <c r="AI55" s="22">
        <f t="shared" si="14"/>
        <v>4.5740740740740744</v>
      </c>
      <c r="AJ55" s="23">
        <v>191</v>
      </c>
      <c r="AK55" s="22">
        <f t="shared" si="15"/>
        <v>3.5370370370370372</v>
      </c>
      <c r="AL55" s="23">
        <v>45</v>
      </c>
      <c r="AM55" s="22">
        <f t="shared" si="16"/>
        <v>0.83333333333333337</v>
      </c>
      <c r="AN55" s="23">
        <v>60</v>
      </c>
      <c r="AO55" s="22">
        <f t="shared" si="17"/>
        <v>1.1111111111111112</v>
      </c>
      <c r="AP55" s="11">
        <v>131</v>
      </c>
      <c r="AQ55" s="22">
        <f t="shared" si="18"/>
        <v>2.425925925925926</v>
      </c>
      <c r="AR55" s="23">
        <v>129</v>
      </c>
      <c r="AS55" s="22">
        <f t="shared" si="19"/>
        <v>2.3888888888888888</v>
      </c>
      <c r="AT55" s="25">
        <v>5.3717114901563141</v>
      </c>
      <c r="AU55" s="25">
        <v>0.14110090596680624</v>
      </c>
      <c r="AV55" s="25">
        <v>2.7290790215289999</v>
      </c>
      <c r="AW55" s="25">
        <v>2.6426324686273142</v>
      </c>
      <c r="AX55" s="25">
        <v>108.9197149863534</v>
      </c>
      <c r="AY55" s="25">
        <v>104.50596073868202</v>
      </c>
      <c r="AZ55" s="25">
        <v>18.80691837100203</v>
      </c>
      <c r="BA55" s="25">
        <v>16.796296296296298</v>
      </c>
      <c r="BB55" s="25">
        <v>23.824533753611767</v>
      </c>
      <c r="BC55" s="24">
        <v>0.55380152985266184</v>
      </c>
      <c r="BD55" s="24">
        <v>0.51897810218978102</v>
      </c>
      <c r="BE55" s="25">
        <v>26.909435805373132</v>
      </c>
      <c r="BF55" s="24">
        <v>0.3605839416058394</v>
      </c>
      <c r="BG55" s="24">
        <v>0.31240875912408761</v>
      </c>
      <c r="BH55" s="25">
        <v>4.947186933519407</v>
      </c>
      <c r="BI55" s="25">
        <v>18.238136904168559</v>
      </c>
      <c r="BJ55" s="25">
        <v>10.802572663642634</v>
      </c>
      <c r="BK55" s="25">
        <v>19.943510788812841</v>
      </c>
      <c r="BL55" s="25">
        <v>1.5830567131734068</v>
      </c>
      <c r="BM55" s="25">
        <v>3.7245681828762978</v>
      </c>
      <c r="BN55" s="25">
        <v>14.393073745275556</v>
      </c>
      <c r="BO55" s="26" t="s">
        <v>176</v>
      </c>
      <c r="BP55" s="27"/>
      <c r="BQ55" s="32" t="s">
        <v>268</v>
      </c>
      <c r="BR55" s="32">
        <v>1381.2</v>
      </c>
      <c r="BS55" s="32">
        <v>1984.3</v>
      </c>
      <c r="BT55" s="32">
        <v>603.1</v>
      </c>
      <c r="BU55" s="36">
        <f t="shared" si="24"/>
        <v>25.577777777777776</v>
      </c>
      <c r="BV55" s="36">
        <f t="shared" si="25"/>
        <v>36.746296296296293</v>
      </c>
      <c r="BW55" s="36">
        <f t="shared" si="26"/>
        <v>11.168518518518519</v>
      </c>
      <c r="BX55" s="37">
        <f t="shared" si="27"/>
        <v>36.28053585500394</v>
      </c>
      <c r="BY55" s="37">
        <f t="shared" si="28"/>
        <v>52.122406094037302</v>
      </c>
      <c r="BZ55" s="37">
        <f t="shared" si="29"/>
        <v>15.84187023903336</v>
      </c>
      <c r="CA55" s="34">
        <v>40</v>
      </c>
      <c r="CB55" s="34">
        <v>14</v>
      </c>
    </row>
    <row r="56" spans="1:80" x14ac:dyDescent="0.4">
      <c r="A56" s="16" t="s">
        <v>178</v>
      </c>
      <c r="B56" s="38" t="s">
        <v>251</v>
      </c>
      <c r="C56" s="38" t="s">
        <v>57</v>
      </c>
      <c r="D56" s="23">
        <v>53</v>
      </c>
      <c r="E56" s="23">
        <v>18</v>
      </c>
      <c r="F56" s="23">
        <v>32</v>
      </c>
      <c r="G56" s="21">
        <v>58936</v>
      </c>
      <c r="H56" s="21">
        <v>352</v>
      </c>
      <c r="I56" s="22">
        <f t="shared" si="0"/>
        <v>6.6415094339622645</v>
      </c>
      <c r="J56" s="23">
        <v>128</v>
      </c>
      <c r="K56" s="23">
        <v>291</v>
      </c>
      <c r="L56" s="22">
        <f t="shared" si="30"/>
        <v>2.4150943396226414</v>
      </c>
      <c r="M56" s="22">
        <f t="shared" si="31"/>
        <v>5.4905660377358494</v>
      </c>
      <c r="N56" s="24">
        <f t="shared" si="32"/>
        <v>0.43986254295532645</v>
      </c>
      <c r="O56" s="21">
        <v>73</v>
      </c>
      <c r="P56" s="23">
        <v>148</v>
      </c>
      <c r="Q56" s="22">
        <f t="shared" si="3"/>
        <v>1.3773584905660377</v>
      </c>
      <c r="R56" s="22">
        <f t="shared" si="4"/>
        <v>2.7924528301886791</v>
      </c>
      <c r="S56" s="24">
        <f t="shared" si="5"/>
        <v>0.49324324324324326</v>
      </c>
      <c r="T56" s="23">
        <v>55</v>
      </c>
      <c r="U56" s="23">
        <v>143</v>
      </c>
      <c r="V56" s="22">
        <f t="shared" si="6"/>
        <v>1.0377358490566038</v>
      </c>
      <c r="W56" s="22">
        <f t="shared" si="7"/>
        <v>2.6981132075471699</v>
      </c>
      <c r="X56" s="24">
        <f t="shared" si="8"/>
        <v>0.38461538461538464</v>
      </c>
      <c r="Y56" s="23">
        <v>41</v>
      </c>
      <c r="Z56" s="23">
        <v>51</v>
      </c>
      <c r="AA56" s="22">
        <f t="shared" si="9"/>
        <v>0.77358490566037741</v>
      </c>
      <c r="AB56" s="22">
        <f t="shared" si="10"/>
        <v>0.96226415094339623</v>
      </c>
      <c r="AC56" s="24">
        <f t="shared" si="11"/>
        <v>0.80392156862745101</v>
      </c>
      <c r="AD56" s="23">
        <v>148</v>
      </c>
      <c r="AE56" s="22">
        <f t="shared" si="12"/>
        <v>2.7924528301886791</v>
      </c>
      <c r="AF56" s="23">
        <v>51</v>
      </c>
      <c r="AG56" s="22">
        <f t="shared" si="13"/>
        <v>0.96226415094339623</v>
      </c>
      <c r="AH56" s="23">
        <v>97</v>
      </c>
      <c r="AI56" s="22">
        <f t="shared" si="14"/>
        <v>1.8301886792452831</v>
      </c>
      <c r="AJ56" s="23">
        <v>21</v>
      </c>
      <c r="AK56" s="22">
        <f t="shared" si="15"/>
        <v>0.39622641509433965</v>
      </c>
      <c r="AL56" s="23">
        <v>26</v>
      </c>
      <c r="AM56" s="22">
        <f t="shared" si="16"/>
        <v>0.49056603773584906</v>
      </c>
      <c r="AN56" s="23">
        <v>7</v>
      </c>
      <c r="AO56" s="22">
        <f t="shared" si="17"/>
        <v>0.13207547169811321</v>
      </c>
      <c r="AP56" s="11">
        <v>22</v>
      </c>
      <c r="AQ56" s="22">
        <f t="shared" si="18"/>
        <v>0.41509433962264153</v>
      </c>
      <c r="AR56" s="23">
        <v>110</v>
      </c>
      <c r="AS56" s="22">
        <f t="shared" si="19"/>
        <v>2.0754716981132075</v>
      </c>
      <c r="AT56" s="25">
        <v>2.9232843506792596</v>
      </c>
      <c r="AU56" s="25">
        <v>0.119042392453343</v>
      </c>
      <c r="AV56" s="25">
        <v>1.8553574742565224</v>
      </c>
      <c r="AW56" s="25">
        <v>1.067926876422737</v>
      </c>
      <c r="AX56" s="25">
        <v>117.97943372286007</v>
      </c>
      <c r="AY56" s="25">
        <v>109.10805479085128</v>
      </c>
      <c r="AZ56" s="25">
        <v>10.472627499496078</v>
      </c>
      <c r="BA56" s="25">
        <v>6.7735849056603774</v>
      </c>
      <c r="BB56" s="25">
        <v>14.619247997828154</v>
      </c>
      <c r="BC56" s="24">
        <v>0.56151097498723834</v>
      </c>
      <c r="BD56" s="24">
        <v>0.53436426116838487</v>
      </c>
      <c r="BE56" s="25">
        <v>15.090278952425853</v>
      </c>
      <c r="BF56" s="24">
        <v>0.49140893470790376</v>
      </c>
      <c r="BG56" s="24">
        <v>0.17525773195876287</v>
      </c>
      <c r="BH56" s="25">
        <v>5.7299293308715864</v>
      </c>
      <c r="BI56" s="25">
        <v>10.898100884206743</v>
      </c>
      <c r="BJ56" s="25">
        <v>7.7473795884466332</v>
      </c>
      <c r="BK56" s="25">
        <v>2.9725534233906927</v>
      </c>
      <c r="BL56" s="25">
        <v>1.4179821689817671</v>
      </c>
      <c r="BM56" s="25">
        <v>0.66117784109692546</v>
      </c>
      <c r="BN56" s="25">
        <v>6.5585499642260912</v>
      </c>
      <c r="BO56" s="26" t="s">
        <v>176</v>
      </c>
      <c r="BP56" s="27"/>
      <c r="BQ56" s="32" t="s">
        <v>268</v>
      </c>
      <c r="BR56" s="32">
        <v>644.84</v>
      </c>
      <c r="BS56" s="32">
        <v>840.04</v>
      </c>
      <c r="BT56" s="32">
        <v>195.2</v>
      </c>
      <c r="BU56" s="36">
        <f t="shared" si="24"/>
        <v>12.166792452830189</v>
      </c>
      <c r="BV56" s="36">
        <f t="shared" si="25"/>
        <v>15.849811320754716</v>
      </c>
      <c r="BW56" s="36">
        <f t="shared" si="26"/>
        <v>3.6830188679245279</v>
      </c>
      <c r="BX56" s="37">
        <f t="shared" si="27"/>
        <v>26.259264286683859</v>
      </c>
      <c r="BY56" s="37">
        <f t="shared" si="28"/>
        <v>34.208225872132481</v>
      </c>
      <c r="BZ56" s="37">
        <f t="shared" si="29"/>
        <v>7.9489615854486226</v>
      </c>
      <c r="CA56" s="35">
        <v>40</v>
      </c>
      <c r="CB56" s="35">
        <v>13</v>
      </c>
    </row>
    <row r="57" spans="1:80" x14ac:dyDescent="0.4">
      <c r="A57" s="16" t="s">
        <v>178</v>
      </c>
      <c r="B57" s="51" t="s">
        <v>255</v>
      </c>
      <c r="C57" s="51" t="s">
        <v>222</v>
      </c>
      <c r="D57" s="39">
        <v>20</v>
      </c>
      <c r="E57" s="39">
        <v>10</v>
      </c>
      <c r="F57" s="39">
        <v>22</v>
      </c>
      <c r="G57" s="21">
        <v>12440</v>
      </c>
      <c r="H57" s="21">
        <v>60</v>
      </c>
      <c r="I57" s="22">
        <f t="shared" si="0"/>
        <v>3</v>
      </c>
      <c r="J57" s="23">
        <v>21</v>
      </c>
      <c r="K57" s="23">
        <v>60</v>
      </c>
      <c r="L57" s="22">
        <f t="shared" si="30"/>
        <v>1.05</v>
      </c>
      <c r="M57" s="22">
        <f t="shared" si="31"/>
        <v>3</v>
      </c>
      <c r="N57" s="24">
        <f t="shared" si="32"/>
        <v>0.35</v>
      </c>
      <c r="O57" s="21">
        <v>9</v>
      </c>
      <c r="P57" s="23">
        <v>25</v>
      </c>
      <c r="Q57" s="22">
        <f t="shared" si="3"/>
        <v>0.45</v>
      </c>
      <c r="R57" s="22">
        <f t="shared" si="4"/>
        <v>1.25</v>
      </c>
      <c r="S57" s="24">
        <f t="shared" si="5"/>
        <v>0.36</v>
      </c>
      <c r="T57" s="23">
        <v>12</v>
      </c>
      <c r="U57" s="23">
        <v>35</v>
      </c>
      <c r="V57" s="22">
        <f t="shared" si="6"/>
        <v>0.6</v>
      </c>
      <c r="W57" s="22">
        <f t="shared" si="7"/>
        <v>1.75</v>
      </c>
      <c r="X57" s="24">
        <f t="shared" si="8"/>
        <v>0.34285714285714286</v>
      </c>
      <c r="Y57" s="23">
        <v>6</v>
      </c>
      <c r="Z57" s="23">
        <v>7</v>
      </c>
      <c r="AA57" s="22">
        <f t="shared" si="9"/>
        <v>0.3</v>
      </c>
      <c r="AB57" s="22">
        <f t="shared" si="10"/>
        <v>0.35</v>
      </c>
      <c r="AC57" s="24">
        <f t="shared" si="11"/>
        <v>0.8571428571428571</v>
      </c>
      <c r="AD57" s="23">
        <v>13</v>
      </c>
      <c r="AE57" s="22">
        <f t="shared" si="12"/>
        <v>0.65</v>
      </c>
      <c r="AF57" s="23">
        <v>5</v>
      </c>
      <c r="AG57" s="22">
        <f t="shared" si="13"/>
        <v>0.25</v>
      </c>
      <c r="AH57" s="23">
        <v>8</v>
      </c>
      <c r="AI57" s="22">
        <f t="shared" si="14"/>
        <v>0.4</v>
      </c>
      <c r="AJ57" s="23">
        <v>2</v>
      </c>
      <c r="AK57" s="22">
        <f t="shared" si="15"/>
        <v>0.1</v>
      </c>
      <c r="AL57" s="23">
        <v>5</v>
      </c>
      <c r="AM57" s="22">
        <f t="shared" si="16"/>
        <v>0.25</v>
      </c>
      <c r="AN57" s="23">
        <v>0</v>
      </c>
      <c r="AO57" s="22">
        <f t="shared" si="17"/>
        <v>0</v>
      </c>
      <c r="AP57" s="10">
        <v>6</v>
      </c>
      <c r="AQ57" s="22">
        <f t="shared" si="18"/>
        <v>0.3</v>
      </c>
      <c r="AR57" s="23">
        <v>34</v>
      </c>
      <c r="AS57" s="22">
        <f t="shared" si="19"/>
        <v>1.7</v>
      </c>
      <c r="AT57" s="25">
        <v>-0.25993003649958146</v>
      </c>
      <c r="AU57" s="25">
        <v>-5.0147273922748835E-2</v>
      </c>
      <c r="AV57" s="25">
        <v>-0.10209624767463492</v>
      </c>
      <c r="AW57" s="25">
        <v>-0.15783378882494653</v>
      </c>
      <c r="AX57" s="25">
        <v>94.755814994443583</v>
      </c>
      <c r="AY57" s="25">
        <v>122.20090590749111</v>
      </c>
      <c r="AZ57" s="25">
        <v>0.77727232166216231</v>
      </c>
      <c r="BA57" s="25">
        <v>1.7</v>
      </c>
      <c r="BB57" s="25">
        <v>6.559485530546624</v>
      </c>
      <c r="BC57" s="24">
        <v>0.47558655675332911</v>
      </c>
      <c r="BD57" s="24">
        <v>0.45</v>
      </c>
      <c r="BE57" s="25">
        <v>5.5558325786687552</v>
      </c>
      <c r="BF57" s="24">
        <v>0.58333333333333337</v>
      </c>
      <c r="BG57" s="24">
        <v>0.11666666666666667</v>
      </c>
      <c r="BH57" s="25">
        <v>1.0043000781680227</v>
      </c>
      <c r="BI57" s="25">
        <v>1.6068801250688363</v>
      </c>
      <c r="BJ57" s="25">
        <v>1.2166085788062106</v>
      </c>
      <c r="BK57" s="25">
        <v>0.44867276986265003</v>
      </c>
      <c r="BL57" s="25">
        <v>1.2918964430977837</v>
      </c>
      <c r="BM57" s="25">
        <v>0</v>
      </c>
      <c r="BN57" s="25">
        <v>8.6855819339895781</v>
      </c>
      <c r="BO57" s="26" t="s">
        <v>176</v>
      </c>
      <c r="BP57" s="27"/>
      <c r="BQ57" s="32" t="s">
        <v>268</v>
      </c>
      <c r="BR57" s="32">
        <v>90.32</v>
      </c>
      <c r="BS57" s="32">
        <v>136.82</v>
      </c>
      <c r="BT57" s="32">
        <v>46.5</v>
      </c>
      <c r="BU57" s="36">
        <f t="shared" si="24"/>
        <v>4.5159999999999991</v>
      </c>
      <c r="BV57" s="36">
        <f t="shared" si="25"/>
        <v>6.8409999999999993</v>
      </c>
      <c r="BW57" s="36">
        <f t="shared" si="26"/>
        <v>2.3250000000000002</v>
      </c>
      <c r="BX57" s="37">
        <f t="shared" si="27"/>
        <v>17.425080385852091</v>
      </c>
      <c r="BY57" s="37">
        <f t="shared" si="28"/>
        <v>26.396141479099679</v>
      </c>
      <c r="BZ57" s="37">
        <f t="shared" si="29"/>
        <v>8.971061093247588</v>
      </c>
      <c r="CA57" s="35">
        <v>1</v>
      </c>
      <c r="CB57" s="35">
        <v>19</v>
      </c>
    </row>
    <row r="58" spans="1:80" x14ac:dyDescent="0.4">
      <c r="A58" s="16" t="s">
        <v>178</v>
      </c>
      <c r="B58" s="16" t="s">
        <v>255</v>
      </c>
      <c r="C58" s="16" t="s">
        <v>151</v>
      </c>
      <c r="D58" s="28">
        <v>32</v>
      </c>
      <c r="E58" s="28">
        <v>18</v>
      </c>
      <c r="F58" s="28">
        <v>24</v>
      </c>
      <c r="G58" s="21">
        <v>35328</v>
      </c>
      <c r="H58" s="21">
        <v>210</v>
      </c>
      <c r="I58" s="22">
        <f t="shared" si="0"/>
        <v>6.5625</v>
      </c>
      <c r="J58" s="23">
        <v>94</v>
      </c>
      <c r="K58" s="23">
        <v>179</v>
      </c>
      <c r="L58" s="22">
        <f t="shared" si="30"/>
        <v>2.9375</v>
      </c>
      <c r="M58" s="22">
        <f t="shared" si="31"/>
        <v>5.59375</v>
      </c>
      <c r="N58" s="24">
        <f t="shared" si="32"/>
        <v>0.52513966480446927</v>
      </c>
      <c r="O58" s="21">
        <v>81</v>
      </c>
      <c r="P58" s="23">
        <v>134</v>
      </c>
      <c r="Q58" s="22">
        <f t="shared" si="3"/>
        <v>2.53125</v>
      </c>
      <c r="R58" s="22">
        <f t="shared" si="4"/>
        <v>4.1875</v>
      </c>
      <c r="S58" s="24">
        <f t="shared" si="5"/>
        <v>0.60447761194029848</v>
      </c>
      <c r="T58" s="23">
        <v>13</v>
      </c>
      <c r="U58" s="23">
        <v>45</v>
      </c>
      <c r="V58" s="22">
        <f t="shared" si="6"/>
        <v>0.40625</v>
      </c>
      <c r="W58" s="22">
        <f t="shared" si="7"/>
        <v>1.40625</v>
      </c>
      <c r="X58" s="24">
        <f t="shared" si="8"/>
        <v>0.28888888888888886</v>
      </c>
      <c r="Y58" s="23">
        <v>9</v>
      </c>
      <c r="Z58" s="23">
        <v>14</v>
      </c>
      <c r="AA58" s="22">
        <f t="shared" si="9"/>
        <v>0.28125</v>
      </c>
      <c r="AB58" s="22">
        <f t="shared" si="10"/>
        <v>0.4375</v>
      </c>
      <c r="AC58" s="24">
        <f t="shared" si="11"/>
        <v>0.6428571428571429</v>
      </c>
      <c r="AD58" s="23">
        <v>128</v>
      </c>
      <c r="AE58" s="22">
        <f t="shared" si="12"/>
        <v>4</v>
      </c>
      <c r="AF58" s="23">
        <v>47</v>
      </c>
      <c r="AG58" s="22">
        <f t="shared" si="13"/>
        <v>1.46875</v>
      </c>
      <c r="AH58" s="23">
        <v>81</v>
      </c>
      <c r="AI58" s="22">
        <f t="shared" si="14"/>
        <v>2.53125</v>
      </c>
      <c r="AJ58" s="23">
        <v>34</v>
      </c>
      <c r="AK58" s="22">
        <f t="shared" si="15"/>
        <v>1.0625</v>
      </c>
      <c r="AL58" s="23">
        <v>14</v>
      </c>
      <c r="AM58" s="22">
        <f t="shared" si="16"/>
        <v>0.4375</v>
      </c>
      <c r="AN58" s="39">
        <v>2</v>
      </c>
      <c r="AO58" s="22">
        <f t="shared" si="17"/>
        <v>6.25E-2</v>
      </c>
      <c r="AP58" s="10">
        <v>24</v>
      </c>
      <c r="AQ58" s="22">
        <f t="shared" si="18"/>
        <v>0.75</v>
      </c>
      <c r="AR58" s="23">
        <v>65</v>
      </c>
      <c r="AS58" s="22">
        <f t="shared" si="19"/>
        <v>2.03125</v>
      </c>
      <c r="AT58" s="25">
        <v>0.87108556455887498</v>
      </c>
      <c r="AU58" s="25">
        <v>5.91770084618801E-2</v>
      </c>
      <c r="AV58" s="25">
        <v>0.96209145348145264</v>
      </c>
      <c r="AW58" s="25">
        <v>-9.1005888922577619E-2</v>
      </c>
      <c r="AX58" s="25">
        <v>112.98920119275924</v>
      </c>
      <c r="AY58" s="25">
        <v>117.91837884726054</v>
      </c>
      <c r="AZ58" s="25">
        <v>8.037258688795168</v>
      </c>
      <c r="BA58" s="25">
        <v>8.5625</v>
      </c>
      <c r="BB58" s="25">
        <v>18.614130434782609</v>
      </c>
      <c r="BC58" s="24">
        <v>0.56707712248865849</v>
      </c>
      <c r="BD58" s="24">
        <v>0.56145251396648044</v>
      </c>
      <c r="BE58" s="25">
        <v>9.477564869391216</v>
      </c>
      <c r="BF58" s="24">
        <v>0.25139664804469275</v>
      </c>
      <c r="BG58" s="24">
        <v>7.8212290502793297E-2</v>
      </c>
      <c r="BH58" s="25">
        <v>5.3187877690514451</v>
      </c>
      <c r="BI58" s="25">
        <v>9.1664214743227035</v>
      </c>
      <c r="BJ58" s="25">
        <v>6.7489902877811643</v>
      </c>
      <c r="BK58" s="25">
        <v>4.6292514228140398</v>
      </c>
      <c r="BL58" s="25">
        <v>1.2737584042680594</v>
      </c>
      <c r="BM58" s="25">
        <v>0.19027685282085435</v>
      </c>
      <c r="BN58" s="25">
        <v>11.474469305794607</v>
      </c>
      <c r="BO58" s="26" t="s">
        <v>176</v>
      </c>
      <c r="BP58" s="27"/>
      <c r="BQ58" s="33" t="s">
        <v>266</v>
      </c>
      <c r="BR58" s="33">
        <v>453.89</v>
      </c>
      <c r="BS58" s="33">
        <v>575.69000000000005</v>
      </c>
      <c r="BT58" s="33">
        <v>121.8</v>
      </c>
      <c r="BU58" s="36">
        <f t="shared" si="24"/>
        <v>14.184062500000001</v>
      </c>
      <c r="BV58" s="36">
        <f t="shared" si="25"/>
        <v>17.990312500000002</v>
      </c>
      <c r="BW58" s="36">
        <f t="shared" si="26"/>
        <v>3.8062499999999999</v>
      </c>
      <c r="BX58" s="37">
        <f t="shared" si="27"/>
        <v>30.834918478260875</v>
      </c>
      <c r="BY58" s="37">
        <f t="shared" si="28"/>
        <v>39.109375000000007</v>
      </c>
      <c r="BZ58" s="37">
        <f t="shared" si="29"/>
        <v>8.2744565217391308</v>
      </c>
      <c r="CA58" s="35">
        <v>2</v>
      </c>
      <c r="CB58" s="35">
        <v>30</v>
      </c>
    </row>
    <row r="59" spans="1:80" x14ac:dyDescent="0.4">
      <c r="A59" s="16" t="s">
        <v>178</v>
      </c>
      <c r="B59" s="16" t="s">
        <v>255</v>
      </c>
      <c r="C59" s="16" t="s">
        <v>129</v>
      </c>
      <c r="D59" s="40">
        <v>54</v>
      </c>
      <c r="E59" s="40">
        <v>27</v>
      </c>
      <c r="F59" s="40">
        <v>50</v>
      </c>
      <c r="G59" s="21">
        <v>90180</v>
      </c>
      <c r="H59" s="21">
        <v>638</v>
      </c>
      <c r="I59" s="22">
        <f t="shared" si="0"/>
        <v>11.814814814814815</v>
      </c>
      <c r="J59" s="23">
        <v>213</v>
      </c>
      <c r="K59" s="23">
        <v>526</v>
      </c>
      <c r="L59" s="22">
        <f t="shared" si="30"/>
        <v>3.9444444444444446</v>
      </c>
      <c r="M59" s="22">
        <f t="shared" si="31"/>
        <v>9.7407407407407405</v>
      </c>
      <c r="N59" s="24">
        <f t="shared" si="32"/>
        <v>0.4049429657794677</v>
      </c>
      <c r="O59" s="21">
        <v>140</v>
      </c>
      <c r="P59" s="23">
        <v>323</v>
      </c>
      <c r="Q59" s="22">
        <f t="shared" si="3"/>
        <v>2.5925925925925926</v>
      </c>
      <c r="R59" s="22">
        <f t="shared" si="4"/>
        <v>5.9814814814814818</v>
      </c>
      <c r="S59" s="24">
        <f t="shared" si="5"/>
        <v>0.43343653250773995</v>
      </c>
      <c r="T59" s="23">
        <v>73</v>
      </c>
      <c r="U59" s="23">
        <v>203</v>
      </c>
      <c r="V59" s="22">
        <f t="shared" si="6"/>
        <v>1.3518518518518519</v>
      </c>
      <c r="W59" s="22">
        <f t="shared" si="7"/>
        <v>3.7592592592592591</v>
      </c>
      <c r="X59" s="24">
        <f t="shared" si="8"/>
        <v>0.35960591133004927</v>
      </c>
      <c r="Y59" s="15">
        <v>139</v>
      </c>
      <c r="Z59" s="15">
        <v>165</v>
      </c>
      <c r="AA59" s="22">
        <f t="shared" si="9"/>
        <v>2.574074074074074</v>
      </c>
      <c r="AB59" s="22">
        <f t="shared" si="10"/>
        <v>3.0555555555555554</v>
      </c>
      <c r="AC59" s="24">
        <f t="shared" si="11"/>
        <v>0.84242424242424241</v>
      </c>
      <c r="AD59" s="23">
        <v>201</v>
      </c>
      <c r="AE59" s="22">
        <f t="shared" si="12"/>
        <v>3.7222222222222223</v>
      </c>
      <c r="AF59" s="23">
        <v>41</v>
      </c>
      <c r="AG59" s="22">
        <f t="shared" si="13"/>
        <v>0.7592592592592593</v>
      </c>
      <c r="AH59" s="23">
        <v>160</v>
      </c>
      <c r="AI59" s="22">
        <f t="shared" si="14"/>
        <v>2.9629629629629628</v>
      </c>
      <c r="AJ59" s="23">
        <v>316</v>
      </c>
      <c r="AK59" s="22">
        <f t="shared" si="15"/>
        <v>5.8518518518518521</v>
      </c>
      <c r="AL59" s="23">
        <v>58</v>
      </c>
      <c r="AM59" s="22">
        <f t="shared" si="16"/>
        <v>1.0740740740740742</v>
      </c>
      <c r="AN59" s="41">
        <v>0</v>
      </c>
      <c r="AO59" s="22">
        <f t="shared" si="17"/>
        <v>0</v>
      </c>
      <c r="AP59" s="12">
        <v>154</v>
      </c>
      <c r="AQ59" s="22">
        <f t="shared" si="18"/>
        <v>2.8518518518518516</v>
      </c>
      <c r="AR59" s="23">
        <v>129</v>
      </c>
      <c r="AS59" s="22">
        <f t="shared" si="19"/>
        <v>2.3888888888888888</v>
      </c>
      <c r="AT59" s="25">
        <v>1.1447408759424766</v>
      </c>
      <c r="AU59" s="25">
        <v>3.0465492373718608E-2</v>
      </c>
      <c r="AV59" s="25">
        <v>1.3361495389007243</v>
      </c>
      <c r="AW59" s="25">
        <v>-0.19140866295824771</v>
      </c>
      <c r="AX59" s="25">
        <v>104.3908516871608</v>
      </c>
      <c r="AY59" s="25">
        <v>117.72630534338812</v>
      </c>
      <c r="AZ59" s="25">
        <v>14.345791969253932</v>
      </c>
      <c r="BA59" s="25">
        <v>13.333333333333334</v>
      </c>
      <c r="BB59" s="25">
        <v>19.161676646706589</v>
      </c>
      <c r="BC59" s="24">
        <v>0.53291012362178414</v>
      </c>
      <c r="BD59" s="24">
        <v>0.47433460076045625</v>
      </c>
      <c r="BE59" s="25">
        <v>22.544206234853949</v>
      </c>
      <c r="BF59" s="24">
        <v>0.38593155893536124</v>
      </c>
      <c r="BG59" s="24">
        <v>0.31368821292775667</v>
      </c>
      <c r="BH59" s="25">
        <v>3.067264741729451</v>
      </c>
      <c r="BI59" s="25">
        <v>11.969813626261272</v>
      </c>
      <c r="BJ59" s="25">
        <v>7.0061187351225271</v>
      </c>
      <c r="BK59" s="25">
        <v>30.378894999739636</v>
      </c>
      <c r="BL59" s="25">
        <v>2.0672635210111174</v>
      </c>
      <c r="BM59" s="25">
        <v>0</v>
      </c>
      <c r="BN59" s="25">
        <v>20.462397023651341</v>
      </c>
      <c r="BO59" s="26" t="s">
        <v>176</v>
      </c>
      <c r="BP59" s="27"/>
      <c r="BQ59" s="33" t="s">
        <v>267</v>
      </c>
      <c r="BR59" s="33">
        <v>1228.8599999999999</v>
      </c>
      <c r="BS59" s="33">
        <v>1780.66</v>
      </c>
      <c r="BT59" s="33">
        <v>551.79999999999995</v>
      </c>
      <c r="BU59" s="36">
        <f t="shared" si="24"/>
        <v>22.756666666666671</v>
      </c>
      <c r="BV59" s="36">
        <f t="shared" si="25"/>
        <v>32.97518518518519</v>
      </c>
      <c r="BW59" s="36">
        <f t="shared" si="26"/>
        <v>10.218518518518518</v>
      </c>
      <c r="BX59" s="37">
        <f t="shared" si="27"/>
        <v>32.704191616766465</v>
      </c>
      <c r="BY59" s="37">
        <f t="shared" si="28"/>
        <v>47.389487691284096</v>
      </c>
      <c r="BZ59" s="37">
        <f t="shared" si="29"/>
        <v>14.685296074517632</v>
      </c>
      <c r="CA59" s="34">
        <v>9</v>
      </c>
      <c r="CB59" s="34">
        <v>45</v>
      </c>
    </row>
    <row r="60" spans="1:80" x14ac:dyDescent="0.4">
      <c r="A60" s="16" t="s">
        <v>178</v>
      </c>
      <c r="B60" s="16" t="s">
        <v>255</v>
      </c>
      <c r="C60" s="16" t="s">
        <v>100</v>
      </c>
      <c r="D60" s="40">
        <v>40</v>
      </c>
      <c r="E60" s="40">
        <v>21</v>
      </c>
      <c r="F60" s="40">
        <v>18</v>
      </c>
      <c r="G60" s="56">
        <v>51120</v>
      </c>
      <c r="H60" s="56">
        <v>264</v>
      </c>
      <c r="I60" s="22">
        <f t="shared" si="0"/>
        <v>6.6</v>
      </c>
      <c r="J60" s="28">
        <v>94</v>
      </c>
      <c r="K60" s="28">
        <v>280</v>
      </c>
      <c r="L60" s="22">
        <f t="shared" si="30"/>
        <v>2.35</v>
      </c>
      <c r="M60" s="22">
        <f t="shared" si="31"/>
        <v>7</v>
      </c>
      <c r="N60" s="24">
        <f t="shared" si="32"/>
        <v>0.33571428571428569</v>
      </c>
      <c r="O60" s="56">
        <v>45</v>
      </c>
      <c r="P60" s="20">
        <v>107</v>
      </c>
      <c r="Q60" s="22">
        <f t="shared" si="3"/>
        <v>1.125</v>
      </c>
      <c r="R60" s="22">
        <f t="shared" si="4"/>
        <v>2.6749999999999998</v>
      </c>
      <c r="S60" s="24">
        <f t="shared" si="5"/>
        <v>0.42056074766355139</v>
      </c>
      <c r="T60" s="20">
        <v>49</v>
      </c>
      <c r="U60" s="20">
        <v>173</v>
      </c>
      <c r="V60" s="22">
        <f t="shared" si="6"/>
        <v>1.2250000000000001</v>
      </c>
      <c r="W60" s="22">
        <f t="shared" si="7"/>
        <v>4.3250000000000002</v>
      </c>
      <c r="X60" s="24">
        <f t="shared" si="8"/>
        <v>0.2832369942196532</v>
      </c>
      <c r="Y60" s="62">
        <v>27</v>
      </c>
      <c r="Z60" s="62">
        <v>31</v>
      </c>
      <c r="AA60" s="22">
        <f t="shared" si="9"/>
        <v>0.67500000000000004</v>
      </c>
      <c r="AB60" s="22">
        <f t="shared" si="10"/>
        <v>0.77500000000000002</v>
      </c>
      <c r="AC60" s="24">
        <f t="shared" si="11"/>
        <v>0.87096774193548387</v>
      </c>
      <c r="AD60" s="20">
        <v>58</v>
      </c>
      <c r="AE60" s="22">
        <f t="shared" si="12"/>
        <v>1.45</v>
      </c>
      <c r="AF60" s="20">
        <v>7</v>
      </c>
      <c r="AG60" s="22">
        <f t="shared" si="13"/>
        <v>0.17499999999999999</v>
      </c>
      <c r="AH60" s="20">
        <v>51</v>
      </c>
      <c r="AI60" s="22">
        <f t="shared" si="14"/>
        <v>1.2749999999999999</v>
      </c>
      <c r="AJ60" s="20">
        <v>48</v>
      </c>
      <c r="AK60" s="22">
        <f t="shared" si="15"/>
        <v>1.2</v>
      </c>
      <c r="AL60" s="20">
        <v>16</v>
      </c>
      <c r="AM60" s="22">
        <f t="shared" si="16"/>
        <v>0.4</v>
      </c>
      <c r="AN60" s="8">
        <v>2</v>
      </c>
      <c r="AO60" s="22">
        <f t="shared" si="17"/>
        <v>0.05</v>
      </c>
      <c r="AP60" s="12">
        <v>32</v>
      </c>
      <c r="AQ60" s="22">
        <f t="shared" si="18"/>
        <v>0.8</v>
      </c>
      <c r="AR60" s="63">
        <v>64</v>
      </c>
      <c r="AS60" s="22">
        <f t="shared" si="19"/>
        <v>1.6</v>
      </c>
      <c r="AT60" s="25">
        <v>-1.386412653102761</v>
      </c>
      <c r="AU60" s="25">
        <v>-6.5089795920317425E-2</v>
      </c>
      <c r="AV60" s="25">
        <v>-0.75298790424771689</v>
      </c>
      <c r="AW60" s="25">
        <v>-0.63342474885504407</v>
      </c>
      <c r="AX60" s="25">
        <v>92.251180660686799</v>
      </c>
      <c r="AY60" s="25">
        <v>122.07525995812593</v>
      </c>
      <c r="AZ60" s="25">
        <v>3.9648153770575387</v>
      </c>
      <c r="BA60" s="25">
        <v>4.1500000000000004</v>
      </c>
      <c r="BB60" s="25">
        <v>7.7934272300469489</v>
      </c>
      <c r="BC60" s="24">
        <v>0.4495300367797303</v>
      </c>
      <c r="BD60" s="24">
        <v>0.42321428571428571</v>
      </c>
      <c r="BE60" s="25">
        <v>12.746592388526029</v>
      </c>
      <c r="BF60" s="24">
        <v>0.61785714285714288</v>
      </c>
      <c r="BG60" s="24">
        <v>0.11071428571428571</v>
      </c>
      <c r="BH60" s="25">
        <v>0.68430712681433037</v>
      </c>
      <c r="BI60" s="25">
        <v>4.9856662096472641</v>
      </c>
      <c r="BJ60" s="25">
        <v>2.6417702593603498</v>
      </c>
      <c r="BK60" s="25">
        <v>5.5489244623756919</v>
      </c>
      <c r="BL60" s="25">
        <v>1.0060213929349877</v>
      </c>
      <c r="BM60" s="25">
        <v>0.16437061464336714</v>
      </c>
      <c r="BN60" s="25">
        <v>9.8268026041026904</v>
      </c>
      <c r="BO60" s="26" t="s">
        <v>176</v>
      </c>
      <c r="BP60" s="27"/>
      <c r="BQ60" s="33" t="s">
        <v>267</v>
      </c>
      <c r="BR60" s="33">
        <v>408.21</v>
      </c>
      <c r="BS60" s="33">
        <v>633.01</v>
      </c>
      <c r="BT60" s="33">
        <v>224.8</v>
      </c>
      <c r="BU60" s="36">
        <f t="shared" si="24"/>
        <v>10.205249999999999</v>
      </c>
      <c r="BV60" s="36">
        <f t="shared" si="25"/>
        <v>15.82525</v>
      </c>
      <c r="BW60" s="36">
        <f t="shared" si="26"/>
        <v>5.62</v>
      </c>
      <c r="BX60" s="37">
        <f t="shared" si="27"/>
        <v>19.164788732394364</v>
      </c>
      <c r="BY60" s="37">
        <f t="shared" si="28"/>
        <v>29.718779342723003</v>
      </c>
      <c r="BZ60" s="37">
        <f t="shared" si="29"/>
        <v>10.553990610328638</v>
      </c>
      <c r="CA60" s="34">
        <v>9</v>
      </c>
      <c r="CB60" s="34">
        <v>31</v>
      </c>
    </row>
    <row r="61" spans="1:80" x14ac:dyDescent="0.4">
      <c r="A61" s="47" t="s">
        <v>178</v>
      </c>
      <c r="B61" s="48" t="s">
        <v>282</v>
      </c>
      <c r="C61" s="48" t="s">
        <v>280</v>
      </c>
      <c r="D61" s="42">
        <v>32</v>
      </c>
      <c r="E61" s="43">
        <v>20</v>
      </c>
      <c r="F61" s="43">
        <v>44</v>
      </c>
      <c r="G61" s="57">
        <v>39808</v>
      </c>
      <c r="H61" s="58">
        <v>333</v>
      </c>
      <c r="I61" s="22">
        <f t="shared" si="0"/>
        <v>10.40625</v>
      </c>
      <c r="J61" s="55">
        <v>145</v>
      </c>
      <c r="K61" s="55">
        <v>276</v>
      </c>
      <c r="L61" s="22">
        <f t="shared" si="30"/>
        <v>4.53125</v>
      </c>
      <c r="M61" s="22">
        <f t="shared" si="31"/>
        <v>8.625</v>
      </c>
      <c r="N61" s="24">
        <f t="shared" si="32"/>
        <v>0.52536231884057971</v>
      </c>
      <c r="O61" s="61">
        <v>143</v>
      </c>
      <c r="P61" s="57">
        <v>264</v>
      </c>
      <c r="Q61" s="22">
        <f t="shared" si="3"/>
        <v>4.46875</v>
      </c>
      <c r="R61" s="22">
        <f t="shared" si="4"/>
        <v>8.25</v>
      </c>
      <c r="S61" s="24">
        <f t="shared" si="5"/>
        <v>0.54166666666666663</v>
      </c>
      <c r="T61" s="61">
        <v>2</v>
      </c>
      <c r="U61" s="57">
        <v>12</v>
      </c>
      <c r="V61" s="22">
        <f t="shared" si="6"/>
        <v>6.25E-2</v>
      </c>
      <c r="W61" s="22">
        <f t="shared" si="7"/>
        <v>0.375</v>
      </c>
      <c r="X61" s="24">
        <f t="shared" si="8"/>
        <v>0.16666666666666666</v>
      </c>
      <c r="Y61" s="58">
        <v>41</v>
      </c>
      <c r="Z61" s="60">
        <v>79</v>
      </c>
      <c r="AA61" s="22">
        <f t="shared" si="9"/>
        <v>1.28125</v>
      </c>
      <c r="AB61" s="22">
        <f t="shared" si="10"/>
        <v>2.46875</v>
      </c>
      <c r="AC61" s="24">
        <f t="shared" si="11"/>
        <v>0.51898734177215189</v>
      </c>
      <c r="AD61" s="58">
        <v>248</v>
      </c>
      <c r="AE61" s="22">
        <f t="shared" si="12"/>
        <v>7.75</v>
      </c>
      <c r="AF61" s="58">
        <v>72</v>
      </c>
      <c r="AG61" s="22">
        <f t="shared" si="13"/>
        <v>2.25</v>
      </c>
      <c r="AH61" s="58">
        <v>176</v>
      </c>
      <c r="AI61" s="22">
        <f t="shared" si="14"/>
        <v>5.5</v>
      </c>
      <c r="AJ61" s="58">
        <v>57</v>
      </c>
      <c r="AK61" s="22">
        <f t="shared" si="15"/>
        <v>1.78125</v>
      </c>
      <c r="AL61" s="58">
        <v>22</v>
      </c>
      <c r="AM61" s="22">
        <f t="shared" si="16"/>
        <v>0.6875</v>
      </c>
      <c r="AN61" s="58">
        <v>23</v>
      </c>
      <c r="AO61" s="22">
        <f t="shared" si="17"/>
        <v>0.71875</v>
      </c>
      <c r="AP61" s="10">
        <v>56</v>
      </c>
      <c r="AQ61" s="22">
        <f t="shared" si="18"/>
        <v>1.75</v>
      </c>
      <c r="AR61" s="58">
        <v>38</v>
      </c>
      <c r="AS61" s="22">
        <f t="shared" si="19"/>
        <v>1.1875</v>
      </c>
      <c r="AT61" s="25">
        <v>1.1151604218711584</v>
      </c>
      <c r="AU61" s="25">
        <v>6.7232340546894587E-2</v>
      </c>
      <c r="AV61" s="25">
        <v>0.44933769301499982</v>
      </c>
      <c r="AW61" s="25">
        <v>0.66582272885615845</v>
      </c>
      <c r="AX61" s="25">
        <v>103.06289697135966</v>
      </c>
      <c r="AY61" s="25">
        <v>109.74350897246586</v>
      </c>
      <c r="AZ61" s="25">
        <v>13.000357447945547</v>
      </c>
      <c r="BA61" s="25">
        <v>14.3125</v>
      </c>
      <c r="BB61" s="25">
        <v>27.612540192926044</v>
      </c>
      <c r="BC61" s="24">
        <v>0.53578324108636888</v>
      </c>
      <c r="BD61" s="24">
        <v>0.52898550724637683</v>
      </c>
      <c r="BE61" s="25">
        <v>14.748531822181185</v>
      </c>
      <c r="BF61" s="24">
        <v>4.3478260869565216E-2</v>
      </c>
      <c r="BG61" s="24">
        <v>0.28623188405797101</v>
      </c>
      <c r="BH61" s="25">
        <v>7.2309605628097646</v>
      </c>
      <c r="BI61" s="25">
        <v>17.6756813757572</v>
      </c>
      <c r="BJ61" s="25">
        <v>11.604574136305393</v>
      </c>
      <c r="BK61" s="25">
        <v>7.2287475877753851</v>
      </c>
      <c r="BL61" s="25">
        <v>1.7763576092594526</v>
      </c>
      <c r="BM61" s="25">
        <v>1.9419251795928991</v>
      </c>
      <c r="BN61" s="25">
        <v>15.268840658741412</v>
      </c>
      <c r="BO61" s="26" t="s">
        <v>249</v>
      </c>
      <c r="BP61" s="27"/>
      <c r="BQ61" s="33" t="s">
        <v>266</v>
      </c>
      <c r="BR61" s="33">
        <v>668.95</v>
      </c>
      <c r="BS61" s="33">
        <v>913.35</v>
      </c>
      <c r="BT61" s="33">
        <v>244.4</v>
      </c>
      <c r="BU61" s="36">
        <f t="shared" si="24"/>
        <v>20.904687500000001</v>
      </c>
      <c r="BV61" s="36">
        <f t="shared" si="25"/>
        <v>28.542187500000001</v>
      </c>
      <c r="BW61" s="36">
        <f t="shared" si="26"/>
        <v>7.6375000000000002</v>
      </c>
      <c r="BX61" s="37">
        <f t="shared" si="27"/>
        <v>40.330586816720256</v>
      </c>
      <c r="BY61" s="37">
        <f t="shared" si="28"/>
        <v>55.065313504823152</v>
      </c>
      <c r="BZ61" s="37">
        <f t="shared" si="29"/>
        <v>14.734726688102894</v>
      </c>
      <c r="CA61" s="35">
        <v>7</v>
      </c>
      <c r="CB61" s="35">
        <v>25</v>
      </c>
    </row>
    <row r="62" spans="1:80" x14ac:dyDescent="0.4">
      <c r="A62" s="16" t="s">
        <v>178</v>
      </c>
      <c r="B62" s="16" t="s">
        <v>255</v>
      </c>
      <c r="C62" s="16" t="s">
        <v>65</v>
      </c>
      <c r="D62" s="20">
        <v>23</v>
      </c>
      <c r="E62" s="20">
        <v>12</v>
      </c>
      <c r="F62" s="20">
        <v>5</v>
      </c>
      <c r="G62" s="21">
        <v>16675</v>
      </c>
      <c r="H62" s="21">
        <v>76</v>
      </c>
      <c r="I62" s="22">
        <f t="shared" si="0"/>
        <v>3.3043478260869565</v>
      </c>
      <c r="J62" s="23">
        <v>25</v>
      </c>
      <c r="K62" s="23">
        <v>79</v>
      </c>
      <c r="L62" s="22">
        <f t="shared" si="30"/>
        <v>1.0869565217391304</v>
      </c>
      <c r="M62" s="22">
        <f t="shared" si="31"/>
        <v>3.4347826086956523</v>
      </c>
      <c r="N62" s="24">
        <f t="shared" si="32"/>
        <v>0.31645569620253167</v>
      </c>
      <c r="O62" s="21">
        <v>10</v>
      </c>
      <c r="P62" s="23">
        <v>24</v>
      </c>
      <c r="Q62" s="22">
        <f t="shared" si="3"/>
        <v>0.43478260869565216</v>
      </c>
      <c r="R62" s="22">
        <f t="shared" si="4"/>
        <v>1.0434782608695652</v>
      </c>
      <c r="S62" s="24">
        <f t="shared" si="5"/>
        <v>0.41666666666666669</v>
      </c>
      <c r="T62" s="23">
        <v>15</v>
      </c>
      <c r="U62" s="23">
        <v>55</v>
      </c>
      <c r="V62" s="22">
        <f t="shared" si="6"/>
        <v>0.65217391304347827</v>
      </c>
      <c r="W62" s="22">
        <f t="shared" si="7"/>
        <v>2.3913043478260869</v>
      </c>
      <c r="X62" s="24">
        <f t="shared" si="8"/>
        <v>0.27272727272727271</v>
      </c>
      <c r="Y62" s="23">
        <v>11</v>
      </c>
      <c r="Z62" s="23">
        <v>15</v>
      </c>
      <c r="AA62" s="22">
        <f t="shared" si="9"/>
        <v>0.47826086956521741</v>
      </c>
      <c r="AB62" s="22">
        <f t="shared" si="10"/>
        <v>0.65217391304347827</v>
      </c>
      <c r="AC62" s="24">
        <f t="shared" si="11"/>
        <v>0.73333333333333328</v>
      </c>
      <c r="AD62" s="23">
        <v>33</v>
      </c>
      <c r="AE62" s="22">
        <f t="shared" si="12"/>
        <v>1.4347826086956521</v>
      </c>
      <c r="AF62" s="23">
        <v>12</v>
      </c>
      <c r="AG62" s="22">
        <f t="shared" si="13"/>
        <v>0.52173913043478259</v>
      </c>
      <c r="AH62" s="23">
        <v>21</v>
      </c>
      <c r="AI62" s="22">
        <f t="shared" si="14"/>
        <v>0.91304347826086951</v>
      </c>
      <c r="AJ62" s="23">
        <v>10</v>
      </c>
      <c r="AK62" s="22">
        <f t="shared" si="15"/>
        <v>0.43478260869565216</v>
      </c>
      <c r="AL62" s="23">
        <v>7</v>
      </c>
      <c r="AM62" s="22">
        <f t="shared" si="16"/>
        <v>0.30434782608695654</v>
      </c>
      <c r="AN62" s="23">
        <v>1</v>
      </c>
      <c r="AO62" s="22">
        <f t="shared" si="17"/>
        <v>4.3478260869565216E-2</v>
      </c>
      <c r="AP62" s="10">
        <v>3</v>
      </c>
      <c r="AQ62" s="22">
        <f t="shared" si="18"/>
        <v>0.13043478260869565</v>
      </c>
      <c r="AR62" s="23">
        <v>21</v>
      </c>
      <c r="AS62" s="22">
        <f t="shared" si="19"/>
        <v>0.91304347826086951</v>
      </c>
      <c r="AT62" s="25">
        <v>-6.1748280322679816E-2</v>
      </c>
      <c r="AU62" s="25">
        <v>-8.8873087121098381E-3</v>
      </c>
      <c r="AV62" s="25">
        <v>8.4630369792724092E-2</v>
      </c>
      <c r="AW62" s="25">
        <v>-0.14637865011540391</v>
      </c>
      <c r="AX62" s="25">
        <v>102.4819740612067</v>
      </c>
      <c r="AY62" s="25">
        <v>120.54522236212794</v>
      </c>
      <c r="AZ62" s="25">
        <v>3.1361708310626897</v>
      </c>
      <c r="BA62" s="25">
        <v>2.8695652173913042</v>
      </c>
      <c r="BB62" s="25">
        <v>9.4992503748125934</v>
      </c>
      <c r="BC62" s="24">
        <v>0.44392523364485986</v>
      </c>
      <c r="BD62" s="24">
        <v>0.41139240506329117</v>
      </c>
      <c r="BE62" s="25">
        <v>6.1134015283503809</v>
      </c>
      <c r="BF62" s="24">
        <v>0.69620253164556967</v>
      </c>
      <c r="BG62" s="24">
        <v>0.189873417721519</v>
      </c>
      <c r="BH62" s="25">
        <v>2.067888491985137</v>
      </c>
      <c r="BI62" s="25">
        <v>3.6188048609739898</v>
      </c>
      <c r="BJ62" s="25">
        <v>2.6495604974616742</v>
      </c>
      <c r="BK62" s="25">
        <v>1.9265889341548097</v>
      </c>
      <c r="BL62" s="25">
        <v>1.349305454452234</v>
      </c>
      <c r="BM62" s="25">
        <v>0.14487285897532634</v>
      </c>
      <c r="BN62" s="25">
        <v>3.3860045146726865</v>
      </c>
      <c r="BO62" s="26" t="s">
        <v>176</v>
      </c>
      <c r="BP62" s="27"/>
      <c r="BQ62" s="33" t="s">
        <v>268</v>
      </c>
      <c r="BR62" s="33">
        <v>152.74</v>
      </c>
      <c r="BS62" s="33">
        <v>210.44</v>
      </c>
      <c r="BT62" s="33">
        <v>57.7</v>
      </c>
      <c r="BU62" s="36">
        <f t="shared" si="24"/>
        <v>6.6408695652173915</v>
      </c>
      <c r="BV62" s="36">
        <f t="shared" si="25"/>
        <v>9.149565217391304</v>
      </c>
      <c r="BW62" s="36">
        <f t="shared" si="26"/>
        <v>2.508695652173913</v>
      </c>
      <c r="BX62" s="37">
        <f t="shared" si="27"/>
        <v>21.983568215892056</v>
      </c>
      <c r="BY62" s="37">
        <f t="shared" si="28"/>
        <v>30.288215892053973</v>
      </c>
      <c r="BZ62" s="37">
        <f t="shared" si="29"/>
        <v>8.3046476761619186</v>
      </c>
      <c r="CA62" s="34">
        <v>2</v>
      </c>
      <c r="CB62" s="34">
        <v>21</v>
      </c>
    </row>
    <row r="63" spans="1:80" x14ac:dyDescent="0.4">
      <c r="A63" s="16" t="s">
        <v>178</v>
      </c>
      <c r="B63" s="16" t="s">
        <v>255</v>
      </c>
      <c r="C63" s="16" t="s">
        <v>223</v>
      </c>
      <c r="D63" s="20">
        <v>36</v>
      </c>
      <c r="E63" s="20">
        <v>8</v>
      </c>
      <c r="F63" s="20">
        <v>4</v>
      </c>
      <c r="G63" s="21">
        <v>17424</v>
      </c>
      <c r="H63" s="21">
        <v>53</v>
      </c>
      <c r="I63" s="22">
        <f t="shared" si="0"/>
        <v>1.4722222222222223</v>
      </c>
      <c r="J63" s="23">
        <v>20</v>
      </c>
      <c r="K63" s="23">
        <v>52</v>
      </c>
      <c r="L63" s="22">
        <f t="shared" si="30"/>
        <v>0.55555555555555558</v>
      </c>
      <c r="M63" s="22">
        <f t="shared" si="31"/>
        <v>1.4444444444444444</v>
      </c>
      <c r="N63" s="24">
        <f t="shared" si="32"/>
        <v>0.38461538461538464</v>
      </c>
      <c r="O63" s="21">
        <v>11</v>
      </c>
      <c r="P63" s="23">
        <v>21</v>
      </c>
      <c r="Q63" s="22">
        <f t="shared" si="3"/>
        <v>0.30555555555555558</v>
      </c>
      <c r="R63" s="22">
        <f t="shared" si="4"/>
        <v>0.58333333333333337</v>
      </c>
      <c r="S63" s="24">
        <f t="shared" si="5"/>
        <v>0.52380952380952384</v>
      </c>
      <c r="T63" s="23">
        <v>9</v>
      </c>
      <c r="U63" s="23">
        <v>31</v>
      </c>
      <c r="V63" s="22">
        <f t="shared" si="6"/>
        <v>0.25</v>
      </c>
      <c r="W63" s="22">
        <f t="shared" si="7"/>
        <v>0.86111111111111116</v>
      </c>
      <c r="X63" s="24">
        <f t="shared" si="8"/>
        <v>0.29032258064516131</v>
      </c>
      <c r="Y63" s="23">
        <v>4</v>
      </c>
      <c r="Z63" s="23">
        <v>10</v>
      </c>
      <c r="AA63" s="22">
        <f t="shared" si="9"/>
        <v>0.1111111111111111</v>
      </c>
      <c r="AB63" s="22">
        <f t="shared" si="10"/>
        <v>0.27777777777777779</v>
      </c>
      <c r="AC63" s="24">
        <f t="shared" si="11"/>
        <v>0.4</v>
      </c>
      <c r="AD63" s="23">
        <v>44</v>
      </c>
      <c r="AE63" s="22">
        <f t="shared" si="12"/>
        <v>1.2222222222222223</v>
      </c>
      <c r="AF63" s="23">
        <v>17</v>
      </c>
      <c r="AG63" s="22">
        <f t="shared" si="13"/>
        <v>0.47222222222222221</v>
      </c>
      <c r="AH63" s="23">
        <v>27</v>
      </c>
      <c r="AI63" s="22">
        <f t="shared" si="14"/>
        <v>0.75</v>
      </c>
      <c r="AJ63" s="23">
        <v>16</v>
      </c>
      <c r="AK63" s="22">
        <f t="shared" si="15"/>
        <v>0.44444444444444442</v>
      </c>
      <c r="AL63" s="23">
        <v>8</v>
      </c>
      <c r="AM63" s="22">
        <f t="shared" si="16"/>
        <v>0.22222222222222221</v>
      </c>
      <c r="AN63" s="23">
        <v>5</v>
      </c>
      <c r="AO63" s="22">
        <f t="shared" si="17"/>
        <v>0.1388888888888889</v>
      </c>
      <c r="AP63" s="10">
        <v>4</v>
      </c>
      <c r="AQ63" s="22">
        <f t="shared" si="18"/>
        <v>0.1111111111111111</v>
      </c>
      <c r="AR63" s="23">
        <v>27</v>
      </c>
      <c r="AS63" s="22">
        <f t="shared" si="19"/>
        <v>0.75</v>
      </c>
      <c r="AT63" s="25">
        <v>0.16837432105860192</v>
      </c>
      <c r="AU63" s="25">
        <v>2.3192055242231668E-2</v>
      </c>
      <c r="AV63" s="25">
        <v>0.24679237454262523</v>
      </c>
      <c r="AW63" s="25">
        <v>-7.8418053484023309E-2</v>
      </c>
      <c r="AX63" s="25">
        <v>110.93090039548576</v>
      </c>
      <c r="AY63" s="25">
        <v>118.73347792065327</v>
      </c>
      <c r="AZ63" s="25">
        <v>5.3913928076662545</v>
      </c>
      <c r="BA63" s="25">
        <v>2.3333333333333335</v>
      </c>
      <c r="BB63" s="25">
        <v>11.5702479338843</v>
      </c>
      <c r="BC63" s="24">
        <v>0.46985815602836878</v>
      </c>
      <c r="BD63" s="24">
        <v>0.47115384615384615</v>
      </c>
      <c r="BE63" s="25">
        <v>6.2427908168960506</v>
      </c>
      <c r="BF63" s="24">
        <v>0.59615384615384615</v>
      </c>
      <c r="BG63" s="24">
        <v>0.19230769230769232</v>
      </c>
      <c r="BH63" s="25">
        <v>4.3882103415490388</v>
      </c>
      <c r="BI63" s="25">
        <v>6.9695105424602373</v>
      </c>
      <c r="BJ63" s="25">
        <v>5.2918219301920493</v>
      </c>
      <c r="BK63" s="25">
        <v>4.6619820222318271</v>
      </c>
      <c r="BL63" s="25">
        <v>1.4757751838509112</v>
      </c>
      <c r="BM63" s="25">
        <v>1.0850498218709876</v>
      </c>
      <c r="BN63" s="25">
        <v>6.6225165562913908</v>
      </c>
      <c r="BO63" s="26" t="s">
        <v>176</v>
      </c>
      <c r="BP63" s="27"/>
      <c r="BQ63" s="33" t="s">
        <v>268</v>
      </c>
      <c r="BR63" s="33">
        <v>175.93</v>
      </c>
      <c r="BS63" s="33">
        <v>216.53</v>
      </c>
      <c r="BT63" s="33">
        <v>40.6</v>
      </c>
      <c r="BU63" s="36">
        <f t="shared" si="24"/>
        <v>4.8869444444444436</v>
      </c>
      <c r="BV63" s="36">
        <f t="shared" si="25"/>
        <v>6.0147222222222219</v>
      </c>
      <c r="BW63" s="36">
        <f t="shared" si="26"/>
        <v>1.1277777777777778</v>
      </c>
      <c r="BX63" s="37">
        <f t="shared" si="27"/>
        <v>24.232782369146008</v>
      </c>
      <c r="BY63" s="37">
        <f t="shared" si="28"/>
        <v>29.825068870523417</v>
      </c>
      <c r="BZ63" s="37">
        <f t="shared" si="29"/>
        <v>5.5922865013774103</v>
      </c>
      <c r="CA63" s="35">
        <v>5</v>
      </c>
      <c r="CB63" s="35">
        <v>31</v>
      </c>
    </row>
    <row r="64" spans="1:80" x14ac:dyDescent="0.4">
      <c r="A64" s="16" t="s">
        <v>178</v>
      </c>
      <c r="B64" s="16" t="s">
        <v>255</v>
      </c>
      <c r="C64" s="30" t="s">
        <v>265</v>
      </c>
      <c r="D64" s="20">
        <v>24</v>
      </c>
      <c r="E64" s="20">
        <v>23</v>
      </c>
      <c r="F64" s="20">
        <v>43</v>
      </c>
      <c r="G64" s="21">
        <v>34152</v>
      </c>
      <c r="H64" s="21">
        <v>429</v>
      </c>
      <c r="I64" s="22">
        <f t="shared" si="0"/>
        <v>17.875</v>
      </c>
      <c r="J64" s="23">
        <v>174</v>
      </c>
      <c r="K64" s="23">
        <v>304</v>
      </c>
      <c r="L64" s="22">
        <f t="shared" si="30"/>
        <v>7.25</v>
      </c>
      <c r="M64" s="22">
        <f t="shared" si="31"/>
        <v>12.666666666666666</v>
      </c>
      <c r="N64" s="24">
        <f t="shared" si="32"/>
        <v>0.57236842105263153</v>
      </c>
      <c r="O64" s="21">
        <v>168</v>
      </c>
      <c r="P64" s="23">
        <v>277</v>
      </c>
      <c r="Q64" s="22">
        <f t="shared" si="3"/>
        <v>7</v>
      </c>
      <c r="R64" s="22">
        <f t="shared" si="4"/>
        <v>11.541666666666666</v>
      </c>
      <c r="S64" s="24">
        <f t="shared" si="5"/>
        <v>0.60649819494584833</v>
      </c>
      <c r="T64" s="23">
        <v>6</v>
      </c>
      <c r="U64" s="23">
        <v>27</v>
      </c>
      <c r="V64" s="22">
        <f t="shared" si="6"/>
        <v>0.25</v>
      </c>
      <c r="W64" s="22">
        <f t="shared" si="7"/>
        <v>1.125</v>
      </c>
      <c r="X64" s="24">
        <f t="shared" si="8"/>
        <v>0.22222222222222221</v>
      </c>
      <c r="Y64" s="23">
        <v>75</v>
      </c>
      <c r="Z64" s="23">
        <v>101</v>
      </c>
      <c r="AA64" s="22">
        <f t="shared" si="9"/>
        <v>3.125</v>
      </c>
      <c r="AB64" s="22">
        <f t="shared" si="10"/>
        <v>4.208333333333333</v>
      </c>
      <c r="AC64" s="24">
        <f t="shared" si="11"/>
        <v>0.74257425742574257</v>
      </c>
      <c r="AD64" s="23">
        <v>180</v>
      </c>
      <c r="AE64" s="22">
        <f t="shared" si="12"/>
        <v>7.5</v>
      </c>
      <c r="AF64" s="23">
        <v>54</v>
      </c>
      <c r="AG64" s="22">
        <f t="shared" si="13"/>
        <v>2.25</v>
      </c>
      <c r="AH64" s="23">
        <v>126</v>
      </c>
      <c r="AI64" s="22">
        <f t="shared" si="14"/>
        <v>5.25</v>
      </c>
      <c r="AJ64" s="23">
        <v>37</v>
      </c>
      <c r="AK64" s="22">
        <f t="shared" si="15"/>
        <v>1.5416666666666667</v>
      </c>
      <c r="AL64" s="23">
        <v>17</v>
      </c>
      <c r="AM64" s="22">
        <f t="shared" si="16"/>
        <v>0.70833333333333337</v>
      </c>
      <c r="AN64" s="23">
        <v>24</v>
      </c>
      <c r="AO64" s="22">
        <f t="shared" si="17"/>
        <v>1</v>
      </c>
      <c r="AP64" s="10">
        <v>64</v>
      </c>
      <c r="AQ64" s="22">
        <f t="shared" si="18"/>
        <v>2.6666666666666665</v>
      </c>
      <c r="AR64" s="23">
        <v>70</v>
      </c>
      <c r="AS64" s="22">
        <f t="shared" si="19"/>
        <v>2.9166666666666665</v>
      </c>
      <c r="AT64" s="25">
        <v>1.7002536567376465</v>
      </c>
      <c r="AU64" s="25">
        <v>0.11948374256764907</v>
      </c>
      <c r="AV64" s="25">
        <v>1.2675473438346003</v>
      </c>
      <c r="AW64" s="25">
        <v>0.43270631290304612</v>
      </c>
      <c r="AX64" s="25">
        <v>108.98077711268077</v>
      </c>
      <c r="AY64" s="25">
        <v>111.46126664819289</v>
      </c>
      <c r="AZ64" s="25">
        <v>11.638621135687973</v>
      </c>
      <c r="BA64" s="25">
        <v>19.458333333333332</v>
      </c>
      <c r="BB64" s="25">
        <v>32.817990161630355</v>
      </c>
      <c r="BC64" s="24">
        <v>0.61560096429801403</v>
      </c>
      <c r="BD64" s="24">
        <v>0.58223684210526316</v>
      </c>
      <c r="BE64" s="25">
        <v>14.499168066113166</v>
      </c>
      <c r="BF64" s="24">
        <v>8.8815789473684209E-2</v>
      </c>
      <c r="BG64" s="24">
        <v>0.33223684210526316</v>
      </c>
      <c r="BH64" s="25">
        <v>4.7410303619827898</v>
      </c>
      <c r="BI64" s="25">
        <v>11.062404177959841</v>
      </c>
      <c r="BJ64" s="25">
        <v>7.3631816034998296</v>
      </c>
      <c r="BK64" s="25">
        <v>4.139429793545939</v>
      </c>
      <c r="BL64" s="25">
        <v>1.5999663843190399</v>
      </c>
      <c r="BM64" s="25">
        <v>1.7714601167748971</v>
      </c>
      <c r="BN64" s="25">
        <v>15.517408592765008</v>
      </c>
      <c r="BO64" s="26" t="s">
        <v>249</v>
      </c>
      <c r="BP64" s="27"/>
      <c r="BQ64" s="32" t="s">
        <v>268</v>
      </c>
      <c r="BR64" s="32">
        <v>631.58000000000004</v>
      </c>
      <c r="BS64" s="32">
        <v>876.28</v>
      </c>
      <c r="BT64" s="32">
        <v>244.7</v>
      </c>
      <c r="BU64" s="36">
        <f t="shared" si="24"/>
        <v>26.31583333333333</v>
      </c>
      <c r="BV64" s="36">
        <f t="shared" si="25"/>
        <v>36.511666666666663</v>
      </c>
      <c r="BW64" s="36">
        <f t="shared" si="26"/>
        <v>10.195833333333333</v>
      </c>
      <c r="BX64" s="37">
        <f t="shared" si="27"/>
        <v>44.383696416022488</v>
      </c>
      <c r="BY64" s="37">
        <f t="shared" si="28"/>
        <v>61.579761068165844</v>
      </c>
      <c r="BZ64" s="37">
        <f t="shared" si="29"/>
        <v>17.19606465214336</v>
      </c>
      <c r="CA64" s="34">
        <v>7</v>
      </c>
      <c r="CB64" s="34">
        <v>17</v>
      </c>
    </row>
    <row r="65" spans="1:80" x14ac:dyDescent="0.4">
      <c r="A65" s="16" t="s">
        <v>178</v>
      </c>
      <c r="B65" s="16" t="s">
        <v>255</v>
      </c>
      <c r="C65" s="16" t="s">
        <v>127</v>
      </c>
      <c r="D65" s="20">
        <v>33</v>
      </c>
      <c r="E65" s="20">
        <v>25</v>
      </c>
      <c r="F65" s="20">
        <v>26</v>
      </c>
      <c r="G65" s="21">
        <v>50358</v>
      </c>
      <c r="H65" s="21">
        <v>213</v>
      </c>
      <c r="I65" s="22">
        <f t="shared" si="0"/>
        <v>6.4545454545454541</v>
      </c>
      <c r="J65" s="23">
        <v>79</v>
      </c>
      <c r="K65" s="23">
        <v>233</v>
      </c>
      <c r="L65" s="22">
        <f t="shared" si="30"/>
        <v>2.393939393939394</v>
      </c>
      <c r="M65" s="22">
        <f t="shared" si="31"/>
        <v>7.0606060606060606</v>
      </c>
      <c r="N65" s="24">
        <f t="shared" si="32"/>
        <v>0.33905579399141633</v>
      </c>
      <c r="O65" s="21">
        <v>53</v>
      </c>
      <c r="P65" s="23">
        <v>143</v>
      </c>
      <c r="Q65" s="22">
        <f t="shared" si="3"/>
        <v>1.606060606060606</v>
      </c>
      <c r="R65" s="22">
        <f t="shared" si="4"/>
        <v>4.333333333333333</v>
      </c>
      <c r="S65" s="24">
        <f t="shared" si="5"/>
        <v>0.37062937062937062</v>
      </c>
      <c r="T65" s="23">
        <v>26</v>
      </c>
      <c r="U65" s="23">
        <v>90</v>
      </c>
      <c r="V65" s="22">
        <f t="shared" si="6"/>
        <v>0.78787878787878785</v>
      </c>
      <c r="W65" s="22">
        <f t="shared" si="7"/>
        <v>2.7272727272727271</v>
      </c>
      <c r="X65" s="24">
        <f t="shared" si="8"/>
        <v>0.28888888888888886</v>
      </c>
      <c r="Y65" s="23">
        <v>29</v>
      </c>
      <c r="Z65" s="23">
        <v>38</v>
      </c>
      <c r="AA65" s="22">
        <f t="shared" si="9"/>
        <v>0.87878787878787878</v>
      </c>
      <c r="AB65" s="22">
        <f t="shared" si="10"/>
        <v>1.1515151515151516</v>
      </c>
      <c r="AC65" s="24">
        <f t="shared" si="11"/>
        <v>0.76315789473684215</v>
      </c>
      <c r="AD65" s="23">
        <v>124</v>
      </c>
      <c r="AE65" s="22">
        <f t="shared" si="12"/>
        <v>3.7575757575757578</v>
      </c>
      <c r="AF65" s="23">
        <v>42</v>
      </c>
      <c r="AG65" s="22">
        <f t="shared" si="13"/>
        <v>1.2727272727272727</v>
      </c>
      <c r="AH65" s="23">
        <v>82</v>
      </c>
      <c r="AI65" s="22">
        <f t="shared" si="14"/>
        <v>2.4848484848484849</v>
      </c>
      <c r="AJ65" s="23">
        <v>77</v>
      </c>
      <c r="AK65" s="22">
        <f t="shared" si="15"/>
        <v>2.3333333333333335</v>
      </c>
      <c r="AL65" s="23">
        <v>33</v>
      </c>
      <c r="AM65" s="22">
        <f t="shared" si="16"/>
        <v>1</v>
      </c>
      <c r="AN65" s="23">
        <v>0</v>
      </c>
      <c r="AO65" s="22">
        <f t="shared" si="17"/>
        <v>0</v>
      </c>
      <c r="AP65" s="10">
        <v>43</v>
      </c>
      <c r="AQ65" s="22">
        <f t="shared" si="18"/>
        <v>1.303030303030303</v>
      </c>
      <c r="AR65" s="23">
        <v>75</v>
      </c>
      <c r="AS65" s="22">
        <f t="shared" si="19"/>
        <v>2.2727272727272729</v>
      </c>
      <c r="AT65" s="25">
        <v>-0.82241414168409921</v>
      </c>
      <c r="AU65" s="25">
        <v>-3.919524087616344E-2</v>
      </c>
      <c r="AV65" s="25">
        <v>-0.68202906496140314</v>
      </c>
      <c r="AW65" s="25">
        <v>-0.14038507672269604</v>
      </c>
      <c r="AX65" s="25">
        <v>92.868633431876546</v>
      </c>
      <c r="AY65" s="25">
        <v>118.00804551788526</v>
      </c>
      <c r="AZ65" s="25">
        <v>4.5076265563116173</v>
      </c>
      <c r="BA65" s="25">
        <v>7.3030303030303028</v>
      </c>
      <c r="BB65" s="25">
        <v>11.485761944477542</v>
      </c>
      <c r="BC65" s="24">
        <v>0.42647765497357037</v>
      </c>
      <c r="BD65" s="24">
        <v>0.39484978540772531</v>
      </c>
      <c r="BE65" s="25">
        <v>9.5958857541483731</v>
      </c>
      <c r="BF65" s="24">
        <v>0.38626609442060084</v>
      </c>
      <c r="BG65" s="24">
        <v>0.1630901287553648</v>
      </c>
      <c r="BH65" s="25">
        <v>3.438576047452349</v>
      </c>
      <c r="BI65" s="25">
        <v>6.7134103783593497</v>
      </c>
      <c r="BJ65" s="25">
        <v>4.7300426689265755</v>
      </c>
      <c r="BK65" s="25">
        <v>7.2223442447530521</v>
      </c>
      <c r="BL65" s="25">
        <v>2.1063160880912748</v>
      </c>
      <c r="BM65" s="25">
        <v>0</v>
      </c>
      <c r="BN65" s="25">
        <v>14.689805957911997</v>
      </c>
      <c r="BO65" s="26" t="s">
        <v>176</v>
      </c>
      <c r="BP65" s="26"/>
      <c r="BQ65" s="32" t="s">
        <v>267</v>
      </c>
      <c r="BR65" s="32">
        <v>503.05</v>
      </c>
      <c r="BS65" s="32">
        <v>722.35</v>
      </c>
      <c r="BT65" s="32">
        <v>219.3</v>
      </c>
      <c r="BU65" s="36">
        <f t="shared" si="24"/>
        <v>15.243939393939396</v>
      </c>
      <c r="BV65" s="36">
        <f t="shared" si="25"/>
        <v>21.889393939393941</v>
      </c>
      <c r="BW65" s="36">
        <f t="shared" si="26"/>
        <v>6.6454545454545455</v>
      </c>
      <c r="BX65" s="37">
        <f t="shared" si="27"/>
        <v>23.974740855474799</v>
      </c>
      <c r="BY65" s="37">
        <f t="shared" si="28"/>
        <v>34.42630763731681</v>
      </c>
      <c r="BZ65" s="37">
        <f t="shared" si="29"/>
        <v>10.451566781842011</v>
      </c>
      <c r="CA65" s="34">
        <v>6</v>
      </c>
      <c r="CB65" s="34">
        <v>27</v>
      </c>
    </row>
    <row r="66" spans="1:80" x14ac:dyDescent="0.4">
      <c r="A66" s="16" t="s">
        <v>178</v>
      </c>
      <c r="B66" s="16" t="s">
        <v>255</v>
      </c>
      <c r="C66" s="16" t="s">
        <v>125</v>
      </c>
      <c r="D66" s="20">
        <v>52</v>
      </c>
      <c r="E66" s="20">
        <v>21</v>
      </c>
      <c r="F66" s="20">
        <v>29</v>
      </c>
      <c r="G66" s="21">
        <v>67028</v>
      </c>
      <c r="H66" s="21">
        <v>448</v>
      </c>
      <c r="I66" s="22">
        <f t="shared" ref="I66:I129" si="33">H66/$D66</f>
        <v>8.615384615384615</v>
      </c>
      <c r="J66" s="23">
        <v>177</v>
      </c>
      <c r="K66" s="23">
        <v>353</v>
      </c>
      <c r="L66" s="22">
        <f t="shared" si="30"/>
        <v>3.4038461538461537</v>
      </c>
      <c r="M66" s="22">
        <f t="shared" si="31"/>
        <v>6.7884615384615383</v>
      </c>
      <c r="N66" s="24">
        <f t="shared" si="32"/>
        <v>0.50141643059490082</v>
      </c>
      <c r="O66" s="21">
        <v>168</v>
      </c>
      <c r="P66" s="23">
        <v>310</v>
      </c>
      <c r="Q66" s="22">
        <f t="shared" ref="Q66:Q129" si="34">O66/$D66</f>
        <v>3.2307692307692308</v>
      </c>
      <c r="R66" s="22">
        <f t="shared" ref="R66:R129" si="35">P66/$D66</f>
        <v>5.9615384615384617</v>
      </c>
      <c r="S66" s="24">
        <f t="shared" ref="S66:S129" si="36">O66/P66</f>
        <v>0.54193548387096779</v>
      </c>
      <c r="T66" s="23">
        <v>9</v>
      </c>
      <c r="U66" s="23">
        <v>43</v>
      </c>
      <c r="V66" s="22">
        <f t="shared" ref="V66:V129" si="37">T66/$D66</f>
        <v>0.17307692307692307</v>
      </c>
      <c r="W66" s="22">
        <f t="shared" ref="W66:W129" si="38">U66/$D66</f>
        <v>0.82692307692307687</v>
      </c>
      <c r="X66" s="24">
        <f t="shared" ref="X66:X129" si="39">T66/U66</f>
        <v>0.20930232558139536</v>
      </c>
      <c r="Y66" s="23">
        <v>85</v>
      </c>
      <c r="Z66" s="23">
        <v>123</v>
      </c>
      <c r="AA66" s="22">
        <f t="shared" ref="AA66:AA129" si="40">Y66/$D66</f>
        <v>1.6346153846153846</v>
      </c>
      <c r="AB66" s="22">
        <f t="shared" ref="AB66:AB129" si="41">Z66/$D66</f>
        <v>2.3653846153846154</v>
      </c>
      <c r="AC66" s="24">
        <f t="shared" ref="AC66:AC129" si="42">Y66/Z66</f>
        <v>0.69105691056910568</v>
      </c>
      <c r="AD66" s="23">
        <v>213</v>
      </c>
      <c r="AE66" s="22">
        <f t="shared" ref="AE66:AE129" si="43">AD66/$D66</f>
        <v>4.0961538461538458</v>
      </c>
      <c r="AF66" s="23">
        <v>94</v>
      </c>
      <c r="AG66" s="22">
        <f t="shared" ref="AG66:AG129" si="44">AF66/$D66</f>
        <v>1.8076923076923077</v>
      </c>
      <c r="AH66" s="23">
        <v>119</v>
      </c>
      <c r="AI66" s="22">
        <f t="shared" ref="AI66:AI129" si="45">AH66/$D66</f>
        <v>2.2884615384615383</v>
      </c>
      <c r="AJ66" s="23">
        <v>30</v>
      </c>
      <c r="AK66" s="22">
        <f t="shared" ref="AK66:AK129" si="46">AJ66/$D66</f>
        <v>0.57692307692307687</v>
      </c>
      <c r="AL66" s="23">
        <v>28</v>
      </c>
      <c r="AM66" s="22">
        <f t="shared" ref="AM66:AM129" si="47">AL66/$D66</f>
        <v>0.53846153846153844</v>
      </c>
      <c r="AN66" s="23">
        <v>39</v>
      </c>
      <c r="AO66" s="22">
        <f t="shared" ref="AO66:AO129" si="48">AN66/$D66</f>
        <v>0.75</v>
      </c>
      <c r="AP66" s="10">
        <v>63</v>
      </c>
      <c r="AQ66" s="22">
        <f t="shared" ref="AQ66:AQ129" si="49">AP66/$D66</f>
        <v>1.2115384615384615</v>
      </c>
      <c r="AR66" s="23">
        <v>147</v>
      </c>
      <c r="AS66" s="22">
        <f t="shared" ref="AS66:AS129" si="50">AR66/$D66</f>
        <v>2.8269230769230771</v>
      </c>
      <c r="AT66" s="25">
        <v>0.92008826182870485</v>
      </c>
      <c r="AU66" s="25">
        <v>3.2944617598449778E-2</v>
      </c>
      <c r="AV66" s="25">
        <v>1.0108103888326858</v>
      </c>
      <c r="AW66" s="25">
        <v>-9.0722127003980968E-2</v>
      </c>
      <c r="AX66" s="25">
        <v>105.91940096852733</v>
      </c>
      <c r="AY66" s="25">
        <v>117.40060368327433</v>
      </c>
      <c r="AZ66" s="25">
        <v>11.794135925835556</v>
      </c>
      <c r="BA66" s="25">
        <v>9.25</v>
      </c>
      <c r="BB66" s="25">
        <v>17.222653219550036</v>
      </c>
      <c r="BC66" s="24">
        <v>0.55020632737276476</v>
      </c>
      <c r="BD66" s="24">
        <v>0.51416430594900853</v>
      </c>
      <c r="BE66" s="25">
        <v>18.244964219891173</v>
      </c>
      <c r="BF66" s="24">
        <v>0.12181303116147309</v>
      </c>
      <c r="BG66" s="24">
        <v>0.34844192634560905</v>
      </c>
      <c r="BH66" s="25">
        <v>9.1108482498569359</v>
      </c>
      <c r="BI66" s="25">
        <v>11.533946188648676</v>
      </c>
      <c r="BJ66" s="25">
        <v>9.618881910349085</v>
      </c>
      <c r="BK66" s="25">
        <v>3.7960888685493508</v>
      </c>
      <c r="BL66" s="25">
        <v>1.3427026587689324</v>
      </c>
      <c r="BM66" s="25">
        <v>3.1778743890825072</v>
      </c>
      <c r="BN66" s="25">
        <v>13.400833829660511</v>
      </c>
      <c r="BO66" s="26" t="s">
        <v>176</v>
      </c>
      <c r="BP66" s="26"/>
      <c r="BQ66" s="32" t="s">
        <v>266</v>
      </c>
      <c r="BR66" s="32">
        <v>816.71</v>
      </c>
      <c r="BS66" s="32">
        <v>1114.21</v>
      </c>
      <c r="BT66" s="32">
        <v>297.5</v>
      </c>
      <c r="BU66" s="36">
        <f t="shared" si="24"/>
        <v>15.705961538461537</v>
      </c>
      <c r="BV66" s="36">
        <f t="shared" si="25"/>
        <v>21.427115384615384</v>
      </c>
      <c r="BW66" s="36">
        <f t="shared" si="26"/>
        <v>5.7211538461538458</v>
      </c>
      <c r="BX66" s="37">
        <f t="shared" si="27"/>
        <v>29.243062600704178</v>
      </c>
      <c r="BY66" s="37">
        <f t="shared" si="28"/>
        <v>39.895327325893653</v>
      </c>
      <c r="BZ66" s="37">
        <f t="shared" si="29"/>
        <v>10.652264725189474</v>
      </c>
      <c r="CA66" s="34">
        <v>8</v>
      </c>
      <c r="CB66" s="34">
        <v>44</v>
      </c>
    </row>
    <row r="67" spans="1:80" x14ac:dyDescent="0.4">
      <c r="A67" s="16" t="s">
        <v>178</v>
      </c>
      <c r="B67" s="16" t="s">
        <v>255</v>
      </c>
      <c r="C67" s="16" t="s">
        <v>81</v>
      </c>
      <c r="D67" s="20">
        <v>28</v>
      </c>
      <c r="E67" s="20">
        <v>10</v>
      </c>
      <c r="F67" s="20">
        <v>56</v>
      </c>
      <c r="G67" s="21">
        <v>18368</v>
      </c>
      <c r="H67" s="21">
        <v>116</v>
      </c>
      <c r="I67" s="22">
        <f t="shared" si="33"/>
        <v>4.1428571428571432</v>
      </c>
      <c r="J67" s="23">
        <v>47</v>
      </c>
      <c r="K67" s="23">
        <v>112</v>
      </c>
      <c r="L67" s="22">
        <f t="shared" si="30"/>
        <v>1.6785714285714286</v>
      </c>
      <c r="M67" s="22">
        <f t="shared" si="31"/>
        <v>4</v>
      </c>
      <c r="N67" s="24">
        <f t="shared" si="32"/>
        <v>0.41964285714285715</v>
      </c>
      <c r="O67" s="21">
        <v>41</v>
      </c>
      <c r="P67" s="23">
        <v>86</v>
      </c>
      <c r="Q67" s="22">
        <f t="shared" si="34"/>
        <v>1.4642857142857142</v>
      </c>
      <c r="R67" s="22">
        <f t="shared" si="35"/>
        <v>3.0714285714285716</v>
      </c>
      <c r="S67" s="24">
        <f t="shared" si="36"/>
        <v>0.47674418604651164</v>
      </c>
      <c r="T67" s="23">
        <v>6</v>
      </c>
      <c r="U67" s="23">
        <v>26</v>
      </c>
      <c r="V67" s="22">
        <f t="shared" si="37"/>
        <v>0.21428571428571427</v>
      </c>
      <c r="W67" s="22">
        <f t="shared" si="38"/>
        <v>0.9285714285714286</v>
      </c>
      <c r="X67" s="24">
        <f t="shared" si="39"/>
        <v>0.23076923076923078</v>
      </c>
      <c r="Y67" s="23">
        <v>16</v>
      </c>
      <c r="Z67" s="23">
        <v>20</v>
      </c>
      <c r="AA67" s="22">
        <f t="shared" si="40"/>
        <v>0.5714285714285714</v>
      </c>
      <c r="AB67" s="22">
        <f t="shared" si="41"/>
        <v>0.7142857142857143</v>
      </c>
      <c r="AC67" s="24">
        <f t="shared" si="42"/>
        <v>0.8</v>
      </c>
      <c r="AD67" s="23">
        <v>35</v>
      </c>
      <c r="AE67" s="22">
        <f t="shared" si="43"/>
        <v>1.25</v>
      </c>
      <c r="AF67" s="23">
        <v>8</v>
      </c>
      <c r="AG67" s="22">
        <f t="shared" si="44"/>
        <v>0.2857142857142857</v>
      </c>
      <c r="AH67" s="23">
        <v>27</v>
      </c>
      <c r="AI67" s="22">
        <f t="shared" si="45"/>
        <v>0.9642857142857143</v>
      </c>
      <c r="AJ67" s="23">
        <v>49</v>
      </c>
      <c r="AK67" s="22">
        <f t="shared" si="46"/>
        <v>1.75</v>
      </c>
      <c r="AL67" s="23">
        <v>12</v>
      </c>
      <c r="AM67" s="22">
        <f t="shared" si="47"/>
        <v>0.42857142857142855</v>
      </c>
      <c r="AN67" s="23">
        <v>0</v>
      </c>
      <c r="AO67" s="22">
        <f t="shared" si="48"/>
        <v>0</v>
      </c>
      <c r="AP67" s="10">
        <v>22</v>
      </c>
      <c r="AQ67" s="22">
        <f t="shared" si="49"/>
        <v>0.7857142857142857</v>
      </c>
      <c r="AR67" s="23">
        <v>17</v>
      </c>
      <c r="AS67" s="22">
        <f t="shared" si="50"/>
        <v>0.6071428571428571</v>
      </c>
      <c r="AT67" s="25">
        <v>-8.1169603683001149E-2</v>
      </c>
      <c r="AU67" s="25">
        <v>-1.0605784453353809E-2</v>
      </c>
      <c r="AV67" s="25">
        <v>-6.8382786404753539E-3</v>
      </c>
      <c r="AW67" s="25">
        <v>-7.4331325042525792E-2</v>
      </c>
      <c r="AX67" s="25">
        <v>99.383168478345098</v>
      </c>
      <c r="AY67" s="25">
        <v>118.54128419206448</v>
      </c>
      <c r="AZ67" s="25">
        <v>6.6328203163314923</v>
      </c>
      <c r="BA67" s="25">
        <v>4.3214285714285712</v>
      </c>
      <c r="BB67" s="25">
        <v>15.810104529616725</v>
      </c>
      <c r="BC67" s="24">
        <v>0.48013245033112584</v>
      </c>
      <c r="BD67" s="24">
        <v>0.44642857142857145</v>
      </c>
      <c r="BE67" s="25">
        <v>10.88959113703193</v>
      </c>
      <c r="BF67" s="24">
        <v>0.23214285714285715</v>
      </c>
      <c r="BG67" s="24">
        <v>0.17857142857142858</v>
      </c>
      <c r="BH67" s="25">
        <v>1.5235967039524638</v>
      </c>
      <c r="BI67" s="25">
        <v>5.1421388758395654</v>
      </c>
      <c r="BJ67" s="25">
        <v>3.1057186632986875</v>
      </c>
      <c r="BK67" s="25">
        <v>11.004476651045801</v>
      </c>
      <c r="BL67" s="25">
        <v>2.0998943927007527</v>
      </c>
      <c r="BM67" s="25">
        <v>0</v>
      </c>
      <c r="BN67" s="25">
        <v>15.406162464985993</v>
      </c>
      <c r="BO67" s="26" t="s">
        <v>176</v>
      </c>
      <c r="BP67" s="27"/>
      <c r="BQ67" s="32" t="s">
        <v>267</v>
      </c>
      <c r="BR67" s="32">
        <v>217.83</v>
      </c>
      <c r="BS67" s="32">
        <v>317.02999999999997</v>
      </c>
      <c r="BT67" s="32">
        <v>99.2</v>
      </c>
      <c r="BU67" s="36">
        <f t="shared" ref="BU67:BU130" si="51">BV67-BW67</f>
        <v>7.7796428571428571</v>
      </c>
      <c r="BV67" s="36">
        <f t="shared" ref="BV67:BV130" si="52">BS67/$D67</f>
        <v>11.3225</v>
      </c>
      <c r="BW67" s="36">
        <f t="shared" ref="BW67:BW130" si="53">BT67/$D67</f>
        <v>3.5428571428571431</v>
      </c>
      <c r="BX67" s="37">
        <f t="shared" ref="BX67:BX130" si="54">BY67-BZ67</f>
        <v>28.462108013937275</v>
      </c>
      <c r="BY67" s="37">
        <f t="shared" ref="BY67:BY130" si="55">BS67*2400/$G67</f>
        <v>41.423780487804869</v>
      </c>
      <c r="BZ67" s="37">
        <f t="shared" ref="BZ67:BZ130" si="56">BT67*2400/$G67</f>
        <v>12.961672473867596</v>
      </c>
      <c r="CA67" s="34">
        <v>2</v>
      </c>
      <c r="CB67" s="34">
        <v>26</v>
      </c>
    </row>
    <row r="68" spans="1:80" x14ac:dyDescent="0.4">
      <c r="A68" s="16" t="s">
        <v>178</v>
      </c>
      <c r="B68" s="16" t="s">
        <v>255</v>
      </c>
      <c r="C68" s="16" t="s">
        <v>141</v>
      </c>
      <c r="D68" s="20">
        <v>43</v>
      </c>
      <c r="E68" s="20">
        <v>24</v>
      </c>
      <c r="F68" s="20">
        <v>49</v>
      </c>
      <c r="G68" s="21">
        <v>64027</v>
      </c>
      <c r="H68" s="21">
        <v>319</v>
      </c>
      <c r="I68" s="22">
        <f t="shared" si="33"/>
        <v>7.4186046511627906</v>
      </c>
      <c r="J68" s="23">
        <v>119</v>
      </c>
      <c r="K68" s="23">
        <v>360</v>
      </c>
      <c r="L68" s="22">
        <f t="shared" si="30"/>
        <v>2.7674418604651163</v>
      </c>
      <c r="M68" s="22">
        <f t="shared" si="31"/>
        <v>8.3720930232558146</v>
      </c>
      <c r="N68" s="24">
        <f t="shared" si="32"/>
        <v>0.33055555555555555</v>
      </c>
      <c r="O68" s="21">
        <v>52</v>
      </c>
      <c r="P68" s="23">
        <v>143</v>
      </c>
      <c r="Q68" s="22">
        <f t="shared" si="34"/>
        <v>1.2093023255813953</v>
      </c>
      <c r="R68" s="22">
        <f t="shared" si="35"/>
        <v>3.3255813953488373</v>
      </c>
      <c r="S68" s="24">
        <f t="shared" si="36"/>
        <v>0.36363636363636365</v>
      </c>
      <c r="T68" s="23">
        <v>67</v>
      </c>
      <c r="U68" s="23">
        <v>217</v>
      </c>
      <c r="V68" s="22">
        <f t="shared" si="37"/>
        <v>1.558139534883721</v>
      </c>
      <c r="W68" s="22">
        <f t="shared" si="38"/>
        <v>5.0465116279069768</v>
      </c>
      <c r="X68" s="24">
        <f t="shared" si="39"/>
        <v>0.30875576036866359</v>
      </c>
      <c r="Y68" s="23">
        <v>14</v>
      </c>
      <c r="Z68" s="23">
        <v>21</v>
      </c>
      <c r="AA68" s="22">
        <f t="shared" si="40"/>
        <v>0.32558139534883723</v>
      </c>
      <c r="AB68" s="22">
        <f t="shared" si="41"/>
        <v>0.48837209302325579</v>
      </c>
      <c r="AC68" s="24">
        <f t="shared" si="42"/>
        <v>0.66666666666666663</v>
      </c>
      <c r="AD68" s="23">
        <v>152</v>
      </c>
      <c r="AE68" s="22">
        <f t="shared" si="43"/>
        <v>3.5348837209302326</v>
      </c>
      <c r="AF68" s="23">
        <v>45</v>
      </c>
      <c r="AG68" s="22">
        <f t="shared" si="44"/>
        <v>1.0465116279069768</v>
      </c>
      <c r="AH68" s="23">
        <v>107</v>
      </c>
      <c r="AI68" s="22">
        <f t="shared" si="45"/>
        <v>2.4883720930232558</v>
      </c>
      <c r="AJ68" s="23">
        <v>38</v>
      </c>
      <c r="AK68" s="22">
        <f t="shared" si="46"/>
        <v>0.88372093023255816</v>
      </c>
      <c r="AL68" s="23">
        <v>16</v>
      </c>
      <c r="AM68" s="22">
        <f t="shared" si="47"/>
        <v>0.37209302325581395</v>
      </c>
      <c r="AN68" s="23">
        <v>5</v>
      </c>
      <c r="AO68" s="22">
        <f t="shared" si="48"/>
        <v>0.11627906976744186</v>
      </c>
      <c r="AP68" s="10">
        <v>25</v>
      </c>
      <c r="AQ68" s="22">
        <f t="shared" si="49"/>
        <v>0.58139534883720934</v>
      </c>
      <c r="AR68" s="23">
        <v>108</v>
      </c>
      <c r="AS68" s="22">
        <f t="shared" si="50"/>
        <v>2.5116279069767442</v>
      </c>
      <c r="AT68" s="25">
        <v>-1.2351238241916582</v>
      </c>
      <c r="AU68" s="25">
        <v>-4.6297611602292468E-2</v>
      </c>
      <c r="AV68" s="25">
        <v>-0.66899548903881423</v>
      </c>
      <c r="AW68" s="25">
        <v>-0.56612833515284389</v>
      </c>
      <c r="AX68" s="25">
        <v>94.204769156678822</v>
      </c>
      <c r="AY68" s="25">
        <v>120.57219899354617</v>
      </c>
      <c r="AZ68" s="25">
        <v>4.6949375697451314</v>
      </c>
      <c r="BA68" s="25">
        <v>5.9767441860465116</v>
      </c>
      <c r="BB68" s="25">
        <v>9.6334358942321217</v>
      </c>
      <c r="BC68" s="24">
        <v>0.43196836745748024</v>
      </c>
      <c r="BD68" s="24">
        <v>0.4236111111111111</v>
      </c>
      <c r="BE68" s="25">
        <v>13.245037562434675</v>
      </c>
      <c r="BF68" s="24">
        <v>0.60277777777777775</v>
      </c>
      <c r="BG68" s="24">
        <v>5.8333333333333334E-2</v>
      </c>
      <c r="BH68" s="25">
        <v>3.7757366269876371</v>
      </c>
      <c r="BI68" s="25">
        <v>8.9778626463928255</v>
      </c>
      <c r="BJ68" s="25">
        <v>5.9421935979053764</v>
      </c>
      <c r="BK68" s="25">
        <v>3.8062025241967223</v>
      </c>
      <c r="BL68" s="25">
        <v>0.80322072886183282</v>
      </c>
      <c r="BM68" s="25">
        <v>0.3526958453898979</v>
      </c>
      <c r="BN68" s="25">
        <v>6.3413149350649345</v>
      </c>
      <c r="BO68" s="26" t="s">
        <v>176</v>
      </c>
      <c r="BP68" s="27"/>
      <c r="BQ68" s="32" t="s">
        <v>268</v>
      </c>
      <c r="BR68" s="32">
        <v>576.73</v>
      </c>
      <c r="BS68" s="32">
        <v>845.83</v>
      </c>
      <c r="BT68" s="32">
        <v>269.10000000000002</v>
      </c>
      <c r="BU68" s="36">
        <f t="shared" si="51"/>
        <v>13.412325581395351</v>
      </c>
      <c r="BV68" s="36">
        <f t="shared" si="52"/>
        <v>19.670465116279072</v>
      </c>
      <c r="BW68" s="36">
        <f t="shared" si="53"/>
        <v>6.2581395348837212</v>
      </c>
      <c r="BX68" s="37">
        <f t="shared" si="54"/>
        <v>21.618254798756773</v>
      </c>
      <c r="BY68" s="37">
        <f t="shared" si="55"/>
        <v>31.705249347931343</v>
      </c>
      <c r="BZ68" s="37">
        <f t="shared" si="56"/>
        <v>10.086994549174568</v>
      </c>
      <c r="CA68" s="34">
        <v>8</v>
      </c>
      <c r="CB68" s="34">
        <v>35</v>
      </c>
    </row>
    <row r="69" spans="1:80" x14ac:dyDescent="0.4">
      <c r="A69" s="16" t="s">
        <v>178</v>
      </c>
      <c r="B69" s="16" t="s">
        <v>255</v>
      </c>
      <c r="C69" s="16" t="s">
        <v>224</v>
      </c>
      <c r="D69" s="20">
        <v>28</v>
      </c>
      <c r="E69" s="20">
        <v>19</v>
      </c>
      <c r="F69" s="20">
        <v>38</v>
      </c>
      <c r="G69" s="21">
        <v>32984</v>
      </c>
      <c r="H69" s="21">
        <v>174</v>
      </c>
      <c r="I69" s="22">
        <f t="shared" si="33"/>
        <v>6.2142857142857144</v>
      </c>
      <c r="J69" s="23">
        <v>64</v>
      </c>
      <c r="K69" s="23">
        <v>158</v>
      </c>
      <c r="L69" s="22">
        <f t="shared" si="30"/>
        <v>2.2857142857142856</v>
      </c>
      <c r="M69" s="22">
        <f t="shared" si="31"/>
        <v>5.6428571428571432</v>
      </c>
      <c r="N69" s="24">
        <f t="shared" si="32"/>
        <v>0.4050632911392405</v>
      </c>
      <c r="O69" s="21">
        <v>27</v>
      </c>
      <c r="P69" s="23">
        <v>61</v>
      </c>
      <c r="Q69" s="22">
        <f t="shared" si="34"/>
        <v>0.9642857142857143</v>
      </c>
      <c r="R69" s="22">
        <f t="shared" si="35"/>
        <v>2.1785714285714284</v>
      </c>
      <c r="S69" s="24">
        <f t="shared" si="36"/>
        <v>0.44262295081967212</v>
      </c>
      <c r="T69" s="23">
        <v>37</v>
      </c>
      <c r="U69" s="23">
        <v>97</v>
      </c>
      <c r="V69" s="22">
        <f t="shared" si="37"/>
        <v>1.3214285714285714</v>
      </c>
      <c r="W69" s="22">
        <f t="shared" si="38"/>
        <v>3.4642857142857144</v>
      </c>
      <c r="X69" s="24">
        <f t="shared" si="39"/>
        <v>0.38144329896907214</v>
      </c>
      <c r="Y69" s="23">
        <v>9</v>
      </c>
      <c r="Z69" s="23">
        <v>15</v>
      </c>
      <c r="AA69" s="22">
        <f t="shared" si="40"/>
        <v>0.32142857142857145</v>
      </c>
      <c r="AB69" s="22">
        <f t="shared" si="41"/>
        <v>0.5357142857142857</v>
      </c>
      <c r="AC69" s="24">
        <f t="shared" si="42"/>
        <v>0.6</v>
      </c>
      <c r="AD69" s="23">
        <v>63</v>
      </c>
      <c r="AE69" s="22">
        <f t="shared" si="43"/>
        <v>2.25</v>
      </c>
      <c r="AF69" s="23">
        <v>15</v>
      </c>
      <c r="AG69" s="22">
        <f t="shared" si="44"/>
        <v>0.5357142857142857</v>
      </c>
      <c r="AH69" s="23">
        <v>48</v>
      </c>
      <c r="AI69" s="22">
        <f t="shared" si="45"/>
        <v>1.7142857142857142</v>
      </c>
      <c r="AJ69" s="23">
        <v>16</v>
      </c>
      <c r="AK69" s="22">
        <f t="shared" si="46"/>
        <v>0.5714285714285714</v>
      </c>
      <c r="AL69" s="23">
        <v>11</v>
      </c>
      <c r="AM69" s="22">
        <f t="shared" si="47"/>
        <v>0.39285714285714285</v>
      </c>
      <c r="AN69" s="23">
        <v>5</v>
      </c>
      <c r="AO69" s="22">
        <f t="shared" si="48"/>
        <v>0.17857142857142858</v>
      </c>
      <c r="AP69" s="10">
        <v>19</v>
      </c>
      <c r="AQ69" s="22">
        <f t="shared" si="49"/>
        <v>0.6785714285714286</v>
      </c>
      <c r="AR69" s="23">
        <v>70</v>
      </c>
      <c r="AS69" s="22">
        <f t="shared" si="50"/>
        <v>2.5</v>
      </c>
      <c r="AT69" s="25">
        <v>-0.10952268978325561</v>
      </c>
      <c r="AU69" s="25">
        <v>-7.969150360168974E-3</v>
      </c>
      <c r="AV69" s="25">
        <v>0.15431689386660227</v>
      </c>
      <c r="AW69" s="25">
        <v>-0.26383958364985788</v>
      </c>
      <c r="AX69" s="25">
        <v>102.17119596748184</v>
      </c>
      <c r="AY69" s="25">
        <v>120.21516230992115</v>
      </c>
      <c r="AZ69" s="25">
        <v>3.503576566557614</v>
      </c>
      <c r="BA69" s="25">
        <v>5.3571428571428568</v>
      </c>
      <c r="BB69" s="25">
        <v>10.914382731021101</v>
      </c>
      <c r="BC69" s="24">
        <v>0.52855407047387604</v>
      </c>
      <c r="BD69" s="24">
        <v>0.52215189873417722</v>
      </c>
      <c r="BE69" s="25">
        <v>7.7967676537759534</v>
      </c>
      <c r="BF69" s="24">
        <v>0.61392405063291144</v>
      </c>
      <c r="BG69" s="24">
        <v>9.49367088607595E-2</v>
      </c>
      <c r="BH69" s="25">
        <v>1.5908522460624197</v>
      </c>
      <c r="BI69" s="25">
        <v>5.0907271873997431</v>
      </c>
      <c r="BJ69" s="25">
        <v>3.1131006770993972</v>
      </c>
      <c r="BK69" s="25">
        <v>1.9512413248522085</v>
      </c>
      <c r="BL69" s="25">
        <v>1.0719325083282847</v>
      </c>
      <c r="BM69" s="25">
        <v>0.44580994379079625</v>
      </c>
      <c r="BN69" s="25">
        <v>10.348583877995644</v>
      </c>
      <c r="BO69" s="26" t="s">
        <v>176</v>
      </c>
      <c r="BP69" s="27"/>
      <c r="BQ69" s="32" t="s">
        <v>268</v>
      </c>
      <c r="BR69" s="32">
        <v>303.64999999999998</v>
      </c>
      <c r="BS69" s="32">
        <v>424.95</v>
      </c>
      <c r="BT69" s="32">
        <v>121.3</v>
      </c>
      <c r="BU69" s="36">
        <f t="shared" si="51"/>
        <v>10.844642857142857</v>
      </c>
      <c r="BV69" s="36">
        <f t="shared" si="52"/>
        <v>15.176785714285714</v>
      </c>
      <c r="BW69" s="36">
        <f t="shared" si="53"/>
        <v>4.3321428571428573</v>
      </c>
      <c r="BX69" s="37">
        <f t="shared" si="54"/>
        <v>22.094348775163716</v>
      </c>
      <c r="BY69" s="37">
        <f t="shared" si="55"/>
        <v>30.92044627698278</v>
      </c>
      <c r="BZ69" s="37">
        <f t="shared" si="56"/>
        <v>8.8260975018190635</v>
      </c>
      <c r="CA69" s="35">
        <v>6</v>
      </c>
      <c r="CB69" s="35">
        <v>22</v>
      </c>
    </row>
    <row r="70" spans="1:80" x14ac:dyDescent="0.4">
      <c r="A70" s="16" t="s">
        <v>178</v>
      </c>
      <c r="B70" s="16" t="s">
        <v>255</v>
      </c>
      <c r="C70" s="16" t="s">
        <v>225</v>
      </c>
      <c r="D70" s="20">
        <v>49</v>
      </c>
      <c r="E70" s="20">
        <v>12</v>
      </c>
      <c r="F70" s="20">
        <v>10</v>
      </c>
      <c r="G70" s="21">
        <v>35770</v>
      </c>
      <c r="H70" s="21">
        <v>124</v>
      </c>
      <c r="I70" s="22">
        <f t="shared" si="33"/>
        <v>2.5306122448979593</v>
      </c>
      <c r="J70" s="23">
        <v>42</v>
      </c>
      <c r="K70" s="23">
        <v>147</v>
      </c>
      <c r="L70" s="22">
        <f t="shared" si="30"/>
        <v>0.8571428571428571</v>
      </c>
      <c r="M70" s="22">
        <f t="shared" si="31"/>
        <v>3</v>
      </c>
      <c r="N70" s="24">
        <f t="shared" si="32"/>
        <v>0.2857142857142857</v>
      </c>
      <c r="O70" s="21">
        <v>16</v>
      </c>
      <c r="P70" s="23">
        <v>56</v>
      </c>
      <c r="Q70" s="22">
        <f t="shared" si="34"/>
        <v>0.32653061224489793</v>
      </c>
      <c r="R70" s="22">
        <f t="shared" si="35"/>
        <v>1.1428571428571428</v>
      </c>
      <c r="S70" s="24">
        <f t="shared" si="36"/>
        <v>0.2857142857142857</v>
      </c>
      <c r="T70" s="23">
        <v>26</v>
      </c>
      <c r="U70" s="23">
        <v>91</v>
      </c>
      <c r="V70" s="22">
        <f t="shared" si="37"/>
        <v>0.53061224489795922</v>
      </c>
      <c r="W70" s="22">
        <f t="shared" si="38"/>
        <v>1.8571428571428572</v>
      </c>
      <c r="X70" s="24">
        <f t="shared" si="39"/>
        <v>0.2857142857142857</v>
      </c>
      <c r="Y70" s="23">
        <v>14</v>
      </c>
      <c r="Z70" s="23">
        <v>20</v>
      </c>
      <c r="AA70" s="22">
        <f t="shared" si="40"/>
        <v>0.2857142857142857</v>
      </c>
      <c r="AB70" s="22">
        <f t="shared" si="41"/>
        <v>0.40816326530612246</v>
      </c>
      <c r="AC70" s="24">
        <f t="shared" si="42"/>
        <v>0.7</v>
      </c>
      <c r="AD70" s="23">
        <v>32</v>
      </c>
      <c r="AE70" s="22">
        <f t="shared" si="43"/>
        <v>0.65306122448979587</v>
      </c>
      <c r="AF70" s="23">
        <v>9</v>
      </c>
      <c r="AG70" s="22">
        <f t="shared" si="44"/>
        <v>0.18367346938775511</v>
      </c>
      <c r="AH70" s="23">
        <v>23</v>
      </c>
      <c r="AI70" s="22">
        <f t="shared" si="45"/>
        <v>0.46938775510204084</v>
      </c>
      <c r="AJ70" s="23">
        <v>29</v>
      </c>
      <c r="AK70" s="22">
        <f t="shared" si="46"/>
        <v>0.59183673469387754</v>
      </c>
      <c r="AL70" s="23">
        <v>15</v>
      </c>
      <c r="AM70" s="22">
        <f t="shared" si="47"/>
        <v>0.30612244897959184</v>
      </c>
      <c r="AN70" s="23">
        <v>0</v>
      </c>
      <c r="AO70" s="22">
        <f t="shared" si="48"/>
        <v>0</v>
      </c>
      <c r="AP70" s="10">
        <v>20</v>
      </c>
      <c r="AQ70" s="22">
        <f t="shared" si="49"/>
        <v>0.40816326530612246</v>
      </c>
      <c r="AR70" s="23">
        <v>101</v>
      </c>
      <c r="AS70" s="22">
        <f t="shared" si="50"/>
        <v>2.0612244897959182</v>
      </c>
      <c r="AT70" s="25">
        <v>-1.2974059322546627</v>
      </c>
      <c r="AU70" s="25">
        <v>-8.7049880833413223E-2</v>
      </c>
      <c r="AV70" s="25">
        <v>-0.8557008003015012</v>
      </c>
      <c r="AW70" s="25">
        <v>-0.44170513195316152</v>
      </c>
      <c r="AX70" s="25">
        <v>84.550855908928298</v>
      </c>
      <c r="AY70" s="25">
        <v>122.05727788469734</v>
      </c>
      <c r="AZ70" s="25">
        <v>-0.57731706752343948</v>
      </c>
      <c r="BA70" s="25">
        <v>1.4081632653061225</v>
      </c>
      <c r="BB70" s="25">
        <v>4.6295778585406762</v>
      </c>
      <c r="BC70" s="24">
        <v>0.39794608472400511</v>
      </c>
      <c r="BD70" s="24">
        <v>0.37414965986394561</v>
      </c>
      <c r="BE70" s="25">
        <v>12.047119450136025</v>
      </c>
      <c r="BF70" s="24">
        <v>0.61904761904761907</v>
      </c>
      <c r="BG70" s="24">
        <v>0.1360544217687075</v>
      </c>
      <c r="BH70" s="25">
        <v>1.5402936541327648</v>
      </c>
      <c r="BI70" s="25">
        <v>3.9363060050059544</v>
      </c>
      <c r="BJ70" s="25">
        <v>2.5516730403117824</v>
      </c>
      <c r="BK70" s="25">
        <v>5.7334442677913886</v>
      </c>
      <c r="BL70" s="25">
        <v>1.3478774184067455</v>
      </c>
      <c r="BM70" s="25">
        <v>0</v>
      </c>
      <c r="BN70" s="25">
        <v>11.376564277588168</v>
      </c>
      <c r="BO70" s="26" t="s">
        <v>176</v>
      </c>
      <c r="BP70" s="27"/>
      <c r="BQ70" s="33" t="s">
        <v>267</v>
      </c>
      <c r="BR70" s="33">
        <v>237.75</v>
      </c>
      <c r="BS70" s="33">
        <v>371.05</v>
      </c>
      <c r="BT70" s="33">
        <v>133.30000000000001</v>
      </c>
      <c r="BU70" s="36">
        <f t="shared" si="51"/>
        <v>4.8520408163265305</v>
      </c>
      <c r="BV70" s="36">
        <f t="shared" si="52"/>
        <v>7.5724489795918366</v>
      </c>
      <c r="BW70" s="36">
        <f t="shared" si="53"/>
        <v>2.7204081632653065</v>
      </c>
      <c r="BX70" s="37">
        <f t="shared" si="54"/>
        <v>15.951915012580375</v>
      </c>
      <c r="BY70" s="37">
        <f t="shared" si="55"/>
        <v>24.895722672630697</v>
      </c>
      <c r="BZ70" s="37">
        <f t="shared" si="56"/>
        <v>8.9438076600503216</v>
      </c>
      <c r="CA70" s="35">
        <v>6</v>
      </c>
      <c r="CB70" s="35">
        <v>43</v>
      </c>
    </row>
    <row r="71" spans="1:80" x14ac:dyDescent="0.4">
      <c r="A71" s="16" t="s">
        <v>178</v>
      </c>
      <c r="B71" s="16" t="s">
        <v>255</v>
      </c>
      <c r="C71" s="16" t="s">
        <v>226</v>
      </c>
      <c r="D71" s="20">
        <v>3</v>
      </c>
      <c r="E71" s="20">
        <v>6</v>
      </c>
      <c r="F71" s="20">
        <v>49</v>
      </c>
      <c r="G71" s="21">
        <v>1227</v>
      </c>
      <c r="H71" s="21">
        <v>3</v>
      </c>
      <c r="I71" s="22">
        <f t="shared" si="33"/>
        <v>1</v>
      </c>
      <c r="J71" s="23">
        <v>1</v>
      </c>
      <c r="K71" s="23">
        <v>5</v>
      </c>
      <c r="L71" s="22">
        <f t="shared" si="30"/>
        <v>0.33333333333333331</v>
      </c>
      <c r="M71" s="22">
        <f t="shared" si="31"/>
        <v>1.6666666666666667</v>
      </c>
      <c r="N71" s="24">
        <f t="shared" si="32"/>
        <v>0.2</v>
      </c>
      <c r="O71" s="21">
        <v>1</v>
      </c>
      <c r="P71" s="23">
        <v>3</v>
      </c>
      <c r="Q71" s="22">
        <f t="shared" si="34"/>
        <v>0.33333333333333331</v>
      </c>
      <c r="R71" s="22">
        <f t="shared" si="35"/>
        <v>1</v>
      </c>
      <c r="S71" s="24">
        <f t="shared" si="36"/>
        <v>0.33333333333333331</v>
      </c>
      <c r="T71" s="23">
        <v>0</v>
      </c>
      <c r="U71" s="23">
        <v>2</v>
      </c>
      <c r="V71" s="22">
        <f t="shared" si="37"/>
        <v>0</v>
      </c>
      <c r="W71" s="22">
        <f t="shared" si="38"/>
        <v>0.66666666666666663</v>
      </c>
      <c r="X71" s="24">
        <f t="shared" si="39"/>
        <v>0</v>
      </c>
      <c r="Y71" s="23">
        <v>1</v>
      </c>
      <c r="Z71" s="23">
        <v>2</v>
      </c>
      <c r="AA71" s="22">
        <f t="shared" si="40"/>
        <v>0.33333333333333331</v>
      </c>
      <c r="AB71" s="22">
        <f t="shared" si="41"/>
        <v>0.66666666666666663</v>
      </c>
      <c r="AC71" s="24">
        <f t="shared" si="42"/>
        <v>0.5</v>
      </c>
      <c r="AD71" s="23">
        <v>7</v>
      </c>
      <c r="AE71" s="22">
        <f t="shared" si="43"/>
        <v>2.3333333333333335</v>
      </c>
      <c r="AF71" s="23">
        <v>4</v>
      </c>
      <c r="AG71" s="22">
        <f t="shared" si="44"/>
        <v>1.3333333333333333</v>
      </c>
      <c r="AH71" s="23">
        <v>3</v>
      </c>
      <c r="AI71" s="22">
        <f t="shared" si="45"/>
        <v>1</v>
      </c>
      <c r="AJ71" s="23">
        <v>4</v>
      </c>
      <c r="AK71" s="22">
        <f t="shared" si="46"/>
        <v>1.3333333333333333</v>
      </c>
      <c r="AL71" s="23">
        <v>0</v>
      </c>
      <c r="AM71" s="22">
        <f t="shared" si="47"/>
        <v>0</v>
      </c>
      <c r="AN71" s="23">
        <v>0</v>
      </c>
      <c r="AO71" s="22">
        <f t="shared" si="48"/>
        <v>0</v>
      </c>
      <c r="AP71" s="10">
        <v>0</v>
      </c>
      <c r="AQ71" s="22">
        <f t="shared" si="49"/>
        <v>0</v>
      </c>
      <c r="AR71" s="23">
        <v>3</v>
      </c>
      <c r="AS71" s="22">
        <f t="shared" si="50"/>
        <v>1</v>
      </c>
      <c r="AT71" s="25">
        <v>1.4075442723483211E-2</v>
      </c>
      <c r="AU71" s="25">
        <v>2.7531428309991612E-2</v>
      </c>
      <c r="AV71" s="25">
        <v>2.46491381082121E-2</v>
      </c>
      <c r="AW71" s="25">
        <v>-1.0573695384728889E-2</v>
      </c>
      <c r="AX71" s="25">
        <v>109.05867451655924</v>
      </c>
      <c r="AY71" s="25">
        <v>120.47711445790394</v>
      </c>
      <c r="AZ71" s="25">
        <v>0.56897885660302605</v>
      </c>
      <c r="BA71" s="25">
        <v>3</v>
      </c>
      <c r="BB71" s="25">
        <v>17.603911980440099</v>
      </c>
      <c r="BC71" s="24">
        <v>0.25510204081632654</v>
      </c>
      <c r="BD71" s="24">
        <v>0.2</v>
      </c>
      <c r="BE71" s="25">
        <v>0.71918599886740431</v>
      </c>
      <c r="BF71" s="24">
        <v>0.4</v>
      </c>
      <c r="BG71" s="24">
        <v>0.4</v>
      </c>
      <c r="BH71" s="25">
        <v>1.2218575034142007</v>
      </c>
      <c r="BI71" s="25">
        <v>0.91639312756065061</v>
      </c>
      <c r="BJ71" s="25">
        <v>0.99625987438823416</v>
      </c>
      <c r="BK71" s="25">
        <v>1.3075295998823224</v>
      </c>
      <c r="BL71" s="25">
        <v>0</v>
      </c>
      <c r="BM71" s="25">
        <v>0</v>
      </c>
      <c r="BN71" s="25">
        <v>0</v>
      </c>
      <c r="BO71" s="26" t="s">
        <v>176</v>
      </c>
      <c r="BP71" s="27"/>
      <c r="BQ71" s="32" t="s">
        <v>268</v>
      </c>
      <c r="BR71" s="32">
        <v>18.510000000000002</v>
      </c>
      <c r="BS71" s="32">
        <v>23.11</v>
      </c>
      <c r="BT71" s="32">
        <v>4.5999999999999996</v>
      </c>
      <c r="BU71" s="36">
        <f t="shared" si="51"/>
        <v>6.17</v>
      </c>
      <c r="BV71" s="36">
        <f t="shared" si="52"/>
        <v>7.7033333333333331</v>
      </c>
      <c r="BW71" s="36">
        <f t="shared" si="53"/>
        <v>1.5333333333333332</v>
      </c>
      <c r="BX71" s="37">
        <f t="shared" si="54"/>
        <v>36.205378973105141</v>
      </c>
      <c r="BY71" s="37">
        <f t="shared" si="55"/>
        <v>45.202933985330077</v>
      </c>
      <c r="BZ71" s="37">
        <f t="shared" si="56"/>
        <v>8.9975550122249395</v>
      </c>
      <c r="CA71" s="35">
        <v>0</v>
      </c>
      <c r="CB71" s="35">
        <v>3</v>
      </c>
    </row>
    <row r="72" spans="1:80" x14ac:dyDescent="0.4">
      <c r="A72" s="16" t="s">
        <v>178</v>
      </c>
      <c r="B72" s="16" t="s">
        <v>255</v>
      </c>
      <c r="C72" s="16" t="s">
        <v>227</v>
      </c>
      <c r="D72" s="40">
        <v>15</v>
      </c>
      <c r="E72" s="40">
        <v>6</v>
      </c>
      <c r="F72" s="40">
        <v>24</v>
      </c>
      <c r="G72" s="21">
        <v>5760</v>
      </c>
      <c r="H72" s="21">
        <v>15</v>
      </c>
      <c r="I72" s="22">
        <f t="shared" si="33"/>
        <v>1</v>
      </c>
      <c r="J72" s="23">
        <v>5</v>
      </c>
      <c r="K72" s="23">
        <v>22</v>
      </c>
      <c r="L72" s="22">
        <f t="shared" si="30"/>
        <v>0.33333333333333331</v>
      </c>
      <c r="M72" s="22">
        <f t="shared" si="31"/>
        <v>1.4666666666666666</v>
      </c>
      <c r="N72" s="24">
        <f t="shared" si="32"/>
        <v>0.22727272727272727</v>
      </c>
      <c r="O72" s="21">
        <v>1</v>
      </c>
      <c r="P72" s="23">
        <v>5</v>
      </c>
      <c r="Q72" s="22">
        <f t="shared" si="34"/>
        <v>6.6666666666666666E-2</v>
      </c>
      <c r="R72" s="22">
        <f t="shared" si="35"/>
        <v>0.33333333333333331</v>
      </c>
      <c r="S72" s="24">
        <f t="shared" si="36"/>
        <v>0.2</v>
      </c>
      <c r="T72" s="23">
        <v>4</v>
      </c>
      <c r="U72" s="23">
        <v>17</v>
      </c>
      <c r="V72" s="22">
        <f t="shared" si="37"/>
        <v>0.26666666666666666</v>
      </c>
      <c r="W72" s="22">
        <f t="shared" si="38"/>
        <v>1.1333333333333333</v>
      </c>
      <c r="X72" s="24">
        <f t="shared" si="39"/>
        <v>0.23529411764705882</v>
      </c>
      <c r="Y72" s="15">
        <v>1</v>
      </c>
      <c r="Z72" s="15">
        <v>2</v>
      </c>
      <c r="AA72" s="22">
        <f t="shared" si="40"/>
        <v>6.6666666666666666E-2</v>
      </c>
      <c r="AB72" s="22">
        <f t="shared" si="41"/>
        <v>0.13333333333333333</v>
      </c>
      <c r="AC72" s="24">
        <f t="shared" si="42"/>
        <v>0.5</v>
      </c>
      <c r="AD72" s="23">
        <v>7</v>
      </c>
      <c r="AE72" s="22">
        <f t="shared" si="43"/>
        <v>0.46666666666666667</v>
      </c>
      <c r="AF72" s="23">
        <v>1</v>
      </c>
      <c r="AG72" s="22">
        <f t="shared" si="44"/>
        <v>6.6666666666666666E-2</v>
      </c>
      <c r="AH72" s="23">
        <v>6</v>
      </c>
      <c r="AI72" s="22">
        <f t="shared" si="45"/>
        <v>0.4</v>
      </c>
      <c r="AJ72" s="23">
        <v>4</v>
      </c>
      <c r="AK72" s="22">
        <f t="shared" si="46"/>
        <v>0.26666666666666666</v>
      </c>
      <c r="AL72" s="23">
        <v>2</v>
      </c>
      <c r="AM72" s="22">
        <f t="shared" si="47"/>
        <v>0.13333333333333333</v>
      </c>
      <c r="AN72" s="13">
        <v>1</v>
      </c>
      <c r="AO72" s="22">
        <f t="shared" si="48"/>
        <v>6.6666666666666666E-2</v>
      </c>
      <c r="AP72" s="12">
        <v>3</v>
      </c>
      <c r="AQ72" s="22">
        <f t="shared" si="49"/>
        <v>0.2</v>
      </c>
      <c r="AR72" s="23">
        <v>21</v>
      </c>
      <c r="AS72" s="22">
        <f t="shared" si="50"/>
        <v>1.4</v>
      </c>
      <c r="AT72" s="25">
        <v>-0.28381628219927274</v>
      </c>
      <c r="AU72" s="25">
        <v>-0.11825678424969698</v>
      </c>
      <c r="AV72" s="25">
        <v>-0.22918892825916234</v>
      </c>
      <c r="AW72" s="25">
        <v>-5.4627353940110396E-2</v>
      </c>
      <c r="AX72" s="25">
        <v>71.991956578593857</v>
      </c>
      <c r="AY72" s="25">
        <v>120.84405708818457</v>
      </c>
      <c r="AZ72" s="25">
        <v>-1.1874284478854422</v>
      </c>
      <c r="BA72" s="25">
        <v>0.53333333333333333</v>
      </c>
      <c r="BB72" s="25">
        <v>3.333333333333333</v>
      </c>
      <c r="BC72" s="24">
        <v>0.32779720279720281</v>
      </c>
      <c r="BD72" s="24">
        <v>0.31818181818181818</v>
      </c>
      <c r="BE72" s="25">
        <v>3.371477405369351</v>
      </c>
      <c r="BF72" s="24">
        <v>0.77272727272727271</v>
      </c>
      <c r="BG72" s="24">
        <v>9.0909090909090912E-2</v>
      </c>
      <c r="BH72" s="25">
        <v>0.32535137948984905</v>
      </c>
      <c r="BI72" s="25">
        <v>1.9521082769390943</v>
      </c>
      <c r="BJ72" s="25">
        <v>1.0611205432937181</v>
      </c>
      <c r="BK72" s="25">
        <v>1.4126289023873426</v>
      </c>
      <c r="BL72" s="25">
        <v>1.1160549827872519</v>
      </c>
      <c r="BM72" s="25">
        <v>0.2735229759299781</v>
      </c>
      <c r="BN72" s="25">
        <v>11.591962905718702</v>
      </c>
      <c r="BO72" s="26" t="s">
        <v>176</v>
      </c>
      <c r="BP72" s="27"/>
      <c r="BQ72" s="33" t="s">
        <v>267</v>
      </c>
      <c r="BR72" s="33">
        <v>37.53</v>
      </c>
      <c r="BS72" s="33">
        <v>58.53</v>
      </c>
      <c r="BT72" s="33">
        <v>21</v>
      </c>
      <c r="BU72" s="36">
        <f t="shared" si="51"/>
        <v>2.5020000000000002</v>
      </c>
      <c r="BV72" s="36">
        <f t="shared" si="52"/>
        <v>3.9020000000000001</v>
      </c>
      <c r="BW72" s="36">
        <f t="shared" si="53"/>
        <v>1.4</v>
      </c>
      <c r="BX72" s="37">
        <f t="shared" si="54"/>
        <v>15.637499999999999</v>
      </c>
      <c r="BY72" s="37">
        <f t="shared" si="55"/>
        <v>24.387499999999999</v>
      </c>
      <c r="BZ72" s="37">
        <f t="shared" si="56"/>
        <v>8.75</v>
      </c>
      <c r="CA72" s="35">
        <v>1</v>
      </c>
      <c r="CB72" s="35">
        <v>14</v>
      </c>
    </row>
    <row r="73" spans="1:80" x14ac:dyDescent="0.4">
      <c r="A73" s="16" t="s">
        <v>178</v>
      </c>
      <c r="B73" s="16" t="s">
        <v>255</v>
      </c>
      <c r="C73" s="16" t="s">
        <v>228</v>
      </c>
      <c r="D73" s="20">
        <v>8</v>
      </c>
      <c r="E73" s="20">
        <v>13</v>
      </c>
      <c r="F73" s="20">
        <v>43</v>
      </c>
      <c r="G73" s="21">
        <v>6584</v>
      </c>
      <c r="H73" s="21">
        <v>45</v>
      </c>
      <c r="I73" s="22">
        <f t="shared" si="33"/>
        <v>5.625</v>
      </c>
      <c r="J73" s="23">
        <v>20</v>
      </c>
      <c r="K73" s="23">
        <v>48</v>
      </c>
      <c r="L73" s="22">
        <f t="shared" si="30"/>
        <v>2.5</v>
      </c>
      <c r="M73" s="22">
        <f t="shared" si="31"/>
        <v>6</v>
      </c>
      <c r="N73" s="24">
        <f t="shared" si="32"/>
        <v>0.41666666666666669</v>
      </c>
      <c r="O73" s="21">
        <v>20</v>
      </c>
      <c r="P73" s="23">
        <v>48</v>
      </c>
      <c r="Q73" s="22">
        <f t="shared" si="34"/>
        <v>2.5</v>
      </c>
      <c r="R73" s="22">
        <f t="shared" si="35"/>
        <v>6</v>
      </c>
      <c r="S73" s="24">
        <f t="shared" si="36"/>
        <v>0.41666666666666669</v>
      </c>
      <c r="T73" s="23">
        <v>0</v>
      </c>
      <c r="U73" s="23">
        <v>0</v>
      </c>
      <c r="V73" s="22">
        <f t="shared" si="37"/>
        <v>0</v>
      </c>
      <c r="W73" s="22">
        <f t="shared" si="38"/>
        <v>0</v>
      </c>
      <c r="X73" s="24" t="e">
        <f t="shared" si="39"/>
        <v>#DIV/0!</v>
      </c>
      <c r="Y73" s="23">
        <v>5</v>
      </c>
      <c r="Z73" s="23">
        <v>8</v>
      </c>
      <c r="AA73" s="22">
        <f t="shared" si="40"/>
        <v>0.625</v>
      </c>
      <c r="AB73" s="22">
        <f t="shared" si="41"/>
        <v>1</v>
      </c>
      <c r="AC73" s="24">
        <f t="shared" si="42"/>
        <v>0.625</v>
      </c>
      <c r="AD73" s="23">
        <v>39</v>
      </c>
      <c r="AE73" s="22">
        <f t="shared" si="43"/>
        <v>4.875</v>
      </c>
      <c r="AF73" s="23">
        <v>11</v>
      </c>
      <c r="AG73" s="22">
        <f t="shared" si="44"/>
        <v>1.375</v>
      </c>
      <c r="AH73" s="23">
        <v>28</v>
      </c>
      <c r="AI73" s="22">
        <f t="shared" si="45"/>
        <v>3.5</v>
      </c>
      <c r="AJ73" s="23">
        <v>7</v>
      </c>
      <c r="AK73" s="22">
        <f t="shared" si="46"/>
        <v>0.875</v>
      </c>
      <c r="AL73" s="23">
        <v>3</v>
      </c>
      <c r="AM73" s="22">
        <f t="shared" si="47"/>
        <v>0.375</v>
      </c>
      <c r="AN73" s="23">
        <v>1</v>
      </c>
      <c r="AO73" s="22">
        <f t="shared" si="48"/>
        <v>0.125</v>
      </c>
      <c r="AP73" s="10">
        <v>11</v>
      </c>
      <c r="AQ73" s="22">
        <f t="shared" si="49"/>
        <v>1.375</v>
      </c>
      <c r="AR73" s="23">
        <v>20</v>
      </c>
      <c r="AS73" s="22">
        <f t="shared" si="50"/>
        <v>2.5</v>
      </c>
      <c r="AT73" s="25">
        <v>-0.2254255765631436</v>
      </c>
      <c r="AU73" s="25">
        <v>-8.2172142125082726E-2</v>
      </c>
      <c r="AV73" s="25">
        <v>-0.30293764659066247</v>
      </c>
      <c r="AW73" s="25">
        <v>7.7512070027518865E-2</v>
      </c>
      <c r="AX73" s="25">
        <v>85.363579850971817</v>
      </c>
      <c r="AY73" s="25">
        <v>111.8412639708244</v>
      </c>
      <c r="AZ73" s="25">
        <v>1.2515026607850455</v>
      </c>
      <c r="BA73" s="25">
        <v>6.625</v>
      </c>
      <c r="BB73" s="25">
        <v>19.319562575941674</v>
      </c>
      <c r="BC73" s="24">
        <v>0.43672360248447201</v>
      </c>
      <c r="BD73" s="24">
        <v>0.41666666666666669</v>
      </c>
      <c r="BE73" s="25">
        <v>3.8001990059428254</v>
      </c>
      <c r="BF73" s="24">
        <v>0</v>
      </c>
      <c r="BG73" s="24">
        <v>0.16666666666666666</v>
      </c>
      <c r="BH73" s="25">
        <v>1.6698471773573784</v>
      </c>
      <c r="BI73" s="25">
        <v>4.2505200878187814</v>
      </c>
      <c r="BJ73" s="25">
        <v>2.758434517682125</v>
      </c>
      <c r="BK73" s="25">
        <v>1.1713659591290895</v>
      </c>
      <c r="BL73" s="25">
        <v>1.4645678996479126</v>
      </c>
      <c r="BM73" s="25">
        <v>0.12762189885432759</v>
      </c>
      <c r="BN73" s="25">
        <v>17.594369801663468</v>
      </c>
      <c r="BO73" s="26" t="s">
        <v>249</v>
      </c>
      <c r="BP73" s="26"/>
      <c r="BQ73" s="33" t="s">
        <v>268</v>
      </c>
      <c r="BR73" s="33">
        <v>84.52</v>
      </c>
      <c r="BS73" s="33">
        <v>131.41999999999999</v>
      </c>
      <c r="BT73" s="33">
        <v>46.9</v>
      </c>
      <c r="BU73" s="36">
        <f t="shared" si="51"/>
        <v>10.564999999999998</v>
      </c>
      <c r="BV73" s="36">
        <f t="shared" si="52"/>
        <v>16.427499999999998</v>
      </c>
      <c r="BW73" s="36">
        <f t="shared" si="53"/>
        <v>5.8624999999999998</v>
      </c>
      <c r="BX73" s="37">
        <f t="shared" si="54"/>
        <v>30.809234507897923</v>
      </c>
      <c r="BY73" s="37">
        <f t="shared" si="55"/>
        <v>47.905224787363295</v>
      </c>
      <c r="BZ73" s="37">
        <f t="shared" si="56"/>
        <v>17.095990279465372</v>
      </c>
      <c r="CA73" s="35">
        <v>2</v>
      </c>
      <c r="CB73" s="35">
        <v>6</v>
      </c>
    </row>
    <row r="74" spans="1:80" x14ac:dyDescent="0.4">
      <c r="A74" s="16" t="s">
        <v>178</v>
      </c>
      <c r="B74" s="16" t="s">
        <v>255</v>
      </c>
      <c r="C74" s="16" t="s">
        <v>130</v>
      </c>
      <c r="D74" s="40">
        <v>12</v>
      </c>
      <c r="E74" s="40">
        <v>11</v>
      </c>
      <c r="F74" s="40">
        <v>43</v>
      </c>
      <c r="G74" s="21">
        <v>8436</v>
      </c>
      <c r="H74" s="21">
        <v>33</v>
      </c>
      <c r="I74" s="22">
        <f t="shared" si="33"/>
        <v>2.75</v>
      </c>
      <c r="J74" s="23">
        <v>13</v>
      </c>
      <c r="K74" s="23">
        <v>29</v>
      </c>
      <c r="L74" s="22">
        <f t="shared" ref="L74:L137" si="57">J74/$D74</f>
        <v>1.0833333333333333</v>
      </c>
      <c r="M74" s="22">
        <f t="shared" ref="M74:M137" si="58">K74/$D74</f>
        <v>2.4166666666666665</v>
      </c>
      <c r="N74" s="24">
        <f t="shared" ref="N74:N137" si="59">J74/K74</f>
        <v>0.44827586206896552</v>
      </c>
      <c r="O74" s="21">
        <v>13</v>
      </c>
      <c r="P74" s="23">
        <v>29</v>
      </c>
      <c r="Q74" s="22">
        <f t="shared" si="34"/>
        <v>1.0833333333333333</v>
      </c>
      <c r="R74" s="22">
        <f t="shared" si="35"/>
        <v>2.4166666666666665</v>
      </c>
      <c r="S74" s="24">
        <f t="shared" si="36"/>
        <v>0.44827586206896552</v>
      </c>
      <c r="T74" s="23">
        <v>0</v>
      </c>
      <c r="U74" s="23">
        <v>0</v>
      </c>
      <c r="V74" s="22">
        <f t="shared" si="37"/>
        <v>0</v>
      </c>
      <c r="W74" s="22">
        <f t="shared" si="38"/>
        <v>0</v>
      </c>
      <c r="X74" s="24" t="e">
        <f t="shared" si="39"/>
        <v>#DIV/0!</v>
      </c>
      <c r="Y74" s="15">
        <v>7</v>
      </c>
      <c r="Z74" s="15">
        <v>13</v>
      </c>
      <c r="AA74" s="22">
        <f t="shared" si="40"/>
        <v>0.58333333333333337</v>
      </c>
      <c r="AB74" s="22">
        <f t="shared" si="41"/>
        <v>1.0833333333333333</v>
      </c>
      <c r="AC74" s="24">
        <f t="shared" si="42"/>
        <v>0.53846153846153844</v>
      </c>
      <c r="AD74" s="23">
        <v>48</v>
      </c>
      <c r="AE74" s="22">
        <f t="shared" si="43"/>
        <v>4</v>
      </c>
      <c r="AF74" s="23">
        <v>18</v>
      </c>
      <c r="AG74" s="22">
        <f t="shared" si="44"/>
        <v>1.5</v>
      </c>
      <c r="AH74" s="23">
        <v>30</v>
      </c>
      <c r="AI74" s="22">
        <f t="shared" si="45"/>
        <v>2.5</v>
      </c>
      <c r="AJ74" s="23">
        <v>4</v>
      </c>
      <c r="AK74" s="22">
        <f t="shared" si="46"/>
        <v>0.33333333333333331</v>
      </c>
      <c r="AL74" s="23">
        <v>4</v>
      </c>
      <c r="AM74" s="22">
        <f t="shared" si="47"/>
        <v>0.33333333333333331</v>
      </c>
      <c r="AN74" s="13">
        <v>1</v>
      </c>
      <c r="AO74" s="22">
        <f t="shared" si="48"/>
        <v>8.3333333333333329E-2</v>
      </c>
      <c r="AP74" s="45">
        <v>3</v>
      </c>
      <c r="AQ74" s="22">
        <f t="shared" si="49"/>
        <v>0.25</v>
      </c>
      <c r="AR74" s="23">
        <v>26</v>
      </c>
      <c r="AS74" s="22">
        <f t="shared" si="50"/>
        <v>2.1666666666666665</v>
      </c>
      <c r="AT74" s="25">
        <v>0.23392293260814698</v>
      </c>
      <c r="AU74" s="25">
        <v>6.6549909703598004E-2</v>
      </c>
      <c r="AV74" s="25">
        <v>0.1701009670715567</v>
      </c>
      <c r="AW74" s="25">
        <v>6.382196553659028E-2</v>
      </c>
      <c r="AX74" s="25">
        <v>111.6662632170494</v>
      </c>
      <c r="AY74" s="25">
        <v>113.6231965561294</v>
      </c>
      <c r="AZ74" s="25">
        <v>2.1317952353393257</v>
      </c>
      <c r="BA74" s="25">
        <v>5.416666666666667</v>
      </c>
      <c r="BB74" s="25">
        <v>18.492176386913229</v>
      </c>
      <c r="BC74" s="24">
        <v>0.47523041474654382</v>
      </c>
      <c r="BD74" s="24">
        <v>0.44827586206896552</v>
      </c>
      <c r="BE74" s="25">
        <v>2.6841301162672373</v>
      </c>
      <c r="BF74" s="24">
        <v>0</v>
      </c>
      <c r="BG74" s="24">
        <v>0.44827586206896552</v>
      </c>
      <c r="BH74" s="25">
        <v>3.198902894784974</v>
      </c>
      <c r="BI74" s="25">
        <v>5.3315048246416232</v>
      </c>
      <c r="BJ74" s="25">
        <v>3.9745120613675704</v>
      </c>
      <c r="BK74" s="25">
        <v>0.77738899330554712</v>
      </c>
      <c r="BL74" s="25">
        <v>1.5240580134790354</v>
      </c>
      <c r="BM74" s="25">
        <v>0.14940657575691552</v>
      </c>
      <c r="BN74" s="25">
        <v>7.9533404029692472</v>
      </c>
      <c r="BO74" s="26" t="s">
        <v>176</v>
      </c>
      <c r="BP74" s="27"/>
      <c r="BQ74" s="32" t="s">
        <v>266</v>
      </c>
      <c r="BR74" s="32">
        <v>110.85</v>
      </c>
      <c r="BS74" s="32">
        <v>136.15</v>
      </c>
      <c r="BT74" s="32">
        <v>25.3</v>
      </c>
      <c r="BU74" s="36">
        <f t="shared" si="51"/>
        <v>9.2375000000000007</v>
      </c>
      <c r="BV74" s="36">
        <f t="shared" si="52"/>
        <v>11.345833333333333</v>
      </c>
      <c r="BW74" s="36">
        <f t="shared" si="53"/>
        <v>2.1083333333333334</v>
      </c>
      <c r="BX74" s="37">
        <f t="shared" si="54"/>
        <v>31.536273115220482</v>
      </c>
      <c r="BY74" s="37">
        <f t="shared" si="55"/>
        <v>38.733997155049785</v>
      </c>
      <c r="BZ74" s="37">
        <f t="shared" si="56"/>
        <v>7.1977240398293034</v>
      </c>
      <c r="CA74" s="34">
        <v>0</v>
      </c>
      <c r="CB74" s="34">
        <v>12</v>
      </c>
    </row>
    <row r="75" spans="1:80" x14ac:dyDescent="0.4">
      <c r="A75" s="16" t="s">
        <v>178</v>
      </c>
      <c r="B75" s="16" t="s">
        <v>255</v>
      </c>
      <c r="C75" s="16" t="s">
        <v>126</v>
      </c>
      <c r="D75" s="20">
        <v>46</v>
      </c>
      <c r="E75" s="20">
        <v>10</v>
      </c>
      <c r="F75" s="20">
        <v>50</v>
      </c>
      <c r="G75" s="56">
        <v>29900</v>
      </c>
      <c r="H75" s="56">
        <v>172</v>
      </c>
      <c r="I75" s="22">
        <f t="shared" si="33"/>
        <v>3.7391304347826089</v>
      </c>
      <c r="J75" s="28">
        <v>67</v>
      </c>
      <c r="K75" s="28">
        <v>153</v>
      </c>
      <c r="L75" s="22">
        <f t="shared" si="57"/>
        <v>1.4565217391304348</v>
      </c>
      <c r="M75" s="22">
        <f t="shared" si="58"/>
        <v>3.3260869565217392</v>
      </c>
      <c r="N75" s="24">
        <f t="shared" si="59"/>
        <v>0.43790849673202614</v>
      </c>
      <c r="O75" s="56">
        <v>60</v>
      </c>
      <c r="P75" s="20">
        <v>123</v>
      </c>
      <c r="Q75" s="22">
        <f t="shared" si="34"/>
        <v>1.3043478260869565</v>
      </c>
      <c r="R75" s="22">
        <f t="shared" si="35"/>
        <v>2.6739130434782608</v>
      </c>
      <c r="S75" s="24">
        <f t="shared" si="36"/>
        <v>0.48780487804878048</v>
      </c>
      <c r="T75" s="20">
        <v>7</v>
      </c>
      <c r="U75" s="20">
        <v>30</v>
      </c>
      <c r="V75" s="22">
        <f t="shared" si="37"/>
        <v>0.15217391304347827</v>
      </c>
      <c r="W75" s="22">
        <f t="shared" si="38"/>
        <v>0.65217391304347827</v>
      </c>
      <c r="X75" s="24">
        <f t="shared" si="39"/>
        <v>0.23333333333333334</v>
      </c>
      <c r="Y75" s="20">
        <v>31</v>
      </c>
      <c r="Z75" s="20">
        <v>40</v>
      </c>
      <c r="AA75" s="22">
        <f t="shared" si="40"/>
        <v>0.67391304347826086</v>
      </c>
      <c r="AB75" s="22">
        <f t="shared" si="41"/>
        <v>0.86956521739130432</v>
      </c>
      <c r="AC75" s="24">
        <f t="shared" si="42"/>
        <v>0.77500000000000002</v>
      </c>
      <c r="AD75" s="20">
        <v>84</v>
      </c>
      <c r="AE75" s="22">
        <f t="shared" si="43"/>
        <v>1.826086956521739</v>
      </c>
      <c r="AF75" s="20">
        <v>42</v>
      </c>
      <c r="AG75" s="22">
        <f t="shared" si="44"/>
        <v>0.91304347826086951</v>
      </c>
      <c r="AH75" s="20">
        <v>42</v>
      </c>
      <c r="AI75" s="22">
        <f t="shared" si="45"/>
        <v>0.91304347826086951</v>
      </c>
      <c r="AJ75" s="20">
        <v>17</v>
      </c>
      <c r="AK75" s="22">
        <f t="shared" si="46"/>
        <v>0.36956521739130432</v>
      </c>
      <c r="AL75" s="20">
        <v>9</v>
      </c>
      <c r="AM75" s="22">
        <f t="shared" si="47"/>
        <v>0.19565217391304349</v>
      </c>
      <c r="AN75" s="20">
        <v>8</v>
      </c>
      <c r="AO75" s="22">
        <f t="shared" si="48"/>
        <v>0.17391304347826086</v>
      </c>
      <c r="AP75" s="10">
        <v>27</v>
      </c>
      <c r="AQ75" s="22">
        <f t="shared" si="49"/>
        <v>0.58695652173913049</v>
      </c>
      <c r="AR75" s="63">
        <v>73</v>
      </c>
      <c r="AS75" s="22">
        <f t="shared" si="50"/>
        <v>1.5869565217391304</v>
      </c>
      <c r="AT75" s="25">
        <v>-0.15494303319850924</v>
      </c>
      <c r="AU75" s="25">
        <v>-1.2436898985833519E-2</v>
      </c>
      <c r="AV75" s="25">
        <v>8.0419882472616333E-2</v>
      </c>
      <c r="AW75" s="25">
        <v>-0.23536291567112558</v>
      </c>
      <c r="AX75" s="25">
        <v>100.71614277320104</v>
      </c>
      <c r="AY75" s="25">
        <v>120.16122706456628</v>
      </c>
      <c r="AZ75" s="25">
        <v>6.746723648764938</v>
      </c>
      <c r="BA75" s="25">
        <v>3.652173913043478</v>
      </c>
      <c r="BB75" s="25">
        <v>13.484949832775921</v>
      </c>
      <c r="BC75" s="24">
        <v>0.50410316529894494</v>
      </c>
      <c r="BD75" s="24">
        <v>0.46078431372549017</v>
      </c>
      <c r="BE75" s="25">
        <v>15.207603801900948</v>
      </c>
      <c r="BF75" s="24">
        <v>0.19607843137254902</v>
      </c>
      <c r="BG75" s="24">
        <v>0.26143790849673204</v>
      </c>
      <c r="BH75" s="25">
        <v>8.0727185360189004</v>
      </c>
      <c r="BI75" s="25">
        <v>8.0727185360189004</v>
      </c>
      <c r="BJ75" s="25">
        <v>7.5225284053806973</v>
      </c>
      <c r="BK75" s="25">
        <v>4.0402039906916869</v>
      </c>
      <c r="BL75" s="25">
        <v>0.96749649343965105</v>
      </c>
      <c r="BM75" s="25">
        <v>1.2927116647029118</v>
      </c>
      <c r="BN75" s="25">
        <v>13.663967611336032</v>
      </c>
      <c r="BO75" s="26" t="s">
        <v>176</v>
      </c>
      <c r="BP75" s="26"/>
      <c r="BQ75" s="33" t="s">
        <v>268</v>
      </c>
      <c r="BR75" s="33">
        <v>323.27999999999997</v>
      </c>
      <c r="BS75" s="33">
        <v>454.68</v>
      </c>
      <c r="BT75" s="33">
        <v>131.4</v>
      </c>
      <c r="BU75" s="36">
        <f t="shared" si="51"/>
        <v>7.0278260869565221</v>
      </c>
      <c r="BV75" s="36">
        <f t="shared" si="52"/>
        <v>9.8843478260869571</v>
      </c>
      <c r="BW75" s="36">
        <f t="shared" si="53"/>
        <v>2.8565217391304349</v>
      </c>
      <c r="BX75" s="37">
        <f t="shared" si="54"/>
        <v>25.948896321070229</v>
      </c>
      <c r="BY75" s="37">
        <f t="shared" si="55"/>
        <v>36.496053511705682</v>
      </c>
      <c r="BZ75" s="37">
        <f t="shared" si="56"/>
        <v>10.547157190635451</v>
      </c>
      <c r="CA75" s="34">
        <v>7</v>
      </c>
      <c r="CB75" s="34">
        <v>39</v>
      </c>
    </row>
    <row r="76" spans="1:80" x14ac:dyDescent="0.4">
      <c r="A76" s="47" t="s">
        <v>178</v>
      </c>
      <c r="B76" s="48" t="s">
        <v>282</v>
      </c>
      <c r="C76" s="48" t="s">
        <v>289</v>
      </c>
      <c r="D76" s="42">
        <v>9</v>
      </c>
      <c r="E76" s="43">
        <v>18</v>
      </c>
      <c r="F76" s="43">
        <v>0</v>
      </c>
      <c r="G76" s="44">
        <v>9720</v>
      </c>
      <c r="H76" s="10">
        <v>242</v>
      </c>
      <c r="I76" s="22">
        <f t="shared" si="33"/>
        <v>26.888888888888889</v>
      </c>
      <c r="J76" s="45">
        <v>105</v>
      </c>
      <c r="K76" s="45">
        <v>238</v>
      </c>
      <c r="L76" s="22">
        <f t="shared" si="57"/>
        <v>11.666666666666666</v>
      </c>
      <c r="M76" s="22">
        <f t="shared" si="58"/>
        <v>26.444444444444443</v>
      </c>
      <c r="N76" s="24">
        <f t="shared" si="59"/>
        <v>0.44117647058823528</v>
      </c>
      <c r="O76" s="49">
        <v>103</v>
      </c>
      <c r="P76" s="44">
        <v>226</v>
      </c>
      <c r="Q76" s="22">
        <f t="shared" si="34"/>
        <v>11.444444444444445</v>
      </c>
      <c r="R76" s="22">
        <f t="shared" si="35"/>
        <v>25.111111111111111</v>
      </c>
      <c r="S76" s="24">
        <f t="shared" si="36"/>
        <v>0.45575221238938052</v>
      </c>
      <c r="T76" s="49">
        <v>2</v>
      </c>
      <c r="U76" s="44">
        <v>12</v>
      </c>
      <c r="V76" s="22">
        <f t="shared" si="37"/>
        <v>0.22222222222222221</v>
      </c>
      <c r="W76" s="22">
        <f t="shared" si="38"/>
        <v>1.3333333333333333</v>
      </c>
      <c r="X76" s="24">
        <f t="shared" si="39"/>
        <v>0.16666666666666666</v>
      </c>
      <c r="Y76" s="10">
        <v>30</v>
      </c>
      <c r="Z76" s="50">
        <v>46</v>
      </c>
      <c r="AA76" s="22">
        <f t="shared" si="40"/>
        <v>3.3333333333333335</v>
      </c>
      <c r="AB76" s="22">
        <f t="shared" si="41"/>
        <v>5.1111111111111107</v>
      </c>
      <c r="AC76" s="24">
        <f t="shared" si="42"/>
        <v>0.65217391304347827</v>
      </c>
      <c r="AD76" s="10">
        <v>159</v>
      </c>
      <c r="AE76" s="22">
        <f t="shared" si="43"/>
        <v>17.666666666666668</v>
      </c>
      <c r="AF76" s="10">
        <v>58</v>
      </c>
      <c r="AG76" s="22">
        <f t="shared" si="44"/>
        <v>6.4444444444444446</v>
      </c>
      <c r="AH76" s="10">
        <v>101</v>
      </c>
      <c r="AI76" s="22">
        <f t="shared" si="45"/>
        <v>11.222222222222221</v>
      </c>
      <c r="AJ76" s="10">
        <v>40</v>
      </c>
      <c r="AK76" s="22">
        <f t="shared" si="46"/>
        <v>4.4444444444444446</v>
      </c>
      <c r="AL76" s="10">
        <v>16</v>
      </c>
      <c r="AM76" s="22">
        <f t="shared" si="47"/>
        <v>1.7777777777777777</v>
      </c>
      <c r="AN76" s="10">
        <v>5</v>
      </c>
      <c r="AO76" s="22">
        <f t="shared" si="48"/>
        <v>0.55555555555555558</v>
      </c>
      <c r="AP76" s="10">
        <v>56</v>
      </c>
      <c r="AQ76" s="22">
        <f t="shared" si="49"/>
        <v>6.2222222222222223</v>
      </c>
      <c r="AR76" s="46">
        <v>42</v>
      </c>
      <c r="AS76" s="22">
        <f t="shared" si="50"/>
        <v>4.666666666666667</v>
      </c>
      <c r="AT76" s="25">
        <v>-1.098865006214512</v>
      </c>
      <c r="AU76" s="25">
        <v>-0.27132469289247207</v>
      </c>
      <c r="AV76" s="25">
        <v>-1.8123969244252853</v>
      </c>
      <c r="AW76" s="25">
        <v>0.71353191821077344</v>
      </c>
      <c r="AX76" s="25">
        <v>81.435471788448965</v>
      </c>
      <c r="AY76" s="25">
        <v>85.736812601510934</v>
      </c>
      <c r="AZ76" s="25">
        <v>7.341256478532503</v>
      </c>
      <c r="BA76" s="25">
        <v>28.555555555555557</v>
      </c>
      <c r="BB76" s="25">
        <v>63.456790123456784</v>
      </c>
      <c r="BC76" s="24">
        <v>0.46855638166047087</v>
      </c>
      <c r="BD76" s="24">
        <v>0.44537815126050423</v>
      </c>
      <c r="BE76" s="25">
        <v>14.555425861078689</v>
      </c>
      <c r="BF76" s="24">
        <v>5.0420168067226892E-2</v>
      </c>
      <c r="BG76" s="24">
        <v>0.19327731092436976</v>
      </c>
      <c r="BH76" s="25">
        <v>6.7094684481462208</v>
      </c>
      <c r="BI76" s="25">
        <v>11.683729539013244</v>
      </c>
      <c r="BJ76" s="25">
        <v>8.5698116258387902</v>
      </c>
      <c r="BK76" s="25">
        <v>5.6701396271883189</v>
      </c>
      <c r="BL76" s="25">
        <v>5.2909273258062308</v>
      </c>
      <c r="BM76" s="25">
        <v>0.48626306831996113</v>
      </c>
      <c r="BN76" s="25">
        <v>17.820773930753564</v>
      </c>
      <c r="BO76" s="26" t="s">
        <v>176</v>
      </c>
      <c r="BP76" s="26"/>
      <c r="BQ76" s="32" t="s">
        <v>267</v>
      </c>
      <c r="BR76" s="32">
        <v>97.8</v>
      </c>
      <c r="BS76" s="32">
        <v>136.5</v>
      </c>
      <c r="BT76" s="32">
        <v>38.700000000000003</v>
      </c>
      <c r="BU76" s="36">
        <f t="shared" si="51"/>
        <v>10.866666666666665</v>
      </c>
      <c r="BV76" s="36">
        <f t="shared" si="52"/>
        <v>15.166666666666666</v>
      </c>
      <c r="BW76" s="36">
        <f t="shared" si="53"/>
        <v>4.3000000000000007</v>
      </c>
      <c r="BX76" s="37">
        <f t="shared" si="54"/>
        <v>24.148148148148145</v>
      </c>
      <c r="BY76" s="37">
        <f t="shared" si="55"/>
        <v>33.703703703703702</v>
      </c>
      <c r="BZ76" s="37">
        <f t="shared" si="56"/>
        <v>9.5555555555555554</v>
      </c>
      <c r="CA76" s="34">
        <v>1</v>
      </c>
      <c r="CB76" s="34">
        <v>8</v>
      </c>
    </row>
    <row r="77" spans="1:80" x14ac:dyDescent="0.4">
      <c r="A77" s="47" t="s">
        <v>178</v>
      </c>
      <c r="B77" s="48" t="s">
        <v>282</v>
      </c>
      <c r="C77" s="64" t="s">
        <v>291</v>
      </c>
      <c r="D77" s="53">
        <v>15</v>
      </c>
      <c r="E77" s="54">
        <v>23</v>
      </c>
      <c r="F77" s="54">
        <v>3</v>
      </c>
      <c r="G77" s="57">
        <v>20745</v>
      </c>
      <c r="H77" s="58">
        <v>36</v>
      </c>
      <c r="I77" s="22">
        <f t="shared" si="33"/>
        <v>2.4</v>
      </c>
      <c r="J77" s="55">
        <v>14</v>
      </c>
      <c r="K77" s="55">
        <v>34</v>
      </c>
      <c r="L77" s="22">
        <f t="shared" si="57"/>
        <v>0.93333333333333335</v>
      </c>
      <c r="M77" s="22">
        <f t="shared" si="58"/>
        <v>2.2666666666666666</v>
      </c>
      <c r="N77" s="24">
        <f t="shared" si="59"/>
        <v>0.41176470588235292</v>
      </c>
      <c r="O77" s="61">
        <v>12</v>
      </c>
      <c r="P77" s="57">
        <v>22</v>
      </c>
      <c r="Q77" s="22">
        <f t="shared" si="34"/>
        <v>0.8</v>
      </c>
      <c r="R77" s="22">
        <f t="shared" si="35"/>
        <v>1.4666666666666666</v>
      </c>
      <c r="S77" s="24">
        <f t="shared" si="36"/>
        <v>0.54545454545454541</v>
      </c>
      <c r="T77" s="61">
        <v>2</v>
      </c>
      <c r="U77" s="57">
        <v>12</v>
      </c>
      <c r="V77" s="22">
        <f t="shared" si="37"/>
        <v>0.13333333333333333</v>
      </c>
      <c r="W77" s="22">
        <f t="shared" si="38"/>
        <v>0.8</v>
      </c>
      <c r="X77" s="24">
        <f t="shared" si="39"/>
        <v>0.16666666666666666</v>
      </c>
      <c r="Y77" s="58">
        <v>6</v>
      </c>
      <c r="Z77" s="60">
        <v>10</v>
      </c>
      <c r="AA77" s="22">
        <f t="shared" si="40"/>
        <v>0.4</v>
      </c>
      <c r="AB77" s="22">
        <f t="shared" si="41"/>
        <v>0.66666666666666663</v>
      </c>
      <c r="AC77" s="24">
        <f t="shared" si="42"/>
        <v>0.6</v>
      </c>
      <c r="AD77" s="58">
        <v>17</v>
      </c>
      <c r="AE77" s="22">
        <f t="shared" si="43"/>
        <v>1.1333333333333333</v>
      </c>
      <c r="AF77" s="58">
        <v>6</v>
      </c>
      <c r="AG77" s="22">
        <f t="shared" si="44"/>
        <v>0.4</v>
      </c>
      <c r="AH77" s="58">
        <v>11</v>
      </c>
      <c r="AI77" s="22">
        <f t="shared" si="45"/>
        <v>0.73333333333333328</v>
      </c>
      <c r="AJ77" s="58">
        <v>20</v>
      </c>
      <c r="AK77" s="22">
        <f t="shared" si="46"/>
        <v>1.3333333333333333</v>
      </c>
      <c r="AL77" s="58">
        <v>4</v>
      </c>
      <c r="AM77" s="22">
        <f t="shared" si="47"/>
        <v>0.26666666666666666</v>
      </c>
      <c r="AN77" s="58">
        <v>3</v>
      </c>
      <c r="AO77" s="22">
        <f t="shared" si="48"/>
        <v>0.2</v>
      </c>
      <c r="AP77" s="10">
        <v>11</v>
      </c>
      <c r="AQ77" s="22">
        <f t="shared" si="49"/>
        <v>0.73333333333333328</v>
      </c>
      <c r="AR77" s="58">
        <v>26</v>
      </c>
      <c r="AS77" s="22">
        <f t="shared" si="50"/>
        <v>1.7333333333333334</v>
      </c>
      <c r="AT77" s="25">
        <v>-0.44754176365502146</v>
      </c>
      <c r="AU77" s="25">
        <v>-5.1776342866813763E-2</v>
      </c>
      <c r="AV77" s="25">
        <v>-0.10393458919763192</v>
      </c>
      <c r="AW77" s="25">
        <v>-0.34360717445738953</v>
      </c>
      <c r="AX77" s="25">
        <v>93.835598019741042</v>
      </c>
      <c r="AY77" s="25">
        <v>123.84239947716424</v>
      </c>
      <c r="AZ77" s="25">
        <v>0.5993397236522473</v>
      </c>
      <c r="BA77" s="25">
        <v>3</v>
      </c>
      <c r="BB77" s="25">
        <v>5.2060737527114966</v>
      </c>
      <c r="BC77" s="24">
        <v>0.46875</v>
      </c>
      <c r="BD77" s="24">
        <v>0.44117647058823528</v>
      </c>
      <c r="BE77" s="25">
        <v>1.786865956477877</v>
      </c>
      <c r="BF77" s="24">
        <v>0.35294117647058826</v>
      </c>
      <c r="BG77" s="24">
        <v>0.29411764705882354</v>
      </c>
      <c r="BH77" s="25">
        <v>0.54201704869458578</v>
      </c>
      <c r="BI77" s="25">
        <v>0.99369792260674061</v>
      </c>
      <c r="BJ77" s="25">
        <v>0.71552472953428281</v>
      </c>
      <c r="BK77" s="25">
        <v>1.9534564580660048</v>
      </c>
      <c r="BL77" s="25">
        <v>0.61976155226363661</v>
      </c>
      <c r="BM77" s="25">
        <v>0.22783692572041561</v>
      </c>
      <c r="BN77" s="25">
        <v>22.267206477732795</v>
      </c>
      <c r="BO77" s="26" t="s">
        <v>249</v>
      </c>
      <c r="BP77" s="26"/>
      <c r="BQ77" s="33" t="s">
        <v>268</v>
      </c>
      <c r="BR77" s="33">
        <v>368.63</v>
      </c>
      <c r="BS77" s="33">
        <v>597.42999999999995</v>
      </c>
      <c r="BT77" s="33">
        <v>228.8</v>
      </c>
      <c r="BU77" s="36">
        <f t="shared" si="51"/>
        <v>24.575333333333329</v>
      </c>
      <c r="BV77" s="36">
        <f t="shared" si="52"/>
        <v>39.828666666666663</v>
      </c>
      <c r="BW77" s="36">
        <f t="shared" si="53"/>
        <v>15.253333333333334</v>
      </c>
      <c r="BX77" s="37">
        <f t="shared" si="54"/>
        <v>42.646999276934181</v>
      </c>
      <c r="BY77" s="37">
        <f t="shared" si="55"/>
        <v>69.116992046276195</v>
      </c>
      <c r="BZ77" s="37">
        <f t="shared" si="56"/>
        <v>26.46999276934201</v>
      </c>
      <c r="CA77" s="35">
        <v>1</v>
      </c>
      <c r="CB77" s="35">
        <v>14</v>
      </c>
    </row>
    <row r="78" spans="1:80" x14ac:dyDescent="0.4">
      <c r="A78" s="16" t="s">
        <v>178</v>
      </c>
      <c r="B78" s="16" t="s">
        <v>252</v>
      </c>
      <c r="C78" s="51" t="s">
        <v>180</v>
      </c>
      <c r="D78" s="23">
        <v>45</v>
      </c>
      <c r="E78" s="23">
        <v>19</v>
      </c>
      <c r="F78" s="23">
        <v>18</v>
      </c>
      <c r="G78" s="21">
        <v>52110</v>
      </c>
      <c r="H78" s="21">
        <v>304</v>
      </c>
      <c r="I78" s="22">
        <f t="shared" si="33"/>
        <v>6.7555555555555555</v>
      </c>
      <c r="J78" s="23">
        <v>106</v>
      </c>
      <c r="K78" s="23">
        <v>279</v>
      </c>
      <c r="L78" s="22">
        <f t="shared" si="57"/>
        <v>2.3555555555555556</v>
      </c>
      <c r="M78" s="22">
        <f t="shared" si="58"/>
        <v>6.2</v>
      </c>
      <c r="N78" s="24">
        <f t="shared" si="59"/>
        <v>0.37992831541218636</v>
      </c>
      <c r="O78" s="21">
        <v>36</v>
      </c>
      <c r="P78" s="23">
        <v>93</v>
      </c>
      <c r="Q78" s="22">
        <f t="shared" si="34"/>
        <v>0.8</v>
      </c>
      <c r="R78" s="22">
        <f t="shared" si="35"/>
        <v>2.0666666666666669</v>
      </c>
      <c r="S78" s="24">
        <f t="shared" si="36"/>
        <v>0.38709677419354838</v>
      </c>
      <c r="T78" s="23">
        <v>70</v>
      </c>
      <c r="U78" s="23">
        <v>186</v>
      </c>
      <c r="V78" s="22">
        <f t="shared" si="37"/>
        <v>1.5555555555555556</v>
      </c>
      <c r="W78" s="22">
        <f t="shared" si="38"/>
        <v>4.1333333333333337</v>
      </c>
      <c r="X78" s="24">
        <f t="shared" si="39"/>
        <v>0.37634408602150538</v>
      </c>
      <c r="Y78" s="23">
        <v>22</v>
      </c>
      <c r="Z78" s="23">
        <v>29</v>
      </c>
      <c r="AA78" s="22">
        <f t="shared" si="40"/>
        <v>0.48888888888888887</v>
      </c>
      <c r="AB78" s="22">
        <f t="shared" si="41"/>
        <v>0.64444444444444449</v>
      </c>
      <c r="AC78" s="24">
        <f t="shared" si="42"/>
        <v>0.75862068965517238</v>
      </c>
      <c r="AD78" s="23">
        <v>77</v>
      </c>
      <c r="AE78" s="22">
        <f t="shared" si="43"/>
        <v>1.711111111111111</v>
      </c>
      <c r="AF78" s="23">
        <v>11</v>
      </c>
      <c r="AG78" s="22">
        <f t="shared" si="44"/>
        <v>0.24444444444444444</v>
      </c>
      <c r="AH78" s="23">
        <v>66</v>
      </c>
      <c r="AI78" s="22">
        <f t="shared" si="45"/>
        <v>1.4666666666666666</v>
      </c>
      <c r="AJ78" s="23">
        <v>117</v>
      </c>
      <c r="AK78" s="22">
        <f t="shared" si="46"/>
        <v>2.6</v>
      </c>
      <c r="AL78" s="23">
        <v>24</v>
      </c>
      <c r="AM78" s="22">
        <f t="shared" si="47"/>
        <v>0.53333333333333333</v>
      </c>
      <c r="AN78" s="39">
        <v>3</v>
      </c>
      <c r="AO78" s="22">
        <f t="shared" si="48"/>
        <v>6.6666666666666666E-2</v>
      </c>
      <c r="AP78" s="10">
        <v>56</v>
      </c>
      <c r="AQ78" s="22">
        <f t="shared" si="49"/>
        <v>1.2444444444444445</v>
      </c>
      <c r="AR78" s="23">
        <v>52</v>
      </c>
      <c r="AS78" s="22">
        <f t="shared" si="50"/>
        <v>1.1555555555555554</v>
      </c>
      <c r="AT78" s="25">
        <v>1.3845205826310827</v>
      </c>
      <c r="AU78" s="25">
        <v>6.3766060224805188E-2</v>
      </c>
      <c r="AV78" s="25">
        <v>0.73849203394621432</v>
      </c>
      <c r="AW78" s="25">
        <v>0.64602854868486848</v>
      </c>
      <c r="AX78" s="25">
        <v>105.97705531387889</v>
      </c>
      <c r="AY78" s="25">
        <v>111.52968303032496</v>
      </c>
      <c r="AZ78" s="25">
        <v>8.8945374487508992</v>
      </c>
      <c r="BA78" s="25">
        <v>6.4222222222222225</v>
      </c>
      <c r="BB78" s="25">
        <v>13.310305123776626</v>
      </c>
      <c r="BC78" s="24">
        <v>0.52097614477652865</v>
      </c>
      <c r="BD78" s="24">
        <v>0.5053763440860215</v>
      </c>
      <c r="BE78" s="25">
        <v>15.023055569235394</v>
      </c>
      <c r="BF78" s="24">
        <v>0.66666666666666663</v>
      </c>
      <c r="BG78" s="24">
        <v>0.1039426523297491</v>
      </c>
      <c r="BH78" s="25">
        <v>1.1867739438386202</v>
      </c>
      <c r="BI78" s="25">
        <v>7.1206436630317214</v>
      </c>
      <c r="BJ78" s="25">
        <v>3.8706158677656868</v>
      </c>
      <c r="BK78" s="25">
        <v>15.334558787390275</v>
      </c>
      <c r="BL78" s="25">
        <v>1.480363085976873</v>
      </c>
      <c r="BM78" s="25">
        <v>0.27210575843811297</v>
      </c>
      <c r="BN78" s="25">
        <v>16.103059581320451</v>
      </c>
      <c r="BO78" s="26" t="s">
        <v>176</v>
      </c>
      <c r="BP78" s="26"/>
      <c r="BQ78" s="32" t="s">
        <v>268</v>
      </c>
      <c r="BR78" s="32">
        <v>555.09</v>
      </c>
      <c r="BS78" s="32">
        <v>806.09</v>
      </c>
      <c r="BT78" s="32">
        <v>251</v>
      </c>
      <c r="BU78" s="36">
        <f t="shared" si="51"/>
        <v>12.335333333333333</v>
      </c>
      <c r="BV78" s="36">
        <f t="shared" si="52"/>
        <v>17.91311111111111</v>
      </c>
      <c r="BW78" s="36">
        <f t="shared" si="53"/>
        <v>5.5777777777777775</v>
      </c>
      <c r="BX78" s="37">
        <f t="shared" si="54"/>
        <v>25.565457685664938</v>
      </c>
      <c r="BY78" s="37">
        <f t="shared" si="55"/>
        <v>37.125618883131835</v>
      </c>
      <c r="BZ78" s="37">
        <f t="shared" si="56"/>
        <v>11.560161197466897</v>
      </c>
      <c r="CA78" s="34">
        <v>31</v>
      </c>
      <c r="CB78" s="34">
        <v>14</v>
      </c>
    </row>
    <row r="79" spans="1:80" x14ac:dyDescent="0.4">
      <c r="A79" s="16" t="s">
        <v>178</v>
      </c>
      <c r="B79" s="16" t="s">
        <v>252</v>
      </c>
      <c r="C79" s="16" t="s">
        <v>115</v>
      </c>
      <c r="D79" s="29">
        <v>1</v>
      </c>
      <c r="E79" s="29">
        <v>2</v>
      </c>
      <c r="F79" s="29">
        <v>56</v>
      </c>
      <c r="G79" s="21">
        <v>176</v>
      </c>
      <c r="H79" s="21">
        <v>0</v>
      </c>
      <c r="I79" s="22">
        <f t="shared" si="33"/>
        <v>0</v>
      </c>
      <c r="J79" s="23">
        <v>0</v>
      </c>
      <c r="K79" s="23">
        <v>1</v>
      </c>
      <c r="L79" s="22">
        <f t="shared" si="57"/>
        <v>0</v>
      </c>
      <c r="M79" s="22">
        <f t="shared" si="58"/>
        <v>1</v>
      </c>
      <c r="N79" s="24">
        <f t="shared" si="59"/>
        <v>0</v>
      </c>
      <c r="O79" s="21">
        <v>0</v>
      </c>
      <c r="P79" s="23">
        <v>0</v>
      </c>
      <c r="Q79" s="22">
        <f t="shared" si="34"/>
        <v>0</v>
      </c>
      <c r="R79" s="22">
        <f t="shared" si="35"/>
        <v>0</v>
      </c>
      <c r="S79" s="24" t="e">
        <f t="shared" si="36"/>
        <v>#DIV/0!</v>
      </c>
      <c r="T79" s="23">
        <v>0</v>
      </c>
      <c r="U79" s="23">
        <v>1</v>
      </c>
      <c r="V79" s="22">
        <f t="shared" si="37"/>
        <v>0</v>
      </c>
      <c r="W79" s="22">
        <f t="shared" si="38"/>
        <v>1</v>
      </c>
      <c r="X79" s="24">
        <f t="shared" si="39"/>
        <v>0</v>
      </c>
      <c r="Y79" s="15">
        <v>0</v>
      </c>
      <c r="Z79" s="15">
        <v>0</v>
      </c>
      <c r="AA79" s="22">
        <f t="shared" si="40"/>
        <v>0</v>
      </c>
      <c r="AB79" s="22">
        <f t="shared" si="41"/>
        <v>0</v>
      </c>
      <c r="AC79" s="24" t="e">
        <f t="shared" si="42"/>
        <v>#DIV/0!</v>
      </c>
      <c r="AD79" s="23">
        <v>0</v>
      </c>
      <c r="AE79" s="22">
        <f t="shared" si="43"/>
        <v>0</v>
      </c>
      <c r="AF79" s="23">
        <v>0</v>
      </c>
      <c r="AG79" s="22">
        <f t="shared" si="44"/>
        <v>0</v>
      </c>
      <c r="AH79" s="23">
        <v>0</v>
      </c>
      <c r="AI79" s="22">
        <f t="shared" si="45"/>
        <v>0</v>
      </c>
      <c r="AJ79" s="23">
        <v>0</v>
      </c>
      <c r="AK79" s="22">
        <f t="shared" si="46"/>
        <v>0</v>
      </c>
      <c r="AL79" s="23">
        <v>0</v>
      </c>
      <c r="AM79" s="22">
        <f t="shared" si="47"/>
        <v>0</v>
      </c>
      <c r="AN79" s="41">
        <v>0</v>
      </c>
      <c r="AO79" s="22">
        <f t="shared" si="48"/>
        <v>0</v>
      </c>
      <c r="AP79" s="12">
        <v>0</v>
      </c>
      <c r="AQ79" s="22">
        <f t="shared" si="49"/>
        <v>0</v>
      </c>
      <c r="AR79" s="23">
        <v>1</v>
      </c>
      <c r="AS79" s="22">
        <f t="shared" si="50"/>
        <v>1</v>
      </c>
      <c r="AT79" s="25">
        <v>-2.5410205936451574E-2</v>
      </c>
      <c r="AU79" s="25">
        <v>-0.34650280822433965</v>
      </c>
      <c r="AV79" s="25">
        <v>-2.5223667626652842E-2</v>
      </c>
      <c r="AW79" s="25">
        <v>-1.8653830979873282E-4</v>
      </c>
      <c r="AX79" s="25">
        <v>0</v>
      </c>
      <c r="AY79" s="25">
        <v>117.28026975146797</v>
      </c>
      <c r="AZ79" s="25">
        <v>-0.45895034811117125</v>
      </c>
      <c r="BA79" s="25">
        <v>-1</v>
      </c>
      <c r="BB79" s="25">
        <v>-13.636363636363637</v>
      </c>
      <c r="BC79" s="24">
        <v>0</v>
      </c>
      <c r="BD79" s="24">
        <v>0</v>
      </c>
      <c r="BE79" s="25">
        <v>0.28423302560371094</v>
      </c>
      <c r="BF79" s="24">
        <v>1</v>
      </c>
      <c r="BG79" s="24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6" t="s">
        <v>176</v>
      </c>
      <c r="BP79" s="27"/>
      <c r="BQ79" s="33" t="s">
        <v>266</v>
      </c>
      <c r="BR79" s="33">
        <v>-0.17</v>
      </c>
      <c r="BS79" s="33">
        <v>0.73</v>
      </c>
      <c r="BT79" s="33">
        <v>0.9</v>
      </c>
      <c r="BU79" s="36">
        <f t="shared" si="51"/>
        <v>-0.17000000000000004</v>
      </c>
      <c r="BV79" s="36">
        <f t="shared" si="52"/>
        <v>0.73</v>
      </c>
      <c r="BW79" s="36">
        <f t="shared" si="53"/>
        <v>0.9</v>
      </c>
      <c r="BX79" s="37">
        <f t="shared" si="54"/>
        <v>-2.3181818181818183</v>
      </c>
      <c r="BY79" s="37">
        <f t="shared" si="55"/>
        <v>9.954545454545455</v>
      </c>
      <c r="BZ79" s="37">
        <f t="shared" si="56"/>
        <v>12.272727272727273</v>
      </c>
      <c r="CA79" s="34">
        <v>1</v>
      </c>
      <c r="CB79" s="34">
        <v>0</v>
      </c>
    </row>
    <row r="80" spans="1:80" x14ac:dyDescent="0.4">
      <c r="A80" s="16" t="s">
        <v>178</v>
      </c>
      <c r="B80" s="16" t="s">
        <v>252</v>
      </c>
      <c r="C80" s="16" t="s">
        <v>181</v>
      </c>
      <c r="D80" s="29">
        <v>49</v>
      </c>
      <c r="E80" s="29">
        <v>20</v>
      </c>
      <c r="F80" s="29">
        <v>19</v>
      </c>
      <c r="G80" s="21">
        <v>59731</v>
      </c>
      <c r="H80" s="21">
        <v>331</v>
      </c>
      <c r="I80" s="22">
        <f t="shared" si="33"/>
        <v>6.7551020408163263</v>
      </c>
      <c r="J80" s="23">
        <v>123</v>
      </c>
      <c r="K80" s="23">
        <v>298</v>
      </c>
      <c r="L80" s="22">
        <f t="shared" si="57"/>
        <v>2.510204081632653</v>
      </c>
      <c r="M80" s="22">
        <f t="shared" si="58"/>
        <v>6.0816326530612246</v>
      </c>
      <c r="N80" s="24">
        <f t="shared" si="59"/>
        <v>0.41275167785234901</v>
      </c>
      <c r="O80" s="21">
        <v>70</v>
      </c>
      <c r="P80" s="23">
        <v>144</v>
      </c>
      <c r="Q80" s="22">
        <f t="shared" si="34"/>
        <v>1.4285714285714286</v>
      </c>
      <c r="R80" s="22">
        <f t="shared" si="35"/>
        <v>2.9387755102040818</v>
      </c>
      <c r="S80" s="24">
        <f t="shared" si="36"/>
        <v>0.4861111111111111</v>
      </c>
      <c r="T80" s="23">
        <v>53</v>
      </c>
      <c r="U80" s="23">
        <v>154</v>
      </c>
      <c r="V80" s="22">
        <f t="shared" si="37"/>
        <v>1.0816326530612246</v>
      </c>
      <c r="W80" s="22">
        <f t="shared" si="38"/>
        <v>3.1428571428571428</v>
      </c>
      <c r="X80" s="24">
        <f t="shared" si="39"/>
        <v>0.34415584415584416</v>
      </c>
      <c r="Y80" s="15">
        <v>32</v>
      </c>
      <c r="Z80" s="15">
        <v>41</v>
      </c>
      <c r="AA80" s="22">
        <f t="shared" si="40"/>
        <v>0.65306122448979587</v>
      </c>
      <c r="AB80" s="22">
        <f t="shared" si="41"/>
        <v>0.83673469387755106</v>
      </c>
      <c r="AC80" s="24">
        <f t="shared" si="42"/>
        <v>0.78048780487804881</v>
      </c>
      <c r="AD80" s="23">
        <v>102</v>
      </c>
      <c r="AE80" s="22">
        <f t="shared" si="43"/>
        <v>2.0816326530612246</v>
      </c>
      <c r="AF80" s="23">
        <v>34</v>
      </c>
      <c r="AG80" s="22">
        <f t="shared" si="44"/>
        <v>0.69387755102040816</v>
      </c>
      <c r="AH80" s="23">
        <v>68</v>
      </c>
      <c r="AI80" s="22">
        <f t="shared" si="45"/>
        <v>1.3877551020408163</v>
      </c>
      <c r="AJ80" s="23">
        <v>68</v>
      </c>
      <c r="AK80" s="22">
        <f t="shared" si="46"/>
        <v>1.3877551020408163</v>
      </c>
      <c r="AL80" s="23">
        <v>24</v>
      </c>
      <c r="AM80" s="22">
        <f t="shared" si="47"/>
        <v>0.48979591836734693</v>
      </c>
      <c r="AN80" s="13">
        <v>5</v>
      </c>
      <c r="AO80" s="22">
        <f t="shared" si="48"/>
        <v>0.10204081632653061</v>
      </c>
      <c r="AP80" s="12">
        <v>30</v>
      </c>
      <c r="AQ80" s="22">
        <f t="shared" si="49"/>
        <v>0.61224489795918369</v>
      </c>
      <c r="AR80" s="23">
        <v>71</v>
      </c>
      <c r="AS80" s="22">
        <f t="shared" si="50"/>
        <v>1.4489795918367347</v>
      </c>
      <c r="AT80" s="25">
        <v>2.1176160804314743</v>
      </c>
      <c r="AU80" s="25">
        <v>8.5086112622181756E-2</v>
      </c>
      <c r="AV80" s="25">
        <v>1.4659964549649092</v>
      </c>
      <c r="AW80" s="25">
        <v>0.65161962546656516</v>
      </c>
      <c r="AX80" s="25">
        <v>113.00292889026137</v>
      </c>
      <c r="AY80" s="25">
        <v>112.16560773375126</v>
      </c>
      <c r="AZ80" s="25">
        <v>9.3962689647530606</v>
      </c>
      <c r="BA80" s="25">
        <v>6.4489795918367347</v>
      </c>
      <c r="BB80" s="25">
        <v>12.696924545043613</v>
      </c>
      <c r="BC80" s="24">
        <v>0.52366789014048853</v>
      </c>
      <c r="BD80" s="24">
        <v>0.50167785234899331</v>
      </c>
      <c r="BE80" s="25">
        <v>14.200701663382961</v>
      </c>
      <c r="BF80" s="24">
        <v>0.51677852348993292</v>
      </c>
      <c r="BG80" s="24">
        <v>0.13758389261744966</v>
      </c>
      <c r="BH80" s="25">
        <v>3.484649393453215</v>
      </c>
      <c r="BI80" s="25">
        <v>6.96929878690643</v>
      </c>
      <c r="BJ80" s="25">
        <v>4.8707335567477266</v>
      </c>
      <c r="BK80" s="25">
        <v>8.5884837484521519</v>
      </c>
      <c r="BL80" s="25">
        <v>1.291485500163313</v>
      </c>
      <c r="BM80" s="25">
        <v>0.43081551582080224</v>
      </c>
      <c r="BN80" s="25">
        <v>8.6695179748006002</v>
      </c>
      <c r="BO80" s="26" t="s">
        <v>176</v>
      </c>
      <c r="BP80" s="26"/>
      <c r="BQ80" s="33" t="s">
        <v>268</v>
      </c>
      <c r="BR80" s="33">
        <v>617.35</v>
      </c>
      <c r="BS80" s="33">
        <v>834.45</v>
      </c>
      <c r="BT80" s="33">
        <v>217.1</v>
      </c>
      <c r="BU80" s="36">
        <f t="shared" si="51"/>
        <v>12.598979591836738</v>
      </c>
      <c r="BV80" s="36">
        <f t="shared" si="52"/>
        <v>17.029591836734696</v>
      </c>
      <c r="BW80" s="36">
        <f t="shared" si="53"/>
        <v>4.4306122448979588</v>
      </c>
      <c r="BX80" s="37">
        <f t="shared" si="54"/>
        <v>24.805210024945168</v>
      </c>
      <c r="BY80" s="37">
        <f t="shared" si="55"/>
        <v>33.528318628517852</v>
      </c>
      <c r="BZ80" s="37">
        <f t="shared" si="56"/>
        <v>8.723108603572685</v>
      </c>
      <c r="CA80" s="34">
        <v>35</v>
      </c>
      <c r="CB80" s="34">
        <v>14</v>
      </c>
    </row>
    <row r="81" spans="1:80" x14ac:dyDescent="0.4">
      <c r="A81" s="16" t="s">
        <v>178</v>
      </c>
      <c r="B81" s="16" t="s">
        <v>252</v>
      </c>
      <c r="C81" s="16" t="s">
        <v>182</v>
      </c>
      <c r="D81" s="23">
        <v>6</v>
      </c>
      <c r="E81" s="23">
        <v>4</v>
      </c>
      <c r="F81" s="23">
        <v>1</v>
      </c>
      <c r="G81" s="21">
        <v>1446</v>
      </c>
      <c r="H81" s="21">
        <v>0</v>
      </c>
      <c r="I81" s="22">
        <f t="shared" si="33"/>
        <v>0</v>
      </c>
      <c r="J81" s="23">
        <v>0</v>
      </c>
      <c r="K81" s="23">
        <v>4</v>
      </c>
      <c r="L81" s="22">
        <f t="shared" si="57"/>
        <v>0</v>
      </c>
      <c r="M81" s="22">
        <f t="shared" si="58"/>
        <v>0.66666666666666663</v>
      </c>
      <c r="N81" s="24">
        <f t="shared" si="59"/>
        <v>0</v>
      </c>
      <c r="O81" s="21">
        <v>0</v>
      </c>
      <c r="P81" s="23">
        <v>1</v>
      </c>
      <c r="Q81" s="22">
        <f t="shared" si="34"/>
        <v>0</v>
      </c>
      <c r="R81" s="22">
        <f t="shared" si="35"/>
        <v>0.16666666666666666</v>
      </c>
      <c r="S81" s="24">
        <f t="shared" si="36"/>
        <v>0</v>
      </c>
      <c r="T81" s="23">
        <v>0</v>
      </c>
      <c r="U81" s="23">
        <v>3</v>
      </c>
      <c r="V81" s="22">
        <f t="shared" si="37"/>
        <v>0</v>
      </c>
      <c r="W81" s="22">
        <f t="shared" si="38"/>
        <v>0.5</v>
      </c>
      <c r="X81" s="24">
        <f t="shared" si="39"/>
        <v>0</v>
      </c>
      <c r="Y81" s="23">
        <v>0</v>
      </c>
      <c r="Z81" s="23">
        <v>0</v>
      </c>
      <c r="AA81" s="22">
        <f t="shared" si="40"/>
        <v>0</v>
      </c>
      <c r="AB81" s="22">
        <f t="shared" si="41"/>
        <v>0</v>
      </c>
      <c r="AC81" s="24" t="e">
        <f t="shared" si="42"/>
        <v>#DIV/0!</v>
      </c>
      <c r="AD81" s="23">
        <v>1</v>
      </c>
      <c r="AE81" s="22">
        <f t="shared" si="43"/>
        <v>0.16666666666666666</v>
      </c>
      <c r="AF81" s="23">
        <v>1</v>
      </c>
      <c r="AG81" s="22">
        <f t="shared" si="44"/>
        <v>0.16666666666666666</v>
      </c>
      <c r="AH81" s="23">
        <v>0</v>
      </c>
      <c r="AI81" s="22">
        <f t="shared" si="45"/>
        <v>0</v>
      </c>
      <c r="AJ81" s="23">
        <v>1</v>
      </c>
      <c r="AK81" s="22">
        <f t="shared" si="46"/>
        <v>0.16666666666666666</v>
      </c>
      <c r="AL81" s="23">
        <v>1</v>
      </c>
      <c r="AM81" s="22">
        <f t="shared" si="47"/>
        <v>0.16666666666666666</v>
      </c>
      <c r="AN81" s="23">
        <v>0</v>
      </c>
      <c r="AO81" s="22">
        <f t="shared" si="48"/>
        <v>0</v>
      </c>
      <c r="AP81" s="10">
        <v>0</v>
      </c>
      <c r="AQ81" s="22">
        <f t="shared" si="49"/>
        <v>0</v>
      </c>
      <c r="AR81" s="23">
        <v>2</v>
      </c>
      <c r="AS81" s="22">
        <f t="shared" si="50"/>
        <v>0.33333333333333331</v>
      </c>
      <c r="AT81" s="25">
        <v>-6.5334714511705111E-2</v>
      </c>
      <c r="AU81" s="25">
        <v>-0.10843936018540266</v>
      </c>
      <c r="AV81" s="25">
        <v>-7.7502108270245201E-2</v>
      </c>
      <c r="AW81" s="25">
        <v>1.2167393758540083E-2</v>
      </c>
      <c r="AX81" s="25">
        <v>35.726240049114736</v>
      </c>
      <c r="AY81" s="25">
        <v>113.23165502203561</v>
      </c>
      <c r="AZ81" s="25">
        <v>-0.42100810312208187</v>
      </c>
      <c r="BA81" s="25">
        <v>-0.16666666666666666</v>
      </c>
      <c r="BB81" s="25">
        <v>-1.6597510373443982</v>
      </c>
      <c r="BC81" s="24">
        <v>0</v>
      </c>
      <c r="BD81" s="24">
        <v>0</v>
      </c>
      <c r="BE81" s="25">
        <v>0.83029066400420115</v>
      </c>
      <c r="BF81" s="24">
        <v>0.75</v>
      </c>
      <c r="BG81" s="24">
        <v>0</v>
      </c>
      <c r="BH81" s="25">
        <v>0.51840219802531962</v>
      </c>
      <c r="BI81" s="25">
        <v>0</v>
      </c>
      <c r="BJ81" s="25">
        <v>0.24153544079714748</v>
      </c>
      <c r="BK81" s="25">
        <v>0.55294315513972181</v>
      </c>
      <c r="BL81" s="25">
        <v>2.222848098497431</v>
      </c>
      <c r="BM81" s="25">
        <v>0</v>
      </c>
      <c r="BN81" s="25">
        <v>0</v>
      </c>
      <c r="BO81" s="26" t="s">
        <v>176</v>
      </c>
      <c r="BP81" s="27"/>
      <c r="BQ81" s="33" t="s">
        <v>267</v>
      </c>
      <c r="BR81" s="33">
        <v>6.33</v>
      </c>
      <c r="BS81" s="33">
        <v>10.029999999999999</v>
      </c>
      <c r="BT81" s="33">
        <v>3.7</v>
      </c>
      <c r="BU81" s="36">
        <f t="shared" si="51"/>
        <v>1.0549999999999999</v>
      </c>
      <c r="BV81" s="36">
        <f t="shared" si="52"/>
        <v>1.6716666666666666</v>
      </c>
      <c r="BW81" s="36">
        <f t="shared" si="53"/>
        <v>0.6166666666666667</v>
      </c>
      <c r="BX81" s="37">
        <f t="shared" si="54"/>
        <v>10.506224066390043</v>
      </c>
      <c r="BY81" s="37">
        <f t="shared" si="55"/>
        <v>16.647302904564317</v>
      </c>
      <c r="BZ81" s="37">
        <f t="shared" si="56"/>
        <v>6.1410788381742742</v>
      </c>
      <c r="CA81" s="34">
        <v>6</v>
      </c>
      <c r="CB81" s="34">
        <v>0</v>
      </c>
    </row>
    <row r="82" spans="1:80" x14ac:dyDescent="0.4">
      <c r="A82" s="16" t="s">
        <v>178</v>
      </c>
      <c r="B82" s="16" t="s">
        <v>252</v>
      </c>
      <c r="C82" s="16" t="s">
        <v>183</v>
      </c>
      <c r="D82" s="23">
        <v>1</v>
      </c>
      <c r="E82" s="23">
        <v>3</v>
      </c>
      <c r="F82" s="23">
        <v>31</v>
      </c>
      <c r="G82" s="21">
        <v>211</v>
      </c>
      <c r="H82" s="21">
        <v>0</v>
      </c>
      <c r="I82" s="22">
        <f t="shared" si="33"/>
        <v>0</v>
      </c>
      <c r="J82" s="23">
        <v>0</v>
      </c>
      <c r="K82" s="23">
        <v>2</v>
      </c>
      <c r="L82" s="22">
        <f t="shared" si="57"/>
        <v>0</v>
      </c>
      <c r="M82" s="22">
        <f t="shared" si="58"/>
        <v>2</v>
      </c>
      <c r="N82" s="24">
        <f t="shared" si="59"/>
        <v>0</v>
      </c>
      <c r="O82" s="21">
        <v>0</v>
      </c>
      <c r="P82" s="23">
        <v>1</v>
      </c>
      <c r="Q82" s="22">
        <f t="shared" si="34"/>
        <v>0</v>
      </c>
      <c r="R82" s="22">
        <f t="shared" si="35"/>
        <v>1</v>
      </c>
      <c r="S82" s="24">
        <f t="shared" si="36"/>
        <v>0</v>
      </c>
      <c r="T82" s="23">
        <v>0</v>
      </c>
      <c r="U82" s="23">
        <v>1</v>
      </c>
      <c r="V82" s="22">
        <f t="shared" si="37"/>
        <v>0</v>
      </c>
      <c r="W82" s="22">
        <f t="shared" si="38"/>
        <v>1</v>
      </c>
      <c r="X82" s="24">
        <f t="shared" si="39"/>
        <v>0</v>
      </c>
      <c r="Y82" s="23">
        <v>0</v>
      </c>
      <c r="Z82" s="23">
        <v>0</v>
      </c>
      <c r="AA82" s="22">
        <f t="shared" si="40"/>
        <v>0</v>
      </c>
      <c r="AB82" s="22">
        <f t="shared" si="41"/>
        <v>0</v>
      </c>
      <c r="AC82" s="24" t="e">
        <f t="shared" si="42"/>
        <v>#DIV/0!</v>
      </c>
      <c r="AD82" s="23">
        <v>0</v>
      </c>
      <c r="AE82" s="22">
        <f t="shared" si="43"/>
        <v>0</v>
      </c>
      <c r="AF82" s="23">
        <v>0</v>
      </c>
      <c r="AG82" s="22">
        <f t="shared" si="44"/>
        <v>0</v>
      </c>
      <c r="AH82" s="23">
        <v>0</v>
      </c>
      <c r="AI82" s="22">
        <f t="shared" si="45"/>
        <v>0</v>
      </c>
      <c r="AJ82" s="23">
        <v>0</v>
      </c>
      <c r="AK82" s="22">
        <f t="shared" si="46"/>
        <v>0</v>
      </c>
      <c r="AL82" s="23">
        <v>0</v>
      </c>
      <c r="AM82" s="22">
        <f t="shared" si="47"/>
        <v>0</v>
      </c>
      <c r="AN82" s="23">
        <v>2</v>
      </c>
      <c r="AO82" s="22">
        <f t="shared" si="48"/>
        <v>2</v>
      </c>
      <c r="AP82" s="10">
        <v>1</v>
      </c>
      <c r="AQ82" s="22">
        <f t="shared" si="49"/>
        <v>1</v>
      </c>
      <c r="AR82" s="23">
        <v>0</v>
      </c>
      <c r="AS82" s="22">
        <f t="shared" si="50"/>
        <v>0</v>
      </c>
      <c r="AT82" s="25">
        <v>-7.5578463560064826E-2</v>
      </c>
      <c r="AU82" s="25">
        <v>-0.85966024902443405</v>
      </c>
      <c r="AV82" s="25">
        <v>-8.8998458636765837E-2</v>
      </c>
      <c r="AW82" s="25">
        <v>1.3419995076701012E-2</v>
      </c>
      <c r="AX82" s="25">
        <v>0</v>
      </c>
      <c r="AY82" s="25">
        <v>89.64890091447262</v>
      </c>
      <c r="AZ82" s="25">
        <v>-0.30849205762447934</v>
      </c>
      <c r="BA82" s="25">
        <v>-1</v>
      </c>
      <c r="BB82" s="25">
        <v>-11.374407582938389</v>
      </c>
      <c r="BC82" s="24">
        <v>0</v>
      </c>
      <c r="BD82" s="24">
        <v>0</v>
      </c>
      <c r="BE82" s="25">
        <v>0.71125610198464151</v>
      </c>
      <c r="BF82" s="24">
        <v>0.5</v>
      </c>
      <c r="BG82" s="24">
        <v>0</v>
      </c>
      <c r="BH82" s="25">
        <v>0</v>
      </c>
      <c r="BI82" s="25">
        <v>0</v>
      </c>
      <c r="BJ82" s="25">
        <v>0</v>
      </c>
      <c r="BK82" s="25">
        <v>0</v>
      </c>
      <c r="BL82" s="25">
        <v>0</v>
      </c>
      <c r="BM82" s="25">
        <v>0.9955717796882616</v>
      </c>
      <c r="BN82" s="25">
        <v>33.333333333333336</v>
      </c>
      <c r="BO82" s="26" t="s">
        <v>176</v>
      </c>
      <c r="BP82" s="27"/>
      <c r="BQ82" s="32" t="s">
        <v>268</v>
      </c>
      <c r="BR82" s="32">
        <v>-0.52</v>
      </c>
      <c r="BS82" s="32">
        <v>2.88</v>
      </c>
      <c r="BT82" s="32">
        <v>3.4</v>
      </c>
      <c r="BU82" s="36">
        <f t="shared" si="51"/>
        <v>-0.52</v>
      </c>
      <c r="BV82" s="36">
        <f t="shared" si="52"/>
        <v>2.88</v>
      </c>
      <c r="BW82" s="36">
        <f t="shared" si="53"/>
        <v>3.4</v>
      </c>
      <c r="BX82" s="37">
        <f t="shared" si="54"/>
        <v>-5.9146919431279628</v>
      </c>
      <c r="BY82" s="37">
        <f t="shared" si="55"/>
        <v>32.758293838862556</v>
      </c>
      <c r="BZ82" s="37">
        <f t="shared" si="56"/>
        <v>38.672985781990519</v>
      </c>
      <c r="CA82" s="34">
        <v>1</v>
      </c>
      <c r="CB82" s="34">
        <v>0</v>
      </c>
    </row>
    <row r="83" spans="1:80" x14ac:dyDescent="0.4">
      <c r="A83" s="16" t="s">
        <v>178</v>
      </c>
      <c r="B83" s="16" t="s">
        <v>252</v>
      </c>
      <c r="C83" s="16" t="s">
        <v>76</v>
      </c>
      <c r="D83" s="23">
        <v>7</v>
      </c>
      <c r="E83" s="23">
        <v>5</v>
      </c>
      <c r="F83" s="23">
        <v>45</v>
      </c>
      <c r="G83" s="21">
        <v>2415</v>
      </c>
      <c r="H83" s="21">
        <v>10</v>
      </c>
      <c r="I83" s="22">
        <f t="shared" si="33"/>
        <v>1.4285714285714286</v>
      </c>
      <c r="J83" s="23">
        <v>4</v>
      </c>
      <c r="K83" s="23">
        <v>8</v>
      </c>
      <c r="L83" s="22">
        <f t="shared" si="57"/>
        <v>0.5714285714285714</v>
      </c>
      <c r="M83" s="22">
        <f t="shared" si="58"/>
        <v>1.1428571428571428</v>
      </c>
      <c r="N83" s="24">
        <f t="shared" si="59"/>
        <v>0.5</v>
      </c>
      <c r="O83" s="21">
        <v>4</v>
      </c>
      <c r="P83" s="23">
        <v>6</v>
      </c>
      <c r="Q83" s="22">
        <f t="shared" si="34"/>
        <v>0.5714285714285714</v>
      </c>
      <c r="R83" s="22">
        <f t="shared" si="35"/>
        <v>0.8571428571428571</v>
      </c>
      <c r="S83" s="24">
        <f t="shared" si="36"/>
        <v>0.66666666666666663</v>
      </c>
      <c r="T83" s="23">
        <v>0</v>
      </c>
      <c r="U83" s="23">
        <v>2</v>
      </c>
      <c r="V83" s="22">
        <f t="shared" si="37"/>
        <v>0</v>
      </c>
      <c r="W83" s="22">
        <f t="shared" si="38"/>
        <v>0.2857142857142857</v>
      </c>
      <c r="X83" s="24">
        <f t="shared" si="39"/>
        <v>0</v>
      </c>
      <c r="Y83" s="23">
        <v>2</v>
      </c>
      <c r="Z83" s="23">
        <v>2</v>
      </c>
      <c r="AA83" s="22">
        <f t="shared" si="40"/>
        <v>0.2857142857142857</v>
      </c>
      <c r="AB83" s="22">
        <f t="shared" si="41"/>
        <v>0.2857142857142857</v>
      </c>
      <c r="AC83" s="24">
        <f t="shared" si="42"/>
        <v>1</v>
      </c>
      <c r="AD83" s="23">
        <v>6</v>
      </c>
      <c r="AE83" s="22">
        <f t="shared" si="43"/>
        <v>0.8571428571428571</v>
      </c>
      <c r="AF83" s="23">
        <v>2</v>
      </c>
      <c r="AG83" s="22">
        <f t="shared" si="44"/>
        <v>0.2857142857142857</v>
      </c>
      <c r="AH83" s="23">
        <v>4</v>
      </c>
      <c r="AI83" s="22">
        <f t="shared" si="45"/>
        <v>0.5714285714285714</v>
      </c>
      <c r="AJ83" s="23">
        <v>3</v>
      </c>
      <c r="AK83" s="22">
        <f t="shared" si="46"/>
        <v>0.42857142857142855</v>
      </c>
      <c r="AL83" s="23">
        <v>2</v>
      </c>
      <c r="AM83" s="22">
        <f t="shared" si="47"/>
        <v>0.2857142857142857</v>
      </c>
      <c r="AN83" s="23">
        <v>0</v>
      </c>
      <c r="AO83" s="22">
        <f t="shared" si="48"/>
        <v>0</v>
      </c>
      <c r="AP83" s="11">
        <v>2</v>
      </c>
      <c r="AQ83" s="22">
        <f t="shared" si="49"/>
        <v>0.2857142857142857</v>
      </c>
      <c r="AR83" s="23">
        <v>4</v>
      </c>
      <c r="AS83" s="22">
        <f t="shared" si="50"/>
        <v>0.5714285714285714</v>
      </c>
      <c r="AT83" s="25">
        <v>9.5751143781959105E-2</v>
      </c>
      <c r="AU83" s="25">
        <v>9.5156416180828929E-2</v>
      </c>
      <c r="AV83" s="25">
        <v>4.5195119982943323E-2</v>
      </c>
      <c r="AW83" s="25">
        <v>5.0556023799015783E-2</v>
      </c>
      <c r="AX83" s="25">
        <v>111.47119318143619</v>
      </c>
      <c r="AY83" s="25">
        <v>107.88173563658759</v>
      </c>
      <c r="AZ83" s="25">
        <v>1.2902283908723602</v>
      </c>
      <c r="BA83" s="25">
        <v>2.1428571428571428</v>
      </c>
      <c r="BB83" s="25">
        <v>14.906832298136646</v>
      </c>
      <c r="BC83" s="24">
        <v>0.56306306306306297</v>
      </c>
      <c r="BD83" s="24">
        <v>0.5</v>
      </c>
      <c r="BE83" s="25">
        <v>1.5776003944000985</v>
      </c>
      <c r="BF83" s="24">
        <v>0.25</v>
      </c>
      <c r="BG83" s="24">
        <v>0.25</v>
      </c>
      <c r="BH83" s="25">
        <v>0.72426046216870743</v>
      </c>
      <c r="BI83" s="25">
        <v>1.4485209243374149</v>
      </c>
      <c r="BJ83" s="25">
        <v>1.0123485431671746</v>
      </c>
      <c r="BK83" s="25">
        <v>1.1769609886472308</v>
      </c>
      <c r="BL83" s="25">
        <v>2.6618951142254947</v>
      </c>
      <c r="BM83" s="25">
        <v>0</v>
      </c>
      <c r="BN83" s="25">
        <v>18.382352941176471</v>
      </c>
      <c r="BO83" s="26" t="s">
        <v>176</v>
      </c>
      <c r="BP83" s="27"/>
      <c r="BQ83" s="33" t="s">
        <v>267</v>
      </c>
      <c r="BR83" s="33">
        <v>26.76</v>
      </c>
      <c r="BS83" s="33">
        <v>33.56</v>
      </c>
      <c r="BT83" s="33">
        <v>6.8</v>
      </c>
      <c r="BU83" s="36">
        <f t="shared" si="51"/>
        <v>3.822857142857143</v>
      </c>
      <c r="BV83" s="36">
        <f t="shared" si="52"/>
        <v>4.7942857142857145</v>
      </c>
      <c r="BW83" s="36">
        <f t="shared" si="53"/>
        <v>0.97142857142857142</v>
      </c>
      <c r="BX83" s="37">
        <f t="shared" si="54"/>
        <v>26.593788819875776</v>
      </c>
      <c r="BY83" s="37">
        <f t="shared" si="55"/>
        <v>33.351552795031054</v>
      </c>
      <c r="BZ83" s="37">
        <f t="shared" si="56"/>
        <v>6.7577639751552798</v>
      </c>
      <c r="CA83" s="35">
        <v>3</v>
      </c>
      <c r="CB83" s="35">
        <v>4</v>
      </c>
    </row>
    <row r="84" spans="1:80" x14ac:dyDescent="0.4">
      <c r="A84" s="16" t="s">
        <v>178</v>
      </c>
      <c r="B84" s="16" t="s">
        <v>252</v>
      </c>
      <c r="C84" s="16" t="s">
        <v>99</v>
      </c>
      <c r="D84" s="23">
        <v>38</v>
      </c>
      <c r="E84" s="23">
        <v>9</v>
      </c>
      <c r="F84" s="23">
        <v>54</v>
      </c>
      <c r="G84" s="21">
        <v>22572</v>
      </c>
      <c r="H84" s="21">
        <v>110</v>
      </c>
      <c r="I84" s="22">
        <f t="shared" si="33"/>
        <v>2.8947368421052633</v>
      </c>
      <c r="J84" s="23">
        <v>45</v>
      </c>
      <c r="K84" s="23">
        <v>102</v>
      </c>
      <c r="L84" s="22">
        <f t="shared" si="57"/>
        <v>1.1842105263157894</v>
      </c>
      <c r="M84" s="22">
        <f t="shared" si="58"/>
        <v>2.6842105263157894</v>
      </c>
      <c r="N84" s="24">
        <f t="shared" si="59"/>
        <v>0.44117647058823528</v>
      </c>
      <c r="O84" s="21">
        <v>35</v>
      </c>
      <c r="P84" s="23">
        <v>57</v>
      </c>
      <c r="Q84" s="22">
        <f t="shared" si="34"/>
        <v>0.92105263157894735</v>
      </c>
      <c r="R84" s="22">
        <f t="shared" si="35"/>
        <v>1.5</v>
      </c>
      <c r="S84" s="24">
        <f t="shared" si="36"/>
        <v>0.61403508771929827</v>
      </c>
      <c r="T84" s="23">
        <v>10</v>
      </c>
      <c r="U84" s="23">
        <v>45</v>
      </c>
      <c r="V84" s="22">
        <f t="shared" si="37"/>
        <v>0.26315789473684209</v>
      </c>
      <c r="W84" s="22">
        <f t="shared" si="38"/>
        <v>1.1842105263157894</v>
      </c>
      <c r="X84" s="24">
        <f t="shared" si="39"/>
        <v>0.22222222222222221</v>
      </c>
      <c r="Y84" s="23">
        <v>10</v>
      </c>
      <c r="Z84" s="23">
        <v>14</v>
      </c>
      <c r="AA84" s="22">
        <f t="shared" si="40"/>
        <v>0.26315789473684209</v>
      </c>
      <c r="AB84" s="22">
        <f t="shared" si="41"/>
        <v>0.36842105263157893</v>
      </c>
      <c r="AC84" s="24">
        <f t="shared" si="42"/>
        <v>0.7142857142857143</v>
      </c>
      <c r="AD84" s="23">
        <v>60</v>
      </c>
      <c r="AE84" s="22">
        <f t="shared" si="43"/>
        <v>1.5789473684210527</v>
      </c>
      <c r="AF84" s="23">
        <v>24</v>
      </c>
      <c r="AG84" s="22">
        <f t="shared" si="44"/>
        <v>0.63157894736842102</v>
      </c>
      <c r="AH84" s="23">
        <v>36</v>
      </c>
      <c r="AI84" s="22">
        <f t="shared" si="45"/>
        <v>0.94736842105263153</v>
      </c>
      <c r="AJ84" s="23">
        <v>10</v>
      </c>
      <c r="AK84" s="22">
        <f t="shared" si="46"/>
        <v>0.26315789473684209</v>
      </c>
      <c r="AL84" s="23">
        <v>16</v>
      </c>
      <c r="AM84" s="22">
        <f t="shared" si="47"/>
        <v>0.42105263157894735</v>
      </c>
      <c r="AN84" s="23">
        <v>1</v>
      </c>
      <c r="AO84" s="22">
        <f t="shared" si="48"/>
        <v>2.6315789473684209E-2</v>
      </c>
      <c r="AP84" s="10">
        <v>18</v>
      </c>
      <c r="AQ84" s="22">
        <f t="shared" si="49"/>
        <v>0.47368421052631576</v>
      </c>
      <c r="AR84" s="23">
        <v>66</v>
      </c>
      <c r="AS84" s="22">
        <f t="shared" si="50"/>
        <v>1.736842105263158</v>
      </c>
      <c r="AT84" s="25">
        <v>0.497451744995209</v>
      </c>
      <c r="AU84" s="25">
        <v>5.2892264220649549E-2</v>
      </c>
      <c r="AV84" s="25">
        <v>5.6875390923853623E-2</v>
      </c>
      <c r="AW84" s="25">
        <v>0.44057635407135537</v>
      </c>
      <c r="AX84" s="25">
        <v>100.93186038539461</v>
      </c>
      <c r="AY84" s="25">
        <v>108.48659238577642</v>
      </c>
      <c r="AZ84" s="25">
        <v>4.2955860960038272</v>
      </c>
      <c r="BA84" s="25">
        <v>3.1052631578947367</v>
      </c>
      <c r="BB84" s="25">
        <v>12.546517809675706</v>
      </c>
      <c r="BC84" s="24">
        <v>0.50850591715976334</v>
      </c>
      <c r="BD84" s="24">
        <v>0.49019607843137253</v>
      </c>
      <c r="BE84" s="25">
        <v>10.624841040048642</v>
      </c>
      <c r="BF84" s="24">
        <v>0.44117647058823528</v>
      </c>
      <c r="BG84" s="24">
        <v>0.13725490196078433</v>
      </c>
      <c r="BH84" s="25">
        <v>5.0478759484485671</v>
      </c>
      <c r="BI84" s="25">
        <v>7.5718139226728498</v>
      </c>
      <c r="BJ84" s="25">
        <v>5.8798021446578321</v>
      </c>
      <c r="BK84" s="25">
        <v>2.4953368392815927</v>
      </c>
      <c r="BL84" s="25">
        <v>2.2783897575242142</v>
      </c>
      <c r="BM84" s="25">
        <v>0.1768229339345313</v>
      </c>
      <c r="BN84" s="25">
        <v>14.267596702599874</v>
      </c>
      <c r="BO84" s="26" t="s">
        <v>176</v>
      </c>
      <c r="BP84" s="27"/>
      <c r="BQ84" s="32" t="s">
        <v>266</v>
      </c>
      <c r="BR84" s="32">
        <v>225.78</v>
      </c>
      <c r="BS84" s="32">
        <v>309.48</v>
      </c>
      <c r="BT84" s="32">
        <v>83.7</v>
      </c>
      <c r="BU84" s="36">
        <f t="shared" si="51"/>
        <v>5.9415789473684217</v>
      </c>
      <c r="BV84" s="36">
        <f t="shared" si="52"/>
        <v>8.1442105263157902</v>
      </c>
      <c r="BW84" s="36">
        <f t="shared" si="53"/>
        <v>2.2026315789473685</v>
      </c>
      <c r="BX84" s="37">
        <f t="shared" si="54"/>
        <v>24.00637958532695</v>
      </c>
      <c r="BY84" s="37">
        <f t="shared" si="55"/>
        <v>32.90590111642743</v>
      </c>
      <c r="BZ84" s="37">
        <f t="shared" si="56"/>
        <v>8.8995215311004792</v>
      </c>
      <c r="CA84" s="35">
        <v>26</v>
      </c>
      <c r="CB84" s="35">
        <v>12</v>
      </c>
    </row>
    <row r="85" spans="1:80" x14ac:dyDescent="0.4">
      <c r="A85" s="16" t="s">
        <v>178</v>
      </c>
      <c r="B85" s="16" t="s">
        <v>252</v>
      </c>
      <c r="C85" s="16" t="s">
        <v>184</v>
      </c>
      <c r="D85" s="23">
        <v>54</v>
      </c>
      <c r="E85" s="23">
        <v>13</v>
      </c>
      <c r="F85" s="23">
        <v>18</v>
      </c>
      <c r="G85" s="21">
        <v>43092</v>
      </c>
      <c r="H85" s="21">
        <v>350</v>
      </c>
      <c r="I85" s="22">
        <f t="shared" si="33"/>
        <v>6.4814814814814818</v>
      </c>
      <c r="J85" s="23">
        <v>151</v>
      </c>
      <c r="K85" s="23">
        <v>242</v>
      </c>
      <c r="L85" s="22">
        <f t="shared" si="57"/>
        <v>2.7962962962962963</v>
      </c>
      <c r="M85" s="22">
        <f t="shared" si="58"/>
        <v>4.4814814814814818</v>
      </c>
      <c r="N85" s="24">
        <f t="shared" si="59"/>
        <v>0.62396694214876036</v>
      </c>
      <c r="O85" s="21">
        <v>151</v>
      </c>
      <c r="P85" s="23">
        <v>242</v>
      </c>
      <c r="Q85" s="22">
        <f t="shared" si="34"/>
        <v>2.7962962962962963</v>
      </c>
      <c r="R85" s="22">
        <f t="shared" si="35"/>
        <v>4.4814814814814818</v>
      </c>
      <c r="S85" s="24">
        <f t="shared" si="36"/>
        <v>0.62396694214876036</v>
      </c>
      <c r="T85" s="23">
        <v>0</v>
      </c>
      <c r="U85" s="23">
        <v>0</v>
      </c>
      <c r="V85" s="22">
        <f t="shared" si="37"/>
        <v>0</v>
      </c>
      <c r="W85" s="22">
        <f t="shared" si="38"/>
        <v>0</v>
      </c>
      <c r="X85" s="24" t="e">
        <f t="shared" si="39"/>
        <v>#DIV/0!</v>
      </c>
      <c r="Y85" s="23">
        <v>48</v>
      </c>
      <c r="Z85" s="23">
        <v>102</v>
      </c>
      <c r="AA85" s="22">
        <f t="shared" si="40"/>
        <v>0.88888888888888884</v>
      </c>
      <c r="AB85" s="22">
        <f t="shared" si="41"/>
        <v>1.8888888888888888</v>
      </c>
      <c r="AC85" s="24">
        <f t="shared" si="42"/>
        <v>0.47058823529411764</v>
      </c>
      <c r="AD85" s="23">
        <v>265</v>
      </c>
      <c r="AE85" s="22">
        <f t="shared" si="43"/>
        <v>4.9074074074074074</v>
      </c>
      <c r="AF85" s="23">
        <v>90</v>
      </c>
      <c r="AG85" s="22">
        <f t="shared" si="44"/>
        <v>1.6666666666666667</v>
      </c>
      <c r="AH85" s="23">
        <v>175</v>
      </c>
      <c r="AI85" s="22">
        <f t="shared" si="45"/>
        <v>3.2407407407407409</v>
      </c>
      <c r="AJ85" s="23">
        <v>66</v>
      </c>
      <c r="AK85" s="22">
        <f t="shared" si="46"/>
        <v>1.2222222222222223</v>
      </c>
      <c r="AL85" s="23">
        <v>34</v>
      </c>
      <c r="AM85" s="22">
        <f t="shared" si="47"/>
        <v>0.62962962962962965</v>
      </c>
      <c r="AN85" s="23">
        <v>18</v>
      </c>
      <c r="AO85" s="22">
        <f t="shared" si="48"/>
        <v>0.33333333333333331</v>
      </c>
      <c r="AP85" s="10">
        <v>59</v>
      </c>
      <c r="AQ85" s="22">
        <f t="shared" si="49"/>
        <v>1.0925925925925926</v>
      </c>
      <c r="AR85" s="23">
        <v>109</v>
      </c>
      <c r="AS85" s="22">
        <f t="shared" si="50"/>
        <v>2.0185185185185186</v>
      </c>
      <c r="AT85" s="25">
        <v>3.4259412096202806</v>
      </c>
      <c r="AU85" s="25">
        <v>0.19080708491341022</v>
      </c>
      <c r="AV85" s="25">
        <v>1.7748998889660319</v>
      </c>
      <c r="AW85" s="25">
        <v>1.6510413206542487</v>
      </c>
      <c r="AX85" s="25">
        <v>114.40381440168039</v>
      </c>
      <c r="AY85" s="25">
        <v>100.45481451884064</v>
      </c>
      <c r="AZ85" s="25">
        <v>21.291327292270829</v>
      </c>
      <c r="BA85" s="25">
        <v>9.7962962962962958</v>
      </c>
      <c r="BB85" s="25">
        <v>29.462545252018934</v>
      </c>
      <c r="BC85" s="24">
        <v>0.61001115448968213</v>
      </c>
      <c r="BD85" s="24">
        <v>0.62396694214876036</v>
      </c>
      <c r="BE85" s="25">
        <v>21.682520458224097</v>
      </c>
      <c r="BF85" s="24">
        <v>0</v>
      </c>
      <c r="BG85" s="24">
        <v>0.42148760330578511</v>
      </c>
      <c r="BH85" s="25">
        <v>14.090405607981433</v>
      </c>
      <c r="BI85" s="25">
        <v>27.398010904408338</v>
      </c>
      <c r="BJ85" s="25">
        <v>19.330402163546143</v>
      </c>
      <c r="BK85" s="25">
        <v>14.737653028755171</v>
      </c>
      <c r="BL85" s="25">
        <v>2.5360647896251671</v>
      </c>
      <c r="BM85" s="25">
        <v>2.369161415573946</v>
      </c>
      <c r="BN85" s="25">
        <v>17.057939169654215</v>
      </c>
      <c r="BO85" s="26" t="s">
        <v>249</v>
      </c>
      <c r="BP85" s="27"/>
      <c r="BQ85" s="33" t="s">
        <v>266</v>
      </c>
      <c r="BR85" s="33">
        <v>769.25</v>
      </c>
      <c r="BS85" s="33">
        <v>991.95</v>
      </c>
      <c r="BT85" s="33">
        <v>222.7</v>
      </c>
      <c r="BU85" s="36">
        <f t="shared" si="51"/>
        <v>14.24537037037037</v>
      </c>
      <c r="BV85" s="36">
        <f t="shared" si="52"/>
        <v>18.369444444444444</v>
      </c>
      <c r="BW85" s="36">
        <f t="shared" si="53"/>
        <v>4.1240740740740742</v>
      </c>
      <c r="BX85" s="37">
        <f t="shared" si="54"/>
        <v>42.843219159008633</v>
      </c>
      <c r="BY85" s="37">
        <f t="shared" si="55"/>
        <v>55.246449456975775</v>
      </c>
      <c r="BZ85" s="37">
        <f t="shared" si="56"/>
        <v>12.40323029796714</v>
      </c>
      <c r="CA85" s="35">
        <v>37</v>
      </c>
      <c r="CB85" s="35">
        <v>17</v>
      </c>
    </row>
    <row r="86" spans="1:80" x14ac:dyDescent="0.4">
      <c r="A86" s="16" t="s">
        <v>178</v>
      </c>
      <c r="B86" s="16" t="s">
        <v>252</v>
      </c>
      <c r="C86" s="16" t="s">
        <v>185</v>
      </c>
      <c r="D86" s="23">
        <v>5</v>
      </c>
      <c r="E86" s="23">
        <v>5</v>
      </c>
      <c r="F86" s="23">
        <v>23</v>
      </c>
      <c r="G86" s="21">
        <v>1615</v>
      </c>
      <c r="H86" s="21">
        <v>9</v>
      </c>
      <c r="I86" s="22">
        <f t="shared" si="33"/>
        <v>1.8</v>
      </c>
      <c r="J86" s="23">
        <v>4</v>
      </c>
      <c r="K86" s="23">
        <v>10</v>
      </c>
      <c r="L86" s="22">
        <f t="shared" si="57"/>
        <v>0.8</v>
      </c>
      <c r="M86" s="22">
        <f t="shared" si="58"/>
        <v>2</v>
      </c>
      <c r="N86" s="24">
        <f t="shared" si="59"/>
        <v>0.4</v>
      </c>
      <c r="O86" s="21">
        <v>3</v>
      </c>
      <c r="P86" s="23">
        <v>7</v>
      </c>
      <c r="Q86" s="22">
        <f t="shared" si="34"/>
        <v>0.6</v>
      </c>
      <c r="R86" s="22">
        <f t="shared" si="35"/>
        <v>1.4</v>
      </c>
      <c r="S86" s="24">
        <f t="shared" si="36"/>
        <v>0.42857142857142855</v>
      </c>
      <c r="T86" s="23">
        <v>1</v>
      </c>
      <c r="U86" s="23">
        <v>3</v>
      </c>
      <c r="V86" s="22">
        <f t="shared" si="37"/>
        <v>0.2</v>
      </c>
      <c r="W86" s="22">
        <f t="shared" si="38"/>
        <v>0.6</v>
      </c>
      <c r="X86" s="24">
        <f t="shared" si="39"/>
        <v>0.33333333333333331</v>
      </c>
      <c r="Y86" s="23">
        <v>0</v>
      </c>
      <c r="Z86" s="23">
        <v>0</v>
      </c>
      <c r="AA86" s="22">
        <f t="shared" si="40"/>
        <v>0</v>
      </c>
      <c r="AB86" s="22">
        <f t="shared" si="41"/>
        <v>0</v>
      </c>
      <c r="AC86" s="24" t="e">
        <f t="shared" si="42"/>
        <v>#DIV/0!</v>
      </c>
      <c r="AD86" s="23">
        <v>3</v>
      </c>
      <c r="AE86" s="22">
        <f t="shared" si="43"/>
        <v>0.6</v>
      </c>
      <c r="AF86" s="23">
        <v>1</v>
      </c>
      <c r="AG86" s="22">
        <f t="shared" si="44"/>
        <v>0.2</v>
      </c>
      <c r="AH86" s="23">
        <v>2</v>
      </c>
      <c r="AI86" s="22">
        <f t="shared" si="45"/>
        <v>0.4</v>
      </c>
      <c r="AJ86" s="23">
        <v>0</v>
      </c>
      <c r="AK86" s="22">
        <f t="shared" si="46"/>
        <v>0</v>
      </c>
      <c r="AL86" s="23">
        <v>1</v>
      </c>
      <c r="AM86" s="22">
        <f t="shared" si="47"/>
        <v>0.2</v>
      </c>
      <c r="AN86" s="23">
        <v>0</v>
      </c>
      <c r="AO86" s="22">
        <f t="shared" si="48"/>
        <v>0</v>
      </c>
      <c r="AP86" s="10">
        <v>0</v>
      </c>
      <c r="AQ86" s="22">
        <f t="shared" si="49"/>
        <v>0</v>
      </c>
      <c r="AR86" s="23">
        <v>1</v>
      </c>
      <c r="AS86" s="22">
        <f t="shared" si="50"/>
        <v>0.2</v>
      </c>
      <c r="AT86" s="25">
        <v>3.1878193058633847E-2</v>
      </c>
      <c r="AU86" s="25">
        <v>4.7373166155245339E-2</v>
      </c>
      <c r="AV86" s="25">
        <v>8.7716780540680103E-3</v>
      </c>
      <c r="AW86" s="25">
        <v>2.3106515004565838E-2</v>
      </c>
      <c r="AX86" s="25">
        <v>102.63927607325112</v>
      </c>
      <c r="AY86" s="25">
        <v>110.71348192474717</v>
      </c>
      <c r="AZ86" s="25">
        <v>0.92025158175435551</v>
      </c>
      <c r="BA86" s="25">
        <v>1.4</v>
      </c>
      <c r="BB86" s="25">
        <v>10.402476780185758</v>
      </c>
      <c r="BC86" s="24">
        <v>0.45</v>
      </c>
      <c r="BD86" s="24">
        <v>0.45</v>
      </c>
      <c r="BE86" s="25">
        <v>1.5487619970976201</v>
      </c>
      <c r="BF86" s="24">
        <v>0.3</v>
      </c>
      <c r="BG86" s="24">
        <v>0</v>
      </c>
      <c r="BH86" s="25">
        <v>0.38679544806223537</v>
      </c>
      <c r="BI86" s="25">
        <v>0.77359089612447074</v>
      </c>
      <c r="BJ86" s="25">
        <v>0.54065053775955918</v>
      </c>
      <c r="BK86" s="25">
        <v>0</v>
      </c>
      <c r="BL86" s="25">
        <v>1.9902404646608578</v>
      </c>
      <c r="BM86" s="25">
        <v>0</v>
      </c>
      <c r="BN86" s="25">
        <v>0</v>
      </c>
      <c r="BO86" s="26" t="s">
        <v>176</v>
      </c>
      <c r="BP86" s="26"/>
      <c r="BQ86" s="33" t="s">
        <v>268</v>
      </c>
      <c r="BR86" s="33">
        <v>14.44</v>
      </c>
      <c r="BS86" s="33">
        <v>20.239999999999998</v>
      </c>
      <c r="BT86" s="33">
        <v>5.8</v>
      </c>
      <c r="BU86" s="36">
        <f t="shared" si="51"/>
        <v>2.8879999999999999</v>
      </c>
      <c r="BV86" s="36">
        <f t="shared" si="52"/>
        <v>4.048</v>
      </c>
      <c r="BW86" s="36">
        <f t="shared" si="53"/>
        <v>1.1599999999999999</v>
      </c>
      <c r="BX86" s="37">
        <f t="shared" si="54"/>
        <v>21.45882352941176</v>
      </c>
      <c r="BY86" s="37">
        <f t="shared" si="55"/>
        <v>30.078018575851388</v>
      </c>
      <c r="BZ86" s="37">
        <f t="shared" si="56"/>
        <v>8.6191950464396285</v>
      </c>
      <c r="CA86" s="35">
        <v>3</v>
      </c>
      <c r="CB86" s="35">
        <v>2</v>
      </c>
    </row>
    <row r="87" spans="1:80" x14ac:dyDescent="0.4">
      <c r="A87" s="16" t="s">
        <v>178</v>
      </c>
      <c r="B87" s="16" t="s">
        <v>252</v>
      </c>
      <c r="C87" s="16" t="s">
        <v>77</v>
      </c>
      <c r="D87" s="39">
        <v>28</v>
      </c>
      <c r="E87" s="39">
        <v>6</v>
      </c>
      <c r="F87" s="39">
        <v>40</v>
      </c>
      <c r="G87" s="21">
        <v>11200</v>
      </c>
      <c r="H87" s="21">
        <v>60</v>
      </c>
      <c r="I87" s="22">
        <f t="shared" si="33"/>
        <v>2.1428571428571428</v>
      </c>
      <c r="J87" s="23">
        <v>27</v>
      </c>
      <c r="K87" s="23">
        <v>57</v>
      </c>
      <c r="L87" s="22">
        <f t="shared" si="57"/>
        <v>0.9642857142857143</v>
      </c>
      <c r="M87" s="22">
        <f t="shared" si="58"/>
        <v>2.0357142857142856</v>
      </c>
      <c r="N87" s="24">
        <f t="shared" si="59"/>
        <v>0.47368421052631576</v>
      </c>
      <c r="O87" s="21">
        <v>26</v>
      </c>
      <c r="P87" s="23">
        <v>45</v>
      </c>
      <c r="Q87" s="22">
        <f t="shared" si="34"/>
        <v>0.9285714285714286</v>
      </c>
      <c r="R87" s="22">
        <f t="shared" si="35"/>
        <v>1.6071428571428572</v>
      </c>
      <c r="S87" s="24">
        <f t="shared" si="36"/>
        <v>0.57777777777777772</v>
      </c>
      <c r="T87" s="23">
        <v>1</v>
      </c>
      <c r="U87" s="23">
        <v>12</v>
      </c>
      <c r="V87" s="22">
        <f t="shared" si="37"/>
        <v>3.5714285714285712E-2</v>
      </c>
      <c r="W87" s="22">
        <f t="shared" si="38"/>
        <v>0.42857142857142855</v>
      </c>
      <c r="X87" s="24">
        <f t="shared" si="39"/>
        <v>8.3333333333333329E-2</v>
      </c>
      <c r="Y87" s="23">
        <v>5</v>
      </c>
      <c r="Z87" s="23">
        <v>12</v>
      </c>
      <c r="AA87" s="22">
        <f t="shared" si="40"/>
        <v>0.17857142857142858</v>
      </c>
      <c r="AB87" s="22">
        <f t="shared" si="41"/>
        <v>0.42857142857142855</v>
      </c>
      <c r="AC87" s="24">
        <f t="shared" si="42"/>
        <v>0.41666666666666669</v>
      </c>
      <c r="AD87" s="23">
        <v>31</v>
      </c>
      <c r="AE87" s="22">
        <f t="shared" si="43"/>
        <v>1.1071428571428572</v>
      </c>
      <c r="AF87" s="23">
        <v>12</v>
      </c>
      <c r="AG87" s="22">
        <f t="shared" si="44"/>
        <v>0.42857142857142855</v>
      </c>
      <c r="AH87" s="23">
        <v>19</v>
      </c>
      <c r="AI87" s="22">
        <f t="shared" si="45"/>
        <v>0.6785714285714286</v>
      </c>
      <c r="AJ87" s="23">
        <v>13</v>
      </c>
      <c r="AK87" s="22">
        <f t="shared" si="46"/>
        <v>0.4642857142857143</v>
      </c>
      <c r="AL87" s="23">
        <v>3</v>
      </c>
      <c r="AM87" s="22">
        <f t="shared" si="47"/>
        <v>0.10714285714285714</v>
      </c>
      <c r="AN87" s="23">
        <v>0</v>
      </c>
      <c r="AO87" s="22">
        <f t="shared" si="48"/>
        <v>0</v>
      </c>
      <c r="AP87" s="10">
        <v>5</v>
      </c>
      <c r="AQ87" s="22">
        <f t="shared" si="49"/>
        <v>0.17857142857142858</v>
      </c>
      <c r="AR87" s="23">
        <v>27</v>
      </c>
      <c r="AS87" s="22">
        <f t="shared" si="50"/>
        <v>0.9642857142857143</v>
      </c>
      <c r="AT87" s="25">
        <v>0.32791067616152814</v>
      </c>
      <c r="AU87" s="25">
        <v>7.0266573463184601E-2</v>
      </c>
      <c r="AV87" s="25">
        <v>0.19272566865206009</v>
      </c>
      <c r="AW87" s="25">
        <v>0.13518500750946805</v>
      </c>
      <c r="AX87" s="25">
        <v>108.30880334478978</v>
      </c>
      <c r="AY87" s="25">
        <v>111.66955000041405</v>
      </c>
      <c r="AZ87" s="25">
        <v>4.3960174063005075</v>
      </c>
      <c r="BA87" s="25">
        <v>2.3214285714285716</v>
      </c>
      <c r="BB87" s="25">
        <v>13.928571428571431</v>
      </c>
      <c r="BC87" s="24">
        <v>0.48169556840077071</v>
      </c>
      <c r="BD87" s="24">
        <v>0.48245614035087719</v>
      </c>
      <c r="BE87" s="25">
        <v>8.4142071035517763</v>
      </c>
      <c r="BF87" s="24">
        <v>0.21052631578947367</v>
      </c>
      <c r="BG87" s="24">
        <v>0.21052631578947367</v>
      </c>
      <c r="BH87" s="25">
        <v>3.7480478917230609</v>
      </c>
      <c r="BI87" s="25">
        <v>5.9344091618948465</v>
      </c>
      <c r="BJ87" s="25">
        <v>4.511278195488722</v>
      </c>
      <c r="BK87" s="25">
        <v>4.7589993898718737</v>
      </c>
      <c r="BL87" s="25">
        <v>0.86095670100730848</v>
      </c>
      <c r="BM87" s="25">
        <v>0</v>
      </c>
      <c r="BN87" s="25">
        <v>7.4316290130796672</v>
      </c>
      <c r="BO87" s="26" t="s">
        <v>176</v>
      </c>
      <c r="BP87" s="27"/>
      <c r="BQ87" s="33" t="s">
        <v>266</v>
      </c>
      <c r="BR87" s="33">
        <v>124.11</v>
      </c>
      <c r="BS87" s="33">
        <v>166.11</v>
      </c>
      <c r="BT87" s="33">
        <v>42</v>
      </c>
      <c r="BU87" s="36">
        <f t="shared" si="51"/>
        <v>4.4325000000000001</v>
      </c>
      <c r="BV87" s="36">
        <f t="shared" si="52"/>
        <v>5.9325000000000001</v>
      </c>
      <c r="BW87" s="36">
        <f t="shared" si="53"/>
        <v>1.5</v>
      </c>
      <c r="BX87" s="37">
        <f t="shared" si="54"/>
        <v>26.595000000000006</v>
      </c>
      <c r="BY87" s="37">
        <f t="shared" si="55"/>
        <v>35.595000000000006</v>
      </c>
      <c r="BZ87" s="37">
        <f t="shared" si="56"/>
        <v>9</v>
      </c>
      <c r="CA87" s="34">
        <v>18</v>
      </c>
      <c r="CB87" s="34">
        <v>10</v>
      </c>
    </row>
    <row r="88" spans="1:80" x14ac:dyDescent="0.4">
      <c r="A88" s="16" t="s">
        <v>178</v>
      </c>
      <c r="B88" s="16" t="s">
        <v>252</v>
      </c>
      <c r="C88" s="16" t="s">
        <v>186</v>
      </c>
      <c r="D88" s="39">
        <v>39</v>
      </c>
      <c r="E88" s="39">
        <v>14</v>
      </c>
      <c r="F88" s="39">
        <v>37</v>
      </c>
      <c r="G88" s="21">
        <v>34203</v>
      </c>
      <c r="H88" s="21">
        <v>198</v>
      </c>
      <c r="I88" s="22">
        <f t="shared" si="33"/>
        <v>5.0769230769230766</v>
      </c>
      <c r="J88" s="23">
        <v>74</v>
      </c>
      <c r="K88" s="23">
        <v>160</v>
      </c>
      <c r="L88" s="22">
        <f t="shared" si="57"/>
        <v>1.8974358974358974</v>
      </c>
      <c r="M88" s="22">
        <f t="shared" si="58"/>
        <v>4.1025641025641022</v>
      </c>
      <c r="N88" s="24">
        <f t="shared" si="59"/>
        <v>0.46250000000000002</v>
      </c>
      <c r="O88" s="21">
        <v>62</v>
      </c>
      <c r="P88" s="23">
        <v>113</v>
      </c>
      <c r="Q88" s="22">
        <f t="shared" si="34"/>
        <v>1.5897435897435896</v>
      </c>
      <c r="R88" s="22">
        <f t="shared" si="35"/>
        <v>2.8974358974358974</v>
      </c>
      <c r="S88" s="24">
        <f t="shared" si="36"/>
        <v>0.54867256637168138</v>
      </c>
      <c r="T88" s="23">
        <v>12</v>
      </c>
      <c r="U88" s="23">
        <v>47</v>
      </c>
      <c r="V88" s="22">
        <f t="shared" si="37"/>
        <v>0.30769230769230771</v>
      </c>
      <c r="W88" s="22">
        <f t="shared" si="38"/>
        <v>1.2051282051282051</v>
      </c>
      <c r="X88" s="24">
        <f t="shared" si="39"/>
        <v>0.25531914893617019</v>
      </c>
      <c r="Y88" s="23">
        <v>38</v>
      </c>
      <c r="Z88" s="23">
        <v>47</v>
      </c>
      <c r="AA88" s="22">
        <f t="shared" si="40"/>
        <v>0.97435897435897434</v>
      </c>
      <c r="AB88" s="22">
        <f t="shared" si="41"/>
        <v>1.2051282051282051</v>
      </c>
      <c r="AC88" s="24">
        <f t="shared" si="42"/>
        <v>0.80851063829787229</v>
      </c>
      <c r="AD88" s="23">
        <v>88</v>
      </c>
      <c r="AE88" s="22">
        <f t="shared" si="43"/>
        <v>2.2564102564102564</v>
      </c>
      <c r="AF88" s="23">
        <v>30</v>
      </c>
      <c r="AG88" s="22">
        <f t="shared" si="44"/>
        <v>0.76923076923076927</v>
      </c>
      <c r="AH88" s="23">
        <v>58</v>
      </c>
      <c r="AI88" s="22">
        <f t="shared" si="45"/>
        <v>1.4871794871794872</v>
      </c>
      <c r="AJ88" s="23">
        <v>75</v>
      </c>
      <c r="AK88" s="22">
        <f t="shared" si="46"/>
        <v>1.9230769230769231</v>
      </c>
      <c r="AL88" s="23">
        <v>30</v>
      </c>
      <c r="AM88" s="22">
        <f t="shared" si="47"/>
        <v>0.76923076923076927</v>
      </c>
      <c r="AN88" s="23">
        <v>4</v>
      </c>
      <c r="AO88" s="22">
        <f t="shared" si="48"/>
        <v>0.10256410256410256</v>
      </c>
      <c r="AP88" s="10">
        <v>31</v>
      </c>
      <c r="AQ88" s="22">
        <f t="shared" si="49"/>
        <v>0.79487179487179482</v>
      </c>
      <c r="AR88" s="23">
        <v>68</v>
      </c>
      <c r="AS88" s="22">
        <f t="shared" si="50"/>
        <v>1.7435897435897436</v>
      </c>
      <c r="AT88" s="25">
        <v>1.9890382190072189</v>
      </c>
      <c r="AU88" s="25">
        <v>0.13956938647537717</v>
      </c>
      <c r="AV88" s="25">
        <v>1.2019303029061177</v>
      </c>
      <c r="AW88" s="25">
        <v>0.78710791610110109</v>
      </c>
      <c r="AX88" s="25">
        <v>115.88684948685885</v>
      </c>
      <c r="AY88" s="25">
        <v>106.99347853363456</v>
      </c>
      <c r="AZ88" s="25">
        <v>9.9460650609910211</v>
      </c>
      <c r="BA88" s="25">
        <v>6.8974358974358978</v>
      </c>
      <c r="BB88" s="25">
        <v>18.875537233576004</v>
      </c>
      <c r="BC88" s="24">
        <v>0.5479300420633163</v>
      </c>
      <c r="BD88" s="24">
        <v>0.5</v>
      </c>
      <c r="BE88" s="25">
        <v>12.074452277450012</v>
      </c>
      <c r="BF88" s="24">
        <v>0.29375000000000001</v>
      </c>
      <c r="BG88" s="24">
        <v>0.29375000000000001</v>
      </c>
      <c r="BH88" s="25">
        <v>4.2737148138233305</v>
      </c>
      <c r="BI88" s="25">
        <v>8.2625153067251063</v>
      </c>
      <c r="BJ88" s="25">
        <v>5.8409163379998903</v>
      </c>
      <c r="BK88" s="25">
        <v>12.839928182001703</v>
      </c>
      <c r="BL88" s="25">
        <v>2.8192600214255639</v>
      </c>
      <c r="BM88" s="25">
        <v>0.47905506388648389</v>
      </c>
      <c r="BN88" s="25">
        <v>14.64474678760393</v>
      </c>
      <c r="BO88" s="26" t="s">
        <v>176</v>
      </c>
      <c r="BP88" s="27"/>
      <c r="BQ88" s="33" t="s">
        <v>267</v>
      </c>
      <c r="BR88" s="33">
        <v>459.87</v>
      </c>
      <c r="BS88" s="33">
        <v>596.07000000000005</v>
      </c>
      <c r="BT88" s="33">
        <v>136.19999999999999</v>
      </c>
      <c r="BU88" s="36">
        <f t="shared" si="51"/>
        <v>11.791538461538464</v>
      </c>
      <c r="BV88" s="36">
        <f t="shared" si="52"/>
        <v>15.283846153846156</v>
      </c>
      <c r="BW88" s="36">
        <f t="shared" si="53"/>
        <v>3.4923076923076919</v>
      </c>
      <c r="BX88" s="37">
        <f t="shared" si="54"/>
        <v>32.268748355407432</v>
      </c>
      <c r="BY88" s="37">
        <f t="shared" si="55"/>
        <v>41.82580475396896</v>
      </c>
      <c r="BZ88" s="37">
        <f t="shared" si="56"/>
        <v>9.5570563985615298</v>
      </c>
      <c r="CA88" s="34">
        <v>27</v>
      </c>
      <c r="CB88" s="34">
        <v>12</v>
      </c>
    </row>
    <row r="89" spans="1:80" x14ac:dyDescent="0.4">
      <c r="A89" s="16" t="s">
        <v>178</v>
      </c>
      <c r="B89" s="16" t="s">
        <v>252</v>
      </c>
      <c r="C89" s="16" t="s">
        <v>133</v>
      </c>
      <c r="D89" s="23">
        <v>52</v>
      </c>
      <c r="E89" s="23">
        <v>29</v>
      </c>
      <c r="F89" s="23">
        <v>26</v>
      </c>
      <c r="G89" s="21">
        <v>91832</v>
      </c>
      <c r="H89" s="21">
        <v>656</v>
      </c>
      <c r="I89" s="22">
        <f t="shared" si="33"/>
        <v>12.615384615384615</v>
      </c>
      <c r="J89" s="23">
        <v>250</v>
      </c>
      <c r="K89" s="23">
        <v>521</v>
      </c>
      <c r="L89" s="22">
        <f t="shared" si="57"/>
        <v>4.8076923076923075</v>
      </c>
      <c r="M89" s="22">
        <f t="shared" si="58"/>
        <v>10.01923076923077</v>
      </c>
      <c r="N89" s="24">
        <f t="shared" si="59"/>
        <v>0.47984644913627639</v>
      </c>
      <c r="O89" s="21">
        <v>154</v>
      </c>
      <c r="P89" s="23">
        <v>278</v>
      </c>
      <c r="Q89" s="22">
        <f t="shared" si="34"/>
        <v>2.9615384615384617</v>
      </c>
      <c r="R89" s="22">
        <f t="shared" si="35"/>
        <v>5.3461538461538458</v>
      </c>
      <c r="S89" s="24">
        <f t="shared" si="36"/>
        <v>0.5539568345323741</v>
      </c>
      <c r="T89" s="23">
        <v>96</v>
      </c>
      <c r="U89" s="23">
        <v>243</v>
      </c>
      <c r="V89" s="22">
        <f t="shared" si="37"/>
        <v>1.8461538461538463</v>
      </c>
      <c r="W89" s="22">
        <f t="shared" si="38"/>
        <v>4.6730769230769234</v>
      </c>
      <c r="X89" s="24">
        <f t="shared" si="39"/>
        <v>0.39506172839506171</v>
      </c>
      <c r="Y89" s="23">
        <v>60</v>
      </c>
      <c r="Z89" s="23">
        <v>84</v>
      </c>
      <c r="AA89" s="22">
        <f t="shared" si="40"/>
        <v>1.1538461538461537</v>
      </c>
      <c r="AB89" s="22">
        <f t="shared" si="41"/>
        <v>1.6153846153846154</v>
      </c>
      <c r="AC89" s="24">
        <f t="shared" si="42"/>
        <v>0.7142857142857143</v>
      </c>
      <c r="AD89" s="23">
        <v>324</v>
      </c>
      <c r="AE89" s="22">
        <f t="shared" si="43"/>
        <v>6.2307692307692308</v>
      </c>
      <c r="AF89" s="23">
        <v>88</v>
      </c>
      <c r="AG89" s="22">
        <f t="shared" si="44"/>
        <v>1.6923076923076923</v>
      </c>
      <c r="AH89" s="23">
        <v>236</v>
      </c>
      <c r="AI89" s="22">
        <f t="shared" si="45"/>
        <v>4.5384615384615383</v>
      </c>
      <c r="AJ89" s="23">
        <v>150</v>
      </c>
      <c r="AK89" s="22">
        <f t="shared" si="46"/>
        <v>2.8846153846153846</v>
      </c>
      <c r="AL89" s="23">
        <v>46</v>
      </c>
      <c r="AM89" s="22">
        <f t="shared" si="47"/>
        <v>0.88461538461538458</v>
      </c>
      <c r="AN89" s="23">
        <v>8</v>
      </c>
      <c r="AO89" s="22">
        <f t="shared" si="48"/>
        <v>0.15384615384615385</v>
      </c>
      <c r="AP89" s="10">
        <v>96</v>
      </c>
      <c r="AQ89" s="22">
        <f t="shared" si="49"/>
        <v>1.8461538461538463</v>
      </c>
      <c r="AR89" s="23">
        <v>80</v>
      </c>
      <c r="AS89" s="22">
        <f t="shared" si="50"/>
        <v>1.5384615384615385</v>
      </c>
      <c r="AT89" s="25">
        <v>5.3329781112968959</v>
      </c>
      <c r="AU89" s="25">
        <v>0.13937568023251753</v>
      </c>
      <c r="AV89" s="25">
        <v>3.3914689016355184</v>
      </c>
      <c r="AW89" s="25">
        <v>1.9415092096613771</v>
      </c>
      <c r="AX89" s="25">
        <v>115.28941121761443</v>
      </c>
      <c r="AY89" s="25">
        <v>107.79293959608991</v>
      </c>
      <c r="AZ89" s="25">
        <v>16.447317766035049</v>
      </c>
      <c r="BA89" s="25">
        <v>15.25</v>
      </c>
      <c r="BB89" s="25">
        <v>20.724801812004529</v>
      </c>
      <c r="BC89" s="24">
        <v>0.58785576026955333</v>
      </c>
      <c r="BD89" s="24">
        <v>0.57197696737044146</v>
      </c>
      <c r="BE89" s="25">
        <v>18.524551063753844</v>
      </c>
      <c r="BF89" s="24">
        <v>0.46641074856046066</v>
      </c>
      <c r="BG89" s="24">
        <v>0.16122840690978887</v>
      </c>
      <c r="BH89" s="25">
        <v>6.2255231119597836</v>
      </c>
      <c r="BI89" s="25">
        <v>16.695721072983059</v>
      </c>
      <c r="BJ89" s="25">
        <v>10.679531913479311</v>
      </c>
      <c r="BK89" s="25">
        <v>13.950427929376733</v>
      </c>
      <c r="BL89" s="25">
        <v>1.6100592834704146</v>
      </c>
      <c r="BM89" s="25">
        <v>0.47579987658940698</v>
      </c>
      <c r="BN89" s="25">
        <v>14.679796929475808</v>
      </c>
      <c r="BO89" s="26" t="s">
        <v>176</v>
      </c>
      <c r="BP89" s="27"/>
      <c r="BQ89" s="32" t="s">
        <v>268</v>
      </c>
      <c r="BR89" s="32">
        <v>1267.6600000000001</v>
      </c>
      <c r="BS89" s="32">
        <v>1687.16</v>
      </c>
      <c r="BT89" s="32">
        <v>419.5</v>
      </c>
      <c r="BU89" s="36">
        <f t="shared" si="51"/>
        <v>24.378076923076925</v>
      </c>
      <c r="BV89" s="36">
        <f t="shared" si="52"/>
        <v>32.445384615384619</v>
      </c>
      <c r="BW89" s="36">
        <f t="shared" si="53"/>
        <v>8.0673076923076916</v>
      </c>
      <c r="BX89" s="37">
        <f t="shared" si="54"/>
        <v>33.129889363184944</v>
      </c>
      <c r="BY89" s="37">
        <f t="shared" si="55"/>
        <v>44.093387925777506</v>
      </c>
      <c r="BZ89" s="37">
        <f t="shared" si="56"/>
        <v>10.963498562592561</v>
      </c>
      <c r="CA89" s="35">
        <v>35</v>
      </c>
      <c r="CB89" s="35">
        <v>17</v>
      </c>
    </row>
    <row r="90" spans="1:80" x14ac:dyDescent="0.4">
      <c r="A90" s="16" t="s">
        <v>178</v>
      </c>
      <c r="B90" s="16" t="s">
        <v>252</v>
      </c>
      <c r="C90" s="16" t="s">
        <v>70</v>
      </c>
      <c r="D90" s="23">
        <v>50</v>
      </c>
      <c r="E90" s="23">
        <v>25</v>
      </c>
      <c r="F90" s="23">
        <v>14</v>
      </c>
      <c r="G90" s="21">
        <v>75700</v>
      </c>
      <c r="H90" s="21">
        <v>484</v>
      </c>
      <c r="I90" s="22">
        <f t="shared" si="33"/>
        <v>9.68</v>
      </c>
      <c r="J90" s="23">
        <v>179</v>
      </c>
      <c r="K90" s="23">
        <v>413</v>
      </c>
      <c r="L90" s="22">
        <f t="shared" si="57"/>
        <v>3.58</v>
      </c>
      <c r="M90" s="22">
        <f t="shared" si="58"/>
        <v>8.26</v>
      </c>
      <c r="N90" s="24">
        <f t="shared" si="59"/>
        <v>0.43341404358353514</v>
      </c>
      <c r="O90" s="21">
        <v>112</v>
      </c>
      <c r="P90" s="23">
        <v>217</v>
      </c>
      <c r="Q90" s="22">
        <f t="shared" si="34"/>
        <v>2.2400000000000002</v>
      </c>
      <c r="R90" s="22">
        <f t="shared" si="35"/>
        <v>4.34</v>
      </c>
      <c r="S90" s="24">
        <f t="shared" si="36"/>
        <v>0.5161290322580645</v>
      </c>
      <c r="T90" s="23">
        <v>67</v>
      </c>
      <c r="U90" s="23">
        <v>196</v>
      </c>
      <c r="V90" s="22">
        <f t="shared" si="37"/>
        <v>1.34</v>
      </c>
      <c r="W90" s="22">
        <f t="shared" si="38"/>
        <v>3.92</v>
      </c>
      <c r="X90" s="24">
        <f t="shared" si="39"/>
        <v>0.34183673469387754</v>
      </c>
      <c r="Y90" s="23">
        <v>59</v>
      </c>
      <c r="Z90" s="23">
        <v>73</v>
      </c>
      <c r="AA90" s="22">
        <f t="shared" si="40"/>
        <v>1.18</v>
      </c>
      <c r="AB90" s="22">
        <f t="shared" si="41"/>
        <v>1.46</v>
      </c>
      <c r="AC90" s="24">
        <f t="shared" si="42"/>
        <v>0.80821917808219179</v>
      </c>
      <c r="AD90" s="23">
        <v>105</v>
      </c>
      <c r="AE90" s="22">
        <f t="shared" si="43"/>
        <v>2.1</v>
      </c>
      <c r="AF90" s="23">
        <v>32</v>
      </c>
      <c r="AG90" s="22">
        <f t="shared" si="44"/>
        <v>0.64</v>
      </c>
      <c r="AH90" s="23">
        <v>73</v>
      </c>
      <c r="AI90" s="22">
        <f t="shared" si="45"/>
        <v>1.46</v>
      </c>
      <c r="AJ90" s="23">
        <v>180</v>
      </c>
      <c r="AK90" s="22">
        <f t="shared" si="46"/>
        <v>3.6</v>
      </c>
      <c r="AL90" s="23">
        <v>63</v>
      </c>
      <c r="AM90" s="22">
        <f t="shared" si="47"/>
        <v>1.26</v>
      </c>
      <c r="AN90" s="23">
        <v>2</v>
      </c>
      <c r="AO90" s="22">
        <f t="shared" si="48"/>
        <v>0.04</v>
      </c>
      <c r="AP90" s="10">
        <v>63</v>
      </c>
      <c r="AQ90" s="22">
        <f t="shared" si="49"/>
        <v>1.26</v>
      </c>
      <c r="AR90" s="23">
        <v>128</v>
      </c>
      <c r="AS90" s="22">
        <f t="shared" si="50"/>
        <v>2.56</v>
      </c>
      <c r="AT90" s="25">
        <v>4.0473863478749017</v>
      </c>
      <c r="AU90" s="25">
        <v>0.12831872172919107</v>
      </c>
      <c r="AV90" s="25">
        <v>2.7599341856998749</v>
      </c>
      <c r="AW90" s="25">
        <v>1.2874521621750266</v>
      </c>
      <c r="AX90" s="25">
        <v>115.82694560715585</v>
      </c>
      <c r="AY90" s="25">
        <v>109.55977551931251</v>
      </c>
      <c r="AZ90" s="25">
        <v>12.474685542419959</v>
      </c>
      <c r="BA90" s="25">
        <v>10.46</v>
      </c>
      <c r="BB90" s="25">
        <v>16.581241743725229</v>
      </c>
      <c r="BC90" s="24">
        <v>0.54367361610352261</v>
      </c>
      <c r="BD90" s="24">
        <v>0.51452784503631965</v>
      </c>
      <c r="BE90" s="25">
        <v>16.789107896088069</v>
      </c>
      <c r="BF90" s="24">
        <v>0.47457627118644069</v>
      </c>
      <c r="BG90" s="24">
        <v>0.17675544794188863</v>
      </c>
      <c r="BH90" s="25">
        <v>2.6406325965464101</v>
      </c>
      <c r="BI90" s="25">
        <v>6.0239431108714987</v>
      </c>
      <c r="BJ90" s="25">
        <v>4.0370239956220715</v>
      </c>
      <c r="BK90" s="25">
        <v>18.806206396373884</v>
      </c>
      <c r="BL90" s="25">
        <v>2.6749936073569218</v>
      </c>
      <c r="BM90" s="25">
        <v>0.13874877510846975</v>
      </c>
      <c r="BN90" s="25">
        <v>12.398645989136424</v>
      </c>
      <c r="BO90" s="26" t="s">
        <v>176</v>
      </c>
      <c r="BP90" s="27"/>
      <c r="BQ90" s="32" t="s">
        <v>267</v>
      </c>
      <c r="BR90" s="32">
        <v>948.2</v>
      </c>
      <c r="BS90" s="32">
        <v>1275</v>
      </c>
      <c r="BT90" s="32">
        <v>326.8</v>
      </c>
      <c r="BU90" s="36">
        <f t="shared" si="51"/>
        <v>18.963999999999999</v>
      </c>
      <c r="BV90" s="36">
        <f t="shared" si="52"/>
        <v>25.5</v>
      </c>
      <c r="BW90" s="36">
        <f t="shared" si="53"/>
        <v>6.5360000000000005</v>
      </c>
      <c r="BX90" s="37">
        <f t="shared" si="54"/>
        <v>30.061822985468957</v>
      </c>
      <c r="BY90" s="37">
        <f t="shared" si="55"/>
        <v>40.422721268163805</v>
      </c>
      <c r="BZ90" s="37">
        <f t="shared" si="56"/>
        <v>10.360898282694848</v>
      </c>
      <c r="CA90" s="35">
        <v>35</v>
      </c>
      <c r="CB90" s="35">
        <v>15</v>
      </c>
    </row>
    <row r="91" spans="1:80" x14ac:dyDescent="0.4">
      <c r="A91" s="16" t="s">
        <v>178</v>
      </c>
      <c r="B91" s="38" t="s">
        <v>252</v>
      </c>
      <c r="C91" s="38" t="s">
        <v>74</v>
      </c>
      <c r="D91" s="23">
        <v>8</v>
      </c>
      <c r="E91" s="23">
        <v>8</v>
      </c>
      <c r="F91" s="23">
        <v>33</v>
      </c>
      <c r="G91" s="21">
        <v>4104</v>
      </c>
      <c r="H91" s="21">
        <v>20</v>
      </c>
      <c r="I91" s="22">
        <f t="shared" si="33"/>
        <v>2.5</v>
      </c>
      <c r="J91" s="23">
        <v>8</v>
      </c>
      <c r="K91" s="23">
        <v>16</v>
      </c>
      <c r="L91" s="22">
        <f t="shared" si="57"/>
        <v>1</v>
      </c>
      <c r="M91" s="22">
        <f t="shared" si="58"/>
        <v>2</v>
      </c>
      <c r="N91" s="24">
        <f t="shared" si="59"/>
        <v>0.5</v>
      </c>
      <c r="O91" s="21">
        <v>7</v>
      </c>
      <c r="P91" s="23">
        <v>10</v>
      </c>
      <c r="Q91" s="22">
        <f t="shared" si="34"/>
        <v>0.875</v>
      </c>
      <c r="R91" s="22">
        <f t="shared" si="35"/>
        <v>1.25</v>
      </c>
      <c r="S91" s="24">
        <f t="shared" si="36"/>
        <v>0.7</v>
      </c>
      <c r="T91" s="23">
        <v>1</v>
      </c>
      <c r="U91" s="23">
        <v>6</v>
      </c>
      <c r="V91" s="22">
        <f t="shared" si="37"/>
        <v>0.125</v>
      </c>
      <c r="W91" s="22">
        <f t="shared" si="38"/>
        <v>0.75</v>
      </c>
      <c r="X91" s="24">
        <f t="shared" si="39"/>
        <v>0.16666666666666666</v>
      </c>
      <c r="Y91" s="23">
        <v>3</v>
      </c>
      <c r="Z91" s="23">
        <v>5</v>
      </c>
      <c r="AA91" s="22">
        <f t="shared" si="40"/>
        <v>0.375</v>
      </c>
      <c r="AB91" s="22">
        <f t="shared" si="41"/>
        <v>0.625</v>
      </c>
      <c r="AC91" s="24">
        <f t="shared" si="42"/>
        <v>0.6</v>
      </c>
      <c r="AD91" s="23">
        <v>6</v>
      </c>
      <c r="AE91" s="22">
        <f t="shared" si="43"/>
        <v>0.75</v>
      </c>
      <c r="AF91" s="23">
        <v>2</v>
      </c>
      <c r="AG91" s="22">
        <f t="shared" si="44"/>
        <v>0.25</v>
      </c>
      <c r="AH91" s="23">
        <v>4</v>
      </c>
      <c r="AI91" s="22">
        <f t="shared" si="45"/>
        <v>0.5</v>
      </c>
      <c r="AJ91" s="23">
        <v>9</v>
      </c>
      <c r="AK91" s="22">
        <f t="shared" si="46"/>
        <v>1.125</v>
      </c>
      <c r="AL91" s="23">
        <v>2</v>
      </c>
      <c r="AM91" s="22">
        <f t="shared" si="47"/>
        <v>0.25</v>
      </c>
      <c r="AN91" s="23">
        <v>0</v>
      </c>
      <c r="AO91" s="22">
        <f t="shared" si="48"/>
        <v>0</v>
      </c>
      <c r="AP91" s="10">
        <v>2</v>
      </c>
      <c r="AQ91" s="22">
        <f t="shared" si="49"/>
        <v>0.25</v>
      </c>
      <c r="AR91" s="23">
        <v>10</v>
      </c>
      <c r="AS91" s="22">
        <f t="shared" si="50"/>
        <v>1.25</v>
      </c>
      <c r="AT91" s="25">
        <v>0.20975679436464503</v>
      </c>
      <c r="AU91" s="25">
        <v>0.12266479202610819</v>
      </c>
      <c r="AV91" s="25">
        <v>0.16287807460540002</v>
      </c>
      <c r="AW91" s="25">
        <v>4.6878719759245006E-2</v>
      </c>
      <c r="AX91" s="25">
        <v>122.67001735165717</v>
      </c>
      <c r="AY91" s="25">
        <v>111.94619805296287</v>
      </c>
      <c r="AZ91" s="25">
        <v>1.4424685423911177</v>
      </c>
      <c r="BA91" s="25">
        <v>3.125</v>
      </c>
      <c r="BB91" s="25">
        <v>14.619883040935671</v>
      </c>
      <c r="BC91" s="24">
        <v>0.5494505494505495</v>
      </c>
      <c r="BD91" s="24">
        <v>0.53125</v>
      </c>
      <c r="BE91" s="25">
        <v>1.96979581408638</v>
      </c>
      <c r="BF91" s="24">
        <v>0.375</v>
      </c>
      <c r="BG91" s="24">
        <v>0.3125</v>
      </c>
      <c r="BH91" s="25">
        <v>0.48707574941170378</v>
      </c>
      <c r="BI91" s="25">
        <v>0.97415149882340757</v>
      </c>
      <c r="BJ91" s="25">
        <v>0.68081919569722271</v>
      </c>
      <c r="BK91" s="25">
        <v>2.3874974715738584</v>
      </c>
      <c r="BL91" s="25">
        <v>1.5663929582978975</v>
      </c>
      <c r="BM91" s="25">
        <v>0</v>
      </c>
      <c r="BN91" s="25">
        <v>9.9009900990099009</v>
      </c>
      <c r="BO91" s="26" t="s">
        <v>176</v>
      </c>
      <c r="BP91" s="27"/>
      <c r="BQ91" s="33" t="s">
        <v>267</v>
      </c>
      <c r="BR91" s="33">
        <v>47.51</v>
      </c>
      <c r="BS91" s="33">
        <v>59.61</v>
      </c>
      <c r="BT91" s="33">
        <v>12.1</v>
      </c>
      <c r="BU91" s="36">
        <f t="shared" si="51"/>
        <v>5.9387499999999998</v>
      </c>
      <c r="BV91" s="36">
        <f t="shared" si="52"/>
        <v>7.4512499999999999</v>
      </c>
      <c r="BW91" s="36">
        <f t="shared" si="53"/>
        <v>1.5125</v>
      </c>
      <c r="BX91" s="37">
        <f t="shared" si="54"/>
        <v>27.783625730994153</v>
      </c>
      <c r="BY91" s="37">
        <f t="shared" si="55"/>
        <v>34.859649122807021</v>
      </c>
      <c r="BZ91" s="37">
        <f t="shared" si="56"/>
        <v>7.0760233918128659</v>
      </c>
      <c r="CA91" s="35">
        <v>5</v>
      </c>
      <c r="CB91" s="35">
        <v>3</v>
      </c>
    </row>
    <row r="92" spans="1:80" x14ac:dyDescent="0.4">
      <c r="A92" s="16" t="s">
        <v>178</v>
      </c>
      <c r="B92" s="51" t="s">
        <v>252</v>
      </c>
      <c r="C92" s="51" t="s">
        <v>71</v>
      </c>
      <c r="D92" s="23">
        <v>28</v>
      </c>
      <c r="E92" s="23">
        <v>11</v>
      </c>
      <c r="F92" s="23">
        <v>10</v>
      </c>
      <c r="G92" s="21">
        <v>18760</v>
      </c>
      <c r="H92" s="21">
        <v>63</v>
      </c>
      <c r="I92" s="22">
        <f t="shared" si="33"/>
        <v>2.25</v>
      </c>
      <c r="J92" s="23">
        <v>22</v>
      </c>
      <c r="K92" s="23">
        <v>61</v>
      </c>
      <c r="L92" s="22">
        <f t="shared" si="57"/>
        <v>0.7857142857142857</v>
      </c>
      <c r="M92" s="22">
        <f t="shared" si="58"/>
        <v>2.1785714285714284</v>
      </c>
      <c r="N92" s="24">
        <f t="shared" si="59"/>
        <v>0.36065573770491804</v>
      </c>
      <c r="O92" s="21">
        <v>20</v>
      </c>
      <c r="P92" s="23">
        <v>40</v>
      </c>
      <c r="Q92" s="22">
        <f t="shared" si="34"/>
        <v>0.7142857142857143</v>
      </c>
      <c r="R92" s="22">
        <f t="shared" si="35"/>
        <v>1.4285714285714286</v>
      </c>
      <c r="S92" s="24">
        <f t="shared" si="36"/>
        <v>0.5</v>
      </c>
      <c r="T92" s="23">
        <v>2</v>
      </c>
      <c r="U92" s="23">
        <v>21</v>
      </c>
      <c r="V92" s="22">
        <f t="shared" si="37"/>
        <v>7.1428571428571425E-2</v>
      </c>
      <c r="W92" s="22">
        <f t="shared" si="38"/>
        <v>0.75</v>
      </c>
      <c r="X92" s="24">
        <f t="shared" si="39"/>
        <v>9.5238095238095233E-2</v>
      </c>
      <c r="Y92" s="23">
        <v>17</v>
      </c>
      <c r="Z92" s="23">
        <v>21</v>
      </c>
      <c r="AA92" s="22">
        <f t="shared" si="40"/>
        <v>0.6071428571428571</v>
      </c>
      <c r="AB92" s="22">
        <f t="shared" si="41"/>
        <v>0.75</v>
      </c>
      <c r="AC92" s="24">
        <f t="shared" si="42"/>
        <v>0.80952380952380953</v>
      </c>
      <c r="AD92" s="23">
        <v>43</v>
      </c>
      <c r="AE92" s="22">
        <f t="shared" si="43"/>
        <v>1.5357142857142858</v>
      </c>
      <c r="AF92" s="23">
        <v>15</v>
      </c>
      <c r="AG92" s="22">
        <f t="shared" si="44"/>
        <v>0.5357142857142857</v>
      </c>
      <c r="AH92" s="23">
        <v>28</v>
      </c>
      <c r="AI92" s="22">
        <f t="shared" si="45"/>
        <v>1</v>
      </c>
      <c r="AJ92" s="23">
        <v>29</v>
      </c>
      <c r="AK92" s="22">
        <f t="shared" si="46"/>
        <v>1.0357142857142858</v>
      </c>
      <c r="AL92" s="23">
        <v>13</v>
      </c>
      <c r="AM92" s="22">
        <f t="shared" si="47"/>
        <v>0.4642857142857143</v>
      </c>
      <c r="AN92" s="23">
        <v>0</v>
      </c>
      <c r="AO92" s="22">
        <f t="shared" si="48"/>
        <v>0</v>
      </c>
      <c r="AP92" s="10">
        <v>15</v>
      </c>
      <c r="AQ92" s="22">
        <f t="shared" si="49"/>
        <v>0.5357142857142857</v>
      </c>
      <c r="AR92" s="23">
        <v>53</v>
      </c>
      <c r="AS92" s="22">
        <f t="shared" si="50"/>
        <v>1.8928571428571428</v>
      </c>
      <c r="AT92" s="25">
        <v>0.37068007467508512</v>
      </c>
      <c r="AU92" s="25">
        <v>4.742175795416867E-2</v>
      </c>
      <c r="AV92" s="25">
        <v>2.8128067426882002E-2</v>
      </c>
      <c r="AW92" s="25">
        <v>0.34255200724820312</v>
      </c>
      <c r="AX92" s="25">
        <v>100.45665318191385</v>
      </c>
      <c r="AY92" s="25">
        <v>109.02459448635229</v>
      </c>
      <c r="AZ92" s="25">
        <v>2.2835065007856117</v>
      </c>
      <c r="BA92" s="25">
        <v>3.2142857142857144</v>
      </c>
      <c r="BB92" s="25">
        <v>11.513859275053305</v>
      </c>
      <c r="BC92" s="24">
        <v>0.44846241457858771</v>
      </c>
      <c r="BD92" s="24">
        <v>0.37704918032786883</v>
      </c>
      <c r="BE92" s="25">
        <v>6.364376217959725</v>
      </c>
      <c r="BF92" s="24">
        <v>0.34426229508196721</v>
      </c>
      <c r="BG92" s="24">
        <v>0.34426229508196721</v>
      </c>
      <c r="BH92" s="25">
        <v>2.7970506654649707</v>
      </c>
      <c r="BI92" s="25">
        <v>5.221161242201279</v>
      </c>
      <c r="BJ92" s="25">
        <v>3.7358683178818497</v>
      </c>
      <c r="BK92" s="25">
        <v>6.0318753412429471</v>
      </c>
      <c r="BL92" s="25">
        <v>2.227350669272639</v>
      </c>
      <c r="BM92" s="25">
        <v>0</v>
      </c>
      <c r="BN92" s="25">
        <v>17.597372125762554</v>
      </c>
      <c r="BO92" s="26" t="s">
        <v>176</v>
      </c>
      <c r="BP92" s="26"/>
      <c r="BQ92" s="32" t="s">
        <v>267</v>
      </c>
      <c r="BR92" s="32">
        <v>191.34</v>
      </c>
      <c r="BS92" s="32">
        <v>254.14</v>
      </c>
      <c r="BT92" s="32">
        <v>62.8</v>
      </c>
      <c r="BU92" s="36">
        <f t="shared" si="51"/>
        <v>6.8335714285714273</v>
      </c>
      <c r="BV92" s="36">
        <f t="shared" si="52"/>
        <v>9.0764285714285702</v>
      </c>
      <c r="BW92" s="36">
        <f t="shared" si="53"/>
        <v>2.2428571428571429</v>
      </c>
      <c r="BX92" s="37">
        <f t="shared" si="54"/>
        <v>24.478464818763321</v>
      </c>
      <c r="BY92" s="37">
        <f t="shared" si="55"/>
        <v>32.512579957356074</v>
      </c>
      <c r="BZ92" s="37">
        <f t="shared" si="56"/>
        <v>8.0341151385927514</v>
      </c>
      <c r="CA92" s="34">
        <v>17</v>
      </c>
      <c r="CB92" s="34">
        <v>11</v>
      </c>
    </row>
    <row r="93" spans="1:80" x14ac:dyDescent="0.4">
      <c r="A93" s="16" t="s">
        <v>178</v>
      </c>
      <c r="B93" s="38" t="s">
        <v>252</v>
      </c>
      <c r="C93" s="38" t="s">
        <v>187</v>
      </c>
      <c r="D93" s="23">
        <v>52</v>
      </c>
      <c r="E93" s="23">
        <v>26</v>
      </c>
      <c r="F93" s="23">
        <v>56</v>
      </c>
      <c r="G93" s="21">
        <v>84032</v>
      </c>
      <c r="H93" s="21">
        <v>886</v>
      </c>
      <c r="I93" s="22">
        <f t="shared" si="33"/>
        <v>17.03846153846154</v>
      </c>
      <c r="J93" s="23">
        <v>360</v>
      </c>
      <c r="K93" s="23">
        <v>695</v>
      </c>
      <c r="L93" s="22">
        <f t="shared" si="57"/>
        <v>6.9230769230769234</v>
      </c>
      <c r="M93" s="22">
        <f t="shared" si="58"/>
        <v>13.365384615384615</v>
      </c>
      <c r="N93" s="24">
        <f t="shared" si="59"/>
        <v>0.51798561151079137</v>
      </c>
      <c r="O93" s="21">
        <v>322</v>
      </c>
      <c r="P93" s="23">
        <v>580</v>
      </c>
      <c r="Q93" s="22">
        <f t="shared" si="34"/>
        <v>6.1923076923076925</v>
      </c>
      <c r="R93" s="22">
        <f t="shared" si="35"/>
        <v>11.153846153846153</v>
      </c>
      <c r="S93" s="24">
        <f t="shared" si="36"/>
        <v>0.55517241379310345</v>
      </c>
      <c r="T93" s="23">
        <v>38</v>
      </c>
      <c r="U93" s="23">
        <v>115</v>
      </c>
      <c r="V93" s="22">
        <f t="shared" si="37"/>
        <v>0.73076923076923073</v>
      </c>
      <c r="W93" s="22">
        <f t="shared" si="38"/>
        <v>2.2115384615384617</v>
      </c>
      <c r="X93" s="24">
        <f t="shared" si="39"/>
        <v>0.33043478260869563</v>
      </c>
      <c r="Y93" s="23">
        <v>128</v>
      </c>
      <c r="Z93" s="23">
        <v>176</v>
      </c>
      <c r="AA93" s="22">
        <f t="shared" si="40"/>
        <v>2.4615384615384617</v>
      </c>
      <c r="AB93" s="22">
        <f t="shared" si="41"/>
        <v>3.3846153846153846</v>
      </c>
      <c r="AC93" s="24">
        <f t="shared" si="42"/>
        <v>0.72727272727272729</v>
      </c>
      <c r="AD93" s="23">
        <v>548</v>
      </c>
      <c r="AE93" s="22">
        <f t="shared" si="43"/>
        <v>10.538461538461538</v>
      </c>
      <c r="AF93" s="23">
        <v>169</v>
      </c>
      <c r="AG93" s="22">
        <f t="shared" si="44"/>
        <v>3.25</v>
      </c>
      <c r="AH93" s="23">
        <v>379</v>
      </c>
      <c r="AI93" s="22">
        <f t="shared" si="45"/>
        <v>7.2884615384615383</v>
      </c>
      <c r="AJ93" s="23">
        <v>62</v>
      </c>
      <c r="AK93" s="22">
        <f t="shared" si="46"/>
        <v>1.1923076923076923</v>
      </c>
      <c r="AL93" s="23">
        <v>35</v>
      </c>
      <c r="AM93" s="22">
        <f t="shared" si="47"/>
        <v>0.67307692307692313</v>
      </c>
      <c r="AN93" s="23">
        <v>91</v>
      </c>
      <c r="AO93" s="22">
        <f t="shared" si="48"/>
        <v>1.75</v>
      </c>
      <c r="AP93" s="10">
        <v>114</v>
      </c>
      <c r="AQ93" s="22">
        <f t="shared" si="49"/>
        <v>2.1923076923076925</v>
      </c>
      <c r="AR93" s="23">
        <v>130</v>
      </c>
      <c r="AS93" s="22">
        <f t="shared" si="50"/>
        <v>2.5</v>
      </c>
      <c r="AT93" s="25">
        <v>6.6504917614403372</v>
      </c>
      <c r="AU93" s="25">
        <v>0.18994169158721452</v>
      </c>
      <c r="AV93" s="25">
        <v>3.3769903030319837</v>
      </c>
      <c r="AW93" s="25">
        <v>3.273501458408353</v>
      </c>
      <c r="AX93" s="25">
        <v>111.51699515628188</v>
      </c>
      <c r="AY93" s="25">
        <v>100.18086696164775</v>
      </c>
      <c r="AZ93" s="25">
        <v>24.046838150224378</v>
      </c>
      <c r="BA93" s="25">
        <v>21.634615384615383</v>
      </c>
      <c r="BB93" s="25">
        <v>32.130616907844633</v>
      </c>
      <c r="BC93" s="24">
        <v>0.57350732742996213</v>
      </c>
      <c r="BD93" s="24">
        <v>0.54532374100719427</v>
      </c>
      <c r="BE93" s="25">
        <v>27.440700548293943</v>
      </c>
      <c r="BF93" s="24">
        <v>0.16546762589928057</v>
      </c>
      <c r="BG93" s="24">
        <v>0.25323741007194245</v>
      </c>
      <c r="BH93" s="25">
        <v>13.065595992186413</v>
      </c>
      <c r="BI93" s="25">
        <v>29.300951958808579</v>
      </c>
      <c r="BJ93" s="25">
        <v>19.739543685147073</v>
      </c>
      <c r="BK93" s="25">
        <v>7.2712488565374773</v>
      </c>
      <c r="BL93" s="25">
        <v>1.3387559770677242</v>
      </c>
      <c r="BM93" s="25">
        <v>5.9145958359512099</v>
      </c>
      <c r="BN93" s="25">
        <v>12.860430485988898</v>
      </c>
      <c r="BO93" s="26" t="s">
        <v>249</v>
      </c>
      <c r="BP93" s="26"/>
      <c r="BQ93" s="32" t="s">
        <v>266</v>
      </c>
      <c r="BR93" s="32">
        <v>1554</v>
      </c>
      <c r="BS93" s="32">
        <v>2090.6999999999998</v>
      </c>
      <c r="BT93" s="32">
        <v>536.70000000000005</v>
      </c>
      <c r="BU93" s="36">
        <f t="shared" si="51"/>
        <v>29.88461538461538</v>
      </c>
      <c r="BV93" s="36">
        <f t="shared" si="52"/>
        <v>40.205769230769228</v>
      </c>
      <c r="BW93" s="36">
        <f t="shared" si="53"/>
        <v>10.321153846153846</v>
      </c>
      <c r="BX93" s="37">
        <f t="shared" si="54"/>
        <v>44.383092155369383</v>
      </c>
      <c r="BY93" s="37">
        <f t="shared" si="55"/>
        <v>59.71153846153846</v>
      </c>
      <c r="BZ93" s="37">
        <f t="shared" si="56"/>
        <v>15.328446306169079</v>
      </c>
      <c r="CA93" s="34">
        <v>36</v>
      </c>
      <c r="CB93" s="34">
        <v>16</v>
      </c>
    </row>
    <row r="94" spans="1:80" x14ac:dyDescent="0.4">
      <c r="A94" s="16" t="s">
        <v>178</v>
      </c>
      <c r="B94" s="51" t="s">
        <v>252</v>
      </c>
      <c r="C94" s="51" t="s">
        <v>67</v>
      </c>
      <c r="D94" s="39">
        <v>50</v>
      </c>
      <c r="E94" s="39">
        <v>21</v>
      </c>
      <c r="F94" s="39">
        <v>42</v>
      </c>
      <c r="G94" s="67">
        <v>65100</v>
      </c>
      <c r="H94" s="67">
        <v>376</v>
      </c>
      <c r="I94" s="22">
        <f t="shared" si="33"/>
        <v>7.52</v>
      </c>
      <c r="J94" s="39">
        <v>151</v>
      </c>
      <c r="K94" s="39">
        <v>270</v>
      </c>
      <c r="L94" s="22">
        <f t="shared" si="57"/>
        <v>3.02</v>
      </c>
      <c r="M94" s="22">
        <f t="shared" si="58"/>
        <v>5.4</v>
      </c>
      <c r="N94" s="24">
        <f t="shared" si="59"/>
        <v>0.55925925925925923</v>
      </c>
      <c r="O94" s="67">
        <v>151</v>
      </c>
      <c r="P94" s="39">
        <v>270</v>
      </c>
      <c r="Q94" s="22">
        <f t="shared" si="34"/>
        <v>3.02</v>
      </c>
      <c r="R94" s="22">
        <f t="shared" si="35"/>
        <v>5.4</v>
      </c>
      <c r="S94" s="24">
        <f t="shared" si="36"/>
        <v>0.55925925925925923</v>
      </c>
      <c r="T94" s="39">
        <v>0</v>
      </c>
      <c r="U94" s="39">
        <v>0</v>
      </c>
      <c r="V94" s="22">
        <f t="shared" si="37"/>
        <v>0</v>
      </c>
      <c r="W94" s="22">
        <f t="shared" si="38"/>
        <v>0</v>
      </c>
      <c r="X94" s="24" t="e">
        <f t="shared" si="39"/>
        <v>#DIV/0!</v>
      </c>
      <c r="Y94" s="39">
        <v>74</v>
      </c>
      <c r="Z94" s="39">
        <v>107</v>
      </c>
      <c r="AA94" s="22">
        <f t="shared" si="40"/>
        <v>1.48</v>
      </c>
      <c r="AB94" s="22">
        <f t="shared" si="41"/>
        <v>2.14</v>
      </c>
      <c r="AC94" s="24">
        <f t="shared" si="42"/>
        <v>0.69158878504672894</v>
      </c>
      <c r="AD94" s="39">
        <v>237</v>
      </c>
      <c r="AE94" s="22">
        <f t="shared" si="43"/>
        <v>4.74</v>
      </c>
      <c r="AF94" s="39">
        <v>105</v>
      </c>
      <c r="AG94" s="22">
        <f t="shared" si="44"/>
        <v>2.1</v>
      </c>
      <c r="AH94" s="39">
        <v>132</v>
      </c>
      <c r="AI94" s="22">
        <f t="shared" si="45"/>
        <v>2.64</v>
      </c>
      <c r="AJ94" s="39">
        <v>25</v>
      </c>
      <c r="AK94" s="22">
        <f t="shared" si="46"/>
        <v>0.5</v>
      </c>
      <c r="AL94" s="39">
        <v>23</v>
      </c>
      <c r="AM94" s="22">
        <f t="shared" si="47"/>
        <v>0.46</v>
      </c>
      <c r="AN94" s="39">
        <v>32</v>
      </c>
      <c r="AO94" s="22">
        <f t="shared" si="48"/>
        <v>0.64</v>
      </c>
      <c r="AP94" s="10">
        <v>49</v>
      </c>
      <c r="AQ94" s="22">
        <f t="shared" si="49"/>
        <v>0.98</v>
      </c>
      <c r="AR94" s="39">
        <v>81</v>
      </c>
      <c r="AS94" s="22">
        <f t="shared" si="50"/>
        <v>1.62</v>
      </c>
      <c r="AT94" s="25">
        <v>3.2772592404197471</v>
      </c>
      <c r="AU94" s="25">
        <v>0.12082061715833169</v>
      </c>
      <c r="AV94" s="25">
        <v>2.0776725169703183</v>
      </c>
      <c r="AW94" s="25">
        <v>1.1995867234494291</v>
      </c>
      <c r="AX94" s="25">
        <v>116.63637991961906</v>
      </c>
      <c r="AY94" s="25">
        <v>108.9531764191368</v>
      </c>
      <c r="AZ94" s="25">
        <v>13.109963518734425</v>
      </c>
      <c r="BA94" s="25">
        <v>9.84</v>
      </c>
      <c r="BB94" s="25">
        <v>18.138248847926267</v>
      </c>
      <c r="BC94" s="24">
        <v>0.59291030654724364</v>
      </c>
      <c r="BD94" s="24">
        <v>0.55925925925925923</v>
      </c>
      <c r="BE94" s="25">
        <v>14.065404438010095</v>
      </c>
      <c r="BF94" s="24">
        <v>0</v>
      </c>
      <c r="BG94" s="24">
        <v>0.39629629629629631</v>
      </c>
      <c r="BH94" s="25">
        <v>10.075397558395325</v>
      </c>
      <c r="BI94" s="25">
        <v>12.666214073411266</v>
      </c>
      <c r="BJ94" s="25">
        <v>10.595836998472098</v>
      </c>
      <c r="BK94" s="25">
        <v>3.0264786618121948</v>
      </c>
      <c r="BL94" s="25">
        <v>1.1355988027623281</v>
      </c>
      <c r="BM94" s="25">
        <v>2.5814518649981344</v>
      </c>
      <c r="BN94" s="25">
        <v>13.385052447552448</v>
      </c>
      <c r="BO94" s="26" t="s">
        <v>176</v>
      </c>
      <c r="BP94" s="27"/>
      <c r="BQ94" s="33" t="s">
        <v>266</v>
      </c>
      <c r="BR94" s="33">
        <v>813.4</v>
      </c>
      <c r="BS94" s="33">
        <v>1032.3</v>
      </c>
      <c r="BT94" s="33">
        <v>218.9</v>
      </c>
      <c r="BU94" s="36">
        <f t="shared" si="51"/>
        <v>16.268000000000001</v>
      </c>
      <c r="BV94" s="36">
        <f t="shared" si="52"/>
        <v>20.646000000000001</v>
      </c>
      <c r="BW94" s="36">
        <f t="shared" si="53"/>
        <v>4.3780000000000001</v>
      </c>
      <c r="BX94" s="37">
        <f t="shared" si="54"/>
        <v>29.987096774193546</v>
      </c>
      <c r="BY94" s="37">
        <f t="shared" si="55"/>
        <v>38.057142857142857</v>
      </c>
      <c r="BZ94" s="37">
        <f t="shared" si="56"/>
        <v>8.0700460829493093</v>
      </c>
      <c r="CA94" s="34">
        <v>35</v>
      </c>
      <c r="CB94" s="34">
        <v>15</v>
      </c>
    </row>
    <row r="95" spans="1:80" x14ac:dyDescent="0.4">
      <c r="A95" s="16" t="s">
        <v>178</v>
      </c>
      <c r="B95" s="16" t="s">
        <v>252</v>
      </c>
      <c r="C95" s="16" t="s">
        <v>69</v>
      </c>
      <c r="D95" s="23">
        <v>16</v>
      </c>
      <c r="E95" s="23">
        <v>9</v>
      </c>
      <c r="F95" s="23">
        <v>56</v>
      </c>
      <c r="G95" s="21">
        <v>9536</v>
      </c>
      <c r="H95" s="21">
        <v>64</v>
      </c>
      <c r="I95" s="22">
        <f t="shared" si="33"/>
        <v>4</v>
      </c>
      <c r="J95" s="23">
        <v>26</v>
      </c>
      <c r="K95" s="23">
        <v>54</v>
      </c>
      <c r="L95" s="22">
        <f t="shared" si="57"/>
        <v>1.625</v>
      </c>
      <c r="M95" s="22">
        <f t="shared" si="58"/>
        <v>3.375</v>
      </c>
      <c r="N95" s="24">
        <f t="shared" si="59"/>
        <v>0.48148148148148145</v>
      </c>
      <c r="O95" s="21">
        <v>18</v>
      </c>
      <c r="P95" s="23">
        <v>27</v>
      </c>
      <c r="Q95" s="22">
        <f t="shared" si="34"/>
        <v>1.125</v>
      </c>
      <c r="R95" s="22">
        <f t="shared" si="35"/>
        <v>1.6875</v>
      </c>
      <c r="S95" s="24">
        <f t="shared" si="36"/>
        <v>0.66666666666666663</v>
      </c>
      <c r="T95" s="23">
        <v>8</v>
      </c>
      <c r="U95" s="23">
        <v>27</v>
      </c>
      <c r="V95" s="22">
        <f t="shared" si="37"/>
        <v>0.5</v>
      </c>
      <c r="W95" s="22">
        <f t="shared" si="38"/>
        <v>1.6875</v>
      </c>
      <c r="X95" s="24">
        <f t="shared" si="39"/>
        <v>0.29629629629629628</v>
      </c>
      <c r="Y95" s="23">
        <v>4</v>
      </c>
      <c r="Z95" s="23">
        <v>8</v>
      </c>
      <c r="AA95" s="22">
        <f t="shared" si="40"/>
        <v>0.25</v>
      </c>
      <c r="AB95" s="22">
        <f t="shared" si="41"/>
        <v>0.5</v>
      </c>
      <c r="AC95" s="24">
        <f t="shared" si="42"/>
        <v>0.5</v>
      </c>
      <c r="AD95" s="23">
        <v>22</v>
      </c>
      <c r="AE95" s="22">
        <f t="shared" si="43"/>
        <v>1.375</v>
      </c>
      <c r="AF95" s="23">
        <v>10</v>
      </c>
      <c r="AG95" s="22">
        <f t="shared" si="44"/>
        <v>0.625</v>
      </c>
      <c r="AH95" s="23">
        <v>12</v>
      </c>
      <c r="AI95" s="22">
        <f t="shared" si="45"/>
        <v>0.75</v>
      </c>
      <c r="AJ95" s="23">
        <v>4</v>
      </c>
      <c r="AK95" s="22">
        <f t="shared" si="46"/>
        <v>0.25</v>
      </c>
      <c r="AL95" s="23">
        <v>4</v>
      </c>
      <c r="AM95" s="22">
        <f t="shared" si="47"/>
        <v>0.25</v>
      </c>
      <c r="AN95" s="23">
        <v>1</v>
      </c>
      <c r="AO95" s="22">
        <f t="shared" si="48"/>
        <v>6.25E-2</v>
      </c>
      <c r="AP95" s="10">
        <v>6</v>
      </c>
      <c r="AQ95" s="22">
        <f t="shared" si="49"/>
        <v>0.375</v>
      </c>
      <c r="AR95" s="23">
        <v>20</v>
      </c>
      <c r="AS95" s="22">
        <f t="shared" si="50"/>
        <v>1.25</v>
      </c>
      <c r="AT95" s="25">
        <v>0.34344794618827379</v>
      </c>
      <c r="AU95" s="25">
        <v>8.6438241490337367E-2</v>
      </c>
      <c r="AV95" s="25">
        <v>0.22362727770032401</v>
      </c>
      <c r="AW95" s="25">
        <v>0.11982066848794977</v>
      </c>
      <c r="AX95" s="25">
        <v>111.02713894590646</v>
      </c>
      <c r="AY95" s="25">
        <v>111.45802707143766</v>
      </c>
      <c r="AZ95" s="25">
        <v>3.1937630834930779</v>
      </c>
      <c r="BA95" s="25">
        <v>3.5625</v>
      </c>
      <c r="BB95" s="25">
        <v>14.345637583892616</v>
      </c>
      <c r="BC95" s="24">
        <v>0.55632823365785811</v>
      </c>
      <c r="BD95" s="24">
        <v>0.55555555555555558</v>
      </c>
      <c r="BE95" s="25">
        <v>5.3315248228140915</v>
      </c>
      <c r="BF95" s="24">
        <v>0.5</v>
      </c>
      <c r="BG95" s="24">
        <v>0.14814814814814814</v>
      </c>
      <c r="BH95" s="25">
        <v>2.09622365308896</v>
      </c>
      <c r="BI95" s="25">
        <v>2.5154683837067524</v>
      </c>
      <c r="BJ95" s="25">
        <v>2.1486927971585166</v>
      </c>
      <c r="BK95" s="25">
        <v>0.94955865305105069</v>
      </c>
      <c r="BL95" s="25">
        <v>1.3482543416221837</v>
      </c>
      <c r="BM95" s="25">
        <v>0.17622956838441542</v>
      </c>
      <c r="BN95" s="25">
        <v>9.4458438287153648</v>
      </c>
      <c r="BO95" s="26" t="s">
        <v>176</v>
      </c>
      <c r="BP95" s="26"/>
      <c r="BQ95" s="32" t="s">
        <v>268</v>
      </c>
      <c r="BR95" s="32">
        <v>103.41</v>
      </c>
      <c r="BS95" s="32">
        <v>141.71</v>
      </c>
      <c r="BT95" s="32">
        <v>38.299999999999997</v>
      </c>
      <c r="BU95" s="36">
        <f t="shared" si="51"/>
        <v>6.4631250000000007</v>
      </c>
      <c r="BV95" s="36">
        <f t="shared" si="52"/>
        <v>8.8568750000000005</v>
      </c>
      <c r="BW95" s="36">
        <f t="shared" si="53"/>
        <v>2.3937499999999998</v>
      </c>
      <c r="BX95" s="37">
        <f t="shared" si="54"/>
        <v>26.026006711409398</v>
      </c>
      <c r="BY95" s="37">
        <f t="shared" si="55"/>
        <v>35.665268456375841</v>
      </c>
      <c r="BZ95" s="37">
        <f t="shared" si="56"/>
        <v>9.6392617449664435</v>
      </c>
      <c r="CA95" s="34">
        <v>13</v>
      </c>
      <c r="CB95" s="34">
        <v>3</v>
      </c>
    </row>
    <row r="96" spans="1:80" x14ac:dyDescent="0.4">
      <c r="A96" s="16" t="s">
        <v>178</v>
      </c>
      <c r="B96" s="16" t="s">
        <v>252</v>
      </c>
      <c r="C96" s="16" t="s">
        <v>72</v>
      </c>
      <c r="D96" s="23">
        <v>40</v>
      </c>
      <c r="E96" s="23">
        <v>29</v>
      </c>
      <c r="F96" s="23">
        <v>14</v>
      </c>
      <c r="G96" s="21">
        <v>70160</v>
      </c>
      <c r="H96" s="21">
        <v>598</v>
      </c>
      <c r="I96" s="22">
        <f t="shared" si="33"/>
        <v>14.95</v>
      </c>
      <c r="J96" s="23">
        <v>206</v>
      </c>
      <c r="K96" s="23">
        <v>462</v>
      </c>
      <c r="L96" s="22">
        <f t="shared" si="57"/>
        <v>5.15</v>
      </c>
      <c r="M96" s="22">
        <f t="shared" si="58"/>
        <v>11.55</v>
      </c>
      <c r="N96" s="24">
        <f t="shared" si="59"/>
        <v>0.44588744588744589</v>
      </c>
      <c r="O96" s="21">
        <v>123</v>
      </c>
      <c r="P96" s="23">
        <v>246</v>
      </c>
      <c r="Q96" s="22">
        <f t="shared" si="34"/>
        <v>3.0750000000000002</v>
      </c>
      <c r="R96" s="22">
        <f t="shared" si="35"/>
        <v>6.15</v>
      </c>
      <c r="S96" s="24">
        <f t="shared" si="36"/>
        <v>0.5</v>
      </c>
      <c r="T96" s="23">
        <v>83</v>
      </c>
      <c r="U96" s="23">
        <v>216</v>
      </c>
      <c r="V96" s="22">
        <f t="shared" si="37"/>
        <v>2.0750000000000002</v>
      </c>
      <c r="W96" s="22">
        <f t="shared" si="38"/>
        <v>5.4</v>
      </c>
      <c r="X96" s="24">
        <f t="shared" si="39"/>
        <v>0.38425925925925924</v>
      </c>
      <c r="Y96" s="23">
        <v>103</v>
      </c>
      <c r="Z96" s="23">
        <v>127</v>
      </c>
      <c r="AA96" s="22">
        <f t="shared" si="40"/>
        <v>2.5750000000000002</v>
      </c>
      <c r="AB96" s="22">
        <f t="shared" si="41"/>
        <v>3.1749999999999998</v>
      </c>
      <c r="AC96" s="24">
        <f t="shared" si="42"/>
        <v>0.8110236220472441</v>
      </c>
      <c r="AD96" s="23">
        <v>94</v>
      </c>
      <c r="AE96" s="22">
        <f t="shared" si="43"/>
        <v>2.35</v>
      </c>
      <c r="AF96" s="23">
        <v>26</v>
      </c>
      <c r="AG96" s="22">
        <f t="shared" si="44"/>
        <v>0.65</v>
      </c>
      <c r="AH96" s="23">
        <v>68</v>
      </c>
      <c r="AI96" s="22">
        <f t="shared" si="45"/>
        <v>1.7</v>
      </c>
      <c r="AJ96" s="23">
        <v>209</v>
      </c>
      <c r="AK96" s="22">
        <f t="shared" si="46"/>
        <v>5.2249999999999996</v>
      </c>
      <c r="AL96" s="23">
        <v>45</v>
      </c>
      <c r="AM96" s="22">
        <f t="shared" si="47"/>
        <v>1.125</v>
      </c>
      <c r="AN96" s="23">
        <v>2</v>
      </c>
      <c r="AO96" s="22">
        <f t="shared" si="48"/>
        <v>0.05</v>
      </c>
      <c r="AP96" s="10">
        <v>104</v>
      </c>
      <c r="AQ96" s="22">
        <f t="shared" si="49"/>
        <v>2.6</v>
      </c>
      <c r="AR96" s="23">
        <v>70</v>
      </c>
      <c r="AS96" s="22">
        <f t="shared" si="50"/>
        <v>1.75</v>
      </c>
      <c r="AT96" s="25">
        <v>3.9431933283481686</v>
      </c>
      <c r="AU96" s="25">
        <v>0.13488688694463519</v>
      </c>
      <c r="AV96" s="25">
        <v>2.999460819425682</v>
      </c>
      <c r="AW96" s="25">
        <v>0.94373250892248661</v>
      </c>
      <c r="AX96" s="25">
        <v>113.88930340053416</v>
      </c>
      <c r="AY96" s="25">
        <v>111.07939413547768</v>
      </c>
      <c r="AZ96" s="25">
        <v>12.636055822054649</v>
      </c>
      <c r="BA96" s="25">
        <v>14.1</v>
      </c>
      <c r="BB96" s="25">
        <v>19.293044469783354</v>
      </c>
      <c r="BC96" s="24">
        <v>0.57735382714142269</v>
      </c>
      <c r="BD96" s="24">
        <v>0.5357142857142857</v>
      </c>
      <c r="BE96" s="25">
        <v>17.736348219719893</v>
      </c>
      <c r="BF96" s="24">
        <v>0.46753246753246752</v>
      </c>
      <c r="BG96" s="24">
        <v>0.27489177489177491</v>
      </c>
      <c r="BH96" s="25">
        <v>1.8519430859901098</v>
      </c>
      <c r="BI96" s="25">
        <v>4.8435434556664418</v>
      </c>
      <c r="BJ96" s="25">
        <v>3.1195803168863048</v>
      </c>
      <c r="BK96" s="25">
        <v>18.824914038146723</v>
      </c>
      <c r="BL96" s="25">
        <v>2.0615838906674435</v>
      </c>
      <c r="BM96" s="25">
        <v>0.11976376597162097</v>
      </c>
      <c r="BN96" s="25">
        <v>16.72348363028237</v>
      </c>
      <c r="BO96" s="26" t="s">
        <v>176</v>
      </c>
      <c r="BP96" s="27"/>
      <c r="BQ96" s="33" t="s">
        <v>267</v>
      </c>
      <c r="BR96" s="33">
        <v>957.9</v>
      </c>
      <c r="BS96" s="33">
        <v>1375.8</v>
      </c>
      <c r="BT96" s="33">
        <v>417.9</v>
      </c>
      <c r="BU96" s="36">
        <f t="shared" si="51"/>
        <v>23.947499999999998</v>
      </c>
      <c r="BV96" s="36">
        <f t="shared" si="52"/>
        <v>34.394999999999996</v>
      </c>
      <c r="BW96" s="36">
        <f t="shared" si="53"/>
        <v>10.4475</v>
      </c>
      <c r="BX96" s="37">
        <f t="shared" si="54"/>
        <v>32.767388825541623</v>
      </c>
      <c r="BY96" s="37">
        <f t="shared" si="55"/>
        <v>47.06271379703535</v>
      </c>
      <c r="BZ96" s="37">
        <f t="shared" si="56"/>
        <v>14.295324971493729</v>
      </c>
      <c r="CA96" s="34">
        <v>29</v>
      </c>
      <c r="CB96" s="34">
        <v>11</v>
      </c>
    </row>
    <row r="97" spans="1:80" x14ac:dyDescent="0.4">
      <c r="A97" s="16" t="s">
        <v>178</v>
      </c>
      <c r="B97" s="16" t="s">
        <v>258</v>
      </c>
      <c r="C97" s="16" t="s">
        <v>238</v>
      </c>
      <c r="D97" s="23">
        <v>48</v>
      </c>
      <c r="E97" s="23">
        <v>16</v>
      </c>
      <c r="F97" s="23">
        <v>18</v>
      </c>
      <c r="G97" s="21">
        <v>46944</v>
      </c>
      <c r="H97" s="21">
        <v>328</v>
      </c>
      <c r="I97" s="22">
        <f t="shared" si="33"/>
        <v>6.833333333333333</v>
      </c>
      <c r="J97" s="23">
        <v>127</v>
      </c>
      <c r="K97" s="23">
        <v>290</v>
      </c>
      <c r="L97" s="22">
        <f t="shared" si="57"/>
        <v>2.6458333333333335</v>
      </c>
      <c r="M97" s="22">
        <f t="shared" si="58"/>
        <v>6.041666666666667</v>
      </c>
      <c r="N97" s="24">
        <f t="shared" si="59"/>
        <v>0.43793103448275861</v>
      </c>
      <c r="O97" s="21">
        <v>99</v>
      </c>
      <c r="P97" s="23">
        <v>201</v>
      </c>
      <c r="Q97" s="22">
        <f t="shared" si="34"/>
        <v>2.0625</v>
      </c>
      <c r="R97" s="22">
        <f t="shared" si="35"/>
        <v>4.1875</v>
      </c>
      <c r="S97" s="24">
        <f t="shared" si="36"/>
        <v>0.4925373134328358</v>
      </c>
      <c r="T97" s="23">
        <v>28</v>
      </c>
      <c r="U97" s="23">
        <v>89</v>
      </c>
      <c r="V97" s="22">
        <f t="shared" si="37"/>
        <v>0.58333333333333337</v>
      </c>
      <c r="W97" s="22">
        <f t="shared" si="38"/>
        <v>1.8541666666666667</v>
      </c>
      <c r="X97" s="24">
        <f t="shared" si="39"/>
        <v>0.3146067415730337</v>
      </c>
      <c r="Y97" s="23">
        <v>46</v>
      </c>
      <c r="Z97" s="23">
        <v>64</v>
      </c>
      <c r="AA97" s="22">
        <f t="shared" si="40"/>
        <v>0.95833333333333337</v>
      </c>
      <c r="AB97" s="22">
        <f t="shared" si="41"/>
        <v>1.3333333333333333</v>
      </c>
      <c r="AC97" s="24">
        <f t="shared" si="42"/>
        <v>0.71875</v>
      </c>
      <c r="AD97" s="23">
        <v>266</v>
      </c>
      <c r="AE97" s="22">
        <f t="shared" si="43"/>
        <v>5.541666666666667</v>
      </c>
      <c r="AF97" s="23">
        <v>57</v>
      </c>
      <c r="AG97" s="22">
        <f t="shared" si="44"/>
        <v>1.1875</v>
      </c>
      <c r="AH97" s="23">
        <v>209</v>
      </c>
      <c r="AI97" s="22">
        <f t="shared" si="45"/>
        <v>4.354166666666667</v>
      </c>
      <c r="AJ97" s="23">
        <v>138</v>
      </c>
      <c r="AK97" s="22">
        <f t="shared" si="46"/>
        <v>2.875</v>
      </c>
      <c r="AL97" s="23">
        <v>32</v>
      </c>
      <c r="AM97" s="22">
        <f t="shared" si="47"/>
        <v>0.66666666666666663</v>
      </c>
      <c r="AN97" s="23">
        <v>10</v>
      </c>
      <c r="AO97" s="22">
        <f t="shared" si="48"/>
        <v>0.20833333333333334</v>
      </c>
      <c r="AP97" s="10">
        <v>62</v>
      </c>
      <c r="AQ97" s="22">
        <f t="shared" si="49"/>
        <v>1.2916666666666667</v>
      </c>
      <c r="AR97" s="23">
        <v>68</v>
      </c>
      <c r="AS97" s="22">
        <f t="shared" si="50"/>
        <v>1.4166666666666667</v>
      </c>
      <c r="AT97" s="25">
        <v>2.2952417296543768</v>
      </c>
      <c r="AU97" s="25">
        <v>0.11734364671034647</v>
      </c>
      <c r="AV97" s="25">
        <v>1.0646031471736606</v>
      </c>
      <c r="AW97" s="25">
        <v>1.2306385824807162</v>
      </c>
      <c r="AX97" s="25">
        <v>107.29141120428002</v>
      </c>
      <c r="AY97" s="25">
        <v>105.6248971120127</v>
      </c>
      <c r="AZ97" s="25">
        <v>16.567119998087882</v>
      </c>
      <c r="BA97" s="25">
        <v>11.0625</v>
      </c>
      <c r="BB97" s="25">
        <v>27.147239263803684</v>
      </c>
      <c r="BC97" s="24">
        <v>0.51546391752577314</v>
      </c>
      <c r="BD97" s="24">
        <v>0.48620689655172411</v>
      </c>
      <c r="BE97" s="25">
        <v>19.4453054748233</v>
      </c>
      <c r="BF97" s="24">
        <v>0.30689655172413793</v>
      </c>
      <c r="BG97" s="24">
        <v>0.22068965517241379</v>
      </c>
      <c r="BH97" s="25">
        <v>7.2814836342268059</v>
      </c>
      <c r="BI97" s="25">
        <v>26.698773325498287</v>
      </c>
      <c r="BJ97" s="25">
        <v>15.83217890362161</v>
      </c>
      <c r="BK97" s="25">
        <v>22.738226171204015</v>
      </c>
      <c r="BL97" s="25">
        <v>2.1910281870669976</v>
      </c>
      <c r="BM97" s="25">
        <v>1.0739552429152515</v>
      </c>
      <c r="BN97" s="25">
        <v>16.308922558922557</v>
      </c>
      <c r="BO97" s="26" t="s">
        <v>249</v>
      </c>
      <c r="BP97" s="27"/>
      <c r="BQ97" s="32" t="s">
        <v>266</v>
      </c>
      <c r="BR97" s="32">
        <v>811.7</v>
      </c>
      <c r="BS97" s="32">
        <v>1076</v>
      </c>
      <c r="BT97" s="32">
        <v>264.3</v>
      </c>
      <c r="BU97" s="36">
        <f t="shared" si="51"/>
        <v>16.910416666666666</v>
      </c>
      <c r="BV97" s="36">
        <f t="shared" si="52"/>
        <v>22.416666666666668</v>
      </c>
      <c r="BW97" s="36">
        <f t="shared" si="53"/>
        <v>5.5062500000000005</v>
      </c>
      <c r="BX97" s="37">
        <f t="shared" si="54"/>
        <v>41.497955010224949</v>
      </c>
      <c r="BY97" s="37">
        <f t="shared" si="55"/>
        <v>55.010224948875255</v>
      </c>
      <c r="BZ97" s="37">
        <f t="shared" si="56"/>
        <v>13.512269938650308</v>
      </c>
      <c r="CA97" s="34">
        <v>28</v>
      </c>
      <c r="CB97" s="34">
        <v>20</v>
      </c>
    </row>
    <row r="98" spans="1:80" x14ac:dyDescent="0.4">
      <c r="A98" s="16" t="s">
        <v>178</v>
      </c>
      <c r="B98" s="16" t="s">
        <v>258</v>
      </c>
      <c r="C98" s="16" t="s">
        <v>68</v>
      </c>
      <c r="D98" s="23">
        <v>54</v>
      </c>
      <c r="E98" s="23">
        <v>31</v>
      </c>
      <c r="F98" s="23">
        <v>50</v>
      </c>
      <c r="G98" s="21">
        <v>103140</v>
      </c>
      <c r="H98" s="21">
        <v>484</v>
      </c>
      <c r="I98" s="22">
        <f t="shared" si="33"/>
        <v>8.9629629629629637</v>
      </c>
      <c r="J98" s="23">
        <v>175</v>
      </c>
      <c r="K98" s="23">
        <v>381</v>
      </c>
      <c r="L98" s="22">
        <f t="shared" si="57"/>
        <v>3.2407407407407409</v>
      </c>
      <c r="M98" s="22">
        <f t="shared" si="58"/>
        <v>7.0555555555555554</v>
      </c>
      <c r="N98" s="24">
        <f t="shared" si="59"/>
        <v>0.45931758530183725</v>
      </c>
      <c r="O98" s="21">
        <v>74</v>
      </c>
      <c r="P98" s="23">
        <v>107</v>
      </c>
      <c r="Q98" s="22">
        <f t="shared" si="34"/>
        <v>1.3703703703703705</v>
      </c>
      <c r="R98" s="22">
        <f t="shared" si="35"/>
        <v>1.9814814814814814</v>
      </c>
      <c r="S98" s="24">
        <f t="shared" si="36"/>
        <v>0.69158878504672894</v>
      </c>
      <c r="T98" s="23">
        <v>101</v>
      </c>
      <c r="U98" s="23">
        <v>274</v>
      </c>
      <c r="V98" s="22">
        <f t="shared" si="37"/>
        <v>1.8703703703703705</v>
      </c>
      <c r="W98" s="22">
        <f t="shared" si="38"/>
        <v>5.0740740740740744</v>
      </c>
      <c r="X98" s="24">
        <f t="shared" si="39"/>
        <v>0.36861313868613138</v>
      </c>
      <c r="Y98" s="23">
        <v>33</v>
      </c>
      <c r="Z98" s="23">
        <v>58</v>
      </c>
      <c r="AA98" s="22">
        <f t="shared" si="40"/>
        <v>0.61111111111111116</v>
      </c>
      <c r="AB98" s="22">
        <f t="shared" si="41"/>
        <v>1.0740740740740742</v>
      </c>
      <c r="AC98" s="24">
        <f t="shared" si="42"/>
        <v>0.56896551724137934</v>
      </c>
      <c r="AD98" s="23">
        <v>299</v>
      </c>
      <c r="AE98" s="22">
        <f t="shared" si="43"/>
        <v>5.5370370370370372</v>
      </c>
      <c r="AF98" s="23">
        <v>104</v>
      </c>
      <c r="AG98" s="22">
        <f t="shared" si="44"/>
        <v>1.9259259259259258</v>
      </c>
      <c r="AH98" s="23">
        <v>195</v>
      </c>
      <c r="AI98" s="22">
        <f t="shared" si="45"/>
        <v>3.6111111111111112</v>
      </c>
      <c r="AJ98" s="23">
        <v>126</v>
      </c>
      <c r="AK98" s="22">
        <f t="shared" si="46"/>
        <v>2.3333333333333335</v>
      </c>
      <c r="AL98" s="23">
        <v>95</v>
      </c>
      <c r="AM98" s="22">
        <f t="shared" si="47"/>
        <v>1.7592592592592593</v>
      </c>
      <c r="AN98" s="23">
        <v>12</v>
      </c>
      <c r="AO98" s="22">
        <f t="shared" si="48"/>
        <v>0.22222222222222221</v>
      </c>
      <c r="AP98" s="10">
        <v>41</v>
      </c>
      <c r="AQ98" s="22">
        <f t="shared" si="49"/>
        <v>0.7592592592592593</v>
      </c>
      <c r="AR98" s="23">
        <v>139</v>
      </c>
      <c r="AS98" s="22">
        <f t="shared" si="50"/>
        <v>2.574074074074074</v>
      </c>
      <c r="AT98" s="25">
        <v>5.2695164312176317</v>
      </c>
      <c r="AU98" s="25">
        <v>0.1226181833907535</v>
      </c>
      <c r="AV98" s="25">
        <v>3.8539805072616038</v>
      </c>
      <c r="AW98" s="25">
        <v>1.4155359239560275</v>
      </c>
      <c r="AX98" s="25">
        <v>124.27711709408761</v>
      </c>
      <c r="AY98" s="25">
        <v>110.96251149984626</v>
      </c>
      <c r="AZ98" s="25">
        <v>14.051529758837129</v>
      </c>
      <c r="BA98" s="25">
        <v>13.777777777777779</v>
      </c>
      <c r="BB98" s="25">
        <v>17.312390924956368</v>
      </c>
      <c r="BC98" s="24">
        <v>0.59529666437075668</v>
      </c>
      <c r="BD98" s="24">
        <v>0.59186351706036744</v>
      </c>
      <c r="BE98" s="25">
        <v>11.721043767957278</v>
      </c>
      <c r="BF98" s="24">
        <v>0.71916010498687666</v>
      </c>
      <c r="BG98" s="24">
        <v>0.15223097112860892</v>
      </c>
      <c r="BH98" s="25">
        <v>6.8027396289563402</v>
      </c>
      <c r="BI98" s="25">
        <v>12.755136804293137</v>
      </c>
      <c r="BJ98" s="25">
        <v>9.1124619520427483</v>
      </c>
      <c r="BK98" s="25">
        <v>10.013543449970363</v>
      </c>
      <c r="BL98" s="25">
        <v>2.9605647012855552</v>
      </c>
      <c r="BM98" s="25">
        <v>0.65989208014939238</v>
      </c>
      <c r="BN98" s="25">
        <v>9.1616017161244194</v>
      </c>
      <c r="BO98" s="26" t="s">
        <v>176</v>
      </c>
      <c r="BP98" s="27"/>
      <c r="BQ98" s="33" t="s">
        <v>268</v>
      </c>
      <c r="BR98" s="33">
        <v>1298.1300000000001</v>
      </c>
      <c r="BS98" s="33">
        <v>1568.33</v>
      </c>
      <c r="BT98" s="33">
        <v>270.2</v>
      </c>
      <c r="BU98" s="36">
        <f t="shared" si="51"/>
        <v>24.039444444444445</v>
      </c>
      <c r="BV98" s="36">
        <f t="shared" si="52"/>
        <v>29.043148148148148</v>
      </c>
      <c r="BW98" s="36">
        <f t="shared" si="53"/>
        <v>5.0037037037037031</v>
      </c>
      <c r="BX98" s="37">
        <f t="shared" si="54"/>
        <v>30.206631762652705</v>
      </c>
      <c r="BY98" s="37">
        <f t="shared" si="55"/>
        <v>36.494008144269927</v>
      </c>
      <c r="BZ98" s="37">
        <f t="shared" si="56"/>
        <v>6.2873763816172197</v>
      </c>
      <c r="CA98" s="34">
        <v>32</v>
      </c>
      <c r="CB98" s="34">
        <v>22</v>
      </c>
    </row>
    <row r="99" spans="1:80" x14ac:dyDescent="0.4">
      <c r="A99" s="16" t="s">
        <v>178</v>
      </c>
      <c r="B99" s="16" t="s">
        <v>258</v>
      </c>
      <c r="C99" s="38" t="s">
        <v>239</v>
      </c>
      <c r="D99" s="39">
        <v>5</v>
      </c>
      <c r="E99" s="39">
        <v>5</v>
      </c>
      <c r="F99" s="39">
        <v>38</v>
      </c>
      <c r="G99" s="21">
        <v>1690</v>
      </c>
      <c r="H99" s="21">
        <v>0</v>
      </c>
      <c r="I99" s="22">
        <f t="shared" si="33"/>
        <v>0</v>
      </c>
      <c r="J99" s="23">
        <v>0</v>
      </c>
      <c r="K99" s="23">
        <v>2</v>
      </c>
      <c r="L99" s="22">
        <f t="shared" si="57"/>
        <v>0</v>
      </c>
      <c r="M99" s="22">
        <f t="shared" si="58"/>
        <v>0.4</v>
      </c>
      <c r="N99" s="24">
        <f t="shared" si="59"/>
        <v>0</v>
      </c>
      <c r="O99" s="21">
        <v>0</v>
      </c>
      <c r="P99" s="23">
        <v>1</v>
      </c>
      <c r="Q99" s="22">
        <f t="shared" si="34"/>
        <v>0</v>
      </c>
      <c r="R99" s="22">
        <f t="shared" si="35"/>
        <v>0.2</v>
      </c>
      <c r="S99" s="24">
        <f t="shared" si="36"/>
        <v>0</v>
      </c>
      <c r="T99" s="23">
        <v>0</v>
      </c>
      <c r="U99" s="23">
        <v>1</v>
      </c>
      <c r="V99" s="22">
        <f t="shared" si="37"/>
        <v>0</v>
      </c>
      <c r="W99" s="22">
        <f t="shared" si="38"/>
        <v>0.2</v>
      </c>
      <c r="X99" s="24">
        <f t="shared" si="39"/>
        <v>0</v>
      </c>
      <c r="Y99" s="23">
        <v>0</v>
      </c>
      <c r="Z99" s="23">
        <v>0</v>
      </c>
      <c r="AA99" s="22">
        <f t="shared" si="40"/>
        <v>0</v>
      </c>
      <c r="AB99" s="22">
        <f t="shared" si="41"/>
        <v>0</v>
      </c>
      <c r="AC99" s="24" t="e">
        <f t="shared" si="42"/>
        <v>#DIV/0!</v>
      </c>
      <c r="AD99" s="23">
        <v>1</v>
      </c>
      <c r="AE99" s="22">
        <f t="shared" si="43"/>
        <v>0.2</v>
      </c>
      <c r="AF99" s="23">
        <v>1</v>
      </c>
      <c r="AG99" s="22">
        <f t="shared" si="44"/>
        <v>0.2</v>
      </c>
      <c r="AH99" s="23">
        <v>0</v>
      </c>
      <c r="AI99" s="22">
        <f t="shared" si="45"/>
        <v>0</v>
      </c>
      <c r="AJ99" s="23">
        <v>2</v>
      </c>
      <c r="AK99" s="22">
        <f t="shared" si="46"/>
        <v>0.4</v>
      </c>
      <c r="AL99" s="23">
        <v>0</v>
      </c>
      <c r="AM99" s="22">
        <f t="shared" si="47"/>
        <v>0</v>
      </c>
      <c r="AN99" s="23">
        <v>0</v>
      </c>
      <c r="AO99" s="22">
        <f t="shared" si="48"/>
        <v>0</v>
      </c>
      <c r="AP99" s="10">
        <v>4</v>
      </c>
      <c r="AQ99" s="22">
        <f t="shared" si="49"/>
        <v>0.8</v>
      </c>
      <c r="AR99" s="23">
        <v>3</v>
      </c>
      <c r="AS99" s="22">
        <f t="shared" si="50"/>
        <v>0.6</v>
      </c>
      <c r="AT99" s="25">
        <v>-0.19384457541020361</v>
      </c>
      <c r="AU99" s="25">
        <v>-0.2752822372689282</v>
      </c>
      <c r="AV99" s="25">
        <v>-0.16972357605121055</v>
      </c>
      <c r="AW99" s="25">
        <v>-2.4120999358993075E-2</v>
      </c>
      <c r="AX99" s="25">
        <v>28.761319910519966</v>
      </c>
      <c r="AY99" s="25">
        <v>122.92654528159436</v>
      </c>
      <c r="AZ99" s="25">
        <v>-0.96451824422616717</v>
      </c>
      <c r="BA99" s="25">
        <v>-0.6</v>
      </c>
      <c r="BB99" s="25">
        <v>-4.2603550295857984</v>
      </c>
      <c r="BC99" s="24">
        <v>0</v>
      </c>
      <c r="BD99" s="24">
        <v>0</v>
      </c>
      <c r="BE99" s="25">
        <v>0.88801797348378331</v>
      </c>
      <c r="BF99" s="24">
        <v>0.5</v>
      </c>
      <c r="BG99" s="24">
        <v>0</v>
      </c>
      <c r="BH99" s="25">
        <v>0.36962996959793504</v>
      </c>
      <c r="BI99" s="25">
        <v>0</v>
      </c>
      <c r="BJ99" s="25">
        <v>0.17221905689974124</v>
      </c>
      <c r="BK99" s="25">
        <v>0.78851657034717726</v>
      </c>
      <c r="BL99" s="25">
        <v>0</v>
      </c>
      <c r="BM99" s="25">
        <v>0</v>
      </c>
      <c r="BN99" s="25">
        <v>66.666666666666671</v>
      </c>
      <c r="BO99" s="26" t="s">
        <v>176</v>
      </c>
      <c r="BP99" s="27"/>
      <c r="BQ99" s="33" t="s">
        <v>267</v>
      </c>
      <c r="BR99" s="33">
        <v>5.14</v>
      </c>
      <c r="BS99" s="33">
        <v>13.04</v>
      </c>
      <c r="BT99" s="33">
        <v>7.9</v>
      </c>
      <c r="BU99" s="36">
        <f t="shared" si="51"/>
        <v>1.0279999999999996</v>
      </c>
      <c r="BV99" s="36">
        <f t="shared" si="52"/>
        <v>2.6079999999999997</v>
      </c>
      <c r="BW99" s="36">
        <f t="shared" si="53"/>
        <v>1.58</v>
      </c>
      <c r="BX99" s="37">
        <f t="shared" si="54"/>
        <v>7.2994082840236647</v>
      </c>
      <c r="BY99" s="37">
        <f t="shared" si="55"/>
        <v>18.518343195266269</v>
      </c>
      <c r="BZ99" s="37">
        <f t="shared" si="56"/>
        <v>11.218934911242604</v>
      </c>
      <c r="CA99" s="35">
        <v>2</v>
      </c>
      <c r="CB99" s="35">
        <v>3</v>
      </c>
    </row>
    <row r="100" spans="1:80" x14ac:dyDescent="0.4">
      <c r="A100" s="16" t="s">
        <v>178</v>
      </c>
      <c r="B100" s="16" t="s">
        <v>258</v>
      </c>
      <c r="C100" s="52" t="s">
        <v>260</v>
      </c>
      <c r="D100" s="39">
        <v>37</v>
      </c>
      <c r="E100" s="39">
        <v>14</v>
      </c>
      <c r="F100" s="39">
        <v>4</v>
      </c>
      <c r="G100" s="21">
        <v>31228</v>
      </c>
      <c r="H100" s="21">
        <v>180</v>
      </c>
      <c r="I100" s="22">
        <f t="shared" si="33"/>
        <v>4.8648648648648649</v>
      </c>
      <c r="J100" s="23">
        <v>73</v>
      </c>
      <c r="K100" s="23">
        <v>161</v>
      </c>
      <c r="L100" s="22">
        <f t="shared" si="57"/>
        <v>1.972972972972973</v>
      </c>
      <c r="M100" s="22">
        <f t="shared" si="58"/>
        <v>4.3513513513513518</v>
      </c>
      <c r="N100" s="24">
        <f t="shared" si="59"/>
        <v>0.453416149068323</v>
      </c>
      <c r="O100" s="21">
        <v>49</v>
      </c>
      <c r="P100" s="23">
        <v>90</v>
      </c>
      <c r="Q100" s="22">
        <f t="shared" si="34"/>
        <v>1.3243243243243243</v>
      </c>
      <c r="R100" s="22">
        <f t="shared" si="35"/>
        <v>2.4324324324324325</v>
      </c>
      <c r="S100" s="24">
        <f t="shared" si="36"/>
        <v>0.5444444444444444</v>
      </c>
      <c r="T100" s="23">
        <v>24</v>
      </c>
      <c r="U100" s="23">
        <v>71</v>
      </c>
      <c r="V100" s="22">
        <f t="shared" si="37"/>
        <v>0.64864864864864868</v>
      </c>
      <c r="W100" s="22">
        <f t="shared" si="38"/>
        <v>1.9189189189189189</v>
      </c>
      <c r="X100" s="24">
        <f t="shared" si="39"/>
        <v>0.3380281690140845</v>
      </c>
      <c r="Y100" s="23">
        <v>10</v>
      </c>
      <c r="Z100" s="23">
        <v>26</v>
      </c>
      <c r="AA100" s="22">
        <f t="shared" si="40"/>
        <v>0.27027027027027029</v>
      </c>
      <c r="AB100" s="22">
        <f t="shared" si="41"/>
        <v>0.70270270270270274</v>
      </c>
      <c r="AC100" s="24">
        <f t="shared" si="42"/>
        <v>0.38461538461538464</v>
      </c>
      <c r="AD100" s="23">
        <v>45</v>
      </c>
      <c r="AE100" s="22">
        <f t="shared" si="43"/>
        <v>1.2162162162162162</v>
      </c>
      <c r="AF100" s="23">
        <v>16</v>
      </c>
      <c r="AG100" s="22">
        <f t="shared" si="44"/>
        <v>0.43243243243243246</v>
      </c>
      <c r="AH100" s="23">
        <v>29</v>
      </c>
      <c r="AI100" s="22">
        <f t="shared" si="45"/>
        <v>0.78378378378378377</v>
      </c>
      <c r="AJ100" s="23">
        <v>84</v>
      </c>
      <c r="AK100" s="22">
        <f t="shared" si="46"/>
        <v>2.2702702702702702</v>
      </c>
      <c r="AL100" s="23">
        <v>21</v>
      </c>
      <c r="AM100" s="22">
        <f t="shared" si="47"/>
        <v>0.56756756756756754</v>
      </c>
      <c r="AN100" s="23">
        <v>2</v>
      </c>
      <c r="AO100" s="22">
        <f t="shared" si="48"/>
        <v>5.4054054054054057E-2</v>
      </c>
      <c r="AP100" s="10">
        <v>29</v>
      </c>
      <c r="AQ100" s="22">
        <f t="shared" si="49"/>
        <v>0.78378378378378377</v>
      </c>
      <c r="AR100" s="23">
        <v>75</v>
      </c>
      <c r="AS100" s="22">
        <f t="shared" si="50"/>
        <v>2.0270270270270272</v>
      </c>
      <c r="AT100" s="25">
        <v>0.72147421932057565</v>
      </c>
      <c r="AU100" s="25">
        <v>5.5448255615773712E-2</v>
      </c>
      <c r="AV100" s="25">
        <v>0.60956852078109347</v>
      </c>
      <c r="AW100" s="25">
        <v>0.11190569853948214</v>
      </c>
      <c r="AX100" s="25">
        <v>108.06622816384292</v>
      </c>
      <c r="AY100" s="25">
        <v>115.29602303440716</v>
      </c>
      <c r="AZ100" s="25">
        <v>7.1649353198240808</v>
      </c>
      <c r="BA100" s="25">
        <v>5.3783783783783781</v>
      </c>
      <c r="BB100" s="25">
        <v>15.293966952734724</v>
      </c>
      <c r="BC100" s="24">
        <v>0.52192066805845516</v>
      </c>
      <c r="BD100" s="24">
        <v>0.52795031055900621</v>
      </c>
      <c r="BE100" s="25">
        <v>11.93961909864885</v>
      </c>
      <c r="BF100" s="24">
        <v>0.44099378881987578</v>
      </c>
      <c r="BG100" s="24">
        <v>0.16149068322981366</v>
      </c>
      <c r="BH100" s="25">
        <v>2.3684346867128347</v>
      </c>
      <c r="BI100" s="25">
        <v>4.2927878696670128</v>
      </c>
      <c r="BJ100" s="25">
        <v>3.1036159424704555</v>
      </c>
      <c r="BK100" s="25">
        <v>14.99058626874195</v>
      </c>
      <c r="BL100" s="25">
        <v>2.1614898603488211</v>
      </c>
      <c r="BM100" s="25">
        <v>0.2488929449220654</v>
      </c>
      <c r="BN100" s="25">
        <v>14.396346306592534</v>
      </c>
      <c r="BO100" s="26" t="s">
        <v>176</v>
      </c>
      <c r="BP100" s="27"/>
      <c r="BQ100" s="32" t="s">
        <v>267</v>
      </c>
      <c r="BR100" s="32">
        <v>375.5</v>
      </c>
      <c r="BS100" s="32">
        <v>515.1</v>
      </c>
      <c r="BT100" s="32">
        <v>139.6</v>
      </c>
      <c r="BU100" s="36">
        <f t="shared" si="51"/>
        <v>10.148648648648649</v>
      </c>
      <c r="BV100" s="36">
        <f t="shared" si="52"/>
        <v>13.921621621621622</v>
      </c>
      <c r="BW100" s="36">
        <f t="shared" si="53"/>
        <v>3.7729729729729726</v>
      </c>
      <c r="BX100" s="37">
        <f t="shared" si="54"/>
        <v>28.858716536441655</v>
      </c>
      <c r="BY100" s="37">
        <f t="shared" si="55"/>
        <v>39.587549634943002</v>
      </c>
      <c r="BZ100" s="37">
        <f t="shared" si="56"/>
        <v>10.728833098501346</v>
      </c>
      <c r="CA100" s="34">
        <v>21</v>
      </c>
      <c r="CB100" s="34">
        <v>16</v>
      </c>
    </row>
    <row r="101" spans="1:80" x14ac:dyDescent="0.4">
      <c r="A101" s="16" t="s">
        <v>178</v>
      </c>
      <c r="B101" s="16" t="s">
        <v>258</v>
      </c>
      <c r="C101" s="16" t="s">
        <v>240</v>
      </c>
      <c r="D101" s="39">
        <v>9</v>
      </c>
      <c r="E101" s="39">
        <v>3</v>
      </c>
      <c r="F101" s="39">
        <v>3</v>
      </c>
      <c r="G101" s="21">
        <v>1647</v>
      </c>
      <c r="H101" s="21">
        <v>0</v>
      </c>
      <c r="I101" s="22">
        <f t="shared" si="33"/>
        <v>0</v>
      </c>
      <c r="J101" s="23">
        <v>0</v>
      </c>
      <c r="K101" s="23">
        <v>1</v>
      </c>
      <c r="L101" s="22">
        <f t="shared" si="57"/>
        <v>0</v>
      </c>
      <c r="M101" s="22">
        <f t="shared" si="58"/>
        <v>0.1111111111111111</v>
      </c>
      <c r="N101" s="24">
        <f t="shared" si="59"/>
        <v>0</v>
      </c>
      <c r="O101" s="21">
        <v>0</v>
      </c>
      <c r="P101" s="23">
        <v>0</v>
      </c>
      <c r="Q101" s="22">
        <f t="shared" si="34"/>
        <v>0</v>
      </c>
      <c r="R101" s="22">
        <f t="shared" si="35"/>
        <v>0</v>
      </c>
      <c r="S101" s="24" t="e">
        <f t="shared" si="36"/>
        <v>#DIV/0!</v>
      </c>
      <c r="T101" s="23">
        <v>0</v>
      </c>
      <c r="U101" s="23">
        <v>1</v>
      </c>
      <c r="V101" s="22">
        <f t="shared" si="37"/>
        <v>0</v>
      </c>
      <c r="W101" s="22">
        <f t="shared" si="38"/>
        <v>0.1111111111111111</v>
      </c>
      <c r="X101" s="24">
        <f t="shared" si="39"/>
        <v>0</v>
      </c>
      <c r="Y101" s="23">
        <v>0</v>
      </c>
      <c r="Z101" s="23">
        <v>0</v>
      </c>
      <c r="AA101" s="22">
        <f t="shared" si="40"/>
        <v>0</v>
      </c>
      <c r="AB101" s="22">
        <f t="shared" si="41"/>
        <v>0</v>
      </c>
      <c r="AC101" s="24" t="e">
        <f t="shared" si="42"/>
        <v>#DIV/0!</v>
      </c>
      <c r="AD101" s="23">
        <v>1</v>
      </c>
      <c r="AE101" s="22">
        <f t="shared" si="43"/>
        <v>0.1111111111111111</v>
      </c>
      <c r="AF101" s="23">
        <v>0</v>
      </c>
      <c r="AG101" s="22">
        <f t="shared" si="44"/>
        <v>0</v>
      </c>
      <c r="AH101" s="23">
        <v>1</v>
      </c>
      <c r="AI101" s="22">
        <f t="shared" si="45"/>
        <v>0.1111111111111111</v>
      </c>
      <c r="AJ101" s="23">
        <v>1</v>
      </c>
      <c r="AK101" s="22">
        <f t="shared" si="46"/>
        <v>0.1111111111111111</v>
      </c>
      <c r="AL101" s="23">
        <v>0</v>
      </c>
      <c r="AM101" s="22">
        <f t="shared" si="47"/>
        <v>0</v>
      </c>
      <c r="AN101" s="23">
        <v>0</v>
      </c>
      <c r="AO101" s="22">
        <f t="shared" si="48"/>
        <v>0</v>
      </c>
      <c r="AP101" s="10">
        <v>3</v>
      </c>
      <c r="AQ101" s="22">
        <f t="shared" si="49"/>
        <v>0.33333333333333331</v>
      </c>
      <c r="AR101" s="23">
        <v>9</v>
      </c>
      <c r="AS101" s="22">
        <f t="shared" si="50"/>
        <v>1</v>
      </c>
      <c r="AT101" s="25">
        <v>-0.14473795670836095</v>
      </c>
      <c r="AU101" s="25">
        <v>-0.21091141232548044</v>
      </c>
      <c r="AV101" s="25">
        <v>-0.12971613528107889</v>
      </c>
      <c r="AW101" s="25">
        <v>-1.5021821427282056E-2</v>
      </c>
      <c r="AX101" s="25">
        <v>14.468190483639406</v>
      </c>
      <c r="AY101" s="25">
        <v>120.72491530616428</v>
      </c>
      <c r="AZ101" s="25">
        <v>-2.6934016999816888</v>
      </c>
      <c r="BA101" s="25">
        <v>-0.22222222222222221</v>
      </c>
      <c r="BB101" s="25">
        <v>-2.9143897996357016</v>
      </c>
      <c r="BC101" s="24">
        <v>0</v>
      </c>
      <c r="BD101" s="24">
        <v>0</v>
      </c>
      <c r="BE101" s="25">
        <v>1.0934428963115437</v>
      </c>
      <c r="BF101" s="24">
        <v>1</v>
      </c>
      <c r="BG101" s="24">
        <v>0</v>
      </c>
      <c r="BH101" s="25">
        <v>0</v>
      </c>
      <c r="BI101" s="25">
        <v>0.68270453401148656</v>
      </c>
      <c r="BJ101" s="25">
        <v>0.31808765700607944</v>
      </c>
      <c r="BK101" s="25">
        <v>0.72819289829875944</v>
      </c>
      <c r="BL101" s="25">
        <v>0</v>
      </c>
      <c r="BM101" s="25">
        <v>0</v>
      </c>
      <c r="BN101" s="25">
        <v>75</v>
      </c>
      <c r="BO101" s="26" t="s">
        <v>176</v>
      </c>
      <c r="BP101" s="26"/>
      <c r="BQ101" s="33" t="s">
        <v>267</v>
      </c>
      <c r="BR101" s="33">
        <v>3.96</v>
      </c>
      <c r="BS101" s="33">
        <v>9.36</v>
      </c>
      <c r="BT101" s="33">
        <v>5.4</v>
      </c>
      <c r="BU101" s="36">
        <f t="shared" si="51"/>
        <v>0.43999999999999995</v>
      </c>
      <c r="BV101" s="36">
        <f t="shared" si="52"/>
        <v>1.04</v>
      </c>
      <c r="BW101" s="36">
        <f t="shared" si="53"/>
        <v>0.60000000000000009</v>
      </c>
      <c r="BX101" s="37">
        <f t="shared" si="54"/>
        <v>5.7704918032786878</v>
      </c>
      <c r="BY101" s="37">
        <f t="shared" si="55"/>
        <v>13.639344262295081</v>
      </c>
      <c r="BZ101" s="37">
        <f t="shared" si="56"/>
        <v>7.8688524590163933</v>
      </c>
      <c r="CA101" s="35">
        <v>4</v>
      </c>
      <c r="CB101" s="35">
        <v>5</v>
      </c>
    </row>
    <row r="102" spans="1:80" x14ac:dyDescent="0.4">
      <c r="A102" s="16" t="s">
        <v>178</v>
      </c>
      <c r="B102" s="16" t="s">
        <v>258</v>
      </c>
      <c r="C102" s="16" t="s">
        <v>241</v>
      </c>
      <c r="D102" s="66">
        <v>52</v>
      </c>
      <c r="E102" s="66">
        <v>30</v>
      </c>
      <c r="F102" s="66">
        <v>37</v>
      </c>
      <c r="G102" s="67">
        <v>95524</v>
      </c>
      <c r="H102" s="67">
        <v>625</v>
      </c>
      <c r="I102" s="22">
        <f t="shared" si="33"/>
        <v>12.01923076923077</v>
      </c>
      <c r="J102" s="39">
        <v>223</v>
      </c>
      <c r="K102" s="39">
        <v>521</v>
      </c>
      <c r="L102" s="22">
        <f t="shared" si="57"/>
        <v>4.2884615384615383</v>
      </c>
      <c r="M102" s="22">
        <f t="shared" si="58"/>
        <v>10.01923076923077</v>
      </c>
      <c r="N102" s="24">
        <f t="shared" si="59"/>
        <v>0.42802303262955854</v>
      </c>
      <c r="O102" s="67">
        <v>140</v>
      </c>
      <c r="P102" s="39">
        <v>250</v>
      </c>
      <c r="Q102" s="22">
        <f t="shared" si="34"/>
        <v>2.6923076923076925</v>
      </c>
      <c r="R102" s="22">
        <f t="shared" si="35"/>
        <v>4.8076923076923075</v>
      </c>
      <c r="S102" s="24">
        <f t="shared" si="36"/>
        <v>0.56000000000000005</v>
      </c>
      <c r="T102" s="39">
        <v>83</v>
      </c>
      <c r="U102" s="39">
        <v>271</v>
      </c>
      <c r="V102" s="22">
        <f t="shared" si="37"/>
        <v>1.5961538461538463</v>
      </c>
      <c r="W102" s="22">
        <f t="shared" si="38"/>
        <v>5.2115384615384617</v>
      </c>
      <c r="X102" s="24">
        <f t="shared" si="39"/>
        <v>0.30627306273062732</v>
      </c>
      <c r="Y102" s="68">
        <v>96</v>
      </c>
      <c r="Z102" s="68">
        <v>137</v>
      </c>
      <c r="AA102" s="22">
        <f t="shared" si="40"/>
        <v>1.8461538461538463</v>
      </c>
      <c r="AB102" s="22">
        <f t="shared" si="41"/>
        <v>2.6346153846153846</v>
      </c>
      <c r="AC102" s="24">
        <f t="shared" si="42"/>
        <v>0.7007299270072993</v>
      </c>
      <c r="AD102" s="39">
        <v>118</v>
      </c>
      <c r="AE102" s="22">
        <f t="shared" si="43"/>
        <v>2.2692307692307692</v>
      </c>
      <c r="AF102" s="39">
        <v>40</v>
      </c>
      <c r="AG102" s="22">
        <f t="shared" si="44"/>
        <v>0.76923076923076927</v>
      </c>
      <c r="AH102" s="39">
        <v>78</v>
      </c>
      <c r="AI102" s="22">
        <f t="shared" si="45"/>
        <v>1.5</v>
      </c>
      <c r="AJ102" s="39">
        <v>294</v>
      </c>
      <c r="AK102" s="22">
        <f t="shared" si="46"/>
        <v>5.6538461538461542</v>
      </c>
      <c r="AL102" s="39">
        <v>61</v>
      </c>
      <c r="AM102" s="22">
        <f t="shared" si="47"/>
        <v>1.1730769230769231</v>
      </c>
      <c r="AN102" s="41">
        <v>14</v>
      </c>
      <c r="AO102" s="22">
        <f t="shared" si="48"/>
        <v>0.26923076923076922</v>
      </c>
      <c r="AP102" s="12">
        <v>120</v>
      </c>
      <c r="AQ102" s="22">
        <f t="shared" si="49"/>
        <v>2.3076923076923075</v>
      </c>
      <c r="AR102" s="39">
        <v>142</v>
      </c>
      <c r="AS102" s="22">
        <f t="shared" si="50"/>
        <v>2.7307692307692308</v>
      </c>
      <c r="AT102" s="25">
        <v>2.4532780971634898</v>
      </c>
      <c r="AU102" s="25">
        <v>6.1637572057204215E-2</v>
      </c>
      <c r="AV102" s="25">
        <v>2.209121098461297</v>
      </c>
      <c r="AW102" s="25">
        <v>0.24415699870219276</v>
      </c>
      <c r="AX102" s="25">
        <v>108.35604917701021</v>
      </c>
      <c r="AY102" s="25">
        <v>115.73511704626924</v>
      </c>
      <c r="AZ102" s="25">
        <v>12.329198359316681</v>
      </c>
      <c r="BA102" s="25">
        <v>12.557692307692308</v>
      </c>
      <c r="BB102" s="25">
        <v>16.406348142875089</v>
      </c>
      <c r="BC102" s="24">
        <v>0.53760666116157452</v>
      </c>
      <c r="BD102" s="24">
        <v>0.50767754318618041</v>
      </c>
      <c r="BE102" s="25">
        <v>19.097191491772016</v>
      </c>
      <c r="BF102" s="24">
        <v>0.52015355086372361</v>
      </c>
      <c r="BG102" s="24">
        <v>0.26295585412667949</v>
      </c>
      <c r="BH102" s="25">
        <v>2.7204121877866525</v>
      </c>
      <c r="BI102" s="25">
        <v>5.3048037661839729</v>
      </c>
      <c r="BJ102" s="25">
        <v>3.7391316632494718</v>
      </c>
      <c r="BK102" s="25">
        <v>25.443191476242387</v>
      </c>
      <c r="BL102" s="25">
        <v>2.0525578846788708</v>
      </c>
      <c r="BM102" s="25">
        <v>0.80046789254195005</v>
      </c>
      <c r="BN102" s="25">
        <v>17.111567419575636</v>
      </c>
      <c r="BO102" s="26" t="s">
        <v>176</v>
      </c>
      <c r="BP102" s="27"/>
      <c r="BQ102" s="32" t="s">
        <v>267</v>
      </c>
      <c r="BR102" s="32">
        <v>1204.5999999999999</v>
      </c>
      <c r="BS102" s="32">
        <v>1696.6</v>
      </c>
      <c r="BT102" s="32">
        <v>492</v>
      </c>
      <c r="BU102" s="36">
        <f t="shared" si="51"/>
        <v>23.165384615384617</v>
      </c>
      <c r="BV102" s="36">
        <f t="shared" si="52"/>
        <v>32.626923076923077</v>
      </c>
      <c r="BW102" s="36">
        <f t="shared" si="53"/>
        <v>9.4615384615384617</v>
      </c>
      <c r="BX102" s="37">
        <f t="shared" si="54"/>
        <v>30.265064277040327</v>
      </c>
      <c r="BY102" s="37">
        <f t="shared" si="55"/>
        <v>42.626355680247897</v>
      </c>
      <c r="BZ102" s="37">
        <f t="shared" si="56"/>
        <v>12.36129140320757</v>
      </c>
      <c r="CA102" s="34">
        <v>31</v>
      </c>
      <c r="CB102" s="34">
        <v>21</v>
      </c>
    </row>
    <row r="103" spans="1:80" x14ac:dyDescent="0.4">
      <c r="A103" s="16" t="s">
        <v>178</v>
      </c>
      <c r="B103" s="16" t="s">
        <v>258</v>
      </c>
      <c r="C103" s="16" t="s">
        <v>242</v>
      </c>
      <c r="D103" s="23">
        <v>3</v>
      </c>
      <c r="E103" s="23">
        <v>3</v>
      </c>
      <c r="F103" s="23">
        <v>29</v>
      </c>
      <c r="G103" s="21">
        <v>627</v>
      </c>
      <c r="H103" s="21">
        <v>0</v>
      </c>
      <c r="I103" s="22">
        <f t="shared" si="33"/>
        <v>0</v>
      </c>
      <c r="J103" s="23">
        <v>0</v>
      </c>
      <c r="K103" s="23">
        <v>3</v>
      </c>
      <c r="L103" s="22">
        <f t="shared" si="57"/>
        <v>0</v>
      </c>
      <c r="M103" s="22">
        <f t="shared" si="58"/>
        <v>1</v>
      </c>
      <c r="N103" s="24">
        <f t="shared" si="59"/>
        <v>0</v>
      </c>
      <c r="O103" s="21">
        <v>0</v>
      </c>
      <c r="P103" s="23">
        <v>3</v>
      </c>
      <c r="Q103" s="22">
        <f t="shared" si="34"/>
        <v>0</v>
      </c>
      <c r="R103" s="22">
        <f t="shared" si="35"/>
        <v>1</v>
      </c>
      <c r="S103" s="24">
        <f t="shared" si="36"/>
        <v>0</v>
      </c>
      <c r="T103" s="23">
        <v>0</v>
      </c>
      <c r="U103" s="23">
        <v>0</v>
      </c>
      <c r="V103" s="22">
        <f t="shared" si="37"/>
        <v>0</v>
      </c>
      <c r="W103" s="22">
        <f t="shared" si="38"/>
        <v>0</v>
      </c>
      <c r="X103" s="24" t="e">
        <f t="shared" si="39"/>
        <v>#DIV/0!</v>
      </c>
      <c r="Y103" s="23">
        <v>0</v>
      </c>
      <c r="Z103" s="23">
        <v>0</v>
      </c>
      <c r="AA103" s="22">
        <f t="shared" si="40"/>
        <v>0</v>
      </c>
      <c r="AB103" s="22">
        <f t="shared" si="41"/>
        <v>0</v>
      </c>
      <c r="AC103" s="24" t="e">
        <f t="shared" si="42"/>
        <v>#DIV/0!</v>
      </c>
      <c r="AD103" s="23">
        <v>0</v>
      </c>
      <c r="AE103" s="22">
        <f t="shared" si="43"/>
        <v>0</v>
      </c>
      <c r="AF103" s="23">
        <v>0</v>
      </c>
      <c r="AG103" s="22">
        <f t="shared" si="44"/>
        <v>0</v>
      </c>
      <c r="AH103" s="23">
        <v>0</v>
      </c>
      <c r="AI103" s="22">
        <f t="shared" si="45"/>
        <v>0</v>
      </c>
      <c r="AJ103" s="23">
        <v>0</v>
      </c>
      <c r="AK103" s="22">
        <f t="shared" si="46"/>
        <v>0</v>
      </c>
      <c r="AL103" s="23">
        <v>1</v>
      </c>
      <c r="AM103" s="22">
        <f t="shared" si="47"/>
        <v>0.33333333333333331</v>
      </c>
      <c r="AN103" s="23">
        <v>0</v>
      </c>
      <c r="AO103" s="22">
        <f t="shared" si="48"/>
        <v>0</v>
      </c>
      <c r="AP103" s="10">
        <v>0</v>
      </c>
      <c r="AQ103" s="22">
        <f t="shared" si="49"/>
        <v>0</v>
      </c>
      <c r="AR103" s="23">
        <v>2</v>
      </c>
      <c r="AS103" s="22">
        <f t="shared" si="50"/>
        <v>0.66666666666666663</v>
      </c>
      <c r="AT103" s="25">
        <v>-7.5815240576914494E-2</v>
      </c>
      <c r="AU103" s="25">
        <v>-0.2902018778063713</v>
      </c>
      <c r="AV103" s="25">
        <v>-8.4189166043387956E-2</v>
      </c>
      <c r="AW103" s="25">
        <v>8.3739254664734614E-3</v>
      </c>
      <c r="AX103" s="25">
        <v>0</v>
      </c>
      <c r="AY103" s="25">
        <v>111.12014048667369</v>
      </c>
      <c r="AZ103" s="25">
        <v>-0.66002171284002353</v>
      </c>
      <c r="BA103" s="25">
        <v>-0.66666666666666663</v>
      </c>
      <c r="BB103" s="25">
        <v>-7.6555023923444976</v>
      </c>
      <c r="BC103" s="24">
        <v>0</v>
      </c>
      <c r="BD103" s="24">
        <v>0</v>
      </c>
      <c r="BE103" s="25">
        <v>0.7180623804725329</v>
      </c>
      <c r="BF103" s="24">
        <v>0</v>
      </c>
      <c r="BG103" s="24">
        <v>0</v>
      </c>
      <c r="BH103" s="25">
        <v>0</v>
      </c>
      <c r="BI103" s="25">
        <v>0</v>
      </c>
      <c r="BJ103" s="25">
        <v>0</v>
      </c>
      <c r="BK103" s="25">
        <v>0</v>
      </c>
      <c r="BL103" s="25">
        <v>5.1263769544294826</v>
      </c>
      <c r="BM103" s="25">
        <v>0</v>
      </c>
      <c r="BN103" s="25">
        <v>0</v>
      </c>
      <c r="BO103" s="26" t="s">
        <v>176</v>
      </c>
      <c r="BP103" s="26"/>
      <c r="BQ103" s="32" t="s">
        <v>267</v>
      </c>
      <c r="BR103" s="32">
        <v>0.61</v>
      </c>
      <c r="BS103" s="32">
        <v>3.61</v>
      </c>
      <c r="BT103" s="32">
        <v>3</v>
      </c>
      <c r="BU103" s="36">
        <f t="shared" si="51"/>
        <v>0.20333333333333337</v>
      </c>
      <c r="BV103" s="36">
        <f t="shared" si="52"/>
        <v>1.2033333333333334</v>
      </c>
      <c r="BW103" s="36">
        <f t="shared" si="53"/>
        <v>1</v>
      </c>
      <c r="BX103" s="37">
        <f t="shared" si="54"/>
        <v>2.3349282296650724</v>
      </c>
      <c r="BY103" s="37">
        <f t="shared" si="55"/>
        <v>13.818181818181818</v>
      </c>
      <c r="BZ103" s="37">
        <f t="shared" si="56"/>
        <v>11.483253588516746</v>
      </c>
      <c r="CA103" s="35">
        <v>2</v>
      </c>
      <c r="CB103" s="35">
        <v>1</v>
      </c>
    </row>
    <row r="104" spans="1:80" x14ac:dyDescent="0.4">
      <c r="A104" s="16" t="s">
        <v>178</v>
      </c>
      <c r="B104" s="16" t="s">
        <v>258</v>
      </c>
      <c r="C104" s="16" t="s">
        <v>243</v>
      </c>
      <c r="D104" s="23">
        <v>29</v>
      </c>
      <c r="E104" s="23">
        <v>12</v>
      </c>
      <c r="F104" s="23">
        <v>35</v>
      </c>
      <c r="G104" s="21">
        <v>21895</v>
      </c>
      <c r="H104" s="21">
        <v>106</v>
      </c>
      <c r="I104" s="22">
        <f t="shared" si="33"/>
        <v>3.6551724137931036</v>
      </c>
      <c r="J104" s="23">
        <v>38</v>
      </c>
      <c r="K104" s="23">
        <v>121</v>
      </c>
      <c r="L104" s="22">
        <f t="shared" si="57"/>
        <v>1.3103448275862069</v>
      </c>
      <c r="M104" s="22">
        <f t="shared" si="58"/>
        <v>4.1724137931034484</v>
      </c>
      <c r="N104" s="24">
        <f t="shared" si="59"/>
        <v>0.31404958677685951</v>
      </c>
      <c r="O104" s="21">
        <v>15</v>
      </c>
      <c r="P104" s="23">
        <v>36</v>
      </c>
      <c r="Q104" s="22">
        <f t="shared" si="34"/>
        <v>0.51724137931034486</v>
      </c>
      <c r="R104" s="22">
        <f t="shared" si="35"/>
        <v>1.2413793103448276</v>
      </c>
      <c r="S104" s="24">
        <f t="shared" si="36"/>
        <v>0.41666666666666669</v>
      </c>
      <c r="T104" s="23">
        <v>23</v>
      </c>
      <c r="U104" s="23">
        <v>85</v>
      </c>
      <c r="V104" s="22">
        <f t="shared" si="37"/>
        <v>0.7931034482758621</v>
      </c>
      <c r="W104" s="22">
        <f t="shared" si="38"/>
        <v>2.9310344827586206</v>
      </c>
      <c r="X104" s="24">
        <f t="shared" si="39"/>
        <v>0.27058823529411763</v>
      </c>
      <c r="Y104" s="23">
        <v>7</v>
      </c>
      <c r="Z104" s="23">
        <v>12</v>
      </c>
      <c r="AA104" s="22">
        <f t="shared" si="40"/>
        <v>0.2413793103448276</v>
      </c>
      <c r="AB104" s="22">
        <f t="shared" si="41"/>
        <v>0.41379310344827586</v>
      </c>
      <c r="AC104" s="24">
        <f t="shared" si="42"/>
        <v>0.58333333333333337</v>
      </c>
      <c r="AD104" s="23">
        <v>53</v>
      </c>
      <c r="AE104" s="22">
        <f t="shared" si="43"/>
        <v>1.8275862068965518</v>
      </c>
      <c r="AF104" s="23">
        <v>18</v>
      </c>
      <c r="AG104" s="22">
        <f t="shared" si="44"/>
        <v>0.62068965517241381</v>
      </c>
      <c r="AH104" s="23">
        <v>35</v>
      </c>
      <c r="AI104" s="22">
        <f t="shared" si="45"/>
        <v>1.2068965517241379</v>
      </c>
      <c r="AJ104" s="23">
        <v>22</v>
      </c>
      <c r="AK104" s="22">
        <f t="shared" si="46"/>
        <v>0.75862068965517238</v>
      </c>
      <c r="AL104" s="23">
        <v>17</v>
      </c>
      <c r="AM104" s="22">
        <f t="shared" si="47"/>
        <v>0.58620689655172409</v>
      </c>
      <c r="AN104" s="23">
        <v>11</v>
      </c>
      <c r="AO104" s="22">
        <f t="shared" si="48"/>
        <v>0.37931034482758619</v>
      </c>
      <c r="AP104" s="9">
        <v>15</v>
      </c>
      <c r="AQ104" s="22">
        <f t="shared" si="49"/>
        <v>0.51724137931034486</v>
      </c>
      <c r="AR104" s="23">
        <v>45</v>
      </c>
      <c r="AS104" s="22">
        <f t="shared" si="50"/>
        <v>1.5517241379310345</v>
      </c>
      <c r="AT104" s="25">
        <v>-0.1634884072048497</v>
      </c>
      <c r="AU104" s="25">
        <v>-1.7920629243737805E-2</v>
      </c>
      <c r="AV104" s="25">
        <v>-0.43679338116605915</v>
      </c>
      <c r="AW104" s="25">
        <v>0.27330497396120945</v>
      </c>
      <c r="AX104" s="25">
        <v>90.145222585908201</v>
      </c>
      <c r="AY104" s="25">
        <v>111.49320531972218</v>
      </c>
      <c r="AZ104" s="25">
        <v>3.7868678566959857</v>
      </c>
      <c r="BA104" s="25">
        <v>3.6551724137931036</v>
      </c>
      <c r="BB104" s="25">
        <v>11.619091116693308</v>
      </c>
      <c r="BC104" s="24">
        <v>0.41970224897054165</v>
      </c>
      <c r="BD104" s="24">
        <v>0.40909090909090912</v>
      </c>
      <c r="BE104" s="25">
        <v>9.3609718766668077</v>
      </c>
      <c r="BF104" s="24">
        <v>0.7024793388429752</v>
      </c>
      <c r="BG104" s="24">
        <v>9.9173553719008267E-2</v>
      </c>
      <c r="BH104" s="25">
        <v>2.9785811060050813</v>
      </c>
      <c r="BI104" s="25">
        <v>5.7916854838987692</v>
      </c>
      <c r="BJ104" s="25">
        <v>4.0862677951019402</v>
      </c>
      <c r="BK104" s="25">
        <v>4.1622160647350732</v>
      </c>
      <c r="BL104" s="25">
        <v>2.4956406465980292</v>
      </c>
      <c r="BM104" s="25">
        <v>1.5302795368585795</v>
      </c>
      <c r="BN104" s="25">
        <v>10.617214043035107</v>
      </c>
      <c r="BO104" s="26" t="s">
        <v>176</v>
      </c>
      <c r="BP104" s="27"/>
      <c r="BQ104" s="33" t="s">
        <v>268</v>
      </c>
      <c r="BR104" s="33">
        <v>221.38</v>
      </c>
      <c r="BS104" s="33">
        <v>324.68</v>
      </c>
      <c r="BT104" s="33">
        <v>103.3</v>
      </c>
      <c r="BU104" s="36">
        <f t="shared" si="51"/>
        <v>7.6337931034482764</v>
      </c>
      <c r="BV104" s="36">
        <f t="shared" si="52"/>
        <v>11.195862068965518</v>
      </c>
      <c r="BW104" s="36">
        <f t="shared" si="53"/>
        <v>3.5620689655172413</v>
      </c>
      <c r="BX104" s="37">
        <f t="shared" si="54"/>
        <v>24.266362183146835</v>
      </c>
      <c r="BY104" s="37">
        <f t="shared" si="55"/>
        <v>35.589495318565881</v>
      </c>
      <c r="BZ104" s="37">
        <f t="shared" si="56"/>
        <v>11.323133135419045</v>
      </c>
      <c r="CA104" s="34">
        <v>17</v>
      </c>
      <c r="CB104" s="34">
        <v>12</v>
      </c>
    </row>
    <row r="105" spans="1:80" x14ac:dyDescent="0.4">
      <c r="A105" s="16" t="s">
        <v>178</v>
      </c>
      <c r="B105" s="16" t="s">
        <v>258</v>
      </c>
      <c r="C105" s="16" t="s">
        <v>244</v>
      </c>
      <c r="D105" s="23">
        <v>43</v>
      </c>
      <c r="E105" s="23">
        <v>31</v>
      </c>
      <c r="F105" s="23">
        <v>22</v>
      </c>
      <c r="G105" s="21">
        <v>80926</v>
      </c>
      <c r="H105" s="21">
        <v>870</v>
      </c>
      <c r="I105" s="22">
        <f t="shared" si="33"/>
        <v>20.232558139534884</v>
      </c>
      <c r="J105" s="23">
        <v>326</v>
      </c>
      <c r="K105" s="23">
        <v>693</v>
      </c>
      <c r="L105" s="22">
        <f t="shared" si="57"/>
        <v>7.5813953488372094</v>
      </c>
      <c r="M105" s="22">
        <f t="shared" si="58"/>
        <v>16.11627906976744</v>
      </c>
      <c r="N105" s="24">
        <f t="shared" si="59"/>
        <v>0.4704184704184704</v>
      </c>
      <c r="O105" s="21">
        <v>213</v>
      </c>
      <c r="P105" s="23">
        <v>383</v>
      </c>
      <c r="Q105" s="22">
        <f t="shared" si="34"/>
        <v>4.9534883720930232</v>
      </c>
      <c r="R105" s="22">
        <f t="shared" si="35"/>
        <v>8.9069767441860463</v>
      </c>
      <c r="S105" s="24">
        <f t="shared" si="36"/>
        <v>0.55613577023498695</v>
      </c>
      <c r="T105" s="23">
        <v>113</v>
      </c>
      <c r="U105" s="23">
        <v>310</v>
      </c>
      <c r="V105" s="22">
        <f t="shared" si="37"/>
        <v>2.6279069767441858</v>
      </c>
      <c r="W105" s="22">
        <f t="shared" si="38"/>
        <v>7.2093023255813957</v>
      </c>
      <c r="X105" s="24">
        <f t="shared" si="39"/>
        <v>0.36451612903225805</v>
      </c>
      <c r="Y105" s="23">
        <v>105</v>
      </c>
      <c r="Z105" s="23">
        <v>174</v>
      </c>
      <c r="AA105" s="22">
        <f t="shared" si="40"/>
        <v>2.441860465116279</v>
      </c>
      <c r="AB105" s="22">
        <f t="shared" si="41"/>
        <v>4.0465116279069768</v>
      </c>
      <c r="AC105" s="24">
        <f t="shared" si="42"/>
        <v>0.60344827586206895</v>
      </c>
      <c r="AD105" s="23">
        <v>445</v>
      </c>
      <c r="AE105" s="22">
        <f t="shared" si="43"/>
        <v>10.348837209302326</v>
      </c>
      <c r="AF105" s="23">
        <v>70</v>
      </c>
      <c r="AG105" s="22">
        <f t="shared" si="44"/>
        <v>1.6279069767441861</v>
      </c>
      <c r="AH105" s="23">
        <v>375</v>
      </c>
      <c r="AI105" s="22">
        <f t="shared" si="45"/>
        <v>8.720930232558139</v>
      </c>
      <c r="AJ105" s="23">
        <v>146</v>
      </c>
      <c r="AK105" s="22">
        <f t="shared" si="46"/>
        <v>3.3953488372093021</v>
      </c>
      <c r="AL105" s="23">
        <v>45</v>
      </c>
      <c r="AM105" s="22">
        <f t="shared" si="47"/>
        <v>1.0465116279069768</v>
      </c>
      <c r="AN105" s="23">
        <v>67</v>
      </c>
      <c r="AO105" s="22">
        <f t="shared" si="48"/>
        <v>1.558139534883721</v>
      </c>
      <c r="AP105" s="10">
        <v>98</v>
      </c>
      <c r="AQ105" s="22">
        <f t="shared" si="49"/>
        <v>2.2790697674418605</v>
      </c>
      <c r="AR105" s="23">
        <v>73</v>
      </c>
      <c r="AS105" s="22">
        <f t="shared" si="50"/>
        <v>1.6976744186046511</v>
      </c>
      <c r="AT105" s="25">
        <v>5.0318232697201104</v>
      </c>
      <c r="AU105" s="25">
        <v>0.14922739104031169</v>
      </c>
      <c r="AV105" s="25">
        <v>2.6541767494735562</v>
      </c>
      <c r="AW105" s="25">
        <v>2.3776465202465542</v>
      </c>
      <c r="AX105" s="25">
        <v>108.9560391360811</v>
      </c>
      <c r="AY105" s="25">
        <v>104.27219860606036</v>
      </c>
      <c r="AZ105" s="25">
        <v>19.870027595630116</v>
      </c>
      <c r="BA105" s="25">
        <v>24.162790697674417</v>
      </c>
      <c r="BB105" s="25">
        <v>30.813335639967377</v>
      </c>
      <c r="BC105" s="24">
        <v>0.56525806954623425</v>
      </c>
      <c r="BD105" s="24">
        <v>0.55194805194805197</v>
      </c>
      <c r="BE105" s="25">
        <v>23.060414372967564</v>
      </c>
      <c r="BF105" s="24">
        <v>0.44733044733044736</v>
      </c>
      <c r="BG105" s="24">
        <v>0.25108225108225107</v>
      </c>
      <c r="BH105" s="25">
        <v>4.6468889908008197</v>
      </c>
      <c r="BI105" s="25">
        <v>24.894048165004389</v>
      </c>
      <c r="BJ105" s="25">
        <v>13.763798272205143</v>
      </c>
      <c r="BK105" s="25">
        <v>13.440313730062961</v>
      </c>
      <c r="BL105" s="25">
        <v>1.7873208334679567</v>
      </c>
      <c r="BM105" s="25">
        <v>3.7392131374742177</v>
      </c>
      <c r="BN105" s="25">
        <v>11.296048688275164</v>
      </c>
      <c r="BO105" s="26" t="s">
        <v>249</v>
      </c>
      <c r="BP105" s="27"/>
      <c r="BQ105" s="33" t="s">
        <v>268</v>
      </c>
      <c r="BR105" s="33">
        <v>1468.77</v>
      </c>
      <c r="BS105" s="33">
        <v>2018.27</v>
      </c>
      <c r="BT105" s="33">
        <v>549.5</v>
      </c>
      <c r="BU105" s="36">
        <f t="shared" si="51"/>
        <v>34.157441860465113</v>
      </c>
      <c r="BV105" s="36">
        <f t="shared" si="52"/>
        <v>46.936511627906974</v>
      </c>
      <c r="BW105" s="36">
        <f t="shared" si="53"/>
        <v>12.779069767441861</v>
      </c>
      <c r="BX105" s="37">
        <f t="shared" si="54"/>
        <v>43.558905666905567</v>
      </c>
      <c r="BY105" s="37">
        <f t="shared" si="55"/>
        <v>59.85527518967946</v>
      </c>
      <c r="BZ105" s="37">
        <f t="shared" si="56"/>
        <v>16.296369522773894</v>
      </c>
      <c r="CA105" s="34">
        <v>26</v>
      </c>
      <c r="CB105" s="34">
        <v>17</v>
      </c>
    </row>
    <row r="106" spans="1:80" x14ac:dyDescent="0.4">
      <c r="A106" s="16" t="s">
        <v>178</v>
      </c>
      <c r="B106" s="16" t="s">
        <v>258</v>
      </c>
      <c r="C106" s="16" t="s">
        <v>54</v>
      </c>
      <c r="D106" s="23">
        <v>53</v>
      </c>
      <c r="E106" s="23">
        <v>28</v>
      </c>
      <c r="F106" s="23">
        <v>14</v>
      </c>
      <c r="G106" s="21">
        <v>89782</v>
      </c>
      <c r="H106" s="21">
        <v>751</v>
      </c>
      <c r="I106" s="22">
        <f t="shared" si="33"/>
        <v>14.169811320754716</v>
      </c>
      <c r="J106" s="23">
        <v>311</v>
      </c>
      <c r="K106" s="23">
        <v>557</v>
      </c>
      <c r="L106" s="22">
        <f t="shared" si="57"/>
        <v>5.867924528301887</v>
      </c>
      <c r="M106" s="22">
        <f t="shared" si="58"/>
        <v>10.509433962264151</v>
      </c>
      <c r="N106" s="24">
        <f t="shared" si="59"/>
        <v>0.55834829443447043</v>
      </c>
      <c r="O106" s="21">
        <v>292</v>
      </c>
      <c r="P106" s="23">
        <v>498</v>
      </c>
      <c r="Q106" s="22">
        <f t="shared" si="34"/>
        <v>5.5094339622641506</v>
      </c>
      <c r="R106" s="22">
        <f t="shared" si="35"/>
        <v>9.3962264150943398</v>
      </c>
      <c r="S106" s="24">
        <f t="shared" si="36"/>
        <v>0.58634538152610438</v>
      </c>
      <c r="T106" s="23">
        <v>19</v>
      </c>
      <c r="U106" s="23">
        <v>59</v>
      </c>
      <c r="V106" s="22">
        <f t="shared" si="37"/>
        <v>0.35849056603773582</v>
      </c>
      <c r="W106" s="22">
        <f t="shared" si="38"/>
        <v>1.1132075471698113</v>
      </c>
      <c r="X106" s="24">
        <f t="shared" si="39"/>
        <v>0.32203389830508472</v>
      </c>
      <c r="Y106" s="23">
        <v>110</v>
      </c>
      <c r="Z106" s="23">
        <v>147</v>
      </c>
      <c r="AA106" s="22">
        <f t="shared" si="40"/>
        <v>2.0754716981132075</v>
      </c>
      <c r="AB106" s="22">
        <f t="shared" si="41"/>
        <v>2.7735849056603774</v>
      </c>
      <c r="AC106" s="24">
        <f t="shared" si="42"/>
        <v>0.74829931972789121</v>
      </c>
      <c r="AD106" s="23">
        <v>298</v>
      </c>
      <c r="AE106" s="22">
        <f t="shared" si="43"/>
        <v>5.6226415094339623</v>
      </c>
      <c r="AF106" s="23">
        <v>96</v>
      </c>
      <c r="AG106" s="22">
        <f t="shared" si="44"/>
        <v>1.8113207547169812</v>
      </c>
      <c r="AH106" s="23">
        <v>202</v>
      </c>
      <c r="AI106" s="22">
        <f t="shared" si="45"/>
        <v>3.8113207547169812</v>
      </c>
      <c r="AJ106" s="23">
        <v>115</v>
      </c>
      <c r="AK106" s="22">
        <f t="shared" si="46"/>
        <v>2.1698113207547172</v>
      </c>
      <c r="AL106" s="23">
        <v>31</v>
      </c>
      <c r="AM106" s="22">
        <f t="shared" si="47"/>
        <v>0.58490566037735847</v>
      </c>
      <c r="AN106" s="23">
        <v>21</v>
      </c>
      <c r="AO106" s="22">
        <f t="shared" si="48"/>
        <v>0.39622641509433965</v>
      </c>
      <c r="AP106" s="10">
        <v>60</v>
      </c>
      <c r="AQ106" s="22">
        <f t="shared" si="49"/>
        <v>1.1320754716981132</v>
      </c>
      <c r="AR106" s="23">
        <v>122</v>
      </c>
      <c r="AS106" s="22">
        <f t="shared" si="50"/>
        <v>2.3018867924528301</v>
      </c>
      <c r="AT106" s="25">
        <v>5.4530383707036902</v>
      </c>
      <c r="AU106" s="25">
        <v>0.1457674376789207</v>
      </c>
      <c r="AV106" s="25">
        <v>4.8240179680976016</v>
      </c>
      <c r="AW106" s="25">
        <v>0.62902040260608838</v>
      </c>
      <c r="AX106" s="25">
        <v>121.14563231256157</v>
      </c>
      <c r="AY106" s="25">
        <v>113.83345244514805</v>
      </c>
      <c r="AZ106" s="25">
        <v>18.308938755437339</v>
      </c>
      <c r="BA106" s="25">
        <v>16.471698113207548</v>
      </c>
      <c r="BB106" s="25">
        <v>23.336526252478226</v>
      </c>
      <c r="BC106" s="24">
        <v>0.60400849311542915</v>
      </c>
      <c r="BD106" s="24">
        <v>0.57540394973070019</v>
      </c>
      <c r="BE106" s="25">
        <v>20.130490274653269</v>
      </c>
      <c r="BF106" s="24">
        <v>0.1059245960502693</v>
      </c>
      <c r="BG106" s="24">
        <v>0.26391382405745062</v>
      </c>
      <c r="BH106" s="25">
        <v>7.0801376939278597</v>
      </c>
      <c r="BI106" s="25">
        <v>14.897789730973205</v>
      </c>
      <c r="BJ106" s="25">
        <v>10.240019059722277</v>
      </c>
      <c r="BK106" s="25">
        <v>11.976598767451772</v>
      </c>
      <c r="BL106" s="25">
        <v>1.1098147609013593</v>
      </c>
      <c r="BM106" s="25">
        <v>1.302059786245185</v>
      </c>
      <c r="BN106" s="25">
        <v>8.801783828189178</v>
      </c>
      <c r="BO106" s="26" t="s">
        <v>176</v>
      </c>
      <c r="BP106" s="27"/>
      <c r="BQ106" s="33" t="s">
        <v>266</v>
      </c>
      <c r="BR106" s="33">
        <v>1341.41</v>
      </c>
      <c r="BS106" s="33">
        <v>1703.01</v>
      </c>
      <c r="BT106" s="33">
        <v>361.6</v>
      </c>
      <c r="BU106" s="36">
        <f t="shared" si="51"/>
        <v>25.309622641509435</v>
      </c>
      <c r="BV106" s="36">
        <f t="shared" si="52"/>
        <v>32.132264150943399</v>
      </c>
      <c r="BW106" s="36">
        <f t="shared" si="53"/>
        <v>6.8226415094339625</v>
      </c>
      <c r="BX106" s="37">
        <f t="shared" si="54"/>
        <v>35.857788866365198</v>
      </c>
      <c r="BY106" s="37">
        <f t="shared" si="55"/>
        <v>45.523868926956403</v>
      </c>
      <c r="BZ106" s="37">
        <f t="shared" si="56"/>
        <v>9.6660800605912094</v>
      </c>
      <c r="CA106" s="34">
        <v>32</v>
      </c>
      <c r="CB106" s="34">
        <v>21</v>
      </c>
    </row>
    <row r="107" spans="1:80" x14ac:dyDescent="0.4">
      <c r="A107" s="16" t="s">
        <v>178</v>
      </c>
      <c r="B107" s="16" t="s">
        <v>258</v>
      </c>
      <c r="C107" s="16" t="s">
        <v>245</v>
      </c>
      <c r="D107" s="23">
        <v>36</v>
      </c>
      <c r="E107" s="23">
        <v>5</v>
      </c>
      <c r="F107" s="23">
        <v>29</v>
      </c>
      <c r="G107" s="21">
        <v>11844</v>
      </c>
      <c r="H107" s="21">
        <v>57</v>
      </c>
      <c r="I107" s="22">
        <f t="shared" si="33"/>
        <v>1.5833333333333333</v>
      </c>
      <c r="J107" s="23">
        <v>21</v>
      </c>
      <c r="K107" s="23">
        <v>86</v>
      </c>
      <c r="L107" s="22">
        <f t="shared" si="57"/>
        <v>0.58333333333333337</v>
      </c>
      <c r="M107" s="22">
        <f t="shared" si="58"/>
        <v>2.3888888888888888</v>
      </c>
      <c r="N107" s="24">
        <f t="shared" si="59"/>
        <v>0.2441860465116279</v>
      </c>
      <c r="O107" s="21">
        <v>10</v>
      </c>
      <c r="P107" s="23">
        <v>19</v>
      </c>
      <c r="Q107" s="22">
        <f t="shared" si="34"/>
        <v>0.27777777777777779</v>
      </c>
      <c r="R107" s="22">
        <f t="shared" si="35"/>
        <v>0.52777777777777779</v>
      </c>
      <c r="S107" s="24">
        <f t="shared" si="36"/>
        <v>0.52631578947368418</v>
      </c>
      <c r="T107" s="23">
        <v>11</v>
      </c>
      <c r="U107" s="23">
        <v>67</v>
      </c>
      <c r="V107" s="22">
        <f t="shared" si="37"/>
        <v>0.30555555555555558</v>
      </c>
      <c r="W107" s="22">
        <f t="shared" si="38"/>
        <v>1.8611111111111112</v>
      </c>
      <c r="X107" s="24">
        <f t="shared" si="39"/>
        <v>0.16417910447761194</v>
      </c>
      <c r="Y107" s="23">
        <v>4</v>
      </c>
      <c r="Z107" s="23">
        <v>7</v>
      </c>
      <c r="AA107" s="22">
        <f t="shared" si="40"/>
        <v>0.1111111111111111</v>
      </c>
      <c r="AB107" s="22">
        <f t="shared" si="41"/>
        <v>0.19444444444444445</v>
      </c>
      <c r="AC107" s="24">
        <f t="shared" si="42"/>
        <v>0.5714285714285714</v>
      </c>
      <c r="AD107" s="23">
        <v>14</v>
      </c>
      <c r="AE107" s="22">
        <f t="shared" si="43"/>
        <v>0.3888888888888889</v>
      </c>
      <c r="AF107" s="23">
        <v>5</v>
      </c>
      <c r="AG107" s="22">
        <f t="shared" si="44"/>
        <v>0.1388888888888889</v>
      </c>
      <c r="AH107" s="23">
        <v>9</v>
      </c>
      <c r="AI107" s="22">
        <f t="shared" si="45"/>
        <v>0.25</v>
      </c>
      <c r="AJ107" s="23">
        <v>8</v>
      </c>
      <c r="AK107" s="22">
        <f t="shared" si="46"/>
        <v>0.22222222222222221</v>
      </c>
      <c r="AL107" s="23">
        <v>11</v>
      </c>
      <c r="AM107" s="22">
        <f t="shared" si="47"/>
        <v>0.30555555555555558</v>
      </c>
      <c r="AN107" s="23">
        <v>0</v>
      </c>
      <c r="AO107" s="22">
        <f t="shared" si="48"/>
        <v>0</v>
      </c>
      <c r="AP107" s="10">
        <v>2</v>
      </c>
      <c r="AQ107" s="22">
        <f t="shared" si="49"/>
        <v>5.5555555555555552E-2</v>
      </c>
      <c r="AR107" s="23">
        <v>30</v>
      </c>
      <c r="AS107" s="22">
        <f t="shared" si="50"/>
        <v>0.83333333333333337</v>
      </c>
      <c r="AT107" s="25">
        <v>-0.60023231632911289</v>
      </c>
      <c r="AU107" s="25">
        <v>-0.12162762235645651</v>
      </c>
      <c r="AV107" s="25">
        <v>-0.67706191764280121</v>
      </c>
      <c r="AW107" s="25">
        <v>7.682960131368835E-2</v>
      </c>
      <c r="AX107" s="25">
        <v>75.380542055914006</v>
      </c>
      <c r="AY107" s="25">
        <v>114.05536084215201</v>
      </c>
      <c r="AZ107" s="25">
        <v>0.28723157921170017</v>
      </c>
      <c r="BA107" s="25">
        <v>0.55555555555555558</v>
      </c>
      <c r="BB107" s="25">
        <v>4.0526849037487338</v>
      </c>
      <c r="BC107" s="24">
        <v>0.3199371351594073</v>
      </c>
      <c r="BD107" s="24">
        <v>0.30813953488372092</v>
      </c>
      <c r="BE107" s="25">
        <v>13.848869723615605</v>
      </c>
      <c r="BF107" s="24">
        <v>0.77906976744186052</v>
      </c>
      <c r="BG107" s="24">
        <v>8.1395348837209308E-2</v>
      </c>
      <c r="BH107" s="25">
        <v>1.8987071386641647</v>
      </c>
      <c r="BI107" s="25">
        <v>3.4176728495954962</v>
      </c>
      <c r="BJ107" s="25">
        <v>2.4770230311537249</v>
      </c>
      <c r="BK107" s="25">
        <v>3.5415924992022196</v>
      </c>
      <c r="BL107" s="25">
        <v>2.9851926591269962</v>
      </c>
      <c r="BM107" s="25">
        <v>0</v>
      </c>
      <c r="BN107" s="25">
        <v>2.1958717610891525</v>
      </c>
      <c r="BO107" s="26" t="s">
        <v>176</v>
      </c>
      <c r="BP107" s="26"/>
      <c r="BQ107" s="32" t="s">
        <v>267</v>
      </c>
      <c r="BR107" s="32">
        <v>84</v>
      </c>
      <c r="BS107" s="32">
        <v>148.80000000000001</v>
      </c>
      <c r="BT107" s="32">
        <v>64.8</v>
      </c>
      <c r="BU107" s="36">
        <f t="shared" si="51"/>
        <v>2.3333333333333339</v>
      </c>
      <c r="BV107" s="36">
        <f t="shared" si="52"/>
        <v>4.1333333333333337</v>
      </c>
      <c r="BW107" s="36">
        <f t="shared" si="53"/>
        <v>1.7999999999999998</v>
      </c>
      <c r="BX107" s="37">
        <f t="shared" si="54"/>
        <v>17.021276595744681</v>
      </c>
      <c r="BY107" s="37">
        <f t="shared" si="55"/>
        <v>30.151975683890576</v>
      </c>
      <c r="BZ107" s="37">
        <f t="shared" si="56"/>
        <v>13.130699088145896</v>
      </c>
      <c r="CA107" s="35">
        <v>20</v>
      </c>
      <c r="CB107" s="35">
        <v>16</v>
      </c>
    </row>
    <row r="108" spans="1:80" x14ac:dyDescent="0.4">
      <c r="A108" s="16" t="s">
        <v>178</v>
      </c>
      <c r="B108" s="16" t="s">
        <v>258</v>
      </c>
      <c r="C108" s="16" t="s">
        <v>160</v>
      </c>
      <c r="D108" s="66">
        <v>22</v>
      </c>
      <c r="E108" s="66">
        <v>4</v>
      </c>
      <c r="F108" s="66">
        <v>4</v>
      </c>
      <c r="G108" s="67">
        <v>5368</v>
      </c>
      <c r="H108" s="67">
        <v>14</v>
      </c>
      <c r="I108" s="22">
        <f t="shared" si="33"/>
        <v>0.63636363636363635</v>
      </c>
      <c r="J108" s="39">
        <v>6</v>
      </c>
      <c r="K108" s="39">
        <v>23</v>
      </c>
      <c r="L108" s="22">
        <f t="shared" si="57"/>
        <v>0.27272727272727271</v>
      </c>
      <c r="M108" s="22">
        <f t="shared" si="58"/>
        <v>1.0454545454545454</v>
      </c>
      <c r="N108" s="24">
        <f t="shared" si="59"/>
        <v>0.2608695652173913</v>
      </c>
      <c r="O108" s="67">
        <v>4</v>
      </c>
      <c r="P108" s="39">
        <v>12</v>
      </c>
      <c r="Q108" s="22">
        <f t="shared" si="34"/>
        <v>0.18181818181818182</v>
      </c>
      <c r="R108" s="22">
        <f t="shared" si="35"/>
        <v>0.54545454545454541</v>
      </c>
      <c r="S108" s="24">
        <f t="shared" si="36"/>
        <v>0.33333333333333331</v>
      </c>
      <c r="T108" s="39">
        <v>2</v>
      </c>
      <c r="U108" s="39">
        <v>11</v>
      </c>
      <c r="V108" s="22">
        <f t="shared" si="37"/>
        <v>9.0909090909090912E-2</v>
      </c>
      <c r="W108" s="22">
        <f t="shared" si="38"/>
        <v>0.5</v>
      </c>
      <c r="X108" s="24">
        <f t="shared" si="39"/>
        <v>0.18181818181818182</v>
      </c>
      <c r="Y108" s="68">
        <v>0</v>
      </c>
      <c r="Z108" s="68">
        <v>0</v>
      </c>
      <c r="AA108" s="22">
        <f t="shared" si="40"/>
        <v>0</v>
      </c>
      <c r="AB108" s="22">
        <f t="shared" si="41"/>
        <v>0</v>
      </c>
      <c r="AC108" s="24" t="e">
        <f t="shared" si="42"/>
        <v>#DIV/0!</v>
      </c>
      <c r="AD108" s="39">
        <v>6</v>
      </c>
      <c r="AE108" s="22">
        <f t="shared" si="43"/>
        <v>0.27272727272727271</v>
      </c>
      <c r="AF108" s="39">
        <v>5</v>
      </c>
      <c r="AG108" s="22">
        <f t="shared" si="44"/>
        <v>0.22727272727272727</v>
      </c>
      <c r="AH108" s="39">
        <v>1</v>
      </c>
      <c r="AI108" s="22">
        <f t="shared" si="45"/>
        <v>4.5454545454545456E-2</v>
      </c>
      <c r="AJ108" s="39">
        <v>8</v>
      </c>
      <c r="AK108" s="22">
        <f t="shared" si="46"/>
        <v>0.36363636363636365</v>
      </c>
      <c r="AL108" s="39">
        <v>5</v>
      </c>
      <c r="AM108" s="22">
        <f t="shared" si="47"/>
        <v>0.22727272727272727</v>
      </c>
      <c r="AN108" s="41">
        <v>0</v>
      </c>
      <c r="AO108" s="22">
        <f t="shared" si="48"/>
        <v>0</v>
      </c>
      <c r="AP108" s="8">
        <v>7</v>
      </c>
      <c r="AQ108" s="22">
        <f t="shared" si="49"/>
        <v>0.31818181818181818</v>
      </c>
      <c r="AR108" s="39">
        <v>19</v>
      </c>
      <c r="AS108" s="22">
        <f t="shared" si="50"/>
        <v>0.86363636363636365</v>
      </c>
      <c r="AT108" s="25">
        <v>-0.29852283416210451</v>
      </c>
      <c r="AU108" s="25">
        <v>-0.13346773509483062</v>
      </c>
      <c r="AV108" s="25">
        <v>-0.31661211791577698</v>
      </c>
      <c r="AW108" s="25">
        <v>1.8089283753672459E-2</v>
      </c>
      <c r="AX108" s="25">
        <v>70.006476796762911</v>
      </c>
      <c r="AY108" s="25">
        <v>115.38732988918777</v>
      </c>
      <c r="AZ108" s="25">
        <v>-1.2382538126780793</v>
      </c>
      <c r="BA108" s="25">
        <v>0.40909090909090912</v>
      </c>
      <c r="BB108" s="25">
        <v>4.0238450074515644</v>
      </c>
      <c r="BC108" s="24">
        <v>0.30434782608695654</v>
      </c>
      <c r="BD108" s="24">
        <v>0.30434782608695654</v>
      </c>
      <c r="BE108" s="25">
        <v>6.1506162917524332</v>
      </c>
      <c r="BF108" s="24">
        <v>0.47826086956521741</v>
      </c>
      <c r="BG108" s="24">
        <v>0</v>
      </c>
      <c r="BH108" s="25">
        <v>2.5601420025430746</v>
      </c>
      <c r="BI108" s="25">
        <v>0.51202840050861487</v>
      </c>
      <c r="BJ108" s="25">
        <v>1.4313944565273575</v>
      </c>
      <c r="BK108" s="25">
        <v>4.51717939789763</v>
      </c>
      <c r="BL108" s="25">
        <v>2.993888180353284</v>
      </c>
      <c r="BM108" s="25">
        <v>0</v>
      </c>
      <c r="BN108" s="25">
        <v>23.333333333333332</v>
      </c>
      <c r="BO108" s="26" t="s">
        <v>176</v>
      </c>
      <c r="BP108" s="27"/>
      <c r="BQ108" s="32" t="s">
        <v>267</v>
      </c>
      <c r="BR108" s="32">
        <v>35.28</v>
      </c>
      <c r="BS108" s="32">
        <v>61.88</v>
      </c>
      <c r="BT108" s="32">
        <v>26.6</v>
      </c>
      <c r="BU108" s="36">
        <f t="shared" si="51"/>
        <v>1.6036363636363637</v>
      </c>
      <c r="BV108" s="36">
        <f t="shared" si="52"/>
        <v>2.812727272727273</v>
      </c>
      <c r="BW108" s="36">
        <f t="shared" si="53"/>
        <v>1.2090909090909092</v>
      </c>
      <c r="BX108" s="37">
        <f t="shared" si="54"/>
        <v>15.773472429210134</v>
      </c>
      <c r="BY108" s="37">
        <f t="shared" si="55"/>
        <v>27.666169895678092</v>
      </c>
      <c r="BZ108" s="37">
        <f t="shared" si="56"/>
        <v>11.892697466467958</v>
      </c>
      <c r="CA108" s="35">
        <v>16</v>
      </c>
      <c r="CB108" s="35">
        <v>6</v>
      </c>
    </row>
    <row r="109" spans="1:80" x14ac:dyDescent="0.4">
      <c r="A109" s="16" t="s">
        <v>178</v>
      </c>
      <c r="B109" s="16" t="s">
        <v>258</v>
      </c>
      <c r="C109" s="16" t="s">
        <v>121</v>
      </c>
      <c r="D109" s="29">
        <v>54</v>
      </c>
      <c r="E109" s="29">
        <v>31</v>
      </c>
      <c r="F109" s="29">
        <v>54</v>
      </c>
      <c r="G109" s="21">
        <v>103356</v>
      </c>
      <c r="H109" s="21">
        <v>830</v>
      </c>
      <c r="I109" s="22">
        <f t="shared" si="33"/>
        <v>15.37037037037037</v>
      </c>
      <c r="J109" s="23">
        <v>277</v>
      </c>
      <c r="K109" s="23">
        <v>668</v>
      </c>
      <c r="L109" s="22">
        <f t="shared" si="57"/>
        <v>5.1296296296296298</v>
      </c>
      <c r="M109" s="22">
        <f t="shared" si="58"/>
        <v>12.37037037037037</v>
      </c>
      <c r="N109" s="24">
        <f t="shared" si="59"/>
        <v>0.41467065868263475</v>
      </c>
      <c r="O109" s="21">
        <v>100</v>
      </c>
      <c r="P109" s="23">
        <v>218</v>
      </c>
      <c r="Q109" s="22">
        <f t="shared" si="34"/>
        <v>1.8518518518518519</v>
      </c>
      <c r="R109" s="22">
        <f t="shared" si="35"/>
        <v>4.0370370370370372</v>
      </c>
      <c r="S109" s="24">
        <f t="shared" si="36"/>
        <v>0.45871559633027525</v>
      </c>
      <c r="T109" s="23">
        <v>177</v>
      </c>
      <c r="U109" s="23">
        <v>450</v>
      </c>
      <c r="V109" s="22">
        <f t="shared" si="37"/>
        <v>3.2777777777777777</v>
      </c>
      <c r="W109" s="22">
        <f t="shared" si="38"/>
        <v>8.3333333333333339</v>
      </c>
      <c r="X109" s="24">
        <f t="shared" si="39"/>
        <v>0.39333333333333331</v>
      </c>
      <c r="Y109" s="15">
        <v>99</v>
      </c>
      <c r="Z109" s="15">
        <v>118</v>
      </c>
      <c r="AA109" s="22">
        <f t="shared" si="40"/>
        <v>1.8333333333333333</v>
      </c>
      <c r="AB109" s="22">
        <f t="shared" si="41"/>
        <v>2.1851851851851851</v>
      </c>
      <c r="AC109" s="24">
        <f t="shared" si="42"/>
        <v>0.83898305084745761</v>
      </c>
      <c r="AD109" s="23">
        <v>117</v>
      </c>
      <c r="AE109" s="22">
        <f t="shared" si="43"/>
        <v>2.1666666666666665</v>
      </c>
      <c r="AF109" s="23">
        <v>32</v>
      </c>
      <c r="AG109" s="22">
        <f t="shared" si="44"/>
        <v>0.59259259259259256</v>
      </c>
      <c r="AH109" s="23">
        <v>85</v>
      </c>
      <c r="AI109" s="22">
        <f t="shared" si="45"/>
        <v>1.5740740740740742</v>
      </c>
      <c r="AJ109" s="23">
        <v>82</v>
      </c>
      <c r="AK109" s="22">
        <f t="shared" si="46"/>
        <v>1.5185185185185186</v>
      </c>
      <c r="AL109" s="23">
        <v>51</v>
      </c>
      <c r="AM109" s="22">
        <f t="shared" si="47"/>
        <v>0.94444444444444442</v>
      </c>
      <c r="AN109" s="13">
        <v>4</v>
      </c>
      <c r="AO109" s="22">
        <f t="shared" si="48"/>
        <v>7.407407407407407E-2</v>
      </c>
      <c r="AP109" s="12">
        <v>53</v>
      </c>
      <c r="AQ109" s="22">
        <f t="shared" si="49"/>
        <v>0.98148148148148151</v>
      </c>
      <c r="AR109" s="23">
        <v>69</v>
      </c>
      <c r="AS109" s="22">
        <f t="shared" si="50"/>
        <v>1.2777777777777777</v>
      </c>
      <c r="AT109" s="25">
        <v>3.2078484625283479</v>
      </c>
      <c r="AU109" s="25">
        <v>7.4488528097720844E-2</v>
      </c>
      <c r="AV109" s="25">
        <v>3.3063328097608116</v>
      </c>
      <c r="AW109" s="25">
        <v>-9.848434723246359E-2</v>
      </c>
      <c r="AX109" s="25">
        <v>113.41864969158833</v>
      </c>
      <c r="AY109" s="25">
        <v>117.23454910872883</v>
      </c>
      <c r="AZ109" s="25">
        <v>14.134791239148232</v>
      </c>
      <c r="BA109" s="25">
        <v>11.5</v>
      </c>
      <c r="BB109" s="25">
        <v>14.420062695924765</v>
      </c>
      <c r="BC109" s="24">
        <v>0.57645293921546836</v>
      </c>
      <c r="BD109" s="24">
        <v>0.54715568862275454</v>
      </c>
      <c r="BE109" s="25">
        <v>20.201323232148987</v>
      </c>
      <c r="BF109" s="24">
        <v>0.67365269461077848</v>
      </c>
      <c r="BG109" s="24">
        <v>0.17664670658682635</v>
      </c>
      <c r="BH109" s="25">
        <v>2.0887762545304414</v>
      </c>
      <c r="BI109" s="25">
        <v>5.5483119260964848</v>
      </c>
      <c r="BJ109" s="25">
        <v>3.5582940565084469</v>
      </c>
      <c r="BK109" s="25">
        <v>7.073249101287634</v>
      </c>
      <c r="BL109" s="25">
        <v>1.5860342493110371</v>
      </c>
      <c r="BM109" s="25">
        <v>0.21950433178079751</v>
      </c>
      <c r="BN109" s="25">
        <v>6.8571132846866432</v>
      </c>
      <c r="BO109" s="26" t="s">
        <v>176</v>
      </c>
      <c r="BP109" s="27"/>
      <c r="BQ109" s="32" t="s">
        <v>268</v>
      </c>
      <c r="BR109" s="32">
        <v>1113.23</v>
      </c>
      <c r="BS109" s="32">
        <v>1571.63</v>
      </c>
      <c r="BT109" s="32">
        <v>458.4</v>
      </c>
      <c r="BU109" s="36">
        <f t="shared" si="51"/>
        <v>20.615370370370371</v>
      </c>
      <c r="BV109" s="36">
        <f t="shared" si="52"/>
        <v>29.104259259259262</v>
      </c>
      <c r="BW109" s="36">
        <f t="shared" si="53"/>
        <v>8.4888888888888889</v>
      </c>
      <c r="BX109" s="37">
        <f t="shared" si="54"/>
        <v>25.849994194821782</v>
      </c>
      <c r="BY109" s="37">
        <f t="shared" si="55"/>
        <v>36.4943689771276</v>
      </c>
      <c r="BZ109" s="37">
        <f t="shared" si="56"/>
        <v>10.644374782305817</v>
      </c>
      <c r="CA109" s="35">
        <v>32</v>
      </c>
      <c r="CB109" s="35">
        <v>22</v>
      </c>
    </row>
    <row r="110" spans="1:80" x14ac:dyDescent="0.4">
      <c r="A110" s="16" t="s">
        <v>178</v>
      </c>
      <c r="B110" s="16" t="s">
        <v>258</v>
      </c>
      <c r="C110" s="16" t="s">
        <v>246</v>
      </c>
      <c r="D110" s="23">
        <v>6</v>
      </c>
      <c r="E110" s="23">
        <v>3</v>
      </c>
      <c r="F110" s="23">
        <v>53</v>
      </c>
      <c r="G110" s="21">
        <v>1398</v>
      </c>
      <c r="H110" s="21">
        <v>0</v>
      </c>
      <c r="I110" s="22">
        <f t="shared" si="33"/>
        <v>0</v>
      </c>
      <c r="J110" s="23">
        <v>0</v>
      </c>
      <c r="K110" s="23">
        <v>5</v>
      </c>
      <c r="L110" s="22">
        <f t="shared" si="57"/>
        <v>0</v>
      </c>
      <c r="M110" s="22">
        <f t="shared" si="58"/>
        <v>0.83333333333333337</v>
      </c>
      <c r="N110" s="24">
        <f t="shared" si="59"/>
        <v>0</v>
      </c>
      <c r="O110" s="21">
        <v>0</v>
      </c>
      <c r="P110" s="23">
        <v>0</v>
      </c>
      <c r="Q110" s="22">
        <f t="shared" si="34"/>
        <v>0</v>
      </c>
      <c r="R110" s="22">
        <f t="shared" si="35"/>
        <v>0</v>
      </c>
      <c r="S110" s="24" t="e">
        <f t="shared" si="36"/>
        <v>#DIV/0!</v>
      </c>
      <c r="T110" s="23">
        <v>0</v>
      </c>
      <c r="U110" s="23">
        <v>5</v>
      </c>
      <c r="V110" s="22">
        <f t="shared" si="37"/>
        <v>0</v>
      </c>
      <c r="W110" s="22">
        <f t="shared" si="38"/>
        <v>0.83333333333333337</v>
      </c>
      <c r="X110" s="24">
        <f t="shared" si="39"/>
        <v>0</v>
      </c>
      <c r="Y110" s="23">
        <v>0</v>
      </c>
      <c r="Z110" s="23">
        <v>0</v>
      </c>
      <c r="AA110" s="22">
        <f t="shared" si="40"/>
        <v>0</v>
      </c>
      <c r="AB110" s="22">
        <f t="shared" si="41"/>
        <v>0</v>
      </c>
      <c r="AC110" s="24" t="e">
        <f t="shared" si="42"/>
        <v>#DIV/0!</v>
      </c>
      <c r="AD110" s="23">
        <v>4</v>
      </c>
      <c r="AE110" s="22">
        <f t="shared" si="43"/>
        <v>0.66666666666666663</v>
      </c>
      <c r="AF110" s="23">
        <v>2</v>
      </c>
      <c r="AG110" s="22">
        <f t="shared" si="44"/>
        <v>0.33333333333333331</v>
      </c>
      <c r="AH110" s="23">
        <v>2</v>
      </c>
      <c r="AI110" s="22">
        <f t="shared" si="45"/>
        <v>0.33333333333333331</v>
      </c>
      <c r="AJ110" s="23">
        <v>0</v>
      </c>
      <c r="AK110" s="22">
        <f t="shared" si="46"/>
        <v>0</v>
      </c>
      <c r="AL110" s="23">
        <v>0</v>
      </c>
      <c r="AM110" s="22">
        <f t="shared" si="47"/>
        <v>0</v>
      </c>
      <c r="AN110" s="23">
        <v>0</v>
      </c>
      <c r="AO110" s="22">
        <f t="shared" si="48"/>
        <v>0</v>
      </c>
      <c r="AP110" s="10">
        <v>2</v>
      </c>
      <c r="AQ110" s="22">
        <f t="shared" si="49"/>
        <v>0.33333333333333331</v>
      </c>
      <c r="AR110" s="23">
        <v>5</v>
      </c>
      <c r="AS110" s="22">
        <f t="shared" si="50"/>
        <v>0.83333333333333337</v>
      </c>
      <c r="AT110" s="25">
        <v>-0.1963606167347878</v>
      </c>
      <c r="AU110" s="25">
        <v>-0.33709977121851981</v>
      </c>
      <c r="AV110" s="25">
        <v>-0.18972284159780298</v>
      </c>
      <c r="AW110" s="25">
        <v>-6.6377751369848196E-3</v>
      </c>
      <c r="AX110" s="25">
        <v>20.654517458932904</v>
      </c>
      <c r="AY110" s="25">
        <v>118.85634482948427</v>
      </c>
      <c r="AZ110" s="25">
        <v>-1.7030265324487177</v>
      </c>
      <c r="BA110" s="25">
        <v>-0.5</v>
      </c>
      <c r="BB110" s="25">
        <v>-5.1502145922746774</v>
      </c>
      <c r="BC110" s="24">
        <v>0</v>
      </c>
      <c r="BD110" s="24">
        <v>0</v>
      </c>
      <c r="BE110" s="25">
        <v>1.5028973714324974</v>
      </c>
      <c r="BF110" s="24">
        <v>1</v>
      </c>
      <c r="BG110" s="24">
        <v>0</v>
      </c>
      <c r="BH110" s="25">
        <v>1.0724028302498028</v>
      </c>
      <c r="BI110" s="25">
        <v>1.0724028302498028</v>
      </c>
      <c r="BJ110" s="25">
        <v>0.99931401256845565</v>
      </c>
      <c r="BK110" s="25">
        <v>0</v>
      </c>
      <c r="BL110" s="25">
        <v>0</v>
      </c>
      <c r="BM110" s="25">
        <v>0</v>
      </c>
      <c r="BN110" s="25">
        <v>28.571428571428573</v>
      </c>
      <c r="BO110" s="26" t="s">
        <v>176</v>
      </c>
      <c r="BP110" s="26"/>
      <c r="BQ110" s="32" t="s">
        <v>268</v>
      </c>
      <c r="BR110" s="32">
        <v>3.33</v>
      </c>
      <c r="BS110" s="32">
        <v>10.83</v>
      </c>
      <c r="BT110" s="32">
        <v>7.5</v>
      </c>
      <c r="BU110" s="36">
        <f t="shared" si="51"/>
        <v>0.55499999999999994</v>
      </c>
      <c r="BV110" s="36">
        <f t="shared" si="52"/>
        <v>1.8049999999999999</v>
      </c>
      <c r="BW110" s="36">
        <f t="shared" si="53"/>
        <v>1.25</v>
      </c>
      <c r="BX110" s="37">
        <f t="shared" si="54"/>
        <v>5.7167381974248936</v>
      </c>
      <c r="BY110" s="37">
        <f t="shared" si="55"/>
        <v>18.59227467811159</v>
      </c>
      <c r="BZ110" s="37">
        <f t="shared" si="56"/>
        <v>12.875536480686696</v>
      </c>
      <c r="CA110" s="34">
        <v>3</v>
      </c>
      <c r="CB110" s="34">
        <v>3</v>
      </c>
    </row>
    <row r="111" spans="1:80" x14ac:dyDescent="0.4">
      <c r="A111" s="16" t="s">
        <v>178</v>
      </c>
      <c r="B111" s="16" t="s">
        <v>258</v>
      </c>
      <c r="C111" s="16" t="s">
        <v>124</v>
      </c>
      <c r="D111" s="23">
        <v>9</v>
      </c>
      <c r="E111" s="23">
        <v>8</v>
      </c>
      <c r="F111" s="23">
        <v>48</v>
      </c>
      <c r="G111" s="21">
        <v>4752</v>
      </c>
      <c r="H111" s="21">
        <v>29</v>
      </c>
      <c r="I111" s="22">
        <f t="shared" si="33"/>
        <v>3.2222222222222223</v>
      </c>
      <c r="J111" s="23">
        <v>10</v>
      </c>
      <c r="K111" s="23">
        <v>24</v>
      </c>
      <c r="L111" s="22">
        <f t="shared" si="57"/>
        <v>1.1111111111111112</v>
      </c>
      <c r="M111" s="22">
        <f t="shared" si="58"/>
        <v>2.6666666666666665</v>
      </c>
      <c r="N111" s="24">
        <f t="shared" si="59"/>
        <v>0.41666666666666669</v>
      </c>
      <c r="O111" s="21">
        <v>7</v>
      </c>
      <c r="P111" s="23">
        <v>15</v>
      </c>
      <c r="Q111" s="22">
        <f t="shared" si="34"/>
        <v>0.77777777777777779</v>
      </c>
      <c r="R111" s="22">
        <f t="shared" si="35"/>
        <v>1.6666666666666667</v>
      </c>
      <c r="S111" s="24">
        <f t="shared" si="36"/>
        <v>0.46666666666666667</v>
      </c>
      <c r="T111" s="23">
        <v>3</v>
      </c>
      <c r="U111" s="23">
        <v>9</v>
      </c>
      <c r="V111" s="22">
        <f t="shared" si="37"/>
        <v>0.33333333333333331</v>
      </c>
      <c r="W111" s="22">
        <f t="shared" si="38"/>
        <v>1</v>
      </c>
      <c r="X111" s="24">
        <f t="shared" si="39"/>
        <v>0.33333333333333331</v>
      </c>
      <c r="Y111" s="23">
        <v>6</v>
      </c>
      <c r="Z111" s="23">
        <v>8</v>
      </c>
      <c r="AA111" s="22">
        <f t="shared" si="40"/>
        <v>0.66666666666666663</v>
      </c>
      <c r="AB111" s="22">
        <f t="shared" si="41"/>
        <v>0.88888888888888884</v>
      </c>
      <c r="AC111" s="24">
        <f t="shared" si="42"/>
        <v>0.75</v>
      </c>
      <c r="AD111" s="23">
        <v>9</v>
      </c>
      <c r="AE111" s="22">
        <f t="shared" si="43"/>
        <v>1</v>
      </c>
      <c r="AF111" s="23">
        <v>7</v>
      </c>
      <c r="AG111" s="22">
        <f t="shared" si="44"/>
        <v>0.77777777777777779</v>
      </c>
      <c r="AH111" s="23">
        <v>2</v>
      </c>
      <c r="AI111" s="22">
        <f t="shared" si="45"/>
        <v>0.22222222222222221</v>
      </c>
      <c r="AJ111" s="23">
        <v>16</v>
      </c>
      <c r="AK111" s="22">
        <f t="shared" si="46"/>
        <v>1.7777777777777777</v>
      </c>
      <c r="AL111" s="23">
        <v>4</v>
      </c>
      <c r="AM111" s="22">
        <f t="shared" si="47"/>
        <v>0.44444444444444442</v>
      </c>
      <c r="AN111" s="23">
        <v>1</v>
      </c>
      <c r="AO111" s="22">
        <f t="shared" si="48"/>
        <v>0.1111111111111111</v>
      </c>
      <c r="AP111" s="10">
        <v>3</v>
      </c>
      <c r="AQ111" s="22">
        <f t="shared" si="49"/>
        <v>0.33333333333333331</v>
      </c>
      <c r="AR111" s="23">
        <v>9</v>
      </c>
      <c r="AS111" s="22">
        <f t="shared" si="50"/>
        <v>1</v>
      </c>
      <c r="AT111" s="25">
        <v>0.31815683231379105</v>
      </c>
      <c r="AU111" s="25">
        <v>0.16068526884534901</v>
      </c>
      <c r="AV111" s="25">
        <v>0.29833294911833003</v>
      </c>
      <c r="AW111" s="25">
        <v>1.9823883195461026E-2</v>
      </c>
      <c r="AX111" s="25">
        <v>125.0943566950788</v>
      </c>
      <c r="AY111" s="25">
        <v>115.04467303519313</v>
      </c>
      <c r="AZ111" s="25">
        <v>2.8080214838561841</v>
      </c>
      <c r="BA111" s="25">
        <v>4.4444444444444446</v>
      </c>
      <c r="BB111" s="25">
        <v>20.202020202020204</v>
      </c>
      <c r="BC111" s="24">
        <v>0.52688953488372092</v>
      </c>
      <c r="BD111" s="24">
        <v>0.47916666666666669</v>
      </c>
      <c r="BE111" s="25">
        <v>2.8915973138084192</v>
      </c>
      <c r="BF111" s="24">
        <v>0.375</v>
      </c>
      <c r="BG111" s="24">
        <v>0.33333333333333331</v>
      </c>
      <c r="BH111" s="25">
        <v>1.6563342955846863</v>
      </c>
      <c r="BI111" s="25">
        <v>0.47323837016705311</v>
      </c>
      <c r="BJ111" s="25">
        <v>0.99221661191100918</v>
      </c>
      <c r="BK111" s="25">
        <v>4.1427165864015327</v>
      </c>
      <c r="BL111" s="25">
        <v>2.7055878370600044</v>
      </c>
      <c r="BM111" s="25">
        <v>0.19892580067634771</v>
      </c>
      <c r="BN111" s="25">
        <v>9.8296199213630402</v>
      </c>
      <c r="BO111" s="26" t="s">
        <v>176</v>
      </c>
      <c r="BP111" s="27"/>
      <c r="BQ111" s="33" t="s">
        <v>267</v>
      </c>
      <c r="BR111" s="33">
        <v>70.819999999999993</v>
      </c>
      <c r="BS111" s="33">
        <v>90.32</v>
      </c>
      <c r="BT111" s="33">
        <v>19.5</v>
      </c>
      <c r="BU111" s="36">
        <f t="shared" si="51"/>
        <v>7.8688888888888879</v>
      </c>
      <c r="BV111" s="36">
        <f t="shared" si="52"/>
        <v>10.035555555555554</v>
      </c>
      <c r="BW111" s="36">
        <f t="shared" si="53"/>
        <v>2.1666666666666665</v>
      </c>
      <c r="BX111" s="37">
        <f t="shared" si="54"/>
        <v>35.767676767676761</v>
      </c>
      <c r="BY111" s="37">
        <f t="shared" si="55"/>
        <v>45.616161616161612</v>
      </c>
      <c r="BZ111" s="37">
        <f t="shared" si="56"/>
        <v>9.8484848484848477</v>
      </c>
      <c r="CA111" s="35">
        <v>5</v>
      </c>
      <c r="CB111" s="35">
        <v>4</v>
      </c>
    </row>
    <row r="112" spans="1:80" x14ac:dyDescent="0.4">
      <c r="A112" s="16" t="s">
        <v>178</v>
      </c>
      <c r="B112" s="16" t="s">
        <v>258</v>
      </c>
      <c r="C112" s="16" t="s">
        <v>247</v>
      </c>
      <c r="D112" s="23">
        <v>12</v>
      </c>
      <c r="E112" s="23">
        <v>3</v>
      </c>
      <c r="F112" s="23">
        <v>16</v>
      </c>
      <c r="G112" s="21">
        <v>2352</v>
      </c>
      <c r="H112" s="21">
        <v>8</v>
      </c>
      <c r="I112" s="22">
        <f t="shared" si="33"/>
        <v>0.66666666666666663</v>
      </c>
      <c r="J112" s="23">
        <v>4</v>
      </c>
      <c r="K112" s="23">
        <v>11</v>
      </c>
      <c r="L112" s="22">
        <f t="shared" si="57"/>
        <v>0.33333333333333331</v>
      </c>
      <c r="M112" s="22">
        <f t="shared" si="58"/>
        <v>0.91666666666666663</v>
      </c>
      <c r="N112" s="24">
        <f t="shared" si="59"/>
        <v>0.36363636363636365</v>
      </c>
      <c r="O112" s="21">
        <v>4</v>
      </c>
      <c r="P112" s="23">
        <v>11</v>
      </c>
      <c r="Q112" s="22">
        <f t="shared" si="34"/>
        <v>0.33333333333333331</v>
      </c>
      <c r="R112" s="22">
        <f t="shared" si="35"/>
        <v>0.91666666666666663</v>
      </c>
      <c r="S112" s="24">
        <f t="shared" si="36"/>
        <v>0.36363636363636365</v>
      </c>
      <c r="T112" s="23">
        <v>0</v>
      </c>
      <c r="U112" s="23">
        <v>0</v>
      </c>
      <c r="V112" s="22">
        <f t="shared" si="37"/>
        <v>0</v>
      </c>
      <c r="W112" s="22">
        <f t="shared" si="38"/>
        <v>0</v>
      </c>
      <c r="X112" s="24" t="e">
        <f t="shared" si="39"/>
        <v>#DIV/0!</v>
      </c>
      <c r="Y112" s="23">
        <v>0</v>
      </c>
      <c r="Z112" s="23">
        <v>0</v>
      </c>
      <c r="AA112" s="22">
        <f t="shared" si="40"/>
        <v>0</v>
      </c>
      <c r="AB112" s="22">
        <f t="shared" si="41"/>
        <v>0</v>
      </c>
      <c r="AC112" s="24" t="e">
        <f t="shared" si="42"/>
        <v>#DIV/0!</v>
      </c>
      <c r="AD112" s="23">
        <v>7</v>
      </c>
      <c r="AE112" s="22">
        <f t="shared" si="43"/>
        <v>0.58333333333333337</v>
      </c>
      <c r="AF112" s="23">
        <v>5</v>
      </c>
      <c r="AG112" s="22">
        <f t="shared" si="44"/>
        <v>0.41666666666666669</v>
      </c>
      <c r="AH112" s="23">
        <v>2</v>
      </c>
      <c r="AI112" s="22">
        <f t="shared" si="45"/>
        <v>0.16666666666666666</v>
      </c>
      <c r="AJ112" s="23">
        <v>0</v>
      </c>
      <c r="AK112" s="22">
        <f t="shared" si="46"/>
        <v>0</v>
      </c>
      <c r="AL112" s="23">
        <v>1</v>
      </c>
      <c r="AM112" s="22">
        <f t="shared" si="47"/>
        <v>8.3333333333333329E-2</v>
      </c>
      <c r="AN112" s="23">
        <v>0</v>
      </c>
      <c r="AO112" s="22">
        <f t="shared" si="48"/>
        <v>0</v>
      </c>
      <c r="AP112" s="10">
        <v>0</v>
      </c>
      <c r="AQ112" s="22">
        <f t="shared" si="49"/>
        <v>0</v>
      </c>
      <c r="AR112" s="23">
        <v>9</v>
      </c>
      <c r="AS112" s="22">
        <f t="shared" si="50"/>
        <v>0.75</v>
      </c>
      <c r="AT112" s="25">
        <v>-8.9601008236133584E-3</v>
      </c>
      <c r="AU112" s="25">
        <v>-9.1429600240952626E-3</v>
      </c>
      <c r="AV112" s="25">
        <v>-6.5676296471290641E-3</v>
      </c>
      <c r="AW112" s="25">
        <v>-2.3924711764842944E-3</v>
      </c>
      <c r="AX112" s="25">
        <v>97.776867737673996</v>
      </c>
      <c r="AY112" s="25">
        <v>117.26204428308387</v>
      </c>
      <c r="AZ112" s="25">
        <v>0.41463439765163929</v>
      </c>
      <c r="BA112" s="25">
        <v>0.75</v>
      </c>
      <c r="BB112" s="25">
        <v>9.1836734693877542</v>
      </c>
      <c r="BC112" s="24">
        <v>0.36363636363636365</v>
      </c>
      <c r="BD112" s="24">
        <v>0.36363636363636365</v>
      </c>
      <c r="BE112" s="25">
        <v>2.8075262120856341</v>
      </c>
      <c r="BF112" s="24">
        <v>0</v>
      </c>
      <c r="BG112" s="24">
        <v>0</v>
      </c>
      <c r="BH112" s="25">
        <v>3.1871155541862759</v>
      </c>
      <c r="BI112" s="25">
        <v>1.2748462216745104</v>
      </c>
      <c r="BJ112" s="25">
        <v>2.0789300440040193</v>
      </c>
      <c r="BK112" s="25">
        <v>0</v>
      </c>
      <c r="BL112" s="25">
        <v>1.3665979381068389</v>
      </c>
      <c r="BM112" s="25">
        <v>0</v>
      </c>
      <c r="BN112" s="25">
        <v>0</v>
      </c>
      <c r="BO112" s="26" t="s">
        <v>176</v>
      </c>
      <c r="BP112" s="27"/>
      <c r="BQ112" s="32" t="s">
        <v>268</v>
      </c>
      <c r="BR112" s="32">
        <v>21.29</v>
      </c>
      <c r="BS112" s="32">
        <v>28.29</v>
      </c>
      <c r="BT112" s="32">
        <v>7</v>
      </c>
      <c r="BU112" s="36">
        <f t="shared" si="51"/>
        <v>1.7741666666666664</v>
      </c>
      <c r="BV112" s="36">
        <f t="shared" si="52"/>
        <v>2.3574999999999999</v>
      </c>
      <c r="BW112" s="36">
        <f t="shared" si="53"/>
        <v>0.58333333333333337</v>
      </c>
      <c r="BX112" s="37">
        <f t="shared" si="54"/>
        <v>21.72448979591837</v>
      </c>
      <c r="BY112" s="37">
        <f t="shared" si="55"/>
        <v>28.867346938775512</v>
      </c>
      <c r="BZ112" s="37">
        <f t="shared" si="56"/>
        <v>7.1428571428571432</v>
      </c>
      <c r="CA112" s="34">
        <v>7</v>
      </c>
      <c r="CB112" s="34">
        <v>5</v>
      </c>
    </row>
    <row r="113" spans="1:80" x14ac:dyDescent="0.4">
      <c r="A113" s="16" t="s">
        <v>178</v>
      </c>
      <c r="B113" s="16" t="s">
        <v>258</v>
      </c>
      <c r="C113" s="16" t="s">
        <v>248</v>
      </c>
      <c r="D113" s="23">
        <v>47</v>
      </c>
      <c r="E113" s="23">
        <v>8</v>
      </c>
      <c r="F113" s="23">
        <v>10</v>
      </c>
      <c r="G113" s="21">
        <v>23030</v>
      </c>
      <c r="H113" s="21">
        <v>137</v>
      </c>
      <c r="I113" s="22">
        <f t="shared" si="33"/>
        <v>2.9148936170212765</v>
      </c>
      <c r="J113" s="23">
        <v>60</v>
      </c>
      <c r="K113" s="23">
        <v>113</v>
      </c>
      <c r="L113" s="22">
        <f t="shared" si="57"/>
        <v>1.2765957446808511</v>
      </c>
      <c r="M113" s="22">
        <f t="shared" si="58"/>
        <v>2.4042553191489362</v>
      </c>
      <c r="N113" s="24">
        <f t="shared" si="59"/>
        <v>0.53097345132743368</v>
      </c>
      <c r="O113" s="21">
        <v>55</v>
      </c>
      <c r="P113" s="23">
        <v>93</v>
      </c>
      <c r="Q113" s="22">
        <f t="shared" si="34"/>
        <v>1.1702127659574468</v>
      </c>
      <c r="R113" s="22">
        <f t="shared" si="35"/>
        <v>1.9787234042553192</v>
      </c>
      <c r="S113" s="24">
        <f t="shared" si="36"/>
        <v>0.59139784946236562</v>
      </c>
      <c r="T113" s="23">
        <v>5</v>
      </c>
      <c r="U113" s="23">
        <v>20</v>
      </c>
      <c r="V113" s="22">
        <f t="shared" si="37"/>
        <v>0.10638297872340426</v>
      </c>
      <c r="W113" s="22">
        <f t="shared" si="38"/>
        <v>0.42553191489361702</v>
      </c>
      <c r="X113" s="24">
        <f t="shared" si="39"/>
        <v>0.25</v>
      </c>
      <c r="Y113" s="23">
        <v>12</v>
      </c>
      <c r="Z113" s="23">
        <v>15</v>
      </c>
      <c r="AA113" s="22">
        <f t="shared" si="40"/>
        <v>0.25531914893617019</v>
      </c>
      <c r="AB113" s="22">
        <f t="shared" si="41"/>
        <v>0.31914893617021278</v>
      </c>
      <c r="AC113" s="24">
        <f t="shared" si="42"/>
        <v>0.8</v>
      </c>
      <c r="AD113" s="23">
        <v>69</v>
      </c>
      <c r="AE113" s="22">
        <f t="shared" si="43"/>
        <v>1.4680851063829787</v>
      </c>
      <c r="AF113" s="23">
        <v>40</v>
      </c>
      <c r="AG113" s="22">
        <f t="shared" si="44"/>
        <v>0.85106382978723405</v>
      </c>
      <c r="AH113" s="23">
        <v>29</v>
      </c>
      <c r="AI113" s="22">
        <f t="shared" si="45"/>
        <v>0.61702127659574468</v>
      </c>
      <c r="AJ113" s="23">
        <v>13</v>
      </c>
      <c r="AK113" s="22">
        <f t="shared" si="46"/>
        <v>0.27659574468085107</v>
      </c>
      <c r="AL113" s="23">
        <v>10</v>
      </c>
      <c r="AM113" s="22">
        <f t="shared" si="47"/>
        <v>0.21276595744680851</v>
      </c>
      <c r="AN113" s="23">
        <v>3</v>
      </c>
      <c r="AO113" s="22">
        <f t="shared" si="48"/>
        <v>6.3829787234042548E-2</v>
      </c>
      <c r="AP113" s="10">
        <v>14</v>
      </c>
      <c r="AQ113" s="22">
        <f t="shared" si="49"/>
        <v>0.2978723404255319</v>
      </c>
      <c r="AR113" s="23">
        <v>79</v>
      </c>
      <c r="AS113" s="22">
        <f t="shared" si="50"/>
        <v>1.6808510638297873</v>
      </c>
      <c r="AT113" s="25">
        <v>0.78067628199290751</v>
      </c>
      <c r="AU113" s="25">
        <v>8.1355756699217463E-2</v>
      </c>
      <c r="AV113" s="25">
        <v>0.72444593822002412</v>
      </c>
      <c r="AW113" s="25">
        <v>5.6230343772883377E-2</v>
      </c>
      <c r="AX113" s="25">
        <v>115.60028891039727</v>
      </c>
      <c r="AY113" s="25">
        <v>115.78398759030227</v>
      </c>
      <c r="AZ113" s="25">
        <v>8.2480901396719251</v>
      </c>
      <c r="BA113" s="25">
        <v>3.4468085106382977</v>
      </c>
      <c r="BB113" s="25">
        <v>16.882327399044726</v>
      </c>
      <c r="BC113" s="24">
        <v>0.57274247491638797</v>
      </c>
      <c r="BD113" s="24">
        <v>0.55309734513274333</v>
      </c>
      <c r="BE113" s="25">
        <v>13.6394727976233</v>
      </c>
      <c r="BF113" s="24">
        <v>0.17699115044247787</v>
      </c>
      <c r="BG113" s="24">
        <v>0.13274336283185842</v>
      </c>
      <c r="BH113" s="25">
        <v>10.198769773396084</v>
      </c>
      <c r="BI113" s="25">
        <v>7.3941080857121619</v>
      </c>
      <c r="BJ113" s="25">
        <v>8.1969241735015625</v>
      </c>
      <c r="BK113" s="25">
        <v>4.2248371677341607</v>
      </c>
      <c r="BL113" s="25">
        <v>1.3956744899814526</v>
      </c>
      <c r="BM113" s="25">
        <v>0.64305809851292817</v>
      </c>
      <c r="BN113" s="25">
        <v>10.479041916167665</v>
      </c>
      <c r="BO113" s="26" t="s">
        <v>176</v>
      </c>
      <c r="BP113" s="27"/>
      <c r="BQ113" s="33" t="s">
        <v>268</v>
      </c>
      <c r="BR113" s="33">
        <v>300.60000000000002</v>
      </c>
      <c r="BS113" s="33">
        <v>375.5</v>
      </c>
      <c r="BT113" s="33">
        <v>74.900000000000006</v>
      </c>
      <c r="BU113" s="36">
        <f t="shared" si="51"/>
        <v>6.3957446808510641</v>
      </c>
      <c r="BV113" s="36">
        <f t="shared" si="52"/>
        <v>7.9893617021276597</v>
      </c>
      <c r="BW113" s="36">
        <f t="shared" si="53"/>
        <v>1.5936170212765959</v>
      </c>
      <c r="BX113" s="37">
        <f t="shared" si="54"/>
        <v>31.326096396005212</v>
      </c>
      <c r="BY113" s="37">
        <f t="shared" si="55"/>
        <v>39.131567520625275</v>
      </c>
      <c r="BZ113" s="37">
        <f t="shared" si="56"/>
        <v>7.8054711246200608</v>
      </c>
      <c r="CA113" s="34">
        <v>30</v>
      </c>
      <c r="CB113" s="34">
        <v>17</v>
      </c>
    </row>
    <row r="114" spans="1:80" x14ac:dyDescent="0.4">
      <c r="A114" s="16" t="s">
        <v>178</v>
      </c>
      <c r="B114" s="16" t="s">
        <v>258</v>
      </c>
      <c r="C114" s="16" t="s">
        <v>120</v>
      </c>
      <c r="D114" s="23">
        <v>48</v>
      </c>
      <c r="E114" s="23">
        <v>9</v>
      </c>
      <c r="F114" s="23">
        <v>23</v>
      </c>
      <c r="G114" s="21">
        <v>27024</v>
      </c>
      <c r="H114" s="21">
        <v>82</v>
      </c>
      <c r="I114" s="22">
        <f t="shared" si="33"/>
        <v>1.7083333333333333</v>
      </c>
      <c r="J114" s="23">
        <v>34</v>
      </c>
      <c r="K114" s="23">
        <v>81</v>
      </c>
      <c r="L114" s="22">
        <f t="shared" si="57"/>
        <v>0.70833333333333337</v>
      </c>
      <c r="M114" s="22">
        <f t="shared" si="58"/>
        <v>1.6875</v>
      </c>
      <c r="N114" s="24">
        <f t="shared" si="59"/>
        <v>0.41975308641975306</v>
      </c>
      <c r="O114" s="21">
        <v>20</v>
      </c>
      <c r="P114" s="23">
        <v>39</v>
      </c>
      <c r="Q114" s="22">
        <f t="shared" si="34"/>
        <v>0.41666666666666669</v>
      </c>
      <c r="R114" s="22">
        <f t="shared" si="35"/>
        <v>0.8125</v>
      </c>
      <c r="S114" s="24">
        <f t="shared" si="36"/>
        <v>0.51282051282051277</v>
      </c>
      <c r="T114" s="23">
        <v>14</v>
      </c>
      <c r="U114" s="23">
        <v>42</v>
      </c>
      <c r="V114" s="22">
        <f t="shared" si="37"/>
        <v>0.29166666666666669</v>
      </c>
      <c r="W114" s="22">
        <f t="shared" si="38"/>
        <v>0.875</v>
      </c>
      <c r="X114" s="24">
        <f t="shared" si="39"/>
        <v>0.33333333333333331</v>
      </c>
      <c r="Y114" s="23">
        <v>0</v>
      </c>
      <c r="Z114" s="23">
        <v>0</v>
      </c>
      <c r="AA114" s="22">
        <f t="shared" si="40"/>
        <v>0</v>
      </c>
      <c r="AB114" s="22">
        <f t="shared" si="41"/>
        <v>0</v>
      </c>
      <c r="AC114" s="24" t="e">
        <f t="shared" si="42"/>
        <v>#DIV/0!</v>
      </c>
      <c r="AD114" s="23">
        <v>59</v>
      </c>
      <c r="AE114" s="22">
        <f t="shared" si="43"/>
        <v>1.2291666666666667</v>
      </c>
      <c r="AF114" s="23">
        <v>29</v>
      </c>
      <c r="AG114" s="22">
        <f t="shared" si="44"/>
        <v>0.60416666666666663</v>
      </c>
      <c r="AH114" s="23">
        <v>30</v>
      </c>
      <c r="AI114" s="22">
        <f t="shared" si="45"/>
        <v>0.625</v>
      </c>
      <c r="AJ114" s="23">
        <v>21</v>
      </c>
      <c r="AK114" s="22">
        <f t="shared" si="46"/>
        <v>0.4375</v>
      </c>
      <c r="AL114" s="23">
        <v>14</v>
      </c>
      <c r="AM114" s="22">
        <f t="shared" si="47"/>
        <v>0.29166666666666669</v>
      </c>
      <c r="AN114" s="23">
        <v>3</v>
      </c>
      <c r="AO114" s="22">
        <f t="shared" si="48"/>
        <v>6.25E-2</v>
      </c>
      <c r="AP114" s="10">
        <v>7</v>
      </c>
      <c r="AQ114" s="22">
        <f t="shared" si="49"/>
        <v>0.14583333333333334</v>
      </c>
      <c r="AR114" s="23">
        <v>67</v>
      </c>
      <c r="AS114" s="22">
        <f t="shared" si="50"/>
        <v>1.3958333333333333</v>
      </c>
      <c r="AT114" s="25">
        <v>0.55292576233487245</v>
      </c>
      <c r="AU114" s="25">
        <v>4.9105307489775533E-2</v>
      </c>
      <c r="AV114" s="25">
        <v>0.48681797801807841</v>
      </c>
      <c r="AW114" s="25">
        <v>6.6107784316793997E-2</v>
      </c>
      <c r="AX114" s="25">
        <v>115.11276032331963</v>
      </c>
      <c r="AY114" s="25">
        <v>115.78200086669918</v>
      </c>
      <c r="AZ114" s="25">
        <v>5.1905476329300058</v>
      </c>
      <c r="BA114" s="25">
        <v>2.6041666666666665</v>
      </c>
      <c r="BB114" s="25">
        <v>11.101243339253998</v>
      </c>
      <c r="BC114" s="24">
        <v>0.50617283950617287</v>
      </c>
      <c r="BD114" s="24">
        <v>0.50617283950617287</v>
      </c>
      <c r="BE114" s="25">
        <v>7.8191849032864562</v>
      </c>
      <c r="BF114" s="24">
        <v>0.51851851851851849</v>
      </c>
      <c r="BG114" s="24">
        <v>0</v>
      </c>
      <c r="BH114" s="25">
        <v>6.4353693818809221</v>
      </c>
      <c r="BI114" s="25">
        <v>6.6572786709112988</v>
      </c>
      <c r="BJ114" s="25">
        <v>6.1001641788537118</v>
      </c>
      <c r="BK114" s="25">
        <v>5.4056199141321573</v>
      </c>
      <c r="BL114" s="25">
        <v>1.665161963661264</v>
      </c>
      <c r="BM114" s="25">
        <v>0.55967756353700682</v>
      </c>
      <c r="BN114" s="25">
        <v>7.9545454545454541</v>
      </c>
      <c r="BO114" s="26" t="s">
        <v>176</v>
      </c>
      <c r="BP114" s="27"/>
      <c r="BQ114" s="33" t="s">
        <v>268</v>
      </c>
      <c r="BR114" s="33">
        <v>264.81</v>
      </c>
      <c r="BS114" s="33">
        <v>319.51</v>
      </c>
      <c r="BT114" s="33">
        <v>54.7</v>
      </c>
      <c r="BU114" s="36">
        <f t="shared" si="51"/>
        <v>5.5168749999999998</v>
      </c>
      <c r="BV114" s="36">
        <f t="shared" si="52"/>
        <v>6.6564583333333331</v>
      </c>
      <c r="BW114" s="36">
        <f t="shared" si="53"/>
        <v>1.1395833333333334</v>
      </c>
      <c r="BX114" s="37">
        <f t="shared" si="54"/>
        <v>23.517761989342809</v>
      </c>
      <c r="BY114" s="37">
        <f t="shared" si="55"/>
        <v>28.375666074600357</v>
      </c>
      <c r="BZ114" s="37">
        <f t="shared" si="56"/>
        <v>4.857904085257549</v>
      </c>
      <c r="CA114" s="35">
        <v>29</v>
      </c>
      <c r="CB114" s="35">
        <v>19</v>
      </c>
    </row>
    <row r="115" spans="1:80" x14ac:dyDescent="0.4">
      <c r="A115" s="16" t="s">
        <v>178</v>
      </c>
      <c r="B115" s="16" t="s">
        <v>253</v>
      </c>
      <c r="C115" s="19" t="s">
        <v>261</v>
      </c>
      <c r="D115" s="39">
        <v>1</v>
      </c>
      <c r="E115" s="39">
        <v>0</v>
      </c>
      <c r="F115" s="39">
        <v>24</v>
      </c>
      <c r="G115" s="21">
        <v>24</v>
      </c>
      <c r="H115" s="21">
        <v>0</v>
      </c>
      <c r="I115" s="22">
        <f t="shared" si="33"/>
        <v>0</v>
      </c>
      <c r="J115" s="23">
        <v>0</v>
      </c>
      <c r="K115" s="23">
        <v>0</v>
      </c>
      <c r="L115" s="22">
        <f t="shared" si="57"/>
        <v>0</v>
      </c>
      <c r="M115" s="22">
        <f t="shared" si="58"/>
        <v>0</v>
      </c>
      <c r="N115" s="24" t="e">
        <f t="shared" si="59"/>
        <v>#DIV/0!</v>
      </c>
      <c r="O115" s="21">
        <v>0</v>
      </c>
      <c r="P115" s="23">
        <v>0</v>
      </c>
      <c r="Q115" s="22">
        <f t="shared" si="34"/>
        <v>0</v>
      </c>
      <c r="R115" s="22">
        <f t="shared" si="35"/>
        <v>0</v>
      </c>
      <c r="S115" s="24" t="e">
        <f t="shared" si="36"/>
        <v>#DIV/0!</v>
      </c>
      <c r="T115" s="23">
        <v>0</v>
      </c>
      <c r="U115" s="23">
        <v>0</v>
      </c>
      <c r="V115" s="22">
        <f t="shared" si="37"/>
        <v>0</v>
      </c>
      <c r="W115" s="22">
        <f t="shared" si="38"/>
        <v>0</v>
      </c>
      <c r="X115" s="24" t="e">
        <f t="shared" si="39"/>
        <v>#DIV/0!</v>
      </c>
      <c r="Y115" s="23">
        <v>0</v>
      </c>
      <c r="Z115" s="23">
        <v>0</v>
      </c>
      <c r="AA115" s="22">
        <f t="shared" si="40"/>
        <v>0</v>
      </c>
      <c r="AB115" s="22">
        <f t="shared" si="41"/>
        <v>0</v>
      </c>
      <c r="AC115" s="24" t="e">
        <f t="shared" si="42"/>
        <v>#DIV/0!</v>
      </c>
      <c r="AD115" s="23">
        <v>0</v>
      </c>
      <c r="AE115" s="22">
        <f t="shared" si="43"/>
        <v>0</v>
      </c>
      <c r="AF115" s="23">
        <v>0</v>
      </c>
      <c r="AG115" s="22">
        <f t="shared" si="44"/>
        <v>0</v>
      </c>
      <c r="AH115" s="23">
        <v>0</v>
      </c>
      <c r="AI115" s="22">
        <f t="shared" si="45"/>
        <v>0</v>
      </c>
      <c r="AJ115" s="23">
        <v>0</v>
      </c>
      <c r="AK115" s="22">
        <f t="shared" si="46"/>
        <v>0</v>
      </c>
      <c r="AL115" s="23">
        <v>0</v>
      </c>
      <c r="AM115" s="22">
        <f t="shared" si="47"/>
        <v>0</v>
      </c>
      <c r="AN115" s="39">
        <v>0</v>
      </c>
      <c r="AO115" s="22">
        <f t="shared" si="48"/>
        <v>0</v>
      </c>
      <c r="AP115" s="10">
        <v>0</v>
      </c>
      <c r="AQ115" s="22">
        <f t="shared" si="49"/>
        <v>0</v>
      </c>
      <c r="AR115" s="23">
        <v>0</v>
      </c>
      <c r="AS115" s="22">
        <f t="shared" si="50"/>
        <v>0</v>
      </c>
      <c r="AT115" s="25">
        <v>-5.2282554340290568E-5</v>
      </c>
      <c r="AU115" s="25">
        <v>-5.2282554340290568E-3</v>
      </c>
      <c r="AV115" s="25">
        <v>0</v>
      </c>
      <c r="AW115" s="25">
        <v>-5.2282554340290568E-5</v>
      </c>
      <c r="AX115" s="25">
        <v>0</v>
      </c>
      <c r="AY115" s="25">
        <v>117.77672333972812</v>
      </c>
      <c r="AZ115" s="25">
        <v>0.11530551282491321</v>
      </c>
      <c r="BA115" s="25">
        <v>0</v>
      </c>
      <c r="BB115" s="25">
        <v>0</v>
      </c>
      <c r="BC115" s="24">
        <v>0</v>
      </c>
      <c r="BD115" s="24">
        <v>0</v>
      </c>
      <c r="BE115" s="25">
        <v>0</v>
      </c>
      <c r="BF115" s="24">
        <v>0</v>
      </c>
      <c r="BG115" s="24">
        <v>0</v>
      </c>
      <c r="BH115" s="25">
        <v>0</v>
      </c>
      <c r="BI115" s="25">
        <v>0</v>
      </c>
      <c r="BJ115" s="25">
        <v>0</v>
      </c>
      <c r="BK115" s="25">
        <v>0</v>
      </c>
      <c r="BL115" s="25">
        <v>0</v>
      </c>
      <c r="BM115" s="25">
        <v>0</v>
      </c>
      <c r="BN115" s="25">
        <v>0</v>
      </c>
      <c r="BO115" s="26" t="s">
        <v>176</v>
      </c>
      <c r="BP115" s="27"/>
      <c r="BQ115" s="32" t="s">
        <v>267</v>
      </c>
      <c r="BR115" s="32">
        <v>0.1</v>
      </c>
      <c r="BS115" s="32">
        <v>0.1</v>
      </c>
      <c r="BT115" s="32">
        <v>0</v>
      </c>
      <c r="BU115" s="36">
        <f t="shared" si="51"/>
        <v>0.1</v>
      </c>
      <c r="BV115" s="36">
        <f t="shared" si="52"/>
        <v>0.1</v>
      </c>
      <c r="BW115" s="36">
        <f t="shared" si="53"/>
        <v>0</v>
      </c>
      <c r="BX115" s="37">
        <f t="shared" si="54"/>
        <v>10</v>
      </c>
      <c r="BY115" s="37">
        <f t="shared" si="55"/>
        <v>10</v>
      </c>
      <c r="BZ115" s="37">
        <f t="shared" si="56"/>
        <v>0</v>
      </c>
      <c r="CA115" s="35">
        <v>0</v>
      </c>
      <c r="CB115" s="35">
        <v>1</v>
      </c>
    </row>
    <row r="116" spans="1:80" x14ac:dyDescent="0.4">
      <c r="A116" s="16" t="s">
        <v>178</v>
      </c>
      <c r="B116" s="16" t="s">
        <v>253</v>
      </c>
      <c r="C116" s="16" t="s">
        <v>95</v>
      </c>
      <c r="D116" s="23">
        <v>37</v>
      </c>
      <c r="E116" s="23">
        <v>21</v>
      </c>
      <c r="F116" s="23">
        <v>11</v>
      </c>
      <c r="G116" s="21">
        <v>47027</v>
      </c>
      <c r="H116" s="21">
        <v>285</v>
      </c>
      <c r="I116" s="22">
        <f t="shared" si="33"/>
        <v>7.7027027027027026</v>
      </c>
      <c r="J116" s="23">
        <v>99</v>
      </c>
      <c r="K116" s="23">
        <v>274</v>
      </c>
      <c r="L116" s="22">
        <f t="shared" si="57"/>
        <v>2.6756756756756759</v>
      </c>
      <c r="M116" s="22">
        <f t="shared" si="58"/>
        <v>7.4054054054054053</v>
      </c>
      <c r="N116" s="24">
        <f t="shared" si="59"/>
        <v>0.36131386861313869</v>
      </c>
      <c r="O116" s="21">
        <v>37</v>
      </c>
      <c r="P116" s="23">
        <v>74</v>
      </c>
      <c r="Q116" s="22">
        <f t="shared" si="34"/>
        <v>1</v>
      </c>
      <c r="R116" s="22">
        <f t="shared" si="35"/>
        <v>2</v>
      </c>
      <c r="S116" s="24">
        <f t="shared" si="36"/>
        <v>0.5</v>
      </c>
      <c r="T116" s="23">
        <v>62</v>
      </c>
      <c r="U116" s="23">
        <v>200</v>
      </c>
      <c r="V116" s="22">
        <f t="shared" si="37"/>
        <v>1.6756756756756757</v>
      </c>
      <c r="W116" s="22">
        <f t="shared" si="38"/>
        <v>5.4054054054054053</v>
      </c>
      <c r="X116" s="24">
        <f t="shared" si="39"/>
        <v>0.31</v>
      </c>
      <c r="Y116" s="23">
        <v>25</v>
      </c>
      <c r="Z116" s="23">
        <v>32</v>
      </c>
      <c r="AA116" s="22">
        <f t="shared" si="40"/>
        <v>0.67567567567567566</v>
      </c>
      <c r="AB116" s="22">
        <f t="shared" si="41"/>
        <v>0.86486486486486491</v>
      </c>
      <c r="AC116" s="24">
        <f t="shared" si="42"/>
        <v>0.78125</v>
      </c>
      <c r="AD116" s="23">
        <v>67</v>
      </c>
      <c r="AE116" s="22">
        <f t="shared" si="43"/>
        <v>1.8108108108108107</v>
      </c>
      <c r="AF116" s="23">
        <v>19</v>
      </c>
      <c r="AG116" s="22">
        <f t="shared" si="44"/>
        <v>0.51351351351351349</v>
      </c>
      <c r="AH116" s="23">
        <v>48</v>
      </c>
      <c r="AI116" s="22">
        <f t="shared" si="45"/>
        <v>1.2972972972972974</v>
      </c>
      <c r="AJ116" s="23">
        <v>50</v>
      </c>
      <c r="AK116" s="22">
        <f t="shared" si="46"/>
        <v>1.3513513513513513</v>
      </c>
      <c r="AL116" s="23">
        <v>24</v>
      </c>
      <c r="AM116" s="22">
        <f t="shared" si="47"/>
        <v>0.64864864864864868</v>
      </c>
      <c r="AN116" s="39">
        <v>4</v>
      </c>
      <c r="AO116" s="22">
        <f t="shared" si="48"/>
        <v>0.10810810810810811</v>
      </c>
      <c r="AP116" s="10">
        <v>29</v>
      </c>
      <c r="AQ116" s="22">
        <f t="shared" si="49"/>
        <v>0.78378378378378377</v>
      </c>
      <c r="AR116" s="23">
        <v>73</v>
      </c>
      <c r="AS116" s="22">
        <f t="shared" si="50"/>
        <v>1.972972972972973</v>
      </c>
      <c r="AT116" s="25">
        <v>0.90436826617788513</v>
      </c>
      <c r="AU116" s="25">
        <v>4.6153993212982428E-2</v>
      </c>
      <c r="AV116" s="25">
        <v>0.26981259147251213</v>
      </c>
      <c r="AW116" s="25">
        <v>0.634555674705373</v>
      </c>
      <c r="AX116" s="25">
        <v>102.36107871908446</v>
      </c>
      <c r="AY116" s="25">
        <v>110.94693641485772</v>
      </c>
      <c r="AZ116" s="25">
        <v>5.5252483569516802</v>
      </c>
      <c r="BA116" s="25">
        <v>5.9189189189189193</v>
      </c>
      <c r="BB116" s="25">
        <v>11.17655814744721</v>
      </c>
      <c r="BC116" s="24">
        <v>0.49465426270480423</v>
      </c>
      <c r="BD116" s="24">
        <v>0.47445255474452552</v>
      </c>
      <c r="BE116" s="25">
        <v>12.479882742315294</v>
      </c>
      <c r="BF116" s="24">
        <v>0.72992700729927007</v>
      </c>
      <c r="BG116" s="24">
        <v>0.11678832116788321</v>
      </c>
      <c r="BH116" s="25">
        <v>1.8676346693610846</v>
      </c>
      <c r="BI116" s="25">
        <v>4.7182349541753714</v>
      </c>
      <c r="BJ116" s="25">
        <v>3.0685072876093944</v>
      </c>
      <c r="BK116" s="25">
        <v>5.8494611915059984</v>
      </c>
      <c r="BL116" s="25">
        <v>1.6403708595116604</v>
      </c>
      <c r="BM116" s="25">
        <v>0.33055176320098067</v>
      </c>
      <c r="BN116" s="25">
        <v>9.1459568563138642</v>
      </c>
      <c r="BO116" s="26" t="s">
        <v>176</v>
      </c>
      <c r="BP116" s="27"/>
      <c r="BQ116" s="32" t="s">
        <v>268</v>
      </c>
      <c r="BR116" s="32">
        <v>454.65</v>
      </c>
      <c r="BS116" s="32">
        <v>664.95</v>
      </c>
      <c r="BT116" s="32">
        <v>210.3</v>
      </c>
      <c r="BU116" s="36">
        <f t="shared" si="51"/>
        <v>12.287837837837838</v>
      </c>
      <c r="BV116" s="36">
        <f t="shared" si="52"/>
        <v>17.971621621621622</v>
      </c>
      <c r="BW116" s="36">
        <f t="shared" si="53"/>
        <v>5.6837837837837837</v>
      </c>
      <c r="BX116" s="37">
        <f t="shared" si="54"/>
        <v>23.202840921172943</v>
      </c>
      <c r="BY116" s="37">
        <f t="shared" si="55"/>
        <v>33.935398813447591</v>
      </c>
      <c r="BZ116" s="37">
        <f t="shared" si="56"/>
        <v>10.732557892274651</v>
      </c>
      <c r="CA116" s="34">
        <v>23</v>
      </c>
      <c r="CB116" s="34">
        <v>14</v>
      </c>
    </row>
    <row r="117" spans="1:80" x14ac:dyDescent="0.4">
      <c r="A117" s="16" t="s">
        <v>178</v>
      </c>
      <c r="B117" s="16" t="s">
        <v>253</v>
      </c>
      <c r="C117" s="16" t="s">
        <v>193</v>
      </c>
      <c r="D117" s="23">
        <v>31</v>
      </c>
      <c r="E117" s="23">
        <v>7</v>
      </c>
      <c r="F117" s="23">
        <v>56</v>
      </c>
      <c r="G117" s="21">
        <v>14756</v>
      </c>
      <c r="H117" s="21">
        <v>104</v>
      </c>
      <c r="I117" s="22">
        <f t="shared" si="33"/>
        <v>3.3548387096774195</v>
      </c>
      <c r="J117" s="23">
        <v>40</v>
      </c>
      <c r="K117" s="23">
        <v>86</v>
      </c>
      <c r="L117" s="22">
        <f t="shared" si="57"/>
        <v>1.2903225806451613</v>
      </c>
      <c r="M117" s="22">
        <f t="shared" si="58"/>
        <v>2.774193548387097</v>
      </c>
      <c r="N117" s="24">
        <f t="shared" si="59"/>
        <v>0.46511627906976744</v>
      </c>
      <c r="O117" s="21">
        <v>25</v>
      </c>
      <c r="P117" s="23">
        <v>47</v>
      </c>
      <c r="Q117" s="22">
        <f t="shared" si="34"/>
        <v>0.80645161290322576</v>
      </c>
      <c r="R117" s="22">
        <f t="shared" si="35"/>
        <v>1.5161290322580645</v>
      </c>
      <c r="S117" s="24">
        <f t="shared" si="36"/>
        <v>0.53191489361702127</v>
      </c>
      <c r="T117" s="23">
        <v>15</v>
      </c>
      <c r="U117" s="23">
        <v>39</v>
      </c>
      <c r="V117" s="22">
        <f t="shared" si="37"/>
        <v>0.4838709677419355</v>
      </c>
      <c r="W117" s="22">
        <f t="shared" si="38"/>
        <v>1.2580645161290323</v>
      </c>
      <c r="X117" s="24">
        <f t="shared" si="39"/>
        <v>0.38461538461538464</v>
      </c>
      <c r="Y117" s="23">
        <v>9</v>
      </c>
      <c r="Z117" s="23">
        <v>11</v>
      </c>
      <c r="AA117" s="22">
        <f t="shared" si="40"/>
        <v>0.29032258064516131</v>
      </c>
      <c r="AB117" s="22">
        <f t="shared" si="41"/>
        <v>0.35483870967741937</v>
      </c>
      <c r="AC117" s="24">
        <f t="shared" si="42"/>
        <v>0.81818181818181823</v>
      </c>
      <c r="AD117" s="23">
        <v>29</v>
      </c>
      <c r="AE117" s="22">
        <f t="shared" si="43"/>
        <v>0.93548387096774188</v>
      </c>
      <c r="AF117" s="23">
        <v>4</v>
      </c>
      <c r="AG117" s="22">
        <f t="shared" si="44"/>
        <v>0.12903225806451613</v>
      </c>
      <c r="AH117" s="23">
        <v>25</v>
      </c>
      <c r="AI117" s="22">
        <f t="shared" si="45"/>
        <v>0.80645161290322576</v>
      </c>
      <c r="AJ117" s="23">
        <v>41</v>
      </c>
      <c r="AK117" s="22">
        <f t="shared" si="46"/>
        <v>1.3225806451612903</v>
      </c>
      <c r="AL117" s="23">
        <v>12</v>
      </c>
      <c r="AM117" s="22">
        <f t="shared" si="47"/>
        <v>0.38709677419354838</v>
      </c>
      <c r="AN117" s="39">
        <v>0</v>
      </c>
      <c r="AO117" s="22">
        <f t="shared" si="48"/>
        <v>0</v>
      </c>
      <c r="AP117" s="10">
        <v>21</v>
      </c>
      <c r="AQ117" s="22">
        <f t="shared" si="49"/>
        <v>0.67741935483870963</v>
      </c>
      <c r="AR117" s="23">
        <v>20</v>
      </c>
      <c r="AS117" s="22">
        <f t="shared" si="50"/>
        <v>0.64516129032258063</v>
      </c>
      <c r="AT117" s="25">
        <v>0.60440524659460459</v>
      </c>
      <c r="AU117" s="25">
        <v>9.8303916496818314E-2</v>
      </c>
      <c r="AV117" s="25">
        <v>0.28438298497970815</v>
      </c>
      <c r="AW117" s="25">
        <v>0.32002226161489644</v>
      </c>
      <c r="AX117" s="25">
        <v>107.24618804513781</v>
      </c>
      <c r="AY117" s="25">
        <v>107.37592534783293</v>
      </c>
      <c r="AZ117" s="25">
        <v>8.1628952819481153</v>
      </c>
      <c r="BA117" s="25">
        <v>3.774193548387097</v>
      </c>
      <c r="BB117" s="25">
        <v>19.029547302792086</v>
      </c>
      <c r="BC117" s="24">
        <v>0.57243505063848521</v>
      </c>
      <c r="BD117" s="24">
        <v>0.55232558139534882</v>
      </c>
      <c r="BE117" s="25">
        <v>11.753776047687708</v>
      </c>
      <c r="BF117" s="24">
        <v>0.45348837209302323</v>
      </c>
      <c r="BG117" s="24">
        <v>0.12790697674418605</v>
      </c>
      <c r="BH117" s="25">
        <v>1.0498733590260676</v>
      </c>
      <c r="BI117" s="25">
        <v>6.5617084939129207</v>
      </c>
      <c r="BJ117" s="25">
        <v>3.5464100750656797</v>
      </c>
      <c r="BK117" s="25">
        <v>12.925666906614683</v>
      </c>
      <c r="BL117" s="25">
        <v>2.6139102876882232</v>
      </c>
      <c r="BM117" s="25">
        <v>0</v>
      </c>
      <c r="BN117" s="25">
        <v>18.776824034334762</v>
      </c>
      <c r="BO117" s="26" t="s">
        <v>176</v>
      </c>
      <c r="BP117" s="27"/>
      <c r="BQ117" s="33" t="s">
        <v>267</v>
      </c>
      <c r="BR117" s="33">
        <v>197.77</v>
      </c>
      <c r="BS117" s="33">
        <v>274.47000000000003</v>
      </c>
      <c r="BT117" s="33">
        <v>76.7</v>
      </c>
      <c r="BU117" s="36">
        <f t="shared" si="51"/>
        <v>6.3796774193548398</v>
      </c>
      <c r="BV117" s="36">
        <f t="shared" si="52"/>
        <v>8.8538709677419369</v>
      </c>
      <c r="BW117" s="36">
        <f t="shared" si="53"/>
        <v>2.4741935483870967</v>
      </c>
      <c r="BX117" s="37">
        <f t="shared" si="54"/>
        <v>32.166440769856337</v>
      </c>
      <c r="BY117" s="37">
        <f t="shared" si="55"/>
        <v>44.641366223908925</v>
      </c>
      <c r="BZ117" s="37">
        <f t="shared" si="56"/>
        <v>12.474925454052588</v>
      </c>
      <c r="CA117" s="35">
        <v>17</v>
      </c>
      <c r="CB117" s="35">
        <v>14</v>
      </c>
    </row>
    <row r="118" spans="1:80" x14ac:dyDescent="0.4">
      <c r="A118" s="16" t="s">
        <v>178</v>
      </c>
      <c r="B118" s="16" t="s">
        <v>253</v>
      </c>
      <c r="C118" s="16" t="s">
        <v>194</v>
      </c>
      <c r="D118" s="23">
        <v>10</v>
      </c>
      <c r="E118" s="23">
        <v>10</v>
      </c>
      <c r="F118" s="23">
        <v>40</v>
      </c>
      <c r="G118" s="21">
        <v>6400</v>
      </c>
      <c r="H118" s="21">
        <v>22</v>
      </c>
      <c r="I118" s="22">
        <f t="shared" si="33"/>
        <v>2.2000000000000002</v>
      </c>
      <c r="J118" s="23">
        <v>9</v>
      </c>
      <c r="K118" s="23">
        <v>18</v>
      </c>
      <c r="L118" s="22">
        <f t="shared" si="57"/>
        <v>0.9</v>
      </c>
      <c r="M118" s="22">
        <f t="shared" si="58"/>
        <v>1.8</v>
      </c>
      <c r="N118" s="24">
        <f t="shared" si="59"/>
        <v>0.5</v>
      </c>
      <c r="O118" s="21">
        <v>6</v>
      </c>
      <c r="P118" s="23">
        <v>8</v>
      </c>
      <c r="Q118" s="22">
        <f t="shared" si="34"/>
        <v>0.6</v>
      </c>
      <c r="R118" s="22">
        <f t="shared" si="35"/>
        <v>0.8</v>
      </c>
      <c r="S118" s="24">
        <f t="shared" si="36"/>
        <v>0.75</v>
      </c>
      <c r="T118" s="23">
        <v>3</v>
      </c>
      <c r="U118" s="23">
        <v>10</v>
      </c>
      <c r="V118" s="22">
        <f t="shared" si="37"/>
        <v>0.3</v>
      </c>
      <c r="W118" s="22">
        <f t="shared" si="38"/>
        <v>1</v>
      </c>
      <c r="X118" s="24">
        <f t="shared" si="39"/>
        <v>0.3</v>
      </c>
      <c r="Y118" s="23">
        <v>1</v>
      </c>
      <c r="Z118" s="23">
        <v>1</v>
      </c>
      <c r="AA118" s="22">
        <f t="shared" si="40"/>
        <v>0.1</v>
      </c>
      <c r="AB118" s="22">
        <f t="shared" si="41"/>
        <v>0.1</v>
      </c>
      <c r="AC118" s="24">
        <f t="shared" si="42"/>
        <v>1</v>
      </c>
      <c r="AD118" s="23">
        <v>6</v>
      </c>
      <c r="AE118" s="22">
        <f t="shared" si="43"/>
        <v>0.6</v>
      </c>
      <c r="AF118" s="23">
        <v>3</v>
      </c>
      <c r="AG118" s="22">
        <f t="shared" si="44"/>
        <v>0.3</v>
      </c>
      <c r="AH118" s="23">
        <v>3</v>
      </c>
      <c r="AI118" s="22">
        <f t="shared" si="45"/>
        <v>0.3</v>
      </c>
      <c r="AJ118" s="23">
        <v>7</v>
      </c>
      <c r="AK118" s="22">
        <f t="shared" si="46"/>
        <v>0.7</v>
      </c>
      <c r="AL118" s="23">
        <v>4</v>
      </c>
      <c r="AM118" s="22">
        <f t="shared" si="47"/>
        <v>0.4</v>
      </c>
      <c r="AN118" s="39">
        <v>0</v>
      </c>
      <c r="AO118" s="22">
        <f t="shared" si="48"/>
        <v>0</v>
      </c>
      <c r="AP118" s="10">
        <v>3</v>
      </c>
      <c r="AQ118" s="22">
        <f t="shared" si="49"/>
        <v>0.3</v>
      </c>
      <c r="AR118" s="23">
        <v>11</v>
      </c>
      <c r="AS118" s="22">
        <f t="shared" si="50"/>
        <v>1.1000000000000001</v>
      </c>
      <c r="AT118" s="25">
        <v>0.19886424356651961</v>
      </c>
      <c r="AU118" s="25">
        <v>7.4574091337444845E-2</v>
      </c>
      <c r="AV118" s="25">
        <v>0.12439432489870372</v>
      </c>
      <c r="AW118" s="25">
        <v>7.4469918667815868E-2</v>
      </c>
      <c r="AX118" s="25">
        <v>117.2504819935221</v>
      </c>
      <c r="AY118" s="25">
        <v>111.75643669562461</v>
      </c>
      <c r="AZ118" s="25">
        <v>1.2569407841652636</v>
      </c>
      <c r="BA118" s="25">
        <v>2.7</v>
      </c>
      <c r="BB118" s="25">
        <v>10.125</v>
      </c>
      <c r="BC118" s="24">
        <v>0.59652928416485895</v>
      </c>
      <c r="BD118" s="24">
        <v>0.58333333333333337</v>
      </c>
      <c r="BE118" s="25">
        <v>1.6758379189594799</v>
      </c>
      <c r="BF118" s="24">
        <v>0.55555555555555558</v>
      </c>
      <c r="BG118" s="24">
        <v>5.5555555555555552E-2</v>
      </c>
      <c r="BH118" s="25">
        <v>0.58563248308172822</v>
      </c>
      <c r="BI118" s="25">
        <v>0.58563248308172822</v>
      </c>
      <c r="BJ118" s="25">
        <v>0.54571913655105508</v>
      </c>
      <c r="BK118" s="25">
        <v>1.4853586080067902</v>
      </c>
      <c r="BL118" s="25">
        <v>2.0088989690170536</v>
      </c>
      <c r="BM118" s="25">
        <v>0</v>
      </c>
      <c r="BN118" s="25">
        <v>13.992537313432836</v>
      </c>
      <c r="BO118" s="26" t="s">
        <v>176</v>
      </c>
      <c r="BP118" s="27"/>
      <c r="BQ118" s="33" t="s">
        <v>267</v>
      </c>
      <c r="BR118" s="33">
        <v>59.37</v>
      </c>
      <c r="BS118" s="33">
        <v>72.17</v>
      </c>
      <c r="BT118" s="33">
        <v>12.8</v>
      </c>
      <c r="BU118" s="36">
        <f t="shared" si="51"/>
        <v>5.9370000000000003</v>
      </c>
      <c r="BV118" s="36">
        <f t="shared" si="52"/>
        <v>7.2170000000000005</v>
      </c>
      <c r="BW118" s="36">
        <f t="shared" si="53"/>
        <v>1.28</v>
      </c>
      <c r="BX118" s="37">
        <f t="shared" si="54"/>
        <v>22.263749999999998</v>
      </c>
      <c r="BY118" s="37">
        <f t="shared" si="55"/>
        <v>27.063749999999999</v>
      </c>
      <c r="BZ118" s="37">
        <f t="shared" si="56"/>
        <v>4.8</v>
      </c>
      <c r="CA118" s="35">
        <v>4</v>
      </c>
      <c r="CB118" s="35">
        <v>6</v>
      </c>
    </row>
    <row r="119" spans="1:80" x14ac:dyDescent="0.4">
      <c r="A119" s="16" t="s">
        <v>178</v>
      </c>
      <c r="B119" s="16" t="s">
        <v>253</v>
      </c>
      <c r="C119" s="16" t="s">
        <v>106</v>
      </c>
      <c r="D119" s="23">
        <v>25</v>
      </c>
      <c r="E119" s="23">
        <v>12</v>
      </c>
      <c r="F119" s="23">
        <v>32</v>
      </c>
      <c r="G119" s="21">
        <v>18800</v>
      </c>
      <c r="H119" s="21">
        <v>67</v>
      </c>
      <c r="I119" s="22">
        <f t="shared" si="33"/>
        <v>2.68</v>
      </c>
      <c r="J119" s="23">
        <v>24</v>
      </c>
      <c r="K119" s="23">
        <v>62</v>
      </c>
      <c r="L119" s="22">
        <f t="shared" si="57"/>
        <v>0.96</v>
      </c>
      <c r="M119" s="22">
        <f t="shared" si="58"/>
        <v>2.48</v>
      </c>
      <c r="N119" s="24">
        <f t="shared" si="59"/>
        <v>0.38709677419354838</v>
      </c>
      <c r="O119" s="21">
        <v>10</v>
      </c>
      <c r="P119" s="23">
        <v>16</v>
      </c>
      <c r="Q119" s="22">
        <f t="shared" si="34"/>
        <v>0.4</v>
      </c>
      <c r="R119" s="22">
        <f t="shared" si="35"/>
        <v>0.64</v>
      </c>
      <c r="S119" s="24">
        <f t="shared" si="36"/>
        <v>0.625</v>
      </c>
      <c r="T119" s="23">
        <v>14</v>
      </c>
      <c r="U119" s="23">
        <v>46</v>
      </c>
      <c r="V119" s="22">
        <f t="shared" si="37"/>
        <v>0.56000000000000005</v>
      </c>
      <c r="W119" s="22">
        <f t="shared" si="38"/>
        <v>1.84</v>
      </c>
      <c r="X119" s="24">
        <f t="shared" si="39"/>
        <v>0.30434782608695654</v>
      </c>
      <c r="Y119" s="23">
        <v>5</v>
      </c>
      <c r="Z119" s="23">
        <v>10</v>
      </c>
      <c r="AA119" s="22">
        <f t="shared" si="40"/>
        <v>0.2</v>
      </c>
      <c r="AB119" s="22">
        <f t="shared" si="41"/>
        <v>0.4</v>
      </c>
      <c r="AC119" s="24">
        <f t="shared" si="42"/>
        <v>0.5</v>
      </c>
      <c r="AD119" s="23">
        <v>21</v>
      </c>
      <c r="AE119" s="22">
        <f t="shared" si="43"/>
        <v>0.84</v>
      </c>
      <c r="AF119" s="23">
        <v>9</v>
      </c>
      <c r="AG119" s="22">
        <f t="shared" si="44"/>
        <v>0.36</v>
      </c>
      <c r="AH119" s="23">
        <v>12</v>
      </c>
      <c r="AI119" s="22">
        <f t="shared" si="45"/>
        <v>0.48</v>
      </c>
      <c r="AJ119" s="23">
        <v>13</v>
      </c>
      <c r="AK119" s="22">
        <f t="shared" si="46"/>
        <v>0.52</v>
      </c>
      <c r="AL119" s="23">
        <v>9</v>
      </c>
      <c r="AM119" s="22">
        <f t="shared" si="47"/>
        <v>0.36</v>
      </c>
      <c r="AN119" s="39">
        <v>5</v>
      </c>
      <c r="AO119" s="22">
        <f t="shared" si="48"/>
        <v>0.2</v>
      </c>
      <c r="AP119" s="10">
        <v>4</v>
      </c>
      <c r="AQ119" s="22">
        <f t="shared" si="49"/>
        <v>0.16</v>
      </c>
      <c r="AR119" s="23">
        <v>46</v>
      </c>
      <c r="AS119" s="22">
        <f t="shared" si="50"/>
        <v>1.84</v>
      </c>
      <c r="AT119" s="25">
        <v>0.47876997085522299</v>
      </c>
      <c r="AU119" s="25">
        <v>6.1119570747475281E-2</v>
      </c>
      <c r="AV119" s="25">
        <v>0.24471203470776268</v>
      </c>
      <c r="AW119" s="25">
        <v>0.23405793614746034</v>
      </c>
      <c r="AX119" s="25">
        <v>110.85973220021567</v>
      </c>
      <c r="AY119" s="25">
        <v>111.40171135305293</v>
      </c>
      <c r="AZ119" s="25">
        <v>2.0520143352684501</v>
      </c>
      <c r="BA119" s="25">
        <v>2.72</v>
      </c>
      <c r="BB119" s="25">
        <v>8.6808510638297882</v>
      </c>
      <c r="BC119" s="24">
        <v>0.50451807228915657</v>
      </c>
      <c r="BD119" s="24">
        <v>0.5</v>
      </c>
      <c r="BE119" s="25">
        <v>4.6831926601598672</v>
      </c>
      <c r="BF119" s="24">
        <v>0.74193548387096775</v>
      </c>
      <c r="BG119" s="24">
        <v>0.16129032258064516</v>
      </c>
      <c r="BH119" s="25">
        <v>1.4952318716980295</v>
      </c>
      <c r="BI119" s="25">
        <v>1.9936424955973728</v>
      </c>
      <c r="BJ119" s="25">
        <v>1.6255463641946322</v>
      </c>
      <c r="BK119" s="25">
        <v>2.406011326761015</v>
      </c>
      <c r="BL119" s="25">
        <v>1.5387311252045515</v>
      </c>
      <c r="BM119" s="25">
        <v>0.69835653428930589</v>
      </c>
      <c r="BN119" s="25">
        <v>5.6818181818181817</v>
      </c>
      <c r="BO119" s="26" t="s">
        <v>176</v>
      </c>
      <c r="BP119" s="27"/>
      <c r="BQ119" s="32" t="s">
        <v>267</v>
      </c>
      <c r="BR119" s="32">
        <v>176.03</v>
      </c>
      <c r="BS119" s="32">
        <v>220.83</v>
      </c>
      <c r="BT119" s="32">
        <v>44.8</v>
      </c>
      <c r="BU119" s="36">
        <f t="shared" si="51"/>
        <v>7.0411999999999999</v>
      </c>
      <c r="BV119" s="36">
        <f t="shared" si="52"/>
        <v>8.8331999999999997</v>
      </c>
      <c r="BW119" s="36">
        <f t="shared" si="53"/>
        <v>1.7919999999999998</v>
      </c>
      <c r="BX119" s="37">
        <f t="shared" si="54"/>
        <v>22.471914893617019</v>
      </c>
      <c r="BY119" s="37">
        <f t="shared" si="55"/>
        <v>28.191063829787232</v>
      </c>
      <c r="BZ119" s="37">
        <f t="shared" si="56"/>
        <v>5.719148936170213</v>
      </c>
      <c r="CA119" s="34">
        <v>13</v>
      </c>
      <c r="CB119" s="34">
        <v>12</v>
      </c>
    </row>
    <row r="120" spans="1:80" x14ac:dyDescent="0.4">
      <c r="A120" s="16" t="s">
        <v>178</v>
      </c>
      <c r="B120" s="16" t="s">
        <v>253</v>
      </c>
      <c r="C120" s="16" t="s">
        <v>195</v>
      </c>
      <c r="D120" s="23">
        <v>43</v>
      </c>
      <c r="E120" s="23">
        <v>24</v>
      </c>
      <c r="F120" s="23">
        <v>40</v>
      </c>
      <c r="G120" s="21">
        <v>63640</v>
      </c>
      <c r="H120" s="21">
        <v>715</v>
      </c>
      <c r="I120" s="22">
        <f t="shared" si="33"/>
        <v>16.627906976744185</v>
      </c>
      <c r="J120" s="23">
        <v>290</v>
      </c>
      <c r="K120" s="23">
        <v>551</v>
      </c>
      <c r="L120" s="22">
        <f t="shared" si="57"/>
        <v>6.7441860465116283</v>
      </c>
      <c r="M120" s="22">
        <f t="shared" si="58"/>
        <v>12.813953488372093</v>
      </c>
      <c r="N120" s="24">
        <f t="shared" si="59"/>
        <v>0.52631578947368418</v>
      </c>
      <c r="O120" s="21">
        <v>290</v>
      </c>
      <c r="P120" s="23">
        <v>545</v>
      </c>
      <c r="Q120" s="22">
        <f t="shared" si="34"/>
        <v>6.7441860465116283</v>
      </c>
      <c r="R120" s="22">
        <f t="shared" si="35"/>
        <v>12.674418604651162</v>
      </c>
      <c r="S120" s="24">
        <f t="shared" si="36"/>
        <v>0.5321100917431193</v>
      </c>
      <c r="T120" s="23">
        <v>0</v>
      </c>
      <c r="U120" s="23">
        <v>6</v>
      </c>
      <c r="V120" s="22">
        <f t="shared" si="37"/>
        <v>0</v>
      </c>
      <c r="W120" s="22">
        <f t="shared" si="38"/>
        <v>0.13953488372093023</v>
      </c>
      <c r="X120" s="24">
        <f t="shared" si="39"/>
        <v>0</v>
      </c>
      <c r="Y120" s="23">
        <v>135</v>
      </c>
      <c r="Z120" s="23">
        <v>199</v>
      </c>
      <c r="AA120" s="22">
        <f t="shared" si="40"/>
        <v>3.13953488372093</v>
      </c>
      <c r="AB120" s="22">
        <f t="shared" si="41"/>
        <v>4.6279069767441863</v>
      </c>
      <c r="AC120" s="24">
        <f t="shared" si="42"/>
        <v>0.67839195979899503</v>
      </c>
      <c r="AD120" s="23">
        <v>400</v>
      </c>
      <c r="AE120" s="22">
        <f t="shared" si="43"/>
        <v>9.3023255813953494</v>
      </c>
      <c r="AF120" s="23">
        <v>153</v>
      </c>
      <c r="AG120" s="22">
        <f t="shared" si="44"/>
        <v>3.558139534883721</v>
      </c>
      <c r="AH120" s="23">
        <v>247</v>
      </c>
      <c r="AI120" s="22">
        <f t="shared" si="45"/>
        <v>5.7441860465116283</v>
      </c>
      <c r="AJ120" s="23">
        <v>78</v>
      </c>
      <c r="AK120" s="22">
        <f t="shared" si="46"/>
        <v>1.8139534883720929</v>
      </c>
      <c r="AL120" s="23">
        <v>69</v>
      </c>
      <c r="AM120" s="22">
        <f t="shared" si="47"/>
        <v>1.6046511627906976</v>
      </c>
      <c r="AN120" s="23">
        <v>49</v>
      </c>
      <c r="AO120" s="22">
        <f t="shared" si="48"/>
        <v>1.1395348837209303</v>
      </c>
      <c r="AP120" s="10">
        <v>87</v>
      </c>
      <c r="AQ120" s="22">
        <f t="shared" si="49"/>
        <v>2.0232558139534884</v>
      </c>
      <c r="AR120" s="23">
        <v>131</v>
      </c>
      <c r="AS120" s="22">
        <f t="shared" si="50"/>
        <v>3.0465116279069768</v>
      </c>
      <c r="AT120" s="25">
        <v>5.3479973623514105</v>
      </c>
      <c r="AU120" s="25">
        <v>0.2016843757014988</v>
      </c>
      <c r="AV120" s="25">
        <v>2.5097073374105241</v>
      </c>
      <c r="AW120" s="25">
        <v>2.8382900249408864</v>
      </c>
      <c r="AX120" s="25">
        <v>110.46179621590915</v>
      </c>
      <c r="AY120" s="25">
        <v>97.391094380087253</v>
      </c>
      <c r="AZ120" s="25">
        <v>20.504246447118543</v>
      </c>
      <c r="BA120" s="25">
        <v>20.906976744186046</v>
      </c>
      <c r="BB120" s="25">
        <v>33.903205531112505</v>
      </c>
      <c r="BC120" s="24">
        <v>0.55985342019543982</v>
      </c>
      <c r="BD120" s="24">
        <v>0.52631578947368418</v>
      </c>
      <c r="BE120" s="25">
        <v>24.52442437434933</v>
      </c>
      <c r="BF120" s="24">
        <v>1.0889292196007259E-2</v>
      </c>
      <c r="BG120" s="24">
        <v>0.36116152450090744</v>
      </c>
      <c r="BH120" s="25">
        <v>12.915570437694331</v>
      </c>
      <c r="BI120" s="25">
        <v>20.850626785035946</v>
      </c>
      <c r="BJ120" s="25">
        <v>15.732443576246633</v>
      </c>
      <c r="BK120" s="25">
        <v>9.5050470174868487</v>
      </c>
      <c r="BL120" s="25">
        <v>3.4849535854727005</v>
      </c>
      <c r="BM120" s="25">
        <v>3.4774380507422085</v>
      </c>
      <c r="BN120" s="25">
        <v>11.990738188433763</v>
      </c>
      <c r="BO120" s="26" t="s">
        <v>249</v>
      </c>
      <c r="BP120" s="27"/>
      <c r="BQ120" s="33" t="s">
        <v>268</v>
      </c>
      <c r="BR120" s="33">
        <v>1255.5899999999999</v>
      </c>
      <c r="BS120" s="33">
        <v>1697.69</v>
      </c>
      <c r="BT120" s="33">
        <v>442.1</v>
      </c>
      <c r="BU120" s="36">
        <f t="shared" si="51"/>
        <v>29.199767441860466</v>
      </c>
      <c r="BV120" s="36">
        <f t="shared" si="52"/>
        <v>39.481162790697674</v>
      </c>
      <c r="BW120" s="36">
        <f t="shared" si="53"/>
        <v>10.28139534883721</v>
      </c>
      <c r="BX120" s="37">
        <f t="shared" si="54"/>
        <v>47.350974230044002</v>
      </c>
      <c r="BY120" s="37">
        <f t="shared" si="55"/>
        <v>64.023507228158394</v>
      </c>
      <c r="BZ120" s="37">
        <f t="shared" si="56"/>
        <v>16.672532998114395</v>
      </c>
      <c r="CA120" s="34">
        <v>27</v>
      </c>
      <c r="CB120" s="34">
        <v>16</v>
      </c>
    </row>
    <row r="121" spans="1:80" x14ac:dyDescent="0.4">
      <c r="A121" s="16" t="s">
        <v>178</v>
      </c>
      <c r="B121" s="16" t="s">
        <v>253</v>
      </c>
      <c r="C121" s="19" t="s">
        <v>149</v>
      </c>
      <c r="D121" s="39">
        <v>37</v>
      </c>
      <c r="E121" s="39">
        <v>12</v>
      </c>
      <c r="F121" s="39">
        <v>9</v>
      </c>
      <c r="G121" s="21">
        <v>26973</v>
      </c>
      <c r="H121" s="21">
        <v>103</v>
      </c>
      <c r="I121" s="22">
        <f t="shared" si="33"/>
        <v>2.7837837837837838</v>
      </c>
      <c r="J121" s="23">
        <v>37</v>
      </c>
      <c r="K121" s="23">
        <v>96</v>
      </c>
      <c r="L121" s="22">
        <f t="shared" si="57"/>
        <v>1</v>
      </c>
      <c r="M121" s="22">
        <f t="shared" si="58"/>
        <v>2.5945945945945947</v>
      </c>
      <c r="N121" s="24">
        <f t="shared" si="59"/>
        <v>0.38541666666666669</v>
      </c>
      <c r="O121" s="21">
        <v>17</v>
      </c>
      <c r="P121" s="23">
        <v>35</v>
      </c>
      <c r="Q121" s="22">
        <f t="shared" si="34"/>
        <v>0.45945945945945948</v>
      </c>
      <c r="R121" s="22">
        <f t="shared" si="35"/>
        <v>0.94594594594594594</v>
      </c>
      <c r="S121" s="24">
        <f t="shared" si="36"/>
        <v>0.48571428571428571</v>
      </c>
      <c r="T121" s="23">
        <v>20</v>
      </c>
      <c r="U121" s="23">
        <v>61</v>
      </c>
      <c r="V121" s="22">
        <f t="shared" si="37"/>
        <v>0.54054054054054057</v>
      </c>
      <c r="W121" s="22">
        <f t="shared" si="38"/>
        <v>1.6486486486486487</v>
      </c>
      <c r="X121" s="24">
        <f t="shared" si="39"/>
        <v>0.32786885245901637</v>
      </c>
      <c r="Y121" s="23">
        <v>9</v>
      </c>
      <c r="Z121" s="23">
        <v>17</v>
      </c>
      <c r="AA121" s="22">
        <f t="shared" si="40"/>
        <v>0.24324324324324326</v>
      </c>
      <c r="AB121" s="22">
        <f t="shared" si="41"/>
        <v>0.45945945945945948</v>
      </c>
      <c r="AC121" s="24">
        <f t="shared" si="42"/>
        <v>0.52941176470588236</v>
      </c>
      <c r="AD121" s="23">
        <v>61</v>
      </c>
      <c r="AE121" s="22">
        <f t="shared" si="43"/>
        <v>1.6486486486486487</v>
      </c>
      <c r="AF121" s="23">
        <v>24</v>
      </c>
      <c r="AG121" s="22">
        <f t="shared" si="44"/>
        <v>0.64864864864864868</v>
      </c>
      <c r="AH121" s="23">
        <v>37</v>
      </c>
      <c r="AI121" s="22">
        <f t="shared" si="45"/>
        <v>1</v>
      </c>
      <c r="AJ121" s="23">
        <v>17</v>
      </c>
      <c r="AK121" s="22">
        <f t="shared" si="46"/>
        <v>0.45945945945945948</v>
      </c>
      <c r="AL121" s="23">
        <v>13</v>
      </c>
      <c r="AM121" s="22">
        <f t="shared" si="47"/>
        <v>0.35135135135135137</v>
      </c>
      <c r="AN121" s="23">
        <v>1</v>
      </c>
      <c r="AO121" s="22">
        <f t="shared" si="48"/>
        <v>2.7027027027027029E-2</v>
      </c>
      <c r="AP121" s="10">
        <v>10</v>
      </c>
      <c r="AQ121" s="22">
        <f t="shared" si="49"/>
        <v>0.27027027027027029</v>
      </c>
      <c r="AR121" s="23">
        <v>49</v>
      </c>
      <c r="AS121" s="22">
        <f t="shared" si="50"/>
        <v>1.3243243243243243</v>
      </c>
      <c r="AT121" s="25">
        <v>0.68054941680597292</v>
      </c>
      <c r="AU121" s="25">
        <v>6.0553835329193451E-2</v>
      </c>
      <c r="AV121" s="25">
        <v>0.27925114776539678</v>
      </c>
      <c r="AW121" s="25">
        <v>0.40129826904057608</v>
      </c>
      <c r="AX121" s="25">
        <v>107.3111319970627</v>
      </c>
      <c r="AY121" s="25">
        <v>110.34364081607796</v>
      </c>
      <c r="AZ121" s="25">
        <v>4.3376321751605502</v>
      </c>
      <c r="BA121" s="25">
        <v>3.189189189189189</v>
      </c>
      <c r="BB121" s="25">
        <v>10.499388277166055</v>
      </c>
      <c r="BC121" s="24">
        <v>0.4976807112485504</v>
      </c>
      <c r="BD121" s="24">
        <v>0.48958333333333331</v>
      </c>
      <c r="BE121" s="25">
        <v>7.7871583253904033</v>
      </c>
      <c r="BF121" s="24">
        <v>0.63541666666666663</v>
      </c>
      <c r="BG121" s="24">
        <v>0.17708333333333334</v>
      </c>
      <c r="BH121" s="25">
        <v>4.113084106143277</v>
      </c>
      <c r="BI121" s="25">
        <v>6.3410046636375519</v>
      </c>
      <c r="BJ121" s="25">
        <v>4.8707990605745746</v>
      </c>
      <c r="BK121" s="25">
        <v>3.3329820631649114</v>
      </c>
      <c r="BL121" s="25">
        <v>1.5491453881865092</v>
      </c>
      <c r="BM121" s="25">
        <v>0.14407794616887737</v>
      </c>
      <c r="BN121" s="25">
        <v>8.8121254846669022</v>
      </c>
      <c r="BO121" s="26" t="s">
        <v>176</v>
      </c>
      <c r="BP121" s="27"/>
      <c r="BQ121" s="32" t="s">
        <v>268</v>
      </c>
      <c r="BR121" s="32">
        <v>257.60000000000002</v>
      </c>
      <c r="BS121" s="32">
        <v>333.9</v>
      </c>
      <c r="BT121" s="32">
        <v>76.3</v>
      </c>
      <c r="BU121" s="36">
        <f t="shared" si="51"/>
        <v>6.9621621621621621</v>
      </c>
      <c r="BV121" s="36">
        <f t="shared" si="52"/>
        <v>9.0243243243243239</v>
      </c>
      <c r="BW121" s="36">
        <f t="shared" si="53"/>
        <v>2.0621621621621622</v>
      </c>
      <c r="BX121" s="37">
        <f t="shared" si="54"/>
        <v>22.920698476254032</v>
      </c>
      <c r="BY121" s="37">
        <f t="shared" si="55"/>
        <v>29.70970970970971</v>
      </c>
      <c r="BZ121" s="37">
        <f t="shared" si="56"/>
        <v>6.7890112334556783</v>
      </c>
      <c r="CA121" s="35">
        <v>21</v>
      </c>
      <c r="CB121" s="35">
        <v>16</v>
      </c>
    </row>
    <row r="122" spans="1:80" x14ac:dyDescent="0.4">
      <c r="A122" s="16" t="s">
        <v>178</v>
      </c>
      <c r="B122" s="16" t="s">
        <v>253</v>
      </c>
      <c r="C122" s="16" t="s">
        <v>101</v>
      </c>
      <c r="D122" s="23">
        <v>46</v>
      </c>
      <c r="E122" s="23">
        <v>24</v>
      </c>
      <c r="F122" s="23">
        <v>52</v>
      </c>
      <c r="G122" s="21">
        <v>68632</v>
      </c>
      <c r="H122" s="21">
        <v>464</v>
      </c>
      <c r="I122" s="22">
        <f t="shared" si="33"/>
        <v>10.086956521739131</v>
      </c>
      <c r="J122" s="23">
        <v>169</v>
      </c>
      <c r="K122" s="23">
        <v>410</v>
      </c>
      <c r="L122" s="22">
        <f t="shared" si="57"/>
        <v>3.6739130434782608</v>
      </c>
      <c r="M122" s="22">
        <f t="shared" si="58"/>
        <v>8.9130434782608692</v>
      </c>
      <c r="N122" s="24">
        <f t="shared" si="59"/>
        <v>0.41219512195121949</v>
      </c>
      <c r="O122" s="21">
        <v>96</v>
      </c>
      <c r="P122" s="23">
        <v>206</v>
      </c>
      <c r="Q122" s="22">
        <f t="shared" si="34"/>
        <v>2.0869565217391304</v>
      </c>
      <c r="R122" s="22">
        <f t="shared" si="35"/>
        <v>4.4782608695652177</v>
      </c>
      <c r="S122" s="24">
        <f t="shared" si="36"/>
        <v>0.46601941747572817</v>
      </c>
      <c r="T122" s="23">
        <v>73</v>
      </c>
      <c r="U122" s="23">
        <v>204</v>
      </c>
      <c r="V122" s="22">
        <f t="shared" si="37"/>
        <v>1.5869565217391304</v>
      </c>
      <c r="W122" s="22">
        <f t="shared" si="38"/>
        <v>4.4347826086956523</v>
      </c>
      <c r="X122" s="24">
        <f t="shared" si="39"/>
        <v>0.35784313725490197</v>
      </c>
      <c r="Y122" s="23">
        <v>53</v>
      </c>
      <c r="Z122" s="23">
        <v>73</v>
      </c>
      <c r="AA122" s="22">
        <f t="shared" si="40"/>
        <v>1.1521739130434783</v>
      </c>
      <c r="AB122" s="22">
        <f t="shared" si="41"/>
        <v>1.5869565217391304</v>
      </c>
      <c r="AC122" s="24">
        <f t="shared" si="42"/>
        <v>0.72602739726027399</v>
      </c>
      <c r="AD122" s="23">
        <v>117</v>
      </c>
      <c r="AE122" s="22">
        <f t="shared" si="43"/>
        <v>2.5434782608695654</v>
      </c>
      <c r="AF122" s="23">
        <v>19</v>
      </c>
      <c r="AG122" s="22">
        <f t="shared" si="44"/>
        <v>0.41304347826086957</v>
      </c>
      <c r="AH122" s="23">
        <v>98</v>
      </c>
      <c r="AI122" s="22">
        <f t="shared" si="45"/>
        <v>2.1304347826086958</v>
      </c>
      <c r="AJ122" s="23">
        <v>202</v>
      </c>
      <c r="AK122" s="22">
        <f t="shared" si="46"/>
        <v>4.3913043478260869</v>
      </c>
      <c r="AL122" s="23">
        <v>26</v>
      </c>
      <c r="AM122" s="22">
        <f t="shared" si="47"/>
        <v>0.56521739130434778</v>
      </c>
      <c r="AN122" s="23">
        <v>3</v>
      </c>
      <c r="AO122" s="22">
        <f t="shared" si="48"/>
        <v>6.5217391304347824E-2</v>
      </c>
      <c r="AP122" s="10">
        <v>83</v>
      </c>
      <c r="AQ122" s="22">
        <f t="shared" si="49"/>
        <v>1.8043478260869565</v>
      </c>
      <c r="AR122" s="23">
        <v>89</v>
      </c>
      <c r="AS122" s="22">
        <f t="shared" si="50"/>
        <v>1.9347826086956521</v>
      </c>
      <c r="AT122" s="25">
        <v>2.0146399187191038</v>
      </c>
      <c r="AU122" s="25">
        <v>7.0450166175047346E-2</v>
      </c>
      <c r="AV122" s="25">
        <v>1.1014266637802219</v>
      </c>
      <c r="AW122" s="25">
        <v>0.91321325493888195</v>
      </c>
      <c r="AX122" s="25">
        <v>105.89469884162312</v>
      </c>
      <c r="AY122" s="25">
        <v>111.02864581293176</v>
      </c>
      <c r="AZ122" s="25">
        <v>10.110670857937343</v>
      </c>
      <c r="BA122" s="25">
        <v>10.173913043478262</v>
      </c>
      <c r="BB122" s="25">
        <v>16.365543769670126</v>
      </c>
      <c r="BC122" s="24">
        <v>0.52474441328146204</v>
      </c>
      <c r="BD122" s="24">
        <v>0.50121951219512195</v>
      </c>
      <c r="BE122" s="25">
        <v>17.606658557160618</v>
      </c>
      <c r="BF122" s="24">
        <v>0.4975609756097561</v>
      </c>
      <c r="BG122" s="24">
        <v>0.17804878048780487</v>
      </c>
      <c r="BH122" s="25">
        <v>1.5909944133766345</v>
      </c>
      <c r="BI122" s="25">
        <v>8.2061817111005357</v>
      </c>
      <c r="BJ122" s="25">
        <v>4.5647284344216938</v>
      </c>
      <c r="BK122" s="25">
        <v>21.249252682016856</v>
      </c>
      <c r="BL122" s="25">
        <v>1.2176564446775471</v>
      </c>
      <c r="BM122" s="25">
        <v>0.21119200286282494</v>
      </c>
      <c r="BN122" s="25">
        <v>15.805911029859841</v>
      </c>
      <c r="BO122" s="26" t="s">
        <v>176</v>
      </c>
      <c r="BP122" s="27"/>
      <c r="BQ122" s="33" t="s">
        <v>267</v>
      </c>
      <c r="BR122" s="33">
        <v>843.02</v>
      </c>
      <c r="BS122" s="33">
        <v>1211.42</v>
      </c>
      <c r="BT122" s="33">
        <v>368.4</v>
      </c>
      <c r="BU122" s="36">
        <f t="shared" si="51"/>
        <v>18.326521739130438</v>
      </c>
      <c r="BV122" s="36">
        <f t="shared" si="52"/>
        <v>26.335217391304351</v>
      </c>
      <c r="BW122" s="36">
        <f t="shared" si="53"/>
        <v>8.0086956521739125</v>
      </c>
      <c r="BX122" s="37">
        <f t="shared" si="54"/>
        <v>29.479659633989975</v>
      </c>
      <c r="BY122" s="37">
        <f t="shared" si="55"/>
        <v>42.362279986012354</v>
      </c>
      <c r="BZ122" s="37">
        <f t="shared" si="56"/>
        <v>12.88262035202238</v>
      </c>
      <c r="CA122" s="35">
        <v>23</v>
      </c>
      <c r="CB122" s="35">
        <v>23</v>
      </c>
    </row>
    <row r="123" spans="1:80" x14ac:dyDescent="0.4">
      <c r="A123" s="16" t="s">
        <v>178</v>
      </c>
      <c r="B123" s="16" t="s">
        <v>253</v>
      </c>
      <c r="C123" s="16" t="s">
        <v>97</v>
      </c>
      <c r="D123" s="20">
        <v>46</v>
      </c>
      <c r="E123" s="20">
        <v>8</v>
      </c>
      <c r="F123" s="20">
        <v>32</v>
      </c>
      <c r="G123" s="56">
        <v>23552</v>
      </c>
      <c r="H123" s="56">
        <v>145</v>
      </c>
      <c r="I123" s="22">
        <f t="shared" si="33"/>
        <v>3.152173913043478</v>
      </c>
      <c r="J123" s="20">
        <v>53</v>
      </c>
      <c r="K123" s="20">
        <v>136</v>
      </c>
      <c r="L123" s="22">
        <f t="shared" si="57"/>
        <v>1.1521739130434783</v>
      </c>
      <c r="M123" s="22">
        <f t="shared" si="58"/>
        <v>2.9565217391304346</v>
      </c>
      <c r="N123" s="24">
        <f t="shared" si="59"/>
        <v>0.38970588235294118</v>
      </c>
      <c r="O123" s="56">
        <v>32</v>
      </c>
      <c r="P123" s="20">
        <v>53</v>
      </c>
      <c r="Q123" s="22">
        <f t="shared" si="34"/>
        <v>0.69565217391304346</v>
      </c>
      <c r="R123" s="22">
        <f t="shared" si="35"/>
        <v>1.1521739130434783</v>
      </c>
      <c r="S123" s="24">
        <f t="shared" si="36"/>
        <v>0.60377358490566035</v>
      </c>
      <c r="T123" s="20">
        <v>21</v>
      </c>
      <c r="U123" s="20">
        <v>83</v>
      </c>
      <c r="V123" s="22">
        <f t="shared" si="37"/>
        <v>0.45652173913043476</v>
      </c>
      <c r="W123" s="22">
        <f t="shared" si="38"/>
        <v>1.8043478260869565</v>
      </c>
      <c r="X123" s="24">
        <f t="shared" si="39"/>
        <v>0.25301204819277107</v>
      </c>
      <c r="Y123" s="20">
        <v>18</v>
      </c>
      <c r="Z123" s="20">
        <v>26</v>
      </c>
      <c r="AA123" s="22">
        <f t="shared" si="40"/>
        <v>0.39130434782608697</v>
      </c>
      <c r="AB123" s="22">
        <f t="shared" si="41"/>
        <v>0.56521739130434778</v>
      </c>
      <c r="AC123" s="24">
        <f t="shared" si="42"/>
        <v>0.69230769230769229</v>
      </c>
      <c r="AD123" s="20">
        <v>68</v>
      </c>
      <c r="AE123" s="22">
        <f t="shared" si="43"/>
        <v>1.4782608695652173</v>
      </c>
      <c r="AF123" s="20">
        <v>25</v>
      </c>
      <c r="AG123" s="22">
        <f t="shared" si="44"/>
        <v>0.54347826086956519</v>
      </c>
      <c r="AH123" s="20">
        <v>43</v>
      </c>
      <c r="AI123" s="22">
        <f t="shared" si="45"/>
        <v>0.93478260869565222</v>
      </c>
      <c r="AJ123" s="20">
        <v>21</v>
      </c>
      <c r="AK123" s="22">
        <f t="shared" si="46"/>
        <v>0.45652173913043476</v>
      </c>
      <c r="AL123" s="20">
        <v>23</v>
      </c>
      <c r="AM123" s="22">
        <f t="shared" si="47"/>
        <v>0.5</v>
      </c>
      <c r="AN123" s="20">
        <v>4</v>
      </c>
      <c r="AO123" s="22">
        <f t="shared" si="48"/>
        <v>8.6956521739130432E-2</v>
      </c>
      <c r="AP123" s="10">
        <v>21</v>
      </c>
      <c r="AQ123" s="22">
        <f t="shared" si="49"/>
        <v>0.45652173913043476</v>
      </c>
      <c r="AR123" s="63">
        <v>37</v>
      </c>
      <c r="AS123" s="22">
        <f t="shared" si="50"/>
        <v>0.80434782608695654</v>
      </c>
      <c r="AT123" s="25">
        <v>0.61651169867659461</v>
      </c>
      <c r="AU123" s="25">
        <v>6.2823882337968193E-2</v>
      </c>
      <c r="AV123" s="25">
        <v>-5.6282987964443683E-3</v>
      </c>
      <c r="AW123" s="25">
        <v>0.62213999747303894</v>
      </c>
      <c r="AX123" s="25">
        <v>99.412240753224495</v>
      </c>
      <c r="AY123" s="25">
        <v>105.31547256247312</v>
      </c>
      <c r="AZ123" s="25">
        <v>9.3924298832219506</v>
      </c>
      <c r="BA123" s="25">
        <v>3.2391304347826089</v>
      </c>
      <c r="BB123" s="25">
        <v>15.183423913043477</v>
      </c>
      <c r="BC123" s="24">
        <v>0.49172544763971787</v>
      </c>
      <c r="BD123" s="24">
        <v>0.46691176470588236</v>
      </c>
      <c r="BE123" s="25">
        <v>16.457447473736867</v>
      </c>
      <c r="BF123" s="24">
        <v>0.61029411764705888</v>
      </c>
      <c r="BG123" s="24">
        <v>0.19117647058823528</v>
      </c>
      <c r="BH123" s="25">
        <v>6.1003383654346699</v>
      </c>
      <c r="BI123" s="25">
        <v>10.492581988547633</v>
      </c>
      <c r="BJ123" s="25">
        <v>7.7310211011399463</v>
      </c>
      <c r="BK123" s="25">
        <v>6.3403244635884217</v>
      </c>
      <c r="BL123" s="25">
        <v>3.1389046390891462</v>
      </c>
      <c r="BM123" s="25">
        <v>0.82056892778993429</v>
      </c>
      <c r="BN123" s="25">
        <v>12.467347423414866</v>
      </c>
      <c r="BO123" s="26" t="s">
        <v>176</v>
      </c>
      <c r="BP123" s="27"/>
      <c r="BQ123" s="32" t="s">
        <v>268</v>
      </c>
      <c r="BR123" s="32">
        <v>270.38</v>
      </c>
      <c r="BS123" s="32">
        <v>385.08</v>
      </c>
      <c r="BT123" s="32">
        <v>114.7</v>
      </c>
      <c r="BU123" s="36">
        <f t="shared" si="51"/>
        <v>5.8778260869565209</v>
      </c>
      <c r="BV123" s="36">
        <f t="shared" si="52"/>
        <v>8.3713043478260865</v>
      </c>
      <c r="BW123" s="36">
        <f t="shared" si="53"/>
        <v>2.4934782608695651</v>
      </c>
      <c r="BX123" s="37">
        <f t="shared" si="54"/>
        <v>27.552309782608695</v>
      </c>
      <c r="BY123" s="37">
        <f t="shared" si="55"/>
        <v>39.240489130434781</v>
      </c>
      <c r="BZ123" s="37">
        <f t="shared" si="56"/>
        <v>11.688179347826088</v>
      </c>
      <c r="CA123" s="35">
        <v>26</v>
      </c>
      <c r="CB123" s="35">
        <v>20</v>
      </c>
    </row>
    <row r="124" spans="1:80" x14ac:dyDescent="0.4">
      <c r="A124" s="47" t="s">
        <v>178</v>
      </c>
      <c r="B124" s="47" t="s">
        <v>253</v>
      </c>
      <c r="C124" s="48" t="s">
        <v>286</v>
      </c>
      <c r="D124" s="53">
        <v>23</v>
      </c>
      <c r="E124" s="54">
        <v>22</v>
      </c>
      <c r="F124" s="54">
        <v>54</v>
      </c>
      <c r="G124" s="57">
        <v>31602</v>
      </c>
      <c r="H124" s="58">
        <v>278</v>
      </c>
      <c r="I124" s="22">
        <f t="shared" si="33"/>
        <v>12.086956521739131</v>
      </c>
      <c r="J124" s="58">
        <v>117</v>
      </c>
      <c r="K124" s="60">
        <v>241</v>
      </c>
      <c r="L124" s="22">
        <f t="shared" si="57"/>
        <v>5.0869565217391308</v>
      </c>
      <c r="M124" s="22">
        <f t="shared" si="58"/>
        <v>10.478260869565217</v>
      </c>
      <c r="N124" s="24">
        <f t="shared" si="59"/>
        <v>0.48547717842323651</v>
      </c>
      <c r="O124" s="61">
        <v>97</v>
      </c>
      <c r="P124" s="57">
        <v>187</v>
      </c>
      <c r="Q124" s="22">
        <f t="shared" si="34"/>
        <v>4.2173913043478262</v>
      </c>
      <c r="R124" s="22">
        <f t="shared" si="35"/>
        <v>8.1304347826086953</v>
      </c>
      <c r="S124" s="24">
        <f t="shared" si="36"/>
        <v>0.51871657754010692</v>
      </c>
      <c r="T124" s="61">
        <v>20</v>
      </c>
      <c r="U124" s="57">
        <v>54</v>
      </c>
      <c r="V124" s="22">
        <f t="shared" si="37"/>
        <v>0.86956521739130432</v>
      </c>
      <c r="W124" s="22">
        <f t="shared" si="38"/>
        <v>2.347826086956522</v>
      </c>
      <c r="X124" s="24">
        <f t="shared" si="39"/>
        <v>0.37037037037037035</v>
      </c>
      <c r="Y124" s="58">
        <v>24</v>
      </c>
      <c r="Z124" s="60">
        <v>31</v>
      </c>
      <c r="AA124" s="22">
        <f t="shared" si="40"/>
        <v>1.0434782608695652</v>
      </c>
      <c r="AB124" s="22">
        <f t="shared" si="41"/>
        <v>1.3478260869565217</v>
      </c>
      <c r="AC124" s="24">
        <f t="shared" si="42"/>
        <v>0.77419354838709675</v>
      </c>
      <c r="AD124" s="58">
        <v>177</v>
      </c>
      <c r="AE124" s="22">
        <f t="shared" si="43"/>
        <v>7.6956521739130439</v>
      </c>
      <c r="AF124" s="58">
        <v>38</v>
      </c>
      <c r="AG124" s="22">
        <f t="shared" si="44"/>
        <v>1.6521739130434783</v>
      </c>
      <c r="AH124" s="58">
        <v>139</v>
      </c>
      <c r="AI124" s="22">
        <f t="shared" si="45"/>
        <v>6.0434782608695654</v>
      </c>
      <c r="AJ124" s="58">
        <v>29</v>
      </c>
      <c r="AK124" s="22">
        <f t="shared" si="46"/>
        <v>1.2608695652173914</v>
      </c>
      <c r="AL124" s="58">
        <v>8</v>
      </c>
      <c r="AM124" s="22">
        <f t="shared" si="47"/>
        <v>0.34782608695652173</v>
      </c>
      <c r="AN124" s="58">
        <v>31</v>
      </c>
      <c r="AO124" s="22">
        <f t="shared" si="48"/>
        <v>1.3478260869565217</v>
      </c>
      <c r="AP124" s="10">
        <v>49</v>
      </c>
      <c r="AQ124" s="22">
        <f t="shared" si="49"/>
        <v>2.1304347826086958</v>
      </c>
      <c r="AR124" s="58">
        <v>41</v>
      </c>
      <c r="AS124" s="22">
        <f t="shared" si="50"/>
        <v>1.7826086956521738</v>
      </c>
      <c r="AT124" s="25">
        <v>0.98913333384352631</v>
      </c>
      <c r="AU124" s="25">
        <v>7.5119296285819342E-2</v>
      </c>
      <c r="AV124" s="25">
        <v>-0.12077142974093957</v>
      </c>
      <c r="AW124" s="25">
        <v>1.1099047635844659</v>
      </c>
      <c r="AX124" s="25">
        <v>98.217994661326529</v>
      </c>
      <c r="AY124" s="25">
        <v>101.52151313932534</v>
      </c>
      <c r="AZ124" s="25">
        <v>7.4488336100840762</v>
      </c>
      <c r="BA124" s="25">
        <v>14.913043478260869</v>
      </c>
      <c r="BB124" s="25">
        <v>26.0489842415037</v>
      </c>
      <c r="BC124" s="24">
        <v>0.54586867734841349</v>
      </c>
      <c r="BD124" s="24">
        <v>0.52697095435684649</v>
      </c>
      <c r="BE124" s="25">
        <v>11.055018047597306</v>
      </c>
      <c r="BF124" s="24">
        <v>0.22406639004149378</v>
      </c>
      <c r="BG124" s="24">
        <v>0.12863070539419086</v>
      </c>
      <c r="BH124" s="25">
        <v>3.455260065149838</v>
      </c>
      <c r="BI124" s="25">
        <v>12.638977606732302</v>
      </c>
      <c r="BJ124" s="25">
        <v>7.4986734338310912</v>
      </c>
      <c r="BK124" s="25">
        <v>3.1726148637006366</v>
      </c>
      <c r="BL124" s="25">
        <v>0.81367972923923426</v>
      </c>
      <c r="BM124" s="25">
        <v>2.3697361757426929</v>
      </c>
      <c r="BN124" s="25">
        <v>16.137531287050454</v>
      </c>
      <c r="BO124" s="26" t="s">
        <v>249</v>
      </c>
      <c r="BP124" s="27"/>
      <c r="BQ124" s="33" t="s">
        <v>268</v>
      </c>
      <c r="BR124" s="33">
        <v>488.52</v>
      </c>
      <c r="BS124" s="33">
        <v>688.22</v>
      </c>
      <c r="BT124" s="33">
        <v>199.7</v>
      </c>
      <c r="BU124" s="36">
        <f t="shared" si="51"/>
        <v>21.240000000000002</v>
      </c>
      <c r="BV124" s="36">
        <f t="shared" si="52"/>
        <v>29.922608695652176</v>
      </c>
      <c r="BW124" s="36">
        <f t="shared" si="53"/>
        <v>8.6826086956521742</v>
      </c>
      <c r="BX124" s="37">
        <f t="shared" si="54"/>
        <v>37.10043668122271</v>
      </c>
      <c r="BY124" s="37">
        <f t="shared" si="55"/>
        <v>52.266565407252706</v>
      </c>
      <c r="BZ124" s="37">
        <f t="shared" si="56"/>
        <v>15.166128726029998</v>
      </c>
      <c r="CA124" s="35">
        <v>11</v>
      </c>
      <c r="CB124" s="35">
        <v>12</v>
      </c>
    </row>
    <row r="125" spans="1:80" x14ac:dyDescent="0.4">
      <c r="A125" s="16" t="s">
        <v>178</v>
      </c>
      <c r="B125" s="16" t="s">
        <v>253</v>
      </c>
      <c r="C125" s="16" t="s">
        <v>196</v>
      </c>
      <c r="D125" s="29">
        <v>31</v>
      </c>
      <c r="E125" s="29">
        <v>16</v>
      </c>
      <c r="F125" s="29">
        <v>2</v>
      </c>
      <c r="G125" s="21">
        <v>29822</v>
      </c>
      <c r="H125" s="21">
        <v>208</v>
      </c>
      <c r="I125" s="22">
        <f t="shared" si="33"/>
        <v>6.709677419354839</v>
      </c>
      <c r="J125" s="23">
        <v>87</v>
      </c>
      <c r="K125" s="23">
        <v>142</v>
      </c>
      <c r="L125" s="22">
        <f t="shared" si="57"/>
        <v>2.806451612903226</v>
      </c>
      <c r="M125" s="22">
        <f t="shared" si="58"/>
        <v>4.580645161290323</v>
      </c>
      <c r="N125" s="24">
        <f t="shared" si="59"/>
        <v>0.61267605633802813</v>
      </c>
      <c r="O125" s="21">
        <v>87</v>
      </c>
      <c r="P125" s="23">
        <v>142</v>
      </c>
      <c r="Q125" s="22">
        <f t="shared" si="34"/>
        <v>2.806451612903226</v>
      </c>
      <c r="R125" s="22">
        <f t="shared" si="35"/>
        <v>4.580645161290323</v>
      </c>
      <c r="S125" s="24">
        <f t="shared" si="36"/>
        <v>0.61267605633802813</v>
      </c>
      <c r="T125" s="23">
        <v>0</v>
      </c>
      <c r="U125" s="23">
        <v>0</v>
      </c>
      <c r="V125" s="22">
        <f t="shared" si="37"/>
        <v>0</v>
      </c>
      <c r="W125" s="22">
        <f t="shared" si="38"/>
        <v>0</v>
      </c>
      <c r="X125" s="24" t="e">
        <f t="shared" si="39"/>
        <v>#DIV/0!</v>
      </c>
      <c r="Y125" s="15">
        <v>34</v>
      </c>
      <c r="Z125" s="15">
        <v>57</v>
      </c>
      <c r="AA125" s="22">
        <f t="shared" si="40"/>
        <v>1.096774193548387</v>
      </c>
      <c r="AB125" s="22">
        <f t="shared" si="41"/>
        <v>1.8387096774193548</v>
      </c>
      <c r="AC125" s="24">
        <f t="shared" si="42"/>
        <v>0.59649122807017541</v>
      </c>
      <c r="AD125" s="23">
        <v>154</v>
      </c>
      <c r="AE125" s="22">
        <f t="shared" si="43"/>
        <v>4.967741935483871</v>
      </c>
      <c r="AF125" s="23">
        <v>43</v>
      </c>
      <c r="AG125" s="22">
        <f t="shared" si="44"/>
        <v>1.3870967741935485</v>
      </c>
      <c r="AH125" s="23">
        <v>111</v>
      </c>
      <c r="AI125" s="22">
        <f t="shared" si="45"/>
        <v>3.5806451612903225</v>
      </c>
      <c r="AJ125" s="23">
        <v>34</v>
      </c>
      <c r="AK125" s="22">
        <f t="shared" si="46"/>
        <v>1.096774193548387</v>
      </c>
      <c r="AL125" s="23">
        <v>10</v>
      </c>
      <c r="AM125" s="22">
        <f t="shared" si="47"/>
        <v>0.32258064516129031</v>
      </c>
      <c r="AN125" s="13">
        <v>19</v>
      </c>
      <c r="AO125" s="22">
        <f t="shared" si="48"/>
        <v>0.61290322580645162</v>
      </c>
      <c r="AP125" s="12">
        <v>39</v>
      </c>
      <c r="AQ125" s="22">
        <f t="shared" si="49"/>
        <v>1.2580645161290323</v>
      </c>
      <c r="AR125" s="23">
        <v>49</v>
      </c>
      <c r="AS125" s="22">
        <f t="shared" si="50"/>
        <v>1.5806451612903225</v>
      </c>
      <c r="AT125" s="25">
        <v>1.5926023680045895</v>
      </c>
      <c r="AU125" s="25">
        <v>0.12816865680407133</v>
      </c>
      <c r="AV125" s="25">
        <v>0.6891473103877771</v>
      </c>
      <c r="AW125" s="25">
        <v>0.90345505761681244</v>
      </c>
      <c r="AX125" s="25">
        <v>109.73497666984994</v>
      </c>
      <c r="AY125" s="25">
        <v>103.62486540427358</v>
      </c>
      <c r="AZ125" s="25">
        <v>9.5086074583266154</v>
      </c>
      <c r="BA125" s="25">
        <v>9.935483870967742</v>
      </c>
      <c r="BB125" s="25">
        <v>24.787069948360269</v>
      </c>
      <c r="BC125" s="24">
        <v>0.62245630835527888</v>
      </c>
      <c r="BD125" s="24">
        <v>0.61267605633802813</v>
      </c>
      <c r="BE125" s="25">
        <v>10.716376899468447</v>
      </c>
      <c r="BF125" s="24">
        <v>0</v>
      </c>
      <c r="BG125" s="24">
        <v>0.40140845070422537</v>
      </c>
      <c r="BH125" s="25">
        <v>5.5844095406823158</v>
      </c>
      <c r="BI125" s="25">
        <v>14.415568814319466</v>
      </c>
      <c r="BJ125" s="25">
        <v>9.3184473490076201</v>
      </c>
      <c r="BK125" s="25">
        <v>5.3551670142712586</v>
      </c>
      <c r="BL125" s="25">
        <v>1.0778077762817</v>
      </c>
      <c r="BM125" s="25">
        <v>2.0744528403171727</v>
      </c>
      <c r="BN125" s="25">
        <v>18.924689440993788</v>
      </c>
      <c r="BO125" s="26" t="s">
        <v>249</v>
      </c>
      <c r="BP125" s="26"/>
      <c r="BQ125" s="32" t="s">
        <v>266</v>
      </c>
      <c r="BR125" s="32">
        <v>460.35</v>
      </c>
      <c r="BS125" s="32">
        <v>592.25</v>
      </c>
      <c r="BT125" s="32">
        <v>131.9</v>
      </c>
      <c r="BU125" s="36">
        <f t="shared" si="51"/>
        <v>14.850000000000001</v>
      </c>
      <c r="BV125" s="36">
        <f t="shared" si="52"/>
        <v>19.10483870967742</v>
      </c>
      <c r="BW125" s="36">
        <f t="shared" si="53"/>
        <v>4.2548387096774194</v>
      </c>
      <c r="BX125" s="37">
        <f t="shared" si="54"/>
        <v>37.047817047817048</v>
      </c>
      <c r="BY125" s="37">
        <f t="shared" si="55"/>
        <v>47.662799275702504</v>
      </c>
      <c r="BZ125" s="37">
        <f t="shared" si="56"/>
        <v>10.614982227885454</v>
      </c>
      <c r="CA125" s="35">
        <v>19</v>
      </c>
      <c r="CB125" s="35">
        <v>12</v>
      </c>
    </row>
    <row r="126" spans="1:80" x14ac:dyDescent="0.4">
      <c r="A126" s="16" t="s">
        <v>178</v>
      </c>
      <c r="B126" s="16" t="s">
        <v>253</v>
      </c>
      <c r="C126" s="16" t="s">
        <v>197</v>
      </c>
      <c r="D126" s="23">
        <v>2</v>
      </c>
      <c r="E126" s="23">
        <v>3</v>
      </c>
      <c r="F126" s="23">
        <v>12</v>
      </c>
      <c r="G126" s="21">
        <v>384</v>
      </c>
      <c r="H126" s="21">
        <v>3</v>
      </c>
      <c r="I126" s="22">
        <f t="shared" si="33"/>
        <v>1.5</v>
      </c>
      <c r="J126" s="23">
        <v>1</v>
      </c>
      <c r="K126" s="23">
        <v>2</v>
      </c>
      <c r="L126" s="22">
        <f t="shared" si="57"/>
        <v>0.5</v>
      </c>
      <c r="M126" s="22">
        <f t="shared" si="58"/>
        <v>1</v>
      </c>
      <c r="N126" s="24">
        <f t="shared" si="59"/>
        <v>0.5</v>
      </c>
      <c r="O126" s="21">
        <v>0</v>
      </c>
      <c r="P126" s="23">
        <v>0</v>
      </c>
      <c r="Q126" s="22">
        <f t="shared" si="34"/>
        <v>0</v>
      </c>
      <c r="R126" s="22">
        <f t="shared" si="35"/>
        <v>0</v>
      </c>
      <c r="S126" s="24" t="e">
        <f t="shared" si="36"/>
        <v>#DIV/0!</v>
      </c>
      <c r="T126" s="23">
        <v>1</v>
      </c>
      <c r="U126" s="23">
        <v>2</v>
      </c>
      <c r="V126" s="22">
        <f t="shared" si="37"/>
        <v>0.5</v>
      </c>
      <c r="W126" s="22">
        <f t="shared" si="38"/>
        <v>1</v>
      </c>
      <c r="X126" s="24">
        <f t="shared" si="39"/>
        <v>0.5</v>
      </c>
      <c r="Y126" s="23">
        <v>0</v>
      </c>
      <c r="Z126" s="23">
        <v>0</v>
      </c>
      <c r="AA126" s="22">
        <f t="shared" si="40"/>
        <v>0</v>
      </c>
      <c r="AB126" s="22">
        <f t="shared" si="41"/>
        <v>0</v>
      </c>
      <c r="AC126" s="24" t="e">
        <f t="shared" si="42"/>
        <v>#DIV/0!</v>
      </c>
      <c r="AD126" s="23">
        <v>1</v>
      </c>
      <c r="AE126" s="22">
        <f t="shared" si="43"/>
        <v>0.5</v>
      </c>
      <c r="AF126" s="23">
        <v>0</v>
      </c>
      <c r="AG126" s="22">
        <f t="shared" si="44"/>
        <v>0</v>
      </c>
      <c r="AH126" s="23">
        <v>1</v>
      </c>
      <c r="AI126" s="22">
        <f t="shared" si="45"/>
        <v>0.5</v>
      </c>
      <c r="AJ126" s="23">
        <v>1</v>
      </c>
      <c r="AK126" s="22">
        <f t="shared" si="46"/>
        <v>0.5</v>
      </c>
      <c r="AL126" s="23">
        <v>1</v>
      </c>
      <c r="AM126" s="22">
        <f t="shared" si="47"/>
        <v>0.5</v>
      </c>
      <c r="AN126" s="23">
        <v>0</v>
      </c>
      <c r="AO126" s="22">
        <f t="shared" si="48"/>
        <v>0</v>
      </c>
      <c r="AP126" s="10">
        <v>1</v>
      </c>
      <c r="AQ126" s="22">
        <f t="shared" si="49"/>
        <v>0.5</v>
      </c>
      <c r="AR126" s="23">
        <v>2</v>
      </c>
      <c r="AS126" s="22">
        <f t="shared" si="50"/>
        <v>1</v>
      </c>
      <c r="AT126" s="25">
        <v>2.4377951407480721E-2</v>
      </c>
      <c r="AU126" s="25">
        <v>0.15236219629675449</v>
      </c>
      <c r="AV126" s="25">
        <v>2.0267529172400918E-3</v>
      </c>
      <c r="AW126" s="25">
        <v>2.2351198490240629E-2</v>
      </c>
      <c r="AX126" s="25">
        <v>101.56423600893167</v>
      </c>
      <c r="AY126" s="25">
        <v>91.461135955919133</v>
      </c>
      <c r="AZ126" s="25">
        <v>0.51798151457438713</v>
      </c>
      <c r="BA126" s="25">
        <v>2</v>
      </c>
      <c r="BB126" s="25">
        <v>25</v>
      </c>
      <c r="BC126" s="24">
        <v>0.75</v>
      </c>
      <c r="BD126" s="24">
        <v>0.75</v>
      </c>
      <c r="BE126" s="25">
        <v>0.781640820410205</v>
      </c>
      <c r="BF126" s="24">
        <v>1</v>
      </c>
      <c r="BG126" s="24">
        <v>0</v>
      </c>
      <c r="BH126" s="25">
        <v>0</v>
      </c>
      <c r="BI126" s="25">
        <v>0.65070275897969809</v>
      </c>
      <c r="BJ126" s="25">
        <v>0.30317729808391947</v>
      </c>
      <c r="BK126" s="25">
        <v>0.69890970086664794</v>
      </c>
      <c r="BL126" s="25">
        <v>8.3704123709043898</v>
      </c>
      <c r="BM126" s="25">
        <v>0</v>
      </c>
      <c r="BN126" s="25">
        <v>33.333333333333336</v>
      </c>
      <c r="BO126" s="26" t="s">
        <v>176</v>
      </c>
      <c r="BP126" s="27"/>
      <c r="BQ126" s="32" t="s">
        <v>267</v>
      </c>
      <c r="BR126" s="32">
        <v>5.7</v>
      </c>
      <c r="BS126" s="32">
        <v>8.1</v>
      </c>
      <c r="BT126" s="32">
        <v>2.4</v>
      </c>
      <c r="BU126" s="36">
        <f t="shared" si="51"/>
        <v>2.8499999999999996</v>
      </c>
      <c r="BV126" s="36">
        <f t="shared" si="52"/>
        <v>4.05</v>
      </c>
      <c r="BW126" s="36">
        <f t="shared" si="53"/>
        <v>1.2</v>
      </c>
      <c r="BX126" s="37">
        <f t="shared" si="54"/>
        <v>35.625</v>
      </c>
      <c r="BY126" s="37">
        <f t="shared" si="55"/>
        <v>50.625</v>
      </c>
      <c r="BZ126" s="37">
        <f t="shared" si="56"/>
        <v>15</v>
      </c>
      <c r="CA126" s="34">
        <v>2</v>
      </c>
      <c r="CB126" s="34">
        <v>0</v>
      </c>
    </row>
    <row r="127" spans="1:80" x14ac:dyDescent="0.4">
      <c r="A127" s="16" t="s">
        <v>178</v>
      </c>
      <c r="B127" s="16" t="s">
        <v>253</v>
      </c>
      <c r="C127" s="16" t="s">
        <v>93</v>
      </c>
      <c r="D127" s="23">
        <v>52</v>
      </c>
      <c r="E127" s="23">
        <v>28</v>
      </c>
      <c r="F127" s="23">
        <v>33</v>
      </c>
      <c r="G127" s="21">
        <v>89076</v>
      </c>
      <c r="H127" s="21">
        <v>625</v>
      </c>
      <c r="I127" s="22">
        <f t="shared" si="33"/>
        <v>12.01923076923077</v>
      </c>
      <c r="J127" s="23">
        <v>251</v>
      </c>
      <c r="K127" s="23">
        <v>511</v>
      </c>
      <c r="L127" s="22">
        <f t="shared" si="57"/>
        <v>4.8269230769230766</v>
      </c>
      <c r="M127" s="22">
        <f t="shared" si="58"/>
        <v>9.8269230769230766</v>
      </c>
      <c r="N127" s="24">
        <f t="shared" si="59"/>
        <v>0.49119373776908021</v>
      </c>
      <c r="O127" s="21">
        <v>203</v>
      </c>
      <c r="P127" s="23">
        <v>365</v>
      </c>
      <c r="Q127" s="22">
        <f t="shared" si="34"/>
        <v>3.9038461538461537</v>
      </c>
      <c r="R127" s="22">
        <f t="shared" si="35"/>
        <v>7.0192307692307692</v>
      </c>
      <c r="S127" s="24">
        <f t="shared" si="36"/>
        <v>0.55616438356164388</v>
      </c>
      <c r="T127" s="23">
        <v>48</v>
      </c>
      <c r="U127" s="23">
        <v>146</v>
      </c>
      <c r="V127" s="22">
        <f t="shared" si="37"/>
        <v>0.92307692307692313</v>
      </c>
      <c r="W127" s="22">
        <f t="shared" si="38"/>
        <v>2.8076923076923075</v>
      </c>
      <c r="X127" s="24">
        <f t="shared" si="39"/>
        <v>0.32876712328767121</v>
      </c>
      <c r="Y127" s="23">
        <v>75</v>
      </c>
      <c r="Z127" s="23">
        <v>100</v>
      </c>
      <c r="AA127" s="22">
        <f t="shared" si="40"/>
        <v>1.4423076923076923</v>
      </c>
      <c r="AB127" s="22">
        <f t="shared" si="41"/>
        <v>1.9230769230769231</v>
      </c>
      <c r="AC127" s="24">
        <f t="shared" si="42"/>
        <v>0.75</v>
      </c>
      <c r="AD127" s="23">
        <v>220</v>
      </c>
      <c r="AE127" s="22">
        <f t="shared" si="43"/>
        <v>4.2307692307692308</v>
      </c>
      <c r="AF127" s="23">
        <v>52</v>
      </c>
      <c r="AG127" s="22">
        <f t="shared" si="44"/>
        <v>1</v>
      </c>
      <c r="AH127" s="23">
        <v>168</v>
      </c>
      <c r="AI127" s="22">
        <f t="shared" si="45"/>
        <v>3.2307692307692308</v>
      </c>
      <c r="AJ127" s="23">
        <v>167</v>
      </c>
      <c r="AK127" s="22">
        <f t="shared" si="46"/>
        <v>3.2115384615384617</v>
      </c>
      <c r="AL127" s="23">
        <v>46</v>
      </c>
      <c r="AM127" s="22">
        <f t="shared" si="47"/>
        <v>0.88461538461538458</v>
      </c>
      <c r="AN127" s="23">
        <v>13</v>
      </c>
      <c r="AO127" s="22">
        <f t="shared" si="48"/>
        <v>0.25</v>
      </c>
      <c r="AP127" s="10">
        <v>92</v>
      </c>
      <c r="AQ127" s="22">
        <f t="shared" si="49"/>
        <v>1.7692307692307692</v>
      </c>
      <c r="AR127" s="23">
        <v>98</v>
      </c>
      <c r="AS127" s="22">
        <f t="shared" si="50"/>
        <v>1.8846153846153846</v>
      </c>
      <c r="AT127" s="25">
        <v>3.7481060457024364</v>
      </c>
      <c r="AU127" s="25">
        <v>0.10098628709962108</v>
      </c>
      <c r="AV127" s="25">
        <v>2.0696038049200562</v>
      </c>
      <c r="AW127" s="25">
        <v>1.67850224078238</v>
      </c>
      <c r="AX127" s="25">
        <v>109.53718424971215</v>
      </c>
      <c r="AY127" s="25">
        <v>108.61538910588537</v>
      </c>
      <c r="AZ127" s="25">
        <v>13.675845115186981</v>
      </c>
      <c r="BA127" s="25">
        <v>13.346153846153847</v>
      </c>
      <c r="BB127" s="25">
        <v>18.69863936413849</v>
      </c>
      <c r="BC127" s="24">
        <v>0.56306306306306309</v>
      </c>
      <c r="BD127" s="24">
        <v>0.53816046966731901</v>
      </c>
      <c r="BE127" s="25">
        <v>18.894444303295838</v>
      </c>
      <c r="BF127" s="24">
        <v>0.2857142857142857</v>
      </c>
      <c r="BG127" s="24">
        <v>0.19569471624266144</v>
      </c>
      <c r="BH127" s="25">
        <v>3.7925372712512</v>
      </c>
      <c r="BI127" s="25">
        <v>12.252812722503876</v>
      </c>
      <c r="BJ127" s="25">
        <v>7.475895546447612</v>
      </c>
      <c r="BK127" s="25">
        <v>16.143629972534079</v>
      </c>
      <c r="BL127" s="25">
        <v>1.6598743109216301</v>
      </c>
      <c r="BM127" s="25">
        <v>0.79709672845443713</v>
      </c>
      <c r="BN127" s="25">
        <v>14.219474497681608</v>
      </c>
      <c r="BO127" s="26" t="s">
        <v>176</v>
      </c>
      <c r="BP127" s="27"/>
      <c r="BQ127" s="32" t="s">
        <v>267</v>
      </c>
      <c r="BR127" s="32">
        <v>1144.96</v>
      </c>
      <c r="BS127" s="32">
        <v>1553.16</v>
      </c>
      <c r="BT127" s="32">
        <v>408.2</v>
      </c>
      <c r="BU127" s="36">
        <f t="shared" si="51"/>
        <v>22.018461538461537</v>
      </c>
      <c r="BV127" s="36">
        <f t="shared" si="52"/>
        <v>29.868461538461538</v>
      </c>
      <c r="BW127" s="36">
        <f t="shared" si="53"/>
        <v>7.85</v>
      </c>
      <c r="BX127" s="37">
        <f t="shared" si="54"/>
        <v>30.848982891014415</v>
      </c>
      <c r="BY127" s="37">
        <f t="shared" si="55"/>
        <v>41.8472315775293</v>
      </c>
      <c r="BZ127" s="37">
        <f t="shared" si="56"/>
        <v>10.998248686514886</v>
      </c>
      <c r="CA127" s="35">
        <v>30</v>
      </c>
      <c r="CB127" s="35">
        <v>22</v>
      </c>
    </row>
    <row r="128" spans="1:80" x14ac:dyDescent="0.4">
      <c r="A128" s="16" t="s">
        <v>178</v>
      </c>
      <c r="B128" s="16" t="s">
        <v>253</v>
      </c>
      <c r="C128" s="16" t="s">
        <v>122</v>
      </c>
      <c r="D128" s="23">
        <v>2</v>
      </c>
      <c r="E128" s="23">
        <v>2</v>
      </c>
      <c r="F128" s="23">
        <v>36</v>
      </c>
      <c r="G128" s="21">
        <v>312</v>
      </c>
      <c r="H128" s="21">
        <v>0</v>
      </c>
      <c r="I128" s="22">
        <f t="shared" si="33"/>
        <v>0</v>
      </c>
      <c r="J128" s="23">
        <v>0</v>
      </c>
      <c r="K128" s="23">
        <v>1</v>
      </c>
      <c r="L128" s="22">
        <f t="shared" si="57"/>
        <v>0</v>
      </c>
      <c r="M128" s="22">
        <f t="shared" si="58"/>
        <v>0.5</v>
      </c>
      <c r="N128" s="24">
        <f t="shared" si="59"/>
        <v>0</v>
      </c>
      <c r="O128" s="21">
        <v>0</v>
      </c>
      <c r="P128" s="23">
        <v>1</v>
      </c>
      <c r="Q128" s="22">
        <f t="shared" si="34"/>
        <v>0</v>
      </c>
      <c r="R128" s="22">
        <f t="shared" si="35"/>
        <v>0.5</v>
      </c>
      <c r="S128" s="24">
        <f t="shared" si="36"/>
        <v>0</v>
      </c>
      <c r="T128" s="23">
        <v>0</v>
      </c>
      <c r="U128" s="23">
        <v>0</v>
      </c>
      <c r="V128" s="22">
        <f t="shared" si="37"/>
        <v>0</v>
      </c>
      <c r="W128" s="22">
        <f t="shared" si="38"/>
        <v>0</v>
      </c>
      <c r="X128" s="24" t="e">
        <f t="shared" si="39"/>
        <v>#DIV/0!</v>
      </c>
      <c r="Y128" s="23">
        <v>0</v>
      </c>
      <c r="Z128" s="23">
        <v>0</v>
      </c>
      <c r="AA128" s="22">
        <f t="shared" si="40"/>
        <v>0</v>
      </c>
      <c r="AB128" s="22">
        <f t="shared" si="41"/>
        <v>0</v>
      </c>
      <c r="AC128" s="24" t="e">
        <f t="shared" si="42"/>
        <v>#DIV/0!</v>
      </c>
      <c r="AD128" s="23">
        <v>1</v>
      </c>
      <c r="AE128" s="22">
        <f t="shared" si="43"/>
        <v>0.5</v>
      </c>
      <c r="AF128" s="23">
        <v>0</v>
      </c>
      <c r="AG128" s="22">
        <f t="shared" si="44"/>
        <v>0</v>
      </c>
      <c r="AH128" s="23">
        <v>1</v>
      </c>
      <c r="AI128" s="22">
        <f t="shared" si="45"/>
        <v>0.5</v>
      </c>
      <c r="AJ128" s="23">
        <v>0</v>
      </c>
      <c r="AK128" s="22">
        <f t="shared" si="46"/>
        <v>0</v>
      </c>
      <c r="AL128" s="23">
        <v>0</v>
      </c>
      <c r="AM128" s="22">
        <f t="shared" si="47"/>
        <v>0</v>
      </c>
      <c r="AN128" s="23">
        <v>0</v>
      </c>
      <c r="AO128" s="22">
        <f t="shared" si="48"/>
        <v>0</v>
      </c>
      <c r="AP128" s="10">
        <v>0</v>
      </c>
      <c r="AQ128" s="22">
        <f t="shared" si="49"/>
        <v>0</v>
      </c>
      <c r="AR128" s="23">
        <v>1</v>
      </c>
      <c r="AS128" s="22">
        <f t="shared" si="50"/>
        <v>0.5</v>
      </c>
      <c r="AT128" s="25">
        <v>-1.973956257722366E-2</v>
      </c>
      <c r="AU128" s="25">
        <v>-0.15184278905556661</v>
      </c>
      <c r="AV128" s="25">
        <v>-2.5399794887156889E-2</v>
      </c>
      <c r="AW128" s="25">
        <v>5.6602323099332287E-3</v>
      </c>
      <c r="AX128" s="25">
        <v>0</v>
      </c>
      <c r="AY128" s="25">
        <v>108.92119558078176</v>
      </c>
      <c r="AZ128" s="25">
        <v>-0.36114457647453135</v>
      </c>
      <c r="BA128" s="25">
        <v>0</v>
      </c>
      <c r="BB128" s="25">
        <v>0</v>
      </c>
      <c r="BC128" s="24">
        <v>0</v>
      </c>
      <c r="BD128" s="24">
        <v>0</v>
      </c>
      <c r="BE128" s="25">
        <v>0.32067315709136612</v>
      </c>
      <c r="BF128" s="24">
        <v>0</v>
      </c>
      <c r="BG128" s="24">
        <v>0</v>
      </c>
      <c r="BH128" s="25">
        <v>0</v>
      </c>
      <c r="BI128" s="25">
        <v>0.80086493412885928</v>
      </c>
      <c r="BJ128" s="25">
        <v>0.37314128994943935</v>
      </c>
      <c r="BK128" s="25">
        <v>0</v>
      </c>
      <c r="BL128" s="25">
        <v>0</v>
      </c>
      <c r="BM128" s="25">
        <v>0</v>
      </c>
      <c r="BN128" s="25">
        <v>0</v>
      </c>
      <c r="BO128" s="26" t="s">
        <v>176</v>
      </c>
      <c r="BP128" s="26"/>
      <c r="BQ128" s="33" t="s">
        <v>268</v>
      </c>
      <c r="BR128" s="33">
        <v>1.3</v>
      </c>
      <c r="BS128" s="33">
        <v>2.2999999999999998</v>
      </c>
      <c r="BT128" s="33">
        <v>1</v>
      </c>
      <c r="BU128" s="36">
        <f t="shared" si="51"/>
        <v>0.64999999999999991</v>
      </c>
      <c r="BV128" s="36">
        <f t="shared" si="52"/>
        <v>1.1499999999999999</v>
      </c>
      <c r="BW128" s="36">
        <f t="shared" si="53"/>
        <v>0.5</v>
      </c>
      <c r="BX128" s="37">
        <f t="shared" si="54"/>
        <v>10</v>
      </c>
      <c r="BY128" s="37">
        <f t="shared" si="55"/>
        <v>17.692307692307693</v>
      </c>
      <c r="BZ128" s="37">
        <f t="shared" si="56"/>
        <v>7.6923076923076925</v>
      </c>
      <c r="CA128" s="34">
        <v>0</v>
      </c>
      <c r="CB128" s="34">
        <v>2</v>
      </c>
    </row>
    <row r="129" spans="1:80" x14ac:dyDescent="0.4">
      <c r="A129" s="16" t="s">
        <v>178</v>
      </c>
      <c r="B129" s="16" t="s">
        <v>253</v>
      </c>
      <c r="C129" s="16" t="s">
        <v>198</v>
      </c>
      <c r="D129" s="29">
        <v>53</v>
      </c>
      <c r="E129" s="29">
        <v>17</v>
      </c>
      <c r="F129" s="29">
        <v>36</v>
      </c>
      <c r="G129" s="21">
        <v>55968</v>
      </c>
      <c r="H129" s="21">
        <v>219</v>
      </c>
      <c r="I129" s="22">
        <f t="shared" si="33"/>
        <v>4.132075471698113</v>
      </c>
      <c r="J129" s="23">
        <v>76</v>
      </c>
      <c r="K129" s="23">
        <v>178</v>
      </c>
      <c r="L129" s="22">
        <f t="shared" si="57"/>
        <v>1.4339622641509433</v>
      </c>
      <c r="M129" s="22">
        <f t="shared" si="58"/>
        <v>3.358490566037736</v>
      </c>
      <c r="N129" s="24">
        <f t="shared" si="59"/>
        <v>0.42696629213483145</v>
      </c>
      <c r="O129" s="21">
        <v>42</v>
      </c>
      <c r="P129" s="23">
        <v>96</v>
      </c>
      <c r="Q129" s="22">
        <f t="shared" si="34"/>
        <v>0.79245283018867929</v>
      </c>
      <c r="R129" s="22">
        <f t="shared" si="35"/>
        <v>1.8113207547169812</v>
      </c>
      <c r="S129" s="24">
        <f t="shared" si="36"/>
        <v>0.4375</v>
      </c>
      <c r="T129" s="23">
        <v>34</v>
      </c>
      <c r="U129" s="23">
        <v>82</v>
      </c>
      <c r="V129" s="22">
        <f t="shared" si="37"/>
        <v>0.64150943396226412</v>
      </c>
      <c r="W129" s="22">
        <f t="shared" si="38"/>
        <v>1.5471698113207548</v>
      </c>
      <c r="X129" s="24">
        <f t="shared" si="39"/>
        <v>0.41463414634146339</v>
      </c>
      <c r="Y129" s="15">
        <v>33</v>
      </c>
      <c r="Z129" s="15">
        <v>46</v>
      </c>
      <c r="AA129" s="22">
        <f t="shared" si="40"/>
        <v>0.62264150943396224</v>
      </c>
      <c r="AB129" s="22">
        <f t="shared" si="41"/>
        <v>0.86792452830188682</v>
      </c>
      <c r="AC129" s="24">
        <f t="shared" si="42"/>
        <v>0.71739130434782605</v>
      </c>
      <c r="AD129" s="23">
        <v>82</v>
      </c>
      <c r="AE129" s="22">
        <f t="shared" si="43"/>
        <v>1.5471698113207548</v>
      </c>
      <c r="AF129" s="23">
        <v>21</v>
      </c>
      <c r="AG129" s="22">
        <f t="shared" si="44"/>
        <v>0.39622641509433965</v>
      </c>
      <c r="AH129" s="23">
        <v>61</v>
      </c>
      <c r="AI129" s="22">
        <f t="shared" si="45"/>
        <v>1.1509433962264151</v>
      </c>
      <c r="AJ129" s="23">
        <v>171</v>
      </c>
      <c r="AK129" s="22">
        <f t="shared" si="46"/>
        <v>3.2264150943396226</v>
      </c>
      <c r="AL129" s="23">
        <v>33</v>
      </c>
      <c r="AM129" s="22">
        <f t="shared" si="47"/>
        <v>0.62264150943396224</v>
      </c>
      <c r="AN129" s="13">
        <v>0</v>
      </c>
      <c r="AO129" s="22">
        <f t="shared" si="48"/>
        <v>0</v>
      </c>
      <c r="AP129" s="8">
        <v>66</v>
      </c>
      <c r="AQ129" s="22">
        <f t="shared" si="49"/>
        <v>1.2452830188679245</v>
      </c>
      <c r="AR129" s="23">
        <v>92</v>
      </c>
      <c r="AS129" s="22">
        <f t="shared" si="50"/>
        <v>1.7358490566037736</v>
      </c>
      <c r="AT129" s="25">
        <v>1.5830584585042908</v>
      </c>
      <c r="AU129" s="25">
        <v>6.7884153452156551E-2</v>
      </c>
      <c r="AV129" s="25">
        <v>0.76326976251632417</v>
      </c>
      <c r="AW129" s="25">
        <v>0.81978869598796666</v>
      </c>
      <c r="AX129" s="25">
        <v>107.37403090030422</v>
      </c>
      <c r="AY129" s="25">
        <v>110.44401526816898</v>
      </c>
      <c r="AZ129" s="25">
        <v>8.5889144857602133</v>
      </c>
      <c r="BA129" s="25">
        <v>6.1132075471698117</v>
      </c>
      <c r="BB129" s="25">
        <v>13.893653516295025</v>
      </c>
      <c r="BC129" s="24">
        <v>0.55236077481840196</v>
      </c>
      <c r="BD129" s="24">
        <v>0.52247191011235961</v>
      </c>
      <c r="BE129" s="25">
        <v>12.517622447587428</v>
      </c>
      <c r="BF129" s="24">
        <v>0.4606741573033708</v>
      </c>
      <c r="BG129" s="24">
        <v>0.25842696629213485</v>
      </c>
      <c r="BH129" s="25">
        <v>2.4845014433770287</v>
      </c>
      <c r="BI129" s="25">
        <v>7.2168851450475611</v>
      </c>
      <c r="BJ129" s="25">
        <v>4.5200978987057088</v>
      </c>
      <c r="BK129" s="25">
        <v>23.868014069566186</v>
      </c>
      <c r="BL129" s="25">
        <v>1.8951877066198615</v>
      </c>
      <c r="BM129" s="25">
        <v>0</v>
      </c>
      <c r="BN129" s="25">
        <v>24.97729336966394</v>
      </c>
      <c r="BO129" s="26" t="s">
        <v>176</v>
      </c>
      <c r="BP129" s="27"/>
      <c r="BQ129" s="33" t="s">
        <v>267</v>
      </c>
      <c r="BR129" s="33">
        <v>639.69000000000005</v>
      </c>
      <c r="BS129" s="33">
        <v>846.29</v>
      </c>
      <c r="BT129" s="33">
        <v>206.6</v>
      </c>
      <c r="BU129" s="36">
        <f t="shared" si="51"/>
        <v>12.069622641509435</v>
      </c>
      <c r="BV129" s="36">
        <f t="shared" si="52"/>
        <v>15.967735849056604</v>
      </c>
      <c r="BW129" s="36">
        <f t="shared" si="53"/>
        <v>3.8981132075471696</v>
      </c>
      <c r="BX129" s="37">
        <f t="shared" si="54"/>
        <v>27.430960548885075</v>
      </c>
      <c r="BY129" s="37">
        <f t="shared" si="55"/>
        <v>36.290308747855917</v>
      </c>
      <c r="BZ129" s="37">
        <f t="shared" si="56"/>
        <v>8.8593481989708405</v>
      </c>
      <c r="CA129" s="35">
        <v>29</v>
      </c>
      <c r="CB129" s="35">
        <v>24</v>
      </c>
    </row>
    <row r="130" spans="1:80" x14ac:dyDescent="0.4">
      <c r="A130" s="16" t="s">
        <v>178</v>
      </c>
      <c r="B130" s="16" t="s">
        <v>253</v>
      </c>
      <c r="C130" s="16" t="s">
        <v>92</v>
      </c>
      <c r="D130" s="23">
        <v>51</v>
      </c>
      <c r="E130" s="23">
        <v>14</v>
      </c>
      <c r="F130" s="23">
        <v>55</v>
      </c>
      <c r="G130" s="21">
        <v>45645</v>
      </c>
      <c r="H130" s="21">
        <v>345</v>
      </c>
      <c r="I130" s="22">
        <f t="shared" ref="I130:I193" si="60">H130/$D130</f>
        <v>6.7647058823529411</v>
      </c>
      <c r="J130" s="23">
        <v>142</v>
      </c>
      <c r="K130" s="23">
        <v>291</v>
      </c>
      <c r="L130" s="22">
        <f t="shared" si="57"/>
        <v>2.784313725490196</v>
      </c>
      <c r="M130" s="22">
        <f t="shared" si="58"/>
        <v>5.7058823529411766</v>
      </c>
      <c r="N130" s="24">
        <f t="shared" si="59"/>
        <v>0.48797250859106528</v>
      </c>
      <c r="O130" s="21">
        <v>142</v>
      </c>
      <c r="P130" s="23">
        <v>291</v>
      </c>
      <c r="Q130" s="22">
        <f t="shared" ref="Q130:Q193" si="61">O130/$D130</f>
        <v>2.784313725490196</v>
      </c>
      <c r="R130" s="22">
        <f t="shared" ref="R130:R193" si="62">P130/$D130</f>
        <v>5.7058823529411766</v>
      </c>
      <c r="S130" s="24">
        <f t="shared" ref="S130:S193" si="63">O130/P130</f>
        <v>0.48797250859106528</v>
      </c>
      <c r="T130" s="23">
        <v>0</v>
      </c>
      <c r="U130" s="23">
        <v>0</v>
      </c>
      <c r="V130" s="22">
        <f t="shared" ref="V130:V193" si="64">T130/$D130</f>
        <v>0</v>
      </c>
      <c r="W130" s="22">
        <f t="shared" ref="W130:W193" si="65">U130/$D130</f>
        <v>0</v>
      </c>
      <c r="X130" s="24" t="e">
        <f t="shared" ref="X130:X193" si="66">T130/U130</f>
        <v>#DIV/0!</v>
      </c>
      <c r="Y130" s="23">
        <v>61</v>
      </c>
      <c r="Z130" s="23">
        <v>104</v>
      </c>
      <c r="AA130" s="22">
        <f t="shared" ref="AA130:AA193" si="67">Y130/$D130</f>
        <v>1.196078431372549</v>
      </c>
      <c r="AB130" s="22">
        <f t="shared" ref="AB130:AB193" si="68">Z130/$D130</f>
        <v>2.0392156862745097</v>
      </c>
      <c r="AC130" s="24">
        <f t="shared" ref="AC130:AC193" si="69">Y130/Z130</f>
        <v>0.58653846153846156</v>
      </c>
      <c r="AD130" s="23">
        <v>193</v>
      </c>
      <c r="AE130" s="22">
        <f t="shared" ref="AE130:AE193" si="70">AD130/$D130</f>
        <v>3.784313725490196</v>
      </c>
      <c r="AF130" s="23">
        <v>70</v>
      </c>
      <c r="AG130" s="22">
        <f t="shared" ref="AG130:AG193" si="71">AF130/$D130</f>
        <v>1.3725490196078431</v>
      </c>
      <c r="AH130" s="23">
        <v>123</v>
      </c>
      <c r="AI130" s="22">
        <f t="shared" ref="AI130:AI193" si="72">AH130/$D130</f>
        <v>2.4117647058823528</v>
      </c>
      <c r="AJ130" s="23">
        <v>52</v>
      </c>
      <c r="AK130" s="22">
        <f t="shared" ref="AK130:AK193" si="73">AJ130/$D130</f>
        <v>1.0196078431372548</v>
      </c>
      <c r="AL130" s="23">
        <v>32</v>
      </c>
      <c r="AM130" s="22">
        <f t="shared" ref="AM130:AM193" si="74">AL130/$D130</f>
        <v>0.62745098039215685</v>
      </c>
      <c r="AN130" s="23">
        <v>31</v>
      </c>
      <c r="AO130" s="22">
        <f t="shared" ref="AO130:AO193" si="75">AN130/$D130</f>
        <v>0.60784313725490191</v>
      </c>
      <c r="AP130" s="10">
        <v>47</v>
      </c>
      <c r="AQ130" s="22">
        <f t="shared" ref="AQ130:AQ193" si="76">AP130/$D130</f>
        <v>0.92156862745098034</v>
      </c>
      <c r="AR130" s="23">
        <v>115</v>
      </c>
      <c r="AS130" s="22">
        <f t="shared" ref="AS130:AS193" si="77">AR130/$D130</f>
        <v>2.2549019607843137</v>
      </c>
      <c r="AT130" s="25">
        <v>1.8900629347261373</v>
      </c>
      <c r="AU130" s="25">
        <v>9.937892525671442E-2</v>
      </c>
      <c r="AV130" s="25">
        <v>0.47482509637497072</v>
      </c>
      <c r="AW130" s="25">
        <v>1.4152378383511666</v>
      </c>
      <c r="AX130" s="25">
        <v>103.39782957366216</v>
      </c>
      <c r="AY130" s="25">
        <v>103.31527302719023</v>
      </c>
      <c r="AZ130" s="25">
        <v>13.384666238404758</v>
      </c>
      <c r="BA130" s="25">
        <v>8.117647058823529</v>
      </c>
      <c r="BB130" s="25">
        <v>21.767992113046336</v>
      </c>
      <c r="BC130" s="24">
        <v>0.51223423209407293</v>
      </c>
      <c r="BD130" s="24">
        <v>0.48797250859106528</v>
      </c>
      <c r="BE130" s="25">
        <v>21.449831060781786</v>
      </c>
      <c r="BF130" s="24">
        <v>0</v>
      </c>
      <c r="BG130" s="24">
        <v>0.35738831615120276</v>
      </c>
      <c r="BH130" s="25">
        <v>9.7714470175275334</v>
      </c>
      <c r="BI130" s="25">
        <v>17.169828330798378</v>
      </c>
      <c r="BJ130" s="25">
        <v>12.552556377427621</v>
      </c>
      <c r="BK130" s="25">
        <v>9.8183062634972202</v>
      </c>
      <c r="BL130" s="25">
        <v>2.2533821275862227</v>
      </c>
      <c r="BM130" s="25">
        <v>3.6380083860005139</v>
      </c>
      <c r="BN130" s="25">
        <v>12.247237856993955</v>
      </c>
      <c r="BO130" s="26" t="s">
        <v>176</v>
      </c>
      <c r="BP130" s="27"/>
      <c r="BQ130" s="32" t="s">
        <v>266</v>
      </c>
      <c r="BR130" s="32">
        <v>650.32000000000005</v>
      </c>
      <c r="BS130" s="32">
        <v>904.22</v>
      </c>
      <c r="BT130" s="32">
        <v>253.9</v>
      </c>
      <c r="BU130" s="36">
        <f t="shared" si="51"/>
        <v>12.751372549019608</v>
      </c>
      <c r="BV130" s="36">
        <f t="shared" si="52"/>
        <v>17.729803921568628</v>
      </c>
      <c r="BW130" s="36">
        <f t="shared" si="53"/>
        <v>4.9784313725490197</v>
      </c>
      <c r="BX130" s="37">
        <f t="shared" si="54"/>
        <v>34.193624712454813</v>
      </c>
      <c r="BY130" s="37">
        <f t="shared" si="55"/>
        <v>47.543608281301346</v>
      </c>
      <c r="BZ130" s="37">
        <f t="shared" si="56"/>
        <v>13.349983568846532</v>
      </c>
      <c r="CA130" s="34">
        <v>28</v>
      </c>
      <c r="CB130" s="34">
        <v>23</v>
      </c>
    </row>
    <row r="131" spans="1:80" x14ac:dyDescent="0.4">
      <c r="A131" s="16" t="s">
        <v>178</v>
      </c>
      <c r="B131" s="16" t="s">
        <v>253</v>
      </c>
      <c r="C131" s="16" t="s">
        <v>199</v>
      </c>
      <c r="D131" s="23">
        <v>11</v>
      </c>
      <c r="E131" s="23">
        <v>8</v>
      </c>
      <c r="F131" s="23">
        <v>14</v>
      </c>
      <c r="G131" s="21">
        <v>5434</v>
      </c>
      <c r="H131" s="21">
        <v>32</v>
      </c>
      <c r="I131" s="22">
        <f t="shared" si="60"/>
        <v>2.9090909090909092</v>
      </c>
      <c r="J131" s="23">
        <v>11</v>
      </c>
      <c r="K131" s="23">
        <v>30</v>
      </c>
      <c r="L131" s="22">
        <f t="shared" si="57"/>
        <v>1</v>
      </c>
      <c r="M131" s="22">
        <f t="shared" si="58"/>
        <v>2.7272727272727271</v>
      </c>
      <c r="N131" s="24">
        <f t="shared" si="59"/>
        <v>0.36666666666666664</v>
      </c>
      <c r="O131" s="21">
        <v>1</v>
      </c>
      <c r="P131" s="23">
        <v>2</v>
      </c>
      <c r="Q131" s="22">
        <f t="shared" si="61"/>
        <v>9.0909090909090912E-2</v>
      </c>
      <c r="R131" s="22">
        <f t="shared" si="62"/>
        <v>0.18181818181818182</v>
      </c>
      <c r="S131" s="24">
        <f t="shared" si="63"/>
        <v>0.5</v>
      </c>
      <c r="T131" s="23">
        <v>10</v>
      </c>
      <c r="U131" s="23">
        <v>28</v>
      </c>
      <c r="V131" s="22">
        <f t="shared" si="64"/>
        <v>0.90909090909090906</v>
      </c>
      <c r="W131" s="22">
        <f t="shared" si="65"/>
        <v>2.5454545454545454</v>
      </c>
      <c r="X131" s="24">
        <f t="shared" si="66"/>
        <v>0.35714285714285715</v>
      </c>
      <c r="Y131" s="23">
        <v>0</v>
      </c>
      <c r="Z131" s="23">
        <v>0</v>
      </c>
      <c r="AA131" s="22">
        <f t="shared" si="67"/>
        <v>0</v>
      </c>
      <c r="AB131" s="22">
        <f t="shared" si="68"/>
        <v>0</v>
      </c>
      <c r="AC131" s="24" t="e">
        <f t="shared" si="69"/>
        <v>#DIV/0!</v>
      </c>
      <c r="AD131" s="23">
        <v>11</v>
      </c>
      <c r="AE131" s="22">
        <f t="shared" si="70"/>
        <v>1</v>
      </c>
      <c r="AF131" s="23">
        <v>3</v>
      </c>
      <c r="AG131" s="22">
        <f t="shared" si="71"/>
        <v>0.27272727272727271</v>
      </c>
      <c r="AH131" s="23">
        <v>8</v>
      </c>
      <c r="AI131" s="22">
        <f t="shared" si="72"/>
        <v>0.72727272727272729</v>
      </c>
      <c r="AJ131" s="23">
        <v>6</v>
      </c>
      <c r="AK131" s="22">
        <f t="shared" si="73"/>
        <v>0.54545454545454541</v>
      </c>
      <c r="AL131" s="23">
        <v>3</v>
      </c>
      <c r="AM131" s="22">
        <f t="shared" si="74"/>
        <v>0.27272727272727271</v>
      </c>
      <c r="AN131" s="23">
        <v>1</v>
      </c>
      <c r="AO131" s="22">
        <f t="shared" si="75"/>
        <v>9.0909090909090912E-2</v>
      </c>
      <c r="AP131" s="10">
        <v>0</v>
      </c>
      <c r="AQ131" s="22">
        <f t="shared" si="76"/>
        <v>0</v>
      </c>
      <c r="AR131" s="23">
        <v>2</v>
      </c>
      <c r="AS131" s="22">
        <f t="shared" si="77"/>
        <v>0.18181818181818182</v>
      </c>
      <c r="AT131" s="25">
        <v>0.30000291334709106</v>
      </c>
      <c r="AU131" s="25">
        <v>0.13250036658686393</v>
      </c>
      <c r="AV131" s="25">
        <v>0.20812055110585556</v>
      </c>
      <c r="AW131" s="25">
        <v>9.1882362241235485E-2</v>
      </c>
      <c r="AX131" s="25">
        <v>123.18005192373771</v>
      </c>
      <c r="AY131" s="25">
        <v>109.4585273738634</v>
      </c>
      <c r="AZ131" s="25">
        <v>2.960240286492811</v>
      </c>
      <c r="BA131" s="25">
        <v>3.0909090909090908</v>
      </c>
      <c r="BB131" s="25">
        <v>15.016562384983438</v>
      </c>
      <c r="BC131" s="24">
        <v>0.53333333333333333</v>
      </c>
      <c r="BD131" s="24">
        <v>0.53333333333333333</v>
      </c>
      <c r="BE131" s="25">
        <v>3.0379562250761003</v>
      </c>
      <c r="BF131" s="24">
        <v>0.93333333333333335</v>
      </c>
      <c r="BG131" s="24">
        <v>0</v>
      </c>
      <c r="BH131" s="25">
        <v>0.75871414812207716</v>
      </c>
      <c r="BI131" s="25">
        <v>2.0232377283255389</v>
      </c>
      <c r="BJ131" s="25">
        <v>1.2961750071927893</v>
      </c>
      <c r="BK131" s="25">
        <v>1.6680296631275091</v>
      </c>
      <c r="BL131" s="25">
        <v>1.7745150996102053</v>
      </c>
      <c r="BM131" s="25">
        <v>0.21261705011561055</v>
      </c>
      <c r="BN131" s="25">
        <v>0</v>
      </c>
      <c r="BO131" s="26" t="s">
        <v>176</v>
      </c>
      <c r="BP131" s="27"/>
      <c r="BQ131" s="32" t="s">
        <v>268</v>
      </c>
      <c r="BR131" s="32">
        <v>62.93</v>
      </c>
      <c r="BS131" s="32">
        <v>80.13</v>
      </c>
      <c r="BT131" s="32">
        <v>17.2</v>
      </c>
      <c r="BU131" s="36">
        <f t="shared" ref="BU131:BU193" si="78">BV131-BW131</f>
        <v>5.7209090909090907</v>
      </c>
      <c r="BV131" s="36">
        <f t="shared" ref="BV131:BV193" si="79">BS131/$D131</f>
        <v>7.2845454545454542</v>
      </c>
      <c r="BW131" s="36">
        <f t="shared" ref="BW131:BW193" si="80">BT131/$D131</f>
        <v>1.5636363636363635</v>
      </c>
      <c r="BX131" s="37">
        <f t="shared" ref="BX131:BX193" si="81">BY131-BZ131</f>
        <v>27.79389032020611</v>
      </c>
      <c r="BY131" s="37">
        <f t="shared" ref="BY131:BY193" si="82">BS131*2400/$G131</f>
        <v>35.390504232609494</v>
      </c>
      <c r="BZ131" s="37">
        <f t="shared" ref="BZ131:BZ193" si="83">BT131*2400/$G131</f>
        <v>7.5966139124033862</v>
      </c>
      <c r="CA131" s="34">
        <v>4</v>
      </c>
      <c r="CB131" s="34">
        <v>7</v>
      </c>
    </row>
    <row r="132" spans="1:80" x14ac:dyDescent="0.4">
      <c r="A132" s="16" t="s">
        <v>178</v>
      </c>
      <c r="B132" s="16" t="s">
        <v>253</v>
      </c>
      <c r="C132" s="16" t="s">
        <v>96</v>
      </c>
      <c r="D132" s="23">
        <v>46</v>
      </c>
      <c r="E132" s="23">
        <v>16</v>
      </c>
      <c r="F132" s="23">
        <v>3</v>
      </c>
      <c r="G132" s="21">
        <v>44298</v>
      </c>
      <c r="H132" s="21">
        <v>198</v>
      </c>
      <c r="I132" s="22">
        <f t="shared" si="60"/>
        <v>4.3043478260869561</v>
      </c>
      <c r="J132" s="23">
        <v>77</v>
      </c>
      <c r="K132" s="23">
        <v>209</v>
      </c>
      <c r="L132" s="22">
        <f t="shared" si="57"/>
        <v>1.673913043478261</v>
      </c>
      <c r="M132" s="22">
        <f t="shared" si="58"/>
        <v>4.5434782608695654</v>
      </c>
      <c r="N132" s="24">
        <f t="shared" si="59"/>
        <v>0.36842105263157893</v>
      </c>
      <c r="O132" s="21">
        <v>55</v>
      </c>
      <c r="P132" s="23">
        <v>114</v>
      </c>
      <c r="Q132" s="22">
        <f t="shared" si="61"/>
        <v>1.1956521739130435</v>
      </c>
      <c r="R132" s="22">
        <f t="shared" si="62"/>
        <v>2.4782608695652173</v>
      </c>
      <c r="S132" s="24">
        <f t="shared" si="63"/>
        <v>0.48245614035087719</v>
      </c>
      <c r="T132" s="23">
        <v>22</v>
      </c>
      <c r="U132" s="23">
        <v>95</v>
      </c>
      <c r="V132" s="22">
        <f t="shared" si="64"/>
        <v>0.47826086956521741</v>
      </c>
      <c r="W132" s="22">
        <f t="shared" si="65"/>
        <v>2.0652173913043477</v>
      </c>
      <c r="X132" s="24">
        <f t="shared" si="66"/>
        <v>0.23157894736842105</v>
      </c>
      <c r="Y132" s="23">
        <v>22</v>
      </c>
      <c r="Z132" s="23">
        <v>28</v>
      </c>
      <c r="AA132" s="22">
        <f t="shared" si="67"/>
        <v>0.47826086956521741</v>
      </c>
      <c r="AB132" s="22">
        <f t="shared" si="68"/>
        <v>0.60869565217391308</v>
      </c>
      <c r="AC132" s="24">
        <f t="shared" si="69"/>
        <v>0.7857142857142857</v>
      </c>
      <c r="AD132" s="23">
        <v>79</v>
      </c>
      <c r="AE132" s="22">
        <f t="shared" si="70"/>
        <v>1.7173913043478262</v>
      </c>
      <c r="AF132" s="23">
        <v>18</v>
      </c>
      <c r="AG132" s="22">
        <f t="shared" si="71"/>
        <v>0.39130434782608697</v>
      </c>
      <c r="AH132" s="23">
        <v>61</v>
      </c>
      <c r="AI132" s="22">
        <f t="shared" si="72"/>
        <v>1.326086956521739</v>
      </c>
      <c r="AJ132" s="23">
        <v>33</v>
      </c>
      <c r="AK132" s="22">
        <f t="shared" si="73"/>
        <v>0.71739130434782605</v>
      </c>
      <c r="AL132" s="23">
        <v>24</v>
      </c>
      <c r="AM132" s="22">
        <f t="shared" si="74"/>
        <v>0.52173913043478259</v>
      </c>
      <c r="AN132" s="23">
        <v>15</v>
      </c>
      <c r="AO132" s="22">
        <f t="shared" si="75"/>
        <v>0.32608695652173914</v>
      </c>
      <c r="AP132" s="10">
        <v>21</v>
      </c>
      <c r="AQ132" s="22">
        <f t="shared" si="76"/>
        <v>0.45652173913043476</v>
      </c>
      <c r="AR132" s="23">
        <v>67</v>
      </c>
      <c r="AS132" s="22">
        <f t="shared" si="77"/>
        <v>1.4565217391304348</v>
      </c>
      <c r="AT132" s="25">
        <v>0.49444738275009481</v>
      </c>
      <c r="AU132" s="25">
        <v>2.6788426533934435E-2</v>
      </c>
      <c r="AV132" s="25">
        <v>-0.29552175135623471</v>
      </c>
      <c r="AW132" s="25">
        <v>0.78996913410632952</v>
      </c>
      <c r="AX132" s="25">
        <v>95.467757105224919</v>
      </c>
      <c r="AY132" s="25">
        <v>109.05572881335949</v>
      </c>
      <c r="AZ132" s="25">
        <v>5.368948190874419</v>
      </c>
      <c r="BA132" s="25">
        <v>4.1304347826086953</v>
      </c>
      <c r="BB132" s="25">
        <v>10.293918461330083</v>
      </c>
      <c r="BC132" s="24">
        <v>0.44731610337972166</v>
      </c>
      <c r="BD132" s="24">
        <v>0.42105263157894735</v>
      </c>
      <c r="BE132" s="25">
        <v>12.587810000535052</v>
      </c>
      <c r="BF132" s="24">
        <v>0.45454545454545453</v>
      </c>
      <c r="BG132" s="24">
        <v>0.13397129186602871</v>
      </c>
      <c r="BH132" s="25">
        <v>2.3352323312916266</v>
      </c>
      <c r="BI132" s="25">
        <v>7.9138429004882909</v>
      </c>
      <c r="BJ132" s="25">
        <v>4.7752785642127629</v>
      </c>
      <c r="BK132" s="25">
        <v>5.1111184250011128</v>
      </c>
      <c r="BL132" s="25">
        <v>1.7414267102409782</v>
      </c>
      <c r="BM132" s="25">
        <v>1.6360252765905234</v>
      </c>
      <c r="BN132" s="25">
        <v>8.6662264773852762</v>
      </c>
      <c r="BO132" s="26" t="s">
        <v>176</v>
      </c>
      <c r="BP132" s="26"/>
      <c r="BQ132" s="33" t="s">
        <v>268</v>
      </c>
      <c r="BR132" s="33">
        <v>398.09</v>
      </c>
      <c r="BS132" s="33">
        <v>559.09</v>
      </c>
      <c r="BT132" s="33">
        <v>161</v>
      </c>
      <c r="BU132" s="36">
        <f t="shared" si="78"/>
        <v>8.6541304347826102</v>
      </c>
      <c r="BV132" s="36">
        <f t="shared" si="79"/>
        <v>12.15413043478261</v>
      </c>
      <c r="BW132" s="36">
        <f t="shared" si="80"/>
        <v>3.5</v>
      </c>
      <c r="BX132" s="37">
        <f t="shared" si="81"/>
        <v>21.567926317215225</v>
      </c>
      <c r="BY132" s="37">
        <f t="shared" si="82"/>
        <v>30.290667750237031</v>
      </c>
      <c r="BZ132" s="37">
        <f t="shared" si="83"/>
        <v>8.722741433021806</v>
      </c>
      <c r="CA132" s="34">
        <v>28</v>
      </c>
      <c r="CB132" s="34">
        <v>18</v>
      </c>
    </row>
    <row r="133" spans="1:80" x14ac:dyDescent="0.4">
      <c r="A133" s="16" t="s">
        <v>178</v>
      </c>
      <c r="B133" s="16" t="s">
        <v>253</v>
      </c>
      <c r="C133" s="16" t="s">
        <v>91</v>
      </c>
      <c r="D133" s="23">
        <v>54</v>
      </c>
      <c r="E133" s="23">
        <v>25</v>
      </c>
      <c r="F133" s="23">
        <v>12</v>
      </c>
      <c r="G133" s="21">
        <v>81648</v>
      </c>
      <c r="H133" s="21">
        <v>552</v>
      </c>
      <c r="I133" s="22">
        <f t="shared" si="60"/>
        <v>10.222222222222221</v>
      </c>
      <c r="J133" s="23">
        <v>203</v>
      </c>
      <c r="K133" s="23">
        <v>391</v>
      </c>
      <c r="L133" s="22">
        <f t="shared" si="57"/>
        <v>3.7592592592592591</v>
      </c>
      <c r="M133" s="22">
        <f t="shared" si="58"/>
        <v>7.2407407407407405</v>
      </c>
      <c r="N133" s="24">
        <f t="shared" si="59"/>
        <v>0.51918158567774941</v>
      </c>
      <c r="O133" s="21">
        <v>180</v>
      </c>
      <c r="P133" s="23">
        <v>326</v>
      </c>
      <c r="Q133" s="22">
        <f t="shared" si="61"/>
        <v>3.3333333333333335</v>
      </c>
      <c r="R133" s="22">
        <f t="shared" si="62"/>
        <v>6.0370370370370372</v>
      </c>
      <c r="S133" s="24">
        <f t="shared" si="63"/>
        <v>0.55214723926380371</v>
      </c>
      <c r="T133" s="23">
        <v>23</v>
      </c>
      <c r="U133" s="23">
        <v>65</v>
      </c>
      <c r="V133" s="22">
        <f t="shared" si="64"/>
        <v>0.42592592592592593</v>
      </c>
      <c r="W133" s="22">
        <f t="shared" si="65"/>
        <v>1.2037037037037037</v>
      </c>
      <c r="X133" s="24">
        <f t="shared" si="66"/>
        <v>0.35384615384615387</v>
      </c>
      <c r="Y133" s="23">
        <v>123</v>
      </c>
      <c r="Z133" s="23">
        <v>162</v>
      </c>
      <c r="AA133" s="22">
        <f t="shared" si="67"/>
        <v>2.2777777777777777</v>
      </c>
      <c r="AB133" s="22">
        <f t="shared" si="68"/>
        <v>3</v>
      </c>
      <c r="AC133" s="24">
        <f t="shared" si="69"/>
        <v>0.7592592592592593</v>
      </c>
      <c r="AD133" s="23">
        <v>255</v>
      </c>
      <c r="AE133" s="22">
        <f t="shared" si="70"/>
        <v>4.7222222222222223</v>
      </c>
      <c r="AF133" s="23">
        <v>116</v>
      </c>
      <c r="AG133" s="22">
        <f t="shared" si="71"/>
        <v>2.1481481481481484</v>
      </c>
      <c r="AH133" s="23">
        <v>139</v>
      </c>
      <c r="AI133" s="22">
        <f t="shared" si="72"/>
        <v>2.574074074074074</v>
      </c>
      <c r="AJ133" s="23">
        <v>197</v>
      </c>
      <c r="AK133" s="22">
        <f t="shared" si="73"/>
        <v>3.6481481481481484</v>
      </c>
      <c r="AL133" s="23">
        <v>46</v>
      </c>
      <c r="AM133" s="22">
        <f t="shared" si="74"/>
        <v>0.85185185185185186</v>
      </c>
      <c r="AN133" s="23">
        <v>17</v>
      </c>
      <c r="AO133" s="22">
        <f t="shared" si="75"/>
        <v>0.31481481481481483</v>
      </c>
      <c r="AP133" s="10">
        <v>61</v>
      </c>
      <c r="AQ133" s="22">
        <f t="shared" si="76"/>
        <v>1.1296296296296295</v>
      </c>
      <c r="AR133" s="23">
        <v>61</v>
      </c>
      <c r="AS133" s="22">
        <f t="shared" si="77"/>
        <v>1.1296296296296295</v>
      </c>
      <c r="AT133" s="25">
        <v>6.4088743085906659</v>
      </c>
      <c r="AU133" s="25">
        <v>0.18838548820078382</v>
      </c>
      <c r="AV133" s="25">
        <v>4.8742118755253205</v>
      </c>
      <c r="AW133" s="25">
        <v>1.5346624330653456</v>
      </c>
      <c r="AX133" s="25">
        <v>126.40084977195325</v>
      </c>
      <c r="AY133" s="25">
        <v>108.63604751894734</v>
      </c>
      <c r="AZ133" s="25">
        <v>19.203772078412833</v>
      </c>
      <c r="BA133" s="25">
        <v>14.425925925925926</v>
      </c>
      <c r="BB133" s="25">
        <v>22.898295120517346</v>
      </c>
      <c r="BC133" s="24">
        <v>0.59704075452106953</v>
      </c>
      <c r="BD133" s="24">
        <v>0.54859335038363166</v>
      </c>
      <c r="BE133" s="25">
        <v>17.312889248857232</v>
      </c>
      <c r="BF133" s="24">
        <v>0.16624040920716113</v>
      </c>
      <c r="BG133" s="24">
        <v>0.41432225063938621</v>
      </c>
      <c r="BH133" s="25">
        <v>9.5849549259231708</v>
      </c>
      <c r="BI133" s="25">
        <v>11.485420126752766</v>
      </c>
      <c r="BJ133" s="25">
        <v>9.8171696522412013</v>
      </c>
      <c r="BK133" s="25">
        <v>21.14573382136685</v>
      </c>
      <c r="BL133" s="25">
        <v>1.8108828644872521</v>
      </c>
      <c r="BM133" s="25">
        <v>1.1809245944913342</v>
      </c>
      <c r="BN133" s="25">
        <v>11.657238954288335</v>
      </c>
      <c r="BO133" s="26" t="s">
        <v>176</v>
      </c>
      <c r="BP133" s="27"/>
      <c r="BQ133" s="32" t="s">
        <v>268</v>
      </c>
      <c r="BR133" s="32">
        <v>1258.6199999999999</v>
      </c>
      <c r="BS133" s="32">
        <v>1565.12</v>
      </c>
      <c r="BT133" s="32">
        <v>306.5</v>
      </c>
      <c r="BU133" s="36">
        <f t="shared" si="78"/>
        <v>23.307777777777773</v>
      </c>
      <c r="BV133" s="36">
        <f t="shared" si="79"/>
        <v>28.9837037037037</v>
      </c>
      <c r="BW133" s="36">
        <f t="shared" si="80"/>
        <v>5.6759259259259256</v>
      </c>
      <c r="BX133" s="37">
        <f t="shared" si="81"/>
        <v>36.996472663139322</v>
      </c>
      <c r="BY133" s="37">
        <f t="shared" si="82"/>
        <v>46.005878894767775</v>
      </c>
      <c r="BZ133" s="37">
        <f t="shared" si="83"/>
        <v>9.0094062316284536</v>
      </c>
      <c r="CA133" s="34">
        <v>30</v>
      </c>
      <c r="CB133" s="34">
        <v>24</v>
      </c>
    </row>
    <row r="134" spans="1:80" x14ac:dyDescent="0.4">
      <c r="A134" s="16" t="s">
        <v>178</v>
      </c>
      <c r="B134" s="16" t="s">
        <v>254</v>
      </c>
      <c r="C134" s="16" t="s">
        <v>103</v>
      </c>
      <c r="D134" s="23">
        <v>38</v>
      </c>
      <c r="E134" s="23">
        <v>25</v>
      </c>
      <c r="F134" s="23">
        <v>39</v>
      </c>
      <c r="G134" s="21">
        <v>58482</v>
      </c>
      <c r="H134" s="21">
        <v>354</v>
      </c>
      <c r="I134" s="22">
        <f t="shared" si="60"/>
        <v>9.3157894736842106</v>
      </c>
      <c r="J134" s="23">
        <v>152</v>
      </c>
      <c r="K134" s="23">
        <v>312</v>
      </c>
      <c r="L134" s="22">
        <f t="shared" si="57"/>
        <v>4</v>
      </c>
      <c r="M134" s="22">
        <f t="shared" si="58"/>
        <v>8.2105263157894743</v>
      </c>
      <c r="N134" s="24">
        <f t="shared" si="59"/>
        <v>0.48717948717948717</v>
      </c>
      <c r="O134" s="21">
        <v>125</v>
      </c>
      <c r="P134" s="23">
        <v>231</v>
      </c>
      <c r="Q134" s="22">
        <f t="shared" si="61"/>
        <v>3.2894736842105261</v>
      </c>
      <c r="R134" s="22">
        <f t="shared" si="62"/>
        <v>6.0789473684210522</v>
      </c>
      <c r="S134" s="24">
        <f t="shared" si="63"/>
        <v>0.54112554112554112</v>
      </c>
      <c r="T134" s="23">
        <v>27</v>
      </c>
      <c r="U134" s="23">
        <v>81</v>
      </c>
      <c r="V134" s="22">
        <f t="shared" si="64"/>
        <v>0.71052631578947367</v>
      </c>
      <c r="W134" s="22">
        <f t="shared" si="65"/>
        <v>2.1315789473684212</v>
      </c>
      <c r="X134" s="24">
        <f t="shared" si="66"/>
        <v>0.33333333333333331</v>
      </c>
      <c r="Y134" s="23">
        <v>23</v>
      </c>
      <c r="Z134" s="23">
        <v>35</v>
      </c>
      <c r="AA134" s="22">
        <f t="shared" si="67"/>
        <v>0.60526315789473684</v>
      </c>
      <c r="AB134" s="22">
        <f t="shared" si="68"/>
        <v>0.92105263157894735</v>
      </c>
      <c r="AC134" s="24">
        <f t="shared" si="69"/>
        <v>0.65714285714285714</v>
      </c>
      <c r="AD134" s="23">
        <v>234</v>
      </c>
      <c r="AE134" s="22">
        <f t="shared" si="70"/>
        <v>6.1578947368421053</v>
      </c>
      <c r="AF134" s="23">
        <v>70</v>
      </c>
      <c r="AG134" s="22">
        <f t="shared" si="71"/>
        <v>1.8421052631578947</v>
      </c>
      <c r="AH134" s="23">
        <v>164</v>
      </c>
      <c r="AI134" s="22">
        <f t="shared" si="72"/>
        <v>4.3157894736842106</v>
      </c>
      <c r="AJ134" s="23">
        <v>92</v>
      </c>
      <c r="AK134" s="22">
        <f t="shared" si="73"/>
        <v>2.4210526315789473</v>
      </c>
      <c r="AL134" s="23">
        <v>36</v>
      </c>
      <c r="AM134" s="22">
        <f t="shared" si="74"/>
        <v>0.94736842105263153</v>
      </c>
      <c r="AN134" s="39">
        <v>20</v>
      </c>
      <c r="AO134" s="22">
        <f t="shared" si="75"/>
        <v>0.52631578947368418</v>
      </c>
      <c r="AP134" s="10">
        <v>55</v>
      </c>
      <c r="AQ134" s="22">
        <f t="shared" si="76"/>
        <v>1.4473684210526316</v>
      </c>
      <c r="AR134" s="23">
        <v>66</v>
      </c>
      <c r="AS134" s="22">
        <f t="shared" si="77"/>
        <v>1.736842105263158</v>
      </c>
      <c r="AT134" s="25">
        <v>2.4758722958068291</v>
      </c>
      <c r="AU134" s="25">
        <v>0.10160551126733677</v>
      </c>
      <c r="AV134" s="25">
        <v>0.9212468448344131</v>
      </c>
      <c r="AW134" s="25">
        <v>1.554625450972416</v>
      </c>
      <c r="AX134" s="25">
        <v>106.6267513097235</v>
      </c>
      <c r="AY134" s="25">
        <v>105.48756206341983</v>
      </c>
      <c r="AZ134" s="25">
        <v>11.023273621925577</v>
      </c>
      <c r="BA134" s="25">
        <v>13.394736842105264</v>
      </c>
      <c r="BB134" s="25">
        <v>20.888478506207036</v>
      </c>
      <c r="BC134" s="24">
        <v>0.54062309102015882</v>
      </c>
      <c r="BD134" s="24">
        <v>0.53044871794871795</v>
      </c>
      <c r="BE134" s="25">
        <v>12.429866655224949</v>
      </c>
      <c r="BF134" s="24">
        <v>0.25961538461538464</v>
      </c>
      <c r="BG134" s="24">
        <v>0.11217948717948718</v>
      </c>
      <c r="BH134" s="25">
        <v>5.6825504098032109</v>
      </c>
      <c r="BI134" s="25">
        <v>13.313403817253239</v>
      </c>
      <c r="BJ134" s="25">
        <v>8.850649544063895</v>
      </c>
      <c r="BK134" s="25">
        <v>9.1734771840914959</v>
      </c>
      <c r="BL134" s="25">
        <v>1.9786016315341861</v>
      </c>
      <c r="BM134" s="25">
        <v>1.364948963705154</v>
      </c>
      <c r="BN134" s="25">
        <v>14.38284518828452</v>
      </c>
      <c r="BO134" s="26" t="s">
        <v>176</v>
      </c>
      <c r="BP134" s="27"/>
      <c r="BQ134" s="33" t="s">
        <v>268</v>
      </c>
      <c r="BR134" s="33">
        <v>816.98</v>
      </c>
      <c r="BS134" s="33">
        <v>1063.68</v>
      </c>
      <c r="BT134" s="33">
        <v>246.7</v>
      </c>
      <c r="BU134" s="36">
        <f t="shared" si="78"/>
        <v>21.499473684210528</v>
      </c>
      <c r="BV134" s="36">
        <f t="shared" si="79"/>
        <v>27.991578947368424</v>
      </c>
      <c r="BW134" s="36">
        <f t="shared" si="80"/>
        <v>6.4921052631578942</v>
      </c>
      <c r="BX134" s="37">
        <f t="shared" si="81"/>
        <v>33.527444341848778</v>
      </c>
      <c r="BY134" s="37">
        <f t="shared" si="82"/>
        <v>43.651585103108651</v>
      </c>
      <c r="BZ134" s="37">
        <f t="shared" si="83"/>
        <v>10.124140761259875</v>
      </c>
      <c r="CA134" s="35">
        <v>16</v>
      </c>
      <c r="CB134" s="35">
        <v>22</v>
      </c>
    </row>
    <row r="135" spans="1:80" x14ac:dyDescent="0.4">
      <c r="A135" s="16" t="s">
        <v>178</v>
      </c>
      <c r="B135" s="16" t="s">
        <v>254</v>
      </c>
      <c r="C135" s="16" t="s">
        <v>200</v>
      </c>
      <c r="D135" s="23">
        <v>38</v>
      </c>
      <c r="E135" s="23">
        <v>10</v>
      </c>
      <c r="F135" s="23">
        <v>27</v>
      </c>
      <c r="G135" s="21">
        <v>23826</v>
      </c>
      <c r="H135" s="21">
        <v>72</v>
      </c>
      <c r="I135" s="22">
        <f t="shared" si="60"/>
        <v>1.8947368421052631</v>
      </c>
      <c r="J135" s="23">
        <v>25</v>
      </c>
      <c r="K135" s="23">
        <v>87</v>
      </c>
      <c r="L135" s="22">
        <f t="shared" si="57"/>
        <v>0.65789473684210531</v>
      </c>
      <c r="M135" s="22">
        <f t="shared" si="58"/>
        <v>2.2894736842105261</v>
      </c>
      <c r="N135" s="24">
        <f t="shared" si="59"/>
        <v>0.28735632183908044</v>
      </c>
      <c r="O135" s="21">
        <v>7</v>
      </c>
      <c r="P135" s="23">
        <v>17</v>
      </c>
      <c r="Q135" s="22">
        <f t="shared" si="61"/>
        <v>0.18421052631578946</v>
      </c>
      <c r="R135" s="22">
        <f t="shared" si="62"/>
        <v>0.44736842105263158</v>
      </c>
      <c r="S135" s="24">
        <f t="shared" si="63"/>
        <v>0.41176470588235292</v>
      </c>
      <c r="T135" s="23">
        <v>18</v>
      </c>
      <c r="U135" s="23">
        <v>70</v>
      </c>
      <c r="V135" s="22">
        <f t="shared" si="64"/>
        <v>0.47368421052631576</v>
      </c>
      <c r="W135" s="22">
        <f t="shared" si="65"/>
        <v>1.8421052631578947</v>
      </c>
      <c r="X135" s="24">
        <f t="shared" si="66"/>
        <v>0.25714285714285712</v>
      </c>
      <c r="Y135" s="23">
        <v>4</v>
      </c>
      <c r="Z135" s="23">
        <v>13</v>
      </c>
      <c r="AA135" s="22">
        <f t="shared" si="67"/>
        <v>0.10526315789473684</v>
      </c>
      <c r="AB135" s="22">
        <f t="shared" si="68"/>
        <v>0.34210526315789475</v>
      </c>
      <c r="AC135" s="24">
        <f t="shared" si="69"/>
        <v>0.30769230769230771</v>
      </c>
      <c r="AD135" s="23">
        <v>47</v>
      </c>
      <c r="AE135" s="22">
        <f t="shared" si="70"/>
        <v>1.236842105263158</v>
      </c>
      <c r="AF135" s="23">
        <v>24</v>
      </c>
      <c r="AG135" s="22">
        <f t="shared" si="71"/>
        <v>0.63157894736842102</v>
      </c>
      <c r="AH135" s="23">
        <v>23</v>
      </c>
      <c r="AI135" s="22">
        <f t="shared" si="72"/>
        <v>0.60526315789473684</v>
      </c>
      <c r="AJ135" s="23">
        <v>12</v>
      </c>
      <c r="AK135" s="22">
        <f t="shared" si="73"/>
        <v>0.31578947368421051</v>
      </c>
      <c r="AL135" s="23">
        <v>8</v>
      </c>
      <c r="AM135" s="22">
        <f t="shared" si="74"/>
        <v>0.21052631578947367</v>
      </c>
      <c r="AN135" s="23">
        <v>0</v>
      </c>
      <c r="AO135" s="22">
        <f t="shared" si="75"/>
        <v>0</v>
      </c>
      <c r="AP135" s="10">
        <v>9</v>
      </c>
      <c r="AQ135" s="22">
        <f t="shared" si="76"/>
        <v>0.23684210526315788</v>
      </c>
      <c r="AR135" s="23">
        <v>56</v>
      </c>
      <c r="AS135" s="22">
        <f t="shared" si="77"/>
        <v>1.4736842105263157</v>
      </c>
      <c r="AT135" s="25">
        <v>-0.12665727941545887</v>
      </c>
      <c r="AU135" s="25">
        <v>-1.2758225073327512E-2</v>
      </c>
      <c r="AV135" s="25">
        <v>-0.35941787474472081</v>
      </c>
      <c r="AW135" s="25">
        <v>0.23276059532926194</v>
      </c>
      <c r="AX135" s="25">
        <v>88.832796284029541</v>
      </c>
      <c r="AY135" s="25">
        <v>112.6600098908297</v>
      </c>
      <c r="AZ135" s="25">
        <v>1.0200569864731526</v>
      </c>
      <c r="BA135" s="25">
        <v>1.5526315789473684</v>
      </c>
      <c r="BB135" s="25">
        <v>5.943087383530596</v>
      </c>
      <c r="BC135" s="24">
        <v>0.38826574633304572</v>
      </c>
      <c r="BD135" s="24">
        <v>0.39080459770114945</v>
      </c>
      <c r="BE135" s="25">
        <v>8.115700593518449</v>
      </c>
      <c r="BF135" s="24">
        <v>0.8045977011494253</v>
      </c>
      <c r="BG135" s="24">
        <v>0.14942528735632185</v>
      </c>
      <c r="BH135" s="25">
        <v>4.7821982669512737</v>
      </c>
      <c r="BI135" s="25">
        <v>4.5829400058283047</v>
      </c>
      <c r="BJ135" s="25">
        <v>4.3634321178776547</v>
      </c>
      <c r="BK135" s="25">
        <v>2.6935346750502935</v>
      </c>
      <c r="BL135" s="25">
        <v>1.0792372535641015</v>
      </c>
      <c r="BM135" s="25">
        <v>0</v>
      </c>
      <c r="BN135" s="25">
        <v>8.8478175383405429</v>
      </c>
      <c r="BO135" s="26" t="s">
        <v>176</v>
      </c>
      <c r="BP135" s="27"/>
      <c r="BQ135" s="32" t="s">
        <v>268</v>
      </c>
      <c r="BR135" s="32">
        <v>201.29</v>
      </c>
      <c r="BS135" s="32">
        <v>278.79000000000002</v>
      </c>
      <c r="BT135" s="32">
        <v>77.5</v>
      </c>
      <c r="BU135" s="36">
        <f t="shared" si="78"/>
        <v>5.2971052631578956</v>
      </c>
      <c r="BV135" s="36">
        <f t="shared" si="79"/>
        <v>7.3365789473684213</v>
      </c>
      <c r="BW135" s="36">
        <f t="shared" si="80"/>
        <v>2.0394736842105261</v>
      </c>
      <c r="BX135" s="37">
        <f t="shared" si="81"/>
        <v>20.276001007302945</v>
      </c>
      <c r="BY135" s="37">
        <f t="shared" si="82"/>
        <v>28.082598841601612</v>
      </c>
      <c r="BZ135" s="37">
        <f t="shared" si="83"/>
        <v>7.8065978342986657</v>
      </c>
      <c r="CA135" s="34">
        <v>17</v>
      </c>
      <c r="CB135" s="34">
        <v>22</v>
      </c>
    </row>
    <row r="136" spans="1:80" x14ac:dyDescent="0.4">
      <c r="A136" s="16" t="s">
        <v>178</v>
      </c>
      <c r="B136" s="16" t="s">
        <v>254</v>
      </c>
      <c r="C136" s="16" t="s">
        <v>102</v>
      </c>
      <c r="D136" s="23">
        <v>54</v>
      </c>
      <c r="E136" s="23">
        <v>25</v>
      </c>
      <c r="F136" s="23">
        <v>37</v>
      </c>
      <c r="G136" s="21">
        <v>82998</v>
      </c>
      <c r="H136" s="21">
        <v>568</v>
      </c>
      <c r="I136" s="22">
        <f t="shared" si="60"/>
        <v>10.518518518518519</v>
      </c>
      <c r="J136" s="23">
        <v>234</v>
      </c>
      <c r="K136" s="23">
        <v>469</v>
      </c>
      <c r="L136" s="22">
        <f t="shared" si="57"/>
        <v>4.333333333333333</v>
      </c>
      <c r="M136" s="22">
        <f t="shared" si="58"/>
        <v>8.6851851851851851</v>
      </c>
      <c r="N136" s="24">
        <f t="shared" si="59"/>
        <v>0.49893390191897652</v>
      </c>
      <c r="O136" s="21">
        <v>200</v>
      </c>
      <c r="P136" s="23">
        <v>383</v>
      </c>
      <c r="Q136" s="22">
        <f t="shared" si="61"/>
        <v>3.7037037037037037</v>
      </c>
      <c r="R136" s="22">
        <f t="shared" si="62"/>
        <v>7.0925925925925926</v>
      </c>
      <c r="S136" s="24">
        <f t="shared" si="63"/>
        <v>0.52219321148825071</v>
      </c>
      <c r="T136" s="23">
        <v>34</v>
      </c>
      <c r="U136" s="23">
        <v>86</v>
      </c>
      <c r="V136" s="22">
        <f t="shared" si="64"/>
        <v>0.62962962962962965</v>
      </c>
      <c r="W136" s="22">
        <f t="shared" si="65"/>
        <v>1.5925925925925926</v>
      </c>
      <c r="X136" s="24">
        <f t="shared" si="66"/>
        <v>0.39534883720930231</v>
      </c>
      <c r="Y136" s="23">
        <v>66</v>
      </c>
      <c r="Z136" s="23">
        <v>90</v>
      </c>
      <c r="AA136" s="22">
        <f t="shared" si="67"/>
        <v>1.2222222222222223</v>
      </c>
      <c r="AB136" s="22">
        <f t="shared" si="68"/>
        <v>1.6666666666666667</v>
      </c>
      <c r="AC136" s="24">
        <f t="shared" si="69"/>
        <v>0.73333333333333328</v>
      </c>
      <c r="AD136" s="23">
        <v>310</v>
      </c>
      <c r="AE136" s="22">
        <f t="shared" si="70"/>
        <v>5.7407407407407405</v>
      </c>
      <c r="AF136" s="23">
        <v>86</v>
      </c>
      <c r="AG136" s="22">
        <f t="shared" si="71"/>
        <v>1.5925925925925926</v>
      </c>
      <c r="AH136" s="23">
        <v>224</v>
      </c>
      <c r="AI136" s="22">
        <f t="shared" si="72"/>
        <v>4.1481481481481479</v>
      </c>
      <c r="AJ136" s="23">
        <v>57</v>
      </c>
      <c r="AK136" s="22">
        <f t="shared" si="73"/>
        <v>1.0555555555555556</v>
      </c>
      <c r="AL136" s="23">
        <v>20</v>
      </c>
      <c r="AM136" s="22">
        <f t="shared" si="74"/>
        <v>0.37037037037037035</v>
      </c>
      <c r="AN136" s="23">
        <v>57</v>
      </c>
      <c r="AO136" s="22">
        <f t="shared" si="75"/>
        <v>1.0555555555555556</v>
      </c>
      <c r="AP136" s="10">
        <v>77</v>
      </c>
      <c r="AQ136" s="22">
        <f t="shared" si="76"/>
        <v>1.4259259259259258</v>
      </c>
      <c r="AR136" s="23">
        <v>160</v>
      </c>
      <c r="AS136" s="22">
        <f t="shared" si="77"/>
        <v>2.9629629629629628</v>
      </c>
      <c r="AT136" s="25">
        <v>2.9248930760070215</v>
      </c>
      <c r="AU136" s="25">
        <v>8.4577259481154396E-2</v>
      </c>
      <c r="AV136" s="25">
        <v>1.0295205154122249</v>
      </c>
      <c r="AW136" s="25">
        <v>1.8953725605947966</v>
      </c>
      <c r="AX136" s="25">
        <v>105.00973347087866</v>
      </c>
      <c r="AY136" s="25">
        <v>107.08579546514299</v>
      </c>
      <c r="AZ136" s="25">
        <v>12.925455162226333</v>
      </c>
      <c r="BA136" s="25">
        <v>12.518518518518519</v>
      </c>
      <c r="BB136" s="25">
        <v>19.54745897491506</v>
      </c>
      <c r="BC136" s="24">
        <v>0.55839559575304754</v>
      </c>
      <c r="BD136" s="24">
        <v>0.53518123667377404</v>
      </c>
      <c r="BE136" s="25">
        <v>19.059627406416286</v>
      </c>
      <c r="BF136" s="24">
        <v>0.18336886993603413</v>
      </c>
      <c r="BG136" s="24">
        <v>0.19189765458422176</v>
      </c>
      <c r="BH136" s="25">
        <v>6.9905035499497554</v>
      </c>
      <c r="BI136" s="25">
        <v>18.207823199869129</v>
      </c>
      <c r="BJ136" s="25">
        <v>11.740476761193811</v>
      </c>
      <c r="BK136" s="25">
        <v>6.1997600765362195</v>
      </c>
      <c r="BL136" s="25">
        <v>0.77453392863136106</v>
      </c>
      <c r="BM136" s="25">
        <v>3.8951664913177364</v>
      </c>
      <c r="BN136" s="25">
        <v>13.148907103825136</v>
      </c>
      <c r="BO136" s="26" t="s">
        <v>176</v>
      </c>
      <c r="BP136" s="27"/>
      <c r="BQ136" s="33" t="s">
        <v>266</v>
      </c>
      <c r="BR136" s="33">
        <v>1070.8399999999999</v>
      </c>
      <c r="BS136" s="33">
        <v>1435.34</v>
      </c>
      <c r="BT136" s="33">
        <v>364.5</v>
      </c>
      <c r="BU136" s="36">
        <f t="shared" si="78"/>
        <v>19.830370370370368</v>
      </c>
      <c r="BV136" s="36">
        <f t="shared" si="79"/>
        <v>26.580370370370368</v>
      </c>
      <c r="BW136" s="36">
        <f t="shared" si="80"/>
        <v>6.75</v>
      </c>
      <c r="BX136" s="37">
        <f t="shared" si="81"/>
        <v>30.964794332393549</v>
      </c>
      <c r="BY136" s="37">
        <f t="shared" si="82"/>
        <v>41.504807344755292</v>
      </c>
      <c r="BZ136" s="37">
        <f t="shared" si="83"/>
        <v>10.540013012361744</v>
      </c>
      <c r="CA136" s="35">
        <v>23</v>
      </c>
      <c r="CB136" s="35">
        <v>31</v>
      </c>
    </row>
    <row r="137" spans="1:80" x14ac:dyDescent="0.4">
      <c r="A137" s="16" t="s">
        <v>178</v>
      </c>
      <c r="B137" s="16" t="s">
        <v>254</v>
      </c>
      <c r="C137" s="16" t="s">
        <v>159</v>
      </c>
      <c r="D137" s="23">
        <v>26</v>
      </c>
      <c r="E137" s="23">
        <v>8</v>
      </c>
      <c r="F137" s="23">
        <v>26</v>
      </c>
      <c r="G137" s="21">
        <v>13156</v>
      </c>
      <c r="H137" s="21">
        <v>73</v>
      </c>
      <c r="I137" s="22">
        <f t="shared" si="60"/>
        <v>2.8076923076923075</v>
      </c>
      <c r="J137" s="23">
        <v>28</v>
      </c>
      <c r="K137" s="23">
        <v>76</v>
      </c>
      <c r="L137" s="22">
        <f t="shared" si="57"/>
        <v>1.0769230769230769</v>
      </c>
      <c r="M137" s="22">
        <f t="shared" si="58"/>
        <v>2.9230769230769229</v>
      </c>
      <c r="N137" s="24">
        <f t="shared" si="59"/>
        <v>0.36842105263157893</v>
      </c>
      <c r="O137" s="21">
        <v>22</v>
      </c>
      <c r="P137" s="23">
        <v>43</v>
      </c>
      <c r="Q137" s="22">
        <f t="shared" si="61"/>
        <v>0.84615384615384615</v>
      </c>
      <c r="R137" s="22">
        <f t="shared" si="62"/>
        <v>1.6538461538461537</v>
      </c>
      <c r="S137" s="24">
        <f t="shared" si="63"/>
        <v>0.51162790697674421</v>
      </c>
      <c r="T137" s="23">
        <v>6</v>
      </c>
      <c r="U137" s="23">
        <v>33</v>
      </c>
      <c r="V137" s="22">
        <f t="shared" si="64"/>
        <v>0.23076923076923078</v>
      </c>
      <c r="W137" s="22">
        <f t="shared" si="65"/>
        <v>1.2692307692307692</v>
      </c>
      <c r="X137" s="24">
        <f t="shared" si="66"/>
        <v>0.18181818181818182</v>
      </c>
      <c r="Y137" s="23">
        <v>11</v>
      </c>
      <c r="Z137" s="23">
        <v>15</v>
      </c>
      <c r="AA137" s="22">
        <f t="shared" si="67"/>
        <v>0.42307692307692307</v>
      </c>
      <c r="AB137" s="22">
        <f t="shared" si="68"/>
        <v>0.57692307692307687</v>
      </c>
      <c r="AC137" s="24">
        <f t="shared" si="69"/>
        <v>0.73333333333333328</v>
      </c>
      <c r="AD137" s="23">
        <v>34</v>
      </c>
      <c r="AE137" s="22">
        <f t="shared" si="70"/>
        <v>1.3076923076923077</v>
      </c>
      <c r="AF137" s="23">
        <v>10</v>
      </c>
      <c r="AG137" s="22">
        <f t="shared" si="71"/>
        <v>0.38461538461538464</v>
      </c>
      <c r="AH137" s="23">
        <v>24</v>
      </c>
      <c r="AI137" s="22">
        <f t="shared" si="72"/>
        <v>0.92307692307692313</v>
      </c>
      <c r="AJ137" s="23">
        <v>9</v>
      </c>
      <c r="AK137" s="22">
        <f t="shared" si="73"/>
        <v>0.34615384615384615</v>
      </c>
      <c r="AL137" s="23">
        <v>3</v>
      </c>
      <c r="AM137" s="22">
        <f t="shared" si="74"/>
        <v>0.11538461538461539</v>
      </c>
      <c r="AN137" s="23">
        <v>6</v>
      </c>
      <c r="AO137" s="22">
        <f t="shared" si="75"/>
        <v>0.23076923076923078</v>
      </c>
      <c r="AP137" s="10">
        <v>14</v>
      </c>
      <c r="AQ137" s="22">
        <f t="shared" si="76"/>
        <v>0.53846153846153844</v>
      </c>
      <c r="AR137" s="23">
        <v>37</v>
      </c>
      <c r="AS137" s="22">
        <f t="shared" si="77"/>
        <v>1.4230769230769231</v>
      </c>
      <c r="AT137" s="25">
        <v>-0.20883727537359847</v>
      </c>
      <c r="AU137" s="25">
        <v>-3.8097405054472205E-2</v>
      </c>
      <c r="AV137" s="25">
        <v>-0.42532743890518931</v>
      </c>
      <c r="AW137" s="25">
        <v>0.21649016353159084</v>
      </c>
      <c r="AX137" s="25">
        <v>85.757317522334517</v>
      </c>
      <c r="AY137" s="25">
        <v>109.80770077337525</v>
      </c>
      <c r="AZ137" s="25">
        <v>1.6184974575128157</v>
      </c>
      <c r="BA137" s="25">
        <v>2.2692307692307692</v>
      </c>
      <c r="BB137" s="25">
        <v>10.763149893584675</v>
      </c>
      <c r="BC137" s="24">
        <v>0.44188861985472155</v>
      </c>
      <c r="BD137" s="24">
        <v>0.40789473684210525</v>
      </c>
      <c r="BE137" s="25">
        <v>9.5502296602846872</v>
      </c>
      <c r="BF137" s="24">
        <v>0.43421052631578949</v>
      </c>
      <c r="BG137" s="24">
        <v>0.19736842105263158</v>
      </c>
      <c r="BH137" s="25">
        <v>2.4690697573933207</v>
      </c>
      <c r="BI137" s="25">
        <v>5.9257674177439696</v>
      </c>
      <c r="BJ137" s="25">
        <v>3.9113466440549929</v>
      </c>
      <c r="BK137" s="25">
        <v>2.5589203251724308</v>
      </c>
      <c r="BL137" s="25">
        <v>0.73295188896943275</v>
      </c>
      <c r="BM137" s="25">
        <v>1.2454484911910466</v>
      </c>
      <c r="BN137" s="25">
        <v>14.492753623188406</v>
      </c>
      <c r="BO137" s="26" t="s">
        <v>176</v>
      </c>
      <c r="BP137" s="27"/>
      <c r="BQ137" s="33" t="s">
        <v>266</v>
      </c>
      <c r="BR137" s="33">
        <v>122.83</v>
      </c>
      <c r="BS137" s="33">
        <v>192.33</v>
      </c>
      <c r="BT137" s="33">
        <v>69.5</v>
      </c>
      <c r="BU137" s="36">
        <f t="shared" si="78"/>
        <v>4.7242307692307701</v>
      </c>
      <c r="BV137" s="36">
        <f t="shared" si="79"/>
        <v>7.3973076923076926</v>
      </c>
      <c r="BW137" s="36">
        <f t="shared" si="80"/>
        <v>2.6730769230769229</v>
      </c>
      <c r="BX137" s="37">
        <f t="shared" si="81"/>
        <v>22.407418668288237</v>
      </c>
      <c r="BY137" s="37">
        <f t="shared" si="82"/>
        <v>35.086044390392217</v>
      </c>
      <c r="BZ137" s="37">
        <f t="shared" si="83"/>
        <v>12.678625722103982</v>
      </c>
      <c r="CA137" s="35">
        <v>10</v>
      </c>
      <c r="CB137" s="35">
        <v>16</v>
      </c>
    </row>
    <row r="138" spans="1:80" x14ac:dyDescent="0.4">
      <c r="A138" s="16" t="s">
        <v>178</v>
      </c>
      <c r="B138" s="16" t="s">
        <v>254</v>
      </c>
      <c r="C138" s="16" t="s">
        <v>113</v>
      </c>
      <c r="D138" s="39">
        <v>11</v>
      </c>
      <c r="E138" s="39">
        <v>12</v>
      </c>
      <c r="F138" s="39">
        <v>44</v>
      </c>
      <c r="G138" s="67">
        <v>8404</v>
      </c>
      <c r="H138" s="21">
        <v>47</v>
      </c>
      <c r="I138" s="22">
        <f t="shared" si="60"/>
        <v>4.2727272727272725</v>
      </c>
      <c r="J138" s="39">
        <v>16</v>
      </c>
      <c r="K138" s="39">
        <v>43</v>
      </c>
      <c r="L138" s="22">
        <f t="shared" ref="L138:L193" si="84">J138/$D138</f>
        <v>1.4545454545454546</v>
      </c>
      <c r="M138" s="22">
        <f t="shared" ref="M138:M193" si="85">K138/$D138</f>
        <v>3.9090909090909092</v>
      </c>
      <c r="N138" s="24">
        <f t="shared" ref="N138:N193" si="86">J138/K138</f>
        <v>0.37209302325581395</v>
      </c>
      <c r="O138" s="21">
        <v>5</v>
      </c>
      <c r="P138" s="23">
        <v>19</v>
      </c>
      <c r="Q138" s="22">
        <f t="shared" si="61"/>
        <v>0.45454545454545453</v>
      </c>
      <c r="R138" s="22">
        <f t="shared" si="62"/>
        <v>1.7272727272727273</v>
      </c>
      <c r="S138" s="24">
        <f t="shared" si="63"/>
        <v>0.26315789473684209</v>
      </c>
      <c r="T138" s="23">
        <v>11</v>
      </c>
      <c r="U138" s="23">
        <v>24</v>
      </c>
      <c r="V138" s="22">
        <f t="shared" si="64"/>
        <v>1</v>
      </c>
      <c r="W138" s="22">
        <f t="shared" si="65"/>
        <v>2.1818181818181817</v>
      </c>
      <c r="X138" s="24">
        <f t="shared" si="66"/>
        <v>0.45833333333333331</v>
      </c>
      <c r="Y138" s="23">
        <v>4</v>
      </c>
      <c r="Z138" s="23">
        <v>4</v>
      </c>
      <c r="AA138" s="22">
        <f t="shared" si="67"/>
        <v>0.36363636363636365</v>
      </c>
      <c r="AB138" s="22">
        <f t="shared" si="68"/>
        <v>0.36363636363636365</v>
      </c>
      <c r="AC138" s="24">
        <f t="shared" si="69"/>
        <v>1</v>
      </c>
      <c r="AD138" s="39">
        <v>12</v>
      </c>
      <c r="AE138" s="22">
        <f t="shared" si="70"/>
        <v>1.0909090909090908</v>
      </c>
      <c r="AF138" s="39">
        <v>3</v>
      </c>
      <c r="AG138" s="22">
        <f t="shared" si="71"/>
        <v>0.27272727272727271</v>
      </c>
      <c r="AH138" s="39">
        <v>9</v>
      </c>
      <c r="AI138" s="22">
        <f t="shared" si="72"/>
        <v>0.81818181818181823</v>
      </c>
      <c r="AJ138" s="39">
        <v>11</v>
      </c>
      <c r="AK138" s="22">
        <f t="shared" si="73"/>
        <v>1</v>
      </c>
      <c r="AL138" s="39">
        <v>4</v>
      </c>
      <c r="AM138" s="22">
        <f t="shared" si="74"/>
        <v>0.36363636363636365</v>
      </c>
      <c r="AN138" s="39">
        <v>0</v>
      </c>
      <c r="AO138" s="22">
        <f t="shared" si="75"/>
        <v>0</v>
      </c>
      <c r="AP138" s="10">
        <v>8</v>
      </c>
      <c r="AQ138" s="22">
        <f t="shared" si="76"/>
        <v>0.72727272727272729</v>
      </c>
      <c r="AR138" s="39">
        <v>21</v>
      </c>
      <c r="AS138" s="22">
        <f t="shared" si="77"/>
        <v>1.9090909090909092</v>
      </c>
      <c r="AT138" s="25">
        <v>0.10786340299814239</v>
      </c>
      <c r="AU138" s="25">
        <v>3.0803446834310057E-2</v>
      </c>
      <c r="AV138" s="25">
        <v>6.4871730986963163E-4</v>
      </c>
      <c r="AW138" s="25">
        <v>0.10721468568827275</v>
      </c>
      <c r="AX138" s="25">
        <v>99.557669229630079</v>
      </c>
      <c r="AY138" s="25">
        <v>111.38521719616388</v>
      </c>
      <c r="AZ138" s="25">
        <v>1.184766761578814</v>
      </c>
      <c r="BA138" s="25">
        <v>3.5454545454545454</v>
      </c>
      <c r="BB138" s="25">
        <v>11.13755354593051</v>
      </c>
      <c r="BC138" s="24">
        <v>0.52502234137622883</v>
      </c>
      <c r="BD138" s="24">
        <v>0.5</v>
      </c>
      <c r="BE138" s="25">
        <v>3.4546068845941287</v>
      </c>
      <c r="BF138" s="24">
        <v>0.55813953488372092</v>
      </c>
      <c r="BG138" s="24">
        <v>9.3023255813953487E-2</v>
      </c>
      <c r="BH138" s="25">
        <v>0.49058218478050541</v>
      </c>
      <c r="BI138" s="25">
        <v>1.471746554341516</v>
      </c>
      <c r="BJ138" s="25">
        <v>0.9142938413420818</v>
      </c>
      <c r="BK138" s="25">
        <v>1.9737373314473174</v>
      </c>
      <c r="BL138" s="25">
        <v>1.5298611853533011</v>
      </c>
      <c r="BM138" s="25">
        <v>0</v>
      </c>
      <c r="BN138" s="25">
        <v>15.163002274450342</v>
      </c>
      <c r="BO138" s="26" t="s">
        <v>176</v>
      </c>
      <c r="BP138" s="26"/>
      <c r="BQ138" s="33" t="s">
        <v>267</v>
      </c>
      <c r="BR138" s="33">
        <v>79.819999999999993</v>
      </c>
      <c r="BS138" s="33">
        <v>117.52</v>
      </c>
      <c r="BT138" s="33">
        <v>37.700000000000003</v>
      </c>
      <c r="BU138" s="36">
        <f t="shared" si="78"/>
        <v>7.2563636363636359</v>
      </c>
      <c r="BV138" s="36">
        <f t="shared" si="79"/>
        <v>10.683636363636364</v>
      </c>
      <c r="BW138" s="36">
        <f t="shared" si="80"/>
        <v>3.4272727272727277</v>
      </c>
      <c r="BX138" s="37">
        <f t="shared" si="81"/>
        <v>22.794859590671109</v>
      </c>
      <c r="BY138" s="37">
        <f t="shared" si="82"/>
        <v>33.561161351737269</v>
      </c>
      <c r="BZ138" s="37">
        <f t="shared" si="83"/>
        <v>10.76630176106616</v>
      </c>
      <c r="CA138" s="34">
        <v>5</v>
      </c>
      <c r="CB138" s="34">
        <v>6</v>
      </c>
    </row>
    <row r="139" spans="1:80" x14ac:dyDescent="0.4">
      <c r="A139" s="16" t="s">
        <v>178</v>
      </c>
      <c r="B139" s="16" t="s">
        <v>254</v>
      </c>
      <c r="C139" s="16" t="s">
        <v>108</v>
      </c>
      <c r="D139" s="29">
        <v>12</v>
      </c>
      <c r="E139" s="29">
        <v>10</v>
      </c>
      <c r="F139" s="29">
        <v>21</v>
      </c>
      <c r="G139" s="21">
        <v>7452</v>
      </c>
      <c r="H139" s="21">
        <v>35</v>
      </c>
      <c r="I139" s="22">
        <f t="shared" si="60"/>
        <v>2.9166666666666665</v>
      </c>
      <c r="J139" s="23">
        <v>13</v>
      </c>
      <c r="K139" s="23">
        <v>35</v>
      </c>
      <c r="L139" s="22">
        <f t="shared" si="84"/>
        <v>1.0833333333333333</v>
      </c>
      <c r="M139" s="22">
        <f t="shared" si="85"/>
        <v>2.9166666666666665</v>
      </c>
      <c r="N139" s="24">
        <f t="shared" si="86"/>
        <v>0.37142857142857144</v>
      </c>
      <c r="O139" s="21">
        <v>5</v>
      </c>
      <c r="P139" s="23">
        <v>12</v>
      </c>
      <c r="Q139" s="22">
        <f t="shared" si="61"/>
        <v>0.41666666666666669</v>
      </c>
      <c r="R139" s="22">
        <f t="shared" si="62"/>
        <v>1</v>
      </c>
      <c r="S139" s="24">
        <f t="shared" si="63"/>
        <v>0.41666666666666669</v>
      </c>
      <c r="T139" s="23">
        <v>8</v>
      </c>
      <c r="U139" s="23">
        <v>23</v>
      </c>
      <c r="V139" s="22">
        <f t="shared" si="64"/>
        <v>0.66666666666666663</v>
      </c>
      <c r="W139" s="22">
        <f t="shared" si="65"/>
        <v>1.9166666666666667</v>
      </c>
      <c r="X139" s="24">
        <f t="shared" si="66"/>
        <v>0.34782608695652173</v>
      </c>
      <c r="Y139" s="15">
        <v>1</v>
      </c>
      <c r="Z139" s="15">
        <v>2</v>
      </c>
      <c r="AA139" s="22">
        <f t="shared" si="67"/>
        <v>8.3333333333333329E-2</v>
      </c>
      <c r="AB139" s="22">
        <f t="shared" si="68"/>
        <v>0.16666666666666666</v>
      </c>
      <c r="AC139" s="24">
        <f t="shared" si="69"/>
        <v>0.5</v>
      </c>
      <c r="AD139" s="23">
        <v>14</v>
      </c>
      <c r="AE139" s="22">
        <f t="shared" si="70"/>
        <v>1.1666666666666667</v>
      </c>
      <c r="AF139" s="23">
        <v>8</v>
      </c>
      <c r="AG139" s="22">
        <f t="shared" si="71"/>
        <v>0.66666666666666663</v>
      </c>
      <c r="AH139" s="23">
        <v>6</v>
      </c>
      <c r="AI139" s="22">
        <f t="shared" si="72"/>
        <v>0.5</v>
      </c>
      <c r="AJ139" s="23">
        <v>3</v>
      </c>
      <c r="AK139" s="22">
        <f t="shared" si="73"/>
        <v>0.25</v>
      </c>
      <c r="AL139" s="23">
        <v>1</v>
      </c>
      <c r="AM139" s="22">
        <f t="shared" si="74"/>
        <v>8.3333333333333329E-2</v>
      </c>
      <c r="AN139" s="13">
        <v>2</v>
      </c>
      <c r="AO139" s="22">
        <f t="shared" si="75"/>
        <v>0.16666666666666666</v>
      </c>
      <c r="AP139" s="12">
        <v>2</v>
      </c>
      <c r="AQ139" s="22">
        <f t="shared" si="76"/>
        <v>0.16666666666666666</v>
      </c>
      <c r="AR139" s="23">
        <v>15</v>
      </c>
      <c r="AS139" s="22">
        <f t="shared" si="77"/>
        <v>1.25</v>
      </c>
      <c r="AT139" s="25">
        <v>0.12492404648439921</v>
      </c>
      <c r="AU139" s="25">
        <v>4.0233187273558527E-2</v>
      </c>
      <c r="AV139" s="25">
        <v>6.9198557379403058E-2</v>
      </c>
      <c r="AW139" s="25">
        <v>5.5725489104996154E-2</v>
      </c>
      <c r="AX139" s="25">
        <v>105.27550522068819</v>
      </c>
      <c r="AY139" s="25">
        <v>113.63741890100897</v>
      </c>
      <c r="AZ139" s="25">
        <v>1.3704203647394655</v>
      </c>
      <c r="BA139" s="25">
        <v>2.5</v>
      </c>
      <c r="BB139" s="25">
        <v>9.6618357487922708</v>
      </c>
      <c r="BC139" s="24">
        <v>0.48773690078037901</v>
      </c>
      <c r="BD139" s="24">
        <v>0.48571428571428571</v>
      </c>
      <c r="BE139" s="25">
        <v>3.0514452073057461</v>
      </c>
      <c r="BF139" s="24">
        <v>0.65714285714285714</v>
      </c>
      <c r="BG139" s="24">
        <v>5.7142857142857141E-2</v>
      </c>
      <c r="BH139" s="25">
        <v>1.6094676937082386</v>
      </c>
      <c r="BI139" s="25">
        <v>1.2071007702811789</v>
      </c>
      <c r="BJ139" s="25">
        <v>1.3123036670685597</v>
      </c>
      <c r="BK139" s="25">
        <v>0.66223886403960197</v>
      </c>
      <c r="BL139" s="25">
        <v>0.4313255972124645</v>
      </c>
      <c r="BM139" s="25">
        <v>0.3382699605704077</v>
      </c>
      <c r="BN139" s="25">
        <v>5.2798310454065467</v>
      </c>
      <c r="BO139" s="26" t="s">
        <v>176</v>
      </c>
      <c r="BP139" s="27"/>
      <c r="BQ139" s="32" t="s">
        <v>268</v>
      </c>
      <c r="BR139" s="32">
        <v>67.23</v>
      </c>
      <c r="BS139" s="32">
        <v>91.53</v>
      </c>
      <c r="BT139" s="32">
        <v>24.3</v>
      </c>
      <c r="BU139" s="36">
        <f t="shared" si="78"/>
        <v>5.6025000000000009</v>
      </c>
      <c r="BV139" s="36">
        <f t="shared" si="79"/>
        <v>7.6275000000000004</v>
      </c>
      <c r="BW139" s="36">
        <f t="shared" si="80"/>
        <v>2.0249999999999999</v>
      </c>
      <c r="BX139" s="37">
        <f t="shared" si="81"/>
        <v>21.65217391304348</v>
      </c>
      <c r="BY139" s="37">
        <f t="shared" si="82"/>
        <v>29.478260869565219</v>
      </c>
      <c r="BZ139" s="37">
        <f t="shared" si="83"/>
        <v>7.8260869565217392</v>
      </c>
      <c r="CA139" s="34">
        <v>5</v>
      </c>
      <c r="CB139" s="34">
        <v>7</v>
      </c>
    </row>
    <row r="140" spans="1:80" x14ac:dyDescent="0.4">
      <c r="A140" s="16" t="s">
        <v>178</v>
      </c>
      <c r="B140" s="16" t="s">
        <v>254</v>
      </c>
      <c r="C140" s="16" t="s">
        <v>201</v>
      </c>
      <c r="D140" s="23">
        <v>25</v>
      </c>
      <c r="E140" s="23">
        <v>10</v>
      </c>
      <c r="F140" s="23">
        <v>36</v>
      </c>
      <c r="G140" s="21">
        <v>15900</v>
      </c>
      <c r="H140" s="21">
        <v>67</v>
      </c>
      <c r="I140" s="22">
        <f t="shared" si="60"/>
        <v>2.68</v>
      </c>
      <c r="J140" s="23">
        <v>24</v>
      </c>
      <c r="K140" s="23">
        <v>89</v>
      </c>
      <c r="L140" s="22">
        <f t="shared" si="84"/>
        <v>0.96</v>
      </c>
      <c r="M140" s="22">
        <f t="shared" si="85"/>
        <v>3.56</v>
      </c>
      <c r="N140" s="24">
        <f t="shared" si="86"/>
        <v>0.2696629213483146</v>
      </c>
      <c r="O140" s="21">
        <v>12</v>
      </c>
      <c r="P140" s="23">
        <v>41</v>
      </c>
      <c r="Q140" s="22">
        <f t="shared" si="61"/>
        <v>0.48</v>
      </c>
      <c r="R140" s="22">
        <f t="shared" si="62"/>
        <v>1.64</v>
      </c>
      <c r="S140" s="24">
        <f t="shared" si="63"/>
        <v>0.29268292682926828</v>
      </c>
      <c r="T140" s="23">
        <v>12</v>
      </c>
      <c r="U140" s="23">
        <v>48</v>
      </c>
      <c r="V140" s="22">
        <f t="shared" si="64"/>
        <v>0.48</v>
      </c>
      <c r="W140" s="22">
        <f t="shared" si="65"/>
        <v>1.92</v>
      </c>
      <c r="X140" s="24">
        <f t="shared" si="66"/>
        <v>0.25</v>
      </c>
      <c r="Y140" s="23">
        <v>7</v>
      </c>
      <c r="Z140" s="23">
        <v>7</v>
      </c>
      <c r="AA140" s="22">
        <f t="shared" si="67"/>
        <v>0.28000000000000003</v>
      </c>
      <c r="AB140" s="22">
        <f t="shared" si="68"/>
        <v>0.28000000000000003</v>
      </c>
      <c r="AC140" s="24">
        <f t="shared" si="69"/>
        <v>1</v>
      </c>
      <c r="AD140" s="23">
        <v>30</v>
      </c>
      <c r="AE140" s="22">
        <f t="shared" si="70"/>
        <v>1.2</v>
      </c>
      <c r="AF140" s="23">
        <v>5</v>
      </c>
      <c r="AG140" s="22">
        <f t="shared" si="71"/>
        <v>0.2</v>
      </c>
      <c r="AH140" s="23">
        <v>25</v>
      </c>
      <c r="AI140" s="22">
        <f t="shared" si="72"/>
        <v>1</v>
      </c>
      <c r="AJ140" s="23">
        <v>27</v>
      </c>
      <c r="AK140" s="22">
        <f t="shared" si="73"/>
        <v>1.08</v>
      </c>
      <c r="AL140" s="23">
        <v>11</v>
      </c>
      <c r="AM140" s="22">
        <f t="shared" si="74"/>
        <v>0.44</v>
      </c>
      <c r="AN140" s="23">
        <v>1</v>
      </c>
      <c r="AO140" s="22">
        <f t="shared" si="75"/>
        <v>0.04</v>
      </c>
      <c r="AP140" s="10">
        <v>13</v>
      </c>
      <c r="AQ140" s="22">
        <f t="shared" si="76"/>
        <v>0.52</v>
      </c>
      <c r="AR140" s="23">
        <v>29</v>
      </c>
      <c r="AS140" s="22">
        <f t="shared" si="77"/>
        <v>1.1599999999999999</v>
      </c>
      <c r="AT140" s="25">
        <v>-0.32274132208409811</v>
      </c>
      <c r="AU140" s="25">
        <v>-4.8715671257977072E-2</v>
      </c>
      <c r="AV140" s="25">
        <v>-0.62919995526552264</v>
      </c>
      <c r="AW140" s="25">
        <v>0.30645863318142452</v>
      </c>
      <c r="AX140" s="25">
        <v>81.164510793609651</v>
      </c>
      <c r="AY140" s="25">
        <v>108.60537889129068</v>
      </c>
      <c r="AZ140" s="25">
        <v>1.7280710846480882</v>
      </c>
      <c r="BA140" s="25">
        <v>2.3199999999999998</v>
      </c>
      <c r="BB140" s="25">
        <v>8.7547169811320753</v>
      </c>
      <c r="BC140" s="24">
        <v>0.36381407471763683</v>
      </c>
      <c r="BD140" s="24">
        <v>0.33707865168539325</v>
      </c>
      <c r="BE140" s="25">
        <v>8.2651388587375454</v>
      </c>
      <c r="BF140" s="24">
        <v>0.5393258426966292</v>
      </c>
      <c r="BG140" s="24">
        <v>7.8651685393258425E-2</v>
      </c>
      <c r="BH140" s="25">
        <v>0.98219284374294036</v>
      </c>
      <c r="BI140" s="25">
        <v>4.9109642187147022</v>
      </c>
      <c r="BJ140" s="25">
        <v>2.7457566618921008</v>
      </c>
      <c r="BK140" s="25">
        <v>5.9567802499641482</v>
      </c>
      <c r="BL140" s="25">
        <v>2.2236869091006377</v>
      </c>
      <c r="BM140" s="25">
        <v>0.16514594773130753</v>
      </c>
      <c r="BN140" s="25">
        <v>12.371526456033498</v>
      </c>
      <c r="BO140" s="26" t="s">
        <v>250</v>
      </c>
      <c r="BP140" s="27"/>
      <c r="BQ140" s="32" t="s">
        <v>267</v>
      </c>
      <c r="BR140" s="32">
        <v>138.81</v>
      </c>
      <c r="BS140" s="32">
        <v>219.71</v>
      </c>
      <c r="BT140" s="32">
        <v>80.900000000000006</v>
      </c>
      <c r="BU140" s="36">
        <f t="shared" si="78"/>
        <v>5.5524000000000004</v>
      </c>
      <c r="BV140" s="36">
        <f t="shared" si="79"/>
        <v>8.7884000000000011</v>
      </c>
      <c r="BW140" s="36">
        <f t="shared" si="80"/>
        <v>3.2360000000000002</v>
      </c>
      <c r="BX140" s="37">
        <f t="shared" si="81"/>
        <v>20.952452830188683</v>
      </c>
      <c r="BY140" s="37">
        <f t="shared" si="82"/>
        <v>33.163773584905663</v>
      </c>
      <c r="BZ140" s="37">
        <f t="shared" si="83"/>
        <v>12.211320754716981</v>
      </c>
      <c r="CA140" s="34">
        <v>11</v>
      </c>
      <c r="CB140" s="34">
        <v>14</v>
      </c>
    </row>
    <row r="141" spans="1:80" x14ac:dyDescent="0.4">
      <c r="A141" s="16" t="s">
        <v>178</v>
      </c>
      <c r="B141" s="16" t="s">
        <v>254</v>
      </c>
      <c r="C141" s="16" t="s">
        <v>202</v>
      </c>
      <c r="D141" s="23">
        <v>43</v>
      </c>
      <c r="E141" s="23">
        <v>19</v>
      </c>
      <c r="F141" s="23">
        <v>55</v>
      </c>
      <c r="G141" s="21">
        <v>51385</v>
      </c>
      <c r="H141" s="21">
        <v>411</v>
      </c>
      <c r="I141" s="22">
        <f t="shared" si="60"/>
        <v>9.5581395348837201</v>
      </c>
      <c r="J141" s="23">
        <v>178</v>
      </c>
      <c r="K141" s="23">
        <v>305</v>
      </c>
      <c r="L141" s="22">
        <f t="shared" si="84"/>
        <v>4.1395348837209305</v>
      </c>
      <c r="M141" s="22">
        <f t="shared" si="85"/>
        <v>7.0930232558139537</v>
      </c>
      <c r="N141" s="24">
        <f t="shared" si="86"/>
        <v>0.58360655737704914</v>
      </c>
      <c r="O141" s="21">
        <v>173</v>
      </c>
      <c r="P141" s="23">
        <v>284</v>
      </c>
      <c r="Q141" s="22">
        <f t="shared" si="61"/>
        <v>4.0232558139534884</v>
      </c>
      <c r="R141" s="22">
        <f t="shared" si="62"/>
        <v>6.6046511627906979</v>
      </c>
      <c r="S141" s="24">
        <f t="shared" si="63"/>
        <v>0.60915492957746475</v>
      </c>
      <c r="T141" s="23">
        <v>5</v>
      </c>
      <c r="U141" s="23">
        <v>21</v>
      </c>
      <c r="V141" s="22">
        <f t="shared" si="64"/>
        <v>0.11627906976744186</v>
      </c>
      <c r="W141" s="22">
        <f t="shared" si="65"/>
        <v>0.48837209302325579</v>
      </c>
      <c r="X141" s="24">
        <f t="shared" si="66"/>
        <v>0.23809523809523808</v>
      </c>
      <c r="Y141" s="23">
        <v>50</v>
      </c>
      <c r="Z141" s="23">
        <v>73</v>
      </c>
      <c r="AA141" s="22">
        <f t="shared" si="67"/>
        <v>1.1627906976744187</v>
      </c>
      <c r="AB141" s="22">
        <f t="shared" si="68"/>
        <v>1.6976744186046511</v>
      </c>
      <c r="AC141" s="24">
        <f t="shared" si="69"/>
        <v>0.68493150684931503</v>
      </c>
      <c r="AD141" s="23">
        <v>305</v>
      </c>
      <c r="AE141" s="22">
        <f t="shared" si="70"/>
        <v>7.0930232558139537</v>
      </c>
      <c r="AF141" s="23">
        <v>79</v>
      </c>
      <c r="AG141" s="22">
        <f t="shared" si="71"/>
        <v>1.8372093023255813</v>
      </c>
      <c r="AH141" s="23">
        <v>226</v>
      </c>
      <c r="AI141" s="22">
        <f t="shared" si="72"/>
        <v>5.2558139534883717</v>
      </c>
      <c r="AJ141" s="23">
        <v>49</v>
      </c>
      <c r="AK141" s="22">
        <f t="shared" si="73"/>
        <v>1.1395348837209303</v>
      </c>
      <c r="AL141" s="23">
        <v>38</v>
      </c>
      <c r="AM141" s="22">
        <f t="shared" si="74"/>
        <v>0.88372093023255816</v>
      </c>
      <c r="AN141" s="23">
        <v>13</v>
      </c>
      <c r="AO141" s="22">
        <f t="shared" si="75"/>
        <v>0.30232558139534882</v>
      </c>
      <c r="AP141" s="10">
        <v>40</v>
      </c>
      <c r="AQ141" s="22">
        <f t="shared" si="76"/>
        <v>0.93023255813953487</v>
      </c>
      <c r="AR141" s="23">
        <v>56</v>
      </c>
      <c r="AS141" s="22">
        <f t="shared" si="77"/>
        <v>1.3023255813953489</v>
      </c>
      <c r="AT141" s="25">
        <v>4.1617453560466364</v>
      </c>
      <c r="AU141" s="25">
        <v>0.19437946588521801</v>
      </c>
      <c r="AV141" s="25">
        <v>2.279665969988228</v>
      </c>
      <c r="AW141" s="25">
        <v>1.8820793860584086</v>
      </c>
      <c r="AX141" s="25">
        <v>118.15929776302274</v>
      </c>
      <c r="AY141" s="25">
        <v>101.20295991995938</v>
      </c>
      <c r="AZ141" s="25">
        <v>17.989813828667874</v>
      </c>
      <c r="BA141" s="25">
        <v>14.55813953488372</v>
      </c>
      <c r="BB141" s="25">
        <v>29.238104505205801</v>
      </c>
      <c r="BC141" s="24">
        <v>0.60957522543901277</v>
      </c>
      <c r="BD141" s="24">
        <v>0.59180327868852456</v>
      </c>
      <c r="BE141" s="25">
        <v>15.786972984400149</v>
      </c>
      <c r="BF141" s="24">
        <v>6.8852459016393447E-2</v>
      </c>
      <c r="BG141" s="24">
        <v>0.23934426229508196</v>
      </c>
      <c r="BH141" s="25">
        <v>8.2592966093757827</v>
      </c>
      <c r="BI141" s="25">
        <v>23.627861186315531</v>
      </c>
      <c r="BJ141" s="25">
        <v>14.85695613037182</v>
      </c>
      <c r="BK141" s="25">
        <v>6.8174110649596082</v>
      </c>
      <c r="BL141" s="25">
        <v>2.3769788326600541</v>
      </c>
      <c r="BM141" s="25">
        <v>1.1426164818765279</v>
      </c>
      <c r="BN141" s="25">
        <v>10.606703436571914</v>
      </c>
      <c r="BO141" s="26" t="s">
        <v>249</v>
      </c>
      <c r="BP141" s="27"/>
      <c r="BQ141" s="33" t="s">
        <v>268</v>
      </c>
      <c r="BR141" s="33">
        <v>890.24</v>
      </c>
      <c r="BS141" s="33">
        <v>1094.04</v>
      </c>
      <c r="BT141" s="33">
        <v>203.8</v>
      </c>
      <c r="BU141" s="36">
        <f t="shared" si="78"/>
        <v>20.70325581395349</v>
      </c>
      <c r="BV141" s="36">
        <f t="shared" si="79"/>
        <v>25.442790697674418</v>
      </c>
      <c r="BW141" s="36">
        <f t="shared" si="80"/>
        <v>4.7395348837209301</v>
      </c>
      <c r="BX141" s="37">
        <f t="shared" si="81"/>
        <v>41.579760630534196</v>
      </c>
      <c r="BY141" s="37">
        <f t="shared" si="82"/>
        <v>51.098491777756152</v>
      </c>
      <c r="BZ141" s="37">
        <f t="shared" si="83"/>
        <v>9.5187311472219527</v>
      </c>
      <c r="CA141" s="35">
        <v>19</v>
      </c>
      <c r="CB141" s="35">
        <v>24</v>
      </c>
    </row>
    <row r="142" spans="1:80" x14ac:dyDescent="0.4">
      <c r="A142" s="16" t="s">
        <v>178</v>
      </c>
      <c r="B142" s="16" t="s">
        <v>254</v>
      </c>
      <c r="C142" s="16" t="s">
        <v>203</v>
      </c>
      <c r="D142" s="29">
        <v>2</v>
      </c>
      <c r="E142" s="29">
        <v>5</v>
      </c>
      <c r="F142" s="29">
        <v>10</v>
      </c>
      <c r="G142" s="21">
        <v>620</v>
      </c>
      <c r="H142" s="21">
        <v>0</v>
      </c>
      <c r="I142" s="22">
        <f t="shared" si="60"/>
        <v>0</v>
      </c>
      <c r="J142" s="23">
        <v>0</v>
      </c>
      <c r="K142" s="23">
        <v>4</v>
      </c>
      <c r="L142" s="22">
        <f t="shared" si="84"/>
        <v>0</v>
      </c>
      <c r="M142" s="22">
        <f t="shared" si="85"/>
        <v>2</v>
      </c>
      <c r="N142" s="24">
        <f t="shared" si="86"/>
        <v>0</v>
      </c>
      <c r="O142" s="21">
        <v>0</v>
      </c>
      <c r="P142" s="23">
        <v>1</v>
      </c>
      <c r="Q142" s="22">
        <f t="shared" si="61"/>
        <v>0</v>
      </c>
      <c r="R142" s="22">
        <f t="shared" si="62"/>
        <v>0.5</v>
      </c>
      <c r="S142" s="24">
        <f t="shared" si="63"/>
        <v>0</v>
      </c>
      <c r="T142" s="23">
        <v>0</v>
      </c>
      <c r="U142" s="23">
        <v>3</v>
      </c>
      <c r="V142" s="22">
        <f t="shared" si="64"/>
        <v>0</v>
      </c>
      <c r="W142" s="22">
        <f t="shared" si="65"/>
        <v>1.5</v>
      </c>
      <c r="X142" s="24">
        <f t="shared" si="66"/>
        <v>0</v>
      </c>
      <c r="Y142" s="15">
        <v>0</v>
      </c>
      <c r="Z142" s="15">
        <v>0</v>
      </c>
      <c r="AA142" s="22">
        <f t="shared" si="67"/>
        <v>0</v>
      </c>
      <c r="AB142" s="22">
        <f t="shared" si="68"/>
        <v>0</v>
      </c>
      <c r="AC142" s="24" t="e">
        <f t="shared" si="69"/>
        <v>#DIV/0!</v>
      </c>
      <c r="AD142" s="23">
        <v>0</v>
      </c>
      <c r="AE142" s="22">
        <f t="shared" si="70"/>
        <v>0</v>
      </c>
      <c r="AF142" s="23">
        <v>0</v>
      </c>
      <c r="AG142" s="22">
        <f t="shared" si="71"/>
        <v>0</v>
      </c>
      <c r="AH142" s="23">
        <v>0</v>
      </c>
      <c r="AI142" s="22">
        <f t="shared" si="72"/>
        <v>0</v>
      </c>
      <c r="AJ142" s="23">
        <v>1</v>
      </c>
      <c r="AK142" s="22">
        <f t="shared" si="73"/>
        <v>0.5</v>
      </c>
      <c r="AL142" s="23">
        <v>0</v>
      </c>
      <c r="AM142" s="22">
        <f t="shared" si="74"/>
        <v>0</v>
      </c>
      <c r="AN142" s="13">
        <v>0</v>
      </c>
      <c r="AO142" s="22">
        <f t="shared" si="75"/>
        <v>0</v>
      </c>
      <c r="AP142" s="8">
        <v>0</v>
      </c>
      <c r="AQ142" s="22">
        <f t="shared" si="76"/>
        <v>0</v>
      </c>
      <c r="AR142" s="23">
        <v>0</v>
      </c>
      <c r="AS142" s="22">
        <f t="shared" si="77"/>
        <v>0</v>
      </c>
      <c r="AT142" s="25">
        <v>-0.10013096119493295</v>
      </c>
      <c r="AU142" s="25">
        <v>-0.38760372075457911</v>
      </c>
      <c r="AV142" s="25">
        <v>-9.8757832890565667E-2</v>
      </c>
      <c r="AW142" s="25">
        <v>-1.3731283043672772E-3</v>
      </c>
      <c r="AX142" s="25">
        <v>16.503270189935218</v>
      </c>
      <c r="AY142" s="25">
        <v>117.77212085437773</v>
      </c>
      <c r="AZ142" s="25">
        <v>-0.43949467524030744</v>
      </c>
      <c r="BA142" s="25">
        <v>-1.5</v>
      </c>
      <c r="BB142" s="25">
        <v>-11.61290322580645</v>
      </c>
      <c r="BC142" s="24">
        <v>0</v>
      </c>
      <c r="BD142" s="24">
        <v>0</v>
      </c>
      <c r="BE142" s="25">
        <v>0.64548403233874996</v>
      </c>
      <c r="BF142" s="24">
        <v>0.75</v>
      </c>
      <c r="BG142" s="24">
        <v>0</v>
      </c>
      <c r="BH142" s="25">
        <v>0</v>
      </c>
      <c r="BI142" s="25">
        <v>0</v>
      </c>
      <c r="BJ142" s="25">
        <v>0</v>
      </c>
      <c r="BK142" s="25">
        <v>0.42986871093120305</v>
      </c>
      <c r="BL142" s="25">
        <v>0</v>
      </c>
      <c r="BM142" s="25">
        <v>0</v>
      </c>
      <c r="BN142" s="25">
        <v>0</v>
      </c>
      <c r="BO142" s="26" t="s">
        <v>176</v>
      </c>
      <c r="BP142" s="27"/>
      <c r="BQ142" s="33" t="s">
        <v>267</v>
      </c>
      <c r="BR142" s="33">
        <v>0.38</v>
      </c>
      <c r="BS142" s="33">
        <v>4.08</v>
      </c>
      <c r="BT142" s="33">
        <v>3.7</v>
      </c>
      <c r="BU142" s="36">
        <f t="shared" si="78"/>
        <v>0.18999999999999995</v>
      </c>
      <c r="BV142" s="36">
        <f t="shared" si="79"/>
        <v>2.04</v>
      </c>
      <c r="BW142" s="36">
        <f t="shared" si="80"/>
        <v>1.85</v>
      </c>
      <c r="BX142" s="37">
        <f t="shared" si="81"/>
        <v>1.4709677419354836</v>
      </c>
      <c r="BY142" s="37">
        <f t="shared" si="82"/>
        <v>15.793548387096774</v>
      </c>
      <c r="BZ142" s="37">
        <f t="shared" si="83"/>
        <v>14.32258064516129</v>
      </c>
      <c r="CA142" s="35">
        <v>0</v>
      </c>
      <c r="CB142" s="35">
        <v>2</v>
      </c>
    </row>
    <row r="143" spans="1:80" x14ac:dyDescent="0.4">
      <c r="A143" s="16" t="s">
        <v>178</v>
      </c>
      <c r="B143" s="16" t="s">
        <v>254</v>
      </c>
      <c r="C143" s="16" t="s">
        <v>204</v>
      </c>
      <c r="D143" s="23">
        <v>10</v>
      </c>
      <c r="E143" s="23">
        <v>11</v>
      </c>
      <c r="F143" s="23">
        <v>9</v>
      </c>
      <c r="G143" s="21">
        <v>6690</v>
      </c>
      <c r="H143" s="21">
        <v>31</v>
      </c>
      <c r="I143" s="22">
        <f t="shared" si="60"/>
        <v>3.1</v>
      </c>
      <c r="J143" s="23">
        <v>7</v>
      </c>
      <c r="K143" s="23">
        <v>28</v>
      </c>
      <c r="L143" s="22">
        <f t="shared" si="84"/>
        <v>0.7</v>
      </c>
      <c r="M143" s="22">
        <f t="shared" si="85"/>
        <v>2.8</v>
      </c>
      <c r="N143" s="24">
        <f t="shared" si="86"/>
        <v>0.25</v>
      </c>
      <c r="O143" s="21">
        <v>1</v>
      </c>
      <c r="P143" s="23">
        <v>6</v>
      </c>
      <c r="Q143" s="22">
        <f t="shared" si="61"/>
        <v>0.1</v>
      </c>
      <c r="R143" s="22">
        <f t="shared" si="62"/>
        <v>0.6</v>
      </c>
      <c r="S143" s="24">
        <f t="shared" si="63"/>
        <v>0.16666666666666666</v>
      </c>
      <c r="T143" s="23">
        <v>6</v>
      </c>
      <c r="U143" s="23">
        <v>22</v>
      </c>
      <c r="V143" s="22">
        <f t="shared" si="64"/>
        <v>0.6</v>
      </c>
      <c r="W143" s="22">
        <f t="shared" si="65"/>
        <v>2.2000000000000002</v>
      </c>
      <c r="X143" s="24">
        <f t="shared" si="66"/>
        <v>0.27272727272727271</v>
      </c>
      <c r="Y143" s="23">
        <v>11</v>
      </c>
      <c r="Z143" s="23">
        <v>14</v>
      </c>
      <c r="AA143" s="22">
        <f t="shared" si="67"/>
        <v>1.1000000000000001</v>
      </c>
      <c r="AB143" s="22">
        <f t="shared" si="68"/>
        <v>1.4</v>
      </c>
      <c r="AC143" s="24">
        <f t="shared" si="69"/>
        <v>0.7857142857142857</v>
      </c>
      <c r="AD143" s="23">
        <v>18</v>
      </c>
      <c r="AE143" s="22">
        <f t="shared" si="70"/>
        <v>1.8</v>
      </c>
      <c r="AF143" s="23">
        <v>5</v>
      </c>
      <c r="AG143" s="22">
        <f t="shared" si="71"/>
        <v>0.5</v>
      </c>
      <c r="AH143" s="23">
        <v>13</v>
      </c>
      <c r="AI143" s="22">
        <f t="shared" si="72"/>
        <v>1.3</v>
      </c>
      <c r="AJ143" s="23">
        <v>12</v>
      </c>
      <c r="AK143" s="22">
        <f t="shared" si="73"/>
        <v>1.2</v>
      </c>
      <c r="AL143" s="23">
        <v>2</v>
      </c>
      <c r="AM143" s="22">
        <f t="shared" si="74"/>
        <v>0.2</v>
      </c>
      <c r="AN143" s="23">
        <v>0</v>
      </c>
      <c r="AO143" s="22">
        <f t="shared" si="75"/>
        <v>0</v>
      </c>
      <c r="AP143" s="9">
        <v>9</v>
      </c>
      <c r="AQ143" s="22">
        <f t="shared" si="76"/>
        <v>0.9</v>
      </c>
      <c r="AR143" s="23">
        <v>13</v>
      </c>
      <c r="AS143" s="22">
        <f t="shared" si="77"/>
        <v>1.3</v>
      </c>
      <c r="AT143" s="25">
        <v>-2.9121136396363892E-2</v>
      </c>
      <c r="AU143" s="25">
        <v>-1.0447044447126059E-2</v>
      </c>
      <c r="AV143" s="25">
        <v>-0.12474629235518683</v>
      </c>
      <c r="AW143" s="25">
        <v>9.5625155958822941E-2</v>
      </c>
      <c r="AX143" s="25">
        <v>91.167099517480182</v>
      </c>
      <c r="AY143" s="25">
        <v>110.72991696811832</v>
      </c>
      <c r="AZ143" s="25">
        <v>0.78689964270956969</v>
      </c>
      <c r="BA143" s="25">
        <v>3</v>
      </c>
      <c r="BB143" s="25">
        <v>10.762331838565022</v>
      </c>
      <c r="BC143" s="24">
        <v>0.45374707259953168</v>
      </c>
      <c r="BD143" s="24">
        <v>0.35714285714285715</v>
      </c>
      <c r="BE143" s="25">
        <v>3.2273236767860749</v>
      </c>
      <c r="BF143" s="24">
        <v>0.7857142857142857</v>
      </c>
      <c r="BG143" s="24">
        <v>0.5</v>
      </c>
      <c r="BH143" s="25">
        <v>0.93374386938790754</v>
      </c>
      <c r="BI143" s="25">
        <v>2.4277340604085595</v>
      </c>
      <c r="BJ143" s="25">
        <v>1.5661894501913687</v>
      </c>
      <c r="BK143" s="25">
        <v>2.4241016304608571</v>
      </c>
      <c r="BL143" s="25">
        <v>0.96090832598723031</v>
      </c>
      <c r="BM143" s="25">
        <v>0</v>
      </c>
      <c r="BN143" s="25">
        <v>20.852641334569046</v>
      </c>
      <c r="BO143" s="26" t="s">
        <v>176</v>
      </c>
      <c r="BP143" s="27"/>
      <c r="BQ143" s="32" t="s">
        <v>267</v>
      </c>
      <c r="BR143" s="32">
        <v>65.55</v>
      </c>
      <c r="BS143" s="32">
        <v>100.85</v>
      </c>
      <c r="BT143" s="32">
        <v>35.299999999999997</v>
      </c>
      <c r="BU143" s="36">
        <f t="shared" si="78"/>
        <v>6.5549999999999997</v>
      </c>
      <c r="BV143" s="36">
        <f t="shared" si="79"/>
        <v>10.084999999999999</v>
      </c>
      <c r="BW143" s="36">
        <f t="shared" si="80"/>
        <v>3.53</v>
      </c>
      <c r="BX143" s="37">
        <f t="shared" si="81"/>
        <v>23.515695067264577</v>
      </c>
      <c r="BY143" s="37">
        <f t="shared" si="82"/>
        <v>36.179372197309419</v>
      </c>
      <c r="BZ143" s="37">
        <f t="shared" si="83"/>
        <v>12.663677130044842</v>
      </c>
      <c r="CA143" s="35">
        <v>2</v>
      </c>
      <c r="CB143" s="35">
        <v>8</v>
      </c>
    </row>
    <row r="144" spans="1:80" x14ac:dyDescent="0.4">
      <c r="A144" s="16" t="s">
        <v>178</v>
      </c>
      <c r="B144" s="16" t="s">
        <v>254</v>
      </c>
      <c r="C144" s="16" t="s">
        <v>205</v>
      </c>
      <c r="D144" s="39">
        <v>7</v>
      </c>
      <c r="E144" s="39">
        <v>4</v>
      </c>
      <c r="F144" s="39">
        <v>0</v>
      </c>
      <c r="G144" s="67">
        <v>1680</v>
      </c>
      <c r="H144" s="67">
        <v>8</v>
      </c>
      <c r="I144" s="22">
        <f t="shared" si="60"/>
        <v>1.1428571428571428</v>
      </c>
      <c r="J144" s="39">
        <v>3</v>
      </c>
      <c r="K144" s="39">
        <v>6</v>
      </c>
      <c r="L144" s="22">
        <f t="shared" si="84"/>
        <v>0.42857142857142855</v>
      </c>
      <c r="M144" s="22">
        <f t="shared" si="85"/>
        <v>0.8571428571428571</v>
      </c>
      <c r="N144" s="24">
        <f t="shared" si="86"/>
        <v>0.5</v>
      </c>
      <c r="O144" s="67">
        <v>1</v>
      </c>
      <c r="P144" s="39">
        <v>3</v>
      </c>
      <c r="Q144" s="22">
        <f t="shared" si="61"/>
        <v>0.14285714285714285</v>
      </c>
      <c r="R144" s="22">
        <f t="shared" si="62"/>
        <v>0.42857142857142855</v>
      </c>
      <c r="S144" s="24">
        <f t="shared" si="63"/>
        <v>0.33333333333333331</v>
      </c>
      <c r="T144" s="39">
        <v>2</v>
      </c>
      <c r="U144" s="39">
        <v>3</v>
      </c>
      <c r="V144" s="22">
        <f t="shared" si="64"/>
        <v>0.2857142857142857</v>
      </c>
      <c r="W144" s="22">
        <f t="shared" si="65"/>
        <v>0.42857142857142855</v>
      </c>
      <c r="X144" s="24">
        <f t="shared" si="66"/>
        <v>0.66666666666666663</v>
      </c>
      <c r="Y144" s="39">
        <v>0</v>
      </c>
      <c r="Z144" s="39">
        <v>0</v>
      </c>
      <c r="AA144" s="22">
        <f t="shared" si="67"/>
        <v>0</v>
      </c>
      <c r="AB144" s="22">
        <f t="shared" si="68"/>
        <v>0</v>
      </c>
      <c r="AC144" s="24" t="e">
        <f t="shared" si="69"/>
        <v>#DIV/0!</v>
      </c>
      <c r="AD144" s="39">
        <v>1</v>
      </c>
      <c r="AE144" s="22">
        <f t="shared" si="70"/>
        <v>0.14285714285714285</v>
      </c>
      <c r="AF144" s="39">
        <v>0</v>
      </c>
      <c r="AG144" s="22">
        <f t="shared" si="71"/>
        <v>0</v>
      </c>
      <c r="AH144" s="39">
        <v>1</v>
      </c>
      <c r="AI144" s="22">
        <f t="shared" si="72"/>
        <v>0.14285714285714285</v>
      </c>
      <c r="AJ144" s="39">
        <v>0</v>
      </c>
      <c r="AK144" s="22">
        <f t="shared" si="73"/>
        <v>0</v>
      </c>
      <c r="AL144" s="39">
        <v>0</v>
      </c>
      <c r="AM144" s="22">
        <f t="shared" si="74"/>
        <v>0</v>
      </c>
      <c r="AN144" s="39">
        <v>0</v>
      </c>
      <c r="AO144" s="22">
        <f t="shared" si="75"/>
        <v>0</v>
      </c>
      <c r="AP144" s="10">
        <v>2</v>
      </c>
      <c r="AQ144" s="22">
        <f t="shared" si="76"/>
        <v>0.2857142857142857</v>
      </c>
      <c r="AR144" s="39">
        <v>8</v>
      </c>
      <c r="AS144" s="22">
        <f t="shared" si="77"/>
        <v>1.1428571428571428</v>
      </c>
      <c r="AT144" s="25">
        <v>-1.7770730438541014E-2</v>
      </c>
      <c r="AU144" s="25">
        <v>-2.5386757769344306E-2</v>
      </c>
      <c r="AV144" s="25">
        <v>-2.3280302802072758E-2</v>
      </c>
      <c r="AW144" s="25">
        <v>5.5095723635317437E-3</v>
      </c>
      <c r="AX144" s="25">
        <v>89.752050197607147</v>
      </c>
      <c r="AY144" s="25">
        <v>115.42838489684509</v>
      </c>
      <c r="AZ144" s="25">
        <v>-0.46807512629043857</v>
      </c>
      <c r="BA144" s="25">
        <v>0.5714285714285714</v>
      </c>
      <c r="BB144" s="25">
        <v>5.7142857142857135</v>
      </c>
      <c r="BC144" s="24">
        <v>0.66666666666666663</v>
      </c>
      <c r="BD144" s="24">
        <v>0.66666666666666663</v>
      </c>
      <c r="BE144" s="25">
        <v>1.6675004168751042</v>
      </c>
      <c r="BF144" s="24">
        <v>0.5</v>
      </c>
      <c r="BG144" s="24">
        <v>0</v>
      </c>
      <c r="BH144" s="25">
        <v>0</v>
      </c>
      <c r="BI144" s="25">
        <v>0.52056220718375845</v>
      </c>
      <c r="BJ144" s="25">
        <v>0.24254183846713559</v>
      </c>
      <c r="BK144" s="25">
        <v>0</v>
      </c>
      <c r="BL144" s="25">
        <v>0</v>
      </c>
      <c r="BM144" s="25">
        <v>0</v>
      </c>
      <c r="BN144" s="25">
        <v>25</v>
      </c>
      <c r="BO144" s="26" t="s">
        <v>176</v>
      </c>
      <c r="BP144" s="27"/>
      <c r="BQ144" s="32" t="s">
        <v>268</v>
      </c>
      <c r="BR144" s="32">
        <v>10.1</v>
      </c>
      <c r="BS144" s="32">
        <v>16</v>
      </c>
      <c r="BT144" s="32">
        <v>5.9</v>
      </c>
      <c r="BU144" s="36">
        <f t="shared" si="78"/>
        <v>1.4428571428571426</v>
      </c>
      <c r="BV144" s="36">
        <f t="shared" si="79"/>
        <v>2.2857142857142856</v>
      </c>
      <c r="BW144" s="36">
        <f t="shared" si="80"/>
        <v>0.84285714285714286</v>
      </c>
      <c r="BX144" s="37">
        <f t="shared" si="81"/>
        <v>14.428571428571429</v>
      </c>
      <c r="BY144" s="37">
        <f t="shared" si="82"/>
        <v>22.857142857142858</v>
      </c>
      <c r="BZ144" s="37">
        <f t="shared" si="83"/>
        <v>8.4285714285714288</v>
      </c>
      <c r="CA144" s="35">
        <v>2</v>
      </c>
      <c r="CB144" s="35">
        <v>5</v>
      </c>
    </row>
    <row r="145" spans="1:80" x14ac:dyDescent="0.4">
      <c r="A145" s="16" t="s">
        <v>178</v>
      </c>
      <c r="B145" s="16" t="s">
        <v>254</v>
      </c>
      <c r="C145" s="16" t="s">
        <v>111</v>
      </c>
      <c r="D145" s="39">
        <v>47</v>
      </c>
      <c r="E145" s="39">
        <v>19</v>
      </c>
      <c r="F145" s="39">
        <v>13</v>
      </c>
      <c r="G145" s="21">
        <v>54191</v>
      </c>
      <c r="H145" s="21">
        <v>252</v>
      </c>
      <c r="I145" s="22">
        <f t="shared" si="60"/>
        <v>5.3617021276595747</v>
      </c>
      <c r="J145" s="23">
        <v>101</v>
      </c>
      <c r="K145" s="23">
        <v>293</v>
      </c>
      <c r="L145" s="22">
        <f t="shared" si="84"/>
        <v>2.1489361702127661</v>
      </c>
      <c r="M145" s="22">
        <f t="shared" si="85"/>
        <v>6.2340425531914896</v>
      </c>
      <c r="N145" s="24">
        <f t="shared" si="86"/>
        <v>0.34470989761092152</v>
      </c>
      <c r="O145" s="21">
        <v>74</v>
      </c>
      <c r="P145" s="23">
        <v>180</v>
      </c>
      <c r="Q145" s="22">
        <f t="shared" si="61"/>
        <v>1.574468085106383</v>
      </c>
      <c r="R145" s="22">
        <f t="shared" si="62"/>
        <v>3.8297872340425534</v>
      </c>
      <c r="S145" s="24">
        <f t="shared" si="63"/>
        <v>0.41111111111111109</v>
      </c>
      <c r="T145" s="23">
        <v>27</v>
      </c>
      <c r="U145" s="23">
        <v>113</v>
      </c>
      <c r="V145" s="22">
        <f t="shared" si="64"/>
        <v>0.57446808510638303</v>
      </c>
      <c r="W145" s="22">
        <f t="shared" si="65"/>
        <v>2.4042553191489362</v>
      </c>
      <c r="X145" s="24">
        <f t="shared" si="66"/>
        <v>0.23893805309734514</v>
      </c>
      <c r="Y145" s="23">
        <v>23</v>
      </c>
      <c r="Z145" s="23">
        <v>52</v>
      </c>
      <c r="AA145" s="22">
        <f t="shared" si="67"/>
        <v>0.48936170212765956</v>
      </c>
      <c r="AB145" s="22">
        <f t="shared" si="68"/>
        <v>1.1063829787234043</v>
      </c>
      <c r="AC145" s="24">
        <f t="shared" si="69"/>
        <v>0.44230769230769229</v>
      </c>
      <c r="AD145" s="23">
        <v>120</v>
      </c>
      <c r="AE145" s="22">
        <f t="shared" si="70"/>
        <v>2.5531914893617023</v>
      </c>
      <c r="AF145" s="23">
        <v>24</v>
      </c>
      <c r="AG145" s="22">
        <f t="shared" si="71"/>
        <v>0.51063829787234039</v>
      </c>
      <c r="AH145" s="23">
        <v>96</v>
      </c>
      <c r="AI145" s="22">
        <f t="shared" si="72"/>
        <v>2.0425531914893615</v>
      </c>
      <c r="AJ145" s="23">
        <v>185</v>
      </c>
      <c r="AK145" s="22">
        <f t="shared" si="73"/>
        <v>3.9361702127659575</v>
      </c>
      <c r="AL145" s="23">
        <v>49</v>
      </c>
      <c r="AM145" s="22">
        <f t="shared" si="74"/>
        <v>1.0425531914893618</v>
      </c>
      <c r="AN145" s="23">
        <v>1</v>
      </c>
      <c r="AO145" s="22">
        <f t="shared" si="75"/>
        <v>2.1276595744680851E-2</v>
      </c>
      <c r="AP145" s="10">
        <v>57</v>
      </c>
      <c r="AQ145" s="22">
        <f t="shared" si="76"/>
        <v>1.2127659574468086</v>
      </c>
      <c r="AR145" s="23">
        <v>78</v>
      </c>
      <c r="AS145" s="22">
        <f t="shared" si="77"/>
        <v>1.6595744680851063</v>
      </c>
      <c r="AT145" s="25">
        <v>0.32629427685297674</v>
      </c>
      <c r="AU145" s="25">
        <v>1.4450854652011298E-2</v>
      </c>
      <c r="AV145" s="25">
        <v>-0.94058837084713931</v>
      </c>
      <c r="AW145" s="25">
        <v>1.266882647700116</v>
      </c>
      <c r="AX145" s="25">
        <v>92.438130940492456</v>
      </c>
      <c r="AY145" s="25">
        <v>106.85470088693073</v>
      </c>
      <c r="AZ145" s="25">
        <v>8.7046330483328695</v>
      </c>
      <c r="BA145" s="25">
        <v>7</v>
      </c>
      <c r="BB145" s="25">
        <v>14.570685169124024</v>
      </c>
      <c r="BC145" s="24">
        <v>0.39888565277953653</v>
      </c>
      <c r="BD145" s="24">
        <v>0.39078498293515357</v>
      </c>
      <c r="BE145" s="25">
        <v>16.178080367156689</v>
      </c>
      <c r="BF145" s="24">
        <v>0.38566552901023893</v>
      </c>
      <c r="BG145" s="24">
        <v>0.17747440273037543</v>
      </c>
      <c r="BH145" s="25">
        <v>2.6005536109093224</v>
      </c>
      <c r="BI145" s="25">
        <v>10.402214443637289</v>
      </c>
      <c r="BJ145" s="25">
        <v>6.0582870319631441</v>
      </c>
      <c r="BK145" s="25">
        <v>24.207358928071976</v>
      </c>
      <c r="BL145" s="25">
        <v>2.9063438425372663</v>
      </c>
      <c r="BM145" s="25">
        <v>9.1095249572516565E-2</v>
      </c>
      <c r="BN145" s="25">
        <v>15.28641922334263</v>
      </c>
      <c r="BO145" s="26" t="s">
        <v>176</v>
      </c>
      <c r="BP145" s="27"/>
      <c r="BQ145" s="33" t="s">
        <v>267</v>
      </c>
      <c r="BR145" s="33">
        <v>652.65</v>
      </c>
      <c r="BS145" s="33">
        <v>944.75</v>
      </c>
      <c r="BT145" s="33">
        <v>292.10000000000002</v>
      </c>
      <c r="BU145" s="36">
        <f t="shared" si="78"/>
        <v>13.886170212765956</v>
      </c>
      <c r="BV145" s="36">
        <f t="shared" si="79"/>
        <v>20.101063829787233</v>
      </c>
      <c r="BW145" s="36">
        <f t="shared" si="80"/>
        <v>6.2148936170212767</v>
      </c>
      <c r="BX145" s="37">
        <f t="shared" si="81"/>
        <v>28.904430625011535</v>
      </c>
      <c r="BY145" s="37">
        <f t="shared" si="82"/>
        <v>41.840896089756605</v>
      </c>
      <c r="BZ145" s="37">
        <f t="shared" si="83"/>
        <v>12.936465464745069</v>
      </c>
      <c r="CA145" s="35">
        <v>20</v>
      </c>
      <c r="CB145" s="35">
        <v>27</v>
      </c>
    </row>
    <row r="146" spans="1:80" x14ac:dyDescent="0.4">
      <c r="A146" s="16" t="s">
        <v>178</v>
      </c>
      <c r="B146" s="16" t="s">
        <v>254</v>
      </c>
      <c r="C146" s="16" t="s">
        <v>206</v>
      </c>
      <c r="D146" s="20">
        <v>7</v>
      </c>
      <c r="E146" s="20">
        <v>3</v>
      </c>
      <c r="F146" s="20">
        <v>56</v>
      </c>
      <c r="G146" s="56">
        <v>1652</v>
      </c>
      <c r="H146" s="56">
        <v>2</v>
      </c>
      <c r="I146" s="22">
        <f t="shared" si="60"/>
        <v>0.2857142857142857</v>
      </c>
      <c r="J146" s="20">
        <v>1</v>
      </c>
      <c r="K146" s="20">
        <v>1</v>
      </c>
      <c r="L146" s="22">
        <f t="shared" si="84"/>
        <v>0.14285714285714285</v>
      </c>
      <c r="M146" s="22">
        <f t="shared" si="85"/>
        <v>0.14285714285714285</v>
      </c>
      <c r="N146" s="24">
        <f t="shared" si="86"/>
        <v>1</v>
      </c>
      <c r="O146" s="56">
        <v>1</v>
      </c>
      <c r="P146" s="20">
        <v>1</v>
      </c>
      <c r="Q146" s="22">
        <f t="shared" si="61"/>
        <v>0.14285714285714285</v>
      </c>
      <c r="R146" s="22">
        <f t="shared" si="62"/>
        <v>0.14285714285714285</v>
      </c>
      <c r="S146" s="24">
        <f t="shared" si="63"/>
        <v>1</v>
      </c>
      <c r="T146" s="20">
        <v>0</v>
      </c>
      <c r="U146" s="20">
        <v>0</v>
      </c>
      <c r="V146" s="22">
        <f t="shared" si="64"/>
        <v>0</v>
      </c>
      <c r="W146" s="22">
        <f t="shared" si="65"/>
        <v>0</v>
      </c>
      <c r="X146" s="24" t="e">
        <f t="shared" si="66"/>
        <v>#DIV/0!</v>
      </c>
      <c r="Y146" s="20">
        <v>0</v>
      </c>
      <c r="Z146" s="20">
        <v>0</v>
      </c>
      <c r="AA146" s="22">
        <f t="shared" si="67"/>
        <v>0</v>
      </c>
      <c r="AB146" s="22">
        <f t="shared" si="68"/>
        <v>0</v>
      </c>
      <c r="AC146" s="24" t="e">
        <f t="shared" si="69"/>
        <v>#DIV/0!</v>
      </c>
      <c r="AD146" s="20">
        <v>7</v>
      </c>
      <c r="AE146" s="22">
        <f t="shared" si="70"/>
        <v>1</v>
      </c>
      <c r="AF146" s="20">
        <v>2</v>
      </c>
      <c r="AG146" s="22">
        <f t="shared" si="71"/>
        <v>0.2857142857142857</v>
      </c>
      <c r="AH146" s="20">
        <v>5</v>
      </c>
      <c r="AI146" s="22">
        <f t="shared" si="72"/>
        <v>0.7142857142857143</v>
      </c>
      <c r="AJ146" s="20">
        <v>0</v>
      </c>
      <c r="AK146" s="22">
        <f t="shared" si="73"/>
        <v>0</v>
      </c>
      <c r="AL146" s="20">
        <v>1</v>
      </c>
      <c r="AM146" s="22">
        <f t="shared" si="74"/>
        <v>0.14285714285714285</v>
      </c>
      <c r="AN146" s="20">
        <v>0</v>
      </c>
      <c r="AO146" s="22">
        <f t="shared" si="75"/>
        <v>0</v>
      </c>
      <c r="AP146" s="10">
        <v>1</v>
      </c>
      <c r="AQ146" s="22">
        <f t="shared" si="76"/>
        <v>0.14285714285714285</v>
      </c>
      <c r="AR146" s="63">
        <v>2</v>
      </c>
      <c r="AS146" s="22">
        <f t="shared" si="77"/>
        <v>0.2857142857142857</v>
      </c>
      <c r="AT146" s="25">
        <v>5.0902204611755431E-2</v>
      </c>
      <c r="AU146" s="25">
        <v>7.3949934060661637E-2</v>
      </c>
      <c r="AV146" s="25">
        <v>9.6440077492145442E-3</v>
      </c>
      <c r="AW146" s="25">
        <v>4.125819686254089E-2</v>
      </c>
      <c r="AX146" s="25">
        <v>111.1265279671716</v>
      </c>
      <c r="AY146" s="25">
        <v>106.17362337118203</v>
      </c>
      <c r="AZ146" s="25">
        <v>0.89353388603056039</v>
      </c>
      <c r="BA146" s="25">
        <v>1.2857142857142858</v>
      </c>
      <c r="BB146" s="25">
        <v>13.075060532687651</v>
      </c>
      <c r="BC146" s="24">
        <v>1</v>
      </c>
      <c r="BD146" s="24">
        <v>1</v>
      </c>
      <c r="BE146" s="25">
        <v>0.42394078395129764</v>
      </c>
      <c r="BF146" s="24">
        <v>0</v>
      </c>
      <c r="BG146" s="24">
        <v>0</v>
      </c>
      <c r="BH146" s="25">
        <v>1.0587705908822207</v>
      </c>
      <c r="BI146" s="25">
        <v>2.6469264772055516</v>
      </c>
      <c r="BJ146" s="25">
        <v>1.7265690195965584</v>
      </c>
      <c r="BK146" s="25">
        <v>0</v>
      </c>
      <c r="BL146" s="25">
        <v>1.9456648610334655</v>
      </c>
      <c r="BM146" s="25">
        <v>0</v>
      </c>
      <c r="BN146" s="25">
        <v>50</v>
      </c>
      <c r="BO146" s="26" t="s">
        <v>176</v>
      </c>
      <c r="BP146" s="27"/>
      <c r="BQ146" s="32" t="s">
        <v>268</v>
      </c>
      <c r="BR146" s="32">
        <v>16.38</v>
      </c>
      <c r="BS146" s="32">
        <v>17.88</v>
      </c>
      <c r="BT146" s="32">
        <v>1.5</v>
      </c>
      <c r="BU146" s="36">
        <f t="shared" si="78"/>
        <v>2.34</v>
      </c>
      <c r="BV146" s="36">
        <f t="shared" si="79"/>
        <v>2.5542857142857143</v>
      </c>
      <c r="BW146" s="36">
        <f t="shared" si="80"/>
        <v>0.21428571428571427</v>
      </c>
      <c r="BX146" s="37">
        <f t="shared" si="81"/>
        <v>23.796610169491526</v>
      </c>
      <c r="BY146" s="37">
        <f t="shared" si="82"/>
        <v>25.975786924939467</v>
      </c>
      <c r="BZ146" s="37">
        <f t="shared" si="83"/>
        <v>2.179176755447942</v>
      </c>
      <c r="CA146" s="35">
        <v>3</v>
      </c>
      <c r="CB146" s="35">
        <v>4</v>
      </c>
    </row>
    <row r="147" spans="1:80" x14ac:dyDescent="0.4">
      <c r="A147" s="47" t="s">
        <v>178</v>
      </c>
      <c r="B147" s="48" t="s">
        <v>288</v>
      </c>
      <c r="C147" s="48" t="s">
        <v>285</v>
      </c>
      <c r="D147" s="53">
        <v>9</v>
      </c>
      <c r="E147" s="54">
        <v>16</v>
      </c>
      <c r="F147" s="54">
        <v>7</v>
      </c>
      <c r="G147" s="57">
        <v>8703</v>
      </c>
      <c r="H147" s="58">
        <v>119</v>
      </c>
      <c r="I147" s="22">
        <f t="shared" si="60"/>
        <v>13.222222222222221</v>
      </c>
      <c r="J147" s="59">
        <v>41</v>
      </c>
      <c r="K147" s="60">
        <v>89</v>
      </c>
      <c r="L147" s="22">
        <f t="shared" si="84"/>
        <v>4.5555555555555554</v>
      </c>
      <c r="M147" s="22">
        <f t="shared" si="85"/>
        <v>9.8888888888888893</v>
      </c>
      <c r="N147" s="24">
        <f t="shared" si="86"/>
        <v>0.4606741573033708</v>
      </c>
      <c r="O147" s="61">
        <v>37</v>
      </c>
      <c r="P147" s="57">
        <v>77</v>
      </c>
      <c r="Q147" s="22">
        <f t="shared" si="61"/>
        <v>4.1111111111111107</v>
      </c>
      <c r="R147" s="22">
        <f t="shared" si="62"/>
        <v>8.5555555555555554</v>
      </c>
      <c r="S147" s="24">
        <f t="shared" si="63"/>
        <v>0.48051948051948051</v>
      </c>
      <c r="T147" s="61">
        <v>4</v>
      </c>
      <c r="U147" s="57">
        <v>12</v>
      </c>
      <c r="V147" s="22">
        <f t="shared" si="64"/>
        <v>0.44444444444444442</v>
      </c>
      <c r="W147" s="22">
        <f t="shared" si="65"/>
        <v>1.3333333333333333</v>
      </c>
      <c r="X147" s="24">
        <f t="shared" si="66"/>
        <v>0.33333333333333331</v>
      </c>
      <c r="Y147" s="58">
        <v>33</v>
      </c>
      <c r="Z147" s="60">
        <v>51</v>
      </c>
      <c r="AA147" s="22">
        <f t="shared" si="67"/>
        <v>3.6666666666666665</v>
      </c>
      <c r="AB147" s="22">
        <f t="shared" si="68"/>
        <v>5.666666666666667</v>
      </c>
      <c r="AC147" s="24">
        <f t="shared" si="69"/>
        <v>0.6470588235294118</v>
      </c>
      <c r="AD147" s="58">
        <v>52</v>
      </c>
      <c r="AE147" s="22">
        <f t="shared" si="70"/>
        <v>5.7777777777777777</v>
      </c>
      <c r="AF147" s="58">
        <v>13</v>
      </c>
      <c r="AG147" s="22">
        <f t="shared" si="71"/>
        <v>1.4444444444444444</v>
      </c>
      <c r="AH147" s="58">
        <v>39</v>
      </c>
      <c r="AI147" s="22">
        <f t="shared" si="72"/>
        <v>4.333333333333333</v>
      </c>
      <c r="AJ147" s="58">
        <v>10</v>
      </c>
      <c r="AK147" s="22">
        <f t="shared" si="73"/>
        <v>1.1111111111111112</v>
      </c>
      <c r="AL147" s="58">
        <v>6</v>
      </c>
      <c r="AM147" s="22">
        <f t="shared" si="74"/>
        <v>0.66666666666666663</v>
      </c>
      <c r="AN147" s="58">
        <v>3</v>
      </c>
      <c r="AO147" s="22">
        <f t="shared" si="75"/>
        <v>0.33333333333333331</v>
      </c>
      <c r="AP147" s="10">
        <v>9</v>
      </c>
      <c r="AQ147" s="22">
        <f t="shared" si="76"/>
        <v>1</v>
      </c>
      <c r="AR147" s="58">
        <v>21</v>
      </c>
      <c r="AS147" s="22">
        <f t="shared" si="77"/>
        <v>2.3333333333333335</v>
      </c>
      <c r="AT147" s="25">
        <v>0.6378720069816548</v>
      </c>
      <c r="AU147" s="25">
        <v>0.17590403501734708</v>
      </c>
      <c r="AV147" s="25">
        <v>0.31073949513939991</v>
      </c>
      <c r="AW147" s="25">
        <v>0.32713251184225484</v>
      </c>
      <c r="AX147" s="25">
        <v>107.78720499887797</v>
      </c>
      <c r="AY147" s="25">
        <v>100.79282021019569</v>
      </c>
      <c r="AZ147" s="25">
        <v>4.0468427307531556</v>
      </c>
      <c r="BA147" s="25">
        <v>12.777777777777779</v>
      </c>
      <c r="BB147" s="25">
        <v>31.713202344019301</v>
      </c>
      <c r="BC147" s="24">
        <v>0.53391959798994981</v>
      </c>
      <c r="BD147" s="24">
        <v>0.48314606741573035</v>
      </c>
      <c r="BE147" s="25">
        <v>6.2306230674799652</v>
      </c>
      <c r="BF147" s="24">
        <v>0.1348314606741573</v>
      </c>
      <c r="BG147" s="24">
        <v>0.5730337078651685</v>
      </c>
      <c r="BH147" s="25">
        <v>1.6795802341399446</v>
      </c>
      <c r="BI147" s="25">
        <v>5.0387407024198341</v>
      </c>
      <c r="BJ147" s="25">
        <v>3.1302193837330425</v>
      </c>
      <c r="BK147" s="25">
        <v>1.4605940844722418</v>
      </c>
      <c r="BL147" s="25">
        <v>2.2159519823697247</v>
      </c>
      <c r="BM147" s="25">
        <v>0.32585157008411042</v>
      </c>
      <c r="BN147" s="25">
        <v>7.4726004649618067</v>
      </c>
      <c r="BO147" s="26" t="s">
        <v>249</v>
      </c>
      <c r="BP147" s="27"/>
      <c r="BQ147" s="32" t="s">
        <v>268</v>
      </c>
      <c r="BR147" s="32">
        <v>162.66999999999999</v>
      </c>
      <c r="BS147" s="32">
        <v>237.77</v>
      </c>
      <c r="BT147" s="32">
        <v>75.099999999999994</v>
      </c>
      <c r="BU147" s="36">
        <f t="shared" si="78"/>
        <v>18.074444444444445</v>
      </c>
      <c r="BV147" s="36">
        <f t="shared" si="79"/>
        <v>26.41888888888889</v>
      </c>
      <c r="BW147" s="36">
        <f t="shared" si="80"/>
        <v>8.3444444444444432</v>
      </c>
      <c r="BX147" s="37">
        <f t="shared" si="81"/>
        <v>44.85901413305757</v>
      </c>
      <c r="BY147" s="37">
        <f t="shared" si="82"/>
        <v>65.569114098586695</v>
      </c>
      <c r="BZ147" s="37">
        <f t="shared" si="83"/>
        <v>20.710099965529128</v>
      </c>
      <c r="CA147" s="35">
        <v>4</v>
      </c>
      <c r="CB147" s="35">
        <v>5</v>
      </c>
    </row>
    <row r="148" spans="1:80" x14ac:dyDescent="0.4">
      <c r="A148" s="16" t="s">
        <v>178</v>
      </c>
      <c r="B148" s="16" t="s">
        <v>254</v>
      </c>
      <c r="C148" s="16" t="s">
        <v>207</v>
      </c>
      <c r="D148" s="23">
        <v>33</v>
      </c>
      <c r="E148" s="23">
        <v>14</v>
      </c>
      <c r="F148" s="23">
        <v>35</v>
      </c>
      <c r="G148" s="21">
        <v>28875</v>
      </c>
      <c r="H148" s="21">
        <v>84</v>
      </c>
      <c r="I148" s="22">
        <f t="shared" si="60"/>
        <v>2.5454545454545454</v>
      </c>
      <c r="J148" s="23">
        <v>31</v>
      </c>
      <c r="K148" s="23">
        <v>78</v>
      </c>
      <c r="L148" s="22">
        <f t="shared" si="84"/>
        <v>0.93939393939393945</v>
      </c>
      <c r="M148" s="22">
        <f t="shared" si="85"/>
        <v>2.3636363636363638</v>
      </c>
      <c r="N148" s="24">
        <f t="shared" si="86"/>
        <v>0.39743589743589741</v>
      </c>
      <c r="O148" s="21">
        <v>19</v>
      </c>
      <c r="P148" s="23">
        <v>48</v>
      </c>
      <c r="Q148" s="22">
        <f t="shared" si="61"/>
        <v>0.5757575757575758</v>
      </c>
      <c r="R148" s="22">
        <f t="shared" si="62"/>
        <v>1.4545454545454546</v>
      </c>
      <c r="S148" s="24">
        <f t="shared" si="63"/>
        <v>0.39583333333333331</v>
      </c>
      <c r="T148" s="23">
        <v>12</v>
      </c>
      <c r="U148" s="23">
        <v>30</v>
      </c>
      <c r="V148" s="22">
        <f t="shared" si="64"/>
        <v>0.36363636363636365</v>
      </c>
      <c r="W148" s="22">
        <f t="shared" si="65"/>
        <v>0.90909090909090906</v>
      </c>
      <c r="X148" s="24">
        <f t="shared" si="66"/>
        <v>0.4</v>
      </c>
      <c r="Y148" s="23">
        <v>10</v>
      </c>
      <c r="Z148" s="23">
        <v>18</v>
      </c>
      <c r="AA148" s="22">
        <f t="shared" si="67"/>
        <v>0.30303030303030304</v>
      </c>
      <c r="AB148" s="22">
        <f t="shared" si="68"/>
        <v>0.54545454545454541</v>
      </c>
      <c r="AC148" s="24">
        <f t="shared" si="69"/>
        <v>0.55555555555555558</v>
      </c>
      <c r="AD148" s="23">
        <v>85</v>
      </c>
      <c r="AE148" s="22">
        <f t="shared" si="70"/>
        <v>2.5757575757575757</v>
      </c>
      <c r="AF148" s="23">
        <v>30</v>
      </c>
      <c r="AG148" s="22">
        <f t="shared" si="71"/>
        <v>0.90909090909090906</v>
      </c>
      <c r="AH148" s="23">
        <v>55</v>
      </c>
      <c r="AI148" s="22">
        <f t="shared" si="72"/>
        <v>1.6666666666666667</v>
      </c>
      <c r="AJ148" s="23">
        <v>40</v>
      </c>
      <c r="AK148" s="22">
        <f t="shared" si="73"/>
        <v>1.2121212121212122</v>
      </c>
      <c r="AL148" s="23">
        <v>17</v>
      </c>
      <c r="AM148" s="22">
        <f t="shared" si="74"/>
        <v>0.51515151515151514</v>
      </c>
      <c r="AN148" s="23">
        <v>12</v>
      </c>
      <c r="AO148" s="22">
        <f t="shared" si="75"/>
        <v>0.36363636363636365</v>
      </c>
      <c r="AP148" s="10">
        <v>22</v>
      </c>
      <c r="AQ148" s="22">
        <f t="shared" si="76"/>
        <v>0.66666666666666663</v>
      </c>
      <c r="AR148" s="23">
        <v>50</v>
      </c>
      <c r="AS148" s="22">
        <f t="shared" si="77"/>
        <v>1.5151515151515151</v>
      </c>
      <c r="AT148" s="25">
        <v>0.70279760469260388</v>
      </c>
      <c r="AU148" s="25">
        <v>5.8414346364060586E-2</v>
      </c>
      <c r="AV148" s="25">
        <v>6.4856234709720767E-2</v>
      </c>
      <c r="AW148" s="25">
        <v>0.63794136998288309</v>
      </c>
      <c r="AX148" s="25">
        <v>101.14685571862219</v>
      </c>
      <c r="AY148" s="25">
        <v>107.40281218978826</v>
      </c>
      <c r="AZ148" s="25">
        <v>4.849894314449954</v>
      </c>
      <c r="BA148" s="25">
        <v>4.8787878787878789</v>
      </c>
      <c r="BB148" s="25">
        <v>13.381818181818181</v>
      </c>
      <c r="BC148" s="24">
        <v>0.48882681564245811</v>
      </c>
      <c r="BD148" s="24">
        <v>0.47435897435897434</v>
      </c>
      <c r="BE148" s="25">
        <v>6.1699421139141002</v>
      </c>
      <c r="BF148" s="24">
        <v>0.38461538461538464</v>
      </c>
      <c r="BG148" s="24">
        <v>0.23076923076923078</v>
      </c>
      <c r="BH148" s="25">
        <v>4.2834833048263556</v>
      </c>
      <c r="BI148" s="25">
        <v>7.8530527255149849</v>
      </c>
      <c r="BJ148" s="25">
        <v>5.654689719690932</v>
      </c>
      <c r="BK148" s="25">
        <v>6.393712849031786</v>
      </c>
      <c r="BL148" s="25">
        <v>1.8923654357493973</v>
      </c>
      <c r="BM148" s="25">
        <v>1.4404501406689589</v>
      </c>
      <c r="BN148" s="25">
        <v>20.385470719051149</v>
      </c>
      <c r="BO148" s="26" t="s">
        <v>176</v>
      </c>
      <c r="BP148" s="27"/>
      <c r="BQ148" s="32" t="s">
        <v>268</v>
      </c>
      <c r="BR148" s="32">
        <v>313.16000000000003</v>
      </c>
      <c r="BS148" s="32">
        <v>397.76</v>
      </c>
      <c r="BT148" s="32">
        <v>84.6</v>
      </c>
      <c r="BU148" s="36">
        <f t="shared" si="78"/>
        <v>9.4896969696969684</v>
      </c>
      <c r="BV148" s="36">
        <f t="shared" si="79"/>
        <v>12.053333333333333</v>
      </c>
      <c r="BW148" s="36">
        <f t="shared" si="80"/>
        <v>2.5636363636363635</v>
      </c>
      <c r="BX148" s="37">
        <f t="shared" si="81"/>
        <v>26.028883116883115</v>
      </c>
      <c r="BY148" s="37">
        <f t="shared" si="82"/>
        <v>33.060571428571428</v>
      </c>
      <c r="BZ148" s="37">
        <f t="shared" si="83"/>
        <v>7.0316883116883115</v>
      </c>
      <c r="CA148" s="35">
        <v>15</v>
      </c>
      <c r="CB148" s="35">
        <v>18</v>
      </c>
    </row>
    <row r="149" spans="1:80" x14ac:dyDescent="0.4">
      <c r="A149" s="16" t="s">
        <v>178</v>
      </c>
      <c r="B149" s="16" t="s">
        <v>254</v>
      </c>
      <c r="C149" s="16" t="s">
        <v>208</v>
      </c>
      <c r="D149" s="23">
        <v>1</v>
      </c>
      <c r="E149" s="23">
        <v>12</v>
      </c>
      <c r="F149" s="23">
        <v>52</v>
      </c>
      <c r="G149" s="21">
        <v>772</v>
      </c>
      <c r="H149" s="21">
        <v>3</v>
      </c>
      <c r="I149" s="22">
        <f t="shared" si="60"/>
        <v>3</v>
      </c>
      <c r="J149" s="23">
        <v>1</v>
      </c>
      <c r="K149" s="23">
        <v>4</v>
      </c>
      <c r="L149" s="22">
        <f t="shared" si="84"/>
        <v>1</v>
      </c>
      <c r="M149" s="22">
        <f t="shared" si="85"/>
        <v>4</v>
      </c>
      <c r="N149" s="24">
        <f t="shared" si="86"/>
        <v>0.25</v>
      </c>
      <c r="O149" s="21">
        <v>0</v>
      </c>
      <c r="P149" s="23">
        <v>0</v>
      </c>
      <c r="Q149" s="22">
        <f t="shared" si="61"/>
        <v>0</v>
      </c>
      <c r="R149" s="22">
        <f t="shared" si="62"/>
        <v>0</v>
      </c>
      <c r="S149" s="24" t="e">
        <f t="shared" si="63"/>
        <v>#DIV/0!</v>
      </c>
      <c r="T149" s="23">
        <v>1</v>
      </c>
      <c r="U149" s="23">
        <v>4</v>
      </c>
      <c r="V149" s="22">
        <f t="shared" si="64"/>
        <v>1</v>
      </c>
      <c r="W149" s="22">
        <f t="shared" si="65"/>
        <v>4</v>
      </c>
      <c r="X149" s="24">
        <f t="shared" si="66"/>
        <v>0.25</v>
      </c>
      <c r="Y149" s="23">
        <v>0</v>
      </c>
      <c r="Z149" s="23">
        <v>0</v>
      </c>
      <c r="AA149" s="22">
        <f t="shared" si="67"/>
        <v>0</v>
      </c>
      <c r="AB149" s="22">
        <f t="shared" si="68"/>
        <v>0</v>
      </c>
      <c r="AC149" s="24" t="e">
        <f t="shared" si="69"/>
        <v>#DIV/0!</v>
      </c>
      <c r="AD149" s="23">
        <v>1</v>
      </c>
      <c r="AE149" s="22">
        <f t="shared" si="70"/>
        <v>1</v>
      </c>
      <c r="AF149" s="23">
        <v>1</v>
      </c>
      <c r="AG149" s="22">
        <f t="shared" si="71"/>
        <v>1</v>
      </c>
      <c r="AH149" s="23">
        <v>0</v>
      </c>
      <c r="AI149" s="22">
        <f t="shared" si="72"/>
        <v>0</v>
      </c>
      <c r="AJ149" s="23">
        <v>0</v>
      </c>
      <c r="AK149" s="22">
        <f t="shared" si="73"/>
        <v>0</v>
      </c>
      <c r="AL149" s="23">
        <v>0</v>
      </c>
      <c r="AM149" s="22">
        <f t="shared" si="74"/>
        <v>0</v>
      </c>
      <c r="AN149" s="23">
        <v>0</v>
      </c>
      <c r="AO149" s="22">
        <f t="shared" si="75"/>
        <v>0</v>
      </c>
      <c r="AP149" s="10">
        <v>0</v>
      </c>
      <c r="AQ149" s="22">
        <f t="shared" si="76"/>
        <v>0</v>
      </c>
      <c r="AR149" s="23">
        <v>1</v>
      </c>
      <c r="AS149" s="22">
        <f t="shared" si="77"/>
        <v>1</v>
      </c>
      <c r="AT149" s="25">
        <v>-1.0898870763396183E-2</v>
      </c>
      <c r="AU149" s="25">
        <v>-3.3882499782578804E-2</v>
      </c>
      <c r="AV149" s="25">
        <v>-9.6613116732994116E-3</v>
      </c>
      <c r="AW149" s="25">
        <v>-1.2375590900967706E-3</v>
      </c>
      <c r="AX149" s="25">
        <v>91.718965345545755</v>
      </c>
      <c r="AY149" s="25">
        <v>117.51119504165167</v>
      </c>
      <c r="AZ149" s="25">
        <v>4.1098183916909309E-2</v>
      </c>
      <c r="BA149" s="25">
        <v>1</v>
      </c>
      <c r="BB149" s="25">
        <v>3.1088082901554404</v>
      </c>
      <c r="BC149" s="24">
        <v>0.375</v>
      </c>
      <c r="BD149" s="24">
        <v>0.375</v>
      </c>
      <c r="BE149" s="25">
        <v>0.25919695599094883</v>
      </c>
      <c r="BF149" s="24">
        <v>1</v>
      </c>
      <c r="BG149" s="24">
        <v>0</v>
      </c>
      <c r="BH149" s="25">
        <v>0.16183281052344822</v>
      </c>
      <c r="BI149" s="25">
        <v>0</v>
      </c>
      <c r="BJ149" s="25">
        <v>7.540160781361728E-2</v>
      </c>
      <c r="BK149" s="25">
        <v>0</v>
      </c>
      <c r="BL149" s="25">
        <v>0</v>
      </c>
      <c r="BM149" s="25">
        <v>0</v>
      </c>
      <c r="BN149" s="25">
        <v>0</v>
      </c>
      <c r="BO149" s="26" t="s">
        <v>176</v>
      </c>
      <c r="BP149" s="27"/>
      <c r="BQ149" s="32" t="s">
        <v>267</v>
      </c>
      <c r="BR149" s="32">
        <v>5.0199999999999996</v>
      </c>
      <c r="BS149" s="32">
        <v>7.72</v>
      </c>
      <c r="BT149" s="32">
        <v>2.7</v>
      </c>
      <c r="BU149" s="36">
        <f t="shared" si="78"/>
        <v>5.0199999999999996</v>
      </c>
      <c r="BV149" s="36">
        <f t="shared" si="79"/>
        <v>7.72</v>
      </c>
      <c r="BW149" s="36">
        <f t="shared" si="80"/>
        <v>2.7</v>
      </c>
      <c r="BX149" s="37">
        <f t="shared" si="81"/>
        <v>15.606217616580311</v>
      </c>
      <c r="BY149" s="37">
        <f t="shared" si="82"/>
        <v>24</v>
      </c>
      <c r="BZ149" s="37">
        <f t="shared" si="83"/>
        <v>8.3937823834196887</v>
      </c>
      <c r="CA149" s="35">
        <v>1</v>
      </c>
      <c r="CB149" s="35">
        <v>0</v>
      </c>
    </row>
    <row r="150" spans="1:80" x14ac:dyDescent="0.4">
      <c r="A150" s="16" t="s">
        <v>178</v>
      </c>
      <c r="B150" s="16" t="s">
        <v>254</v>
      </c>
      <c r="C150" s="16" t="s">
        <v>107</v>
      </c>
      <c r="D150" s="23">
        <v>18</v>
      </c>
      <c r="E150" s="23">
        <v>13</v>
      </c>
      <c r="F150" s="23">
        <v>40</v>
      </c>
      <c r="G150" s="21">
        <v>14760</v>
      </c>
      <c r="H150" s="21">
        <v>75</v>
      </c>
      <c r="I150" s="22">
        <f t="shared" si="60"/>
        <v>4.166666666666667</v>
      </c>
      <c r="J150" s="23">
        <v>29</v>
      </c>
      <c r="K150" s="23">
        <v>76</v>
      </c>
      <c r="L150" s="22">
        <f t="shared" si="84"/>
        <v>1.6111111111111112</v>
      </c>
      <c r="M150" s="22">
        <f t="shared" si="85"/>
        <v>4.2222222222222223</v>
      </c>
      <c r="N150" s="24">
        <f t="shared" si="86"/>
        <v>0.38157894736842107</v>
      </c>
      <c r="O150" s="21">
        <v>14</v>
      </c>
      <c r="P150" s="23">
        <v>37</v>
      </c>
      <c r="Q150" s="22">
        <f t="shared" si="61"/>
        <v>0.77777777777777779</v>
      </c>
      <c r="R150" s="22">
        <f t="shared" si="62"/>
        <v>2.0555555555555554</v>
      </c>
      <c r="S150" s="24">
        <f t="shared" si="63"/>
        <v>0.3783783783783784</v>
      </c>
      <c r="T150" s="23">
        <v>15</v>
      </c>
      <c r="U150" s="23">
        <v>39</v>
      </c>
      <c r="V150" s="22">
        <f t="shared" si="64"/>
        <v>0.83333333333333337</v>
      </c>
      <c r="W150" s="22">
        <f t="shared" si="65"/>
        <v>2.1666666666666665</v>
      </c>
      <c r="X150" s="24">
        <f t="shared" si="66"/>
        <v>0.38461538461538464</v>
      </c>
      <c r="Y150" s="23">
        <v>2</v>
      </c>
      <c r="Z150" s="23">
        <v>5</v>
      </c>
      <c r="AA150" s="22">
        <f t="shared" si="67"/>
        <v>0.1111111111111111</v>
      </c>
      <c r="AB150" s="22">
        <f t="shared" si="68"/>
        <v>0.27777777777777779</v>
      </c>
      <c r="AC150" s="24">
        <f t="shared" si="69"/>
        <v>0.4</v>
      </c>
      <c r="AD150" s="23">
        <v>21</v>
      </c>
      <c r="AE150" s="22">
        <f t="shared" si="70"/>
        <v>1.1666666666666667</v>
      </c>
      <c r="AF150" s="23">
        <v>9</v>
      </c>
      <c r="AG150" s="22">
        <f t="shared" si="71"/>
        <v>0.5</v>
      </c>
      <c r="AH150" s="23">
        <v>12</v>
      </c>
      <c r="AI150" s="22">
        <f t="shared" si="72"/>
        <v>0.66666666666666663</v>
      </c>
      <c r="AJ150" s="23">
        <v>9</v>
      </c>
      <c r="AK150" s="22">
        <f t="shared" si="73"/>
        <v>0.5</v>
      </c>
      <c r="AL150" s="23">
        <v>10</v>
      </c>
      <c r="AM150" s="22">
        <f t="shared" si="74"/>
        <v>0.55555555555555558</v>
      </c>
      <c r="AN150" s="23">
        <v>0</v>
      </c>
      <c r="AO150" s="22">
        <f t="shared" si="75"/>
        <v>0</v>
      </c>
      <c r="AP150" s="10">
        <v>10</v>
      </c>
      <c r="AQ150" s="22">
        <f t="shared" si="76"/>
        <v>0.55555555555555558</v>
      </c>
      <c r="AR150" s="23">
        <v>18</v>
      </c>
      <c r="AS150" s="22">
        <f t="shared" si="77"/>
        <v>1</v>
      </c>
      <c r="AT150" s="25">
        <v>3.9042606819100045E-2</v>
      </c>
      <c r="AU150" s="25">
        <v>6.3483913526991937E-3</v>
      </c>
      <c r="AV150" s="25">
        <v>-0.16929215429623637</v>
      </c>
      <c r="AW150" s="25">
        <v>0.20833476111533641</v>
      </c>
      <c r="AX150" s="25">
        <v>93.407615483741282</v>
      </c>
      <c r="AY150" s="25">
        <v>110.80624263109112</v>
      </c>
      <c r="AZ150" s="25">
        <v>2.3810170889873454</v>
      </c>
      <c r="BA150" s="25">
        <v>3.0555555555555554</v>
      </c>
      <c r="BB150" s="25">
        <v>8.9430894308943092</v>
      </c>
      <c r="BC150" s="24">
        <v>0.479539641943734</v>
      </c>
      <c r="BD150" s="24">
        <v>0.48026315789473684</v>
      </c>
      <c r="BE150" s="25">
        <v>5.3807391500628352</v>
      </c>
      <c r="BF150" s="24">
        <v>0.51315789473684215</v>
      </c>
      <c r="BG150" s="24">
        <v>6.5789473684210523E-2</v>
      </c>
      <c r="BH150" s="25">
        <v>1.3712370335572175</v>
      </c>
      <c r="BI150" s="25">
        <v>1.8283160447429565</v>
      </c>
      <c r="BJ150" s="25">
        <v>1.4907449583833698</v>
      </c>
      <c r="BK150" s="25">
        <v>1.5349412316482141</v>
      </c>
      <c r="BL150" s="25">
        <v>2.1776682590970773</v>
      </c>
      <c r="BM150" s="25">
        <v>0</v>
      </c>
      <c r="BN150" s="25">
        <v>11.337868480725623</v>
      </c>
      <c r="BO150" s="26" t="s">
        <v>176</v>
      </c>
      <c r="BP150" s="27"/>
      <c r="BQ150" s="32" t="s">
        <v>267</v>
      </c>
      <c r="BR150" s="32">
        <v>123.49</v>
      </c>
      <c r="BS150" s="32">
        <v>185.49</v>
      </c>
      <c r="BT150" s="32">
        <v>62</v>
      </c>
      <c r="BU150" s="36">
        <f t="shared" si="78"/>
        <v>6.8605555555555551</v>
      </c>
      <c r="BV150" s="36">
        <f t="shared" si="79"/>
        <v>10.305</v>
      </c>
      <c r="BW150" s="36">
        <f t="shared" si="80"/>
        <v>3.4444444444444446</v>
      </c>
      <c r="BX150" s="37">
        <f t="shared" si="81"/>
        <v>20.079674796747966</v>
      </c>
      <c r="BY150" s="37">
        <f t="shared" si="82"/>
        <v>30.160975609756097</v>
      </c>
      <c r="BZ150" s="37">
        <f t="shared" si="83"/>
        <v>10.081300813008131</v>
      </c>
      <c r="CA150" s="35">
        <v>7</v>
      </c>
      <c r="CB150" s="35">
        <v>11</v>
      </c>
    </row>
    <row r="151" spans="1:80" x14ac:dyDescent="0.4">
      <c r="A151" s="16" t="s">
        <v>178</v>
      </c>
      <c r="B151" s="16" t="s">
        <v>254</v>
      </c>
      <c r="C151" s="16" t="s">
        <v>112</v>
      </c>
      <c r="D151" s="23">
        <v>39</v>
      </c>
      <c r="E151" s="23">
        <v>16</v>
      </c>
      <c r="F151" s="23">
        <v>50</v>
      </c>
      <c r="G151" s="21">
        <v>39390</v>
      </c>
      <c r="H151" s="21">
        <v>211</v>
      </c>
      <c r="I151" s="22">
        <f t="shared" si="60"/>
        <v>5.4102564102564106</v>
      </c>
      <c r="J151" s="23">
        <v>92</v>
      </c>
      <c r="K151" s="23">
        <v>197</v>
      </c>
      <c r="L151" s="22">
        <f t="shared" si="84"/>
        <v>2.358974358974359</v>
      </c>
      <c r="M151" s="22">
        <f t="shared" si="85"/>
        <v>5.0512820512820511</v>
      </c>
      <c r="N151" s="24">
        <f t="shared" si="86"/>
        <v>0.46700507614213199</v>
      </c>
      <c r="O151" s="21">
        <v>77</v>
      </c>
      <c r="P151" s="23">
        <v>136</v>
      </c>
      <c r="Q151" s="22">
        <f t="shared" si="61"/>
        <v>1.9743589743589745</v>
      </c>
      <c r="R151" s="22">
        <f t="shared" si="62"/>
        <v>3.4871794871794872</v>
      </c>
      <c r="S151" s="24">
        <f t="shared" si="63"/>
        <v>0.56617647058823528</v>
      </c>
      <c r="T151" s="23">
        <v>15</v>
      </c>
      <c r="U151" s="23">
        <v>61</v>
      </c>
      <c r="V151" s="22">
        <f t="shared" si="64"/>
        <v>0.38461538461538464</v>
      </c>
      <c r="W151" s="22">
        <f t="shared" si="65"/>
        <v>1.5641025641025641</v>
      </c>
      <c r="X151" s="24">
        <f t="shared" si="66"/>
        <v>0.24590163934426229</v>
      </c>
      <c r="Y151" s="23">
        <v>12</v>
      </c>
      <c r="Z151" s="23">
        <v>23</v>
      </c>
      <c r="AA151" s="22">
        <f t="shared" si="67"/>
        <v>0.30769230769230771</v>
      </c>
      <c r="AB151" s="22">
        <f t="shared" si="68"/>
        <v>0.58974358974358976</v>
      </c>
      <c r="AC151" s="24">
        <f t="shared" si="69"/>
        <v>0.52173913043478259</v>
      </c>
      <c r="AD151" s="23">
        <v>65</v>
      </c>
      <c r="AE151" s="22">
        <f t="shared" si="70"/>
        <v>1.6666666666666667</v>
      </c>
      <c r="AF151" s="23">
        <v>29</v>
      </c>
      <c r="AG151" s="22">
        <f t="shared" si="71"/>
        <v>0.74358974358974361</v>
      </c>
      <c r="AH151" s="23">
        <v>36</v>
      </c>
      <c r="AI151" s="22">
        <f t="shared" si="72"/>
        <v>0.92307692307692313</v>
      </c>
      <c r="AJ151" s="23">
        <v>71</v>
      </c>
      <c r="AK151" s="22">
        <f t="shared" si="73"/>
        <v>1.8205128205128205</v>
      </c>
      <c r="AL151" s="23">
        <v>26</v>
      </c>
      <c r="AM151" s="22">
        <f t="shared" si="74"/>
        <v>0.66666666666666663</v>
      </c>
      <c r="AN151" s="23">
        <v>4</v>
      </c>
      <c r="AO151" s="22">
        <f t="shared" si="75"/>
        <v>0.10256410256410256</v>
      </c>
      <c r="AP151" s="10">
        <v>28</v>
      </c>
      <c r="AQ151" s="22">
        <f t="shared" si="76"/>
        <v>0.71794871794871795</v>
      </c>
      <c r="AR151" s="23">
        <v>68</v>
      </c>
      <c r="AS151" s="22">
        <f t="shared" si="77"/>
        <v>1.7435897435897436</v>
      </c>
      <c r="AT151" s="25">
        <v>1.0717913529904621</v>
      </c>
      <c r="AU151" s="25">
        <v>6.5303357379464563E-2</v>
      </c>
      <c r="AV151" s="25">
        <v>0.46474050491884727</v>
      </c>
      <c r="AW151" s="25">
        <v>0.6070508480716148</v>
      </c>
      <c r="AX151" s="25">
        <v>105.37578602026265</v>
      </c>
      <c r="AY151" s="25">
        <v>110.25319182965919</v>
      </c>
      <c r="AZ151" s="25">
        <v>7.6484400616173929</v>
      </c>
      <c r="BA151" s="25">
        <v>5.9743589743589745</v>
      </c>
      <c r="BB151" s="25">
        <v>14.196496572734196</v>
      </c>
      <c r="BC151" s="24">
        <v>0.50936655079181148</v>
      </c>
      <c r="BD151" s="24">
        <v>0.50507614213197971</v>
      </c>
      <c r="BE151" s="25">
        <v>11.645426673732906</v>
      </c>
      <c r="BF151" s="24">
        <v>0.30964467005076141</v>
      </c>
      <c r="BG151" s="24">
        <v>0.116751269035533</v>
      </c>
      <c r="BH151" s="25">
        <v>3.587240556434613</v>
      </c>
      <c r="BI151" s="25">
        <v>4.4531262079877951</v>
      </c>
      <c r="BJ151" s="25">
        <v>3.7461907723636783</v>
      </c>
      <c r="BK151" s="25">
        <v>10.661928031985784</v>
      </c>
      <c r="BL151" s="25">
        <v>2.1216094722292316</v>
      </c>
      <c r="BM151" s="25">
        <v>0.41597157527568956</v>
      </c>
      <c r="BN151" s="25">
        <v>11.908812521265736</v>
      </c>
      <c r="BO151" s="26" t="s">
        <v>176</v>
      </c>
      <c r="BP151" s="27"/>
      <c r="BQ151" s="32" t="s">
        <v>267</v>
      </c>
      <c r="BR151" s="32">
        <v>442.96</v>
      </c>
      <c r="BS151" s="32">
        <v>594.16</v>
      </c>
      <c r="BT151" s="32">
        <v>151.19999999999999</v>
      </c>
      <c r="BU151" s="36">
        <f t="shared" si="78"/>
        <v>11.357948717948716</v>
      </c>
      <c r="BV151" s="36">
        <f t="shared" si="79"/>
        <v>15.234871794871793</v>
      </c>
      <c r="BW151" s="36">
        <f t="shared" si="80"/>
        <v>3.8769230769230765</v>
      </c>
      <c r="BX151" s="37">
        <f t="shared" si="81"/>
        <v>26.989185072353386</v>
      </c>
      <c r="BY151" s="37">
        <f t="shared" si="82"/>
        <v>36.201675552170599</v>
      </c>
      <c r="BZ151" s="37">
        <f t="shared" si="83"/>
        <v>9.2124904798172125</v>
      </c>
      <c r="CA151" s="35">
        <v>16</v>
      </c>
      <c r="CB151" s="35">
        <v>23</v>
      </c>
    </row>
    <row r="152" spans="1:80" x14ac:dyDescent="0.4">
      <c r="A152" s="16" t="s">
        <v>178</v>
      </c>
      <c r="B152" s="16" t="s">
        <v>254</v>
      </c>
      <c r="C152" s="16" t="s">
        <v>157</v>
      </c>
      <c r="D152" s="23">
        <v>39</v>
      </c>
      <c r="E152" s="23">
        <v>12</v>
      </c>
      <c r="F152" s="23">
        <v>23</v>
      </c>
      <c r="G152" s="21">
        <v>28977</v>
      </c>
      <c r="H152" s="21">
        <v>139</v>
      </c>
      <c r="I152" s="22">
        <f t="shared" si="60"/>
        <v>3.5641025641025643</v>
      </c>
      <c r="J152" s="23">
        <v>59</v>
      </c>
      <c r="K152" s="23">
        <v>125</v>
      </c>
      <c r="L152" s="22">
        <f t="shared" si="84"/>
        <v>1.5128205128205128</v>
      </c>
      <c r="M152" s="22">
        <f t="shared" si="85"/>
        <v>3.2051282051282053</v>
      </c>
      <c r="N152" s="24">
        <f t="shared" si="86"/>
        <v>0.47199999999999998</v>
      </c>
      <c r="O152" s="21">
        <v>47</v>
      </c>
      <c r="P152" s="23">
        <v>90</v>
      </c>
      <c r="Q152" s="22">
        <f t="shared" si="61"/>
        <v>1.2051282051282051</v>
      </c>
      <c r="R152" s="22">
        <f t="shared" si="62"/>
        <v>2.3076923076923075</v>
      </c>
      <c r="S152" s="24">
        <f t="shared" si="63"/>
        <v>0.52222222222222225</v>
      </c>
      <c r="T152" s="23">
        <v>12</v>
      </c>
      <c r="U152" s="23">
        <v>35</v>
      </c>
      <c r="V152" s="22">
        <f t="shared" si="64"/>
        <v>0.30769230769230771</v>
      </c>
      <c r="W152" s="22">
        <f t="shared" si="65"/>
        <v>0.89743589743589747</v>
      </c>
      <c r="X152" s="24">
        <f t="shared" si="66"/>
        <v>0.34285714285714286</v>
      </c>
      <c r="Y152" s="23">
        <v>9</v>
      </c>
      <c r="Z152" s="23">
        <v>12</v>
      </c>
      <c r="AA152" s="22">
        <f t="shared" si="67"/>
        <v>0.23076923076923078</v>
      </c>
      <c r="AB152" s="22">
        <f t="shared" si="68"/>
        <v>0.30769230769230771</v>
      </c>
      <c r="AC152" s="24">
        <f t="shared" si="69"/>
        <v>0.75</v>
      </c>
      <c r="AD152" s="23">
        <v>52</v>
      </c>
      <c r="AE152" s="22">
        <f t="shared" si="70"/>
        <v>1.3333333333333333</v>
      </c>
      <c r="AF152" s="23">
        <v>24</v>
      </c>
      <c r="AG152" s="22">
        <f t="shared" si="71"/>
        <v>0.61538461538461542</v>
      </c>
      <c r="AH152" s="23">
        <v>28</v>
      </c>
      <c r="AI152" s="22">
        <f t="shared" si="72"/>
        <v>0.71794871794871795</v>
      </c>
      <c r="AJ152" s="23">
        <v>14</v>
      </c>
      <c r="AK152" s="22">
        <f t="shared" si="73"/>
        <v>0.35897435897435898</v>
      </c>
      <c r="AL152" s="23">
        <v>14</v>
      </c>
      <c r="AM152" s="22">
        <f t="shared" si="74"/>
        <v>0.35897435897435898</v>
      </c>
      <c r="AN152" s="23">
        <v>4</v>
      </c>
      <c r="AO152" s="22">
        <f t="shared" si="75"/>
        <v>0.10256410256410256</v>
      </c>
      <c r="AP152" s="10">
        <v>15</v>
      </c>
      <c r="AQ152" s="22">
        <f t="shared" si="76"/>
        <v>0.38461538461538464</v>
      </c>
      <c r="AR152" s="23">
        <v>42</v>
      </c>
      <c r="AS152" s="22">
        <f t="shared" si="77"/>
        <v>1.0769230769230769</v>
      </c>
      <c r="AT152" s="25">
        <v>0.62694430599132389</v>
      </c>
      <c r="AU152" s="25">
        <v>5.1926228884259157E-2</v>
      </c>
      <c r="AV152" s="25">
        <v>0.25324118530122186</v>
      </c>
      <c r="AW152" s="25">
        <v>0.37370312069010203</v>
      </c>
      <c r="AX152" s="25">
        <v>104.99123396224684</v>
      </c>
      <c r="AY152" s="25">
        <v>111.32593742050261</v>
      </c>
      <c r="AZ152" s="25">
        <v>6.1086840368287376</v>
      </c>
      <c r="BA152" s="25">
        <v>3.5641025641025643</v>
      </c>
      <c r="BB152" s="25">
        <v>11.512578941919454</v>
      </c>
      <c r="BC152" s="24">
        <v>0.53346638010439051</v>
      </c>
      <c r="BD152" s="24">
        <v>0.52</v>
      </c>
      <c r="BE152" s="25">
        <v>9.7814721627300862</v>
      </c>
      <c r="BF152" s="24">
        <v>0.28000000000000003</v>
      </c>
      <c r="BG152" s="24">
        <v>9.6000000000000002E-2</v>
      </c>
      <c r="BH152" s="25">
        <v>4.0355831943182352</v>
      </c>
      <c r="BI152" s="25">
        <v>4.7081803933712747</v>
      </c>
      <c r="BJ152" s="25">
        <v>4.0739194402016849</v>
      </c>
      <c r="BK152" s="25">
        <v>2.8080896382328091</v>
      </c>
      <c r="BL152" s="25">
        <v>1.5529329090651895</v>
      </c>
      <c r="BM152" s="25">
        <v>0.56545261242052003</v>
      </c>
      <c r="BN152" s="25">
        <v>10.32488986784141</v>
      </c>
      <c r="BO152" s="26" t="s">
        <v>176</v>
      </c>
      <c r="BP152" s="27"/>
      <c r="BQ152" s="33" t="s">
        <v>268</v>
      </c>
      <c r="BR152" s="33">
        <v>275.60000000000002</v>
      </c>
      <c r="BS152" s="33">
        <v>364.2</v>
      </c>
      <c r="BT152" s="33">
        <v>88.6</v>
      </c>
      <c r="BU152" s="36">
        <f t="shared" si="78"/>
        <v>7.0666666666666673</v>
      </c>
      <c r="BV152" s="36">
        <f t="shared" si="79"/>
        <v>9.338461538461539</v>
      </c>
      <c r="BW152" s="36">
        <f t="shared" si="80"/>
        <v>2.2717948717948717</v>
      </c>
      <c r="BX152" s="37">
        <f t="shared" si="81"/>
        <v>22.826379542395692</v>
      </c>
      <c r="BY152" s="37">
        <f t="shared" si="82"/>
        <v>30.16461331400766</v>
      </c>
      <c r="BZ152" s="37">
        <f t="shared" si="83"/>
        <v>7.3382337716119679</v>
      </c>
      <c r="CA152" s="34">
        <v>17</v>
      </c>
      <c r="CB152" s="34">
        <v>22</v>
      </c>
    </row>
    <row r="153" spans="1:80" x14ac:dyDescent="0.4">
      <c r="A153" s="16" t="s">
        <v>178</v>
      </c>
      <c r="B153" s="16" t="s">
        <v>254</v>
      </c>
      <c r="C153" s="16" t="s">
        <v>209</v>
      </c>
      <c r="D153" s="23">
        <v>41</v>
      </c>
      <c r="E153" s="23">
        <v>17</v>
      </c>
      <c r="F153" s="23">
        <v>39</v>
      </c>
      <c r="G153" s="21">
        <v>43419</v>
      </c>
      <c r="H153" s="21">
        <v>247</v>
      </c>
      <c r="I153" s="22">
        <f t="shared" si="60"/>
        <v>6.024390243902439</v>
      </c>
      <c r="J153" s="23">
        <v>96</v>
      </c>
      <c r="K153" s="23">
        <v>240</v>
      </c>
      <c r="L153" s="22">
        <f t="shared" si="84"/>
        <v>2.3414634146341462</v>
      </c>
      <c r="M153" s="22">
        <f t="shared" si="85"/>
        <v>5.8536585365853657</v>
      </c>
      <c r="N153" s="24">
        <f t="shared" si="86"/>
        <v>0.4</v>
      </c>
      <c r="O153" s="21">
        <v>67</v>
      </c>
      <c r="P153" s="23">
        <v>134</v>
      </c>
      <c r="Q153" s="22">
        <f t="shared" si="61"/>
        <v>1.6341463414634145</v>
      </c>
      <c r="R153" s="22">
        <f t="shared" si="62"/>
        <v>3.2682926829268291</v>
      </c>
      <c r="S153" s="24">
        <f t="shared" si="63"/>
        <v>0.5</v>
      </c>
      <c r="T153" s="23">
        <v>29</v>
      </c>
      <c r="U153" s="23">
        <v>106</v>
      </c>
      <c r="V153" s="22">
        <f t="shared" si="64"/>
        <v>0.70731707317073167</v>
      </c>
      <c r="W153" s="22">
        <f t="shared" si="65"/>
        <v>2.5853658536585367</v>
      </c>
      <c r="X153" s="24">
        <f t="shared" si="66"/>
        <v>0.27358490566037735</v>
      </c>
      <c r="Y153" s="23">
        <v>26</v>
      </c>
      <c r="Z153" s="23">
        <v>29</v>
      </c>
      <c r="AA153" s="22">
        <f t="shared" si="67"/>
        <v>0.63414634146341464</v>
      </c>
      <c r="AB153" s="22">
        <f t="shared" si="68"/>
        <v>0.70731707317073167</v>
      </c>
      <c r="AC153" s="24">
        <f t="shared" si="69"/>
        <v>0.89655172413793105</v>
      </c>
      <c r="AD153" s="23">
        <v>76</v>
      </c>
      <c r="AE153" s="22">
        <f t="shared" si="70"/>
        <v>1.8536585365853659</v>
      </c>
      <c r="AF153" s="23">
        <v>18</v>
      </c>
      <c r="AG153" s="22">
        <f t="shared" si="71"/>
        <v>0.43902439024390244</v>
      </c>
      <c r="AH153" s="23">
        <v>58</v>
      </c>
      <c r="AI153" s="22">
        <f t="shared" si="72"/>
        <v>1.4146341463414633</v>
      </c>
      <c r="AJ153" s="23">
        <v>84</v>
      </c>
      <c r="AK153" s="22">
        <f t="shared" si="73"/>
        <v>2.0487804878048781</v>
      </c>
      <c r="AL153" s="23">
        <v>21</v>
      </c>
      <c r="AM153" s="22">
        <f t="shared" si="74"/>
        <v>0.51219512195121952</v>
      </c>
      <c r="AN153" s="23">
        <v>12</v>
      </c>
      <c r="AO153" s="22">
        <f t="shared" si="75"/>
        <v>0.29268292682926828</v>
      </c>
      <c r="AP153" s="10">
        <v>52</v>
      </c>
      <c r="AQ153" s="22">
        <f t="shared" si="76"/>
        <v>1.2682926829268293</v>
      </c>
      <c r="AR153" s="23">
        <v>72</v>
      </c>
      <c r="AS153" s="22">
        <f t="shared" si="77"/>
        <v>1.7560975609756098</v>
      </c>
      <c r="AT153" s="25">
        <v>0.22163716852255383</v>
      </c>
      <c r="AU153" s="25">
        <v>1.2251069910733301E-2</v>
      </c>
      <c r="AV153" s="25">
        <v>-0.47767679368293997</v>
      </c>
      <c r="AW153" s="25">
        <v>0.6993139622054938</v>
      </c>
      <c r="AX153" s="25">
        <v>94.820447090835202</v>
      </c>
      <c r="AY153" s="25">
        <v>109.95676883739158</v>
      </c>
      <c r="AZ153" s="25">
        <v>6.4246800689841104</v>
      </c>
      <c r="BA153" s="25">
        <v>5.8780487804878048</v>
      </c>
      <c r="BB153" s="25">
        <v>13.321357009604091</v>
      </c>
      <c r="BC153" s="24">
        <v>0.48860579205570503</v>
      </c>
      <c r="BD153" s="24">
        <v>0.46041666666666664</v>
      </c>
      <c r="BE153" s="25">
        <v>14.396244392262231</v>
      </c>
      <c r="BF153" s="24">
        <v>0.44166666666666665</v>
      </c>
      <c r="BG153" s="24">
        <v>0.12083333333333333</v>
      </c>
      <c r="BH153" s="25">
        <v>2.1235398819960687</v>
      </c>
      <c r="BI153" s="25">
        <v>6.8425173975428866</v>
      </c>
      <c r="BJ153" s="25">
        <v>4.1774911554679441</v>
      </c>
      <c r="BK153" s="25">
        <v>12.022477739631061</v>
      </c>
      <c r="BL153" s="25">
        <v>1.5545960376557038</v>
      </c>
      <c r="BM153" s="25">
        <v>1.1901736289757687</v>
      </c>
      <c r="BN153" s="25">
        <v>17.062606641291509</v>
      </c>
      <c r="BO153" s="26" t="s">
        <v>176</v>
      </c>
      <c r="BP153" s="26"/>
      <c r="BQ153" s="32" t="s">
        <v>267</v>
      </c>
      <c r="BR153" s="32">
        <v>459.65</v>
      </c>
      <c r="BS153" s="32">
        <v>676.35</v>
      </c>
      <c r="BT153" s="32">
        <v>216.7</v>
      </c>
      <c r="BU153" s="36">
        <f t="shared" si="78"/>
        <v>11.210975609756098</v>
      </c>
      <c r="BV153" s="36">
        <f t="shared" si="79"/>
        <v>16.496341463414634</v>
      </c>
      <c r="BW153" s="36">
        <f t="shared" si="80"/>
        <v>5.2853658536585364</v>
      </c>
      <c r="BX153" s="37">
        <f t="shared" si="81"/>
        <v>25.407310163753195</v>
      </c>
      <c r="BY153" s="37">
        <f t="shared" si="82"/>
        <v>37.385476404339116</v>
      </c>
      <c r="BZ153" s="37">
        <f t="shared" si="83"/>
        <v>11.978166240585919</v>
      </c>
      <c r="CA153" s="34">
        <v>17</v>
      </c>
      <c r="CB153" s="34">
        <v>24</v>
      </c>
    </row>
    <row r="154" spans="1:80" x14ac:dyDescent="0.4">
      <c r="A154" s="16" t="s">
        <v>178</v>
      </c>
      <c r="B154" s="16" t="s">
        <v>254</v>
      </c>
      <c r="C154" s="16" t="s">
        <v>210</v>
      </c>
      <c r="D154" s="23">
        <v>39</v>
      </c>
      <c r="E154" s="23">
        <v>26</v>
      </c>
      <c r="F154" s="23">
        <v>16</v>
      </c>
      <c r="G154" s="21">
        <v>61464</v>
      </c>
      <c r="H154" s="21">
        <v>588</v>
      </c>
      <c r="I154" s="22">
        <f t="shared" si="60"/>
        <v>15.076923076923077</v>
      </c>
      <c r="J154" s="23">
        <v>229</v>
      </c>
      <c r="K154" s="23">
        <v>513</v>
      </c>
      <c r="L154" s="22">
        <f t="shared" si="84"/>
        <v>5.8717948717948714</v>
      </c>
      <c r="M154" s="22">
        <f t="shared" si="85"/>
        <v>13.153846153846153</v>
      </c>
      <c r="N154" s="24">
        <f t="shared" si="86"/>
        <v>0.44639376218323584</v>
      </c>
      <c r="O154" s="21">
        <v>174</v>
      </c>
      <c r="P154" s="23">
        <v>323</v>
      </c>
      <c r="Q154" s="22">
        <f t="shared" si="61"/>
        <v>4.4615384615384617</v>
      </c>
      <c r="R154" s="22">
        <f t="shared" si="62"/>
        <v>8.2820512820512828</v>
      </c>
      <c r="S154" s="24">
        <f t="shared" si="63"/>
        <v>0.53869969040247678</v>
      </c>
      <c r="T154" s="23">
        <v>55</v>
      </c>
      <c r="U154" s="23">
        <v>190</v>
      </c>
      <c r="V154" s="22">
        <f t="shared" si="64"/>
        <v>1.4102564102564104</v>
      </c>
      <c r="W154" s="22">
        <f t="shared" si="65"/>
        <v>4.8717948717948714</v>
      </c>
      <c r="X154" s="24">
        <f t="shared" si="66"/>
        <v>0.28947368421052633</v>
      </c>
      <c r="Y154" s="23">
        <v>75</v>
      </c>
      <c r="Z154" s="23">
        <v>98</v>
      </c>
      <c r="AA154" s="22">
        <f t="shared" si="67"/>
        <v>1.9230769230769231</v>
      </c>
      <c r="AB154" s="22">
        <f t="shared" si="68"/>
        <v>2.5128205128205128</v>
      </c>
      <c r="AC154" s="24">
        <f t="shared" si="69"/>
        <v>0.76530612244897955</v>
      </c>
      <c r="AD154" s="23">
        <v>324</v>
      </c>
      <c r="AE154" s="22">
        <f t="shared" si="70"/>
        <v>8.3076923076923084</v>
      </c>
      <c r="AF154" s="23">
        <v>72</v>
      </c>
      <c r="AG154" s="22">
        <f t="shared" si="71"/>
        <v>1.8461538461538463</v>
      </c>
      <c r="AH154" s="23">
        <v>252</v>
      </c>
      <c r="AI154" s="22">
        <f t="shared" si="72"/>
        <v>6.4615384615384617</v>
      </c>
      <c r="AJ154" s="23">
        <v>79</v>
      </c>
      <c r="AK154" s="22">
        <f t="shared" si="73"/>
        <v>2.0256410256410255</v>
      </c>
      <c r="AL154" s="23">
        <v>34</v>
      </c>
      <c r="AM154" s="22">
        <f t="shared" si="74"/>
        <v>0.87179487179487181</v>
      </c>
      <c r="AN154" s="23">
        <v>20</v>
      </c>
      <c r="AO154" s="22">
        <f t="shared" si="75"/>
        <v>0.51282051282051277</v>
      </c>
      <c r="AP154" s="10">
        <v>79</v>
      </c>
      <c r="AQ154" s="22">
        <f t="shared" si="76"/>
        <v>2.0256410256410255</v>
      </c>
      <c r="AR154" s="23">
        <v>88</v>
      </c>
      <c r="AS154" s="22">
        <f t="shared" si="77"/>
        <v>2.2564102564102564</v>
      </c>
      <c r="AT154" s="25">
        <v>2.4589483009881641</v>
      </c>
      <c r="AU154" s="25">
        <v>9.6015162084660835E-2</v>
      </c>
      <c r="AV154" s="25">
        <v>0.45412389267079567</v>
      </c>
      <c r="AW154" s="25">
        <v>2.0048244083173685</v>
      </c>
      <c r="AX154" s="25">
        <v>101.75925352858923</v>
      </c>
      <c r="AY154" s="25">
        <v>102.91319048556478</v>
      </c>
      <c r="AZ154" s="25">
        <v>13.501810368295915</v>
      </c>
      <c r="BA154" s="25">
        <v>16.897435897435898</v>
      </c>
      <c r="BB154" s="25">
        <v>25.732135884420146</v>
      </c>
      <c r="BC154" s="24">
        <v>0.52866287851542837</v>
      </c>
      <c r="BD154" s="24">
        <v>0.5</v>
      </c>
      <c r="BE154" s="25">
        <v>20.159826105946372</v>
      </c>
      <c r="BF154" s="24">
        <v>0.37037037037037035</v>
      </c>
      <c r="BG154" s="24">
        <v>0.19103313840155944</v>
      </c>
      <c r="BH154" s="25">
        <v>5.7076871447559308</v>
      </c>
      <c r="BI154" s="25">
        <v>19.976905006645758</v>
      </c>
      <c r="BJ154" s="25">
        <v>11.96703893350537</v>
      </c>
      <c r="BK154" s="25">
        <v>8.2839037109791445</v>
      </c>
      <c r="BL154" s="25">
        <v>1.7780180905005809</v>
      </c>
      <c r="BM154" s="25">
        <v>1.332903842095325</v>
      </c>
      <c r="BN154" s="25">
        <v>12.438594281395641</v>
      </c>
      <c r="BO154" s="26" t="s">
        <v>249</v>
      </c>
      <c r="BP154" s="27"/>
      <c r="BQ154" s="32" t="s">
        <v>268</v>
      </c>
      <c r="BR154" s="32">
        <v>976.67</v>
      </c>
      <c r="BS154" s="32">
        <v>1384.07</v>
      </c>
      <c r="BT154" s="32">
        <v>407.4</v>
      </c>
      <c r="BU154" s="36">
        <f t="shared" si="78"/>
        <v>25.042820512820512</v>
      </c>
      <c r="BV154" s="36">
        <f t="shared" si="79"/>
        <v>35.48897435897436</v>
      </c>
      <c r="BW154" s="36">
        <f t="shared" si="80"/>
        <v>10.446153846153846</v>
      </c>
      <c r="BX154" s="37">
        <f t="shared" si="81"/>
        <v>38.136274892620072</v>
      </c>
      <c r="BY154" s="37">
        <f t="shared" si="82"/>
        <v>54.044123389301056</v>
      </c>
      <c r="BZ154" s="37">
        <f t="shared" si="83"/>
        <v>15.907848496680984</v>
      </c>
      <c r="CA154" s="35">
        <v>17</v>
      </c>
      <c r="CB154" s="35">
        <v>22</v>
      </c>
    </row>
    <row r="155" spans="1:80" x14ac:dyDescent="0.4">
      <c r="A155" s="16" t="s">
        <v>178</v>
      </c>
      <c r="B155" s="16" t="s">
        <v>254</v>
      </c>
      <c r="C155" s="16" t="s">
        <v>86</v>
      </c>
      <c r="D155" s="23">
        <v>54</v>
      </c>
      <c r="E155" s="23">
        <v>30</v>
      </c>
      <c r="F155" s="23">
        <v>20</v>
      </c>
      <c r="G155" s="21">
        <v>98280</v>
      </c>
      <c r="H155" s="21">
        <v>902</v>
      </c>
      <c r="I155" s="22">
        <f t="shared" si="60"/>
        <v>16.703703703703702</v>
      </c>
      <c r="J155" s="23">
        <v>308</v>
      </c>
      <c r="K155" s="23">
        <v>667</v>
      </c>
      <c r="L155" s="22">
        <f t="shared" si="84"/>
        <v>5.7037037037037033</v>
      </c>
      <c r="M155" s="22">
        <f t="shared" si="85"/>
        <v>12.351851851851851</v>
      </c>
      <c r="N155" s="24">
        <f t="shared" si="86"/>
        <v>0.46176911544227889</v>
      </c>
      <c r="O155" s="21">
        <v>192</v>
      </c>
      <c r="P155" s="23">
        <v>340</v>
      </c>
      <c r="Q155" s="22">
        <f t="shared" si="61"/>
        <v>3.5555555555555554</v>
      </c>
      <c r="R155" s="22">
        <f t="shared" si="62"/>
        <v>6.2962962962962967</v>
      </c>
      <c r="S155" s="24">
        <f t="shared" si="63"/>
        <v>0.56470588235294117</v>
      </c>
      <c r="T155" s="23">
        <v>116</v>
      </c>
      <c r="U155" s="23">
        <v>327</v>
      </c>
      <c r="V155" s="22">
        <f t="shared" si="64"/>
        <v>2.1481481481481484</v>
      </c>
      <c r="W155" s="22">
        <f t="shared" si="65"/>
        <v>6.0555555555555554</v>
      </c>
      <c r="X155" s="24">
        <f t="shared" si="66"/>
        <v>0.35474006116207951</v>
      </c>
      <c r="Y155" s="23">
        <v>170</v>
      </c>
      <c r="Z155" s="23">
        <v>198</v>
      </c>
      <c r="AA155" s="22">
        <f t="shared" si="67"/>
        <v>3.1481481481481484</v>
      </c>
      <c r="AB155" s="22">
        <f t="shared" si="68"/>
        <v>3.6666666666666665</v>
      </c>
      <c r="AC155" s="24">
        <f t="shared" si="69"/>
        <v>0.85858585858585856</v>
      </c>
      <c r="AD155" s="23">
        <v>145</v>
      </c>
      <c r="AE155" s="22">
        <f t="shared" si="70"/>
        <v>2.6851851851851851</v>
      </c>
      <c r="AF155" s="23">
        <v>25</v>
      </c>
      <c r="AG155" s="22">
        <f t="shared" si="71"/>
        <v>0.46296296296296297</v>
      </c>
      <c r="AH155" s="23">
        <v>120</v>
      </c>
      <c r="AI155" s="22">
        <f t="shared" si="72"/>
        <v>2.2222222222222223</v>
      </c>
      <c r="AJ155" s="23">
        <v>229</v>
      </c>
      <c r="AK155" s="22">
        <f t="shared" si="73"/>
        <v>4.2407407407407405</v>
      </c>
      <c r="AL155" s="23">
        <v>43</v>
      </c>
      <c r="AM155" s="22">
        <f t="shared" si="74"/>
        <v>0.79629629629629628</v>
      </c>
      <c r="AN155" s="23">
        <v>5</v>
      </c>
      <c r="AO155" s="22">
        <f t="shared" si="75"/>
        <v>9.2592592592592587E-2</v>
      </c>
      <c r="AP155" s="10">
        <v>108</v>
      </c>
      <c r="AQ155" s="22">
        <f t="shared" si="76"/>
        <v>2</v>
      </c>
      <c r="AR155" s="23">
        <v>94</v>
      </c>
      <c r="AS155" s="22">
        <f t="shared" si="77"/>
        <v>1.7407407407407407</v>
      </c>
      <c r="AT155" s="25">
        <v>5.8292588151856153</v>
      </c>
      <c r="AU155" s="25">
        <v>0.14235064261747535</v>
      </c>
      <c r="AV155" s="25">
        <v>4.5904150148530336</v>
      </c>
      <c r="AW155" s="25">
        <v>1.2388438003325819</v>
      </c>
      <c r="AX155" s="25">
        <v>115.85536959763378</v>
      </c>
      <c r="AY155" s="25">
        <v>111.45019821775462</v>
      </c>
      <c r="AZ155" s="25">
        <v>17.569845192482834</v>
      </c>
      <c r="BA155" s="25">
        <v>15.351851851851851</v>
      </c>
      <c r="BB155" s="25">
        <v>20.244200244200243</v>
      </c>
      <c r="BC155" s="24">
        <v>0.59804805601230571</v>
      </c>
      <c r="BD155" s="24">
        <v>0.54872563718140932</v>
      </c>
      <c r="BE155" s="25">
        <v>23.696463616423596</v>
      </c>
      <c r="BF155" s="24">
        <v>0.49025487256371814</v>
      </c>
      <c r="BG155" s="24">
        <v>0.29685157421289354</v>
      </c>
      <c r="BH155" s="25">
        <v>1.7161391445618412</v>
      </c>
      <c r="BI155" s="25">
        <v>8.2374678938968362</v>
      </c>
      <c r="BJ155" s="25">
        <v>4.6376131750858889</v>
      </c>
      <c r="BK155" s="25">
        <v>21.649557633674991</v>
      </c>
      <c r="BL155" s="25">
        <v>1.4063110405817387</v>
      </c>
      <c r="BM155" s="25">
        <v>0.28855171087118575</v>
      </c>
      <c r="BN155" s="25">
        <v>12.527258386303531</v>
      </c>
      <c r="BO155" s="26" t="s">
        <v>176</v>
      </c>
      <c r="BP155" s="27"/>
      <c r="BQ155" s="32" t="s">
        <v>267</v>
      </c>
      <c r="BR155" s="32">
        <v>1348.68</v>
      </c>
      <c r="BS155" s="32">
        <v>1870.98</v>
      </c>
      <c r="BT155" s="32">
        <v>522.29999999999995</v>
      </c>
      <c r="BU155" s="36">
        <f t="shared" si="78"/>
        <v>24.975555555555555</v>
      </c>
      <c r="BV155" s="36">
        <f t="shared" si="79"/>
        <v>34.647777777777776</v>
      </c>
      <c r="BW155" s="36">
        <f t="shared" si="80"/>
        <v>9.6722222222222207</v>
      </c>
      <c r="BX155" s="37">
        <f t="shared" si="81"/>
        <v>32.934798534798531</v>
      </c>
      <c r="BY155" s="37">
        <f t="shared" si="82"/>
        <v>45.68937728937729</v>
      </c>
      <c r="BZ155" s="37">
        <f t="shared" si="83"/>
        <v>12.754578754578755</v>
      </c>
      <c r="CA155" s="35">
        <v>23</v>
      </c>
      <c r="CB155" s="35">
        <v>31</v>
      </c>
    </row>
    <row r="156" spans="1:80" x14ac:dyDescent="0.4">
      <c r="A156" s="16" t="s">
        <v>178</v>
      </c>
      <c r="B156" s="16" t="s">
        <v>263</v>
      </c>
      <c r="C156" s="16" t="s">
        <v>188</v>
      </c>
      <c r="D156" s="23">
        <v>3</v>
      </c>
      <c r="E156" s="23">
        <v>13</v>
      </c>
      <c r="F156" s="23">
        <v>14</v>
      </c>
      <c r="G156" s="21">
        <v>2382</v>
      </c>
      <c r="H156" s="21">
        <v>16</v>
      </c>
      <c r="I156" s="22">
        <f t="shared" si="60"/>
        <v>5.333333333333333</v>
      </c>
      <c r="J156" s="23">
        <v>6</v>
      </c>
      <c r="K156" s="23">
        <v>10</v>
      </c>
      <c r="L156" s="22">
        <f t="shared" si="84"/>
        <v>2</v>
      </c>
      <c r="M156" s="22">
        <f t="shared" si="85"/>
        <v>3.3333333333333335</v>
      </c>
      <c r="N156" s="24">
        <f t="shared" si="86"/>
        <v>0.6</v>
      </c>
      <c r="O156" s="21">
        <v>5</v>
      </c>
      <c r="P156" s="23">
        <v>9</v>
      </c>
      <c r="Q156" s="22">
        <f t="shared" si="61"/>
        <v>1.6666666666666667</v>
      </c>
      <c r="R156" s="22">
        <f t="shared" si="62"/>
        <v>3</v>
      </c>
      <c r="S156" s="24">
        <f t="shared" si="63"/>
        <v>0.55555555555555558</v>
      </c>
      <c r="T156" s="23">
        <v>1</v>
      </c>
      <c r="U156" s="23">
        <v>1</v>
      </c>
      <c r="V156" s="22">
        <f t="shared" si="64"/>
        <v>0.33333333333333331</v>
      </c>
      <c r="W156" s="22">
        <f t="shared" si="65"/>
        <v>0.33333333333333331</v>
      </c>
      <c r="X156" s="24">
        <f t="shared" si="66"/>
        <v>1</v>
      </c>
      <c r="Y156" s="23">
        <v>3</v>
      </c>
      <c r="Z156" s="23">
        <v>3</v>
      </c>
      <c r="AA156" s="22">
        <f t="shared" si="67"/>
        <v>1</v>
      </c>
      <c r="AB156" s="22">
        <f t="shared" si="68"/>
        <v>1</v>
      </c>
      <c r="AC156" s="24">
        <f t="shared" si="69"/>
        <v>1</v>
      </c>
      <c r="AD156" s="23">
        <v>7</v>
      </c>
      <c r="AE156" s="22">
        <f t="shared" si="70"/>
        <v>2.3333333333333335</v>
      </c>
      <c r="AF156" s="23">
        <v>4</v>
      </c>
      <c r="AG156" s="22">
        <f t="shared" si="71"/>
        <v>1.3333333333333333</v>
      </c>
      <c r="AH156" s="23">
        <v>3</v>
      </c>
      <c r="AI156" s="22">
        <f t="shared" si="72"/>
        <v>1</v>
      </c>
      <c r="AJ156" s="23">
        <v>2</v>
      </c>
      <c r="AK156" s="22">
        <f t="shared" si="73"/>
        <v>0.66666666666666663</v>
      </c>
      <c r="AL156" s="23">
        <v>0</v>
      </c>
      <c r="AM156" s="22">
        <f t="shared" si="74"/>
        <v>0</v>
      </c>
      <c r="AN156" s="39">
        <v>1</v>
      </c>
      <c r="AO156" s="22">
        <f t="shared" si="75"/>
        <v>0.33333333333333331</v>
      </c>
      <c r="AP156" s="10">
        <v>3</v>
      </c>
      <c r="AQ156" s="22">
        <f t="shared" si="76"/>
        <v>1</v>
      </c>
      <c r="AR156" s="23">
        <v>5</v>
      </c>
      <c r="AS156" s="22">
        <f t="shared" si="77"/>
        <v>1.6666666666666667</v>
      </c>
      <c r="AT156" s="25">
        <v>8.4511388774094448E-2</v>
      </c>
      <c r="AU156" s="25">
        <v>8.5150013878180789E-2</v>
      </c>
      <c r="AV156" s="25">
        <v>0.11220683736382474</v>
      </c>
      <c r="AW156" s="25">
        <v>-2.7695448589730293E-2</v>
      </c>
      <c r="AX156" s="25">
        <v>121.23537140384745</v>
      </c>
      <c r="AY156" s="25">
        <v>121.77264181825723</v>
      </c>
      <c r="AZ156" s="25">
        <v>0.75578222142147755</v>
      </c>
      <c r="BA156" s="25">
        <v>6.333333333333333</v>
      </c>
      <c r="BB156" s="25">
        <v>19.143576826196472</v>
      </c>
      <c r="BC156" s="24">
        <v>0.70671378091872794</v>
      </c>
      <c r="BD156" s="24">
        <v>0.65</v>
      </c>
      <c r="BE156" s="25">
        <v>0.90221433134703366</v>
      </c>
      <c r="BF156" s="24">
        <v>0.1</v>
      </c>
      <c r="BG156" s="24">
        <v>0.3</v>
      </c>
      <c r="BH156" s="25">
        <v>0.6293951119602117</v>
      </c>
      <c r="BI156" s="25">
        <v>0.47204633397015883</v>
      </c>
      <c r="BJ156" s="25">
        <v>0.51318676149217601</v>
      </c>
      <c r="BK156" s="25">
        <v>0.33908027301613319</v>
      </c>
      <c r="BL156" s="25">
        <v>0</v>
      </c>
      <c r="BM156" s="25">
        <v>0.13228315208704233</v>
      </c>
      <c r="BN156" s="25">
        <v>20.949720670391063</v>
      </c>
      <c r="BO156" s="26" t="s">
        <v>176</v>
      </c>
      <c r="BP156" s="27"/>
      <c r="BQ156" s="33" t="s">
        <v>266</v>
      </c>
      <c r="BR156" s="33">
        <v>30.42</v>
      </c>
      <c r="BS156" s="33">
        <v>38.92</v>
      </c>
      <c r="BT156" s="33">
        <v>8.5</v>
      </c>
      <c r="BU156" s="36">
        <f t="shared" si="78"/>
        <v>10.14</v>
      </c>
      <c r="BV156" s="36">
        <f t="shared" si="79"/>
        <v>12.973333333333334</v>
      </c>
      <c r="BW156" s="36">
        <f t="shared" si="80"/>
        <v>2.8333333333333335</v>
      </c>
      <c r="BX156" s="37">
        <f t="shared" si="81"/>
        <v>30.649874055415619</v>
      </c>
      <c r="BY156" s="37">
        <f t="shared" si="82"/>
        <v>39.214105793450884</v>
      </c>
      <c r="BZ156" s="37">
        <f t="shared" si="83"/>
        <v>8.5642317380352644</v>
      </c>
      <c r="CA156" s="35">
        <v>2</v>
      </c>
      <c r="CB156" s="35">
        <v>1</v>
      </c>
    </row>
    <row r="157" spans="1:80" x14ac:dyDescent="0.4">
      <c r="A157" s="16" t="s">
        <v>178</v>
      </c>
      <c r="B157" s="16" t="s">
        <v>263</v>
      </c>
      <c r="C157" s="16" t="s">
        <v>85</v>
      </c>
      <c r="D157" s="39">
        <v>16</v>
      </c>
      <c r="E157" s="39">
        <v>6</v>
      </c>
      <c r="F157" s="39">
        <v>36</v>
      </c>
      <c r="G157" s="67">
        <v>6336</v>
      </c>
      <c r="H157" s="21">
        <v>36</v>
      </c>
      <c r="I157" s="22">
        <f t="shared" si="60"/>
        <v>2.25</v>
      </c>
      <c r="J157" s="39">
        <v>14</v>
      </c>
      <c r="K157" s="39">
        <v>23</v>
      </c>
      <c r="L157" s="22">
        <f t="shared" si="84"/>
        <v>0.875</v>
      </c>
      <c r="M157" s="22">
        <f t="shared" si="85"/>
        <v>1.4375</v>
      </c>
      <c r="N157" s="24">
        <f t="shared" si="86"/>
        <v>0.60869565217391308</v>
      </c>
      <c r="O157" s="21">
        <v>10</v>
      </c>
      <c r="P157" s="23">
        <v>17</v>
      </c>
      <c r="Q157" s="22">
        <f t="shared" si="61"/>
        <v>0.625</v>
      </c>
      <c r="R157" s="22">
        <f t="shared" si="62"/>
        <v>1.0625</v>
      </c>
      <c r="S157" s="24">
        <f t="shared" si="63"/>
        <v>0.58823529411764708</v>
      </c>
      <c r="T157" s="23">
        <v>4</v>
      </c>
      <c r="U157" s="23">
        <v>6</v>
      </c>
      <c r="V157" s="22">
        <f t="shared" si="64"/>
        <v>0.25</v>
      </c>
      <c r="W157" s="22">
        <f t="shared" si="65"/>
        <v>0.375</v>
      </c>
      <c r="X157" s="24">
        <f t="shared" si="66"/>
        <v>0.66666666666666663</v>
      </c>
      <c r="Y157" s="23">
        <v>4</v>
      </c>
      <c r="Z157" s="23">
        <v>7</v>
      </c>
      <c r="AA157" s="22">
        <f t="shared" si="67"/>
        <v>0.25</v>
      </c>
      <c r="AB157" s="22">
        <f t="shared" si="68"/>
        <v>0.4375</v>
      </c>
      <c r="AC157" s="24">
        <f t="shared" si="69"/>
        <v>0.5714285714285714</v>
      </c>
      <c r="AD157" s="39">
        <v>17</v>
      </c>
      <c r="AE157" s="22">
        <f t="shared" si="70"/>
        <v>1.0625</v>
      </c>
      <c r="AF157" s="39">
        <v>4</v>
      </c>
      <c r="AG157" s="22">
        <f t="shared" si="71"/>
        <v>0.25</v>
      </c>
      <c r="AH157" s="39">
        <v>13</v>
      </c>
      <c r="AI157" s="22">
        <f t="shared" si="72"/>
        <v>0.8125</v>
      </c>
      <c r="AJ157" s="39">
        <v>3</v>
      </c>
      <c r="AK157" s="22">
        <f t="shared" si="73"/>
        <v>0.1875</v>
      </c>
      <c r="AL157" s="39">
        <v>1</v>
      </c>
      <c r="AM157" s="22">
        <f t="shared" si="74"/>
        <v>6.25E-2</v>
      </c>
      <c r="AN157" s="39">
        <v>0</v>
      </c>
      <c r="AO157" s="22">
        <f t="shared" si="75"/>
        <v>0</v>
      </c>
      <c r="AP157" s="10">
        <v>3</v>
      </c>
      <c r="AQ157" s="22">
        <f t="shared" si="76"/>
        <v>0.1875</v>
      </c>
      <c r="AR157" s="39">
        <v>16</v>
      </c>
      <c r="AS157" s="22">
        <f t="shared" si="77"/>
        <v>1</v>
      </c>
      <c r="AT157" s="25">
        <v>0.22006467784461786</v>
      </c>
      <c r="AU157" s="25">
        <v>8.3357832516900709E-2</v>
      </c>
      <c r="AV157" s="25">
        <v>0.26162071396594494</v>
      </c>
      <c r="AW157" s="25">
        <v>-4.1556036121327085E-2</v>
      </c>
      <c r="AX157" s="25">
        <v>127.12056677666956</v>
      </c>
      <c r="AY157" s="25">
        <v>119.61696967899864</v>
      </c>
      <c r="AZ157" s="25">
        <v>3.0093987255289374</v>
      </c>
      <c r="BA157" s="25">
        <v>2.625</v>
      </c>
      <c r="BB157" s="25">
        <v>15.90909090909091</v>
      </c>
      <c r="BC157" s="24">
        <v>0.69018404907975461</v>
      </c>
      <c r="BD157" s="24">
        <v>0.69565217391304346</v>
      </c>
      <c r="BE157" s="25">
        <v>3.6735539486915174</v>
      </c>
      <c r="BF157" s="24">
        <v>0.2608695652173913</v>
      </c>
      <c r="BG157" s="24">
        <v>0.30434782608695654</v>
      </c>
      <c r="BH157" s="25">
        <v>1.2619689871121418</v>
      </c>
      <c r="BI157" s="25">
        <v>4.1013992081144606</v>
      </c>
      <c r="BJ157" s="25">
        <v>2.4989159114795787</v>
      </c>
      <c r="BK157" s="25">
        <v>1.0594529691169459</v>
      </c>
      <c r="BL157" s="25">
        <v>0.50729771944875079</v>
      </c>
      <c r="BM157" s="25">
        <v>0</v>
      </c>
      <c r="BN157" s="25">
        <v>10.316368638239341</v>
      </c>
      <c r="BO157" s="26" t="s">
        <v>176</v>
      </c>
      <c r="BP157" s="26"/>
      <c r="BQ157" s="32" t="s">
        <v>268</v>
      </c>
      <c r="BR157" s="32">
        <v>75.680000000000007</v>
      </c>
      <c r="BS157" s="32">
        <v>91.38</v>
      </c>
      <c r="BT157" s="32">
        <v>15.7</v>
      </c>
      <c r="BU157" s="36">
        <f t="shared" si="78"/>
        <v>4.7299999999999995</v>
      </c>
      <c r="BV157" s="36">
        <f t="shared" si="79"/>
        <v>5.7112499999999997</v>
      </c>
      <c r="BW157" s="36">
        <f t="shared" si="80"/>
        <v>0.98124999999999996</v>
      </c>
      <c r="BX157" s="37">
        <f t="shared" si="81"/>
        <v>28.666666666666671</v>
      </c>
      <c r="BY157" s="37">
        <f t="shared" si="82"/>
        <v>34.613636363636367</v>
      </c>
      <c r="BZ157" s="37">
        <f t="shared" si="83"/>
        <v>5.9469696969696972</v>
      </c>
      <c r="CA157" s="34">
        <v>5</v>
      </c>
      <c r="CB157" s="34">
        <v>11</v>
      </c>
    </row>
    <row r="158" spans="1:80" x14ac:dyDescent="0.4">
      <c r="A158" s="16" t="s">
        <v>178</v>
      </c>
      <c r="B158" s="16" t="s">
        <v>263</v>
      </c>
      <c r="C158" s="16" t="s">
        <v>89</v>
      </c>
      <c r="D158" s="23">
        <v>4</v>
      </c>
      <c r="E158" s="23">
        <v>4</v>
      </c>
      <c r="F158" s="23">
        <v>26</v>
      </c>
      <c r="G158" s="21">
        <v>1064</v>
      </c>
      <c r="H158" s="21">
        <v>4</v>
      </c>
      <c r="I158" s="22">
        <f t="shared" si="60"/>
        <v>1</v>
      </c>
      <c r="J158" s="23">
        <v>0</v>
      </c>
      <c r="K158" s="23">
        <v>2</v>
      </c>
      <c r="L158" s="22">
        <f t="shared" si="84"/>
        <v>0</v>
      </c>
      <c r="M158" s="22">
        <f t="shared" si="85"/>
        <v>0.5</v>
      </c>
      <c r="N158" s="24">
        <f t="shared" si="86"/>
        <v>0</v>
      </c>
      <c r="O158" s="21">
        <v>0</v>
      </c>
      <c r="P158" s="23">
        <v>1</v>
      </c>
      <c r="Q158" s="22">
        <f t="shared" si="61"/>
        <v>0</v>
      </c>
      <c r="R158" s="22">
        <f t="shared" si="62"/>
        <v>0.25</v>
      </c>
      <c r="S158" s="24">
        <f t="shared" si="63"/>
        <v>0</v>
      </c>
      <c r="T158" s="23">
        <v>0</v>
      </c>
      <c r="U158" s="23">
        <v>1</v>
      </c>
      <c r="V158" s="22">
        <f t="shared" si="64"/>
        <v>0</v>
      </c>
      <c r="W158" s="22">
        <f t="shared" si="65"/>
        <v>0.25</v>
      </c>
      <c r="X158" s="24">
        <f t="shared" si="66"/>
        <v>0</v>
      </c>
      <c r="Y158" s="23">
        <v>4</v>
      </c>
      <c r="Z158" s="23">
        <v>8</v>
      </c>
      <c r="AA158" s="22">
        <f t="shared" si="67"/>
        <v>1</v>
      </c>
      <c r="AB158" s="22">
        <f t="shared" si="68"/>
        <v>2</v>
      </c>
      <c r="AC158" s="24">
        <f t="shared" si="69"/>
        <v>0.5</v>
      </c>
      <c r="AD158" s="23">
        <v>1</v>
      </c>
      <c r="AE158" s="22">
        <f t="shared" si="70"/>
        <v>0.25</v>
      </c>
      <c r="AF158" s="23">
        <v>0</v>
      </c>
      <c r="AG158" s="22">
        <f t="shared" si="71"/>
        <v>0</v>
      </c>
      <c r="AH158" s="23">
        <v>1</v>
      </c>
      <c r="AI158" s="22">
        <f t="shared" si="72"/>
        <v>0.25</v>
      </c>
      <c r="AJ158" s="23">
        <v>3</v>
      </c>
      <c r="AK158" s="22">
        <f t="shared" si="73"/>
        <v>0.75</v>
      </c>
      <c r="AL158" s="23">
        <v>0</v>
      </c>
      <c r="AM158" s="22">
        <f t="shared" si="74"/>
        <v>0</v>
      </c>
      <c r="AN158" s="39">
        <v>0</v>
      </c>
      <c r="AO158" s="22">
        <f t="shared" si="75"/>
        <v>0</v>
      </c>
      <c r="AP158" s="10">
        <v>0</v>
      </c>
      <c r="AQ158" s="22">
        <f t="shared" si="76"/>
        <v>0</v>
      </c>
      <c r="AR158" s="23">
        <v>4</v>
      </c>
      <c r="AS158" s="22">
        <f t="shared" si="77"/>
        <v>1</v>
      </c>
      <c r="AT158" s="25">
        <v>-1.0386592751504737E-2</v>
      </c>
      <c r="AU158" s="25">
        <v>-2.342840470264226E-2</v>
      </c>
      <c r="AV158" s="25">
        <v>6.7537837530514747E-3</v>
      </c>
      <c r="AW158" s="25">
        <v>-1.7140376504556212E-2</v>
      </c>
      <c r="AX158" s="25">
        <v>102.81817320967448</v>
      </c>
      <c r="AY158" s="25">
        <v>123.67913501702456</v>
      </c>
      <c r="AZ158" s="25">
        <v>-6.7367176420948485E-2</v>
      </c>
      <c r="BA158" s="25">
        <v>0.5</v>
      </c>
      <c r="BB158" s="25">
        <v>4.5112781954887211</v>
      </c>
      <c r="BC158" s="24">
        <v>0.3623188405797102</v>
      </c>
      <c r="BD158" s="24">
        <v>0</v>
      </c>
      <c r="BE158" s="25">
        <v>1.0381130414831474</v>
      </c>
      <c r="BF158" s="24">
        <v>0.5</v>
      </c>
      <c r="BG158" s="24">
        <v>4</v>
      </c>
      <c r="BH158" s="25">
        <v>0</v>
      </c>
      <c r="BI158" s="25">
        <v>0.46968018693271435</v>
      </c>
      <c r="BJ158" s="25">
        <v>0.21883474147410728</v>
      </c>
      <c r="BK158" s="25">
        <v>1.5029244404737552</v>
      </c>
      <c r="BL158" s="25">
        <v>0</v>
      </c>
      <c r="BM158" s="25">
        <v>0</v>
      </c>
      <c r="BN158" s="25">
        <v>0</v>
      </c>
      <c r="BO158" s="26" t="s">
        <v>176</v>
      </c>
      <c r="BP158" s="27"/>
      <c r="BQ158" s="32" t="s">
        <v>267</v>
      </c>
      <c r="BR158" s="32">
        <v>8.83</v>
      </c>
      <c r="BS158" s="32">
        <v>13.93</v>
      </c>
      <c r="BT158" s="32">
        <v>5.0999999999999996</v>
      </c>
      <c r="BU158" s="36">
        <f t="shared" si="78"/>
        <v>2.2075</v>
      </c>
      <c r="BV158" s="36">
        <f t="shared" si="79"/>
        <v>3.4824999999999999</v>
      </c>
      <c r="BW158" s="36">
        <f t="shared" si="80"/>
        <v>1.2749999999999999</v>
      </c>
      <c r="BX158" s="37">
        <f t="shared" si="81"/>
        <v>19.917293233082709</v>
      </c>
      <c r="BY158" s="37">
        <f t="shared" si="82"/>
        <v>31.421052631578949</v>
      </c>
      <c r="BZ158" s="37">
        <f t="shared" si="83"/>
        <v>11.503759398496241</v>
      </c>
      <c r="CA158" s="35">
        <v>1</v>
      </c>
      <c r="CB158" s="35">
        <v>3</v>
      </c>
    </row>
    <row r="159" spans="1:80" x14ac:dyDescent="0.4">
      <c r="A159" s="16" t="s">
        <v>178</v>
      </c>
      <c r="B159" s="16" t="s">
        <v>263</v>
      </c>
      <c r="C159" s="16" t="s">
        <v>161</v>
      </c>
      <c r="D159" s="23">
        <v>47</v>
      </c>
      <c r="E159" s="23">
        <v>21</v>
      </c>
      <c r="F159" s="23">
        <v>22</v>
      </c>
      <c r="G159" s="21">
        <v>60254</v>
      </c>
      <c r="H159" s="21">
        <v>333</v>
      </c>
      <c r="I159" s="22">
        <f t="shared" si="60"/>
        <v>7.0851063829787231</v>
      </c>
      <c r="J159" s="23">
        <v>122</v>
      </c>
      <c r="K159" s="23">
        <v>237</v>
      </c>
      <c r="L159" s="22">
        <f t="shared" si="84"/>
        <v>2.5957446808510638</v>
      </c>
      <c r="M159" s="22">
        <f t="shared" si="85"/>
        <v>5.042553191489362</v>
      </c>
      <c r="N159" s="24">
        <f t="shared" si="86"/>
        <v>0.51476793248945152</v>
      </c>
      <c r="O159" s="21">
        <v>89</v>
      </c>
      <c r="P159" s="23">
        <v>133</v>
      </c>
      <c r="Q159" s="22">
        <f t="shared" si="61"/>
        <v>1.8936170212765957</v>
      </c>
      <c r="R159" s="22">
        <f t="shared" si="62"/>
        <v>2.8297872340425534</v>
      </c>
      <c r="S159" s="24">
        <f t="shared" si="63"/>
        <v>0.66917293233082709</v>
      </c>
      <c r="T159" s="23">
        <v>33</v>
      </c>
      <c r="U159" s="23">
        <v>104</v>
      </c>
      <c r="V159" s="22">
        <f t="shared" si="64"/>
        <v>0.7021276595744681</v>
      </c>
      <c r="W159" s="22">
        <f t="shared" si="65"/>
        <v>2.2127659574468086</v>
      </c>
      <c r="X159" s="24">
        <f t="shared" si="66"/>
        <v>0.31730769230769229</v>
      </c>
      <c r="Y159" s="23">
        <v>56</v>
      </c>
      <c r="Z159" s="23">
        <v>76</v>
      </c>
      <c r="AA159" s="22">
        <f t="shared" si="67"/>
        <v>1.1914893617021276</v>
      </c>
      <c r="AB159" s="22">
        <f t="shared" si="68"/>
        <v>1.6170212765957446</v>
      </c>
      <c r="AC159" s="24">
        <f t="shared" si="69"/>
        <v>0.73684210526315785</v>
      </c>
      <c r="AD159" s="23">
        <v>172</v>
      </c>
      <c r="AE159" s="22">
        <f t="shared" si="70"/>
        <v>3.6595744680851063</v>
      </c>
      <c r="AF159" s="23">
        <v>68</v>
      </c>
      <c r="AG159" s="22">
        <f t="shared" si="71"/>
        <v>1.446808510638298</v>
      </c>
      <c r="AH159" s="23">
        <v>104</v>
      </c>
      <c r="AI159" s="22">
        <f t="shared" si="72"/>
        <v>2.2127659574468086</v>
      </c>
      <c r="AJ159" s="23">
        <v>56</v>
      </c>
      <c r="AK159" s="22">
        <f t="shared" si="73"/>
        <v>1.1914893617021276</v>
      </c>
      <c r="AL159" s="23">
        <v>20</v>
      </c>
      <c r="AM159" s="22">
        <f t="shared" si="74"/>
        <v>0.42553191489361702</v>
      </c>
      <c r="AN159" s="39">
        <v>15</v>
      </c>
      <c r="AO159" s="22">
        <f t="shared" si="75"/>
        <v>0.31914893617021278</v>
      </c>
      <c r="AP159" s="10">
        <v>30</v>
      </c>
      <c r="AQ159" s="22">
        <f t="shared" si="76"/>
        <v>0.63829787234042556</v>
      </c>
      <c r="AR159" s="23">
        <v>61</v>
      </c>
      <c r="AS159" s="22">
        <f t="shared" si="77"/>
        <v>1.2978723404255319</v>
      </c>
      <c r="AT159" s="25">
        <v>2.4081589201119251</v>
      </c>
      <c r="AU159" s="25">
        <v>9.5920294225588676E-2</v>
      </c>
      <c r="AV159" s="25">
        <v>2.6733387510782065</v>
      </c>
      <c r="AW159" s="25">
        <v>-0.26517983096628145</v>
      </c>
      <c r="AX159" s="25">
        <v>124.77577240513939</v>
      </c>
      <c r="AY159" s="25">
        <v>118.69924519116987</v>
      </c>
      <c r="AZ159" s="25">
        <v>12.654745641239057</v>
      </c>
      <c r="BA159" s="25">
        <v>9.1702127659574462</v>
      </c>
      <c r="BB159" s="25">
        <v>17.167324990871975</v>
      </c>
      <c r="BC159" s="24">
        <v>0.61566336340777994</v>
      </c>
      <c r="BD159" s="24">
        <v>0.58438818565400841</v>
      </c>
      <c r="BE159" s="25">
        <v>11.723490450373392</v>
      </c>
      <c r="BF159" s="24">
        <v>0.43881856540084391</v>
      </c>
      <c r="BG159" s="24">
        <v>0.32067510548523209</v>
      </c>
      <c r="BH159" s="25">
        <v>6.6268137451161762</v>
      </c>
      <c r="BI159" s="25">
        <v>10.135126904295328</v>
      </c>
      <c r="BJ159" s="25">
        <v>7.8097715225611211</v>
      </c>
      <c r="BK159" s="25">
        <v>6.6663955136745425</v>
      </c>
      <c r="BL159" s="25">
        <v>1.0668962559920621</v>
      </c>
      <c r="BM159" s="25">
        <v>1.228933183585549</v>
      </c>
      <c r="BN159" s="25">
        <v>9.9853548129410203</v>
      </c>
      <c r="BO159" s="26" t="s">
        <v>176</v>
      </c>
      <c r="BP159" s="27"/>
      <c r="BQ159" s="33" t="s">
        <v>268</v>
      </c>
      <c r="BR159" s="33">
        <v>744.65</v>
      </c>
      <c r="BS159" s="33">
        <v>913.55</v>
      </c>
      <c r="BT159" s="33">
        <v>168.9</v>
      </c>
      <c r="BU159" s="36">
        <f t="shared" si="78"/>
        <v>15.843617021276593</v>
      </c>
      <c r="BV159" s="36">
        <f t="shared" si="79"/>
        <v>19.43723404255319</v>
      </c>
      <c r="BW159" s="36">
        <f t="shared" si="80"/>
        <v>3.5936170212765957</v>
      </c>
      <c r="BX159" s="37">
        <f t="shared" si="81"/>
        <v>29.660437481329041</v>
      </c>
      <c r="BY159" s="37">
        <f t="shared" si="82"/>
        <v>36.387957645965415</v>
      </c>
      <c r="BZ159" s="37">
        <f t="shared" si="83"/>
        <v>6.7275201646363723</v>
      </c>
      <c r="CA159" s="34">
        <v>16</v>
      </c>
      <c r="CB159" s="34">
        <v>31</v>
      </c>
    </row>
    <row r="160" spans="1:80" x14ac:dyDescent="0.4">
      <c r="A160" s="16" t="s">
        <v>178</v>
      </c>
      <c r="B160" s="16" t="s">
        <v>263</v>
      </c>
      <c r="C160" s="16" t="s">
        <v>98</v>
      </c>
      <c r="D160" s="23">
        <v>42</v>
      </c>
      <c r="E160" s="23">
        <v>22</v>
      </c>
      <c r="F160" s="23">
        <v>56</v>
      </c>
      <c r="G160" s="21">
        <v>57792</v>
      </c>
      <c r="H160" s="21">
        <v>316</v>
      </c>
      <c r="I160" s="22">
        <f t="shared" si="60"/>
        <v>7.5238095238095237</v>
      </c>
      <c r="J160" s="23">
        <v>115</v>
      </c>
      <c r="K160" s="23">
        <v>310</v>
      </c>
      <c r="L160" s="22">
        <f t="shared" si="84"/>
        <v>2.7380952380952381</v>
      </c>
      <c r="M160" s="22">
        <f t="shared" si="85"/>
        <v>7.3809523809523814</v>
      </c>
      <c r="N160" s="24">
        <f t="shared" si="86"/>
        <v>0.37096774193548387</v>
      </c>
      <c r="O160" s="21">
        <v>65</v>
      </c>
      <c r="P160" s="23">
        <v>153</v>
      </c>
      <c r="Q160" s="22">
        <f t="shared" si="61"/>
        <v>1.5476190476190477</v>
      </c>
      <c r="R160" s="22">
        <f t="shared" si="62"/>
        <v>3.6428571428571428</v>
      </c>
      <c r="S160" s="24">
        <f t="shared" si="63"/>
        <v>0.42483660130718953</v>
      </c>
      <c r="T160" s="23">
        <v>50</v>
      </c>
      <c r="U160" s="23">
        <v>157</v>
      </c>
      <c r="V160" s="22">
        <f t="shared" si="64"/>
        <v>1.1904761904761905</v>
      </c>
      <c r="W160" s="22">
        <f t="shared" si="65"/>
        <v>3.7380952380952381</v>
      </c>
      <c r="X160" s="24">
        <f t="shared" si="66"/>
        <v>0.31847133757961782</v>
      </c>
      <c r="Y160" s="23">
        <v>36</v>
      </c>
      <c r="Z160" s="23">
        <v>53</v>
      </c>
      <c r="AA160" s="22">
        <f t="shared" si="67"/>
        <v>0.8571428571428571</v>
      </c>
      <c r="AB160" s="22">
        <f t="shared" si="68"/>
        <v>1.2619047619047619</v>
      </c>
      <c r="AC160" s="24">
        <f t="shared" si="69"/>
        <v>0.67924528301886788</v>
      </c>
      <c r="AD160" s="23">
        <v>68</v>
      </c>
      <c r="AE160" s="22">
        <f t="shared" si="70"/>
        <v>1.6190476190476191</v>
      </c>
      <c r="AF160" s="23">
        <v>6</v>
      </c>
      <c r="AG160" s="22">
        <f t="shared" si="71"/>
        <v>0.14285714285714285</v>
      </c>
      <c r="AH160" s="23">
        <v>62</v>
      </c>
      <c r="AI160" s="22">
        <f t="shared" si="72"/>
        <v>1.4761904761904763</v>
      </c>
      <c r="AJ160" s="23">
        <v>119</v>
      </c>
      <c r="AK160" s="22">
        <f t="shared" si="73"/>
        <v>2.8333333333333335</v>
      </c>
      <c r="AL160" s="23">
        <v>26</v>
      </c>
      <c r="AM160" s="22">
        <f t="shared" si="74"/>
        <v>0.61904761904761907</v>
      </c>
      <c r="AN160" s="23">
        <v>1</v>
      </c>
      <c r="AO160" s="22">
        <f t="shared" si="75"/>
        <v>2.3809523809523808E-2</v>
      </c>
      <c r="AP160" s="10">
        <v>50</v>
      </c>
      <c r="AQ160" s="22">
        <f t="shared" si="76"/>
        <v>1.1904761904761905</v>
      </c>
      <c r="AR160" s="23">
        <v>84</v>
      </c>
      <c r="AS160" s="22">
        <f t="shared" si="77"/>
        <v>2</v>
      </c>
      <c r="AT160" s="25">
        <v>-0.63632985383628238</v>
      </c>
      <c r="AU160" s="25">
        <v>-2.6425658381905411E-2</v>
      </c>
      <c r="AV160" s="25">
        <v>-0.16857561790740666</v>
      </c>
      <c r="AW160" s="25">
        <v>-0.46775423592887572</v>
      </c>
      <c r="AX160" s="25">
        <v>98.245385681685121</v>
      </c>
      <c r="AY160" s="25">
        <v>120.26986403479752</v>
      </c>
      <c r="AZ160" s="25">
        <v>6.2352126256454445</v>
      </c>
      <c r="BA160" s="25">
        <v>6.3809523809523814</v>
      </c>
      <c r="BB160" s="25">
        <v>11.129568106312291</v>
      </c>
      <c r="BC160" s="24">
        <v>0.47401896075843036</v>
      </c>
      <c r="BD160" s="24">
        <v>0.45161290322580644</v>
      </c>
      <c r="BE160" s="25">
        <v>13.93574694323906</v>
      </c>
      <c r="BF160" s="24">
        <v>0.50645161290322582</v>
      </c>
      <c r="BG160" s="24">
        <v>0.17096774193548386</v>
      </c>
      <c r="BH160" s="25">
        <v>0.54477440286672396</v>
      </c>
      <c r="BI160" s="25">
        <v>5.6293354962894808</v>
      </c>
      <c r="BJ160" s="25">
        <v>2.8766590143776547</v>
      </c>
      <c r="BK160" s="25">
        <v>12.968990671045363</v>
      </c>
      <c r="BL160" s="25">
        <v>1.4460513066014227</v>
      </c>
      <c r="BM160" s="25">
        <v>7.6331993282784588E-2</v>
      </c>
      <c r="BN160" s="25">
        <v>13.043931962850882</v>
      </c>
      <c r="BO160" s="26" t="s">
        <v>176</v>
      </c>
      <c r="BP160" s="27"/>
      <c r="BQ160" s="32" t="s">
        <v>267</v>
      </c>
      <c r="BR160" s="32">
        <v>563.48</v>
      </c>
      <c r="BS160" s="32">
        <v>836.38</v>
      </c>
      <c r="BT160" s="32">
        <v>272.89999999999998</v>
      </c>
      <c r="BU160" s="36">
        <f t="shared" si="78"/>
        <v>13.416190476190476</v>
      </c>
      <c r="BV160" s="36">
        <f t="shared" si="79"/>
        <v>19.913809523809523</v>
      </c>
      <c r="BW160" s="36">
        <f t="shared" si="80"/>
        <v>6.4976190476190467</v>
      </c>
      <c r="BX160" s="37">
        <f t="shared" si="81"/>
        <v>23.400332225913616</v>
      </c>
      <c r="BY160" s="37">
        <f t="shared" si="82"/>
        <v>34.733388704318934</v>
      </c>
      <c r="BZ160" s="37">
        <f t="shared" si="83"/>
        <v>11.333056478405316</v>
      </c>
      <c r="CA160" s="34">
        <v>19</v>
      </c>
      <c r="CB160" s="34">
        <v>23</v>
      </c>
    </row>
    <row r="161" spans="1:80" x14ac:dyDescent="0.4">
      <c r="A161" s="16" t="s">
        <v>178</v>
      </c>
      <c r="B161" s="16" t="s">
        <v>263</v>
      </c>
      <c r="C161" s="16" t="s">
        <v>123</v>
      </c>
      <c r="D161" s="23">
        <v>3</v>
      </c>
      <c r="E161" s="23">
        <v>10</v>
      </c>
      <c r="F161" s="23">
        <v>17</v>
      </c>
      <c r="G161" s="21">
        <v>1851</v>
      </c>
      <c r="H161" s="21">
        <v>2</v>
      </c>
      <c r="I161" s="22">
        <f t="shared" si="60"/>
        <v>0.66666666666666663</v>
      </c>
      <c r="J161" s="23">
        <v>1</v>
      </c>
      <c r="K161" s="23">
        <v>8</v>
      </c>
      <c r="L161" s="22">
        <f t="shared" si="84"/>
        <v>0.33333333333333331</v>
      </c>
      <c r="M161" s="22">
        <f t="shared" si="85"/>
        <v>2.6666666666666665</v>
      </c>
      <c r="N161" s="24">
        <f t="shared" si="86"/>
        <v>0.125</v>
      </c>
      <c r="O161" s="21">
        <v>1</v>
      </c>
      <c r="P161" s="23">
        <v>8</v>
      </c>
      <c r="Q161" s="22">
        <f t="shared" si="61"/>
        <v>0.33333333333333331</v>
      </c>
      <c r="R161" s="22">
        <f t="shared" si="62"/>
        <v>2.6666666666666665</v>
      </c>
      <c r="S161" s="24">
        <f t="shared" si="63"/>
        <v>0.125</v>
      </c>
      <c r="T161" s="23">
        <v>0</v>
      </c>
      <c r="U161" s="23">
        <v>0</v>
      </c>
      <c r="V161" s="22">
        <f t="shared" si="64"/>
        <v>0</v>
      </c>
      <c r="W161" s="22">
        <f t="shared" si="65"/>
        <v>0</v>
      </c>
      <c r="X161" s="24" t="e">
        <f t="shared" si="66"/>
        <v>#DIV/0!</v>
      </c>
      <c r="Y161" s="23">
        <v>0</v>
      </c>
      <c r="Z161" s="23">
        <v>0</v>
      </c>
      <c r="AA161" s="22">
        <f t="shared" si="67"/>
        <v>0</v>
      </c>
      <c r="AB161" s="22">
        <f t="shared" si="68"/>
        <v>0</v>
      </c>
      <c r="AC161" s="24" t="e">
        <f t="shared" si="69"/>
        <v>#DIV/0!</v>
      </c>
      <c r="AD161" s="23">
        <v>6</v>
      </c>
      <c r="AE161" s="22">
        <f t="shared" si="70"/>
        <v>2</v>
      </c>
      <c r="AF161" s="23">
        <v>3</v>
      </c>
      <c r="AG161" s="22">
        <f t="shared" si="71"/>
        <v>1</v>
      </c>
      <c r="AH161" s="23">
        <v>3</v>
      </c>
      <c r="AI161" s="22">
        <f t="shared" si="72"/>
        <v>1</v>
      </c>
      <c r="AJ161" s="23">
        <v>0</v>
      </c>
      <c r="AK161" s="22">
        <f t="shared" si="73"/>
        <v>0</v>
      </c>
      <c r="AL161" s="23">
        <v>0</v>
      </c>
      <c r="AM161" s="22">
        <f t="shared" si="74"/>
        <v>0</v>
      </c>
      <c r="AN161" s="23">
        <v>0</v>
      </c>
      <c r="AO161" s="22">
        <f t="shared" si="75"/>
        <v>0</v>
      </c>
      <c r="AP161" s="9">
        <v>1</v>
      </c>
      <c r="AQ161" s="22">
        <f t="shared" si="76"/>
        <v>0.33333333333333331</v>
      </c>
      <c r="AR161" s="23">
        <v>4</v>
      </c>
      <c r="AS161" s="22">
        <f t="shared" si="77"/>
        <v>1.3333333333333333</v>
      </c>
      <c r="AT161" s="25">
        <v>-0.18685700227802005</v>
      </c>
      <c r="AU161" s="25">
        <v>-0.24227812288884282</v>
      </c>
      <c r="AV161" s="25">
        <v>-0.16408454189715754</v>
      </c>
      <c r="AW161" s="25">
        <v>-2.2772460380862506E-2</v>
      </c>
      <c r="AX161" s="25">
        <v>46.879699365432295</v>
      </c>
      <c r="AY161" s="25">
        <v>122.06008520830854</v>
      </c>
      <c r="AZ161" s="25">
        <v>-0.37843984440760337</v>
      </c>
      <c r="BA161" s="25">
        <v>0</v>
      </c>
      <c r="BB161" s="25">
        <v>0</v>
      </c>
      <c r="BC161" s="24">
        <v>0.125</v>
      </c>
      <c r="BD161" s="24">
        <v>0.125</v>
      </c>
      <c r="BE161" s="25">
        <v>0.72970034449964039</v>
      </c>
      <c r="BF161" s="24">
        <v>0</v>
      </c>
      <c r="BG161" s="24">
        <v>0</v>
      </c>
      <c r="BH161" s="25">
        <v>0.60746319152723838</v>
      </c>
      <c r="BI161" s="25">
        <v>0.60746319152723838</v>
      </c>
      <c r="BJ161" s="25">
        <v>0.56606198929120788</v>
      </c>
      <c r="BK161" s="25">
        <v>0</v>
      </c>
      <c r="BL161" s="25">
        <v>0</v>
      </c>
      <c r="BM161" s="25">
        <v>0</v>
      </c>
      <c r="BN161" s="25">
        <v>11.111111111111111</v>
      </c>
      <c r="BO161" s="26" t="s">
        <v>176</v>
      </c>
      <c r="BP161" s="27"/>
      <c r="BQ161" s="32" t="s">
        <v>266</v>
      </c>
      <c r="BR161" s="32">
        <v>8.7100000000000009</v>
      </c>
      <c r="BS161" s="32">
        <v>17.21</v>
      </c>
      <c r="BT161" s="32">
        <v>8.5</v>
      </c>
      <c r="BU161" s="36">
        <f t="shared" si="78"/>
        <v>2.9033333333333338</v>
      </c>
      <c r="BV161" s="36">
        <f t="shared" si="79"/>
        <v>5.7366666666666672</v>
      </c>
      <c r="BW161" s="36">
        <f t="shared" si="80"/>
        <v>2.8333333333333335</v>
      </c>
      <c r="BX161" s="37">
        <f t="shared" si="81"/>
        <v>11.293354943273904</v>
      </c>
      <c r="BY161" s="37">
        <f t="shared" si="82"/>
        <v>22.314424635332252</v>
      </c>
      <c r="BZ161" s="37">
        <f t="shared" si="83"/>
        <v>11.021069692058347</v>
      </c>
      <c r="CA161" s="35">
        <v>2</v>
      </c>
      <c r="CB161" s="35">
        <v>1</v>
      </c>
    </row>
    <row r="162" spans="1:80" x14ac:dyDescent="0.4">
      <c r="A162" s="16" t="s">
        <v>178</v>
      </c>
      <c r="B162" s="16" t="s">
        <v>263</v>
      </c>
      <c r="C162" s="16" t="s">
        <v>78</v>
      </c>
      <c r="D162" s="23">
        <v>54</v>
      </c>
      <c r="E162" s="23">
        <v>29</v>
      </c>
      <c r="F162" s="23">
        <v>20</v>
      </c>
      <c r="G162" s="21">
        <v>95040</v>
      </c>
      <c r="H162" s="21">
        <v>1016</v>
      </c>
      <c r="I162" s="22">
        <f t="shared" si="60"/>
        <v>18.814814814814813</v>
      </c>
      <c r="J162" s="23">
        <v>426</v>
      </c>
      <c r="K162" s="23">
        <v>714</v>
      </c>
      <c r="L162" s="22">
        <f t="shared" si="84"/>
        <v>7.8888888888888893</v>
      </c>
      <c r="M162" s="22">
        <f t="shared" si="85"/>
        <v>13.222222222222221</v>
      </c>
      <c r="N162" s="24">
        <f t="shared" si="86"/>
        <v>0.59663865546218486</v>
      </c>
      <c r="O162" s="21">
        <v>378</v>
      </c>
      <c r="P162" s="23">
        <v>588</v>
      </c>
      <c r="Q162" s="22">
        <f t="shared" si="61"/>
        <v>7</v>
      </c>
      <c r="R162" s="22">
        <f t="shared" si="62"/>
        <v>10.888888888888889</v>
      </c>
      <c r="S162" s="24">
        <f t="shared" si="63"/>
        <v>0.6428571428571429</v>
      </c>
      <c r="T162" s="23">
        <v>48</v>
      </c>
      <c r="U162" s="23">
        <v>126</v>
      </c>
      <c r="V162" s="22">
        <f t="shared" si="64"/>
        <v>0.88888888888888884</v>
      </c>
      <c r="W162" s="22">
        <f t="shared" si="65"/>
        <v>2.3333333333333335</v>
      </c>
      <c r="X162" s="24">
        <f t="shared" si="66"/>
        <v>0.38095238095238093</v>
      </c>
      <c r="Y162" s="23">
        <v>116</v>
      </c>
      <c r="Z162" s="23">
        <v>151</v>
      </c>
      <c r="AA162" s="22">
        <f t="shared" si="67"/>
        <v>2.1481481481481484</v>
      </c>
      <c r="AB162" s="22">
        <f t="shared" si="68"/>
        <v>2.7962962962962963</v>
      </c>
      <c r="AC162" s="24">
        <f t="shared" si="69"/>
        <v>0.76821192052980136</v>
      </c>
      <c r="AD162" s="23">
        <v>591</v>
      </c>
      <c r="AE162" s="22">
        <f t="shared" si="70"/>
        <v>10.944444444444445</v>
      </c>
      <c r="AF162" s="23">
        <v>194</v>
      </c>
      <c r="AG162" s="22">
        <f t="shared" si="71"/>
        <v>3.5925925925925926</v>
      </c>
      <c r="AH162" s="23">
        <v>397</v>
      </c>
      <c r="AI162" s="22">
        <f t="shared" si="72"/>
        <v>7.3518518518518521</v>
      </c>
      <c r="AJ162" s="23">
        <v>106</v>
      </c>
      <c r="AK162" s="22">
        <f t="shared" si="73"/>
        <v>1.962962962962963</v>
      </c>
      <c r="AL162" s="23">
        <v>29</v>
      </c>
      <c r="AM162" s="22">
        <f t="shared" si="74"/>
        <v>0.53703703703703709</v>
      </c>
      <c r="AN162" s="23">
        <v>47</v>
      </c>
      <c r="AO162" s="22">
        <f t="shared" si="75"/>
        <v>0.87037037037037035</v>
      </c>
      <c r="AP162" s="10">
        <v>77</v>
      </c>
      <c r="AQ162" s="22">
        <f t="shared" si="76"/>
        <v>1.4259259259259258</v>
      </c>
      <c r="AR162" s="23">
        <v>97</v>
      </c>
      <c r="AS162" s="22">
        <f t="shared" si="77"/>
        <v>1.7962962962962963</v>
      </c>
      <c r="AT162" s="25">
        <v>9.6416657510579462</v>
      </c>
      <c r="AU162" s="25">
        <v>0.24347640785499863</v>
      </c>
      <c r="AV162" s="25">
        <v>8.4141586205649599</v>
      </c>
      <c r="AW162" s="25">
        <v>1.227507130492987</v>
      </c>
      <c r="AX162" s="25">
        <v>128.35391067366945</v>
      </c>
      <c r="AY162" s="25">
        <v>111.33395320852345</v>
      </c>
      <c r="AZ162" s="25">
        <v>30.278343126325552</v>
      </c>
      <c r="BA162" s="25">
        <v>25.722222222222221</v>
      </c>
      <c r="BB162" s="25">
        <v>35.075757575757578</v>
      </c>
      <c r="BC162" s="24">
        <v>0.6509148685356978</v>
      </c>
      <c r="BD162" s="24">
        <v>0.63025210084033612</v>
      </c>
      <c r="BE162" s="25">
        <v>24.371276547364594</v>
      </c>
      <c r="BF162" s="24">
        <v>0.17647058823529413</v>
      </c>
      <c r="BG162" s="24">
        <v>0.21148459383753501</v>
      </c>
      <c r="BH162" s="25">
        <v>13.771236571861248</v>
      </c>
      <c r="BI162" s="25">
        <v>28.181344943448018</v>
      </c>
      <c r="BJ162" s="25">
        <v>19.546667254646881</v>
      </c>
      <c r="BK162" s="25">
        <v>11.847105282765815</v>
      </c>
      <c r="BL162" s="25">
        <v>0.98077559093425171</v>
      </c>
      <c r="BM162" s="25">
        <v>2.8048537895365033</v>
      </c>
      <c r="BN162" s="25">
        <v>8.9802201903340162</v>
      </c>
      <c r="BO162" s="26" t="s">
        <v>249</v>
      </c>
      <c r="BP162" s="27"/>
      <c r="BQ162" s="33" t="s">
        <v>266</v>
      </c>
      <c r="BR162" s="33">
        <v>1911.2</v>
      </c>
      <c r="BS162" s="33">
        <v>2334.9</v>
      </c>
      <c r="BT162" s="33">
        <v>423.7</v>
      </c>
      <c r="BU162" s="36">
        <f t="shared" si="78"/>
        <v>35.392592592592592</v>
      </c>
      <c r="BV162" s="36">
        <f t="shared" si="79"/>
        <v>43.238888888888887</v>
      </c>
      <c r="BW162" s="36">
        <f t="shared" si="80"/>
        <v>7.8462962962962957</v>
      </c>
      <c r="BX162" s="37">
        <f t="shared" si="81"/>
        <v>48.262626262626263</v>
      </c>
      <c r="BY162" s="37">
        <f t="shared" si="82"/>
        <v>58.962121212121211</v>
      </c>
      <c r="BZ162" s="37">
        <f t="shared" si="83"/>
        <v>10.69949494949495</v>
      </c>
      <c r="CA162" s="35">
        <v>21</v>
      </c>
      <c r="CB162" s="35">
        <v>33</v>
      </c>
    </row>
    <row r="163" spans="1:80" x14ac:dyDescent="0.4">
      <c r="A163" s="16" t="s">
        <v>178</v>
      </c>
      <c r="B163" s="16" t="s">
        <v>263</v>
      </c>
      <c r="C163" s="16" t="s">
        <v>189</v>
      </c>
      <c r="D163" s="29">
        <v>51</v>
      </c>
      <c r="E163" s="29">
        <v>11</v>
      </c>
      <c r="F163" s="29">
        <v>38</v>
      </c>
      <c r="G163" s="21">
        <v>35598</v>
      </c>
      <c r="H163" s="21">
        <v>322</v>
      </c>
      <c r="I163" s="22">
        <f t="shared" si="60"/>
        <v>6.3137254901960782</v>
      </c>
      <c r="J163" s="23">
        <v>135</v>
      </c>
      <c r="K163" s="23">
        <v>221</v>
      </c>
      <c r="L163" s="22">
        <f t="shared" si="84"/>
        <v>2.6470588235294117</v>
      </c>
      <c r="M163" s="22">
        <f t="shared" si="85"/>
        <v>4.333333333333333</v>
      </c>
      <c r="N163" s="24">
        <f t="shared" si="86"/>
        <v>0.61085972850678738</v>
      </c>
      <c r="O163" s="21">
        <v>133</v>
      </c>
      <c r="P163" s="23">
        <v>214</v>
      </c>
      <c r="Q163" s="22">
        <f t="shared" si="61"/>
        <v>2.607843137254902</v>
      </c>
      <c r="R163" s="22">
        <f t="shared" si="62"/>
        <v>4.1960784313725492</v>
      </c>
      <c r="S163" s="24">
        <f t="shared" si="63"/>
        <v>0.62149532710280375</v>
      </c>
      <c r="T163" s="23">
        <v>2</v>
      </c>
      <c r="U163" s="23">
        <v>7</v>
      </c>
      <c r="V163" s="22">
        <f t="shared" si="64"/>
        <v>3.9215686274509803E-2</v>
      </c>
      <c r="W163" s="22">
        <f t="shared" si="65"/>
        <v>0.13725490196078433</v>
      </c>
      <c r="X163" s="24">
        <f t="shared" si="66"/>
        <v>0.2857142857142857</v>
      </c>
      <c r="Y163" s="15">
        <v>50</v>
      </c>
      <c r="Z163" s="15">
        <v>87</v>
      </c>
      <c r="AA163" s="22">
        <f t="shared" si="67"/>
        <v>0.98039215686274506</v>
      </c>
      <c r="AB163" s="22">
        <f t="shared" si="68"/>
        <v>1.7058823529411764</v>
      </c>
      <c r="AC163" s="24">
        <f t="shared" si="69"/>
        <v>0.57471264367816088</v>
      </c>
      <c r="AD163" s="23">
        <v>248</v>
      </c>
      <c r="AE163" s="22">
        <f t="shared" si="70"/>
        <v>4.8627450980392153</v>
      </c>
      <c r="AF163" s="23">
        <v>94</v>
      </c>
      <c r="AG163" s="22">
        <f t="shared" si="71"/>
        <v>1.8431372549019607</v>
      </c>
      <c r="AH163" s="23">
        <v>154</v>
      </c>
      <c r="AI163" s="22">
        <f t="shared" si="72"/>
        <v>3.0196078431372548</v>
      </c>
      <c r="AJ163" s="23">
        <v>16</v>
      </c>
      <c r="AK163" s="22">
        <f t="shared" si="73"/>
        <v>0.31372549019607843</v>
      </c>
      <c r="AL163" s="23">
        <v>18</v>
      </c>
      <c r="AM163" s="22">
        <f t="shared" si="74"/>
        <v>0.35294117647058826</v>
      </c>
      <c r="AN163" s="13">
        <v>7</v>
      </c>
      <c r="AO163" s="22">
        <f t="shared" si="75"/>
        <v>0.13725490196078433</v>
      </c>
      <c r="AP163" s="12">
        <v>21</v>
      </c>
      <c r="AQ163" s="22">
        <f t="shared" si="76"/>
        <v>0.41176470588235292</v>
      </c>
      <c r="AR163" s="23">
        <v>66</v>
      </c>
      <c r="AS163" s="22">
        <f t="shared" si="77"/>
        <v>1.2941176470588236</v>
      </c>
      <c r="AT163" s="25">
        <v>3.0944705871798392</v>
      </c>
      <c r="AU163" s="25">
        <v>0.20862771529950036</v>
      </c>
      <c r="AV163" s="25">
        <v>2.53954281197875</v>
      </c>
      <c r="AW163" s="25">
        <v>0.55492777520108938</v>
      </c>
      <c r="AX163" s="25">
        <v>125.83148407822151</v>
      </c>
      <c r="AY163" s="25">
        <v>110.19703148381035</v>
      </c>
      <c r="AZ163" s="25">
        <v>24.043653151923134</v>
      </c>
      <c r="BA163" s="25">
        <v>9.1568627450980387</v>
      </c>
      <c r="BB163" s="25">
        <v>31.48491488285859</v>
      </c>
      <c r="BC163" s="24">
        <v>0.62095032397408212</v>
      </c>
      <c r="BD163" s="24">
        <v>0.61538461538461542</v>
      </c>
      <c r="BE163" s="25">
        <v>20.087407600648458</v>
      </c>
      <c r="BF163" s="24">
        <v>3.1674208144796379E-2</v>
      </c>
      <c r="BG163" s="24">
        <v>0.39366515837104071</v>
      </c>
      <c r="BH163" s="25">
        <v>16.825047842500844</v>
      </c>
      <c r="BI163" s="25">
        <v>27.564440082395002</v>
      </c>
      <c r="BJ163" s="25">
        <v>20.682077687054313</v>
      </c>
      <c r="BK163" s="25">
        <v>4.1153233636766986</v>
      </c>
      <c r="BL163" s="25">
        <v>1.6252680012273484</v>
      </c>
      <c r="BM163" s="25">
        <v>1.0533377640398012</v>
      </c>
      <c r="BN163" s="25">
        <v>7.4925074925074933</v>
      </c>
      <c r="BO163" s="26" t="s">
        <v>249</v>
      </c>
      <c r="BP163" s="27"/>
      <c r="BQ163" s="32" t="s">
        <v>266</v>
      </c>
      <c r="BR163" s="32">
        <v>669.15</v>
      </c>
      <c r="BS163" s="32">
        <v>815.75</v>
      </c>
      <c r="BT163" s="32">
        <v>146.6</v>
      </c>
      <c r="BU163" s="36">
        <f t="shared" si="78"/>
        <v>13.120588235294116</v>
      </c>
      <c r="BV163" s="36">
        <f t="shared" si="79"/>
        <v>15.995098039215685</v>
      </c>
      <c r="BW163" s="36">
        <f t="shared" si="80"/>
        <v>2.8745098039215686</v>
      </c>
      <c r="BX163" s="37">
        <f t="shared" si="81"/>
        <v>45.113770436541373</v>
      </c>
      <c r="BY163" s="37">
        <f t="shared" si="82"/>
        <v>54.997471768076856</v>
      </c>
      <c r="BZ163" s="37">
        <f t="shared" si="83"/>
        <v>9.8837013315354803</v>
      </c>
      <c r="CA163" s="34">
        <v>20</v>
      </c>
      <c r="CB163" s="34">
        <v>31</v>
      </c>
    </row>
    <row r="164" spans="1:80" x14ac:dyDescent="0.4">
      <c r="A164" s="16" t="s">
        <v>178</v>
      </c>
      <c r="B164" s="16" t="s">
        <v>263</v>
      </c>
      <c r="C164" s="16" t="s">
        <v>190</v>
      </c>
      <c r="D164" s="39">
        <v>35</v>
      </c>
      <c r="E164" s="39">
        <v>11</v>
      </c>
      <c r="F164" s="39">
        <v>29</v>
      </c>
      <c r="G164" s="21">
        <v>24115</v>
      </c>
      <c r="H164" s="21">
        <v>118</v>
      </c>
      <c r="I164" s="22">
        <f t="shared" si="60"/>
        <v>3.3714285714285714</v>
      </c>
      <c r="J164" s="23">
        <v>43</v>
      </c>
      <c r="K164" s="23">
        <v>109</v>
      </c>
      <c r="L164" s="22">
        <f t="shared" si="84"/>
        <v>1.2285714285714286</v>
      </c>
      <c r="M164" s="22">
        <f t="shared" si="85"/>
        <v>3.1142857142857143</v>
      </c>
      <c r="N164" s="24">
        <f t="shared" si="86"/>
        <v>0.39449541284403672</v>
      </c>
      <c r="O164" s="21">
        <v>28</v>
      </c>
      <c r="P164" s="23">
        <v>64</v>
      </c>
      <c r="Q164" s="22">
        <f t="shared" si="61"/>
        <v>0.8</v>
      </c>
      <c r="R164" s="22">
        <f t="shared" si="62"/>
        <v>1.8285714285714285</v>
      </c>
      <c r="S164" s="24">
        <f t="shared" si="63"/>
        <v>0.4375</v>
      </c>
      <c r="T164" s="23">
        <v>15</v>
      </c>
      <c r="U164" s="23">
        <v>45</v>
      </c>
      <c r="V164" s="22">
        <f t="shared" si="64"/>
        <v>0.42857142857142855</v>
      </c>
      <c r="W164" s="22">
        <f t="shared" si="65"/>
        <v>1.2857142857142858</v>
      </c>
      <c r="X164" s="24">
        <f t="shared" si="66"/>
        <v>0.33333333333333331</v>
      </c>
      <c r="Y164" s="23">
        <v>17</v>
      </c>
      <c r="Z164" s="23">
        <v>21</v>
      </c>
      <c r="AA164" s="22">
        <f t="shared" si="67"/>
        <v>0.48571428571428571</v>
      </c>
      <c r="AB164" s="22">
        <f t="shared" si="68"/>
        <v>0.6</v>
      </c>
      <c r="AC164" s="24">
        <f t="shared" si="69"/>
        <v>0.80952380952380953</v>
      </c>
      <c r="AD164" s="23">
        <v>22</v>
      </c>
      <c r="AE164" s="22">
        <f t="shared" si="70"/>
        <v>0.62857142857142856</v>
      </c>
      <c r="AF164" s="23">
        <v>3</v>
      </c>
      <c r="AG164" s="22">
        <f t="shared" si="71"/>
        <v>8.5714285714285715E-2</v>
      </c>
      <c r="AH164" s="23">
        <v>19</v>
      </c>
      <c r="AI164" s="22">
        <f t="shared" si="72"/>
        <v>0.54285714285714282</v>
      </c>
      <c r="AJ164" s="23">
        <v>56</v>
      </c>
      <c r="AK164" s="22">
        <f t="shared" si="73"/>
        <v>1.6</v>
      </c>
      <c r="AL164" s="23">
        <v>8</v>
      </c>
      <c r="AM164" s="22">
        <f t="shared" si="74"/>
        <v>0.22857142857142856</v>
      </c>
      <c r="AN164" s="23">
        <v>0</v>
      </c>
      <c r="AO164" s="22">
        <f t="shared" si="75"/>
        <v>0</v>
      </c>
      <c r="AP164" s="10">
        <v>21</v>
      </c>
      <c r="AQ164" s="22">
        <f t="shared" si="76"/>
        <v>0.6</v>
      </c>
      <c r="AR164" s="23">
        <v>74</v>
      </c>
      <c r="AS164" s="22">
        <f t="shared" si="77"/>
        <v>2.1142857142857143</v>
      </c>
      <c r="AT164" s="25">
        <v>-7.6111664605073542E-2</v>
      </c>
      <c r="AU164" s="25">
        <v>-7.5748702074300844E-3</v>
      </c>
      <c r="AV164" s="25">
        <v>0.20171357610533955</v>
      </c>
      <c r="AW164" s="25">
        <v>-0.27782524071041309</v>
      </c>
      <c r="AX164" s="25">
        <v>103.56910146545206</v>
      </c>
      <c r="AY164" s="25">
        <v>121.72750389328694</v>
      </c>
      <c r="AZ164" s="25">
        <v>3.0495712722155424</v>
      </c>
      <c r="BA164" s="25">
        <v>3.2285714285714286</v>
      </c>
      <c r="BB164" s="25">
        <v>11.246112378187849</v>
      </c>
      <c r="BC164" s="24">
        <v>0.49898511502029774</v>
      </c>
      <c r="BD164" s="24">
        <v>0.46330275229357798</v>
      </c>
      <c r="BE164" s="25">
        <v>10.109554051336261</v>
      </c>
      <c r="BF164" s="24">
        <v>0.41284403669724773</v>
      </c>
      <c r="BG164" s="24">
        <v>0.19266055045871561</v>
      </c>
      <c r="BH164" s="25">
        <v>0.543983728842244</v>
      </c>
      <c r="BI164" s="25">
        <v>3.4452302826675454</v>
      </c>
      <c r="BJ164" s="25">
        <v>1.8586660480500374</v>
      </c>
      <c r="BK164" s="25">
        <v>11.813421769921304</v>
      </c>
      <c r="BL164" s="25">
        <v>1.0663034129553508</v>
      </c>
      <c r="BM164" s="25">
        <v>0</v>
      </c>
      <c r="BN164" s="25">
        <v>15.081873024992817</v>
      </c>
      <c r="BO164" s="26" t="s">
        <v>176</v>
      </c>
      <c r="BP164" s="26"/>
      <c r="BQ164" s="32" t="s">
        <v>267</v>
      </c>
      <c r="BR164" s="32">
        <v>243.77</v>
      </c>
      <c r="BS164" s="32">
        <v>341.47</v>
      </c>
      <c r="BT164" s="32">
        <v>97.7</v>
      </c>
      <c r="BU164" s="36">
        <f t="shared" si="78"/>
        <v>6.9648571428571433</v>
      </c>
      <c r="BV164" s="36">
        <f t="shared" si="79"/>
        <v>9.7562857142857151</v>
      </c>
      <c r="BW164" s="36">
        <f t="shared" si="80"/>
        <v>2.7914285714285714</v>
      </c>
      <c r="BX164" s="37">
        <f t="shared" si="81"/>
        <v>24.260750570184534</v>
      </c>
      <c r="BY164" s="37">
        <f t="shared" si="82"/>
        <v>33.984159236989427</v>
      </c>
      <c r="BZ164" s="37">
        <f t="shared" si="83"/>
        <v>9.7234086668048931</v>
      </c>
      <c r="CA164" s="34">
        <v>11</v>
      </c>
      <c r="CB164" s="34">
        <v>24</v>
      </c>
    </row>
    <row r="165" spans="1:80" x14ac:dyDescent="0.4">
      <c r="A165" s="16" t="s">
        <v>178</v>
      </c>
      <c r="B165" s="16" t="s">
        <v>263</v>
      </c>
      <c r="C165" s="16" t="s">
        <v>87</v>
      </c>
      <c r="D165" s="23">
        <v>5</v>
      </c>
      <c r="E165" s="23">
        <v>23</v>
      </c>
      <c r="F165" s="23">
        <v>14</v>
      </c>
      <c r="G165" s="21">
        <v>6970</v>
      </c>
      <c r="H165" s="21">
        <v>40</v>
      </c>
      <c r="I165" s="22">
        <f t="shared" si="60"/>
        <v>8</v>
      </c>
      <c r="J165" s="23">
        <v>17</v>
      </c>
      <c r="K165" s="23">
        <v>35</v>
      </c>
      <c r="L165" s="22">
        <f t="shared" si="84"/>
        <v>3.4</v>
      </c>
      <c r="M165" s="22">
        <f t="shared" si="85"/>
        <v>7</v>
      </c>
      <c r="N165" s="24">
        <f t="shared" si="86"/>
        <v>0.48571428571428571</v>
      </c>
      <c r="O165" s="21">
        <v>16</v>
      </c>
      <c r="P165" s="23">
        <v>32</v>
      </c>
      <c r="Q165" s="22">
        <f t="shared" si="61"/>
        <v>3.2</v>
      </c>
      <c r="R165" s="22">
        <f t="shared" si="62"/>
        <v>6.4</v>
      </c>
      <c r="S165" s="24">
        <f t="shared" si="63"/>
        <v>0.5</v>
      </c>
      <c r="T165" s="23">
        <v>1</v>
      </c>
      <c r="U165" s="23">
        <v>3</v>
      </c>
      <c r="V165" s="22">
        <f t="shared" si="64"/>
        <v>0.2</v>
      </c>
      <c r="W165" s="22">
        <f t="shared" si="65"/>
        <v>0.6</v>
      </c>
      <c r="X165" s="24">
        <f t="shared" si="66"/>
        <v>0.33333333333333331</v>
      </c>
      <c r="Y165" s="23">
        <v>5</v>
      </c>
      <c r="Z165" s="23">
        <v>10</v>
      </c>
      <c r="AA165" s="22">
        <f t="shared" si="67"/>
        <v>1</v>
      </c>
      <c r="AB165" s="22">
        <f t="shared" si="68"/>
        <v>2</v>
      </c>
      <c r="AC165" s="24">
        <f t="shared" si="69"/>
        <v>0.5</v>
      </c>
      <c r="AD165" s="23">
        <v>20</v>
      </c>
      <c r="AE165" s="22">
        <f t="shared" si="70"/>
        <v>4</v>
      </c>
      <c r="AF165" s="23">
        <v>7</v>
      </c>
      <c r="AG165" s="22">
        <f t="shared" si="71"/>
        <v>1.4</v>
      </c>
      <c r="AH165" s="23">
        <v>13</v>
      </c>
      <c r="AI165" s="22">
        <f t="shared" si="72"/>
        <v>2.6</v>
      </c>
      <c r="AJ165" s="23">
        <v>8</v>
      </c>
      <c r="AK165" s="22">
        <f t="shared" si="73"/>
        <v>1.6</v>
      </c>
      <c r="AL165" s="23">
        <v>0</v>
      </c>
      <c r="AM165" s="22">
        <f t="shared" si="74"/>
        <v>0</v>
      </c>
      <c r="AN165" s="23">
        <v>3</v>
      </c>
      <c r="AO165" s="22">
        <f t="shared" si="75"/>
        <v>0.6</v>
      </c>
      <c r="AP165" s="10">
        <v>6</v>
      </c>
      <c r="AQ165" s="22">
        <f t="shared" si="76"/>
        <v>1.2</v>
      </c>
      <c r="AR165" s="23">
        <v>15</v>
      </c>
      <c r="AS165" s="22">
        <f t="shared" si="77"/>
        <v>3</v>
      </c>
      <c r="AT165" s="25">
        <v>-2.197329242010819E-2</v>
      </c>
      <c r="AU165" s="25">
        <v>-7.5661265148148716E-3</v>
      </c>
      <c r="AV165" s="25">
        <v>3.0828940246114406E-2</v>
      </c>
      <c r="AW165" s="25">
        <v>-5.2802232666222595E-2</v>
      </c>
      <c r="AX165" s="25">
        <v>101.46422292927926</v>
      </c>
      <c r="AY165" s="25">
        <v>120.04949678969615</v>
      </c>
      <c r="AZ165" s="25">
        <v>0.81935777186132674</v>
      </c>
      <c r="BA165" s="25">
        <v>8.4</v>
      </c>
      <c r="BB165" s="25">
        <v>14.461979913916785</v>
      </c>
      <c r="BC165" s="24">
        <v>0.50761421319796951</v>
      </c>
      <c r="BD165" s="24">
        <v>0.5</v>
      </c>
      <c r="BE165" s="25">
        <v>1.6292220715809842</v>
      </c>
      <c r="BF165" s="24">
        <v>8.5714285714285715E-2</v>
      </c>
      <c r="BG165" s="24">
        <v>0.2857142857142857</v>
      </c>
      <c r="BH165" s="25">
        <v>0.62736334868630861</v>
      </c>
      <c r="BI165" s="25">
        <v>1.1651033618460018</v>
      </c>
      <c r="BJ165" s="25">
        <v>0.83515123718956297</v>
      </c>
      <c r="BK165" s="25">
        <v>0.77739277040919208</v>
      </c>
      <c r="BL165" s="25">
        <v>0</v>
      </c>
      <c r="BM165" s="25">
        <v>0.22603907336537646</v>
      </c>
      <c r="BN165" s="25">
        <v>13.215859030837004</v>
      </c>
      <c r="BO165" s="26" t="s">
        <v>176</v>
      </c>
      <c r="BP165" s="27"/>
      <c r="BQ165" s="33" t="s">
        <v>268</v>
      </c>
      <c r="BR165" s="33">
        <v>78.239999999999995</v>
      </c>
      <c r="BS165" s="33">
        <v>109.04</v>
      </c>
      <c r="BT165" s="33">
        <v>30.8</v>
      </c>
      <c r="BU165" s="36">
        <f t="shared" si="78"/>
        <v>15.648</v>
      </c>
      <c r="BV165" s="36">
        <f t="shared" si="79"/>
        <v>21.808</v>
      </c>
      <c r="BW165" s="36">
        <f t="shared" si="80"/>
        <v>6.16</v>
      </c>
      <c r="BX165" s="37">
        <f t="shared" si="81"/>
        <v>26.940602582496414</v>
      </c>
      <c r="BY165" s="37">
        <f t="shared" si="82"/>
        <v>37.546054519368724</v>
      </c>
      <c r="BZ165" s="37">
        <f t="shared" si="83"/>
        <v>10.60545193687231</v>
      </c>
      <c r="CA165" s="35">
        <v>2</v>
      </c>
      <c r="CB165" s="35">
        <v>3</v>
      </c>
    </row>
    <row r="166" spans="1:80" x14ac:dyDescent="0.4">
      <c r="A166" s="16" t="s">
        <v>178</v>
      </c>
      <c r="B166" s="16" t="s">
        <v>263</v>
      </c>
      <c r="C166" s="16" t="s">
        <v>83</v>
      </c>
      <c r="D166" s="23">
        <v>25</v>
      </c>
      <c r="E166" s="23">
        <v>25</v>
      </c>
      <c r="F166" s="23">
        <v>29</v>
      </c>
      <c r="G166" s="21">
        <v>38225</v>
      </c>
      <c r="H166" s="21">
        <v>230</v>
      </c>
      <c r="I166" s="22">
        <f t="shared" si="60"/>
        <v>9.1999999999999993</v>
      </c>
      <c r="J166" s="23">
        <v>96</v>
      </c>
      <c r="K166" s="23">
        <v>223</v>
      </c>
      <c r="L166" s="22">
        <f t="shared" si="84"/>
        <v>3.84</v>
      </c>
      <c r="M166" s="22">
        <f t="shared" si="85"/>
        <v>8.92</v>
      </c>
      <c r="N166" s="24">
        <f t="shared" si="86"/>
        <v>0.43049327354260092</v>
      </c>
      <c r="O166" s="21">
        <v>75</v>
      </c>
      <c r="P166" s="23">
        <v>145</v>
      </c>
      <c r="Q166" s="22">
        <f t="shared" si="61"/>
        <v>3</v>
      </c>
      <c r="R166" s="22">
        <f t="shared" si="62"/>
        <v>5.8</v>
      </c>
      <c r="S166" s="24">
        <f t="shared" si="63"/>
        <v>0.51724137931034486</v>
      </c>
      <c r="T166" s="23">
        <v>21</v>
      </c>
      <c r="U166" s="23">
        <v>78</v>
      </c>
      <c r="V166" s="22">
        <f t="shared" si="64"/>
        <v>0.84</v>
      </c>
      <c r="W166" s="22">
        <f t="shared" si="65"/>
        <v>3.12</v>
      </c>
      <c r="X166" s="24">
        <f t="shared" si="66"/>
        <v>0.26923076923076922</v>
      </c>
      <c r="Y166" s="23">
        <v>17</v>
      </c>
      <c r="Z166" s="23">
        <v>31</v>
      </c>
      <c r="AA166" s="22">
        <f t="shared" si="67"/>
        <v>0.68</v>
      </c>
      <c r="AB166" s="22">
        <f t="shared" si="68"/>
        <v>1.24</v>
      </c>
      <c r="AC166" s="24">
        <f t="shared" si="69"/>
        <v>0.54838709677419351</v>
      </c>
      <c r="AD166" s="23">
        <v>97</v>
      </c>
      <c r="AE166" s="22">
        <f t="shared" si="70"/>
        <v>3.88</v>
      </c>
      <c r="AF166" s="23">
        <v>21</v>
      </c>
      <c r="AG166" s="22">
        <f t="shared" si="71"/>
        <v>0.84</v>
      </c>
      <c r="AH166" s="23">
        <v>76</v>
      </c>
      <c r="AI166" s="22">
        <f t="shared" si="72"/>
        <v>3.04</v>
      </c>
      <c r="AJ166" s="23">
        <v>49</v>
      </c>
      <c r="AK166" s="22">
        <f t="shared" si="73"/>
        <v>1.96</v>
      </c>
      <c r="AL166" s="23">
        <v>22</v>
      </c>
      <c r="AM166" s="22">
        <f t="shared" si="74"/>
        <v>0.88</v>
      </c>
      <c r="AN166" s="23">
        <v>10</v>
      </c>
      <c r="AO166" s="22">
        <f t="shared" si="75"/>
        <v>0.4</v>
      </c>
      <c r="AP166" s="10">
        <v>31</v>
      </c>
      <c r="AQ166" s="22">
        <f t="shared" si="76"/>
        <v>1.24</v>
      </c>
      <c r="AR166" s="23">
        <v>46</v>
      </c>
      <c r="AS166" s="22">
        <f t="shared" si="77"/>
        <v>1.84</v>
      </c>
      <c r="AT166" s="25">
        <v>-8.6516460090899611E-2</v>
      </c>
      <c r="AU166" s="25">
        <v>-5.4320341195071044E-3</v>
      </c>
      <c r="AV166" s="25">
        <v>-0.15450356359334808</v>
      </c>
      <c r="AW166" s="25">
        <v>6.7987103502448465E-2</v>
      </c>
      <c r="AX166" s="25">
        <v>97.80721271206491</v>
      </c>
      <c r="AY166" s="25">
        <v>116.07087118361281</v>
      </c>
      <c r="AZ166" s="25">
        <v>5.3446574834961362</v>
      </c>
      <c r="BA166" s="25">
        <v>9.44</v>
      </c>
      <c r="BB166" s="25">
        <v>14.817527795945061</v>
      </c>
      <c r="BC166" s="24">
        <v>0.48597025016903317</v>
      </c>
      <c r="BD166" s="24">
        <v>0.47757847533632286</v>
      </c>
      <c r="BE166" s="25">
        <v>8.7565038241815465</v>
      </c>
      <c r="BF166" s="24">
        <v>0.34977578475336324</v>
      </c>
      <c r="BG166" s="24">
        <v>0.13901345291479822</v>
      </c>
      <c r="BH166" s="25">
        <v>1.7159146659294588</v>
      </c>
      <c r="BI166" s="25">
        <v>6.2099768862208995</v>
      </c>
      <c r="BJ166" s="25">
        <v>3.6928541527239478</v>
      </c>
      <c r="BK166" s="25">
        <v>4.6605099850237526</v>
      </c>
      <c r="BL166" s="25">
        <v>1.8499213527639053</v>
      </c>
      <c r="BM166" s="25">
        <v>0.68693801672407839</v>
      </c>
      <c r="BN166" s="25">
        <v>11.582723060827979</v>
      </c>
      <c r="BO166" s="26" t="s">
        <v>176</v>
      </c>
      <c r="BP166" s="27"/>
      <c r="BQ166" s="32" t="s">
        <v>268</v>
      </c>
      <c r="BR166" s="32">
        <v>426.27</v>
      </c>
      <c r="BS166" s="32">
        <v>605.27</v>
      </c>
      <c r="BT166" s="32">
        <v>179</v>
      </c>
      <c r="BU166" s="36">
        <f t="shared" si="78"/>
        <v>17.050799999999999</v>
      </c>
      <c r="BV166" s="36">
        <f t="shared" si="79"/>
        <v>24.210799999999999</v>
      </c>
      <c r="BW166" s="36">
        <f t="shared" si="80"/>
        <v>7.16</v>
      </c>
      <c r="BX166" s="37">
        <f t="shared" si="81"/>
        <v>26.763845650752124</v>
      </c>
      <c r="BY166" s="37">
        <f t="shared" si="82"/>
        <v>38.002563767168084</v>
      </c>
      <c r="BZ166" s="37">
        <f t="shared" si="83"/>
        <v>11.238718116415958</v>
      </c>
      <c r="CA166" s="34">
        <v>11</v>
      </c>
      <c r="CB166" s="34">
        <v>14</v>
      </c>
    </row>
    <row r="167" spans="1:80" x14ac:dyDescent="0.4">
      <c r="A167" s="16" t="s">
        <v>178</v>
      </c>
      <c r="B167" s="16" t="s">
        <v>263</v>
      </c>
      <c r="C167" s="16" t="s">
        <v>63</v>
      </c>
      <c r="D167" s="23">
        <v>35</v>
      </c>
      <c r="E167" s="23">
        <v>14</v>
      </c>
      <c r="F167" s="23">
        <v>1</v>
      </c>
      <c r="G167" s="21">
        <v>29435</v>
      </c>
      <c r="H167" s="21">
        <v>159</v>
      </c>
      <c r="I167" s="22">
        <f t="shared" si="60"/>
        <v>4.5428571428571427</v>
      </c>
      <c r="J167" s="23">
        <v>54</v>
      </c>
      <c r="K167" s="23">
        <v>137</v>
      </c>
      <c r="L167" s="22">
        <f t="shared" si="84"/>
        <v>1.5428571428571429</v>
      </c>
      <c r="M167" s="22">
        <f t="shared" si="85"/>
        <v>3.9142857142857141</v>
      </c>
      <c r="N167" s="24">
        <f t="shared" si="86"/>
        <v>0.39416058394160586</v>
      </c>
      <c r="O167" s="21">
        <v>33</v>
      </c>
      <c r="P167" s="23">
        <v>66</v>
      </c>
      <c r="Q167" s="22">
        <f t="shared" si="61"/>
        <v>0.94285714285714284</v>
      </c>
      <c r="R167" s="22">
        <f t="shared" si="62"/>
        <v>1.8857142857142857</v>
      </c>
      <c r="S167" s="24">
        <f t="shared" si="63"/>
        <v>0.5</v>
      </c>
      <c r="T167" s="23">
        <v>21</v>
      </c>
      <c r="U167" s="23">
        <v>71</v>
      </c>
      <c r="V167" s="22">
        <f t="shared" si="64"/>
        <v>0.6</v>
      </c>
      <c r="W167" s="22">
        <f t="shared" si="65"/>
        <v>2.0285714285714285</v>
      </c>
      <c r="X167" s="24">
        <f t="shared" si="66"/>
        <v>0.29577464788732394</v>
      </c>
      <c r="Y167" s="23">
        <v>30</v>
      </c>
      <c r="Z167" s="23">
        <v>35</v>
      </c>
      <c r="AA167" s="22">
        <f t="shared" si="67"/>
        <v>0.8571428571428571</v>
      </c>
      <c r="AB167" s="22">
        <f t="shared" si="68"/>
        <v>1</v>
      </c>
      <c r="AC167" s="24">
        <f t="shared" si="69"/>
        <v>0.8571428571428571</v>
      </c>
      <c r="AD167" s="23">
        <v>62</v>
      </c>
      <c r="AE167" s="22">
        <f t="shared" si="70"/>
        <v>1.7714285714285714</v>
      </c>
      <c r="AF167" s="23">
        <v>15</v>
      </c>
      <c r="AG167" s="22">
        <f t="shared" si="71"/>
        <v>0.42857142857142855</v>
      </c>
      <c r="AH167" s="23">
        <v>47</v>
      </c>
      <c r="AI167" s="22">
        <f t="shared" si="72"/>
        <v>1.3428571428571427</v>
      </c>
      <c r="AJ167" s="23">
        <v>25</v>
      </c>
      <c r="AK167" s="22">
        <f t="shared" si="73"/>
        <v>0.7142857142857143</v>
      </c>
      <c r="AL167" s="23">
        <v>13</v>
      </c>
      <c r="AM167" s="22">
        <f t="shared" si="74"/>
        <v>0.37142857142857144</v>
      </c>
      <c r="AN167" s="23">
        <v>1</v>
      </c>
      <c r="AO167" s="22">
        <f t="shared" si="75"/>
        <v>2.8571428571428571E-2</v>
      </c>
      <c r="AP167" s="10">
        <v>13</v>
      </c>
      <c r="AQ167" s="22">
        <f t="shared" si="76"/>
        <v>0.37142857142857144</v>
      </c>
      <c r="AR167" s="23">
        <v>37</v>
      </c>
      <c r="AS167" s="22">
        <f t="shared" si="77"/>
        <v>1.0571428571428572</v>
      </c>
      <c r="AT167" s="25">
        <v>0.40469402885457717</v>
      </c>
      <c r="AU167" s="25">
        <v>3.2996965152063365E-2</v>
      </c>
      <c r="AV167" s="25">
        <v>0.54529643574998377</v>
      </c>
      <c r="AW167" s="25">
        <v>-0.1406024068954066</v>
      </c>
      <c r="AX167" s="25">
        <v>109.43575893788382</v>
      </c>
      <c r="AY167" s="25">
        <v>118.85903057902115</v>
      </c>
      <c r="AZ167" s="25">
        <v>6.4534709032542166</v>
      </c>
      <c r="BA167" s="25">
        <v>4.5428571428571427</v>
      </c>
      <c r="BB167" s="25">
        <v>12.964158314931204</v>
      </c>
      <c r="BC167" s="24">
        <v>0.52165354330708658</v>
      </c>
      <c r="BD167" s="24">
        <v>0.47080291970802918</v>
      </c>
      <c r="BE167" s="25">
        <v>9.838450735474753</v>
      </c>
      <c r="BF167" s="24">
        <v>0.51824817518248179</v>
      </c>
      <c r="BG167" s="24">
        <v>0.25547445255474455</v>
      </c>
      <c r="BH167" s="25">
        <v>2.2283281163632944</v>
      </c>
      <c r="BI167" s="25">
        <v>6.9820947646049891</v>
      </c>
      <c r="BJ167" s="25">
        <v>4.2913466782294618</v>
      </c>
      <c r="BK167" s="25">
        <v>4.3320017241366866</v>
      </c>
      <c r="BL167" s="25">
        <v>1.4195718890964741</v>
      </c>
      <c r="BM167" s="25">
        <v>0.12489039566838475</v>
      </c>
      <c r="BN167" s="25">
        <v>7.8597339782345825</v>
      </c>
      <c r="BO167" s="26" t="s">
        <v>176</v>
      </c>
      <c r="BP167" s="27"/>
      <c r="BQ167" s="33" t="s">
        <v>268</v>
      </c>
      <c r="BR167" s="33">
        <v>314.60000000000002</v>
      </c>
      <c r="BS167" s="33">
        <v>416.1</v>
      </c>
      <c r="BT167" s="33">
        <v>101.5</v>
      </c>
      <c r="BU167" s="36">
        <f t="shared" si="78"/>
        <v>8.9885714285714293</v>
      </c>
      <c r="BV167" s="36">
        <f t="shared" si="79"/>
        <v>11.88857142857143</v>
      </c>
      <c r="BW167" s="36">
        <f t="shared" si="80"/>
        <v>2.9</v>
      </c>
      <c r="BX167" s="37">
        <f t="shared" si="81"/>
        <v>25.651095634448787</v>
      </c>
      <c r="BY167" s="37">
        <f t="shared" si="82"/>
        <v>33.926957703414303</v>
      </c>
      <c r="BZ167" s="37">
        <f t="shared" si="83"/>
        <v>8.2758620689655178</v>
      </c>
      <c r="CA167" s="34">
        <v>12</v>
      </c>
      <c r="CB167" s="34">
        <v>23</v>
      </c>
    </row>
    <row r="168" spans="1:80" x14ac:dyDescent="0.4">
      <c r="A168" s="16" t="s">
        <v>178</v>
      </c>
      <c r="B168" s="16" t="s">
        <v>263</v>
      </c>
      <c r="C168" s="16" t="s">
        <v>191</v>
      </c>
      <c r="D168" s="23">
        <v>19</v>
      </c>
      <c r="E168" s="23">
        <v>8</v>
      </c>
      <c r="F168" s="23">
        <v>52</v>
      </c>
      <c r="G168" s="21">
        <v>10108</v>
      </c>
      <c r="H168" s="21">
        <v>49</v>
      </c>
      <c r="I168" s="22">
        <f t="shared" si="60"/>
        <v>2.5789473684210527</v>
      </c>
      <c r="J168" s="23">
        <v>18</v>
      </c>
      <c r="K168" s="23">
        <v>47</v>
      </c>
      <c r="L168" s="22">
        <f t="shared" si="84"/>
        <v>0.94736842105263153</v>
      </c>
      <c r="M168" s="22">
        <f t="shared" si="85"/>
        <v>2.4736842105263159</v>
      </c>
      <c r="N168" s="24">
        <f t="shared" si="86"/>
        <v>0.38297872340425532</v>
      </c>
      <c r="O168" s="21">
        <v>11</v>
      </c>
      <c r="P168" s="23">
        <v>30</v>
      </c>
      <c r="Q168" s="22">
        <f t="shared" si="61"/>
        <v>0.57894736842105265</v>
      </c>
      <c r="R168" s="22">
        <f t="shared" si="62"/>
        <v>1.5789473684210527</v>
      </c>
      <c r="S168" s="24">
        <f t="shared" si="63"/>
        <v>0.36666666666666664</v>
      </c>
      <c r="T168" s="23">
        <v>7</v>
      </c>
      <c r="U168" s="23">
        <v>17</v>
      </c>
      <c r="V168" s="22">
        <f t="shared" si="64"/>
        <v>0.36842105263157893</v>
      </c>
      <c r="W168" s="22">
        <f t="shared" si="65"/>
        <v>0.89473684210526316</v>
      </c>
      <c r="X168" s="24">
        <f t="shared" si="66"/>
        <v>0.41176470588235292</v>
      </c>
      <c r="Y168" s="23">
        <v>6</v>
      </c>
      <c r="Z168" s="23">
        <v>7</v>
      </c>
      <c r="AA168" s="22">
        <f t="shared" si="67"/>
        <v>0.31578947368421051</v>
      </c>
      <c r="AB168" s="22">
        <f t="shared" si="68"/>
        <v>0.36842105263157893</v>
      </c>
      <c r="AC168" s="24">
        <f t="shared" si="69"/>
        <v>0.8571428571428571</v>
      </c>
      <c r="AD168" s="23">
        <v>9</v>
      </c>
      <c r="AE168" s="22">
        <f t="shared" si="70"/>
        <v>0.47368421052631576</v>
      </c>
      <c r="AF168" s="23">
        <v>2</v>
      </c>
      <c r="AG168" s="22">
        <f t="shared" si="71"/>
        <v>0.10526315789473684</v>
      </c>
      <c r="AH168" s="23">
        <v>7</v>
      </c>
      <c r="AI168" s="22">
        <f t="shared" si="72"/>
        <v>0.36842105263157893</v>
      </c>
      <c r="AJ168" s="23">
        <v>15</v>
      </c>
      <c r="AK168" s="22">
        <f t="shared" si="73"/>
        <v>0.78947368421052633</v>
      </c>
      <c r="AL168" s="23">
        <v>8</v>
      </c>
      <c r="AM168" s="22">
        <f t="shared" si="74"/>
        <v>0.42105263157894735</v>
      </c>
      <c r="AN168" s="23">
        <v>1</v>
      </c>
      <c r="AO168" s="22">
        <f t="shared" si="75"/>
        <v>5.2631578947368418E-2</v>
      </c>
      <c r="AP168" s="10">
        <v>5</v>
      </c>
      <c r="AQ168" s="22">
        <f t="shared" si="76"/>
        <v>0.26315789473684209</v>
      </c>
      <c r="AR168" s="23">
        <v>25</v>
      </c>
      <c r="AS168" s="22">
        <f t="shared" si="77"/>
        <v>1.3157894736842106</v>
      </c>
      <c r="AT168" s="25">
        <v>6.2875621745842381E-2</v>
      </c>
      <c r="AU168" s="25">
        <v>1.4928916916306066E-2</v>
      </c>
      <c r="AV168" s="25">
        <v>9.871351049436522E-2</v>
      </c>
      <c r="AW168" s="25">
        <v>-3.5837888748522839E-2</v>
      </c>
      <c r="AX168" s="25">
        <v>104.80210496308231</v>
      </c>
      <c r="AY168" s="25">
        <v>118.33536181673483</v>
      </c>
      <c r="AZ168" s="25">
        <v>2.4804493968477699</v>
      </c>
      <c r="BA168" s="25">
        <v>2.4736842105263159</v>
      </c>
      <c r="BB168" s="25">
        <v>11.159477641472101</v>
      </c>
      <c r="BC168" s="24">
        <v>0.48921725239616615</v>
      </c>
      <c r="BD168" s="24">
        <v>0.45744680851063829</v>
      </c>
      <c r="BE168" s="25">
        <v>5.1792813700083125</v>
      </c>
      <c r="BF168" s="24">
        <v>0.36170212765957449</v>
      </c>
      <c r="BG168" s="24">
        <v>0.14893617021276595</v>
      </c>
      <c r="BH168" s="25">
        <v>0.46968018693271435</v>
      </c>
      <c r="BI168" s="25">
        <v>1.6438806542645006</v>
      </c>
      <c r="BJ168" s="25">
        <v>0.98475633663348283</v>
      </c>
      <c r="BK168" s="25">
        <v>3.9347186457572803</v>
      </c>
      <c r="BL168" s="25">
        <v>2.543916383401096</v>
      </c>
      <c r="BM168" s="25">
        <v>0.19743011796449547</v>
      </c>
      <c r="BN168" s="25">
        <v>9.0777051561365294</v>
      </c>
      <c r="BO168" s="26" t="s">
        <v>176</v>
      </c>
      <c r="BP168" s="27"/>
      <c r="BQ168" s="33" t="s">
        <v>267</v>
      </c>
      <c r="BR168" s="33">
        <v>99.28</v>
      </c>
      <c r="BS168" s="33">
        <v>135.58000000000001</v>
      </c>
      <c r="BT168" s="33">
        <v>36.299999999999997</v>
      </c>
      <c r="BU168" s="36">
        <f t="shared" si="78"/>
        <v>5.2252631578947373</v>
      </c>
      <c r="BV168" s="36">
        <f t="shared" si="79"/>
        <v>7.1357894736842109</v>
      </c>
      <c r="BW168" s="36">
        <f t="shared" si="80"/>
        <v>1.9105263157894736</v>
      </c>
      <c r="BX168" s="37">
        <f t="shared" si="81"/>
        <v>23.572615749901075</v>
      </c>
      <c r="BY168" s="37">
        <f t="shared" si="82"/>
        <v>32.191531460229527</v>
      </c>
      <c r="BZ168" s="37">
        <f t="shared" si="83"/>
        <v>8.6189157103284533</v>
      </c>
      <c r="CA168" s="34">
        <v>7</v>
      </c>
      <c r="CB168" s="34">
        <v>12</v>
      </c>
    </row>
    <row r="169" spans="1:80" x14ac:dyDescent="0.4">
      <c r="A169" s="16" t="s">
        <v>178</v>
      </c>
      <c r="B169" s="16" t="s">
        <v>263</v>
      </c>
      <c r="C169" s="16" t="s">
        <v>110</v>
      </c>
      <c r="D169" s="23">
        <v>45</v>
      </c>
      <c r="E169" s="23">
        <v>22</v>
      </c>
      <c r="F169" s="23">
        <v>36</v>
      </c>
      <c r="G169" s="21">
        <v>61020</v>
      </c>
      <c r="H169" s="21">
        <v>315</v>
      </c>
      <c r="I169" s="22">
        <f t="shared" si="60"/>
        <v>7</v>
      </c>
      <c r="J169" s="23">
        <v>104</v>
      </c>
      <c r="K169" s="23">
        <v>255</v>
      </c>
      <c r="L169" s="22">
        <f t="shared" si="84"/>
        <v>2.3111111111111109</v>
      </c>
      <c r="M169" s="22">
        <f t="shared" si="85"/>
        <v>5.666666666666667</v>
      </c>
      <c r="N169" s="24">
        <f t="shared" si="86"/>
        <v>0.40784313725490196</v>
      </c>
      <c r="O169" s="21">
        <v>61</v>
      </c>
      <c r="P169" s="23">
        <v>138</v>
      </c>
      <c r="Q169" s="22">
        <f t="shared" si="61"/>
        <v>1.3555555555555556</v>
      </c>
      <c r="R169" s="22">
        <f t="shared" si="62"/>
        <v>3.0666666666666669</v>
      </c>
      <c r="S169" s="24">
        <f t="shared" si="63"/>
        <v>0.4420289855072464</v>
      </c>
      <c r="T169" s="23">
        <v>43</v>
      </c>
      <c r="U169" s="23">
        <v>117</v>
      </c>
      <c r="V169" s="22">
        <f t="shared" si="64"/>
        <v>0.9555555555555556</v>
      </c>
      <c r="W169" s="22">
        <f t="shared" si="65"/>
        <v>2.6</v>
      </c>
      <c r="X169" s="24">
        <f t="shared" si="66"/>
        <v>0.36752136752136755</v>
      </c>
      <c r="Y169" s="23">
        <v>64</v>
      </c>
      <c r="Z169" s="23">
        <v>75</v>
      </c>
      <c r="AA169" s="22">
        <f t="shared" si="67"/>
        <v>1.4222222222222223</v>
      </c>
      <c r="AB169" s="22">
        <f t="shared" si="68"/>
        <v>1.6666666666666667</v>
      </c>
      <c r="AC169" s="24">
        <f t="shared" si="69"/>
        <v>0.85333333333333339</v>
      </c>
      <c r="AD169" s="23">
        <v>84</v>
      </c>
      <c r="AE169" s="22">
        <f t="shared" si="70"/>
        <v>1.8666666666666667</v>
      </c>
      <c r="AF169" s="23">
        <v>14</v>
      </c>
      <c r="AG169" s="22">
        <f t="shared" si="71"/>
        <v>0.31111111111111112</v>
      </c>
      <c r="AH169" s="23">
        <v>70</v>
      </c>
      <c r="AI169" s="22">
        <f t="shared" si="72"/>
        <v>1.5555555555555556</v>
      </c>
      <c r="AJ169" s="23">
        <v>129</v>
      </c>
      <c r="AK169" s="22">
        <f t="shared" si="73"/>
        <v>2.8666666666666667</v>
      </c>
      <c r="AL169" s="23">
        <v>46</v>
      </c>
      <c r="AM169" s="22">
        <f t="shared" si="74"/>
        <v>1.0222222222222221</v>
      </c>
      <c r="AN169" s="23">
        <v>6</v>
      </c>
      <c r="AO169" s="22">
        <f t="shared" si="75"/>
        <v>0.13333333333333333</v>
      </c>
      <c r="AP169" s="10">
        <v>77</v>
      </c>
      <c r="AQ169" s="22">
        <f t="shared" si="76"/>
        <v>1.711111111111111</v>
      </c>
      <c r="AR169" s="23">
        <v>66</v>
      </c>
      <c r="AS169" s="22">
        <f t="shared" si="77"/>
        <v>1.4666666666666666</v>
      </c>
      <c r="AT169" s="25">
        <v>0.21670099772471307</v>
      </c>
      <c r="AU169" s="25">
        <v>8.5231464198510555E-3</v>
      </c>
      <c r="AV169" s="25">
        <v>0.32661014221744344</v>
      </c>
      <c r="AW169" s="25">
        <v>-0.10990914449273038</v>
      </c>
      <c r="AX169" s="25">
        <v>102.00280211821587</v>
      </c>
      <c r="AY169" s="25">
        <v>117.59346217956661</v>
      </c>
      <c r="AZ169" s="25">
        <v>8.6825467883657943</v>
      </c>
      <c r="BA169" s="25">
        <v>7.5777777777777775</v>
      </c>
      <c r="BB169" s="25">
        <v>13.411996066863324</v>
      </c>
      <c r="BC169" s="24">
        <v>0.546875</v>
      </c>
      <c r="BD169" s="24">
        <v>0.49215686274509801</v>
      </c>
      <c r="BE169" s="25">
        <v>13.465434782287897</v>
      </c>
      <c r="BF169" s="24">
        <v>0.45882352941176469</v>
      </c>
      <c r="BG169" s="24">
        <v>0.29411764705882354</v>
      </c>
      <c r="BH169" s="25">
        <v>1.2898886549686051</v>
      </c>
      <c r="BI169" s="25">
        <v>6.4494432748430253</v>
      </c>
      <c r="BJ169" s="25">
        <v>3.6059317577414847</v>
      </c>
      <c r="BK169" s="25">
        <v>14.120505930065185</v>
      </c>
      <c r="BL169" s="25">
        <v>2.4230574257563933</v>
      </c>
      <c r="BM169" s="25">
        <v>0.46474700335005131</v>
      </c>
      <c r="BN169" s="25">
        <v>21.095890410958905</v>
      </c>
      <c r="BO169" s="26" t="s">
        <v>176</v>
      </c>
      <c r="BP169" s="27"/>
      <c r="BQ169" s="32" t="s">
        <v>267</v>
      </c>
      <c r="BR169" s="32">
        <v>652.83000000000004</v>
      </c>
      <c r="BS169" s="32">
        <v>920.73</v>
      </c>
      <c r="BT169" s="32">
        <v>267.89999999999998</v>
      </c>
      <c r="BU169" s="36">
        <f t="shared" si="78"/>
        <v>14.507333333333335</v>
      </c>
      <c r="BV169" s="36">
        <f t="shared" si="79"/>
        <v>20.460666666666668</v>
      </c>
      <c r="BW169" s="36">
        <f t="shared" si="80"/>
        <v>5.9533333333333331</v>
      </c>
      <c r="BX169" s="37">
        <f t="shared" si="81"/>
        <v>25.676696165191743</v>
      </c>
      <c r="BY169" s="37">
        <f t="shared" si="82"/>
        <v>36.213569321533924</v>
      </c>
      <c r="BZ169" s="37">
        <f t="shared" si="83"/>
        <v>10.536873156342184</v>
      </c>
      <c r="CA169" s="35">
        <v>18</v>
      </c>
      <c r="CB169" s="35">
        <v>27</v>
      </c>
    </row>
    <row r="170" spans="1:80" x14ac:dyDescent="0.4">
      <c r="A170" s="16" t="s">
        <v>178</v>
      </c>
      <c r="B170" s="16" t="s">
        <v>263</v>
      </c>
      <c r="C170" s="16" t="s">
        <v>84</v>
      </c>
      <c r="D170" s="23">
        <v>26</v>
      </c>
      <c r="E170" s="23">
        <v>17</v>
      </c>
      <c r="F170" s="23">
        <v>43</v>
      </c>
      <c r="G170" s="21">
        <v>27638</v>
      </c>
      <c r="H170" s="21">
        <v>151</v>
      </c>
      <c r="I170" s="22">
        <f t="shared" si="60"/>
        <v>5.8076923076923075</v>
      </c>
      <c r="J170" s="23">
        <v>54</v>
      </c>
      <c r="K170" s="23">
        <v>127</v>
      </c>
      <c r="L170" s="22">
        <f t="shared" si="84"/>
        <v>2.0769230769230771</v>
      </c>
      <c r="M170" s="22">
        <f t="shared" si="85"/>
        <v>4.884615384615385</v>
      </c>
      <c r="N170" s="24">
        <f t="shared" si="86"/>
        <v>0.42519685039370081</v>
      </c>
      <c r="O170" s="21">
        <v>22</v>
      </c>
      <c r="P170" s="23">
        <v>36</v>
      </c>
      <c r="Q170" s="22">
        <f t="shared" si="61"/>
        <v>0.84615384615384615</v>
      </c>
      <c r="R170" s="22">
        <f t="shared" si="62"/>
        <v>1.3846153846153846</v>
      </c>
      <c r="S170" s="24">
        <f t="shared" si="63"/>
        <v>0.61111111111111116</v>
      </c>
      <c r="T170" s="23">
        <v>32</v>
      </c>
      <c r="U170" s="23">
        <v>91</v>
      </c>
      <c r="V170" s="22">
        <f t="shared" si="64"/>
        <v>1.2307692307692308</v>
      </c>
      <c r="W170" s="22">
        <f t="shared" si="65"/>
        <v>3.5</v>
      </c>
      <c r="X170" s="24">
        <f t="shared" si="66"/>
        <v>0.35164835164835168</v>
      </c>
      <c r="Y170" s="23">
        <v>11</v>
      </c>
      <c r="Z170" s="23">
        <v>15</v>
      </c>
      <c r="AA170" s="22">
        <f t="shared" si="67"/>
        <v>0.42307692307692307</v>
      </c>
      <c r="AB170" s="22">
        <f t="shared" si="68"/>
        <v>0.57692307692307687</v>
      </c>
      <c r="AC170" s="24">
        <f t="shared" si="69"/>
        <v>0.73333333333333328</v>
      </c>
      <c r="AD170" s="23">
        <v>25</v>
      </c>
      <c r="AE170" s="22">
        <f t="shared" si="70"/>
        <v>0.96153846153846156</v>
      </c>
      <c r="AF170" s="23">
        <v>9</v>
      </c>
      <c r="AG170" s="22">
        <f t="shared" si="71"/>
        <v>0.34615384615384615</v>
      </c>
      <c r="AH170" s="23">
        <v>16</v>
      </c>
      <c r="AI170" s="22">
        <f t="shared" si="72"/>
        <v>0.61538461538461542</v>
      </c>
      <c r="AJ170" s="23">
        <v>22</v>
      </c>
      <c r="AK170" s="22">
        <f t="shared" si="73"/>
        <v>0.84615384615384615</v>
      </c>
      <c r="AL170" s="23">
        <v>13</v>
      </c>
      <c r="AM170" s="22">
        <f t="shared" si="74"/>
        <v>0.5</v>
      </c>
      <c r="AN170" s="23">
        <v>0</v>
      </c>
      <c r="AO170" s="22">
        <f t="shared" si="75"/>
        <v>0</v>
      </c>
      <c r="AP170" s="10">
        <v>12</v>
      </c>
      <c r="AQ170" s="22">
        <f t="shared" si="76"/>
        <v>0.46153846153846156</v>
      </c>
      <c r="AR170" s="23">
        <v>35</v>
      </c>
      <c r="AS170" s="22">
        <f t="shared" si="77"/>
        <v>1.3461538461538463</v>
      </c>
      <c r="AT170" s="25">
        <v>0.29718670742536807</v>
      </c>
      <c r="AU170" s="25">
        <v>2.580679129535E-2</v>
      </c>
      <c r="AV170" s="25">
        <v>0.60552552012016259</v>
      </c>
      <c r="AW170" s="25">
        <v>-0.30833881269479452</v>
      </c>
      <c r="AX170" s="25">
        <v>112.33281950123479</v>
      </c>
      <c r="AY170" s="25">
        <v>121.57246675533449</v>
      </c>
      <c r="AZ170" s="25">
        <v>4.54233101840925</v>
      </c>
      <c r="BA170" s="25">
        <v>4.6923076923076925</v>
      </c>
      <c r="BB170" s="25">
        <v>10.59410955930241</v>
      </c>
      <c r="BC170" s="24">
        <v>0.56511976047904189</v>
      </c>
      <c r="BD170" s="24">
        <v>0.55118110236220474</v>
      </c>
      <c r="BE170" s="25">
        <v>6.8519678465761569</v>
      </c>
      <c r="BF170" s="24">
        <v>0.71653543307086609</v>
      </c>
      <c r="BG170" s="24">
        <v>0.11811023622047244</v>
      </c>
      <c r="BH170" s="25">
        <v>1.0577745696302148</v>
      </c>
      <c r="BI170" s="25">
        <v>1.8804881237870483</v>
      </c>
      <c r="BJ170" s="25">
        <v>1.3690037919123363</v>
      </c>
      <c r="BK170" s="25">
        <v>2.9582102379846518</v>
      </c>
      <c r="BL170" s="25">
        <v>1.5118712843025801</v>
      </c>
      <c r="BM170" s="25">
        <v>0</v>
      </c>
      <c r="BN170" s="25">
        <v>8.2417582417582427</v>
      </c>
      <c r="BO170" s="26" t="s">
        <v>176</v>
      </c>
      <c r="BP170" s="27"/>
      <c r="BQ170" s="33" t="s">
        <v>268</v>
      </c>
      <c r="BR170" s="33">
        <v>254.89</v>
      </c>
      <c r="BS170" s="33">
        <v>343.19</v>
      </c>
      <c r="BT170" s="33">
        <v>88.3</v>
      </c>
      <c r="BU170" s="36">
        <f t="shared" si="78"/>
        <v>9.8034615384615389</v>
      </c>
      <c r="BV170" s="36">
        <f t="shared" si="79"/>
        <v>13.199615384615385</v>
      </c>
      <c r="BW170" s="36">
        <f t="shared" si="80"/>
        <v>3.3961538461538461</v>
      </c>
      <c r="BX170" s="37">
        <f t="shared" si="81"/>
        <v>22.133873652217961</v>
      </c>
      <c r="BY170" s="37">
        <f t="shared" si="82"/>
        <v>29.801577538172083</v>
      </c>
      <c r="BZ170" s="37">
        <f t="shared" si="83"/>
        <v>7.6677038859541211</v>
      </c>
      <c r="CA170" s="34">
        <v>8</v>
      </c>
      <c r="CB170" s="34">
        <v>18</v>
      </c>
    </row>
    <row r="171" spans="1:80" x14ac:dyDescent="0.4">
      <c r="A171" s="16" t="s">
        <v>178</v>
      </c>
      <c r="B171" s="38" t="s">
        <v>263</v>
      </c>
      <c r="C171" s="38" t="s">
        <v>117</v>
      </c>
      <c r="D171" s="23">
        <v>54</v>
      </c>
      <c r="E171" s="23">
        <v>26</v>
      </c>
      <c r="F171" s="23">
        <v>32</v>
      </c>
      <c r="G171" s="21">
        <v>85968</v>
      </c>
      <c r="H171" s="21">
        <v>709</v>
      </c>
      <c r="I171" s="22">
        <f t="shared" si="60"/>
        <v>13.12962962962963</v>
      </c>
      <c r="J171" s="23">
        <v>238</v>
      </c>
      <c r="K171" s="23">
        <v>573</v>
      </c>
      <c r="L171" s="22">
        <f t="shared" si="84"/>
        <v>4.4074074074074074</v>
      </c>
      <c r="M171" s="22">
        <f t="shared" si="85"/>
        <v>10.611111111111111</v>
      </c>
      <c r="N171" s="24">
        <f t="shared" si="86"/>
        <v>0.41535776614310643</v>
      </c>
      <c r="O171" s="21">
        <v>160</v>
      </c>
      <c r="P171" s="23">
        <v>303</v>
      </c>
      <c r="Q171" s="22">
        <f t="shared" si="61"/>
        <v>2.9629629629629628</v>
      </c>
      <c r="R171" s="22">
        <f t="shared" si="62"/>
        <v>5.6111111111111107</v>
      </c>
      <c r="S171" s="24">
        <f t="shared" si="63"/>
        <v>0.528052805280528</v>
      </c>
      <c r="T171" s="23">
        <v>78</v>
      </c>
      <c r="U171" s="23">
        <v>270</v>
      </c>
      <c r="V171" s="22">
        <f t="shared" si="64"/>
        <v>1.4444444444444444</v>
      </c>
      <c r="W171" s="22">
        <f t="shared" si="65"/>
        <v>5</v>
      </c>
      <c r="X171" s="24">
        <f t="shared" si="66"/>
        <v>0.28888888888888886</v>
      </c>
      <c r="Y171" s="23">
        <v>155</v>
      </c>
      <c r="Z171" s="23">
        <v>189</v>
      </c>
      <c r="AA171" s="22">
        <f t="shared" si="67"/>
        <v>2.8703703703703702</v>
      </c>
      <c r="AB171" s="22">
        <f t="shared" si="68"/>
        <v>3.5</v>
      </c>
      <c r="AC171" s="24">
        <f t="shared" si="69"/>
        <v>0.82010582010582012</v>
      </c>
      <c r="AD171" s="23">
        <v>162</v>
      </c>
      <c r="AE171" s="22">
        <f t="shared" si="70"/>
        <v>3</v>
      </c>
      <c r="AF171" s="23">
        <v>26</v>
      </c>
      <c r="AG171" s="22">
        <f t="shared" si="71"/>
        <v>0.48148148148148145</v>
      </c>
      <c r="AH171" s="23">
        <v>136</v>
      </c>
      <c r="AI171" s="22">
        <f t="shared" si="72"/>
        <v>2.5185185185185186</v>
      </c>
      <c r="AJ171" s="23">
        <v>178</v>
      </c>
      <c r="AK171" s="22">
        <f t="shared" si="73"/>
        <v>3.2962962962962963</v>
      </c>
      <c r="AL171" s="23">
        <v>38</v>
      </c>
      <c r="AM171" s="22">
        <f t="shared" si="74"/>
        <v>0.70370370370370372</v>
      </c>
      <c r="AN171" s="23">
        <v>10</v>
      </c>
      <c r="AO171" s="22">
        <f t="shared" si="75"/>
        <v>0.18518518518518517</v>
      </c>
      <c r="AP171" s="10">
        <v>110</v>
      </c>
      <c r="AQ171" s="22">
        <f t="shared" si="76"/>
        <v>2.0370370370370372</v>
      </c>
      <c r="AR171" s="23">
        <v>120</v>
      </c>
      <c r="AS171" s="22">
        <f t="shared" si="77"/>
        <v>2.2222222222222223</v>
      </c>
      <c r="AT171" s="25">
        <v>1.1988268270640452</v>
      </c>
      <c r="AU171" s="25">
        <v>3.3468085624345209E-2</v>
      </c>
      <c r="AV171" s="25">
        <v>1.5608473853772833</v>
      </c>
      <c r="AW171" s="25">
        <v>-0.36202055831323821</v>
      </c>
      <c r="AX171" s="25">
        <v>105.46718514743758</v>
      </c>
      <c r="AY171" s="25">
        <v>118.61846492275848</v>
      </c>
      <c r="AZ171" s="25">
        <v>13.619524167853315</v>
      </c>
      <c r="BA171" s="25">
        <v>11.444444444444445</v>
      </c>
      <c r="BB171" s="25">
        <v>17.252931323283082</v>
      </c>
      <c r="BC171" s="24">
        <v>0.54026456961716662</v>
      </c>
      <c r="BD171" s="24">
        <v>0.48342059336823734</v>
      </c>
      <c r="BE171" s="25">
        <v>24.074851496099807</v>
      </c>
      <c r="BF171" s="24">
        <v>0.47120418848167539</v>
      </c>
      <c r="BG171" s="24">
        <v>0.32984293193717279</v>
      </c>
      <c r="BH171" s="25">
        <v>2.0403945809212645</v>
      </c>
      <c r="BI171" s="25">
        <v>10.672833192511229</v>
      </c>
      <c r="BJ171" s="25">
        <v>5.9233835927149698</v>
      </c>
      <c r="BK171" s="25">
        <v>18.606336607444625</v>
      </c>
      <c r="BL171" s="25">
        <v>1.4207735124259824</v>
      </c>
      <c r="BM171" s="25">
        <v>0.65975391179090193</v>
      </c>
      <c r="BN171" s="25">
        <v>14.357314399081133</v>
      </c>
      <c r="BO171" s="26" t="s">
        <v>176</v>
      </c>
      <c r="BP171" s="27"/>
      <c r="BQ171" s="33" t="s">
        <v>267</v>
      </c>
      <c r="BR171" s="33">
        <v>1052.0999999999999</v>
      </c>
      <c r="BS171" s="33">
        <v>1560.1</v>
      </c>
      <c r="BT171" s="33">
        <v>508</v>
      </c>
      <c r="BU171" s="36">
        <f t="shared" si="78"/>
        <v>19.483333333333334</v>
      </c>
      <c r="BV171" s="36">
        <f t="shared" si="79"/>
        <v>28.890740740740739</v>
      </c>
      <c r="BW171" s="36">
        <f t="shared" si="80"/>
        <v>9.4074074074074066</v>
      </c>
      <c r="BX171" s="37">
        <f t="shared" si="81"/>
        <v>29.371859296482413</v>
      </c>
      <c r="BY171" s="37">
        <f t="shared" si="82"/>
        <v>43.553880513679509</v>
      </c>
      <c r="BZ171" s="37">
        <f t="shared" si="83"/>
        <v>14.182021217197097</v>
      </c>
      <c r="CA171" s="35">
        <v>21</v>
      </c>
      <c r="CB171" s="35">
        <v>33</v>
      </c>
    </row>
    <row r="172" spans="1:80" x14ac:dyDescent="0.4">
      <c r="A172" s="16" t="s">
        <v>178</v>
      </c>
      <c r="B172" s="51" t="s">
        <v>263</v>
      </c>
      <c r="C172" s="51" t="s">
        <v>90</v>
      </c>
      <c r="D172" s="29">
        <v>46</v>
      </c>
      <c r="E172" s="29">
        <v>9</v>
      </c>
      <c r="F172" s="29">
        <v>41</v>
      </c>
      <c r="G172" s="21">
        <v>26726</v>
      </c>
      <c r="H172" s="21">
        <v>81</v>
      </c>
      <c r="I172" s="22">
        <f t="shared" si="60"/>
        <v>1.7608695652173914</v>
      </c>
      <c r="J172" s="23">
        <v>31</v>
      </c>
      <c r="K172" s="23">
        <v>75</v>
      </c>
      <c r="L172" s="22">
        <f t="shared" si="84"/>
        <v>0.67391304347826086</v>
      </c>
      <c r="M172" s="22">
        <f t="shared" si="85"/>
        <v>1.6304347826086956</v>
      </c>
      <c r="N172" s="24">
        <f t="shared" si="86"/>
        <v>0.41333333333333333</v>
      </c>
      <c r="O172" s="21">
        <v>24</v>
      </c>
      <c r="P172" s="23">
        <v>45</v>
      </c>
      <c r="Q172" s="22">
        <f t="shared" si="61"/>
        <v>0.52173913043478259</v>
      </c>
      <c r="R172" s="22">
        <f t="shared" si="62"/>
        <v>0.97826086956521741</v>
      </c>
      <c r="S172" s="24">
        <f t="shared" si="63"/>
        <v>0.53333333333333333</v>
      </c>
      <c r="T172" s="23">
        <v>7</v>
      </c>
      <c r="U172" s="23">
        <v>30</v>
      </c>
      <c r="V172" s="22">
        <f t="shared" si="64"/>
        <v>0.15217391304347827</v>
      </c>
      <c r="W172" s="22">
        <f t="shared" si="65"/>
        <v>0.65217391304347827</v>
      </c>
      <c r="X172" s="24">
        <f t="shared" si="66"/>
        <v>0.23333333333333334</v>
      </c>
      <c r="Y172" s="15">
        <v>12</v>
      </c>
      <c r="Z172" s="15">
        <v>16</v>
      </c>
      <c r="AA172" s="22">
        <f t="shared" si="67"/>
        <v>0.2608695652173913</v>
      </c>
      <c r="AB172" s="22">
        <f t="shared" si="68"/>
        <v>0.34782608695652173</v>
      </c>
      <c r="AC172" s="24">
        <f t="shared" si="69"/>
        <v>0.75</v>
      </c>
      <c r="AD172" s="23">
        <v>31</v>
      </c>
      <c r="AE172" s="22">
        <f t="shared" si="70"/>
        <v>0.67391304347826086</v>
      </c>
      <c r="AF172" s="23">
        <v>11</v>
      </c>
      <c r="AG172" s="22">
        <f t="shared" si="71"/>
        <v>0.2391304347826087</v>
      </c>
      <c r="AH172" s="23">
        <v>20</v>
      </c>
      <c r="AI172" s="22">
        <f t="shared" si="72"/>
        <v>0.43478260869565216</v>
      </c>
      <c r="AJ172" s="23">
        <v>47</v>
      </c>
      <c r="AK172" s="22">
        <f t="shared" si="73"/>
        <v>1.0217391304347827</v>
      </c>
      <c r="AL172" s="23">
        <v>11</v>
      </c>
      <c r="AM172" s="22">
        <f t="shared" si="74"/>
        <v>0.2391304347826087</v>
      </c>
      <c r="AN172" s="13">
        <v>0</v>
      </c>
      <c r="AO172" s="22">
        <f t="shared" si="75"/>
        <v>0</v>
      </c>
      <c r="AP172" s="12">
        <v>31</v>
      </c>
      <c r="AQ172" s="22">
        <f t="shared" si="76"/>
        <v>0.67391304347826086</v>
      </c>
      <c r="AR172" s="23">
        <v>59</v>
      </c>
      <c r="AS172" s="22">
        <f t="shared" si="77"/>
        <v>1.2826086956521738</v>
      </c>
      <c r="AT172" s="25">
        <v>-0.61402589389905904</v>
      </c>
      <c r="AU172" s="25">
        <v>-5.5139644741365776E-2</v>
      </c>
      <c r="AV172" s="25">
        <v>-0.32771057424687594</v>
      </c>
      <c r="AW172" s="25">
        <v>-0.28631531965218315</v>
      </c>
      <c r="AX172" s="25">
        <v>91.888350036314293</v>
      </c>
      <c r="AY172" s="25">
        <v>121.3838983696368</v>
      </c>
      <c r="AZ172" s="25">
        <v>2.2434716478718451</v>
      </c>
      <c r="BA172" s="25">
        <v>1.9782608695652173</v>
      </c>
      <c r="BB172" s="25">
        <v>8.1718177056050294</v>
      </c>
      <c r="BC172" s="24">
        <v>0.49366162847391515</v>
      </c>
      <c r="BD172" s="24">
        <v>0.46</v>
      </c>
      <c r="BE172" s="25">
        <v>9.7329215382217775</v>
      </c>
      <c r="BF172" s="24">
        <v>0.4</v>
      </c>
      <c r="BG172" s="24">
        <v>0.21333333333333335</v>
      </c>
      <c r="BH172" s="25">
        <v>2.3653773269623448</v>
      </c>
      <c r="BI172" s="25">
        <v>4.3006860490224454</v>
      </c>
      <c r="BJ172" s="25">
        <v>3.1058713910421494</v>
      </c>
      <c r="BK172" s="25">
        <v>11.605165121540441</v>
      </c>
      <c r="BL172" s="25">
        <v>1.3229298007445986</v>
      </c>
      <c r="BM172" s="25">
        <v>0</v>
      </c>
      <c r="BN172" s="25">
        <v>27.423920736022644</v>
      </c>
      <c r="BO172" s="26" t="s">
        <v>176</v>
      </c>
      <c r="BP172" s="27"/>
      <c r="BQ172" s="33" t="s">
        <v>267</v>
      </c>
      <c r="BR172" s="33">
        <v>223.4</v>
      </c>
      <c r="BS172" s="33">
        <v>314.8</v>
      </c>
      <c r="BT172" s="33">
        <v>91.4</v>
      </c>
      <c r="BU172" s="36">
        <f t="shared" si="78"/>
        <v>4.8565217391304349</v>
      </c>
      <c r="BV172" s="36">
        <f t="shared" si="79"/>
        <v>6.8434782608695652</v>
      </c>
      <c r="BW172" s="36">
        <f t="shared" si="80"/>
        <v>1.9869565217391305</v>
      </c>
      <c r="BX172" s="37">
        <f t="shared" si="81"/>
        <v>20.06136346628751</v>
      </c>
      <c r="BY172" s="37">
        <f t="shared" si="82"/>
        <v>28.269101249719373</v>
      </c>
      <c r="BZ172" s="37">
        <f t="shared" si="83"/>
        <v>8.2077377834318632</v>
      </c>
      <c r="CA172" s="34">
        <v>18</v>
      </c>
      <c r="CB172" s="34">
        <v>28</v>
      </c>
    </row>
    <row r="173" spans="1:80" x14ac:dyDescent="0.4">
      <c r="A173" s="16" t="s">
        <v>178</v>
      </c>
      <c r="B173" s="16" t="s">
        <v>263</v>
      </c>
      <c r="C173" s="16" t="s">
        <v>88</v>
      </c>
      <c r="D173" s="23">
        <v>35</v>
      </c>
      <c r="E173" s="23">
        <v>15</v>
      </c>
      <c r="F173" s="23">
        <v>54</v>
      </c>
      <c r="G173" s="21">
        <v>33390</v>
      </c>
      <c r="H173" s="21">
        <v>168</v>
      </c>
      <c r="I173" s="22">
        <f t="shared" si="60"/>
        <v>4.8</v>
      </c>
      <c r="J173" s="23">
        <v>53</v>
      </c>
      <c r="K173" s="23">
        <v>154</v>
      </c>
      <c r="L173" s="22">
        <f t="shared" si="84"/>
        <v>1.5142857142857142</v>
      </c>
      <c r="M173" s="22">
        <f t="shared" si="85"/>
        <v>4.4000000000000004</v>
      </c>
      <c r="N173" s="24">
        <f t="shared" si="86"/>
        <v>0.34415584415584416</v>
      </c>
      <c r="O173" s="21">
        <v>18</v>
      </c>
      <c r="P173" s="23">
        <v>45</v>
      </c>
      <c r="Q173" s="22">
        <f t="shared" si="61"/>
        <v>0.51428571428571423</v>
      </c>
      <c r="R173" s="22">
        <f t="shared" si="62"/>
        <v>1.2857142857142858</v>
      </c>
      <c r="S173" s="24">
        <f t="shared" si="63"/>
        <v>0.4</v>
      </c>
      <c r="T173" s="23">
        <v>35</v>
      </c>
      <c r="U173" s="23">
        <v>109</v>
      </c>
      <c r="V173" s="22">
        <f t="shared" si="64"/>
        <v>1</v>
      </c>
      <c r="W173" s="22">
        <f t="shared" si="65"/>
        <v>3.1142857142857143</v>
      </c>
      <c r="X173" s="24">
        <f t="shared" si="66"/>
        <v>0.32110091743119268</v>
      </c>
      <c r="Y173" s="23">
        <v>27</v>
      </c>
      <c r="Z173" s="23">
        <v>36</v>
      </c>
      <c r="AA173" s="22">
        <f t="shared" si="67"/>
        <v>0.77142857142857146</v>
      </c>
      <c r="AB173" s="22">
        <f t="shared" si="68"/>
        <v>1.0285714285714285</v>
      </c>
      <c r="AC173" s="24">
        <f t="shared" si="69"/>
        <v>0.75</v>
      </c>
      <c r="AD173" s="23">
        <v>66</v>
      </c>
      <c r="AE173" s="22">
        <f t="shared" si="70"/>
        <v>1.8857142857142857</v>
      </c>
      <c r="AF173" s="23">
        <v>10</v>
      </c>
      <c r="AG173" s="22">
        <f t="shared" si="71"/>
        <v>0.2857142857142857</v>
      </c>
      <c r="AH173" s="23">
        <v>56</v>
      </c>
      <c r="AI173" s="22">
        <f t="shared" si="72"/>
        <v>1.6</v>
      </c>
      <c r="AJ173" s="23">
        <v>39</v>
      </c>
      <c r="AK173" s="22">
        <f t="shared" si="73"/>
        <v>1.1142857142857143</v>
      </c>
      <c r="AL173" s="23">
        <v>11</v>
      </c>
      <c r="AM173" s="22">
        <f t="shared" si="74"/>
        <v>0.31428571428571428</v>
      </c>
      <c r="AN173" s="23">
        <v>4</v>
      </c>
      <c r="AO173" s="22">
        <f t="shared" si="75"/>
        <v>0.11428571428571428</v>
      </c>
      <c r="AP173" s="10">
        <v>21</v>
      </c>
      <c r="AQ173" s="22">
        <f t="shared" si="76"/>
        <v>0.6</v>
      </c>
      <c r="AR173" s="23">
        <v>44</v>
      </c>
      <c r="AS173" s="22">
        <f t="shared" si="77"/>
        <v>1.2571428571428571</v>
      </c>
      <c r="AT173" s="25">
        <v>-5.0355332652371632E-2</v>
      </c>
      <c r="AU173" s="25">
        <v>-3.6194309184094612E-3</v>
      </c>
      <c r="AV173" s="25">
        <v>0.13606447726072224</v>
      </c>
      <c r="AW173" s="25">
        <v>-0.18641980991309387</v>
      </c>
      <c r="AX173" s="25">
        <v>101.64181223342656</v>
      </c>
      <c r="AY173" s="25">
        <v>119.20201309926208</v>
      </c>
      <c r="AZ173" s="25">
        <v>5.1135705792350379</v>
      </c>
      <c r="BA173" s="25">
        <v>4.4857142857142858</v>
      </c>
      <c r="BB173" s="25">
        <v>11.284815813117699</v>
      </c>
      <c r="BC173" s="24">
        <v>0.4945831370701837</v>
      </c>
      <c r="BD173" s="24">
        <v>0.45779220779220781</v>
      </c>
      <c r="BE173" s="25">
        <v>10.007099986051724</v>
      </c>
      <c r="BF173" s="24">
        <v>0.70779220779220775</v>
      </c>
      <c r="BG173" s="24">
        <v>0.23376623376623376</v>
      </c>
      <c r="BH173" s="25">
        <v>1.3095904583239206</v>
      </c>
      <c r="BI173" s="25">
        <v>7.3337065666139551</v>
      </c>
      <c r="BJ173" s="25">
        <v>4.0271097707750814</v>
      </c>
      <c r="BK173" s="25">
        <v>5.8832624953329882</v>
      </c>
      <c r="BL173" s="25">
        <v>1.0588985281431607</v>
      </c>
      <c r="BM173" s="25">
        <v>0.44038919395015347</v>
      </c>
      <c r="BN173" s="25">
        <v>11.003982393628171</v>
      </c>
      <c r="BO173" s="26" t="s">
        <v>176</v>
      </c>
      <c r="BP173" s="27"/>
      <c r="BQ173" s="32" t="s">
        <v>268</v>
      </c>
      <c r="BR173" s="32">
        <v>323.77</v>
      </c>
      <c r="BS173" s="32">
        <v>456.08</v>
      </c>
      <c r="BT173" s="32">
        <v>132.30000000000001</v>
      </c>
      <c r="BU173" s="36">
        <f t="shared" si="78"/>
        <v>9.2508571428571429</v>
      </c>
      <c r="BV173" s="36">
        <f t="shared" si="79"/>
        <v>13.030857142857142</v>
      </c>
      <c r="BW173" s="36">
        <f t="shared" si="80"/>
        <v>3.7800000000000002</v>
      </c>
      <c r="BX173" s="37">
        <f t="shared" si="81"/>
        <v>23.272596585804134</v>
      </c>
      <c r="BY173" s="37">
        <f t="shared" si="82"/>
        <v>32.782030548068285</v>
      </c>
      <c r="BZ173" s="37">
        <f t="shared" si="83"/>
        <v>9.5094339622641506</v>
      </c>
      <c r="CA173" s="34">
        <v>15</v>
      </c>
      <c r="CB173" s="34">
        <v>20</v>
      </c>
    </row>
    <row r="174" spans="1:80" x14ac:dyDescent="0.4">
      <c r="A174" s="16" t="s">
        <v>178</v>
      </c>
      <c r="B174" s="16" t="s">
        <v>263</v>
      </c>
      <c r="C174" s="16" t="s">
        <v>82</v>
      </c>
      <c r="D174" s="23">
        <v>40</v>
      </c>
      <c r="E174" s="23">
        <v>22</v>
      </c>
      <c r="F174" s="23">
        <v>10</v>
      </c>
      <c r="G174" s="21">
        <v>53200</v>
      </c>
      <c r="H174" s="21">
        <v>313</v>
      </c>
      <c r="I174" s="22">
        <f t="shared" si="60"/>
        <v>7.8250000000000002</v>
      </c>
      <c r="J174" s="23">
        <v>109</v>
      </c>
      <c r="K174" s="23">
        <v>233</v>
      </c>
      <c r="L174" s="22">
        <f t="shared" si="84"/>
        <v>2.7250000000000001</v>
      </c>
      <c r="M174" s="22">
        <f t="shared" si="85"/>
        <v>5.8250000000000002</v>
      </c>
      <c r="N174" s="24">
        <f t="shared" si="86"/>
        <v>0.46781115879828328</v>
      </c>
      <c r="O174" s="21">
        <v>75</v>
      </c>
      <c r="P174" s="23">
        <v>135</v>
      </c>
      <c r="Q174" s="22">
        <f t="shared" si="61"/>
        <v>1.875</v>
      </c>
      <c r="R174" s="22">
        <f t="shared" si="62"/>
        <v>3.375</v>
      </c>
      <c r="S174" s="24">
        <f t="shared" si="63"/>
        <v>0.55555555555555558</v>
      </c>
      <c r="T174" s="23">
        <v>34</v>
      </c>
      <c r="U174" s="23">
        <v>98</v>
      </c>
      <c r="V174" s="22">
        <f t="shared" si="64"/>
        <v>0.85</v>
      </c>
      <c r="W174" s="22">
        <f t="shared" si="65"/>
        <v>2.4500000000000002</v>
      </c>
      <c r="X174" s="24">
        <f t="shared" si="66"/>
        <v>0.34693877551020408</v>
      </c>
      <c r="Y174" s="23">
        <v>61</v>
      </c>
      <c r="Z174" s="23">
        <v>87</v>
      </c>
      <c r="AA174" s="22">
        <f t="shared" si="67"/>
        <v>1.5249999999999999</v>
      </c>
      <c r="AB174" s="22">
        <f t="shared" si="68"/>
        <v>2.1749999999999998</v>
      </c>
      <c r="AC174" s="24">
        <f t="shared" si="69"/>
        <v>0.70114942528735635</v>
      </c>
      <c r="AD174" s="23">
        <v>91</v>
      </c>
      <c r="AE174" s="22">
        <f t="shared" si="70"/>
        <v>2.2749999999999999</v>
      </c>
      <c r="AF174" s="23">
        <v>11</v>
      </c>
      <c r="AG174" s="22">
        <f t="shared" si="71"/>
        <v>0.27500000000000002</v>
      </c>
      <c r="AH174" s="23">
        <v>80</v>
      </c>
      <c r="AI174" s="22">
        <f t="shared" si="72"/>
        <v>2</v>
      </c>
      <c r="AJ174" s="23">
        <v>85</v>
      </c>
      <c r="AK174" s="22">
        <f t="shared" si="73"/>
        <v>2.125</v>
      </c>
      <c r="AL174" s="23">
        <v>32</v>
      </c>
      <c r="AM174" s="22">
        <f t="shared" si="74"/>
        <v>0.8</v>
      </c>
      <c r="AN174" s="23">
        <v>4</v>
      </c>
      <c r="AO174" s="22">
        <f t="shared" si="75"/>
        <v>0.1</v>
      </c>
      <c r="AP174" s="10">
        <v>55</v>
      </c>
      <c r="AQ174" s="22">
        <f t="shared" si="76"/>
        <v>1.375</v>
      </c>
      <c r="AR174" s="23">
        <v>67</v>
      </c>
      <c r="AS174" s="22">
        <f t="shared" si="77"/>
        <v>1.675</v>
      </c>
      <c r="AT174" s="25">
        <v>0.71602170217604588</v>
      </c>
      <c r="AU174" s="25">
        <v>3.2301730925235153E-2</v>
      </c>
      <c r="AV174" s="25">
        <v>0.83629284131551185</v>
      </c>
      <c r="AW174" s="25">
        <v>-0.12027113913946594</v>
      </c>
      <c r="AX174" s="25">
        <v>106.93018094127473</v>
      </c>
      <c r="AY174" s="25">
        <v>117.78891626887088</v>
      </c>
      <c r="AZ174" s="25">
        <v>8.3798897391625289</v>
      </c>
      <c r="BA174" s="25">
        <v>8</v>
      </c>
      <c r="BB174" s="25">
        <v>14.436090225563911</v>
      </c>
      <c r="BC174" s="24">
        <v>0.57689472132114428</v>
      </c>
      <c r="BD174" s="24">
        <v>0.54077253218884125</v>
      </c>
      <c r="BE174" s="25">
        <v>12.272301564315988</v>
      </c>
      <c r="BF174" s="24">
        <v>0.42060085836909872</v>
      </c>
      <c r="BG174" s="24">
        <v>0.37339055793991416</v>
      </c>
      <c r="BH174" s="25">
        <v>1.0332964112519718</v>
      </c>
      <c r="BI174" s="25">
        <v>7.5148829909234296</v>
      </c>
      <c r="BJ174" s="25">
        <v>3.9827922948287529</v>
      </c>
      <c r="BK174" s="25">
        <v>9.5607223031967496</v>
      </c>
      <c r="BL174" s="25">
        <v>1.9333764513848333</v>
      </c>
      <c r="BM174" s="25">
        <v>0.31588818874319274</v>
      </c>
      <c r="BN174" s="25">
        <v>16.856687507662134</v>
      </c>
      <c r="BO174" s="26" t="s">
        <v>176</v>
      </c>
      <c r="BP174" s="27"/>
      <c r="BQ174" s="33" t="s">
        <v>267</v>
      </c>
      <c r="BR174" s="33">
        <v>575.20000000000005</v>
      </c>
      <c r="BS174" s="33">
        <v>796.1</v>
      </c>
      <c r="BT174" s="33">
        <v>220.9</v>
      </c>
      <c r="BU174" s="36">
        <f t="shared" si="78"/>
        <v>14.379999999999999</v>
      </c>
      <c r="BV174" s="36">
        <f t="shared" si="79"/>
        <v>19.9025</v>
      </c>
      <c r="BW174" s="36">
        <f t="shared" si="80"/>
        <v>5.5225</v>
      </c>
      <c r="BX174" s="37">
        <f t="shared" si="81"/>
        <v>25.948872180451126</v>
      </c>
      <c r="BY174" s="37">
        <f t="shared" si="82"/>
        <v>35.914285714285711</v>
      </c>
      <c r="BZ174" s="37">
        <f t="shared" si="83"/>
        <v>9.9654135338345871</v>
      </c>
      <c r="CA174" s="34">
        <v>14</v>
      </c>
      <c r="CB174" s="34">
        <v>26</v>
      </c>
    </row>
    <row r="175" spans="1:80" x14ac:dyDescent="0.4">
      <c r="A175" s="16" t="s">
        <v>178</v>
      </c>
      <c r="B175" s="16" t="s">
        <v>256</v>
      </c>
      <c r="C175" s="19" t="s">
        <v>192</v>
      </c>
      <c r="D175" s="39">
        <v>47</v>
      </c>
      <c r="E175" s="39">
        <v>11</v>
      </c>
      <c r="F175" s="39">
        <v>1</v>
      </c>
      <c r="G175" s="21">
        <v>31067</v>
      </c>
      <c r="H175" s="21">
        <v>113</v>
      </c>
      <c r="I175" s="22">
        <f t="shared" si="60"/>
        <v>2.4042553191489362</v>
      </c>
      <c r="J175" s="23">
        <v>38</v>
      </c>
      <c r="K175" s="23">
        <v>94</v>
      </c>
      <c r="L175" s="22">
        <f t="shared" si="84"/>
        <v>0.80851063829787229</v>
      </c>
      <c r="M175" s="22">
        <f t="shared" si="85"/>
        <v>2</v>
      </c>
      <c r="N175" s="24">
        <f t="shared" si="86"/>
        <v>0.40425531914893614</v>
      </c>
      <c r="O175" s="21">
        <v>18</v>
      </c>
      <c r="P175" s="23">
        <v>34</v>
      </c>
      <c r="Q175" s="22">
        <f t="shared" si="61"/>
        <v>0.38297872340425532</v>
      </c>
      <c r="R175" s="22">
        <f t="shared" si="62"/>
        <v>0.72340425531914898</v>
      </c>
      <c r="S175" s="24">
        <f t="shared" si="63"/>
        <v>0.52941176470588236</v>
      </c>
      <c r="T175" s="23">
        <v>20</v>
      </c>
      <c r="U175" s="23">
        <v>60</v>
      </c>
      <c r="V175" s="22">
        <f t="shared" si="64"/>
        <v>0.42553191489361702</v>
      </c>
      <c r="W175" s="22">
        <f t="shared" si="65"/>
        <v>1.2765957446808511</v>
      </c>
      <c r="X175" s="24">
        <f t="shared" si="66"/>
        <v>0.33333333333333331</v>
      </c>
      <c r="Y175" s="23">
        <v>17</v>
      </c>
      <c r="Z175" s="23">
        <v>24</v>
      </c>
      <c r="AA175" s="22">
        <f t="shared" si="67"/>
        <v>0.36170212765957449</v>
      </c>
      <c r="AB175" s="22">
        <f t="shared" si="68"/>
        <v>0.51063829787234039</v>
      </c>
      <c r="AC175" s="24">
        <f t="shared" si="69"/>
        <v>0.70833333333333337</v>
      </c>
      <c r="AD175" s="23">
        <v>36</v>
      </c>
      <c r="AE175" s="22">
        <f t="shared" si="70"/>
        <v>0.76595744680851063</v>
      </c>
      <c r="AF175" s="23">
        <v>11</v>
      </c>
      <c r="AG175" s="22">
        <f t="shared" si="71"/>
        <v>0.23404255319148937</v>
      </c>
      <c r="AH175" s="23">
        <v>25</v>
      </c>
      <c r="AI175" s="22">
        <f t="shared" si="72"/>
        <v>0.53191489361702127</v>
      </c>
      <c r="AJ175" s="23">
        <v>16</v>
      </c>
      <c r="AK175" s="22">
        <f t="shared" si="73"/>
        <v>0.34042553191489361</v>
      </c>
      <c r="AL175" s="23">
        <v>5</v>
      </c>
      <c r="AM175" s="22">
        <f t="shared" si="74"/>
        <v>0.10638297872340426</v>
      </c>
      <c r="AN175" s="23">
        <v>2</v>
      </c>
      <c r="AO175" s="22">
        <f t="shared" si="75"/>
        <v>4.2553191489361701E-2</v>
      </c>
      <c r="AP175" s="10">
        <v>19</v>
      </c>
      <c r="AQ175" s="22">
        <f t="shared" si="76"/>
        <v>0.40425531914893614</v>
      </c>
      <c r="AR175" s="23">
        <v>76</v>
      </c>
      <c r="AS175" s="22">
        <f t="shared" si="77"/>
        <v>1.6170212765957446</v>
      </c>
      <c r="AT175" s="25">
        <v>0.17236627050581921</v>
      </c>
      <c r="AU175" s="25">
        <v>1.3315706351239775E-2</v>
      </c>
      <c r="AV175" s="25">
        <v>0.14352745805798867</v>
      </c>
      <c r="AW175" s="25">
        <v>2.8838812447830542E-2</v>
      </c>
      <c r="AX175" s="25">
        <v>103.19073022382111</v>
      </c>
      <c r="AY175" s="25">
        <v>116.42243000960401</v>
      </c>
      <c r="AZ175" s="25">
        <v>1.7761976204787042</v>
      </c>
      <c r="BA175" s="25">
        <v>1.9148936170212767</v>
      </c>
      <c r="BB175" s="25">
        <v>6.9527150996233953</v>
      </c>
      <c r="BC175" s="24">
        <v>0.5403596021423106</v>
      </c>
      <c r="BD175" s="24">
        <v>0.51063829787234039</v>
      </c>
      <c r="BE175" s="25">
        <v>9.351120340805803</v>
      </c>
      <c r="BF175" s="24">
        <v>0.63829787234042556</v>
      </c>
      <c r="BG175" s="24">
        <v>0.25531914893617019</v>
      </c>
      <c r="BH175" s="25">
        <v>2.0790986792210626</v>
      </c>
      <c r="BI175" s="25">
        <v>4.7252242709569607</v>
      </c>
      <c r="BJ175" s="25">
        <v>3.170289688889639</v>
      </c>
      <c r="BK175" s="25">
        <v>3.4932559237524123</v>
      </c>
      <c r="BL175" s="25">
        <v>0.51730748872232368</v>
      </c>
      <c r="BM175" s="25">
        <v>0.31779976628475515</v>
      </c>
      <c r="BN175" s="25">
        <v>15.377144707024927</v>
      </c>
      <c r="BO175" s="26" t="s">
        <v>176</v>
      </c>
      <c r="BP175" s="27"/>
      <c r="BQ175" s="33" t="s">
        <v>267</v>
      </c>
      <c r="BR175" s="33">
        <v>230.4</v>
      </c>
      <c r="BS175" s="33">
        <v>316.5</v>
      </c>
      <c r="BT175" s="33">
        <v>86.1</v>
      </c>
      <c r="BU175" s="36">
        <f t="shared" si="78"/>
        <v>4.9021276595744681</v>
      </c>
      <c r="BV175" s="36">
        <f t="shared" si="79"/>
        <v>6.7340425531914896</v>
      </c>
      <c r="BW175" s="36">
        <f t="shared" si="80"/>
        <v>1.8319148936170211</v>
      </c>
      <c r="BX175" s="37">
        <f t="shared" si="81"/>
        <v>17.798950655035892</v>
      </c>
      <c r="BY175" s="37">
        <f t="shared" si="82"/>
        <v>24.450381433675606</v>
      </c>
      <c r="BZ175" s="37">
        <f t="shared" si="83"/>
        <v>6.651430778639714</v>
      </c>
      <c r="CA175" s="35">
        <v>24</v>
      </c>
      <c r="CB175" s="35">
        <v>23</v>
      </c>
    </row>
    <row r="176" spans="1:80" x14ac:dyDescent="0.4">
      <c r="A176" s="16" t="s">
        <v>178</v>
      </c>
      <c r="B176" s="16" t="s">
        <v>256</v>
      </c>
      <c r="C176" s="16" t="s">
        <v>229</v>
      </c>
      <c r="D176" s="23">
        <v>4</v>
      </c>
      <c r="E176" s="23">
        <v>6</v>
      </c>
      <c r="F176" s="23">
        <v>9</v>
      </c>
      <c r="G176" s="21">
        <v>1476</v>
      </c>
      <c r="H176" s="21">
        <v>8</v>
      </c>
      <c r="I176" s="22">
        <f t="shared" si="60"/>
        <v>2</v>
      </c>
      <c r="J176" s="23">
        <v>2</v>
      </c>
      <c r="K176" s="23">
        <v>6</v>
      </c>
      <c r="L176" s="22">
        <f t="shared" si="84"/>
        <v>0.5</v>
      </c>
      <c r="M176" s="22">
        <f t="shared" si="85"/>
        <v>1.5</v>
      </c>
      <c r="N176" s="24">
        <f t="shared" si="86"/>
        <v>0.33333333333333331</v>
      </c>
      <c r="O176" s="21">
        <v>0</v>
      </c>
      <c r="P176" s="23">
        <v>3</v>
      </c>
      <c r="Q176" s="22">
        <f t="shared" si="61"/>
        <v>0</v>
      </c>
      <c r="R176" s="22">
        <f t="shared" si="62"/>
        <v>0.75</v>
      </c>
      <c r="S176" s="24">
        <f t="shared" si="63"/>
        <v>0</v>
      </c>
      <c r="T176" s="23">
        <v>2</v>
      </c>
      <c r="U176" s="23">
        <v>3</v>
      </c>
      <c r="V176" s="22">
        <f t="shared" si="64"/>
        <v>0.5</v>
      </c>
      <c r="W176" s="22">
        <f t="shared" si="65"/>
        <v>0.75</v>
      </c>
      <c r="X176" s="24">
        <f t="shared" si="66"/>
        <v>0.66666666666666663</v>
      </c>
      <c r="Y176" s="23">
        <v>2</v>
      </c>
      <c r="Z176" s="23">
        <v>2</v>
      </c>
      <c r="AA176" s="22">
        <f t="shared" si="67"/>
        <v>0.5</v>
      </c>
      <c r="AB176" s="22">
        <f t="shared" si="68"/>
        <v>0.5</v>
      </c>
      <c r="AC176" s="24">
        <f t="shared" si="69"/>
        <v>1</v>
      </c>
      <c r="AD176" s="23">
        <v>3</v>
      </c>
      <c r="AE176" s="22">
        <f t="shared" si="70"/>
        <v>0.75</v>
      </c>
      <c r="AF176" s="23">
        <v>1</v>
      </c>
      <c r="AG176" s="22">
        <f t="shared" si="71"/>
        <v>0.25</v>
      </c>
      <c r="AH176" s="23">
        <v>2</v>
      </c>
      <c r="AI176" s="22">
        <f t="shared" si="72"/>
        <v>0.5</v>
      </c>
      <c r="AJ176" s="23">
        <v>0</v>
      </c>
      <c r="AK176" s="22">
        <f t="shared" si="73"/>
        <v>0</v>
      </c>
      <c r="AL176" s="23">
        <v>2</v>
      </c>
      <c r="AM176" s="22">
        <f t="shared" si="74"/>
        <v>0.5</v>
      </c>
      <c r="AN176" s="23">
        <v>0</v>
      </c>
      <c r="AO176" s="22">
        <f t="shared" si="75"/>
        <v>0</v>
      </c>
      <c r="AP176" s="10">
        <v>1</v>
      </c>
      <c r="AQ176" s="22">
        <f t="shared" si="76"/>
        <v>0.25</v>
      </c>
      <c r="AR176" s="23">
        <v>7</v>
      </c>
      <c r="AS176" s="22">
        <f t="shared" si="77"/>
        <v>1.75</v>
      </c>
      <c r="AT176" s="25">
        <v>6.9963559280223311E-2</v>
      </c>
      <c r="AU176" s="25">
        <v>0.11376188500849317</v>
      </c>
      <c r="AV176" s="25">
        <v>3.2608475486915388E-2</v>
      </c>
      <c r="AW176" s="25">
        <v>3.7355083793307924E-2</v>
      </c>
      <c r="AX176" s="25">
        <v>113.14601642077231</v>
      </c>
      <c r="AY176" s="25">
        <v>105.7874203229406</v>
      </c>
      <c r="AZ176" s="25">
        <v>0.34445953559022258</v>
      </c>
      <c r="BA176" s="25">
        <v>2</v>
      </c>
      <c r="BB176" s="25">
        <v>13.008130081300813</v>
      </c>
      <c r="BC176" s="24">
        <v>0.58139534883720934</v>
      </c>
      <c r="BD176" s="24">
        <v>0.5</v>
      </c>
      <c r="BE176" s="25">
        <v>1.0682848199167334</v>
      </c>
      <c r="BF176" s="24">
        <v>0.5</v>
      </c>
      <c r="BG176" s="24">
        <v>0.33333333333333331</v>
      </c>
      <c r="BH176" s="25">
        <v>0.33857704532276972</v>
      </c>
      <c r="BI176" s="25">
        <v>0.67715409064553944</v>
      </c>
      <c r="BJ176" s="25">
        <v>0.47325236774075236</v>
      </c>
      <c r="BK176" s="25">
        <v>0</v>
      </c>
      <c r="BL176" s="25">
        <v>4.3553365181941537</v>
      </c>
      <c r="BM176" s="25">
        <v>0</v>
      </c>
      <c r="BN176" s="25">
        <v>12.690355329949238</v>
      </c>
      <c r="BO176" s="26" t="s">
        <v>176</v>
      </c>
      <c r="BP176" s="27"/>
      <c r="BQ176" s="32" t="s">
        <v>267</v>
      </c>
      <c r="BR176" s="32">
        <v>14.24</v>
      </c>
      <c r="BS176" s="32">
        <v>19.64</v>
      </c>
      <c r="BT176" s="32">
        <v>5.4</v>
      </c>
      <c r="BU176" s="36">
        <f t="shared" si="78"/>
        <v>3.56</v>
      </c>
      <c r="BV176" s="36">
        <f t="shared" si="79"/>
        <v>4.91</v>
      </c>
      <c r="BW176" s="36">
        <f t="shared" si="80"/>
        <v>1.35</v>
      </c>
      <c r="BX176" s="37">
        <f t="shared" si="81"/>
        <v>23.154471544715445</v>
      </c>
      <c r="BY176" s="37">
        <f t="shared" si="82"/>
        <v>31.934959349593495</v>
      </c>
      <c r="BZ176" s="37">
        <f t="shared" si="83"/>
        <v>8.7804878048780495</v>
      </c>
      <c r="CA176" s="34">
        <v>2</v>
      </c>
      <c r="CB176" s="34">
        <v>2</v>
      </c>
    </row>
    <row r="177" spans="1:80" x14ac:dyDescent="0.4">
      <c r="A177" s="16" t="s">
        <v>178</v>
      </c>
      <c r="B177" s="16" t="s">
        <v>256</v>
      </c>
      <c r="C177" s="16" t="s">
        <v>94</v>
      </c>
      <c r="D177" s="23">
        <v>1</v>
      </c>
      <c r="E177" s="23">
        <v>17</v>
      </c>
      <c r="F177" s="23">
        <v>35</v>
      </c>
      <c r="G177" s="21">
        <v>1055</v>
      </c>
      <c r="H177" s="21">
        <v>6</v>
      </c>
      <c r="I177" s="22">
        <f t="shared" si="60"/>
        <v>6</v>
      </c>
      <c r="J177" s="23">
        <v>3</v>
      </c>
      <c r="K177" s="23">
        <v>4</v>
      </c>
      <c r="L177" s="22">
        <f t="shared" si="84"/>
        <v>3</v>
      </c>
      <c r="M177" s="22">
        <f t="shared" si="85"/>
        <v>4</v>
      </c>
      <c r="N177" s="24">
        <f t="shared" si="86"/>
        <v>0.75</v>
      </c>
      <c r="O177" s="21">
        <v>3</v>
      </c>
      <c r="P177" s="23">
        <v>4</v>
      </c>
      <c r="Q177" s="22">
        <f t="shared" si="61"/>
        <v>3</v>
      </c>
      <c r="R177" s="22">
        <f t="shared" si="62"/>
        <v>4</v>
      </c>
      <c r="S177" s="24">
        <f t="shared" si="63"/>
        <v>0.75</v>
      </c>
      <c r="T177" s="23">
        <v>0</v>
      </c>
      <c r="U177" s="23">
        <v>0</v>
      </c>
      <c r="V177" s="22">
        <f t="shared" si="64"/>
        <v>0</v>
      </c>
      <c r="W177" s="22">
        <f t="shared" si="65"/>
        <v>0</v>
      </c>
      <c r="X177" s="24" t="e">
        <f t="shared" si="66"/>
        <v>#DIV/0!</v>
      </c>
      <c r="Y177" s="23">
        <v>0</v>
      </c>
      <c r="Z177" s="23">
        <v>0</v>
      </c>
      <c r="AA177" s="22">
        <f t="shared" si="67"/>
        <v>0</v>
      </c>
      <c r="AB177" s="22">
        <f t="shared" si="68"/>
        <v>0</v>
      </c>
      <c r="AC177" s="24" t="e">
        <f t="shared" si="69"/>
        <v>#DIV/0!</v>
      </c>
      <c r="AD177" s="23">
        <v>2</v>
      </c>
      <c r="AE177" s="22">
        <f t="shared" si="70"/>
        <v>2</v>
      </c>
      <c r="AF177" s="23">
        <v>0</v>
      </c>
      <c r="AG177" s="22">
        <f t="shared" si="71"/>
        <v>0</v>
      </c>
      <c r="AH177" s="23">
        <v>2</v>
      </c>
      <c r="AI177" s="22">
        <f t="shared" si="72"/>
        <v>2</v>
      </c>
      <c r="AJ177" s="23">
        <v>1</v>
      </c>
      <c r="AK177" s="22">
        <f t="shared" si="73"/>
        <v>1</v>
      </c>
      <c r="AL177" s="23">
        <v>2</v>
      </c>
      <c r="AM177" s="22">
        <f t="shared" si="74"/>
        <v>2</v>
      </c>
      <c r="AN177" s="23">
        <v>0</v>
      </c>
      <c r="AO177" s="22">
        <f t="shared" si="75"/>
        <v>0</v>
      </c>
      <c r="AP177" s="10">
        <v>4</v>
      </c>
      <c r="AQ177" s="22">
        <f t="shared" si="76"/>
        <v>4</v>
      </c>
      <c r="AR177" s="23">
        <v>4</v>
      </c>
      <c r="AS177" s="22">
        <f t="shared" si="77"/>
        <v>4</v>
      </c>
      <c r="AT177" s="25">
        <v>-4.829457844640455E-2</v>
      </c>
      <c r="AU177" s="25">
        <v>-0.10986444385911937</v>
      </c>
      <c r="AV177" s="25">
        <v>-8.7744536045211416E-2</v>
      </c>
      <c r="AW177" s="25">
        <v>3.9449957598806866E-2</v>
      </c>
      <c r="AX177" s="25">
        <v>67.315026489198019</v>
      </c>
      <c r="AY177" s="25">
        <v>100.51572698490338</v>
      </c>
      <c r="AZ177" s="25">
        <v>5.7955600656962848E-2</v>
      </c>
      <c r="BA177" s="25">
        <v>6</v>
      </c>
      <c r="BB177" s="25">
        <v>13.649289099526067</v>
      </c>
      <c r="BC177" s="24">
        <v>0.75</v>
      </c>
      <c r="BD177" s="24">
        <v>0.75</v>
      </c>
      <c r="BE177" s="25">
        <v>0.37933658772514223</v>
      </c>
      <c r="BF177" s="24">
        <v>0</v>
      </c>
      <c r="BG177" s="24">
        <v>0</v>
      </c>
      <c r="BH177" s="25">
        <v>0</v>
      </c>
      <c r="BI177" s="25">
        <v>0.23684346867128345</v>
      </c>
      <c r="BJ177" s="25">
        <v>0.11035078906561618</v>
      </c>
      <c r="BK177" s="25">
        <v>0.12679259636897702</v>
      </c>
      <c r="BL177" s="25">
        <v>6.0933428444119153</v>
      </c>
      <c r="BM177" s="25">
        <v>0</v>
      </c>
      <c r="BN177" s="25">
        <v>50</v>
      </c>
      <c r="BO177" s="26" t="s">
        <v>176</v>
      </c>
      <c r="BP177" s="27"/>
      <c r="BQ177" s="33" t="s">
        <v>266</v>
      </c>
      <c r="BR177" s="33">
        <v>8.9</v>
      </c>
      <c r="BS177" s="33">
        <v>15.9</v>
      </c>
      <c r="BT177" s="33">
        <v>7</v>
      </c>
      <c r="BU177" s="36">
        <f t="shared" si="78"/>
        <v>8.9</v>
      </c>
      <c r="BV177" s="36">
        <f t="shared" si="79"/>
        <v>15.9</v>
      </c>
      <c r="BW177" s="36">
        <f t="shared" si="80"/>
        <v>7</v>
      </c>
      <c r="BX177" s="37">
        <f t="shared" si="81"/>
        <v>20.246445497630333</v>
      </c>
      <c r="BY177" s="37">
        <f t="shared" si="82"/>
        <v>36.170616113744074</v>
      </c>
      <c r="BZ177" s="37">
        <f t="shared" si="83"/>
        <v>15.924170616113743</v>
      </c>
      <c r="CA177" s="34">
        <v>0</v>
      </c>
      <c r="CB177" s="34">
        <v>1</v>
      </c>
    </row>
    <row r="178" spans="1:80" x14ac:dyDescent="0.4">
      <c r="A178" s="16" t="s">
        <v>178</v>
      </c>
      <c r="B178" s="16" t="s">
        <v>256</v>
      </c>
      <c r="C178" s="16" t="s">
        <v>142</v>
      </c>
      <c r="D178" s="39">
        <v>11</v>
      </c>
      <c r="E178" s="39">
        <v>8</v>
      </c>
      <c r="F178" s="39">
        <v>38</v>
      </c>
      <c r="G178" s="21">
        <v>5698</v>
      </c>
      <c r="H178" s="21">
        <v>28</v>
      </c>
      <c r="I178" s="22">
        <f t="shared" si="60"/>
        <v>2.5454545454545454</v>
      </c>
      <c r="J178" s="23">
        <v>10</v>
      </c>
      <c r="K178" s="23">
        <v>22</v>
      </c>
      <c r="L178" s="22">
        <f t="shared" si="84"/>
        <v>0.90909090909090906</v>
      </c>
      <c r="M178" s="22">
        <f t="shared" si="85"/>
        <v>2</v>
      </c>
      <c r="N178" s="24">
        <f t="shared" si="86"/>
        <v>0.45454545454545453</v>
      </c>
      <c r="O178" s="21">
        <v>6</v>
      </c>
      <c r="P178" s="23">
        <v>14</v>
      </c>
      <c r="Q178" s="22">
        <f t="shared" si="61"/>
        <v>0.54545454545454541</v>
      </c>
      <c r="R178" s="22">
        <f t="shared" si="62"/>
        <v>1.2727272727272727</v>
      </c>
      <c r="S178" s="24">
        <f t="shared" si="63"/>
        <v>0.42857142857142855</v>
      </c>
      <c r="T178" s="23">
        <v>4</v>
      </c>
      <c r="U178" s="23">
        <v>8</v>
      </c>
      <c r="V178" s="22">
        <f t="shared" si="64"/>
        <v>0.36363636363636365</v>
      </c>
      <c r="W178" s="22">
        <f t="shared" si="65"/>
        <v>0.72727272727272729</v>
      </c>
      <c r="X178" s="24">
        <f t="shared" si="66"/>
        <v>0.5</v>
      </c>
      <c r="Y178" s="23">
        <v>4</v>
      </c>
      <c r="Z178" s="23">
        <v>6</v>
      </c>
      <c r="AA178" s="22">
        <f t="shared" si="67"/>
        <v>0.36363636363636365</v>
      </c>
      <c r="AB178" s="22">
        <f t="shared" si="68"/>
        <v>0.54545454545454541</v>
      </c>
      <c r="AC178" s="24">
        <f t="shared" si="69"/>
        <v>0.66666666666666663</v>
      </c>
      <c r="AD178" s="23">
        <v>20</v>
      </c>
      <c r="AE178" s="22">
        <f t="shared" si="70"/>
        <v>1.8181818181818181</v>
      </c>
      <c r="AF178" s="23">
        <v>6</v>
      </c>
      <c r="AG178" s="22">
        <f t="shared" si="71"/>
        <v>0.54545454545454541</v>
      </c>
      <c r="AH178" s="23">
        <v>14</v>
      </c>
      <c r="AI178" s="22">
        <f t="shared" si="72"/>
        <v>1.2727272727272727</v>
      </c>
      <c r="AJ178" s="23">
        <v>3</v>
      </c>
      <c r="AK178" s="22">
        <f t="shared" si="73"/>
        <v>0.27272727272727271</v>
      </c>
      <c r="AL178" s="23">
        <v>1</v>
      </c>
      <c r="AM178" s="22">
        <f t="shared" si="74"/>
        <v>9.0909090909090912E-2</v>
      </c>
      <c r="AN178" s="23">
        <v>1</v>
      </c>
      <c r="AO178" s="22">
        <f t="shared" si="75"/>
        <v>9.0909090909090912E-2</v>
      </c>
      <c r="AP178" s="10">
        <v>2</v>
      </c>
      <c r="AQ178" s="22">
        <f t="shared" si="76"/>
        <v>0.18181818181818182</v>
      </c>
      <c r="AR178" s="23">
        <v>4</v>
      </c>
      <c r="AS178" s="22">
        <f t="shared" si="77"/>
        <v>0.36363636363636365</v>
      </c>
      <c r="AT178" s="25">
        <v>0.24805025506347558</v>
      </c>
      <c r="AU178" s="25">
        <v>0.10447887191160783</v>
      </c>
      <c r="AV178" s="25">
        <v>0.18555191589885123</v>
      </c>
      <c r="AW178" s="25">
        <v>6.2498339164624363E-2</v>
      </c>
      <c r="AX178" s="25">
        <v>121.29775531461013</v>
      </c>
      <c r="AY178" s="25">
        <v>112.04271960953649</v>
      </c>
      <c r="AZ178" s="25">
        <v>2.5934031622321232</v>
      </c>
      <c r="BA178" s="25">
        <v>3.3636363636363638</v>
      </c>
      <c r="BB178" s="25">
        <v>15.584415584415584</v>
      </c>
      <c r="BC178" s="24">
        <v>0.56818181818181812</v>
      </c>
      <c r="BD178" s="24">
        <v>0.54545454545454541</v>
      </c>
      <c r="BE178" s="25">
        <v>2.5727149288930176</v>
      </c>
      <c r="BF178" s="24">
        <v>0.36363636363636365</v>
      </c>
      <c r="BG178" s="24">
        <v>0.27272727272727271</v>
      </c>
      <c r="BH178" s="25">
        <v>1.447122738117012</v>
      </c>
      <c r="BI178" s="25">
        <v>3.3766197222730279</v>
      </c>
      <c r="BJ178" s="25">
        <v>2.2474919394638047</v>
      </c>
      <c r="BK178" s="25">
        <v>0.79215066705687431</v>
      </c>
      <c r="BL178" s="25">
        <v>0.56409939459938319</v>
      </c>
      <c r="BM178" s="25">
        <v>0.20276606709867107</v>
      </c>
      <c r="BN178" s="25">
        <v>7.5075075075075075</v>
      </c>
      <c r="BO178" s="26" t="s">
        <v>176</v>
      </c>
      <c r="BP178" s="26"/>
      <c r="BQ178" s="33" t="s">
        <v>266</v>
      </c>
      <c r="BR178" s="33">
        <v>66.53</v>
      </c>
      <c r="BS178" s="33">
        <v>82.73</v>
      </c>
      <c r="BT178" s="33">
        <v>16.2</v>
      </c>
      <c r="BU178" s="36">
        <f t="shared" si="78"/>
        <v>6.0481818181818188</v>
      </c>
      <c r="BV178" s="36">
        <f t="shared" si="79"/>
        <v>7.5209090909090914</v>
      </c>
      <c r="BW178" s="36">
        <f t="shared" si="80"/>
        <v>1.4727272727272727</v>
      </c>
      <c r="BX178" s="37">
        <f t="shared" si="81"/>
        <v>28.022464022464021</v>
      </c>
      <c r="BY178" s="37">
        <f t="shared" si="82"/>
        <v>34.845910845910844</v>
      </c>
      <c r="BZ178" s="37">
        <f t="shared" si="83"/>
        <v>6.8234468234468233</v>
      </c>
      <c r="CA178" s="35">
        <v>8</v>
      </c>
      <c r="CB178" s="35">
        <v>3</v>
      </c>
    </row>
    <row r="179" spans="1:80" x14ac:dyDescent="0.4">
      <c r="A179" s="16" t="s">
        <v>178</v>
      </c>
      <c r="B179" s="16" t="s">
        <v>256</v>
      </c>
      <c r="C179" s="16" t="s">
        <v>137</v>
      </c>
      <c r="D179" s="39">
        <v>40</v>
      </c>
      <c r="E179" s="39">
        <v>15</v>
      </c>
      <c r="F179" s="39">
        <v>10</v>
      </c>
      <c r="G179" s="21">
        <v>36400</v>
      </c>
      <c r="H179" s="21">
        <v>208</v>
      </c>
      <c r="I179" s="22">
        <f t="shared" si="60"/>
        <v>5.2</v>
      </c>
      <c r="J179" s="23">
        <v>92</v>
      </c>
      <c r="K179" s="23">
        <v>211</v>
      </c>
      <c r="L179" s="22">
        <f t="shared" si="84"/>
        <v>2.2999999999999998</v>
      </c>
      <c r="M179" s="22">
        <f t="shared" si="85"/>
        <v>5.2750000000000004</v>
      </c>
      <c r="N179" s="24">
        <f t="shared" si="86"/>
        <v>0.43601895734597157</v>
      </c>
      <c r="O179" s="21">
        <v>84</v>
      </c>
      <c r="P179" s="23">
        <v>181</v>
      </c>
      <c r="Q179" s="22">
        <f t="shared" si="61"/>
        <v>2.1</v>
      </c>
      <c r="R179" s="22">
        <f t="shared" si="62"/>
        <v>4.5250000000000004</v>
      </c>
      <c r="S179" s="24">
        <f t="shared" si="63"/>
        <v>0.46408839779005523</v>
      </c>
      <c r="T179" s="23">
        <v>8</v>
      </c>
      <c r="U179" s="23">
        <v>30</v>
      </c>
      <c r="V179" s="22">
        <f t="shared" si="64"/>
        <v>0.2</v>
      </c>
      <c r="W179" s="22">
        <f t="shared" si="65"/>
        <v>0.75</v>
      </c>
      <c r="X179" s="24">
        <f t="shared" si="66"/>
        <v>0.26666666666666666</v>
      </c>
      <c r="Y179" s="23">
        <v>16</v>
      </c>
      <c r="Z179" s="23">
        <v>30</v>
      </c>
      <c r="AA179" s="22">
        <f t="shared" si="67"/>
        <v>0.4</v>
      </c>
      <c r="AB179" s="22">
        <f t="shared" si="68"/>
        <v>0.75</v>
      </c>
      <c r="AC179" s="24">
        <f t="shared" si="69"/>
        <v>0.53333333333333333</v>
      </c>
      <c r="AD179" s="23">
        <v>132</v>
      </c>
      <c r="AE179" s="22">
        <f t="shared" si="70"/>
        <v>3.3</v>
      </c>
      <c r="AF179" s="23">
        <v>63</v>
      </c>
      <c r="AG179" s="22">
        <f t="shared" si="71"/>
        <v>1.575</v>
      </c>
      <c r="AH179" s="23">
        <v>69</v>
      </c>
      <c r="AI179" s="22">
        <f t="shared" si="72"/>
        <v>1.7250000000000001</v>
      </c>
      <c r="AJ179" s="23">
        <v>23</v>
      </c>
      <c r="AK179" s="22">
        <f t="shared" si="73"/>
        <v>0.57499999999999996</v>
      </c>
      <c r="AL179" s="23">
        <v>19</v>
      </c>
      <c r="AM179" s="22">
        <f t="shared" si="74"/>
        <v>0.47499999999999998</v>
      </c>
      <c r="AN179" s="23">
        <v>7</v>
      </c>
      <c r="AO179" s="22">
        <f t="shared" si="75"/>
        <v>0.17499999999999999</v>
      </c>
      <c r="AP179" s="10">
        <v>41</v>
      </c>
      <c r="AQ179" s="22">
        <f t="shared" si="76"/>
        <v>1.0249999999999999</v>
      </c>
      <c r="AR179" s="23">
        <v>82</v>
      </c>
      <c r="AS179" s="22">
        <f t="shared" si="77"/>
        <v>2.0499999999999998</v>
      </c>
      <c r="AT179" s="25">
        <v>3.0844338504288915E-3</v>
      </c>
      <c r="AU179" s="25">
        <v>2.0336926486344342E-4</v>
      </c>
      <c r="AV179" s="25">
        <v>-0.52420671838242883</v>
      </c>
      <c r="AW179" s="25">
        <v>0.52729115223285772</v>
      </c>
      <c r="AX179" s="25">
        <v>93.484960817946472</v>
      </c>
      <c r="AY179" s="25">
        <v>110.5083011213347</v>
      </c>
      <c r="AZ179" s="25">
        <v>6.4143987001748801</v>
      </c>
      <c r="BA179" s="25">
        <v>5.375</v>
      </c>
      <c r="BB179" s="25">
        <v>14.175824175824177</v>
      </c>
      <c r="BC179" s="24">
        <v>0.46387154326494207</v>
      </c>
      <c r="BD179" s="24">
        <v>0.45497630331753552</v>
      </c>
      <c r="BE179" s="25">
        <v>14.578717930393767</v>
      </c>
      <c r="BF179" s="24">
        <v>0.14218009478672985</v>
      </c>
      <c r="BG179" s="24">
        <v>0.14218009478672985</v>
      </c>
      <c r="BH179" s="25">
        <v>8.6493412885916783</v>
      </c>
      <c r="BI179" s="25">
        <v>9.4730880779813642</v>
      </c>
      <c r="BJ179" s="25">
        <v>8.443654332570171</v>
      </c>
      <c r="BK179" s="25">
        <v>3.8925048127437227</v>
      </c>
      <c r="BL179" s="25">
        <v>1.6777617763219348</v>
      </c>
      <c r="BM179" s="25">
        <v>0.8079447904393201</v>
      </c>
      <c r="BN179" s="25">
        <v>15.460030165912519</v>
      </c>
      <c r="BO179" s="26" t="s">
        <v>176</v>
      </c>
      <c r="BP179" s="27"/>
      <c r="BQ179" s="32" t="s">
        <v>266</v>
      </c>
      <c r="BR179" s="32">
        <v>395.62</v>
      </c>
      <c r="BS179" s="32">
        <v>585.12</v>
      </c>
      <c r="BT179" s="32">
        <v>189.5</v>
      </c>
      <c r="BU179" s="36">
        <f t="shared" si="78"/>
        <v>9.8904999999999994</v>
      </c>
      <c r="BV179" s="36">
        <f t="shared" si="79"/>
        <v>14.628</v>
      </c>
      <c r="BW179" s="36">
        <f t="shared" si="80"/>
        <v>4.7374999999999998</v>
      </c>
      <c r="BX179" s="37">
        <f t="shared" si="81"/>
        <v>26.084835164835162</v>
      </c>
      <c r="BY179" s="37">
        <f t="shared" si="82"/>
        <v>38.579340659340659</v>
      </c>
      <c r="BZ179" s="37">
        <f t="shared" si="83"/>
        <v>12.494505494505495</v>
      </c>
      <c r="CA179" s="35">
        <v>18</v>
      </c>
      <c r="CB179" s="35">
        <v>22</v>
      </c>
    </row>
    <row r="180" spans="1:80" x14ac:dyDescent="0.4">
      <c r="A180" s="16" t="s">
        <v>178</v>
      </c>
      <c r="B180" s="16" t="s">
        <v>256</v>
      </c>
      <c r="C180" s="16" t="s">
        <v>230</v>
      </c>
      <c r="D180" s="66">
        <v>27</v>
      </c>
      <c r="E180" s="66">
        <v>14</v>
      </c>
      <c r="F180" s="66">
        <v>19</v>
      </c>
      <c r="G180" s="67">
        <v>23193</v>
      </c>
      <c r="H180" s="67">
        <v>84</v>
      </c>
      <c r="I180" s="22">
        <f t="shared" si="60"/>
        <v>3.1111111111111112</v>
      </c>
      <c r="J180" s="39">
        <v>30</v>
      </c>
      <c r="K180" s="39">
        <v>91</v>
      </c>
      <c r="L180" s="22">
        <f t="shared" si="84"/>
        <v>1.1111111111111112</v>
      </c>
      <c r="M180" s="22">
        <f t="shared" si="85"/>
        <v>3.3703703703703702</v>
      </c>
      <c r="N180" s="24">
        <f t="shared" si="86"/>
        <v>0.32967032967032966</v>
      </c>
      <c r="O180" s="67">
        <v>16</v>
      </c>
      <c r="P180" s="39">
        <v>34</v>
      </c>
      <c r="Q180" s="22">
        <f t="shared" si="61"/>
        <v>0.59259259259259256</v>
      </c>
      <c r="R180" s="22">
        <f t="shared" si="62"/>
        <v>1.2592592592592593</v>
      </c>
      <c r="S180" s="24">
        <f t="shared" si="63"/>
        <v>0.47058823529411764</v>
      </c>
      <c r="T180" s="39">
        <v>14</v>
      </c>
      <c r="U180" s="39">
        <v>57</v>
      </c>
      <c r="V180" s="22">
        <f t="shared" si="64"/>
        <v>0.51851851851851849</v>
      </c>
      <c r="W180" s="22">
        <f t="shared" si="65"/>
        <v>2.1111111111111112</v>
      </c>
      <c r="X180" s="24">
        <f t="shared" si="66"/>
        <v>0.24561403508771928</v>
      </c>
      <c r="Y180" s="68">
        <v>10</v>
      </c>
      <c r="Z180" s="68">
        <v>17</v>
      </c>
      <c r="AA180" s="22">
        <f t="shared" si="67"/>
        <v>0.37037037037037035</v>
      </c>
      <c r="AB180" s="22">
        <f t="shared" si="68"/>
        <v>0.62962962962962965</v>
      </c>
      <c r="AC180" s="24">
        <f t="shared" si="69"/>
        <v>0.58823529411764708</v>
      </c>
      <c r="AD180" s="39">
        <v>33</v>
      </c>
      <c r="AE180" s="22">
        <f t="shared" si="70"/>
        <v>1.2222222222222223</v>
      </c>
      <c r="AF180" s="39">
        <v>18</v>
      </c>
      <c r="AG180" s="22">
        <f t="shared" si="71"/>
        <v>0.66666666666666663</v>
      </c>
      <c r="AH180" s="39">
        <v>15</v>
      </c>
      <c r="AI180" s="22">
        <f t="shared" si="72"/>
        <v>0.55555555555555558</v>
      </c>
      <c r="AJ180" s="39">
        <v>17</v>
      </c>
      <c r="AK180" s="22">
        <f t="shared" si="73"/>
        <v>0.62962962962962965</v>
      </c>
      <c r="AL180" s="39">
        <v>14</v>
      </c>
      <c r="AM180" s="22">
        <f t="shared" si="74"/>
        <v>0.51851851851851849</v>
      </c>
      <c r="AN180" s="41">
        <v>0</v>
      </c>
      <c r="AO180" s="22">
        <f t="shared" si="75"/>
        <v>0</v>
      </c>
      <c r="AP180" s="12">
        <v>11</v>
      </c>
      <c r="AQ180" s="22">
        <f t="shared" si="76"/>
        <v>0.40740740740740738</v>
      </c>
      <c r="AR180" s="39">
        <v>43</v>
      </c>
      <c r="AS180" s="22">
        <f t="shared" si="77"/>
        <v>1.5925925925925926</v>
      </c>
      <c r="AT180" s="25">
        <v>4.7943184397056332E-2</v>
      </c>
      <c r="AU180" s="25">
        <v>4.9611366598945883E-3</v>
      </c>
      <c r="AV180" s="25">
        <v>-0.1114830640029924</v>
      </c>
      <c r="AW180" s="25">
        <v>0.15942624840004874</v>
      </c>
      <c r="AX180" s="25">
        <v>96.33160002057447</v>
      </c>
      <c r="AY180" s="25">
        <v>113.82884591755811</v>
      </c>
      <c r="AZ180" s="25">
        <v>2.1335689079397278</v>
      </c>
      <c r="BA180" s="25">
        <v>2.5555555555555554</v>
      </c>
      <c r="BB180" s="25">
        <v>7.1400853705859522</v>
      </c>
      <c r="BC180" s="24">
        <v>0.42648253452477658</v>
      </c>
      <c r="BD180" s="24">
        <v>0.40659340659340659</v>
      </c>
      <c r="BE180" s="25">
        <v>6.3757140502730989</v>
      </c>
      <c r="BF180" s="24">
        <v>0.62637362637362637</v>
      </c>
      <c r="BG180" s="24">
        <v>0.18681318681318682</v>
      </c>
      <c r="BH180" s="25">
        <v>2.6179612747774579</v>
      </c>
      <c r="BI180" s="25">
        <v>2.1816343956478819</v>
      </c>
      <c r="BJ180" s="25">
        <v>2.2362413977412268</v>
      </c>
      <c r="BK180" s="25">
        <v>2.7659910552730431</v>
      </c>
      <c r="BL180" s="25">
        <v>1.9402119995680593</v>
      </c>
      <c r="BM180" s="25">
        <v>0</v>
      </c>
      <c r="BN180" s="25">
        <v>10.047497259773474</v>
      </c>
      <c r="BO180" s="26" t="s">
        <v>176</v>
      </c>
      <c r="BP180" s="27"/>
      <c r="BQ180" s="33" t="s">
        <v>267</v>
      </c>
      <c r="BR180" s="33">
        <v>187.84</v>
      </c>
      <c r="BS180" s="33">
        <v>266.64</v>
      </c>
      <c r="BT180" s="33">
        <v>78.8</v>
      </c>
      <c r="BU180" s="36">
        <f t="shared" si="78"/>
        <v>6.9570370370370371</v>
      </c>
      <c r="BV180" s="36">
        <f t="shared" si="79"/>
        <v>9.8755555555555556</v>
      </c>
      <c r="BW180" s="36">
        <f t="shared" si="80"/>
        <v>2.9185185185185185</v>
      </c>
      <c r="BX180" s="37">
        <f t="shared" si="81"/>
        <v>19.4375889276937</v>
      </c>
      <c r="BY180" s="37">
        <f t="shared" si="82"/>
        <v>27.591773379899106</v>
      </c>
      <c r="BZ180" s="37">
        <f t="shared" si="83"/>
        <v>8.1541844522054063</v>
      </c>
      <c r="CA180" s="34">
        <v>11</v>
      </c>
      <c r="CB180" s="34">
        <v>16</v>
      </c>
    </row>
    <row r="181" spans="1:80" x14ac:dyDescent="0.4">
      <c r="A181" s="16" t="s">
        <v>178</v>
      </c>
      <c r="B181" s="16" t="s">
        <v>256</v>
      </c>
      <c r="C181" s="38" t="s">
        <v>231</v>
      </c>
      <c r="D181" s="23">
        <v>25</v>
      </c>
      <c r="E181" s="23">
        <v>8</v>
      </c>
      <c r="F181" s="23">
        <v>28</v>
      </c>
      <c r="G181" s="21">
        <v>12700</v>
      </c>
      <c r="H181" s="21">
        <v>106</v>
      </c>
      <c r="I181" s="22">
        <f t="shared" si="60"/>
        <v>4.24</v>
      </c>
      <c r="J181" s="23">
        <v>43</v>
      </c>
      <c r="K181" s="23">
        <v>93</v>
      </c>
      <c r="L181" s="22">
        <f t="shared" si="84"/>
        <v>1.72</v>
      </c>
      <c r="M181" s="22">
        <f t="shared" si="85"/>
        <v>3.72</v>
      </c>
      <c r="N181" s="24">
        <f t="shared" si="86"/>
        <v>0.46236559139784944</v>
      </c>
      <c r="O181" s="21">
        <v>38</v>
      </c>
      <c r="P181" s="23">
        <v>79</v>
      </c>
      <c r="Q181" s="22">
        <f t="shared" si="61"/>
        <v>1.52</v>
      </c>
      <c r="R181" s="22">
        <f t="shared" si="62"/>
        <v>3.16</v>
      </c>
      <c r="S181" s="24">
        <f t="shared" si="63"/>
        <v>0.48101265822784811</v>
      </c>
      <c r="T181" s="23">
        <v>5</v>
      </c>
      <c r="U181" s="23">
        <v>14</v>
      </c>
      <c r="V181" s="22">
        <f t="shared" si="64"/>
        <v>0.2</v>
      </c>
      <c r="W181" s="22">
        <f t="shared" si="65"/>
        <v>0.56000000000000005</v>
      </c>
      <c r="X181" s="24">
        <f t="shared" si="66"/>
        <v>0.35714285714285715</v>
      </c>
      <c r="Y181" s="23">
        <v>15</v>
      </c>
      <c r="Z181" s="23">
        <v>28</v>
      </c>
      <c r="AA181" s="22">
        <f t="shared" si="67"/>
        <v>0.6</v>
      </c>
      <c r="AB181" s="22">
        <f t="shared" si="68"/>
        <v>1.1200000000000001</v>
      </c>
      <c r="AC181" s="24">
        <f t="shared" si="69"/>
        <v>0.5357142857142857</v>
      </c>
      <c r="AD181" s="23">
        <v>53</v>
      </c>
      <c r="AE181" s="22">
        <f t="shared" si="70"/>
        <v>2.12</v>
      </c>
      <c r="AF181" s="23">
        <v>12</v>
      </c>
      <c r="AG181" s="22">
        <f t="shared" si="71"/>
        <v>0.48</v>
      </c>
      <c r="AH181" s="23">
        <v>41</v>
      </c>
      <c r="AI181" s="22">
        <f t="shared" si="72"/>
        <v>1.64</v>
      </c>
      <c r="AJ181" s="23">
        <v>11</v>
      </c>
      <c r="AK181" s="22">
        <f t="shared" si="73"/>
        <v>0.44</v>
      </c>
      <c r="AL181" s="23">
        <v>4</v>
      </c>
      <c r="AM181" s="22">
        <f t="shared" si="74"/>
        <v>0.16</v>
      </c>
      <c r="AN181" s="23">
        <v>4</v>
      </c>
      <c r="AO181" s="22">
        <f t="shared" si="75"/>
        <v>0.16</v>
      </c>
      <c r="AP181" s="10">
        <v>22</v>
      </c>
      <c r="AQ181" s="22">
        <f t="shared" si="76"/>
        <v>0.88</v>
      </c>
      <c r="AR181" s="23">
        <v>32</v>
      </c>
      <c r="AS181" s="22">
        <f t="shared" si="77"/>
        <v>1.28</v>
      </c>
      <c r="AT181" s="25">
        <v>-6.8729999331805458E-2</v>
      </c>
      <c r="AU181" s="25">
        <v>-1.2988346330419929E-2</v>
      </c>
      <c r="AV181" s="25">
        <v>-0.32043163004885111</v>
      </c>
      <c r="AW181" s="25">
        <v>0.25170163071704565</v>
      </c>
      <c r="AX181" s="25">
        <v>91.576242045708995</v>
      </c>
      <c r="AY181" s="25">
        <v>108.18194916779041</v>
      </c>
      <c r="AZ181" s="25">
        <v>4.6942192359377497</v>
      </c>
      <c r="BA181" s="25">
        <v>3.72</v>
      </c>
      <c r="BB181" s="25">
        <v>17.5748031496063</v>
      </c>
      <c r="BC181" s="24">
        <v>0.50322825674135974</v>
      </c>
      <c r="BD181" s="24">
        <v>0.489247311827957</v>
      </c>
      <c r="BE181" s="25">
        <v>12.537764945464858</v>
      </c>
      <c r="BF181" s="24">
        <v>0.15053763440860216</v>
      </c>
      <c r="BG181" s="24">
        <v>0.30107526881720431</v>
      </c>
      <c r="BH181" s="25">
        <v>2.9512188123803629</v>
      </c>
      <c r="BI181" s="25">
        <v>10.083330942299574</v>
      </c>
      <c r="BJ181" s="25">
        <v>6.0730948529566229</v>
      </c>
      <c r="BK181" s="25">
        <v>3.252401109758682</v>
      </c>
      <c r="BL181" s="25">
        <v>1.012358535567649</v>
      </c>
      <c r="BM181" s="25">
        <v>0.8270301004496976</v>
      </c>
      <c r="BN181" s="25">
        <v>17.279296261388627</v>
      </c>
      <c r="BO181" s="26" t="s">
        <v>249</v>
      </c>
      <c r="BP181" s="27"/>
      <c r="BQ181" s="32" t="s">
        <v>266</v>
      </c>
      <c r="BR181" s="32">
        <v>149.94</v>
      </c>
      <c r="BS181" s="32">
        <v>242.44</v>
      </c>
      <c r="BT181" s="32">
        <v>92.5</v>
      </c>
      <c r="BU181" s="36">
        <f t="shared" si="78"/>
        <v>5.9975999999999994</v>
      </c>
      <c r="BV181" s="36">
        <f t="shared" si="79"/>
        <v>9.6975999999999996</v>
      </c>
      <c r="BW181" s="36">
        <f t="shared" si="80"/>
        <v>3.7</v>
      </c>
      <c r="BX181" s="37">
        <f t="shared" si="81"/>
        <v>28.33511811023622</v>
      </c>
      <c r="BY181" s="37">
        <f t="shared" si="82"/>
        <v>45.815433070866142</v>
      </c>
      <c r="BZ181" s="37">
        <f t="shared" si="83"/>
        <v>17.480314960629922</v>
      </c>
      <c r="CA181" s="34">
        <v>12</v>
      </c>
      <c r="CB181" s="34">
        <v>13</v>
      </c>
    </row>
    <row r="182" spans="1:80" x14ac:dyDescent="0.4">
      <c r="A182" s="16" t="s">
        <v>178</v>
      </c>
      <c r="B182" s="38" t="s">
        <v>256</v>
      </c>
      <c r="C182" s="38" t="s">
        <v>105</v>
      </c>
      <c r="D182" s="23">
        <v>49</v>
      </c>
      <c r="E182" s="23">
        <v>18</v>
      </c>
      <c r="F182" s="23">
        <v>59</v>
      </c>
      <c r="G182" s="21">
        <v>55811</v>
      </c>
      <c r="H182" s="21">
        <v>278</v>
      </c>
      <c r="I182" s="22">
        <f t="shared" si="60"/>
        <v>5.6734693877551017</v>
      </c>
      <c r="J182" s="23">
        <v>106</v>
      </c>
      <c r="K182" s="23">
        <v>290</v>
      </c>
      <c r="L182" s="22">
        <f t="shared" si="84"/>
        <v>2.1632653061224492</v>
      </c>
      <c r="M182" s="22">
        <f t="shared" si="85"/>
        <v>5.9183673469387754</v>
      </c>
      <c r="N182" s="24">
        <f t="shared" si="86"/>
        <v>0.36551724137931035</v>
      </c>
      <c r="O182" s="21">
        <v>52</v>
      </c>
      <c r="P182" s="23">
        <v>117</v>
      </c>
      <c r="Q182" s="22">
        <f t="shared" si="61"/>
        <v>1.0612244897959184</v>
      </c>
      <c r="R182" s="22">
        <f t="shared" si="62"/>
        <v>2.3877551020408165</v>
      </c>
      <c r="S182" s="24">
        <f t="shared" si="63"/>
        <v>0.44444444444444442</v>
      </c>
      <c r="T182" s="23">
        <v>54</v>
      </c>
      <c r="U182" s="23">
        <v>173</v>
      </c>
      <c r="V182" s="22">
        <f t="shared" si="64"/>
        <v>1.1020408163265305</v>
      </c>
      <c r="W182" s="22">
        <f t="shared" si="65"/>
        <v>3.5306122448979593</v>
      </c>
      <c r="X182" s="24">
        <f t="shared" si="66"/>
        <v>0.31213872832369943</v>
      </c>
      <c r="Y182" s="23">
        <v>12</v>
      </c>
      <c r="Z182" s="23">
        <v>21</v>
      </c>
      <c r="AA182" s="22">
        <f t="shared" si="67"/>
        <v>0.24489795918367346</v>
      </c>
      <c r="AB182" s="22">
        <f t="shared" si="68"/>
        <v>0.42857142857142855</v>
      </c>
      <c r="AC182" s="24">
        <f t="shared" si="69"/>
        <v>0.5714285714285714</v>
      </c>
      <c r="AD182" s="23">
        <v>130</v>
      </c>
      <c r="AE182" s="22">
        <f t="shared" si="70"/>
        <v>2.6530612244897958</v>
      </c>
      <c r="AF182" s="23">
        <v>57</v>
      </c>
      <c r="AG182" s="22">
        <f t="shared" si="71"/>
        <v>1.1632653061224489</v>
      </c>
      <c r="AH182" s="23">
        <v>73</v>
      </c>
      <c r="AI182" s="22">
        <f t="shared" si="72"/>
        <v>1.489795918367347</v>
      </c>
      <c r="AJ182" s="23">
        <v>47</v>
      </c>
      <c r="AK182" s="22">
        <f t="shared" si="73"/>
        <v>0.95918367346938771</v>
      </c>
      <c r="AL182" s="23">
        <v>14</v>
      </c>
      <c r="AM182" s="22">
        <f t="shared" si="74"/>
        <v>0.2857142857142857</v>
      </c>
      <c r="AN182" s="23">
        <v>12</v>
      </c>
      <c r="AO182" s="22">
        <f t="shared" si="75"/>
        <v>0.24489795918367346</v>
      </c>
      <c r="AP182" s="10">
        <v>24</v>
      </c>
      <c r="AQ182" s="22">
        <f t="shared" si="76"/>
        <v>0.48979591836734693</v>
      </c>
      <c r="AR182" s="23">
        <v>127</v>
      </c>
      <c r="AS182" s="22">
        <f t="shared" si="77"/>
        <v>2.5918367346938775</v>
      </c>
      <c r="AT182" s="25">
        <v>0.90540603389616026</v>
      </c>
      <c r="AU182" s="25">
        <v>3.8934519742537935E-2</v>
      </c>
      <c r="AV182" s="25">
        <v>0.54027705245098145</v>
      </c>
      <c r="AW182" s="25">
        <v>0.36512898144517886</v>
      </c>
      <c r="AX182" s="25">
        <v>104.83741630472532</v>
      </c>
      <c r="AY182" s="25">
        <v>113.97351957452423</v>
      </c>
      <c r="AZ182" s="25">
        <v>6.3205858734039824</v>
      </c>
      <c r="BA182" s="25">
        <v>5.3877551020408161</v>
      </c>
      <c r="BB182" s="25">
        <v>11.352600741789253</v>
      </c>
      <c r="BC182" s="24">
        <v>0.46451009223365858</v>
      </c>
      <c r="BD182" s="24">
        <v>0.45862068965517239</v>
      </c>
      <c r="BE182" s="25">
        <v>14.196738404320685</v>
      </c>
      <c r="BF182" s="24">
        <v>0.59655172413793101</v>
      </c>
      <c r="BG182" s="24">
        <v>7.2413793103448282E-2</v>
      </c>
      <c r="BH182" s="25">
        <v>6.2522308992746414</v>
      </c>
      <c r="BI182" s="25">
        <v>8.0072430815271716</v>
      </c>
      <c r="BJ182" s="25">
        <v>6.6438150660005535</v>
      </c>
      <c r="BK182" s="25">
        <v>6.2773416348579438</v>
      </c>
      <c r="BL182" s="25">
        <v>0.80628078525706393</v>
      </c>
      <c r="BM182" s="25">
        <v>1.1065793442364698</v>
      </c>
      <c r="BN182" s="25">
        <v>7.4248236604380642</v>
      </c>
      <c r="BO182" s="26" t="s">
        <v>176</v>
      </c>
      <c r="BP182" s="27"/>
      <c r="BQ182" s="33" t="s">
        <v>268</v>
      </c>
      <c r="BR182" s="33">
        <v>557.84</v>
      </c>
      <c r="BS182" s="33">
        <v>773.14</v>
      </c>
      <c r="BT182" s="33">
        <v>215.3</v>
      </c>
      <c r="BU182" s="36">
        <f t="shared" si="78"/>
        <v>11.384489795918366</v>
      </c>
      <c r="BV182" s="36">
        <f t="shared" si="79"/>
        <v>15.778367346938776</v>
      </c>
      <c r="BW182" s="36">
        <f t="shared" si="80"/>
        <v>4.3938775510204087</v>
      </c>
      <c r="BX182" s="37">
        <f t="shared" si="81"/>
        <v>23.988389385604986</v>
      </c>
      <c r="BY182" s="37">
        <f t="shared" si="82"/>
        <v>33.246779308738418</v>
      </c>
      <c r="BZ182" s="37">
        <f t="shared" si="83"/>
        <v>9.2583899231334321</v>
      </c>
      <c r="CA182" s="35">
        <v>22</v>
      </c>
      <c r="CB182" s="35">
        <v>27</v>
      </c>
    </row>
    <row r="183" spans="1:80" x14ac:dyDescent="0.4">
      <c r="A183" s="16" t="s">
        <v>178</v>
      </c>
      <c r="B183" s="51" t="s">
        <v>256</v>
      </c>
      <c r="C183" s="51" t="s">
        <v>132</v>
      </c>
      <c r="D183" s="20">
        <v>53</v>
      </c>
      <c r="E183" s="20">
        <v>30</v>
      </c>
      <c r="F183" s="20">
        <v>54</v>
      </c>
      <c r="G183" s="56">
        <v>98262</v>
      </c>
      <c r="H183" s="56">
        <v>869</v>
      </c>
      <c r="I183" s="22">
        <f t="shared" si="60"/>
        <v>16.39622641509434</v>
      </c>
      <c r="J183" s="20">
        <v>353</v>
      </c>
      <c r="K183" s="20">
        <v>692</v>
      </c>
      <c r="L183" s="22">
        <f t="shared" si="84"/>
        <v>6.6603773584905657</v>
      </c>
      <c r="M183" s="22">
        <f t="shared" si="85"/>
        <v>13.056603773584905</v>
      </c>
      <c r="N183" s="24">
        <f t="shared" si="86"/>
        <v>0.51011560693641622</v>
      </c>
      <c r="O183" s="56">
        <v>350</v>
      </c>
      <c r="P183" s="20">
        <v>678</v>
      </c>
      <c r="Q183" s="22">
        <f t="shared" si="61"/>
        <v>6.6037735849056602</v>
      </c>
      <c r="R183" s="22">
        <f t="shared" si="62"/>
        <v>12.79245283018868</v>
      </c>
      <c r="S183" s="24">
        <f t="shared" si="63"/>
        <v>0.51622418879056042</v>
      </c>
      <c r="T183" s="20">
        <v>3</v>
      </c>
      <c r="U183" s="20">
        <v>14</v>
      </c>
      <c r="V183" s="22">
        <f t="shared" si="64"/>
        <v>5.6603773584905662E-2</v>
      </c>
      <c r="W183" s="22">
        <f t="shared" si="65"/>
        <v>0.26415094339622641</v>
      </c>
      <c r="X183" s="24">
        <f t="shared" si="66"/>
        <v>0.21428571428571427</v>
      </c>
      <c r="Y183" s="20">
        <v>160</v>
      </c>
      <c r="Z183" s="20">
        <v>305</v>
      </c>
      <c r="AA183" s="22">
        <f t="shared" si="67"/>
        <v>3.0188679245283021</v>
      </c>
      <c r="AB183" s="22">
        <f t="shared" si="68"/>
        <v>5.7547169811320753</v>
      </c>
      <c r="AC183" s="24">
        <f t="shared" si="69"/>
        <v>0.52459016393442626</v>
      </c>
      <c r="AD183" s="20">
        <v>714</v>
      </c>
      <c r="AE183" s="22">
        <f t="shared" si="70"/>
        <v>13.471698113207546</v>
      </c>
      <c r="AF183" s="20">
        <v>313</v>
      </c>
      <c r="AG183" s="22">
        <f t="shared" si="71"/>
        <v>5.9056603773584904</v>
      </c>
      <c r="AH183" s="20">
        <v>401</v>
      </c>
      <c r="AI183" s="22">
        <f t="shared" si="72"/>
        <v>7.5660377358490569</v>
      </c>
      <c r="AJ183" s="20">
        <v>170</v>
      </c>
      <c r="AK183" s="22">
        <f t="shared" si="73"/>
        <v>3.2075471698113209</v>
      </c>
      <c r="AL183" s="20">
        <v>94</v>
      </c>
      <c r="AM183" s="22">
        <f t="shared" si="74"/>
        <v>1.7735849056603774</v>
      </c>
      <c r="AN183" s="20">
        <v>35</v>
      </c>
      <c r="AO183" s="22">
        <f t="shared" si="75"/>
        <v>0.660377358490566</v>
      </c>
      <c r="AP183" s="10">
        <v>112</v>
      </c>
      <c r="AQ183" s="22">
        <f t="shared" si="76"/>
        <v>2.1132075471698113</v>
      </c>
      <c r="AR183" s="63">
        <v>148</v>
      </c>
      <c r="AS183" s="22">
        <f t="shared" si="77"/>
        <v>2.7924528301886791</v>
      </c>
      <c r="AT183" s="25">
        <v>7.9548507244684057</v>
      </c>
      <c r="AU183" s="25">
        <v>0.19429323379052096</v>
      </c>
      <c r="AV183" s="25">
        <v>4.4396152827181483</v>
      </c>
      <c r="AW183" s="25">
        <v>3.5152354417502569</v>
      </c>
      <c r="AX183" s="25">
        <v>113.06618180289266</v>
      </c>
      <c r="AY183" s="25">
        <v>101.22205798887786</v>
      </c>
      <c r="AZ183" s="25">
        <v>25.999996436685247</v>
      </c>
      <c r="BA183" s="25">
        <v>24.264150943396228</v>
      </c>
      <c r="BB183" s="25">
        <v>31.409904133846247</v>
      </c>
      <c r="BC183" s="24">
        <v>0.52590171871217617</v>
      </c>
      <c r="BD183" s="24">
        <v>0.51228323699421963</v>
      </c>
      <c r="BE183" s="25">
        <v>25.314706975925933</v>
      </c>
      <c r="BF183" s="24">
        <v>2.023121387283237E-2</v>
      </c>
      <c r="BG183" s="24">
        <v>0.44075144508670522</v>
      </c>
      <c r="BH183" s="25">
        <v>21.09203506129662</v>
      </c>
      <c r="BI183" s="25">
        <v>27.022064088114838</v>
      </c>
      <c r="BJ183" s="25">
        <v>22.417459244729425</v>
      </c>
      <c r="BK183" s="25">
        <v>16.373350926659427</v>
      </c>
      <c r="BL183" s="25">
        <v>3.0748244991977045</v>
      </c>
      <c r="BM183" s="25">
        <v>1.9828202785862492</v>
      </c>
      <c r="BN183" s="25">
        <v>11.937753144318908</v>
      </c>
      <c r="BO183" s="26" t="s">
        <v>249</v>
      </c>
      <c r="BP183" s="27"/>
      <c r="BQ183" s="32" t="s">
        <v>266</v>
      </c>
      <c r="BR183" s="32">
        <v>1923.05</v>
      </c>
      <c r="BS183" s="32">
        <v>2544.9499999999998</v>
      </c>
      <c r="BT183" s="32">
        <v>621.9</v>
      </c>
      <c r="BU183" s="36">
        <f t="shared" si="78"/>
        <v>36.283962264150944</v>
      </c>
      <c r="BV183" s="36">
        <f t="shared" si="79"/>
        <v>48.017924528301883</v>
      </c>
      <c r="BW183" s="36">
        <f t="shared" si="80"/>
        <v>11.733962264150943</v>
      </c>
      <c r="BX183" s="37">
        <f t="shared" si="81"/>
        <v>46.969530439030351</v>
      </c>
      <c r="BY183" s="37">
        <f t="shared" si="82"/>
        <v>62.159125602979792</v>
      </c>
      <c r="BZ183" s="37">
        <f t="shared" si="83"/>
        <v>15.189595163949441</v>
      </c>
      <c r="CA183" s="34">
        <v>23</v>
      </c>
      <c r="CB183" s="34">
        <v>30</v>
      </c>
    </row>
    <row r="184" spans="1:80" x14ac:dyDescent="0.4">
      <c r="A184" s="47" t="s">
        <v>178</v>
      </c>
      <c r="B184" s="48" t="s">
        <v>287</v>
      </c>
      <c r="C184" s="48" t="s">
        <v>284</v>
      </c>
      <c r="D184" s="53">
        <v>27</v>
      </c>
      <c r="E184" s="54">
        <v>10</v>
      </c>
      <c r="F184" s="54">
        <v>14</v>
      </c>
      <c r="G184" s="57">
        <v>16578</v>
      </c>
      <c r="H184" s="58">
        <v>139</v>
      </c>
      <c r="I184" s="22">
        <f t="shared" si="60"/>
        <v>5.1481481481481479</v>
      </c>
      <c r="J184" s="59">
        <v>60</v>
      </c>
      <c r="K184" s="60">
        <v>119</v>
      </c>
      <c r="L184" s="22">
        <f t="shared" si="84"/>
        <v>2.2222222222222223</v>
      </c>
      <c r="M184" s="22">
        <f t="shared" si="85"/>
        <v>4.4074074074074074</v>
      </c>
      <c r="N184" s="24">
        <f t="shared" si="86"/>
        <v>0.50420168067226889</v>
      </c>
      <c r="O184" s="61">
        <v>53</v>
      </c>
      <c r="P184" s="57">
        <v>97</v>
      </c>
      <c r="Q184" s="22">
        <f t="shared" si="61"/>
        <v>1.962962962962963</v>
      </c>
      <c r="R184" s="22">
        <f t="shared" si="62"/>
        <v>3.5925925925925926</v>
      </c>
      <c r="S184" s="24">
        <f t="shared" si="63"/>
        <v>0.54639175257731953</v>
      </c>
      <c r="T184" s="61">
        <v>7</v>
      </c>
      <c r="U184" s="57">
        <v>22</v>
      </c>
      <c r="V184" s="22">
        <f t="shared" si="64"/>
        <v>0.25925925925925924</v>
      </c>
      <c r="W184" s="22">
        <f t="shared" si="65"/>
        <v>0.81481481481481477</v>
      </c>
      <c r="X184" s="24">
        <f t="shared" si="66"/>
        <v>0.31818181818181818</v>
      </c>
      <c r="Y184" s="58">
        <v>12</v>
      </c>
      <c r="Z184" s="60">
        <v>34</v>
      </c>
      <c r="AA184" s="22">
        <f t="shared" si="67"/>
        <v>0.44444444444444442</v>
      </c>
      <c r="AB184" s="22">
        <f t="shared" si="68"/>
        <v>1.2592592592592593</v>
      </c>
      <c r="AC184" s="24">
        <f t="shared" si="69"/>
        <v>0.35294117647058826</v>
      </c>
      <c r="AD184" s="58">
        <v>85</v>
      </c>
      <c r="AE184" s="22">
        <f t="shared" si="70"/>
        <v>3.1481481481481484</v>
      </c>
      <c r="AF184" s="58">
        <v>31</v>
      </c>
      <c r="AG184" s="22">
        <f t="shared" si="71"/>
        <v>1.1481481481481481</v>
      </c>
      <c r="AH184" s="58">
        <v>54</v>
      </c>
      <c r="AI184" s="22">
        <f t="shared" si="72"/>
        <v>2</v>
      </c>
      <c r="AJ184" s="58">
        <v>9</v>
      </c>
      <c r="AK184" s="22">
        <f t="shared" si="73"/>
        <v>0.33333333333333331</v>
      </c>
      <c r="AL184" s="58">
        <v>8</v>
      </c>
      <c r="AM184" s="22">
        <f t="shared" si="74"/>
        <v>0.29629629629629628</v>
      </c>
      <c r="AN184" s="58">
        <v>15</v>
      </c>
      <c r="AO184" s="22">
        <f t="shared" si="75"/>
        <v>0.55555555555555558</v>
      </c>
      <c r="AP184" s="10">
        <v>24</v>
      </c>
      <c r="AQ184" s="22">
        <f t="shared" si="76"/>
        <v>0.88888888888888884</v>
      </c>
      <c r="AR184" s="58">
        <v>42</v>
      </c>
      <c r="AS184" s="22">
        <f t="shared" si="77"/>
        <v>1.5555555555555556</v>
      </c>
      <c r="AT184" s="25">
        <v>0.30575951594052081</v>
      </c>
      <c r="AU184" s="25">
        <v>4.42648593471619E-2</v>
      </c>
      <c r="AV184" s="25">
        <v>-0.15053391074799105</v>
      </c>
      <c r="AW184" s="25">
        <v>0.45629342668851186</v>
      </c>
      <c r="AX184" s="25">
        <v>96.541558962884082</v>
      </c>
      <c r="AY184" s="25">
        <v>104.82088766493675</v>
      </c>
      <c r="AZ184" s="25">
        <v>7.7833641257227697</v>
      </c>
      <c r="BA184" s="25">
        <v>5.5925925925925926</v>
      </c>
      <c r="BB184" s="25">
        <v>21.860296778863557</v>
      </c>
      <c r="BC184" s="24">
        <v>0.51881158554792473</v>
      </c>
      <c r="BD184" s="24">
        <v>0.53361344537815125</v>
      </c>
      <c r="BE184" s="25">
        <v>12.869626995908376</v>
      </c>
      <c r="BF184" s="24">
        <v>0.18487394957983194</v>
      </c>
      <c r="BG184" s="24">
        <v>0.2857142857142857</v>
      </c>
      <c r="BH184" s="25">
        <v>6.3077896114774639</v>
      </c>
      <c r="BI184" s="25">
        <v>10.987762549025259</v>
      </c>
      <c r="BJ184" s="25">
        <v>8.0583933301784452</v>
      </c>
      <c r="BK184" s="25">
        <v>2.2457564560299597</v>
      </c>
      <c r="BL184" s="25">
        <v>1.5510861867184389</v>
      </c>
      <c r="BM184" s="25">
        <v>2.5659484386916516</v>
      </c>
      <c r="BN184" s="25">
        <v>15.193719929095973</v>
      </c>
      <c r="BO184" s="26" t="s">
        <v>249</v>
      </c>
      <c r="BP184" s="27"/>
      <c r="BQ184" s="32" t="s">
        <v>266</v>
      </c>
      <c r="BR184" s="32">
        <v>233.98</v>
      </c>
      <c r="BS184" s="32">
        <v>345.08</v>
      </c>
      <c r="BT184" s="32">
        <v>111.1</v>
      </c>
      <c r="BU184" s="36">
        <f t="shared" si="78"/>
        <v>8.6659259259259258</v>
      </c>
      <c r="BV184" s="36">
        <f t="shared" si="79"/>
        <v>12.78074074074074</v>
      </c>
      <c r="BW184" s="36">
        <f t="shared" si="80"/>
        <v>4.1148148148148147</v>
      </c>
      <c r="BX184" s="37">
        <f t="shared" si="81"/>
        <v>33.873326094824463</v>
      </c>
      <c r="BY184" s="37">
        <f t="shared" si="82"/>
        <v>49.957292797683678</v>
      </c>
      <c r="BZ184" s="37">
        <f t="shared" si="83"/>
        <v>16.083966702859211</v>
      </c>
      <c r="CA184" s="35">
        <v>11</v>
      </c>
      <c r="CB184" s="35">
        <v>16</v>
      </c>
    </row>
    <row r="185" spans="1:80" x14ac:dyDescent="0.4">
      <c r="A185" s="16" t="s">
        <v>178</v>
      </c>
      <c r="B185" s="16" t="s">
        <v>256</v>
      </c>
      <c r="C185" s="16" t="s">
        <v>139</v>
      </c>
      <c r="D185" s="23">
        <v>20</v>
      </c>
      <c r="E185" s="23">
        <v>5</v>
      </c>
      <c r="F185" s="23">
        <v>55</v>
      </c>
      <c r="G185" s="21">
        <v>7100</v>
      </c>
      <c r="H185" s="21">
        <v>48</v>
      </c>
      <c r="I185" s="22">
        <f t="shared" si="60"/>
        <v>2.4</v>
      </c>
      <c r="J185" s="23">
        <v>18</v>
      </c>
      <c r="K185" s="23">
        <v>50</v>
      </c>
      <c r="L185" s="22">
        <f t="shared" si="84"/>
        <v>0.9</v>
      </c>
      <c r="M185" s="22">
        <f t="shared" si="85"/>
        <v>2.5</v>
      </c>
      <c r="N185" s="24">
        <f t="shared" si="86"/>
        <v>0.36</v>
      </c>
      <c r="O185" s="21">
        <v>8</v>
      </c>
      <c r="P185" s="23">
        <v>14</v>
      </c>
      <c r="Q185" s="22">
        <f t="shared" si="61"/>
        <v>0.4</v>
      </c>
      <c r="R185" s="22">
        <f t="shared" si="62"/>
        <v>0.7</v>
      </c>
      <c r="S185" s="24">
        <f t="shared" si="63"/>
        <v>0.5714285714285714</v>
      </c>
      <c r="T185" s="23">
        <v>10</v>
      </c>
      <c r="U185" s="23">
        <v>36</v>
      </c>
      <c r="V185" s="22">
        <f t="shared" si="64"/>
        <v>0.5</v>
      </c>
      <c r="W185" s="22">
        <f t="shared" si="65"/>
        <v>1.8</v>
      </c>
      <c r="X185" s="24">
        <f t="shared" si="66"/>
        <v>0.27777777777777779</v>
      </c>
      <c r="Y185" s="23">
        <v>2</v>
      </c>
      <c r="Z185" s="23">
        <v>4</v>
      </c>
      <c r="AA185" s="22">
        <f t="shared" si="67"/>
        <v>0.1</v>
      </c>
      <c r="AB185" s="22">
        <f t="shared" si="68"/>
        <v>0.2</v>
      </c>
      <c r="AC185" s="24">
        <f t="shared" si="69"/>
        <v>0.5</v>
      </c>
      <c r="AD185" s="23">
        <v>13</v>
      </c>
      <c r="AE185" s="22">
        <f t="shared" si="70"/>
        <v>0.65</v>
      </c>
      <c r="AF185" s="23">
        <v>7</v>
      </c>
      <c r="AG185" s="22">
        <f t="shared" si="71"/>
        <v>0.35</v>
      </c>
      <c r="AH185" s="23">
        <v>6</v>
      </c>
      <c r="AI185" s="22">
        <f t="shared" si="72"/>
        <v>0.3</v>
      </c>
      <c r="AJ185" s="23">
        <v>7</v>
      </c>
      <c r="AK185" s="22">
        <f t="shared" si="73"/>
        <v>0.35</v>
      </c>
      <c r="AL185" s="23">
        <v>5</v>
      </c>
      <c r="AM185" s="22">
        <f t="shared" si="74"/>
        <v>0.25</v>
      </c>
      <c r="AN185" s="23">
        <v>0</v>
      </c>
      <c r="AO185" s="22">
        <f t="shared" si="75"/>
        <v>0</v>
      </c>
      <c r="AP185" s="9">
        <v>1</v>
      </c>
      <c r="AQ185" s="22">
        <f t="shared" si="76"/>
        <v>0.05</v>
      </c>
      <c r="AR185" s="23">
        <v>18</v>
      </c>
      <c r="AS185" s="22">
        <f t="shared" si="77"/>
        <v>0.9</v>
      </c>
      <c r="AT185" s="25">
        <v>0.24020708216609579</v>
      </c>
      <c r="AU185" s="25">
        <v>8.1196760168821117E-2</v>
      </c>
      <c r="AV185" s="25">
        <v>0.16862455330622611</v>
      </c>
      <c r="AW185" s="25">
        <v>7.1582528859869682E-2</v>
      </c>
      <c r="AX185" s="25">
        <v>110.09660985350197</v>
      </c>
      <c r="AY185" s="25">
        <v>112.42939318972398</v>
      </c>
      <c r="AZ185" s="25">
        <v>3.7826977155891179</v>
      </c>
      <c r="BA185" s="25">
        <v>1.9</v>
      </c>
      <c r="BB185" s="25">
        <v>12.845070422535212</v>
      </c>
      <c r="BC185" s="24">
        <v>0.46367851622874806</v>
      </c>
      <c r="BD185" s="24">
        <v>0.46</v>
      </c>
      <c r="BE185" s="25">
        <v>7.4347032671265207</v>
      </c>
      <c r="BF185" s="24">
        <v>0.72</v>
      </c>
      <c r="BG185" s="24">
        <v>0.08</v>
      </c>
      <c r="BH185" s="25">
        <v>2.4635056565315896</v>
      </c>
      <c r="BI185" s="25">
        <v>2.1115762770270767</v>
      </c>
      <c r="BJ185" s="25">
        <v>2.1316353127252481</v>
      </c>
      <c r="BK185" s="25">
        <v>2.8180590618211707</v>
      </c>
      <c r="BL185" s="25">
        <v>2.263548134103722</v>
      </c>
      <c r="BM185" s="25">
        <v>0</v>
      </c>
      <c r="BN185" s="25">
        <v>1.8953752843062928</v>
      </c>
      <c r="BO185" s="26" t="s">
        <v>176</v>
      </c>
      <c r="BP185" s="26"/>
      <c r="BQ185" s="32" t="s">
        <v>267</v>
      </c>
      <c r="BR185" s="32">
        <v>77.099999999999994</v>
      </c>
      <c r="BS185" s="32">
        <v>109.6</v>
      </c>
      <c r="BT185" s="32">
        <v>32.5</v>
      </c>
      <c r="BU185" s="36">
        <f t="shared" si="78"/>
        <v>3.8549999999999995</v>
      </c>
      <c r="BV185" s="36">
        <f t="shared" si="79"/>
        <v>5.4799999999999995</v>
      </c>
      <c r="BW185" s="36">
        <f t="shared" si="80"/>
        <v>1.625</v>
      </c>
      <c r="BX185" s="37">
        <f t="shared" si="81"/>
        <v>26.061971830985918</v>
      </c>
      <c r="BY185" s="37">
        <f t="shared" si="82"/>
        <v>37.047887323943662</v>
      </c>
      <c r="BZ185" s="37">
        <f t="shared" si="83"/>
        <v>10.985915492957746</v>
      </c>
      <c r="CA185" s="34">
        <v>8</v>
      </c>
      <c r="CB185" s="34">
        <v>12</v>
      </c>
    </row>
    <row r="186" spans="1:80" x14ac:dyDescent="0.4">
      <c r="A186" s="16" t="s">
        <v>178</v>
      </c>
      <c r="B186" s="16" t="s">
        <v>256</v>
      </c>
      <c r="C186" s="16" t="s">
        <v>136</v>
      </c>
      <c r="D186" s="23">
        <v>53</v>
      </c>
      <c r="E186" s="23">
        <v>30</v>
      </c>
      <c r="F186" s="23">
        <v>46</v>
      </c>
      <c r="G186" s="21">
        <v>97838</v>
      </c>
      <c r="H186" s="21">
        <v>747</v>
      </c>
      <c r="I186" s="22">
        <f t="shared" si="60"/>
        <v>14.09433962264151</v>
      </c>
      <c r="J186" s="23">
        <v>267</v>
      </c>
      <c r="K186" s="23">
        <v>735</v>
      </c>
      <c r="L186" s="22">
        <f t="shared" si="84"/>
        <v>5.0377358490566042</v>
      </c>
      <c r="M186" s="22">
        <f t="shared" si="85"/>
        <v>13.867924528301886</v>
      </c>
      <c r="N186" s="24">
        <f t="shared" si="86"/>
        <v>0.36326530612244901</v>
      </c>
      <c r="O186" s="21">
        <v>164</v>
      </c>
      <c r="P186" s="23">
        <v>401</v>
      </c>
      <c r="Q186" s="22">
        <f t="shared" si="61"/>
        <v>3.0943396226415096</v>
      </c>
      <c r="R186" s="22">
        <f t="shared" si="62"/>
        <v>7.5660377358490569</v>
      </c>
      <c r="S186" s="24">
        <f t="shared" si="63"/>
        <v>0.40897755610972569</v>
      </c>
      <c r="T186" s="23">
        <v>103</v>
      </c>
      <c r="U186" s="23">
        <v>334</v>
      </c>
      <c r="V186" s="22">
        <f t="shared" si="64"/>
        <v>1.9433962264150944</v>
      </c>
      <c r="W186" s="22">
        <f t="shared" si="65"/>
        <v>6.3018867924528301</v>
      </c>
      <c r="X186" s="24">
        <f t="shared" si="66"/>
        <v>0.30838323353293412</v>
      </c>
      <c r="Y186" s="23">
        <v>110</v>
      </c>
      <c r="Z186" s="23">
        <v>128</v>
      </c>
      <c r="AA186" s="22">
        <f t="shared" si="67"/>
        <v>2.0754716981132075</v>
      </c>
      <c r="AB186" s="22">
        <f t="shared" si="68"/>
        <v>2.4150943396226414</v>
      </c>
      <c r="AC186" s="24">
        <f t="shared" si="69"/>
        <v>0.859375</v>
      </c>
      <c r="AD186" s="23">
        <v>173</v>
      </c>
      <c r="AE186" s="22">
        <f t="shared" si="70"/>
        <v>3.2641509433962264</v>
      </c>
      <c r="AF186" s="23">
        <v>31</v>
      </c>
      <c r="AG186" s="22">
        <f t="shared" si="71"/>
        <v>0.58490566037735847</v>
      </c>
      <c r="AH186" s="23">
        <v>142</v>
      </c>
      <c r="AI186" s="22">
        <f t="shared" si="72"/>
        <v>2.6792452830188678</v>
      </c>
      <c r="AJ186" s="23">
        <v>154</v>
      </c>
      <c r="AK186" s="22">
        <f t="shared" si="73"/>
        <v>2.9056603773584904</v>
      </c>
      <c r="AL186" s="23">
        <v>62</v>
      </c>
      <c r="AM186" s="22">
        <f t="shared" si="74"/>
        <v>1.1698113207547169</v>
      </c>
      <c r="AN186" s="23">
        <v>10</v>
      </c>
      <c r="AO186" s="22">
        <f t="shared" si="75"/>
        <v>0.18867924528301888</v>
      </c>
      <c r="AP186" s="10">
        <v>87</v>
      </c>
      <c r="AQ186" s="22">
        <f t="shared" si="76"/>
        <v>1.6415094339622642</v>
      </c>
      <c r="AR186" s="23">
        <v>98</v>
      </c>
      <c r="AS186" s="22">
        <f t="shared" si="77"/>
        <v>1.8490566037735849</v>
      </c>
      <c r="AT186" s="25">
        <v>1.6961655105410491</v>
      </c>
      <c r="AU186" s="25">
        <v>4.1607526986431831E-2</v>
      </c>
      <c r="AV186" s="25">
        <v>0.46960055633978853</v>
      </c>
      <c r="AW186" s="25">
        <v>1.2265649542012607</v>
      </c>
      <c r="AX186" s="25">
        <v>101.24434674720344</v>
      </c>
      <c r="AY186" s="25">
        <v>111.35863264620028</v>
      </c>
      <c r="AZ186" s="25">
        <v>11.974824233854864</v>
      </c>
      <c r="BA186" s="25">
        <v>10.811320754716981</v>
      </c>
      <c r="BB186" s="25">
        <v>14.055888305157504</v>
      </c>
      <c r="BC186" s="24">
        <v>0.47199615831774755</v>
      </c>
      <c r="BD186" s="24">
        <v>0.43333333333333335</v>
      </c>
      <c r="BE186" s="25">
        <v>23.801716676322989</v>
      </c>
      <c r="BF186" s="24">
        <v>0.45442176870748302</v>
      </c>
      <c r="BG186" s="24">
        <v>0.17414965986394557</v>
      </c>
      <c r="BH186" s="25">
        <v>2.098040531661518</v>
      </c>
      <c r="BI186" s="25">
        <v>9.610379209546311</v>
      </c>
      <c r="BJ186" s="25">
        <v>5.4552205488382821</v>
      </c>
      <c r="BK186" s="25">
        <v>13.771281958800914</v>
      </c>
      <c r="BL186" s="25">
        <v>2.036864794113654</v>
      </c>
      <c r="BM186" s="25">
        <v>0.56897520453473238</v>
      </c>
      <c r="BN186" s="25">
        <v>9.9052737043446566</v>
      </c>
      <c r="BO186" s="26" t="s">
        <v>176</v>
      </c>
      <c r="BP186" s="27"/>
      <c r="BQ186" s="32" t="s">
        <v>267</v>
      </c>
      <c r="BR186" s="32">
        <v>1059.3699999999999</v>
      </c>
      <c r="BS186" s="32">
        <v>1649.17</v>
      </c>
      <c r="BT186" s="32">
        <v>589.79999999999995</v>
      </c>
      <c r="BU186" s="36">
        <f t="shared" si="78"/>
        <v>19.988113207547173</v>
      </c>
      <c r="BV186" s="36">
        <f t="shared" si="79"/>
        <v>31.116415094339622</v>
      </c>
      <c r="BW186" s="36">
        <f t="shared" si="80"/>
        <v>11.128301886792451</v>
      </c>
      <c r="BX186" s="37">
        <f t="shared" si="81"/>
        <v>25.986712729205419</v>
      </c>
      <c r="BY186" s="37">
        <f t="shared" si="82"/>
        <v>40.454710848545552</v>
      </c>
      <c r="BZ186" s="37">
        <f t="shared" si="83"/>
        <v>14.467998119340134</v>
      </c>
      <c r="CA186" s="34">
        <v>24</v>
      </c>
      <c r="CB186" s="34">
        <v>29</v>
      </c>
    </row>
    <row r="187" spans="1:80" x14ac:dyDescent="0.4">
      <c r="A187" s="16" t="s">
        <v>178</v>
      </c>
      <c r="B187" s="16" t="s">
        <v>256</v>
      </c>
      <c r="C187" s="16" t="s">
        <v>232</v>
      </c>
      <c r="D187" s="23">
        <v>18</v>
      </c>
      <c r="E187" s="23">
        <v>8</v>
      </c>
      <c r="F187" s="23">
        <v>36</v>
      </c>
      <c r="G187" s="21">
        <v>9288</v>
      </c>
      <c r="H187" s="21">
        <v>32</v>
      </c>
      <c r="I187" s="22">
        <f t="shared" si="60"/>
        <v>1.7777777777777777</v>
      </c>
      <c r="J187" s="23">
        <v>11</v>
      </c>
      <c r="K187" s="23">
        <v>33</v>
      </c>
      <c r="L187" s="22">
        <f t="shared" si="84"/>
        <v>0.61111111111111116</v>
      </c>
      <c r="M187" s="22">
        <f t="shared" si="85"/>
        <v>1.8333333333333333</v>
      </c>
      <c r="N187" s="24">
        <f t="shared" si="86"/>
        <v>0.33333333333333331</v>
      </c>
      <c r="O187" s="21">
        <v>2</v>
      </c>
      <c r="P187" s="23">
        <v>4</v>
      </c>
      <c r="Q187" s="22">
        <f t="shared" si="61"/>
        <v>0.1111111111111111</v>
      </c>
      <c r="R187" s="22">
        <f t="shared" si="62"/>
        <v>0.22222222222222221</v>
      </c>
      <c r="S187" s="24">
        <f t="shared" si="63"/>
        <v>0.5</v>
      </c>
      <c r="T187" s="23">
        <v>9</v>
      </c>
      <c r="U187" s="23">
        <v>29</v>
      </c>
      <c r="V187" s="22">
        <f t="shared" si="64"/>
        <v>0.5</v>
      </c>
      <c r="W187" s="22">
        <f t="shared" si="65"/>
        <v>1.6111111111111112</v>
      </c>
      <c r="X187" s="24">
        <f t="shared" si="66"/>
        <v>0.31034482758620691</v>
      </c>
      <c r="Y187" s="23">
        <v>1</v>
      </c>
      <c r="Z187" s="23">
        <v>2</v>
      </c>
      <c r="AA187" s="22">
        <f t="shared" si="67"/>
        <v>5.5555555555555552E-2</v>
      </c>
      <c r="AB187" s="22">
        <f t="shared" si="68"/>
        <v>0.1111111111111111</v>
      </c>
      <c r="AC187" s="24">
        <f t="shared" si="69"/>
        <v>0.5</v>
      </c>
      <c r="AD187" s="23">
        <v>20</v>
      </c>
      <c r="AE187" s="22">
        <f t="shared" si="70"/>
        <v>1.1111111111111112</v>
      </c>
      <c r="AF187" s="23">
        <v>7</v>
      </c>
      <c r="AG187" s="22">
        <f t="shared" si="71"/>
        <v>0.3888888888888889</v>
      </c>
      <c r="AH187" s="23">
        <v>13</v>
      </c>
      <c r="AI187" s="22">
        <f t="shared" si="72"/>
        <v>0.72222222222222221</v>
      </c>
      <c r="AJ187" s="23">
        <v>3</v>
      </c>
      <c r="AK187" s="22">
        <f t="shared" si="73"/>
        <v>0.16666666666666666</v>
      </c>
      <c r="AL187" s="23">
        <v>5</v>
      </c>
      <c r="AM187" s="22">
        <f t="shared" si="74"/>
        <v>0.27777777777777779</v>
      </c>
      <c r="AN187" s="23">
        <v>3</v>
      </c>
      <c r="AO187" s="22">
        <f t="shared" si="75"/>
        <v>0.16666666666666666</v>
      </c>
      <c r="AP187" s="10">
        <v>5</v>
      </c>
      <c r="AQ187" s="22">
        <f t="shared" si="76"/>
        <v>0.27777777777777779</v>
      </c>
      <c r="AR187" s="23">
        <v>20</v>
      </c>
      <c r="AS187" s="22">
        <f t="shared" si="77"/>
        <v>1.1111111111111112</v>
      </c>
      <c r="AT187" s="25">
        <v>9.0512002148968651E-2</v>
      </c>
      <c r="AU187" s="25">
        <v>2.3388114250379493E-2</v>
      </c>
      <c r="AV187" s="25">
        <v>-2.8733695532013152E-2</v>
      </c>
      <c r="AW187" s="25">
        <v>0.11924569768098181</v>
      </c>
      <c r="AX187" s="25">
        <v>97.15848991350336</v>
      </c>
      <c r="AY187" s="25">
        <v>111.22689869033387</v>
      </c>
      <c r="AZ187" s="25">
        <v>1.5343728963036471</v>
      </c>
      <c r="BA187" s="25">
        <v>1.9444444444444444</v>
      </c>
      <c r="BB187" s="25">
        <v>9.043927648578812</v>
      </c>
      <c r="BC187" s="24">
        <v>0.47225501770956313</v>
      </c>
      <c r="BD187" s="24">
        <v>0.46969696969696972</v>
      </c>
      <c r="BE187" s="25">
        <v>3.76932652372698</v>
      </c>
      <c r="BF187" s="24">
        <v>0.87878787878787878</v>
      </c>
      <c r="BG187" s="24">
        <v>6.0606060606060608E-2</v>
      </c>
      <c r="BH187" s="25">
        <v>1.6948536978075857</v>
      </c>
      <c r="BI187" s="25">
        <v>3.1475854387855162</v>
      </c>
      <c r="BJ187" s="25">
        <v>2.256203148531494</v>
      </c>
      <c r="BK187" s="25">
        <v>0.79741637095809581</v>
      </c>
      <c r="BL187" s="25">
        <v>1.7303178027709334</v>
      </c>
      <c r="BM187" s="25">
        <v>0.61065594626227671</v>
      </c>
      <c r="BN187" s="25">
        <v>12.860082304526749</v>
      </c>
      <c r="BO187" s="26" t="s">
        <v>176</v>
      </c>
      <c r="BP187" s="27"/>
      <c r="BQ187" s="32" t="s">
        <v>268</v>
      </c>
      <c r="BR187" s="32">
        <v>78.41</v>
      </c>
      <c r="BS187" s="32">
        <v>106.71</v>
      </c>
      <c r="BT187" s="32">
        <v>28.3</v>
      </c>
      <c r="BU187" s="36">
        <f t="shared" si="78"/>
        <v>4.3561111111111108</v>
      </c>
      <c r="BV187" s="36">
        <f t="shared" si="79"/>
        <v>5.9283333333333328</v>
      </c>
      <c r="BW187" s="36">
        <f t="shared" si="80"/>
        <v>1.5722222222222222</v>
      </c>
      <c r="BX187" s="37">
        <f t="shared" si="81"/>
        <v>20.2609819121447</v>
      </c>
      <c r="BY187" s="37">
        <f t="shared" si="82"/>
        <v>27.573643410852711</v>
      </c>
      <c r="BZ187" s="37">
        <f t="shared" si="83"/>
        <v>7.3126614987080103</v>
      </c>
      <c r="CA187" s="34">
        <v>8</v>
      </c>
      <c r="CB187" s="34">
        <v>10</v>
      </c>
    </row>
    <row r="188" spans="1:80" x14ac:dyDescent="0.4">
      <c r="A188" s="16" t="s">
        <v>178</v>
      </c>
      <c r="B188" s="16" t="s">
        <v>256</v>
      </c>
      <c r="C188" s="16" t="s">
        <v>140</v>
      </c>
      <c r="D188" s="23">
        <v>41</v>
      </c>
      <c r="E188" s="23">
        <v>21</v>
      </c>
      <c r="F188" s="23">
        <v>24</v>
      </c>
      <c r="G188" s="21">
        <v>52644</v>
      </c>
      <c r="H188" s="21">
        <v>289</v>
      </c>
      <c r="I188" s="22">
        <f t="shared" si="60"/>
        <v>7.0487804878048781</v>
      </c>
      <c r="J188" s="23">
        <v>122</v>
      </c>
      <c r="K188" s="23">
        <v>251</v>
      </c>
      <c r="L188" s="22">
        <f t="shared" si="84"/>
        <v>2.975609756097561</v>
      </c>
      <c r="M188" s="22">
        <f t="shared" si="85"/>
        <v>6.1219512195121952</v>
      </c>
      <c r="N188" s="24">
        <f t="shared" si="86"/>
        <v>0.48605577689243029</v>
      </c>
      <c r="O188" s="21">
        <v>111</v>
      </c>
      <c r="P188" s="23">
        <v>206</v>
      </c>
      <c r="Q188" s="22">
        <f t="shared" si="61"/>
        <v>2.7073170731707319</v>
      </c>
      <c r="R188" s="22">
        <f t="shared" si="62"/>
        <v>5.024390243902439</v>
      </c>
      <c r="S188" s="24">
        <f t="shared" si="63"/>
        <v>0.53883495145631066</v>
      </c>
      <c r="T188" s="23">
        <v>11</v>
      </c>
      <c r="U188" s="23">
        <v>45</v>
      </c>
      <c r="V188" s="22">
        <f t="shared" si="64"/>
        <v>0.26829268292682928</v>
      </c>
      <c r="W188" s="22">
        <f t="shared" si="65"/>
        <v>1.0975609756097562</v>
      </c>
      <c r="X188" s="24">
        <f t="shared" si="66"/>
        <v>0.24444444444444444</v>
      </c>
      <c r="Y188" s="23">
        <v>34</v>
      </c>
      <c r="Z188" s="23">
        <v>65</v>
      </c>
      <c r="AA188" s="22">
        <f t="shared" si="67"/>
        <v>0.82926829268292679</v>
      </c>
      <c r="AB188" s="22">
        <f t="shared" si="68"/>
        <v>1.5853658536585367</v>
      </c>
      <c r="AC188" s="24">
        <f t="shared" si="69"/>
        <v>0.52307692307692311</v>
      </c>
      <c r="AD188" s="23">
        <v>171</v>
      </c>
      <c r="AE188" s="22">
        <f t="shared" si="70"/>
        <v>4.1707317073170733</v>
      </c>
      <c r="AF188" s="23">
        <v>59</v>
      </c>
      <c r="AG188" s="22">
        <f t="shared" si="71"/>
        <v>1.4390243902439024</v>
      </c>
      <c r="AH188" s="23">
        <v>112</v>
      </c>
      <c r="AI188" s="22">
        <f t="shared" si="72"/>
        <v>2.7317073170731709</v>
      </c>
      <c r="AJ188" s="23">
        <v>61</v>
      </c>
      <c r="AK188" s="22">
        <f t="shared" si="73"/>
        <v>1.4878048780487805</v>
      </c>
      <c r="AL188" s="23">
        <v>35</v>
      </c>
      <c r="AM188" s="22">
        <f t="shared" si="74"/>
        <v>0.85365853658536583</v>
      </c>
      <c r="AN188" s="23">
        <v>5</v>
      </c>
      <c r="AO188" s="22">
        <f t="shared" si="75"/>
        <v>0.12195121951219512</v>
      </c>
      <c r="AP188" s="10">
        <v>41</v>
      </c>
      <c r="AQ188" s="22">
        <f t="shared" si="76"/>
        <v>1</v>
      </c>
      <c r="AR188" s="23">
        <v>96</v>
      </c>
      <c r="AS188" s="22">
        <f t="shared" si="77"/>
        <v>2.3414634146341462</v>
      </c>
      <c r="AT188" s="25">
        <v>1.6334742551706118</v>
      </c>
      <c r="AU188" s="25">
        <v>7.4468851386852608E-2</v>
      </c>
      <c r="AV188" s="25">
        <v>0.71973132247043514</v>
      </c>
      <c r="AW188" s="25">
        <v>0.91374293270017681</v>
      </c>
      <c r="AX188" s="25">
        <v>106.28754513191643</v>
      </c>
      <c r="AY188" s="25">
        <v>109.2559202975776</v>
      </c>
      <c r="AZ188" s="25">
        <v>9.071410623463537</v>
      </c>
      <c r="BA188" s="25">
        <v>8.7804878048780495</v>
      </c>
      <c r="BB188" s="25">
        <v>16.41212673808981</v>
      </c>
      <c r="BC188" s="24">
        <v>0.51680972818311866</v>
      </c>
      <c r="BD188" s="24">
        <v>0.50796812749003983</v>
      </c>
      <c r="BE188" s="25">
        <v>12.490669010517719</v>
      </c>
      <c r="BF188" s="24">
        <v>0.17928286852589642</v>
      </c>
      <c r="BG188" s="24">
        <v>0.25896414342629481</v>
      </c>
      <c r="BH188" s="25">
        <v>5.7407794810919155</v>
      </c>
      <c r="BI188" s="25">
        <v>10.897750879360926</v>
      </c>
      <c r="BJ188" s="25">
        <v>7.7522718463327447</v>
      </c>
      <c r="BK188" s="25">
        <v>7.2486587010641266</v>
      </c>
      <c r="BL188" s="25">
        <v>2.1369641794877854</v>
      </c>
      <c r="BM188" s="25">
        <v>0.40900631914763086</v>
      </c>
      <c r="BN188" s="25">
        <v>12.788521522145976</v>
      </c>
      <c r="BO188" s="26" t="s">
        <v>176</v>
      </c>
      <c r="BP188" s="27"/>
      <c r="BQ188" s="33" t="s">
        <v>267</v>
      </c>
      <c r="BR188" s="33">
        <v>647.96</v>
      </c>
      <c r="BS188" s="33">
        <v>859.86</v>
      </c>
      <c r="BT188" s="33">
        <v>211.9</v>
      </c>
      <c r="BU188" s="36">
        <f t="shared" si="78"/>
        <v>15.803902439024391</v>
      </c>
      <c r="BV188" s="36">
        <f t="shared" si="79"/>
        <v>20.97219512195122</v>
      </c>
      <c r="BW188" s="36">
        <f t="shared" si="80"/>
        <v>5.168292682926829</v>
      </c>
      <c r="BX188" s="37">
        <f t="shared" si="81"/>
        <v>29.540004558924096</v>
      </c>
      <c r="BY188" s="37">
        <f t="shared" si="82"/>
        <v>39.200364713927513</v>
      </c>
      <c r="BZ188" s="37">
        <f t="shared" si="83"/>
        <v>9.6603601550034188</v>
      </c>
      <c r="CA188" s="34">
        <v>18</v>
      </c>
      <c r="CB188" s="34">
        <v>23</v>
      </c>
    </row>
    <row r="189" spans="1:80" x14ac:dyDescent="0.4">
      <c r="A189" s="16" t="s">
        <v>178</v>
      </c>
      <c r="B189" s="16" t="s">
        <v>256</v>
      </c>
      <c r="C189" s="16" t="s">
        <v>134</v>
      </c>
      <c r="D189" s="23">
        <v>54</v>
      </c>
      <c r="E189" s="23">
        <v>32</v>
      </c>
      <c r="F189" s="23">
        <v>31</v>
      </c>
      <c r="G189" s="21">
        <v>105354</v>
      </c>
      <c r="H189" s="21">
        <v>721</v>
      </c>
      <c r="I189" s="22">
        <f t="shared" si="60"/>
        <v>13.351851851851851</v>
      </c>
      <c r="J189" s="23">
        <v>265</v>
      </c>
      <c r="K189" s="23">
        <v>633</v>
      </c>
      <c r="L189" s="22">
        <f t="shared" si="84"/>
        <v>4.9074074074074074</v>
      </c>
      <c r="M189" s="22">
        <f t="shared" si="85"/>
        <v>11.722222222222221</v>
      </c>
      <c r="N189" s="24">
        <f t="shared" si="86"/>
        <v>0.41864139020537122</v>
      </c>
      <c r="O189" s="21">
        <v>181</v>
      </c>
      <c r="P189" s="23">
        <v>364</v>
      </c>
      <c r="Q189" s="22">
        <f t="shared" si="61"/>
        <v>3.3518518518518516</v>
      </c>
      <c r="R189" s="22">
        <f t="shared" si="62"/>
        <v>6.7407407407407405</v>
      </c>
      <c r="S189" s="24">
        <f t="shared" si="63"/>
        <v>0.49725274725274726</v>
      </c>
      <c r="T189" s="23">
        <v>84</v>
      </c>
      <c r="U189" s="23">
        <v>269</v>
      </c>
      <c r="V189" s="22">
        <f t="shared" si="64"/>
        <v>1.5555555555555556</v>
      </c>
      <c r="W189" s="22">
        <f t="shared" si="65"/>
        <v>4.9814814814814818</v>
      </c>
      <c r="X189" s="24">
        <f t="shared" si="66"/>
        <v>0.31226765799256506</v>
      </c>
      <c r="Y189" s="23">
        <v>107</v>
      </c>
      <c r="Z189" s="23">
        <v>132</v>
      </c>
      <c r="AA189" s="22">
        <f t="shared" si="67"/>
        <v>1.9814814814814814</v>
      </c>
      <c r="AB189" s="22">
        <f t="shared" si="68"/>
        <v>2.4444444444444446</v>
      </c>
      <c r="AC189" s="24">
        <f t="shared" si="69"/>
        <v>0.81060606060606055</v>
      </c>
      <c r="AD189" s="23">
        <v>175</v>
      </c>
      <c r="AE189" s="22">
        <f t="shared" si="70"/>
        <v>3.2407407407407409</v>
      </c>
      <c r="AF189" s="23">
        <v>51</v>
      </c>
      <c r="AG189" s="22">
        <f t="shared" si="71"/>
        <v>0.94444444444444442</v>
      </c>
      <c r="AH189" s="23">
        <v>124</v>
      </c>
      <c r="AI189" s="22">
        <f t="shared" si="72"/>
        <v>2.2962962962962963</v>
      </c>
      <c r="AJ189" s="23">
        <v>248</v>
      </c>
      <c r="AK189" s="22">
        <f t="shared" si="73"/>
        <v>4.5925925925925926</v>
      </c>
      <c r="AL189" s="23">
        <v>82</v>
      </c>
      <c r="AM189" s="22">
        <f t="shared" si="74"/>
        <v>1.5185185185185186</v>
      </c>
      <c r="AN189" s="23">
        <v>2</v>
      </c>
      <c r="AO189" s="22">
        <f t="shared" si="75"/>
        <v>3.7037037037037035E-2</v>
      </c>
      <c r="AP189" s="10">
        <v>67</v>
      </c>
      <c r="AQ189" s="22">
        <f t="shared" si="76"/>
        <v>1.2407407407407407</v>
      </c>
      <c r="AR189" s="23">
        <v>68</v>
      </c>
      <c r="AS189" s="22">
        <f t="shared" si="77"/>
        <v>1.2592592592592593</v>
      </c>
      <c r="AT189" s="25">
        <v>5.5382134638428209</v>
      </c>
      <c r="AU189" s="25">
        <v>0.12616238883405251</v>
      </c>
      <c r="AV189" s="25">
        <v>4.2097682750717214</v>
      </c>
      <c r="AW189" s="25">
        <v>1.3284451887710997</v>
      </c>
      <c r="AX189" s="25">
        <v>116.43209243593083</v>
      </c>
      <c r="AY189" s="25">
        <v>111.3269394217498</v>
      </c>
      <c r="AZ189" s="25">
        <v>16.74389975349321</v>
      </c>
      <c r="BA189" s="25">
        <v>14.222222222222221</v>
      </c>
      <c r="BB189" s="25">
        <v>17.495301554758242</v>
      </c>
      <c r="BC189" s="24">
        <v>0.52164727672628342</v>
      </c>
      <c r="BD189" s="24">
        <v>0.48499210110584517</v>
      </c>
      <c r="BE189" s="25">
        <v>19.437704500635757</v>
      </c>
      <c r="BF189" s="24">
        <v>0.42496050552922593</v>
      </c>
      <c r="BG189" s="24">
        <v>0.20853080568720378</v>
      </c>
      <c r="BH189" s="25">
        <v>3.2658541342538205</v>
      </c>
      <c r="BI189" s="25">
        <v>7.9405080911269357</v>
      </c>
      <c r="BJ189" s="25">
        <v>5.2213004693078906</v>
      </c>
      <c r="BK189" s="25">
        <v>20.682817936645669</v>
      </c>
      <c r="BL189" s="25">
        <v>2.5017326796802912</v>
      </c>
      <c r="BM189" s="25">
        <v>0.10767075628612159</v>
      </c>
      <c r="BN189" s="25">
        <v>8.8381173490924443</v>
      </c>
      <c r="BO189" s="26" t="s">
        <v>176</v>
      </c>
      <c r="BP189" s="27"/>
      <c r="BQ189" s="33" t="s">
        <v>267</v>
      </c>
      <c r="BR189" s="33">
        <v>1353.97</v>
      </c>
      <c r="BS189" s="33">
        <v>1823.97</v>
      </c>
      <c r="BT189" s="33">
        <v>470</v>
      </c>
      <c r="BU189" s="36">
        <f t="shared" si="78"/>
        <v>25.073518518518519</v>
      </c>
      <c r="BV189" s="36">
        <f t="shared" si="79"/>
        <v>33.777222222222221</v>
      </c>
      <c r="BW189" s="36">
        <f t="shared" si="80"/>
        <v>8.7037037037037042</v>
      </c>
      <c r="BX189" s="37">
        <f t="shared" si="81"/>
        <v>30.843897716270856</v>
      </c>
      <c r="BY189" s="37">
        <f t="shared" si="82"/>
        <v>41.550657782333843</v>
      </c>
      <c r="BZ189" s="37">
        <f t="shared" si="83"/>
        <v>10.706760066062987</v>
      </c>
      <c r="CA189" s="35">
        <v>24</v>
      </c>
      <c r="CB189" s="35">
        <v>30</v>
      </c>
    </row>
    <row r="190" spans="1:80" x14ac:dyDescent="0.4">
      <c r="A190" s="16" t="s">
        <v>178</v>
      </c>
      <c r="B190" s="16" t="s">
        <v>256</v>
      </c>
      <c r="C190" s="16" t="s">
        <v>138</v>
      </c>
      <c r="D190" s="23">
        <v>6</v>
      </c>
      <c r="E190" s="23">
        <v>3</v>
      </c>
      <c r="F190" s="23">
        <v>1</v>
      </c>
      <c r="G190" s="21">
        <v>1086</v>
      </c>
      <c r="H190" s="21">
        <v>2</v>
      </c>
      <c r="I190" s="22">
        <f t="shared" si="60"/>
        <v>0.33333333333333331</v>
      </c>
      <c r="J190" s="23">
        <v>1</v>
      </c>
      <c r="K190" s="23">
        <v>4</v>
      </c>
      <c r="L190" s="22">
        <f t="shared" si="84"/>
        <v>0.16666666666666666</v>
      </c>
      <c r="M190" s="22">
        <f t="shared" si="85"/>
        <v>0.66666666666666663</v>
      </c>
      <c r="N190" s="24">
        <f t="shared" si="86"/>
        <v>0.25</v>
      </c>
      <c r="O190" s="21">
        <v>1</v>
      </c>
      <c r="P190" s="23">
        <v>2</v>
      </c>
      <c r="Q190" s="22">
        <f t="shared" si="61"/>
        <v>0.16666666666666666</v>
      </c>
      <c r="R190" s="22">
        <f t="shared" si="62"/>
        <v>0.33333333333333331</v>
      </c>
      <c r="S190" s="24">
        <f t="shared" si="63"/>
        <v>0.5</v>
      </c>
      <c r="T190" s="23">
        <v>0</v>
      </c>
      <c r="U190" s="23">
        <v>2</v>
      </c>
      <c r="V190" s="22">
        <f t="shared" si="64"/>
        <v>0</v>
      </c>
      <c r="W190" s="22">
        <f t="shared" si="65"/>
        <v>0.33333333333333331</v>
      </c>
      <c r="X190" s="24">
        <f t="shared" si="66"/>
        <v>0</v>
      </c>
      <c r="Y190" s="23">
        <v>0</v>
      </c>
      <c r="Z190" s="23">
        <v>0</v>
      </c>
      <c r="AA190" s="22">
        <f t="shared" si="67"/>
        <v>0</v>
      </c>
      <c r="AB190" s="22">
        <f t="shared" si="68"/>
        <v>0</v>
      </c>
      <c r="AC190" s="24" t="e">
        <f t="shared" si="69"/>
        <v>#DIV/0!</v>
      </c>
      <c r="AD190" s="23">
        <v>4</v>
      </c>
      <c r="AE190" s="22">
        <f t="shared" si="70"/>
        <v>0.66666666666666663</v>
      </c>
      <c r="AF190" s="23">
        <v>0</v>
      </c>
      <c r="AG190" s="22">
        <f t="shared" si="71"/>
        <v>0</v>
      </c>
      <c r="AH190" s="23">
        <v>4</v>
      </c>
      <c r="AI190" s="22">
        <f t="shared" si="72"/>
        <v>0.66666666666666663</v>
      </c>
      <c r="AJ190" s="23">
        <v>2</v>
      </c>
      <c r="AK190" s="22">
        <f t="shared" si="73"/>
        <v>0.33333333333333331</v>
      </c>
      <c r="AL190" s="23">
        <v>0</v>
      </c>
      <c r="AM190" s="22">
        <f t="shared" si="74"/>
        <v>0</v>
      </c>
      <c r="AN190" s="23">
        <v>0</v>
      </c>
      <c r="AO190" s="22">
        <f t="shared" si="75"/>
        <v>0</v>
      </c>
      <c r="AP190" s="10">
        <v>0</v>
      </c>
      <c r="AQ190" s="22">
        <f t="shared" si="76"/>
        <v>0</v>
      </c>
      <c r="AR190" s="23">
        <v>1</v>
      </c>
      <c r="AS190" s="22">
        <f t="shared" si="77"/>
        <v>0.16666666666666666</v>
      </c>
      <c r="AT190" s="25">
        <v>-5.9492667039088079E-3</v>
      </c>
      <c r="AU190" s="25">
        <v>-1.3147550726870292E-2</v>
      </c>
      <c r="AV190" s="25">
        <v>-2.099739801310679E-2</v>
      </c>
      <c r="AW190" s="25">
        <v>1.5048131309197983E-2</v>
      </c>
      <c r="AX190" s="25">
        <v>83.028311484666233</v>
      </c>
      <c r="AY190" s="25">
        <v>110.78292037348747</v>
      </c>
      <c r="AZ190" s="25">
        <v>0.48495993137407056</v>
      </c>
      <c r="BA190" s="25">
        <v>0.83333333333333337</v>
      </c>
      <c r="BB190" s="25">
        <v>11.049723756906076</v>
      </c>
      <c r="BC190" s="24">
        <v>0.25</v>
      </c>
      <c r="BD190" s="24">
        <v>0.25</v>
      </c>
      <c r="BE190" s="25">
        <v>1.1055251382597375</v>
      </c>
      <c r="BF190" s="24">
        <v>0.5</v>
      </c>
      <c r="BG190" s="24">
        <v>0</v>
      </c>
      <c r="BH190" s="25">
        <v>0</v>
      </c>
      <c r="BI190" s="25">
        <v>2.7609929220796028</v>
      </c>
      <c r="BJ190" s="25">
        <v>1.2864097509859125</v>
      </c>
      <c r="BK190" s="25">
        <v>1.4833998287909362</v>
      </c>
      <c r="BL190" s="25">
        <v>0</v>
      </c>
      <c r="BM190" s="25">
        <v>0</v>
      </c>
      <c r="BN190" s="25">
        <v>0</v>
      </c>
      <c r="BO190" s="26" t="s">
        <v>176</v>
      </c>
      <c r="BP190" s="26"/>
      <c r="BQ190" s="33" t="s">
        <v>268</v>
      </c>
      <c r="BR190" s="33">
        <v>10.72</v>
      </c>
      <c r="BS190" s="33">
        <v>13.52</v>
      </c>
      <c r="BT190" s="33">
        <v>2.8</v>
      </c>
      <c r="BU190" s="36">
        <f t="shared" si="78"/>
        <v>1.7866666666666668</v>
      </c>
      <c r="BV190" s="36">
        <f t="shared" si="79"/>
        <v>2.2533333333333334</v>
      </c>
      <c r="BW190" s="36">
        <f t="shared" si="80"/>
        <v>0.46666666666666662</v>
      </c>
      <c r="BX190" s="37">
        <f t="shared" si="81"/>
        <v>23.690607734806626</v>
      </c>
      <c r="BY190" s="37">
        <f t="shared" si="82"/>
        <v>29.878453038674031</v>
      </c>
      <c r="BZ190" s="37">
        <f t="shared" si="83"/>
        <v>6.1878453038674035</v>
      </c>
      <c r="CA190" s="34">
        <v>3</v>
      </c>
      <c r="CB190" s="34">
        <v>3</v>
      </c>
    </row>
    <row r="191" spans="1:80" x14ac:dyDescent="0.4">
      <c r="A191" s="16" t="s">
        <v>178</v>
      </c>
      <c r="B191" s="16" t="s">
        <v>256</v>
      </c>
      <c r="C191" s="16" t="s">
        <v>233</v>
      </c>
      <c r="D191" s="23">
        <v>24</v>
      </c>
      <c r="E191" s="23">
        <v>8</v>
      </c>
      <c r="F191" s="23">
        <v>45</v>
      </c>
      <c r="G191" s="21">
        <v>12600</v>
      </c>
      <c r="H191" s="21">
        <v>32</v>
      </c>
      <c r="I191" s="22">
        <f t="shared" si="60"/>
        <v>1.3333333333333333</v>
      </c>
      <c r="J191" s="23">
        <v>11</v>
      </c>
      <c r="K191" s="23">
        <v>32</v>
      </c>
      <c r="L191" s="22">
        <f t="shared" si="84"/>
        <v>0.45833333333333331</v>
      </c>
      <c r="M191" s="22">
        <f t="shared" si="85"/>
        <v>1.3333333333333333</v>
      </c>
      <c r="N191" s="24">
        <f t="shared" si="86"/>
        <v>0.34375</v>
      </c>
      <c r="O191" s="21">
        <v>2</v>
      </c>
      <c r="P191" s="23">
        <v>5</v>
      </c>
      <c r="Q191" s="22">
        <f t="shared" si="61"/>
        <v>8.3333333333333329E-2</v>
      </c>
      <c r="R191" s="22">
        <f t="shared" si="62"/>
        <v>0.20833333333333334</v>
      </c>
      <c r="S191" s="24">
        <f t="shared" si="63"/>
        <v>0.4</v>
      </c>
      <c r="T191" s="23">
        <v>9</v>
      </c>
      <c r="U191" s="23">
        <v>27</v>
      </c>
      <c r="V191" s="22">
        <f t="shared" si="64"/>
        <v>0.375</v>
      </c>
      <c r="W191" s="22">
        <f t="shared" si="65"/>
        <v>1.125</v>
      </c>
      <c r="X191" s="24">
        <f t="shared" si="66"/>
        <v>0.33333333333333331</v>
      </c>
      <c r="Y191" s="23">
        <v>1</v>
      </c>
      <c r="Z191" s="23">
        <v>2</v>
      </c>
      <c r="AA191" s="22">
        <f t="shared" si="67"/>
        <v>4.1666666666666664E-2</v>
      </c>
      <c r="AB191" s="22">
        <f t="shared" si="68"/>
        <v>8.3333333333333329E-2</v>
      </c>
      <c r="AC191" s="24">
        <f t="shared" si="69"/>
        <v>0.5</v>
      </c>
      <c r="AD191" s="23">
        <v>17</v>
      </c>
      <c r="AE191" s="22">
        <f t="shared" si="70"/>
        <v>0.70833333333333337</v>
      </c>
      <c r="AF191" s="23">
        <v>6</v>
      </c>
      <c r="AG191" s="22">
        <f t="shared" si="71"/>
        <v>0.25</v>
      </c>
      <c r="AH191" s="23">
        <v>11</v>
      </c>
      <c r="AI191" s="22">
        <f t="shared" si="72"/>
        <v>0.45833333333333331</v>
      </c>
      <c r="AJ191" s="23">
        <v>6</v>
      </c>
      <c r="AK191" s="22">
        <f t="shared" si="73"/>
        <v>0.25</v>
      </c>
      <c r="AL191" s="23">
        <v>8</v>
      </c>
      <c r="AM191" s="22">
        <f t="shared" si="74"/>
        <v>0.33333333333333331</v>
      </c>
      <c r="AN191" s="23">
        <v>0</v>
      </c>
      <c r="AO191" s="22">
        <f t="shared" si="75"/>
        <v>0</v>
      </c>
      <c r="AP191" s="10">
        <v>3</v>
      </c>
      <c r="AQ191" s="22">
        <f t="shared" si="76"/>
        <v>0.125</v>
      </c>
      <c r="AR191" s="23">
        <v>27</v>
      </c>
      <c r="AS191" s="22">
        <f t="shared" si="77"/>
        <v>1.125</v>
      </c>
      <c r="AT191" s="25">
        <v>0.20959580779206341</v>
      </c>
      <c r="AU191" s="25">
        <v>3.9923011008012078E-2</v>
      </c>
      <c r="AV191" s="25">
        <v>9.7800118708929629E-2</v>
      </c>
      <c r="AW191" s="25">
        <v>0.11179568908313378</v>
      </c>
      <c r="AX191" s="25">
        <v>108.17463163749461</v>
      </c>
      <c r="AY191" s="25">
        <v>112.95694305509986</v>
      </c>
      <c r="AZ191" s="25">
        <v>1.5477176927886409</v>
      </c>
      <c r="BA191" s="25">
        <v>1.5833333333333333</v>
      </c>
      <c r="BB191" s="25">
        <v>7.2380952380952381</v>
      </c>
      <c r="BC191" s="24">
        <v>0.48661800486618001</v>
      </c>
      <c r="BD191" s="24">
        <v>0.484375</v>
      </c>
      <c r="BE191" s="25">
        <v>3.4188522832844992</v>
      </c>
      <c r="BF191" s="24">
        <v>0.84375</v>
      </c>
      <c r="BG191" s="24">
        <v>6.25E-2</v>
      </c>
      <c r="BH191" s="25">
        <v>1.4278277682754519</v>
      </c>
      <c r="BI191" s="25">
        <v>2.6176842418383282</v>
      </c>
      <c r="BJ191" s="25">
        <v>1.8848965732303109</v>
      </c>
      <c r="BK191" s="25">
        <v>1.5667074663402694</v>
      </c>
      <c r="BL191" s="25">
        <v>2.0407862542395465</v>
      </c>
      <c r="BM191" s="25">
        <v>0</v>
      </c>
      <c r="BN191" s="25">
        <v>8.3612040133779253</v>
      </c>
      <c r="BO191" s="26" t="s">
        <v>176</v>
      </c>
      <c r="BP191" s="27"/>
      <c r="BQ191" s="33" t="s">
        <v>267</v>
      </c>
      <c r="BR191" s="33">
        <v>97.05</v>
      </c>
      <c r="BS191" s="33">
        <v>121.55</v>
      </c>
      <c r="BT191" s="33">
        <v>24.5</v>
      </c>
      <c r="BU191" s="36">
        <f t="shared" si="78"/>
        <v>4.0437500000000002</v>
      </c>
      <c r="BV191" s="36">
        <f t="shared" si="79"/>
        <v>5.0645833333333332</v>
      </c>
      <c r="BW191" s="36">
        <f t="shared" si="80"/>
        <v>1.0208333333333333</v>
      </c>
      <c r="BX191" s="37">
        <f t="shared" si="81"/>
        <v>18.485714285714284</v>
      </c>
      <c r="BY191" s="37">
        <f t="shared" si="82"/>
        <v>23.152380952380952</v>
      </c>
      <c r="BZ191" s="37">
        <f t="shared" si="83"/>
        <v>4.666666666666667</v>
      </c>
      <c r="CA191" s="35">
        <v>9</v>
      </c>
      <c r="CB191" s="35">
        <v>15</v>
      </c>
    </row>
    <row r="192" spans="1:80" x14ac:dyDescent="0.4">
      <c r="A192" s="16" t="s">
        <v>178</v>
      </c>
      <c r="B192" s="16" t="s">
        <v>256</v>
      </c>
      <c r="C192" s="16" t="s">
        <v>135</v>
      </c>
      <c r="D192" s="23">
        <v>51</v>
      </c>
      <c r="E192" s="23">
        <v>22</v>
      </c>
      <c r="F192" s="23">
        <v>5</v>
      </c>
      <c r="G192" s="21">
        <v>67575</v>
      </c>
      <c r="H192" s="21">
        <v>390</v>
      </c>
      <c r="I192" s="22">
        <f t="shared" si="60"/>
        <v>7.6470588235294121</v>
      </c>
      <c r="J192" s="23">
        <v>133</v>
      </c>
      <c r="K192" s="23">
        <v>295</v>
      </c>
      <c r="L192" s="22">
        <f t="shared" si="84"/>
        <v>2.607843137254902</v>
      </c>
      <c r="M192" s="22">
        <f t="shared" si="85"/>
        <v>5.784313725490196</v>
      </c>
      <c r="N192" s="24">
        <f t="shared" si="86"/>
        <v>0.45084745762711864</v>
      </c>
      <c r="O192" s="21">
        <v>75</v>
      </c>
      <c r="P192" s="23">
        <v>128</v>
      </c>
      <c r="Q192" s="22">
        <f t="shared" si="61"/>
        <v>1.4705882352941178</v>
      </c>
      <c r="R192" s="22">
        <f t="shared" si="62"/>
        <v>2.5098039215686274</v>
      </c>
      <c r="S192" s="24">
        <f t="shared" si="63"/>
        <v>0.5859375</v>
      </c>
      <c r="T192" s="23">
        <v>58</v>
      </c>
      <c r="U192" s="23">
        <v>167</v>
      </c>
      <c r="V192" s="22">
        <f t="shared" si="64"/>
        <v>1.1372549019607843</v>
      </c>
      <c r="W192" s="22">
        <f t="shared" si="65"/>
        <v>3.2745098039215685</v>
      </c>
      <c r="X192" s="24">
        <f t="shared" si="66"/>
        <v>0.3473053892215569</v>
      </c>
      <c r="Y192" s="23">
        <v>66</v>
      </c>
      <c r="Z192" s="23">
        <v>90</v>
      </c>
      <c r="AA192" s="22">
        <f t="shared" si="67"/>
        <v>1.2941176470588236</v>
      </c>
      <c r="AB192" s="22">
        <f t="shared" si="68"/>
        <v>1.7647058823529411</v>
      </c>
      <c r="AC192" s="24">
        <f t="shared" si="69"/>
        <v>0.73333333333333328</v>
      </c>
      <c r="AD192" s="23">
        <v>154</v>
      </c>
      <c r="AE192" s="22">
        <f t="shared" si="70"/>
        <v>3.0196078431372548</v>
      </c>
      <c r="AF192" s="23">
        <v>44</v>
      </c>
      <c r="AG192" s="22">
        <f t="shared" si="71"/>
        <v>0.86274509803921573</v>
      </c>
      <c r="AH192" s="23">
        <v>110</v>
      </c>
      <c r="AI192" s="22">
        <f t="shared" si="72"/>
        <v>2.1568627450980391</v>
      </c>
      <c r="AJ192" s="23">
        <v>51</v>
      </c>
      <c r="AK192" s="22">
        <f t="shared" si="73"/>
        <v>1</v>
      </c>
      <c r="AL192" s="23">
        <v>38</v>
      </c>
      <c r="AM192" s="22">
        <f t="shared" si="74"/>
        <v>0.74509803921568629</v>
      </c>
      <c r="AN192" s="23">
        <v>2</v>
      </c>
      <c r="AO192" s="22">
        <f t="shared" si="75"/>
        <v>3.9215686274509803E-2</v>
      </c>
      <c r="AP192" s="10">
        <v>44</v>
      </c>
      <c r="AQ192" s="22">
        <f t="shared" si="76"/>
        <v>0.86274509803921573</v>
      </c>
      <c r="AR192" s="23">
        <v>141</v>
      </c>
      <c r="AS192" s="22">
        <f t="shared" si="77"/>
        <v>2.7647058823529411</v>
      </c>
      <c r="AT192" s="25">
        <v>2.7557094486697657</v>
      </c>
      <c r="AU192" s="25">
        <v>9.7872033693043856E-2</v>
      </c>
      <c r="AV192" s="25">
        <v>1.9273873554737448</v>
      </c>
      <c r="AW192" s="25">
        <v>0.82832209319602079</v>
      </c>
      <c r="AX192" s="25">
        <v>115.63293895396404</v>
      </c>
      <c r="AY192" s="25">
        <v>111.48028255005326</v>
      </c>
      <c r="AZ192" s="25">
        <v>9.6643987498318928</v>
      </c>
      <c r="BA192" s="25">
        <v>7.9411764705882355</v>
      </c>
      <c r="BB192" s="25">
        <v>14.384017758046614</v>
      </c>
      <c r="BC192" s="24">
        <v>0.58278541542139861</v>
      </c>
      <c r="BD192" s="24">
        <v>0.54915254237288136</v>
      </c>
      <c r="BE192" s="25">
        <v>14.293939422541458</v>
      </c>
      <c r="BF192" s="24">
        <v>0.56610169491525419</v>
      </c>
      <c r="BG192" s="24">
        <v>0.30508474576271188</v>
      </c>
      <c r="BH192" s="25">
        <v>4.1487825719701803</v>
      </c>
      <c r="BI192" s="25">
        <v>10.371956429925451</v>
      </c>
      <c r="BJ192" s="25">
        <v>6.7655444149021369</v>
      </c>
      <c r="BK192" s="25">
        <v>5.9212674608453764</v>
      </c>
      <c r="BL192" s="25">
        <v>1.8074888245096092</v>
      </c>
      <c r="BM192" s="25">
        <v>0.15854010982205524</v>
      </c>
      <c r="BN192" s="25">
        <v>11.621764395139989</v>
      </c>
      <c r="BO192" s="26" t="s">
        <v>176</v>
      </c>
      <c r="BP192" s="27"/>
      <c r="BQ192" s="32" t="s">
        <v>268</v>
      </c>
      <c r="BR192" s="32">
        <v>736.87</v>
      </c>
      <c r="BS192" s="32">
        <v>973.17</v>
      </c>
      <c r="BT192" s="32">
        <v>236.3</v>
      </c>
      <c r="BU192" s="36">
        <f t="shared" si="78"/>
        <v>14.44843137254902</v>
      </c>
      <c r="BV192" s="36">
        <f t="shared" si="79"/>
        <v>19.081764705882353</v>
      </c>
      <c r="BW192" s="36">
        <f t="shared" si="80"/>
        <v>4.6333333333333337</v>
      </c>
      <c r="BX192" s="37">
        <f t="shared" si="81"/>
        <v>26.170743618201996</v>
      </c>
      <c r="BY192" s="37">
        <f t="shared" si="82"/>
        <v>34.563196448390677</v>
      </c>
      <c r="BZ192" s="37">
        <f t="shared" si="83"/>
        <v>8.3924528301886792</v>
      </c>
      <c r="CA192" s="34">
        <v>24</v>
      </c>
      <c r="CB192" s="34">
        <v>27</v>
      </c>
    </row>
    <row r="193" spans="1:80" x14ac:dyDescent="0.4">
      <c r="A193" s="16" t="s">
        <v>178</v>
      </c>
      <c r="B193" s="16" t="s">
        <v>256</v>
      </c>
      <c r="C193" s="16" t="s">
        <v>143</v>
      </c>
      <c r="D193" s="40">
        <v>37</v>
      </c>
      <c r="E193" s="40">
        <v>6</v>
      </c>
      <c r="F193" s="40">
        <v>51</v>
      </c>
      <c r="G193" s="56">
        <v>15207</v>
      </c>
      <c r="H193" s="56">
        <v>78</v>
      </c>
      <c r="I193" s="22">
        <f t="shared" si="60"/>
        <v>2.1081081081081079</v>
      </c>
      <c r="J193" s="28">
        <v>27</v>
      </c>
      <c r="K193" s="28">
        <v>63</v>
      </c>
      <c r="L193" s="22">
        <f t="shared" si="84"/>
        <v>0.72972972972972971</v>
      </c>
      <c r="M193" s="22">
        <f t="shared" si="85"/>
        <v>1.7027027027027026</v>
      </c>
      <c r="N193" s="24">
        <f t="shared" si="86"/>
        <v>0.42857142857142855</v>
      </c>
      <c r="O193" s="21">
        <v>16</v>
      </c>
      <c r="P193" s="23">
        <v>34</v>
      </c>
      <c r="Q193" s="22">
        <f t="shared" si="61"/>
        <v>0.43243243243243246</v>
      </c>
      <c r="R193" s="22">
        <f t="shared" si="62"/>
        <v>0.91891891891891897</v>
      </c>
      <c r="S193" s="24">
        <f t="shared" si="63"/>
        <v>0.47058823529411764</v>
      </c>
      <c r="T193" s="23">
        <v>11</v>
      </c>
      <c r="U193" s="23">
        <v>29</v>
      </c>
      <c r="V193" s="22">
        <f t="shared" si="64"/>
        <v>0.29729729729729731</v>
      </c>
      <c r="W193" s="22">
        <f t="shared" si="65"/>
        <v>0.78378378378378377</v>
      </c>
      <c r="X193" s="24">
        <f t="shared" si="66"/>
        <v>0.37931034482758619</v>
      </c>
      <c r="Y193" s="15">
        <v>13</v>
      </c>
      <c r="Z193" s="15">
        <v>14</v>
      </c>
      <c r="AA193" s="22">
        <f t="shared" si="67"/>
        <v>0.35135135135135137</v>
      </c>
      <c r="AB193" s="22">
        <f t="shared" si="68"/>
        <v>0.3783783783783784</v>
      </c>
      <c r="AC193" s="24">
        <f t="shared" si="69"/>
        <v>0.9285714285714286</v>
      </c>
      <c r="AD193" s="20">
        <v>26</v>
      </c>
      <c r="AE193" s="22">
        <f t="shared" si="70"/>
        <v>0.70270270270270274</v>
      </c>
      <c r="AF193" s="20">
        <v>8</v>
      </c>
      <c r="AG193" s="22">
        <f t="shared" si="71"/>
        <v>0.21621621621621623</v>
      </c>
      <c r="AH193" s="20">
        <v>18</v>
      </c>
      <c r="AI193" s="22">
        <f t="shared" si="72"/>
        <v>0.48648648648648651</v>
      </c>
      <c r="AJ193" s="20">
        <v>36</v>
      </c>
      <c r="AK193" s="22">
        <f t="shared" si="73"/>
        <v>0.97297297297297303</v>
      </c>
      <c r="AL193" s="20">
        <v>8</v>
      </c>
      <c r="AM193" s="22">
        <f t="shared" si="74"/>
        <v>0.21621621621621623</v>
      </c>
      <c r="AN193" s="8">
        <v>1</v>
      </c>
      <c r="AO193" s="22">
        <f t="shared" si="75"/>
        <v>2.7027027027027029E-2</v>
      </c>
      <c r="AP193" s="12">
        <v>15</v>
      </c>
      <c r="AQ193" s="22">
        <f t="shared" si="76"/>
        <v>0.40540540540540543</v>
      </c>
      <c r="AR193" s="63">
        <v>30</v>
      </c>
      <c r="AS193" s="22">
        <f t="shared" si="77"/>
        <v>0.81081081081081086</v>
      </c>
      <c r="AT193" s="25">
        <v>0.57514612313780245</v>
      </c>
      <c r="AU193" s="25">
        <v>9.0770743442541324E-2</v>
      </c>
      <c r="AV193" s="25">
        <v>0.43437820042670067</v>
      </c>
      <c r="AW193" s="25">
        <v>0.14076792271110178</v>
      </c>
      <c r="AX193" s="25">
        <v>114.29779189964988</v>
      </c>
      <c r="AY193" s="25">
        <v>112.789387073622</v>
      </c>
      <c r="AZ193" s="25">
        <v>7.2731635851324068</v>
      </c>
      <c r="BA193" s="25">
        <v>2.6216216216216215</v>
      </c>
      <c r="BB193" s="25">
        <v>15.308739396330637</v>
      </c>
      <c r="BC193" s="24">
        <v>0.56390977443609025</v>
      </c>
      <c r="BD193" s="24">
        <v>0.51587301587301593</v>
      </c>
      <c r="BE193" s="25">
        <v>10.243564604686771</v>
      </c>
      <c r="BF193" s="24">
        <v>0.46031746031746029</v>
      </c>
      <c r="BG193" s="24">
        <v>0.22222222222222221</v>
      </c>
      <c r="BH193" s="25">
        <v>2.4318234496175579</v>
      </c>
      <c r="BI193" s="25">
        <v>5.4716027616395042</v>
      </c>
      <c r="BJ193" s="25">
        <v>3.6823870365813285</v>
      </c>
      <c r="BK193" s="25">
        <v>12.79221096487916</v>
      </c>
      <c r="BL193" s="25">
        <v>1.6909256791884191</v>
      </c>
      <c r="BM193" s="25">
        <v>0.25555431327764377</v>
      </c>
      <c r="BN193" s="25">
        <v>17.823193916349812</v>
      </c>
      <c r="BO193" s="26" t="s">
        <v>176</v>
      </c>
      <c r="BP193" s="26"/>
      <c r="BQ193" s="33" t="s">
        <v>267</v>
      </c>
      <c r="BR193" s="33">
        <v>178.31</v>
      </c>
      <c r="BS193" s="33">
        <v>235.81</v>
      </c>
      <c r="BT193" s="33">
        <v>57.5</v>
      </c>
      <c r="BU193" s="36">
        <f t="shared" si="78"/>
        <v>4.8191891891891885</v>
      </c>
      <c r="BV193" s="36">
        <f t="shared" si="79"/>
        <v>6.3732432432432429</v>
      </c>
      <c r="BW193" s="36">
        <f t="shared" si="80"/>
        <v>1.5540540540540539</v>
      </c>
      <c r="BX193" s="37">
        <f t="shared" si="81"/>
        <v>28.141250739790888</v>
      </c>
      <c r="BY193" s="37">
        <f t="shared" si="82"/>
        <v>37.216018938646677</v>
      </c>
      <c r="BZ193" s="37">
        <f t="shared" si="83"/>
        <v>9.0747681988557893</v>
      </c>
      <c r="CA193" s="35">
        <v>18</v>
      </c>
      <c r="CB193" s="35">
        <v>19</v>
      </c>
    </row>
    <row r="194" spans="1:80" x14ac:dyDescent="0.4">
      <c r="A194" s="1"/>
      <c r="B194" s="1"/>
      <c r="C194" s="1"/>
      <c r="D194" s="4"/>
      <c r="E194" s="4"/>
      <c r="F194" s="2"/>
      <c r="G194" s="2"/>
      <c r="H194" s="5"/>
      <c r="I194" s="2"/>
      <c r="J194" s="4"/>
      <c r="K194" s="5"/>
      <c r="L194" s="5"/>
      <c r="M194" s="7"/>
      <c r="N194" s="2"/>
      <c r="O194" s="4"/>
      <c r="P194" s="5"/>
      <c r="Q194" s="5"/>
      <c r="R194" s="7"/>
      <c r="S194" s="4"/>
      <c r="T194" s="4"/>
      <c r="U194" s="5"/>
      <c r="V194" s="5"/>
      <c r="W194" s="7"/>
      <c r="X194" s="4"/>
      <c r="Y194" s="4"/>
      <c r="Z194" s="5"/>
      <c r="AA194" s="5"/>
      <c r="AB194" s="7"/>
      <c r="AC194" s="4"/>
      <c r="AD194" s="5"/>
      <c r="AE194" s="4"/>
      <c r="AF194" s="5"/>
      <c r="AG194" s="4"/>
      <c r="AH194" s="5"/>
      <c r="AI194" s="4"/>
      <c r="AJ194" s="5"/>
      <c r="AK194" s="4"/>
      <c r="AL194" s="5"/>
      <c r="AM194" s="4"/>
      <c r="AN194" s="5"/>
      <c r="AO194" s="10"/>
      <c r="AP194" s="5"/>
      <c r="AQ194" s="4"/>
      <c r="AR194" s="5"/>
      <c r="AS194" s="6"/>
      <c r="AT194" s="6"/>
      <c r="AU194" s="6"/>
      <c r="AV194" s="6"/>
      <c r="AW194" s="6"/>
      <c r="AX194" s="6"/>
      <c r="AY194" s="6"/>
      <c r="AZ194" s="6"/>
      <c r="BA194" s="6"/>
      <c r="BB194" s="7"/>
      <c r="BC194" s="7"/>
      <c r="BD194" s="6"/>
      <c r="BE194" s="7"/>
      <c r="BF194" s="7"/>
      <c r="BG194" s="6"/>
      <c r="BH194" s="6"/>
      <c r="BI194" s="6"/>
      <c r="BJ194" s="6"/>
      <c r="BK194" s="6"/>
      <c r="BL194" s="6"/>
      <c r="BM194" s="6"/>
      <c r="BO194" s="14"/>
      <c r="BQ194" s="4"/>
    </row>
    <row r="195" spans="1:80" x14ac:dyDescent="0.4">
      <c r="A195" s="1"/>
      <c r="B195" s="1"/>
      <c r="C195" s="1"/>
      <c r="D195" s="4"/>
      <c r="E195" s="4"/>
      <c r="F195" s="2"/>
      <c r="G195" s="2"/>
      <c r="H195" s="5"/>
      <c r="I195" s="2"/>
      <c r="J195" s="4"/>
      <c r="K195" s="5"/>
      <c r="L195" s="5"/>
      <c r="M195" s="7"/>
      <c r="N195" s="2"/>
      <c r="O195" s="4"/>
      <c r="P195" s="5"/>
      <c r="Q195" s="5"/>
      <c r="R195" s="7"/>
      <c r="S195" s="4"/>
      <c r="T195" s="4"/>
      <c r="U195" s="5"/>
      <c r="V195" s="5"/>
      <c r="W195" s="7"/>
      <c r="X195" s="4"/>
      <c r="Y195" s="4"/>
      <c r="Z195" s="5"/>
      <c r="AA195" s="5"/>
      <c r="AB195" s="7"/>
      <c r="AC195" s="4"/>
      <c r="AD195" s="5"/>
      <c r="AE195" s="4"/>
      <c r="AF195" s="5"/>
      <c r="AG195" s="4"/>
      <c r="AH195" s="5"/>
      <c r="AI195" s="4"/>
      <c r="AJ195" s="5"/>
      <c r="AK195" s="4"/>
      <c r="AL195" s="5"/>
      <c r="AM195" s="4"/>
      <c r="AN195" s="5"/>
      <c r="AO195" s="10"/>
      <c r="AP195" s="5"/>
      <c r="AQ195" s="4"/>
      <c r="AR195" s="5"/>
      <c r="AS195" s="6"/>
      <c r="AT195" s="6"/>
      <c r="AU195" s="6"/>
      <c r="AV195" s="6"/>
      <c r="AW195" s="6"/>
      <c r="AX195" s="6"/>
      <c r="AY195" s="6"/>
      <c r="AZ195" s="6"/>
      <c r="BA195" s="6"/>
      <c r="BB195" s="7"/>
      <c r="BC195" s="7"/>
      <c r="BD195" s="6"/>
      <c r="BE195" s="7"/>
      <c r="BF195" s="7"/>
      <c r="BG195" s="6"/>
      <c r="BH195" s="6"/>
      <c r="BI195" s="6"/>
      <c r="BJ195" s="6"/>
      <c r="BK195" s="6"/>
      <c r="BL195" s="6"/>
      <c r="BM195" s="6"/>
      <c r="BO195" s="14"/>
      <c r="BQ195" s="4"/>
    </row>
    <row r="196" spans="1:80" x14ac:dyDescent="0.4">
      <c r="A196" s="1"/>
      <c r="B196" s="1"/>
      <c r="C196" s="1"/>
      <c r="D196" s="4"/>
      <c r="E196" s="4"/>
      <c r="F196" s="2"/>
      <c r="G196" s="2"/>
      <c r="H196" s="5"/>
      <c r="I196" s="2"/>
      <c r="J196" s="4"/>
      <c r="K196" s="5"/>
      <c r="L196" s="5"/>
      <c r="M196" s="7"/>
      <c r="N196" s="2"/>
      <c r="O196" s="4"/>
      <c r="P196" s="5"/>
      <c r="Q196" s="5"/>
      <c r="R196" s="7"/>
      <c r="S196" s="4"/>
      <c r="T196" s="4"/>
      <c r="U196" s="5"/>
      <c r="V196" s="5"/>
      <c r="W196" s="7"/>
      <c r="X196" s="4"/>
      <c r="Y196" s="4"/>
      <c r="Z196" s="5"/>
      <c r="AA196" s="5"/>
      <c r="AB196" s="7"/>
      <c r="AC196" s="4"/>
      <c r="AD196" s="5"/>
      <c r="AE196" s="4"/>
      <c r="AF196" s="5"/>
      <c r="AG196" s="4"/>
      <c r="AH196" s="5"/>
      <c r="AI196" s="4"/>
      <c r="AJ196" s="5"/>
      <c r="AK196" s="4"/>
      <c r="AL196" s="5"/>
      <c r="AM196" s="4"/>
      <c r="AN196" s="5"/>
      <c r="AO196" s="10"/>
      <c r="AP196" s="5"/>
      <c r="AQ196" s="4"/>
      <c r="AR196" s="5"/>
      <c r="AS196" s="6"/>
      <c r="AT196" s="6"/>
      <c r="AU196" s="6"/>
      <c r="AV196" s="6"/>
      <c r="AW196" s="6"/>
      <c r="AX196" s="6"/>
      <c r="AY196" s="6"/>
      <c r="AZ196" s="6"/>
      <c r="BA196" s="6"/>
      <c r="BB196" s="7"/>
      <c r="BC196" s="7"/>
      <c r="BD196" s="6"/>
      <c r="BE196" s="7"/>
      <c r="BF196" s="7"/>
      <c r="BG196" s="6"/>
      <c r="BH196" s="6"/>
      <c r="BI196" s="6"/>
      <c r="BJ196" s="6"/>
      <c r="BK196" s="6"/>
      <c r="BL196" s="6"/>
      <c r="BM196" s="6"/>
      <c r="BO196" s="14"/>
      <c r="BQ196" s="4"/>
    </row>
    <row r="197" spans="1:80" x14ac:dyDescent="0.4">
      <c r="A197" s="1"/>
      <c r="B197" s="1"/>
      <c r="C197" s="1"/>
      <c r="D197" s="4"/>
      <c r="E197" s="4"/>
      <c r="F197" s="2"/>
      <c r="G197" s="2"/>
      <c r="H197" s="5"/>
      <c r="I197" s="2"/>
      <c r="J197" s="4"/>
      <c r="K197" s="5"/>
      <c r="L197" s="5"/>
      <c r="M197" s="7"/>
      <c r="N197" s="2"/>
      <c r="O197" s="4"/>
      <c r="P197" s="5"/>
      <c r="Q197" s="5"/>
      <c r="R197" s="7"/>
      <c r="S197" s="4"/>
      <c r="T197" s="4"/>
      <c r="U197" s="5"/>
      <c r="V197" s="5"/>
      <c r="W197" s="7"/>
      <c r="X197" s="4"/>
      <c r="Y197" s="4"/>
      <c r="Z197" s="5"/>
      <c r="AA197" s="5"/>
      <c r="AB197" s="7"/>
      <c r="AC197" s="4"/>
      <c r="AD197" s="5"/>
      <c r="AE197" s="4"/>
      <c r="AF197" s="5"/>
      <c r="AG197" s="4"/>
      <c r="AH197" s="5"/>
      <c r="AI197" s="4"/>
      <c r="AJ197" s="5"/>
      <c r="AK197" s="4"/>
      <c r="AL197" s="5"/>
      <c r="AM197" s="4"/>
      <c r="AN197" s="5"/>
      <c r="AO197" s="10"/>
      <c r="AP197" s="5"/>
      <c r="AQ197" s="4"/>
      <c r="AR197" s="5"/>
      <c r="AS197" s="6"/>
      <c r="AT197" s="6"/>
      <c r="AU197" s="6"/>
      <c r="AV197" s="6"/>
      <c r="AW197" s="6"/>
      <c r="AX197" s="6"/>
      <c r="AY197" s="6"/>
      <c r="AZ197" s="6"/>
      <c r="BA197" s="6"/>
      <c r="BB197" s="7"/>
      <c r="BC197" s="7"/>
      <c r="BD197" s="6"/>
      <c r="BE197" s="7"/>
      <c r="BF197" s="7"/>
      <c r="BG197" s="6"/>
      <c r="BH197" s="6"/>
      <c r="BI197" s="6"/>
      <c r="BJ197" s="6"/>
      <c r="BK197" s="6"/>
      <c r="BL197" s="6"/>
      <c r="BM197" s="6"/>
      <c r="BO197" s="14"/>
      <c r="BQ197" s="4"/>
    </row>
    <row r="198" spans="1:80" x14ac:dyDescent="0.4">
      <c r="A198" s="1"/>
      <c r="B198" s="1"/>
      <c r="C198" s="1"/>
      <c r="D198" s="4"/>
      <c r="E198" s="4"/>
      <c r="F198" s="2"/>
      <c r="G198" s="2"/>
      <c r="H198" s="5"/>
      <c r="I198" s="2"/>
      <c r="J198" s="4"/>
      <c r="K198" s="5"/>
      <c r="L198" s="5"/>
      <c r="M198" s="7"/>
      <c r="N198" s="2"/>
      <c r="O198" s="4"/>
      <c r="P198" s="5"/>
      <c r="Q198" s="5"/>
      <c r="R198" s="7"/>
      <c r="S198" s="4"/>
      <c r="T198" s="4"/>
      <c r="U198" s="5"/>
      <c r="V198" s="5"/>
      <c r="W198" s="7"/>
      <c r="X198" s="4"/>
      <c r="Y198" s="4"/>
      <c r="Z198" s="5"/>
      <c r="AA198" s="5"/>
      <c r="AB198" s="7"/>
      <c r="AC198" s="4"/>
      <c r="AD198" s="5"/>
      <c r="AE198" s="4"/>
      <c r="AF198" s="5"/>
      <c r="AG198" s="4"/>
      <c r="AH198" s="5"/>
      <c r="AI198" s="4"/>
      <c r="AJ198" s="5"/>
      <c r="AK198" s="4"/>
      <c r="AL198" s="5"/>
      <c r="AM198" s="4"/>
      <c r="AN198" s="5"/>
      <c r="AO198" s="10"/>
      <c r="AP198" s="5"/>
      <c r="AQ198" s="4"/>
      <c r="AR198" s="5"/>
      <c r="AS198" s="6"/>
      <c r="AT198" s="6"/>
      <c r="AU198" s="6"/>
      <c r="AV198" s="6"/>
      <c r="AW198" s="6"/>
      <c r="AX198" s="6"/>
      <c r="AY198" s="6"/>
      <c r="AZ198" s="6"/>
      <c r="BA198" s="6"/>
      <c r="BB198" s="7"/>
      <c r="BC198" s="7"/>
      <c r="BD198" s="6"/>
      <c r="BE198" s="7"/>
      <c r="BF198" s="7"/>
      <c r="BG198" s="6"/>
      <c r="BH198" s="6"/>
      <c r="BI198" s="6"/>
      <c r="BJ198" s="6"/>
      <c r="BK198" s="6"/>
      <c r="BL198" s="6"/>
      <c r="BM198" s="6"/>
      <c r="BO198" s="14"/>
      <c r="BQ198" s="4"/>
    </row>
    <row r="199" spans="1:80" x14ac:dyDescent="0.4">
      <c r="A199" s="1"/>
      <c r="B199" s="1"/>
      <c r="C199" s="1"/>
      <c r="D199" s="4"/>
      <c r="E199" s="4"/>
      <c r="F199" s="2"/>
      <c r="G199" s="2"/>
      <c r="H199" s="5"/>
      <c r="I199" s="2"/>
      <c r="J199" s="4"/>
      <c r="K199" s="5"/>
      <c r="L199" s="5"/>
      <c r="M199" s="7"/>
      <c r="N199" s="2"/>
      <c r="O199" s="4"/>
      <c r="P199" s="5"/>
      <c r="Q199" s="5"/>
      <c r="R199" s="7"/>
      <c r="S199" s="4"/>
      <c r="T199" s="4"/>
      <c r="U199" s="5"/>
      <c r="V199" s="5"/>
      <c r="W199" s="7"/>
      <c r="X199" s="4"/>
      <c r="Y199" s="4"/>
      <c r="Z199" s="5"/>
      <c r="AA199" s="5"/>
      <c r="AB199" s="7"/>
      <c r="AC199" s="4"/>
      <c r="AD199" s="5"/>
      <c r="AE199" s="4"/>
      <c r="AF199" s="5"/>
      <c r="AG199" s="4"/>
      <c r="AH199" s="5"/>
      <c r="AI199" s="4"/>
      <c r="AJ199" s="5"/>
      <c r="AK199" s="4"/>
      <c r="AL199" s="5"/>
      <c r="AM199" s="4"/>
      <c r="AN199" s="5"/>
      <c r="AO199" s="10"/>
      <c r="AP199" s="5"/>
      <c r="AQ199" s="4"/>
      <c r="AR199" s="5"/>
      <c r="AS199" s="6"/>
      <c r="AT199" s="6"/>
      <c r="AU199" s="6"/>
      <c r="AV199" s="6"/>
      <c r="AW199" s="6"/>
      <c r="AX199" s="6"/>
      <c r="AY199" s="6"/>
      <c r="AZ199" s="6"/>
      <c r="BA199" s="6"/>
      <c r="BB199" s="7"/>
      <c r="BC199" s="7"/>
      <c r="BD199" s="6"/>
      <c r="BE199" s="7"/>
      <c r="BF199" s="7"/>
      <c r="BG199" s="6"/>
      <c r="BH199" s="6"/>
      <c r="BI199" s="6"/>
      <c r="BJ199" s="6"/>
      <c r="BK199" s="6"/>
      <c r="BL199" s="6"/>
      <c r="BM199" s="6"/>
      <c r="BO199" s="14"/>
      <c r="BQ199" s="4"/>
    </row>
    <row r="200" spans="1:80" x14ac:dyDescent="0.4">
      <c r="A200" s="1"/>
      <c r="B200" s="1"/>
      <c r="C200" s="1"/>
      <c r="D200" s="4"/>
      <c r="E200" s="4"/>
      <c r="F200" s="2"/>
      <c r="G200" s="2"/>
      <c r="H200" s="5"/>
      <c r="I200" s="2"/>
      <c r="J200" s="4"/>
      <c r="K200" s="5"/>
      <c r="L200" s="5"/>
      <c r="M200" s="7"/>
      <c r="N200" s="2"/>
      <c r="O200" s="4"/>
      <c r="P200" s="5"/>
      <c r="Q200" s="5"/>
      <c r="R200" s="7"/>
      <c r="S200" s="4"/>
      <c r="T200" s="4"/>
      <c r="U200" s="5"/>
      <c r="V200" s="5"/>
      <c r="W200" s="7"/>
      <c r="X200" s="4"/>
      <c r="Y200" s="4"/>
      <c r="Z200" s="5"/>
      <c r="AA200" s="5"/>
      <c r="AB200" s="7"/>
      <c r="AC200" s="4"/>
      <c r="AD200" s="5"/>
      <c r="AE200" s="4"/>
      <c r="AF200" s="5"/>
      <c r="AG200" s="4"/>
      <c r="AH200" s="5"/>
      <c r="AI200" s="4"/>
      <c r="AJ200" s="5"/>
      <c r="AK200" s="4"/>
      <c r="AL200" s="5"/>
      <c r="AM200" s="4"/>
      <c r="AN200" s="5"/>
      <c r="AO200" s="10"/>
      <c r="AP200" s="5"/>
      <c r="AQ200" s="4"/>
      <c r="AR200" s="5"/>
      <c r="AS200" s="6"/>
      <c r="AT200" s="6"/>
      <c r="AU200" s="6"/>
      <c r="AV200" s="6"/>
      <c r="AW200" s="6"/>
      <c r="AX200" s="6"/>
      <c r="AY200" s="6"/>
      <c r="AZ200" s="6"/>
      <c r="BA200" s="6"/>
      <c r="BB200" s="7"/>
      <c r="BC200" s="7"/>
      <c r="BD200" s="6"/>
      <c r="BE200" s="7"/>
      <c r="BF200" s="7"/>
      <c r="BG200" s="6"/>
      <c r="BH200" s="6"/>
      <c r="BI200" s="6"/>
      <c r="BJ200" s="6"/>
      <c r="BK200" s="6"/>
      <c r="BL200" s="6"/>
      <c r="BM200" s="6"/>
      <c r="BO200" s="14"/>
      <c r="BQ200" s="4"/>
    </row>
    <row r="201" spans="1:80" x14ac:dyDescent="0.4">
      <c r="A201" s="1"/>
      <c r="B201" s="1"/>
      <c r="C201" s="1"/>
      <c r="D201" s="4"/>
      <c r="E201" s="4"/>
      <c r="F201" s="2"/>
      <c r="G201" s="2"/>
      <c r="H201" s="5"/>
      <c r="I201" s="2"/>
      <c r="J201" s="4"/>
      <c r="K201" s="5"/>
      <c r="L201" s="5"/>
      <c r="M201" s="7"/>
      <c r="N201" s="2"/>
      <c r="O201" s="4"/>
      <c r="P201" s="5"/>
      <c r="Q201" s="5"/>
      <c r="R201" s="7"/>
      <c r="S201" s="4"/>
      <c r="T201" s="4"/>
      <c r="U201" s="5"/>
      <c r="V201" s="5"/>
      <c r="W201" s="7"/>
      <c r="X201" s="4"/>
      <c r="Y201" s="4"/>
      <c r="Z201" s="5"/>
      <c r="AA201" s="5"/>
      <c r="AB201" s="7"/>
      <c r="AC201" s="4"/>
      <c r="AD201" s="5"/>
      <c r="AE201" s="4"/>
      <c r="AF201" s="5"/>
      <c r="AG201" s="4"/>
      <c r="AH201" s="5"/>
      <c r="AI201" s="4"/>
      <c r="AJ201" s="5"/>
      <c r="AK201" s="4"/>
      <c r="AL201" s="5"/>
      <c r="AM201" s="4"/>
      <c r="AN201" s="5"/>
      <c r="AO201" s="10"/>
      <c r="AP201" s="5"/>
      <c r="AQ201" s="4"/>
      <c r="AR201" s="5"/>
      <c r="AS201" s="6"/>
      <c r="AT201" s="6"/>
      <c r="AU201" s="6"/>
      <c r="AV201" s="6"/>
      <c r="AW201" s="6"/>
      <c r="AX201" s="6"/>
      <c r="AY201" s="6"/>
      <c r="AZ201" s="6"/>
      <c r="BA201" s="6"/>
      <c r="BB201" s="7"/>
      <c r="BC201" s="7"/>
      <c r="BD201" s="6"/>
      <c r="BE201" s="7"/>
      <c r="BF201" s="7"/>
      <c r="BG201" s="6"/>
      <c r="BH201" s="6"/>
      <c r="BI201" s="6"/>
      <c r="BJ201" s="6"/>
      <c r="BK201" s="6"/>
      <c r="BL201" s="6"/>
      <c r="BM201" s="6"/>
      <c r="BO201" s="14"/>
      <c r="BQ201" s="4"/>
    </row>
    <row r="202" spans="1:80" x14ac:dyDescent="0.4">
      <c r="A202" s="1"/>
      <c r="B202" s="1"/>
      <c r="C202" s="1"/>
      <c r="D202" s="4"/>
      <c r="E202" s="4"/>
      <c r="F202" s="2"/>
      <c r="G202" s="2"/>
      <c r="H202" s="5"/>
      <c r="I202" s="2"/>
      <c r="J202" s="4"/>
      <c r="K202" s="5"/>
      <c r="L202" s="5"/>
      <c r="M202" s="7"/>
      <c r="N202" s="2"/>
      <c r="O202" s="4"/>
      <c r="P202" s="5"/>
      <c r="Q202" s="5"/>
      <c r="R202" s="7"/>
      <c r="S202" s="4"/>
      <c r="T202" s="4"/>
      <c r="U202" s="5"/>
      <c r="V202" s="5"/>
      <c r="W202" s="7"/>
      <c r="X202" s="4"/>
      <c r="Y202" s="4"/>
      <c r="Z202" s="5"/>
      <c r="AA202" s="5"/>
      <c r="AB202" s="7"/>
      <c r="AC202" s="4"/>
      <c r="AD202" s="5"/>
      <c r="AE202" s="4"/>
      <c r="AF202" s="5"/>
      <c r="AG202" s="4"/>
      <c r="AH202" s="5"/>
      <c r="AI202" s="4"/>
      <c r="AJ202" s="5"/>
      <c r="AK202" s="4"/>
      <c r="AL202" s="5"/>
      <c r="AM202" s="4"/>
      <c r="AN202" s="5"/>
      <c r="AO202" s="10"/>
      <c r="AP202" s="5"/>
      <c r="AQ202" s="4"/>
      <c r="AR202" s="5"/>
      <c r="AS202" s="6"/>
      <c r="AT202" s="6"/>
      <c r="AU202" s="6"/>
      <c r="AV202" s="6"/>
      <c r="AW202" s="6"/>
      <c r="AX202" s="6"/>
      <c r="AY202" s="6"/>
      <c r="AZ202" s="6"/>
      <c r="BA202" s="6"/>
      <c r="BB202" s="7"/>
      <c r="BC202" s="7"/>
      <c r="BD202" s="6"/>
      <c r="BE202" s="7"/>
      <c r="BF202" s="7"/>
      <c r="BG202" s="6"/>
      <c r="BH202" s="6"/>
      <c r="BI202" s="6"/>
      <c r="BJ202" s="6"/>
      <c r="BK202" s="6"/>
      <c r="BL202" s="6"/>
      <c r="BM202" s="6"/>
      <c r="BO202" s="14"/>
      <c r="BQ202" s="4"/>
    </row>
    <row r="203" spans="1:80" x14ac:dyDescent="0.4">
      <c r="A203" s="1"/>
      <c r="B203" s="1"/>
      <c r="C203" s="1"/>
      <c r="D203" s="4"/>
      <c r="E203" s="4"/>
      <c r="F203" s="2"/>
      <c r="G203" s="2"/>
      <c r="H203" s="5"/>
      <c r="I203" s="2"/>
      <c r="J203" s="4"/>
      <c r="K203" s="5"/>
      <c r="L203" s="5"/>
      <c r="M203" s="7"/>
      <c r="N203" s="2"/>
      <c r="O203" s="4"/>
      <c r="P203" s="5"/>
      <c r="Q203" s="5"/>
      <c r="R203" s="7"/>
      <c r="S203" s="4"/>
      <c r="T203" s="4"/>
      <c r="U203" s="5"/>
      <c r="V203" s="5"/>
      <c r="W203" s="7"/>
      <c r="X203" s="4"/>
      <c r="Y203" s="4"/>
      <c r="Z203" s="5"/>
      <c r="AA203" s="5"/>
      <c r="AB203" s="7"/>
      <c r="AC203" s="4"/>
      <c r="AD203" s="5"/>
      <c r="AE203" s="4"/>
      <c r="AF203" s="5"/>
      <c r="AG203" s="4"/>
      <c r="AH203" s="5"/>
      <c r="AI203" s="4"/>
      <c r="AJ203" s="5"/>
      <c r="AK203" s="4"/>
      <c r="AL203" s="5"/>
      <c r="AM203" s="4"/>
      <c r="AN203" s="5"/>
      <c r="AO203" s="10"/>
      <c r="AP203" s="5"/>
      <c r="AQ203" s="4"/>
      <c r="AR203" s="5"/>
      <c r="AS203" s="6"/>
      <c r="AT203" s="6"/>
      <c r="AU203" s="6"/>
      <c r="AV203" s="6"/>
      <c r="AW203" s="6"/>
      <c r="AX203" s="6"/>
      <c r="AY203" s="6"/>
      <c r="AZ203" s="6"/>
      <c r="BA203" s="6"/>
      <c r="BB203" s="7"/>
      <c r="BC203" s="7"/>
      <c r="BD203" s="6"/>
      <c r="BE203" s="7"/>
      <c r="BF203" s="7"/>
      <c r="BG203" s="6"/>
      <c r="BH203" s="6"/>
      <c r="BI203" s="6"/>
      <c r="BJ203" s="6"/>
      <c r="BK203" s="6"/>
      <c r="BL203" s="6"/>
      <c r="BM203" s="6"/>
      <c r="BO203" s="14"/>
      <c r="BQ203" s="4"/>
    </row>
    <row r="204" spans="1:80" x14ac:dyDescent="0.4">
      <c r="A204" s="1"/>
      <c r="B204" s="1"/>
      <c r="C204" s="1"/>
      <c r="D204" s="4"/>
      <c r="E204" s="4"/>
      <c r="F204" s="2"/>
      <c r="G204" s="2"/>
      <c r="H204" s="5"/>
      <c r="I204" s="2"/>
      <c r="J204" s="4"/>
      <c r="K204" s="5"/>
      <c r="L204" s="5"/>
      <c r="M204" s="7"/>
      <c r="N204" s="2"/>
      <c r="O204" s="4"/>
      <c r="P204" s="5"/>
      <c r="Q204" s="5"/>
      <c r="R204" s="7"/>
      <c r="S204" s="4"/>
      <c r="T204" s="4"/>
      <c r="U204" s="5"/>
      <c r="V204" s="5"/>
      <c r="W204" s="7"/>
      <c r="X204" s="4"/>
      <c r="Y204" s="4"/>
      <c r="Z204" s="5"/>
      <c r="AA204" s="5"/>
      <c r="AB204" s="7"/>
      <c r="AC204" s="4"/>
      <c r="AD204" s="5"/>
      <c r="AE204" s="4"/>
      <c r="AF204" s="5"/>
      <c r="AG204" s="4"/>
      <c r="AH204" s="5"/>
      <c r="AI204" s="4"/>
      <c r="AJ204" s="5"/>
      <c r="AK204" s="4"/>
      <c r="AL204" s="5"/>
      <c r="AM204" s="4"/>
      <c r="AN204" s="5"/>
      <c r="AO204" s="10"/>
      <c r="AP204" s="5"/>
      <c r="AQ204" s="4"/>
      <c r="AR204" s="5"/>
      <c r="AS204" s="6"/>
      <c r="AT204" s="6"/>
      <c r="AU204" s="6"/>
      <c r="AV204" s="6"/>
      <c r="AW204" s="6"/>
      <c r="AX204" s="6"/>
      <c r="AY204" s="6"/>
      <c r="AZ204" s="6"/>
      <c r="BA204" s="6"/>
      <c r="BB204" s="7"/>
      <c r="BC204" s="7"/>
      <c r="BD204" s="6"/>
      <c r="BE204" s="7"/>
      <c r="BF204" s="7"/>
      <c r="BG204" s="6"/>
      <c r="BH204" s="6"/>
      <c r="BI204" s="6"/>
      <c r="BJ204" s="6"/>
      <c r="BK204" s="6"/>
      <c r="BL204" s="6"/>
      <c r="BM204" s="6"/>
      <c r="BO204" s="14"/>
      <c r="BQ204" s="4"/>
    </row>
    <row r="205" spans="1:80" x14ac:dyDescent="0.4">
      <c r="A205" s="1"/>
      <c r="B205" s="1"/>
      <c r="C205" s="1"/>
      <c r="D205" s="4"/>
      <c r="E205" s="4"/>
      <c r="F205" s="2"/>
      <c r="G205" s="2"/>
      <c r="H205" s="5"/>
      <c r="I205" s="2"/>
      <c r="J205" s="4"/>
      <c r="K205" s="5"/>
      <c r="L205" s="5"/>
      <c r="M205" s="7"/>
      <c r="N205" s="2"/>
      <c r="O205" s="4"/>
      <c r="P205" s="5"/>
      <c r="Q205" s="5"/>
      <c r="R205" s="7"/>
      <c r="S205" s="4"/>
      <c r="T205" s="4"/>
      <c r="U205" s="5"/>
      <c r="V205" s="5"/>
      <c r="W205" s="7"/>
      <c r="X205" s="4"/>
      <c r="Y205" s="4"/>
      <c r="Z205" s="5"/>
      <c r="AA205" s="5"/>
      <c r="AB205" s="7"/>
      <c r="AC205" s="4"/>
      <c r="AD205" s="5"/>
      <c r="AE205" s="4"/>
      <c r="AF205" s="5"/>
      <c r="AG205" s="4"/>
      <c r="AH205" s="5"/>
      <c r="AI205" s="4"/>
      <c r="AJ205" s="5"/>
      <c r="AK205" s="4"/>
      <c r="AL205" s="5"/>
      <c r="AM205" s="4"/>
      <c r="AN205" s="5"/>
      <c r="AO205" s="10"/>
      <c r="AP205" s="5"/>
      <c r="AQ205" s="4"/>
      <c r="AR205" s="5"/>
      <c r="AS205" s="6"/>
      <c r="AT205" s="6"/>
      <c r="AU205" s="6"/>
      <c r="AV205" s="6"/>
      <c r="AW205" s="6"/>
      <c r="AX205" s="6"/>
      <c r="AY205" s="6"/>
      <c r="AZ205" s="6"/>
      <c r="BA205" s="6"/>
      <c r="BB205" s="7"/>
      <c r="BC205" s="7"/>
      <c r="BD205" s="6"/>
      <c r="BE205" s="7"/>
      <c r="BF205" s="7"/>
      <c r="BG205" s="6"/>
      <c r="BH205" s="6"/>
      <c r="BI205" s="6"/>
      <c r="BJ205" s="6"/>
      <c r="BK205" s="6"/>
      <c r="BL205" s="6"/>
      <c r="BM205" s="6"/>
      <c r="BO205" s="14"/>
      <c r="BQ205" s="4"/>
    </row>
    <row r="206" spans="1:80" x14ac:dyDescent="0.4">
      <c r="A206" s="1"/>
      <c r="B206" s="1"/>
      <c r="C206" s="1"/>
      <c r="D206" s="4"/>
      <c r="E206" s="4"/>
      <c r="F206" s="2"/>
      <c r="G206" s="2"/>
      <c r="H206" s="5"/>
      <c r="I206" s="2"/>
      <c r="J206" s="4"/>
      <c r="K206" s="5"/>
      <c r="L206" s="5"/>
      <c r="M206" s="7"/>
      <c r="N206" s="2"/>
      <c r="O206" s="4"/>
      <c r="P206" s="5"/>
      <c r="Q206" s="5"/>
      <c r="R206" s="7"/>
      <c r="S206" s="4"/>
      <c r="T206" s="4"/>
      <c r="U206" s="5"/>
      <c r="V206" s="5"/>
      <c r="W206" s="7"/>
      <c r="X206" s="4"/>
      <c r="Y206" s="4"/>
      <c r="Z206" s="5"/>
      <c r="AA206" s="5"/>
      <c r="AB206" s="7"/>
      <c r="AC206" s="4"/>
      <c r="AD206" s="5"/>
      <c r="AE206" s="4"/>
      <c r="AF206" s="5"/>
      <c r="AG206" s="4"/>
      <c r="AH206" s="5"/>
      <c r="AI206" s="4"/>
      <c r="AJ206" s="5"/>
      <c r="AK206" s="4"/>
      <c r="AL206" s="5"/>
      <c r="AM206" s="4"/>
      <c r="AN206" s="5"/>
      <c r="AO206" s="10"/>
      <c r="AP206" s="5"/>
      <c r="AQ206" s="4"/>
      <c r="AR206" s="5"/>
      <c r="AS206" s="6"/>
      <c r="AT206" s="6"/>
      <c r="AU206" s="6"/>
      <c r="AV206" s="6"/>
      <c r="AW206" s="6"/>
      <c r="AX206" s="6"/>
      <c r="AY206" s="6"/>
      <c r="AZ206" s="6"/>
      <c r="BA206" s="6"/>
      <c r="BB206" s="7"/>
      <c r="BC206" s="7"/>
      <c r="BD206" s="6"/>
      <c r="BE206" s="7"/>
      <c r="BF206" s="7"/>
      <c r="BG206" s="6"/>
      <c r="BH206" s="6"/>
      <c r="BI206" s="6"/>
      <c r="BJ206" s="6"/>
      <c r="BK206" s="6"/>
      <c r="BL206" s="6"/>
      <c r="BM206" s="6"/>
      <c r="BO206" s="14"/>
      <c r="BQ206" s="4"/>
    </row>
  </sheetData>
  <autoFilter ref="A1:BO206" xr:uid="{0255B66F-BA9D-4F4E-80F0-8D4A27B7E2E2}">
    <sortState xmlns:xlrd2="http://schemas.microsoft.com/office/spreadsheetml/2017/richdata2" ref="A2:BO206">
      <sortCondition ref="B1:B206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2026-05-16T01:49:24Z</dcterms:modified>
</cp:coreProperties>
</file>